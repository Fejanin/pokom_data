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847132A-E357-49D5-9EB4-FC6EF0C5206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X587" i="1"/>
  <c r="X586" i="1"/>
  <c r="BO585" i="1"/>
  <c r="BM585" i="1"/>
  <c r="Y585" i="1"/>
  <c r="X583" i="1"/>
  <c r="X582" i="1"/>
  <c r="BO581" i="1"/>
  <c r="BM581" i="1"/>
  <c r="Y581" i="1"/>
  <c r="X579" i="1"/>
  <c r="X578" i="1"/>
  <c r="BO577" i="1"/>
  <c r="BM577" i="1"/>
  <c r="Y577" i="1"/>
  <c r="X574" i="1"/>
  <c r="X573" i="1"/>
  <c r="BO572" i="1"/>
  <c r="BM572" i="1"/>
  <c r="Y572" i="1"/>
  <c r="BO571" i="1"/>
  <c r="BM571" i="1"/>
  <c r="Y571" i="1"/>
  <c r="BO570" i="1"/>
  <c r="BM570" i="1"/>
  <c r="Y570" i="1"/>
  <c r="BO569" i="1"/>
  <c r="BM569" i="1"/>
  <c r="Y569" i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X558" i="1"/>
  <c r="BO557" i="1"/>
  <c r="BM557" i="1"/>
  <c r="Y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P514" i="1"/>
  <c r="BO513" i="1"/>
  <c r="BM513" i="1"/>
  <c r="Y513" i="1"/>
  <c r="BO512" i="1"/>
  <c r="BM512" i="1"/>
  <c r="Y512" i="1"/>
  <c r="P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3" i="1" s="1"/>
  <c r="X347" i="1"/>
  <c r="X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R602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7" i="1" s="1"/>
  <c r="X244" i="1"/>
  <c r="X243" i="1"/>
  <c r="BO242" i="1"/>
  <c r="BM242" i="1"/>
  <c r="Y242" i="1"/>
  <c r="P242" i="1"/>
  <c r="BO241" i="1"/>
  <c r="BM241" i="1"/>
  <c r="Y241" i="1"/>
  <c r="Y244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Y139" i="1" s="1"/>
  <c r="P137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O123" i="1"/>
  <c r="BM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Y129" i="1" s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O94" i="1"/>
  <c r="BM94" i="1"/>
  <c r="Y94" i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95" i="1" l="1"/>
  <c r="BN95" i="1"/>
  <c r="BP96" i="1"/>
  <c r="BN96" i="1"/>
  <c r="Z96" i="1"/>
  <c r="BP98" i="1"/>
  <c r="BN98" i="1"/>
  <c r="Z98" i="1"/>
  <c r="BP126" i="1"/>
  <c r="BN126" i="1"/>
  <c r="Z126" i="1"/>
  <c r="BP204" i="1"/>
  <c r="BN204" i="1"/>
  <c r="Z204" i="1"/>
  <c r="BP224" i="1"/>
  <c r="BN224" i="1"/>
  <c r="Z224" i="1"/>
  <c r="BP242" i="1"/>
  <c r="BN242" i="1"/>
  <c r="Z242" i="1"/>
  <c r="T602" i="1"/>
  <c r="Y315" i="1"/>
  <c r="BP314" i="1"/>
  <c r="BN314" i="1"/>
  <c r="Z314" i="1"/>
  <c r="Z315" i="1" s="1"/>
  <c r="BP319" i="1"/>
  <c r="BN319" i="1"/>
  <c r="Z319" i="1"/>
  <c r="BP343" i="1"/>
  <c r="BN343" i="1"/>
  <c r="Z343" i="1"/>
  <c r="BP382" i="1"/>
  <c r="BN382" i="1"/>
  <c r="Z382" i="1"/>
  <c r="BP435" i="1"/>
  <c r="BN435" i="1"/>
  <c r="Z435" i="1"/>
  <c r="BP482" i="1"/>
  <c r="BN482" i="1"/>
  <c r="Z482" i="1"/>
  <c r="BP490" i="1"/>
  <c r="BN490" i="1"/>
  <c r="Z490" i="1"/>
  <c r="BP492" i="1"/>
  <c r="BN492" i="1"/>
  <c r="Z492" i="1"/>
  <c r="Z26" i="1"/>
  <c r="BN26" i="1"/>
  <c r="C602" i="1"/>
  <c r="Z51" i="1"/>
  <c r="BN51" i="1"/>
  <c r="Z67" i="1"/>
  <c r="BN67" i="1"/>
  <c r="Z81" i="1"/>
  <c r="BN81" i="1"/>
  <c r="Z95" i="1"/>
  <c r="BP97" i="1"/>
  <c r="BN97" i="1"/>
  <c r="Z97" i="1"/>
  <c r="BP113" i="1"/>
  <c r="BN113" i="1"/>
  <c r="Z113" i="1"/>
  <c r="BP159" i="1"/>
  <c r="BN159" i="1"/>
  <c r="Z159" i="1"/>
  <c r="BP214" i="1"/>
  <c r="BN214" i="1"/>
  <c r="Z214" i="1"/>
  <c r="BP237" i="1"/>
  <c r="BN237" i="1"/>
  <c r="Z237" i="1"/>
  <c r="BP271" i="1"/>
  <c r="BN271" i="1"/>
  <c r="Z271" i="1"/>
  <c r="BP331" i="1"/>
  <c r="BN331" i="1"/>
  <c r="Z331" i="1"/>
  <c r="BP368" i="1"/>
  <c r="BN368" i="1"/>
  <c r="Z368" i="1"/>
  <c r="BP406" i="1"/>
  <c r="BN406" i="1"/>
  <c r="Z406" i="1"/>
  <c r="BP440" i="1"/>
  <c r="BN440" i="1"/>
  <c r="Z440" i="1"/>
  <c r="BP489" i="1"/>
  <c r="BN489" i="1"/>
  <c r="Z489" i="1"/>
  <c r="BP491" i="1"/>
  <c r="BN491" i="1"/>
  <c r="Z491" i="1"/>
  <c r="BP522" i="1"/>
  <c r="BN522" i="1"/>
  <c r="Z522" i="1"/>
  <c r="Y116" i="1"/>
  <c r="Y69" i="1"/>
  <c r="BP65" i="1"/>
  <c r="BN65" i="1"/>
  <c r="Z65" i="1"/>
  <c r="BP75" i="1"/>
  <c r="BN75" i="1"/>
  <c r="Z75" i="1"/>
  <c r="Y102" i="1"/>
  <c r="BP93" i="1"/>
  <c r="BN93" i="1"/>
  <c r="Z93" i="1"/>
  <c r="BP109" i="1"/>
  <c r="BN109" i="1"/>
  <c r="Z109" i="1"/>
  <c r="BP120" i="1"/>
  <c r="BN120" i="1"/>
  <c r="Z120" i="1"/>
  <c r="BP124" i="1"/>
  <c r="BN124" i="1"/>
  <c r="Z124" i="1"/>
  <c r="Y154" i="1"/>
  <c r="BP153" i="1"/>
  <c r="BN153" i="1"/>
  <c r="Z153" i="1"/>
  <c r="Z154" i="1" s="1"/>
  <c r="Y161" i="1"/>
  <c r="BP157" i="1"/>
  <c r="BN157" i="1"/>
  <c r="Z157" i="1"/>
  <c r="BP182" i="1"/>
  <c r="BN182" i="1"/>
  <c r="Z182" i="1"/>
  <c r="BP202" i="1"/>
  <c r="BN202" i="1"/>
  <c r="Z202" i="1"/>
  <c r="Y222" i="1"/>
  <c r="BP212" i="1"/>
  <c r="BN212" i="1"/>
  <c r="Z212" i="1"/>
  <c r="BP220" i="1"/>
  <c r="BN220" i="1"/>
  <c r="Z220" i="1"/>
  <c r="BP235" i="1"/>
  <c r="BN235" i="1"/>
  <c r="Z235" i="1"/>
  <c r="BP259" i="1"/>
  <c r="BN259" i="1"/>
  <c r="Z259" i="1"/>
  <c r="BP309" i="1"/>
  <c r="BN309" i="1"/>
  <c r="Z309" i="1"/>
  <c r="BP329" i="1"/>
  <c r="BN329" i="1"/>
  <c r="Z329" i="1"/>
  <c r="BP339" i="1"/>
  <c r="BN339" i="1"/>
  <c r="Z339" i="1"/>
  <c r="BP357" i="1"/>
  <c r="BN357" i="1"/>
  <c r="Z357" i="1"/>
  <c r="BP380" i="1"/>
  <c r="BN380" i="1"/>
  <c r="Z380" i="1"/>
  <c r="BP404" i="1"/>
  <c r="BN404" i="1"/>
  <c r="Z404" i="1"/>
  <c r="BP419" i="1"/>
  <c r="BN419" i="1"/>
  <c r="Z419" i="1"/>
  <c r="BP438" i="1"/>
  <c r="BN438" i="1"/>
  <c r="Z438" i="1"/>
  <c r="BP456" i="1"/>
  <c r="BN456" i="1"/>
  <c r="Z456" i="1"/>
  <c r="Y476" i="1"/>
  <c r="Y475" i="1"/>
  <c r="BP474" i="1"/>
  <c r="BN474" i="1"/>
  <c r="Z474" i="1"/>
  <c r="Z475" i="1" s="1"/>
  <c r="BP480" i="1"/>
  <c r="BN480" i="1"/>
  <c r="Z480" i="1"/>
  <c r="BP487" i="1"/>
  <c r="BN487" i="1"/>
  <c r="Z487" i="1"/>
  <c r="BP517" i="1"/>
  <c r="BN517" i="1"/>
  <c r="Z517" i="1"/>
  <c r="BP535" i="1"/>
  <c r="BN535" i="1"/>
  <c r="Z535" i="1"/>
  <c r="BP537" i="1"/>
  <c r="BN537" i="1"/>
  <c r="Z537" i="1"/>
  <c r="BP539" i="1"/>
  <c r="BN539" i="1"/>
  <c r="Z539" i="1"/>
  <c r="Y559" i="1"/>
  <c r="Y558" i="1"/>
  <c r="BP551" i="1"/>
  <c r="BN551" i="1"/>
  <c r="Z551" i="1"/>
  <c r="BP553" i="1"/>
  <c r="BN553" i="1"/>
  <c r="Z553" i="1"/>
  <c r="BP555" i="1"/>
  <c r="BN555" i="1"/>
  <c r="Z555" i="1"/>
  <c r="BP557" i="1"/>
  <c r="BN557" i="1"/>
  <c r="Z557" i="1"/>
  <c r="Y574" i="1"/>
  <c r="Y573" i="1"/>
  <c r="BP569" i="1"/>
  <c r="BN569" i="1"/>
  <c r="Z569" i="1"/>
  <c r="BP571" i="1"/>
  <c r="BN571" i="1"/>
  <c r="Z571" i="1"/>
  <c r="Z22" i="1"/>
  <c r="BN22" i="1"/>
  <c r="Y29" i="1"/>
  <c r="X596" i="1"/>
  <c r="Z38" i="1"/>
  <c r="BN38" i="1"/>
  <c r="Z44" i="1"/>
  <c r="Z45" i="1" s="1"/>
  <c r="BN44" i="1"/>
  <c r="BP44" i="1"/>
  <c r="Y45" i="1"/>
  <c r="Z49" i="1"/>
  <c r="BN49" i="1"/>
  <c r="Y56" i="1"/>
  <c r="Z53" i="1"/>
  <c r="BN53" i="1"/>
  <c r="BP59" i="1"/>
  <c r="BN59" i="1"/>
  <c r="Z59" i="1"/>
  <c r="Y77" i="1"/>
  <c r="BP71" i="1"/>
  <c r="BN71" i="1"/>
  <c r="Z71" i="1"/>
  <c r="E602" i="1"/>
  <c r="BP88" i="1"/>
  <c r="BN88" i="1"/>
  <c r="Z88" i="1"/>
  <c r="BP100" i="1"/>
  <c r="BN100" i="1"/>
  <c r="Z100" i="1"/>
  <c r="BP115" i="1"/>
  <c r="BN115" i="1"/>
  <c r="Z115" i="1"/>
  <c r="BP123" i="1"/>
  <c r="BN123" i="1"/>
  <c r="Z123" i="1"/>
  <c r="BP138" i="1"/>
  <c r="BN138" i="1"/>
  <c r="Z138" i="1"/>
  <c r="BP142" i="1"/>
  <c r="BN142" i="1"/>
  <c r="Z142" i="1"/>
  <c r="Y183" i="1"/>
  <c r="BP175" i="1"/>
  <c r="BN175" i="1"/>
  <c r="Z175" i="1"/>
  <c r="J602" i="1"/>
  <c r="BP192" i="1"/>
  <c r="BN192" i="1"/>
  <c r="Z192" i="1"/>
  <c r="BP206" i="1"/>
  <c r="BN206" i="1"/>
  <c r="Z206" i="1"/>
  <c r="BP216" i="1"/>
  <c r="BN216" i="1"/>
  <c r="Z216" i="1"/>
  <c r="K602" i="1"/>
  <c r="BP231" i="1"/>
  <c r="BN231" i="1"/>
  <c r="Z231" i="1"/>
  <c r="Y252" i="1"/>
  <c r="Y251" i="1"/>
  <c r="BP250" i="1"/>
  <c r="BN250" i="1"/>
  <c r="Z250" i="1"/>
  <c r="Z251" i="1" s="1"/>
  <c r="BP255" i="1"/>
  <c r="BN255" i="1"/>
  <c r="Z255" i="1"/>
  <c r="Y282" i="1"/>
  <c r="BP278" i="1"/>
  <c r="BN278" i="1"/>
  <c r="Z278" i="1"/>
  <c r="BP321" i="1"/>
  <c r="BN321" i="1"/>
  <c r="Z321" i="1"/>
  <c r="Y341" i="1"/>
  <c r="BP335" i="1"/>
  <c r="BN335" i="1"/>
  <c r="Z335" i="1"/>
  <c r="BP345" i="1"/>
  <c r="BN345" i="1"/>
  <c r="Z345" i="1"/>
  <c r="BP376" i="1"/>
  <c r="BN376" i="1"/>
  <c r="Z376" i="1"/>
  <c r="BP384" i="1"/>
  <c r="BN384" i="1"/>
  <c r="Z384" i="1"/>
  <c r="BP412" i="1"/>
  <c r="BN412" i="1"/>
  <c r="Z412" i="1"/>
  <c r="Y426" i="1"/>
  <c r="Y425" i="1"/>
  <c r="BP424" i="1"/>
  <c r="BN424" i="1"/>
  <c r="Z424" i="1"/>
  <c r="Z425" i="1" s="1"/>
  <c r="BP437" i="1"/>
  <c r="BN437" i="1"/>
  <c r="Z437" i="1"/>
  <c r="BP446" i="1"/>
  <c r="BN446" i="1"/>
  <c r="Z446" i="1"/>
  <c r="BP451" i="1"/>
  <c r="BN451" i="1"/>
  <c r="Z451" i="1"/>
  <c r="BP459" i="1"/>
  <c r="BN459" i="1"/>
  <c r="Z459" i="1"/>
  <c r="Y68" i="1"/>
  <c r="Y78" i="1"/>
  <c r="Y84" i="1"/>
  <c r="Y103" i="1"/>
  <c r="F602" i="1"/>
  <c r="Y117" i="1"/>
  <c r="Y198" i="1"/>
  <c r="Y226" i="1"/>
  <c r="O602" i="1"/>
  <c r="Y347" i="1"/>
  <c r="Y421" i="1"/>
  <c r="Y472" i="1"/>
  <c r="AB602" i="1"/>
  <c r="Y471" i="1"/>
  <c r="BP470" i="1"/>
  <c r="BN470" i="1"/>
  <c r="BP484" i="1"/>
  <c r="BN484" i="1"/>
  <c r="Z484" i="1"/>
  <c r="BP494" i="1"/>
  <c r="BN494" i="1"/>
  <c r="Z494" i="1"/>
  <c r="Y541" i="1"/>
  <c r="Y540" i="1"/>
  <c r="BP534" i="1"/>
  <c r="BN534" i="1"/>
  <c r="Z534" i="1"/>
  <c r="BP536" i="1"/>
  <c r="BN536" i="1"/>
  <c r="Z536" i="1"/>
  <c r="BP538" i="1"/>
  <c r="BN538" i="1"/>
  <c r="Z538" i="1"/>
  <c r="BP552" i="1"/>
  <c r="BN552" i="1"/>
  <c r="Z552" i="1"/>
  <c r="BP554" i="1"/>
  <c r="BN554" i="1"/>
  <c r="Z554" i="1"/>
  <c r="BP556" i="1"/>
  <c r="BN556" i="1"/>
  <c r="Z556" i="1"/>
  <c r="BP570" i="1"/>
  <c r="BN570" i="1"/>
  <c r="Z570" i="1"/>
  <c r="BP572" i="1"/>
  <c r="BN572" i="1"/>
  <c r="Z572" i="1"/>
  <c r="Y583" i="1"/>
  <c r="Y582" i="1"/>
  <c r="BP581" i="1"/>
  <c r="BN581" i="1"/>
  <c r="Z581" i="1"/>
  <c r="Z582" i="1" s="1"/>
  <c r="Y591" i="1"/>
  <c r="Y590" i="1"/>
  <c r="BP589" i="1"/>
  <c r="BN589" i="1"/>
  <c r="Z589" i="1"/>
  <c r="Z590" i="1" s="1"/>
  <c r="H9" i="1"/>
  <c r="A10" i="1"/>
  <c r="B602" i="1"/>
  <c r="X593" i="1"/>
  <c r="X594" i="1"/>
  <c r="Z23" i="1"/>
  <c r="Z28" i="1" s="1"/>
  <c r="BN23" i="1"/>
  <c r="BP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Y32" i="1"/>
  <c r="Z37" i="1"/>
  <c r="BN37" i="1"/>
  <c r="BP37" i="1"/>
  <c r="Z39" i="1"/>
  <c r="BN39" i="1"/>
  <c r="Y42" i="1"/>
  <c r="D602" i="1"/>
  <c r="Z50" i="1"/>
  <c r="Z55" i="1" s="1"/>
  <c r="BN50" i="1"/>
  <c r="BP50" i="1"/>
  <c r="Z52" i="1"/>
  <c r="BN52" i="1"/>
  <c r="Z54" i="1"/>
  <c r="BN54" i="1"/>
  <c r="Y55" i="1"/>
  <c r="Z58" i="1"/>
  <c r="Z62" i="1" s="1"/>
  <c r="BN58" i="1"/>
  <c r="BP58" i="1"/>
  <c r="Z60" i="1"/>
  <c r="BN60" i="1"/>
  <c r="Y63" i="1"/>
  <c r="Z66" i="1"/>
  <c r="Z68" i="1" s="1"/>
  <c r="BN66" i="1"/>
  <c r="BP66" i="1"/>
  <c r="Z72" i="1"/>
  <c r="BN72" i="1"/>
  <c r="BP72" i="1"/>
  <c r="Z74" i="1"/>
  <c r="BN74" i="1"/>
  <c r="Z76" i="1"/>
  <c r="BN76" i="1"/>
  <c r="Z80" i="1"/>
  <c r="Z83" i="1" s="1"/>
  <c r="BN80" i="1"/>
  <c r="BP80" i="1"/>
  <c r="Z82" i="1"/>
  <c r="BN82" i="1"/>
  <c r="Y83" i="1"/>
  <c r="Z87" i="1"/>
  <c r="Z90" i="1" s="1"/>
  <c r="BN87" i="1"/>
  <c r="BP87" i="1"/>
  <c r="Z89" i="1"/>
  <c r="BN89" i="1"/>
  <c r="Y90" i="1"/>
  <c r="Z94" i="1"/>
  <c r="Z102" i="1" s="1"/>
  <c r="BN94" i="1"/>
  <c r="BP94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BP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Y128" i="1"/>
  <c r="Z131" i="1"/>
  <c r="Z133" i="1" s="1"/>
  <c r="BN131" i="1"/>
  <c r="BP131" i="1"/>
  <c r="BP132" i="1"/>
  <c r="BN132" i="1"/>
  <c r="Z132" i="1"/>
  <c r="Y134" i="1"/>
  <c r="Y140" i="1"/>
  <c r="BP137" i="1"/>
  <c r="BN137" i="1"/>
  <c r="Z137" i="1"/>
  <c r="Z139" i="1" s="1"/>
  <c r="G602" i="1"/>
  <c r="Y144" i="1"/>
  <c r="BP158" i="1"/>
  <c r="BN158" i="1"/>
  <c r="Z158" i="1"/>
  <c r="BP176" i="1"/>
  <c r="BN176" i="1"/>
  <c r="Z176" i="1"/>
  <c r="BP179" i="1"/>
  <c r="BN179" i="1"/>
  <c r="Z179" i="1"/>
  <c r="Y187" i="1"/>
  <c r="BP186" i="1"/>
  <c r="BN186" i="1"/>
  <c r="Z186" i="1"/>
  <c r="Z187" i="1" s="1"/>
  <c r="Y188" i="1"/>
  <c r="F9" i="1"/>
  <c r="J9" i="1"/>
  <c r="Y41" i="1"/>
  <c r="Y91" i="1"/>
  <c r="Y110" i="1"/>
  <c r="BP143" i="1"/>
  <c r="BN143" i="1"/>
  <c r="Z143" i="1"/>
  <c r="Z144" i="1" s="1"/>
  <c r="Y145" i="1"/>
  <c r="Y150" i="1"/>
  <c r="BP147" i="1"/>
  <c r="BN147" i="1"/>
  <c r="Z147" i="1"/>
  <c r="Z149" i="1" s="1"/>
  <c r="BP160" i="1"/>
  <c r="BN160" i="1"/>
  <c r="Z160" i="1"/>
  <c r="Y162" i="1"/>
  <c r="Y165" i="1"/>
  <c r="BP164" i="1"/>
  <c r="BN164" i="1"/>
  <c r="Z164" i="1"/>
  <c r="Z165" i="1" s="1"/>
  <c r="Y166" i="1"/>
  <c r="I602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Y193" i="1"/>
  <c r="Y199" i="1"/>
  <c r="Y209" i="1"/>
  <c r="Y221" i="1"/>
  <c r="Y227" i="1"/>
  <c r="Y238" i="1"/>
  <c r="Y243" i="1"/>
  <c r="Y248" i="1"/>
  <c r="Y262" i="1"/>
  <c r="Y267" i="1"/>
  <c r="Y274" i="1"/>
  <c r="Y283" i="1"/>
  <c r="Y288" i="1"/>
  <c r="Y292" i="1"/>
  <c r="Y296" i="1"/>
  <c r="Y301" i="1"/>
  <c r="Y306" i="1"/>
  <c r="Y310" i="1"/>
  <c r="Y326" i="1"/>
  <c r="Y332" i="1"/>
  <c r="Y340" i="1"/>
  <c r="Y346" i="1"/>
  <c r="Y354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2" i="1"/>
  <c r="Y442" i="1"/>
  <c r="BP430" i="1"/>
  <c r="BN430" i="1"/>
  <c r="Z430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5" i="1"/>
  <c r="BN485" i="1"/>
  <c r="Z485" i="1"/>
  <c r="BP488" i="1"/>
  <c r="BN488" i="1"/>
  <c r="Z488" i="1"/>
  <c r="BP495" i="1"/>
  <c r="BN495" i="1"/>
  <c r="Z495" i="1"/>
  <c r="Y497" i="1"/>
  <c r="Y503" i="1"/>
  <c r="BP499" i="1"/>
  <c r="BN499" i="1"/>
  <c r="Z499" i="1"/>
  <c r="BP501" i="1"/>
  <c r="BN501" i="1"/>
  <c r="Z501" i="1"/>
  <c r="BP513" i="1"/>
  <c r="BN513" i="1"/>
  <c r="Z513" i="1"/>
  <c r="Y519" i="1"/>
  <c r="Y524" i="1"/>
  <c r="BP521" i="1"/>
  <c r="BN521" i="1"/>
  <c r="Z521" i="1"/>
  <c r="Y525" i="1"/>
  <c r="BP528" i="1"/>
  <c r="BN528" i="1"/>
  <c r="Z528" i="1"/>
  <c r="Y530" i="1"/>
  <c r="Y548" i="1"/>
  <c r="BP543" i="1"/>
  <c r="BN543" i="1"/>
  <c r="Z543" i="1"/>
  <c r="AD602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P602" i="1"/>
  <c r="X602" i="1"/>
  <c r="H602" i="1"/>
  <c r="Y155" i="1"/>
  <c r="Z191" i="1"/>
  <c r="Z193" i="1" s="1"/>
  <c r="BN191" i="1"/>
  <c r="BP191" i="1"/>
  <c r="Y194" i="1"/>
  <c r="Z197" i="1"/>
  <c r="Z198" i="1" s="1"/>
  <c r="BN197" i="1"/>
  <c r="Z201" i="1"/>
  <c r="BN201" i="1"/>
  <c r="BP201" i="1"/>
  <c r="Z203" i="1"/>
  <c r="BN203" i="1"/>
  <c r="Z205" i="1"/>
  <c r="BN205" i="1"/>
  <c r="Z207" i="1"/>
  <c r="BN207" i="1"/>
  <c r="Z213" i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Y239" i="1"/>
  <c r="Z241" i="1"/>
  <c r="BN241" i="1"/>
  <c r="BP241" i="1"/>
  <c r="Z246" i="1"/>
  <c r="Z247" i="1" s="1"/>
  <c r="BN246" i="1"/>
  <c r="BP246" i="1"/>
  <c r="L602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6" i="1"/>
  <c r="U602" i="1"/>
  <c r="Z320" i="1"/>
  <c r="BN320" i="1"/>
  <c r="Z322" i="1"/>
  <c r="BN322" i="1"/>
  <c r="Z324" i="1"/>
  <c r="BN324" i="1"/>
  <c r="Y325" i="1"/>
  <c r="Z328" i="1"/>
  <c r="Z332" i="1" s="1"/>
  <c r="BN328" i="1"/>
  <c r="BP328" i="1"/>
  <c r="Z330" i="1"/>
  <c r="BN330" i="1"/>
  <c r="Z336" i="1"/>
  <c r="BN336" i="1"/>
  <c r="Z338" i="1"/>
  <c r="BN338" i="1"/>
  <c r="Z344" i="1"/>
  <c r="BN344" i="1"/>
  <c r="Z349" i="1"/>
  <c r="BN349" i="1"/>
  <c r="BP349" i="1"/>
  <c r="Z350" i="1"/>
  <c r="BN350" i="1"/>
  <c r="Z352" i="1"/>
  <c r="BN352" i="1"/>
  <c r="Z356" i="1"/>
  <c r="Z359" i="1" s="1"/>
  <c r="BN356" i="1"/>
  <c r="BP356" i="1"/>
  <c r="Z358" i="1"/>
  <c r="BN358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Y413" i="1"/>
  <c r="BP418" i="1"/>
  <c r="BN418" i="1"/>
  <c r="Z418" i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3" i="1"/>
  <c r="Y448" i="1"/>
  <c r="BP445" i="1"/>
  <c r="BN445" i="1"/>
  <c r="Z445" i="1"/>
  <c r="Z447" i="1" s="1"/>
  <c r="Z602" i="1"/>
  <c r="Y461" i="1"/>
  <c r="BP458" i="1"/>
  <c r="BN458" i="1"/>
  <c r="Z458" i="1"/>
  <c r="BP483" i="1"/>
  <c r="BN483" i="1"/>
  <c r="Z483" i="1"/>
  <c r="BP486" i="1"/>
  <c r="BN486" i="1"/>
  <c r="Z486" i="1"/>
  <c r="BP493" i="1"/>
  <c r="BN493" i="1"/>
  <c r="Z493" i="1"/>
  <c r="BP500" i="1"/>
  <c r="BN500" i="1"/>
  <c r="Z500" i="1"/>
  <c r="BP502" i="1"/>
  <c r="BN502" i="1"/>
  <c r="Z502" i="1"/>
  <c r="Y504" i="1"/>
  <c r="BP512" i="1"/>
  <c r="BN512" i="1"/>
  <c r="Z512" i="1"/>
  <c r="Z518" i="1" s="1"/>
  <c r="BP516" i="1"/>
  <c r="BN516" i="1"/>
  <c r="Z516" i="1"/>
  <c r="Y453" i="1"/>
  <c r="Y467" i="1"/>
  <c r="AC602" i="1"/>
  <c r="Y496" i="1"/>
  <c r="Y518" i="1"/>
  <c r="BP523" i="1"/>
  <c r="BN523" i="1"/>
  <c r="Z523" i="1"/>
  <c r="Y529" i="1"/>
  <c r="BP527" i="1"/>
  <c r="BN527" i="1"/>
  <c r="Z527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Z243" i="1" l="1"/>
  <c r="Z116" i="1"/>
  <c r="Z261" i="1"/>
  <c r="Y594" i="1"/>
  <c r="Y592" i="1"/>
  <c r="Z573" i="1"/>
  <c r="Z558" i="1"/>
  <c r="Z529" i="1"/>
  <c r="Z421" i="1"/>
  <c r="Z346" i="1"/>
  <c r="Z340" i="1"/>
  <c r="Z325" i="1"/>
  <c r="Z221" i="1"/>
  <c r="Z496" i="1"/>
  <c r="Z460" i="1"/>
  <c r="Y593" i="1"/>
  <c r="Y595" i="1" s="1"/>
  <c r="Z77" i="1"/>
  <c r="Z540" i="1"/>
  <c r="Z385" i="1"/>
  <c r="Z353" i="1"/>
  <c r="Z282" i="1"/>
  <c r="Z273" i="1"/>
  <c r="Z238" i="1"/>
  <c r="Z566" i="1"/>
  <c r="Z548" i="1"/>
  <c r="Z503" i="1"/>
  <c r="Z408" i="1"/>
  <c r="Z370" i="1"/>
  <c r="Z183" i="1"/>
  <c r="X595" i="1"/>
  <c r="Z209" i="1"/>
  <c r="Z524" i="1"/>
  <c r="Z442" i="1"/>
  <c r="Z161" i="1"/>
  <c r="Z110" i="1"/>
  <c r="Z41" i="1"/>
  <c r="Y596" i="1"/>
  <c r="Z597" i="1" l="1"/>
</calcChain>
</file>

<file path=xl/sharedStrings.xml><?xml version="1.0" encoding="utf-8"?>
<sst xmlns="http://schemas.openxmlformats.org/spreadsheetml/2006/main" count="2726" uniqueCount="978">
  <si>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</si>
  <si>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</si>
  <si>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</si>
  <si>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</si>
  <si>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</si>
  <si>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</si>
  <si>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</si>
  <si>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</si>
  <si>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</si>
  <si>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</si>
  <si>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</si>
  <si>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</si>
  <si>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</si>
  <si>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</si>
  <si>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</si>
  <si>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</si>
  <si>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</si>
  <si>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</si>
  <si>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</si>
  <si>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</si>
  <si>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</si>
  <si>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</si>
  <si>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</si>
  <si>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</si>
  <si>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</si>
  <si>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</si>
  <si>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</si>
  <si>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</si>
  <si>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</si>
  <si>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</si>
  <si>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</si>
  <si>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</si>
  <si>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</si>
  <si>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</si>
  <si>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</si>
  <si>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</si>
  <si>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</si>
  <si>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</si>
  <si>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</si>
  <si>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</si>
  <si>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</si>
  <si>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</si>
  <si>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</si>
  <si>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</si>
  <si>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</si>
  <si>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</si>
  <si>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</si>
  <si>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</si>
  <si>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</si>
  <si>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</si>
  <si>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</si>
  <si>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</si>
  <si>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</si>
  <si>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</si>
  <si>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</si>
  <si>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</si>
  <si>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</si>
  <si>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</si>
  <si>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</si>
  <si>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</si>
  <si>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</si>
  <si>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</si>
  <si>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</si>
  <si>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</si>
  <si>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</si>
  <si>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</si>
  <si>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</si>
  <si>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</si>
  <si>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</si>
  <si>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</si>
  <si>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</si>
  <si>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</si>
  <si>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</si>
  <si>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</si>
  <si>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</si>
  <si>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</si>
  <si>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</si>
  <si>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</si>
  <si>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</si>
  <si>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</si>
  <si>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</si>
  <si>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</si>
  <si>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</si>
  <si>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</si>
  <si>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</si>
  <si>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</si>
  <si>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</si>
  <si>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</si>
  <si>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</si>
  <si>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</si>
  <si>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</si>
  <si>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</si>
  <si>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</si>
  <si>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</si>
  <si>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</si>
  <si>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</si>
  <si>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</si>
  <si>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</si>
  <si>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</si>
  <si>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</si>
  <si>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</si>
  <si>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</si>
  <si>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</si>
  <si>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</si>
  <si>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</si>
  <si>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</si>
  <si>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</si>
  <si>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</si>
  <si>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</si>
  <si>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</si>
  <si>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</si>
  <si>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</si>
  <si>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</si>
  <si>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</si>
  <si>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</si>
  <si>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</si>
  <si>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</si>
  <si>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</si>
  <si>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</si>
  <si>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</si>
  <si>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</si>
  <si>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</si>
  <si>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</si>
  <si>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</si>
  <si>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</si>
  <si>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</si>
  <si>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</si>
  <si>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</si>
  <si>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</si>
  <si>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</si>
  <si>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</si>
  <si>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</si>
  <si>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</si>
  <si>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</si>
  <si>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</si>
  <si>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</si>
  <si>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</si>
  <si>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</si>
  <si>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</si>
  <si>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</si>
  <si>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</si>
  <si>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</si>
  <si>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</si>
  <si>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</si>
  <si>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</si>
  <si>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</si>
  <si>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</si>
  <si>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</si>
  <si>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</si>
  <si>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</si>
  <si>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</si>
  <si>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</si>
  <si>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</si>
  <si>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</si>
  <si>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</si>
  <si>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</si>
  <si>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</si>
  <si>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</si>
  <si>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</si>
  <si>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</si>
  <si>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</si>
  <si>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</si>
  <si>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</si>
  <si>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</si>
  <si>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</si>
  <si>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</si>
  <si>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</si>
  <si>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</si>
  <si>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</si>
  <si>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</si>
  <si>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</si>
  <si>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</si>
  <si>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</si>
  <si>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</si>
  <si>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</si>
  <si>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</si>
  <si>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</si>
  <si>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</si>
  <si>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</si>
  <si>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</si>
  <si>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</si>
  <si>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</si>
  <si>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</si>
  <si>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</si>
  <si>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</si>
  <si>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</si>
  <si>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</si>
  <si>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</si>
  <si>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</si>
  <si>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</si>
  <si>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</si>
  <si>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</si>
  <si>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</si>
  <si>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</si>
  <si>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</si>
  <si>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</si>
  <si>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</si>
  <si>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</si>
  <si>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</si>
  <si>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</si>
  <si>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</si>
  <si>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</si>
  <si>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</si>
  <si>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</si>
  <si>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</si>
  <si>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</si>
  <si>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</si>
  <si>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</si>
  <si>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</si>
  <si>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</si>
  <si>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</si>
  <si>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</si>
  <si>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</si>
  <si>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</si>
  <si>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</si>
  <si>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</si>
  <si>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</si>
  <si>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</si>
  <si>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</si>
  <si>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</si>
  <si>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</si>
  <si>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</si>
  <si>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</si>
  <si>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</si>
  <si>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</si>
  <si>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</si>
  <si>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</si>
  <si>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</si>
  <si>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</si>
  <si>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</si>
  <si>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</si>
  <si>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</si>
  <si>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</si>
  <si>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</si>
  <si>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</si>
  <si>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</si>
  <si>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</si>
  <si>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</si>
  <si>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</si>
  <si>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</si>
  <si>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</si>
  <si>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</si>
  <si>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</si>
  <si>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</si>
  <si>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</si>
  <si>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</si>
  <si>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</si>
  <si>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</si>
  <si>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</si>
  <si>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</si>
  <si>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</si>
  <si>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</si>
  <si>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</si>
  <si>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</si>
  <si>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</si>
  <si>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</si>
  <si>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</si>
  <si>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</si>
  <si>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</si>
  <si>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</si>
  <si>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</si>
  <si>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</si>
  <si>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</si>
  <si>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</si>
  <si>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</si>
  <si>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</si>
  <si>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</si>
  <si>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</si>
  <si>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</si>
  <si>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</si>
  <si>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</si>
  <si>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</si>
  <si>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</si>
  <si>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</si>
  <si>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</si>
  <si>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</si>
  <si>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</si>
  <si>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</si>
  <si>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</si>
  <si>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</si>
  <si>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</si>
  <si>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</si>
  <si>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</si>
  <si>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</si>
  <si>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</si>
  <si>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</si>
  <si>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</si>
  <si>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</si>
  <si>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</si>
  <si>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</si>
  <si>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</si>
  <si>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</si>
  <si>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</si>
  <si>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</si>
  <si>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</si>
  <si>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</si>
  <si>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</si>
  <si>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</si>
  <si>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</si>
  <si>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</si>
  <si>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</si>
  <si>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</si>
  <si>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</si>
  <si>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</si>
  <si>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</si>
  <si>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</si>
  <si>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</si>
  <si>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</si>
  <si>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</si>
  <si>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</si>
  <si>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</si>
  <si>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</si>
  <si>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</si>
  <si>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</si>
  <si>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</si>
  <si>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</si>
  <si>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</si>
  <si>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</si>
  <si>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</si>
  <si>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</si>
  <si>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</si>
  <si>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</si>
  <si>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</si>
  <si>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</si>
  <si>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</si>
  <si>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</si>
  <si>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</si>
  <si>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</si>
  <si>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</si>
  <si>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</si>
  <si>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</si>
  <si>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</si>
  <si>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</si>
  <si>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</si>
  <si>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</si>
  <si>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</si>
  <si>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</si>
  <si>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</si>
  <si>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</si>
  <si>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</si>
  <si>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</si>
  <si>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</si>
  <si>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</si>
  <si>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</si>
  <si>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</si>
  <si>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</si>
  <si>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</si>
  <si>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</si>
  <si>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</si>
  <si>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</si>
  <si>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</si>
  <si>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</si>
  <si>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</si>
  <si>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</si>
  <si>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</si>
  <si>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</si>
  <si>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</si>
  <si>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</si>
  <si>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</si>
  <si>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</si>
  <si>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</si>
  <si>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</si>
  <si>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</si>
  <si>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</si>
  <si>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</si>
  <si>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</si>
  <si>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</si>
  <si>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</si>
  <si>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</si>
  <si>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</si>
  <si>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</si>
  <si>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</si>
  <si>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</si>
  <si>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</si>
  <si>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</si>
  <si>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</si>
  <si>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</si>
  <si>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</si>
  <si>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</si>
  <si>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</si>
  <si>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</si>
  <si>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</si>
  <si>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</si>
  <si>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</si>
  <si>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</si>
  <si>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</si>
  <si>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</si>
  <si>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</si>
  <si>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</si>
  <si>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</si>
  <si>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</si>
  <si>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</si>
  <si>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</si>
  <si>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</si>
  <si>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</si>
  <si>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</si>
  <si>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</si>
  <si>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</si>
  <si>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</si>
  <si>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</si>
  <si>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</si>
  <si>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</si>
  <si>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</si>
  <si>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</si>
  <si>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</si>
  <si>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</si>
  <si>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</si>
  <si>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</si>
  <si>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</si>
  <si>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</si>
  <si>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</si>
  <si>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</si>
  <si>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</si>
  <si>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</si>
  <si>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</si>
  <si>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</si>
  <si>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</si>
  <si>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</si>
  <si>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</si>
  <si>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</si>
  <si>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</si>
  <si>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</si>
  <si>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</si>
  <si>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</si>
  <si>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</si>
  <si>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</si>
  <si>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</si>
  <si>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</si>
  <si>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</si>
  <si>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</si>
  <si>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</si>
  <si>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</si>
  <si>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</si>
  <si>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</si>
  <si>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</si>
  <si>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</si>
  <si>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</si>
  <si>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</si>
  <si>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</si>
  <si>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</si>
  <si>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</si>
  <si>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</si>
  <si>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</si>
  <si>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</si>
  <si>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</si>
  <si>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</si>
  <si>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</si>
  <si>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</si>
  <si>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</si>
  <si>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</si>
  <si>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</si>
  <si>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</si>
  <si>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</si>
  <si>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</si>
  <si>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</si>
  <si>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</si>
  <si>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</si>
  <si>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</si>
  <si>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</si>
  <si>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</si>
  <si>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</si>
  <si>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</si>
  <si>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</si>
  <si>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</si>
  <si>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</si>
  <si>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</si>
  <si>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</si>
  <si>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</si>
  <si>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</si>
  <si>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</si>
  <si>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</si>
  <si>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</si>
  <si>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</si>
  <si>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</si>
  <si>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</si>
  <si>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</si>
  <si>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</si>
  <si>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</si>
  <si>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</si>
  <si>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</si>
  <si>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</si>
  <si>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</si>
  <si>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</si>
  <si>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</si>
  <si>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</si>
  <si>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</si>
  <si>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</si>
  <si>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</si>
  <si>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</si>
  <si>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</si>
  <si>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</si>
  <si>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</si>
  <si>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</si>
  <si>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</si>
  <si>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</si>
  <si>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</si>
  <si>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</si>
  <si>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</si>
  <si>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</si>
  <si>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</si>
  <si>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</si>
  <si>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</si>
  <si>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</si>
  <si>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</si>
  <si>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</si>
  <si>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</si>
  <si>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</si>
  <si>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</si>
  <si>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</si>
  <si>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</si>
  <si>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</si>
  <si>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</si>
  <si>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</si>
  <si>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</si>
  <si>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</si>
  <si>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</si>
  <si>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</si>
  <si>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</si>
  <si>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</si>
  <si>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</si>
  <si>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</si>
  <si>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</si>
  <si>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</si>
  <si>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</si>
  <si>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</si>
  <si>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</si>
  <si>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</si>
  <si>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</si>
  <si>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</si>
  <si>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</si>
  <si>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</si>
  <si>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</si>
  <si>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</si>
  <si>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</si>
  <si>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</si>
  <si>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</si>
  <si>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</si>
  <si>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</si>
  <si>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</si>
  <si>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</si>
  <si>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</si>
  <si>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</si>
  <si>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</si>
  <si>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</si>
  <si>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</si>
  <si>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</si>
  <si>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</si>
  <si>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</si>
  <si>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</si>
  <si>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</si>
  <si>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</si>
  <si>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</si>
  <si>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</si>
  <si>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</si>
  <si>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</si>
  <si>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</si>
  <si>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</si>
  <si>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</si>
  <si>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</si>
  <si>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</si>
  <si>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</si>
  <si>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</si>
  <si>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</si>
  <si>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</si>
  <si>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</si>
  <si>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</si>
  <si>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</si>
  <si>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</si>
  <si>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</si>
  <si>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</si>
  <si>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</si>
  <si>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</si>
  <si>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</si>
  <si>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</si>
  <si>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</si>
  <si>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</si>
  <si>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</si>
  <si>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</si>
  <si>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</si>
  <si>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</si>
  <si>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</si>
  <si>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</si>
  <si>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</si>
  <si>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</si>
  <si>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</si>
  <si>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</si>
  <si>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</si>
  <si>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</si>
  <si>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</si>
  <si>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</si>
  <si>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</si>
  <si>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</si>
  <si>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</si>
  <si>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</si>
  <si>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</si>
  <si>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</si>
  <si>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</si>
  <si>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</si>
  <si>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</si>
  <si>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</si>
  <si>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</si>
  <si>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</si>
  <si>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</si>
  <si>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</si>
  <si>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</si>
  <si>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</si>
  <si>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</si>
  <si>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</si>
  <si>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</si>
  <si>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</si>
  <si>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</si>
  <si>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</si>
  <si>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</si>
  <si>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</si>
  <si>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</si>
  <si>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</si>
  <si>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</si>
  <si>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</si>
  <si>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</si>
  <si>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</si>
  <si>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</si>
  <si>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</si>
  <si>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</si>
  <si>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</si>
  <si>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</si>
  <si>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</si>
  <si>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</si>
  <si>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</si>
  <si>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</si>
  <si>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</si>
  <si>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</si>
  <si>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</si>
  <si>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</si>
  <si>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</si>
  <si>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</si>
  <si>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</si>
  <si>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</si>
  <si>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</si>
  <si>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</si>
  <si>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</si>
  <si>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</si>
  <si>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</si>
  <si>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</si>
  <si>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</si>
  <si>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</si>
  <si>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</si>
  <si>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</si>
  <si>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</si>
  <si>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</si>
  <si>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</si>
  <si>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</si>
  <si>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</si>
  <si>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</si>
  <si>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</si>
  <si>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</si>
  <si>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</si>
  <si>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</si>
  <si>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</si>
  <si>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</si>
  <si>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</si>
  <si>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</si>
  <si>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</si>
  <si>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</si>
  <si>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</si>
  <si>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</si>
  <si>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</si>
  <si>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</si>
  <si>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</si>
  <si>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</si>
  <si>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</si>
  <si>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</si>
  <si>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</si>
  <si>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</si>
  <si>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</si>
  <si>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</si>
  <si>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</si>
  <si>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</si>
  <si>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</si>
  <si>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</si>
  <si>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</si>
  <si>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</si>
  <si>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</si>
  <si>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</si>
  <si>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</si>
  <si>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</si>
  <si>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</si>
  <si>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</si>
  <si>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</si>
  <si>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</si>
  <si>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</si>
  <si>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</si>
  <si>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</si>
  <si>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</si>
  <si>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</si>
  <si>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</si>
  <si>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</si>
  <si>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</si>
  <si>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</si>
  <si>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</si>
  <si>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</si>
  <si>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</si>
  <si>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</si>
  <si>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</si>
  <si>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</si>
  <si>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</si>
  <si>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</si>
  <si>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</si>
  <si>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</si>
  <si>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</si>
  <si>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</si>
  <si>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</si>
  <si>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</si>
  <si>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</si>
  <si>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</si>
  <si>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</si>
  <si>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</si>
  <si>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</si>
  <si>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</si>
  <si>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</si>
  <si>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</si>
  <si>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</si>
  <si>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</si>
  <si>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</si>
  <si>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</si>
  <si>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</si>
  <si>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</si>
  <si>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</si>
  <si>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</si>
  <si>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</si>
  <si>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</si>
  <si>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</si>
  <si>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</si>
  <si>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</si>
  <si>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</si>
  <si>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</si>
  <si>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</si>
  <si>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</si>
  <si>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</si>
  <si>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</si>
  <si>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</si>
  <si>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</si>
  <si>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</si>
  <si>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</si>
  <si>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</si>
  <si>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</si>
  <si>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</si>
  <si>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</si>
  <si>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</si>
  <si>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</si>
  <si>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</si>
  <si>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</si>
  <si>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</si>
  <si>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</si>
  <si>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</si>
  <si>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</si>
  <si>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</si>
  <si>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</si>
  <si>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</si>
  <si>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</si>
  <si>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</si>
  <si>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</si>
  <si>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</si>
  <si>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</si>
  <si>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</si>
  <si>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</si>
  <si>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</si>
  <si>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</si>
  <si>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</si>
  <si>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</si>
  <si>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</si>
  <si>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</si>
  <si>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</si>
  <si>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</si>
  <si>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</si>
  <si>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</si>
  <si>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</si>
  <si>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</si>
  <si>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</si>
  <si>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</si>
  <si>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</si>
  <si>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</si>
  <si>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</si>
  <si>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</si>
  <si>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</si>
  <si>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</si>
  <si>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</si>
  <si>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</si>
  <si>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</si>
  <si>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</si>
  <si>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</si>
  <si>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</si>
  <si>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</si>
  <si>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</si>
  <si>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</si>
  <si>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</si>
  <si>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</si>
  <si>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</si>
  <si>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</si>
  <si>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</si>
  <si>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</si>
  <si>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</si>
  <si>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</si>
  <si>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</si>
  <si>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</si>
  <si>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</si>
  <si>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</si>
  <si>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</si>
  <si>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</si>
  <si>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</si>
  <si>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</si>
  <si>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</si>
  <si>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</si>
  <si>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</si>
  <si>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</si>
  <si>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</si>
  <si>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</si>
  <si>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</si>
  <si>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</si>
  <si>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</si>
  <si>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</si>
  <si>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</si>
  <si>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</si>
  <si>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</si>
  <si>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</si>
  <si>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</si>
  <si>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</si>
  <si>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</si>
  <si>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</si>
  <si>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</si>
  <si>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</si>
  <si>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</si>
  <si>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</si>
  <si>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</si>
  <si>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</si>
  <si>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</si>
  <si>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</si>
  <si>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</si>
  <si>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</si>
  <si>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</si>
  <si>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</si>
  <si>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</si>
  <si>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</si>
  <si>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</si>
  <si>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</si>
  <si>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</si>
  <si>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</si>
  <si>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</si>
  <si>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</si>
  <si>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</si>
  <si>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</si>
  <si>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</si>
  <si>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</si>
  <si>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</si>
  <si>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</si>
  <si>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</si>
  <si>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</si>
  <si>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</si>
  <si>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</si>
  <si>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</si>
  <si>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</si>
  <si>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</si>
  <si>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</si>
  <si>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</si>
  <si>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</si>
  <si>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</si>
  <si>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</si>
  <si>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</si>
  <si>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</si>
  <si>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</si>
  <si>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</si>
  <si>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</si>
  <si>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</si>
  <si>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</si>
  <si>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</si>
  <si>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</si>
  <si>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</si>
  <si>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</si>
  <si>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</si>
  <si>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</si>
  <si>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</si>
  <si>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</si>
  <si>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</si>
  <si>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</si>
  <si>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</si>
  <si>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</si>
  <si>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</si>
  <si>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</si>
  <si>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</si>
  <si>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</si>
  <si>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</si>
  <si>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</si>
  <si>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</si>
  <si>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</si>
  <si>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</si>
  <si>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</si>
  <si>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</si>
  <si>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</si>
  <si>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</si>
  <si>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</si>
  <si>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</si>
  <si>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</si>
  <si>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</si>
  <si>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</si>
  <si>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</si>
  <si>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</si>
  <si>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</si>
  <si>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</si>
  <si>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</si>
  <si>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</si>
  <si>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</si>
  <si>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</si>
  <si>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</si>
  <si>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</si>
  <si>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</si>
  <si>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</si>
  <si>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</si>
  <si>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</si>
  <si>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</si>
  <si>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</si>
  <si>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</si>
  <si>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</si>
  <si>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</si>
  <si>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</si>
  <si>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</si>
  <si>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</si>
  <si>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</si>
  <si>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</si>
  <si>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</si>
  <si>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</si>
  <si>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</si>
  <si>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</si>
  <si>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</si>
  <si>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</si>
  <si>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</si>
  <si>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</si>
  <si>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</si>
  <si>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</si>
  <si>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</si>
  <si>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</si>
  <si>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</si>
  <si>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</si>
  <si>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</si>
  <si>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</si>
  <si>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</si>
  <si>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</si>
  <si>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</si>
  <si>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</si>
  <si>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</si>
  <si>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</si>
  <si>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</si>
  <si>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</si>
  <si>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</si>
  <si>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</si>
  <si>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</si>
  <si>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</si>
  <si>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</si>
  <si>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</si>
  <si>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</si>
  <si>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</si>
  <si>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</si>
  <si>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</si>
  <si>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</si>
  <si>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</si>
  <si>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</si>
  <si>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</si>
  <si>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</si>
  <si>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</si>
  <si>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</si>
  <si>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</si>
  <si>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</si>
  <si>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</si>
  <si>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</si>
  <si>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</si>
  <si>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</si>
  <si>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</si>
  <si>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</si>
  <si>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</si>
  <si>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9 европалет,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</si>
</sst>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9" sqref="AA379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977</v>
      </c>
      <c r="I5" s="947"/>
      <c r="J5" s="947"/>
      <c r="K5" s="947"/>
      <c r="L5" s="947"/>
      <c r="M5" s="756"/>
      <c r="N5" s="58"/>
      <c r="P5" s="24" t="s">
        <v>10</v>
      </c>
      <c r="Q5" s="1023">
        <v>45769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Вторник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4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/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19</v>
      </c>
      <c r="Q8" s="818">
        <v>0.41666666666666669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60"/>
      <c r="R10" s="861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5"/>
      <c r="R11" s="806"/>
      <c r="U11" s="24" t="s">
        <v>26</v>
      </c>
      <c r="V11" s="968" t="s">
        <v>27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29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31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34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35</v>
      </c>
      <c r="B17" s="692" t="s">
        <v>36</v>
      </c>
      <c r="C17" s="831" t="s">
        <v>37</v>
      </c>
      <c r="D17" s="692" t="s">
        <v>38</v>
      </c>
      <c r="E17" s="782"/>
      <c r="F17" s="692" t="s">
        <v>39</v>
      </c>
      <c r="G17" s="692" t="s">
        <v>40</v>
      </c>
      <c r="H17" s="692" t="s">
        <v>41</v>
      </c>
      <c r="I17" s="692" t="s">
        <v>42</v>
      </c>
      <c r="J17" s="692" t="s">
        <v>43</v>
      </c>
      <c r="K17" s="692" t="s">
        <v>44</v>
      </c>
      <c r="L17" s="692" t="s">
        <v>45</v>
      </c>
      <c r="M17" s="692" t="s">
        <v>46</v>
      </c>
      <c r="N17" s="692" t="s">
        <v>47</v>
      </c>
      <c r="O17" s="692" t="s">
        <v>48</v>
      </c>
      <c r="P17" s="692" t="s">
        <v>49</v>
      </c>
      <c r="Q17" s="781"/>
      <c r="R17" s="781"/>
      <c r="S17" s="781"/>
      <c r="T17" s="782"/>
      <c r="U17" s="1040" t="s">
        <v>50</v>
      </c>
      <c r="V17" s="809"/>
      <c r="W17" s="692" t="s">
        <v>51</v>
      </c>
      <c r="X17" s="692" t="s">
        <v>52</v>
      </c>
      <c r="Y17" s="1041" t="s">
        <v>53</v>
      </c>
      <c r="Z17" s="944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4"/>
      <c r="AF17" s="1005"/>
      <c r="AG17" s="66"/>
      <c r="BD17" s="65" t="s">
        <v>59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0</v>
      </c>
      <c r="Y41" s="667">
        <f>IFERROR(Y37/H37,"0")+IFERROR(Y38/H38,"0")+IFERROR(Y39/H39,"0")+IFERROR(Y40/H40,"0")</f>
        <v>0</v>
      </c>
      <c r="Z41" s="667">
        <f>IFERROR(IF(Z37="",0,Z37),"0")+IFERROR(IF(Z38="",0,Z38),"0")+IFERROR(IF(Z39="",0,Z39),"0")+IFERROR(IF(Z40="",0,Z40),"0")</f>
        <v>0</v>
      </c>
      <c r="AA41" s="668"/>
      <c r="AB41" s="668"/>
      <c r="AC41" s="668"/>
    </row>
    <row r="42" spans="1:68" hidden="1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0</v>
      </c>
      <c r="Y42" s="667">
        <f>IFERROR(SUM(Y37:Y40),"0")</f>
        <v>0</v>
      </c>
      <c r="Z42" s="37"/>
      <c r="AA42" s="668"/>
      <c r="AB42" s="668"/>
      <c r="AC42" s="668"/>
    </row>
    <row r="43" spans="1:68" ht="14.25" hidden="1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0</v>
      </c>
      <c r="Y55" s="667">
        <f>IFERROR(Y49/H49,"0")+IFERROR(Y50/H50,"0")+IFERROR(Y51/H51,"0")+IFERROR(Y52/H52,"0")+IFERROR(Y53/H53,"0")+IFERROR(Y54/H54,"0")</f>
        <v>0</v>
      </c>
      <c r="Z55" s="667">
        <f>IFERROR(IF(Z49="",0,Z49),"0")+IFERROR(IF(Z50="",0,Z50),"0")+IFERROR(IF(Z51="",0,Z51),"0")+IFERROR(IF(Z52="",0,Z52),"0")+IFERROR(IF(Z53="",0,Z53),"0")+IFERROR(IF(Z54="",0,Z54),"0")</f>
        <v>0</v>
      </c>
      <c r="AA55" s="668"/>
      <c r="AB55" s="668"/>
      <c r="AC55" s="668"/>
    </row>
    <row r="56" spans="1:68" hidden="1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0</v>
      </c>
      <c r="Y56" s="667">
        <f>IFERROR(SUM(Y49:Y54),"0")</f>
        <v>0</v>
      </c>
      <c r="Z56" s="37"/>
      <c r="AA56" s="668"/>
      <c r="AB56" s="668"/>
      <c r="AC56" s="668"/>
    </row>
    <row r="57" spans="1:68" ht="14.25" hidden="1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hidden="1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hidden="1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hidden="1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hidden="1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7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7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4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8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hidden="1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hidden="1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hidden="1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20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97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799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7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hidden="1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2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hidden="1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2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21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6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hidden="1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hidden="1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700</v>
      </c>
      <c r="Y379" s="666">
        <f t="shared" si="58"/>
        <v>705</v>
      </c>
      <c r="Z379" s="36">
        <f>IFERROR(IF(Y379=0,"",ROUNDUP(Y379/H379,0)*0.02175),"")</f>
        <v>1.0222499999999999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722.4</v>
      </c>
      <c r="BN379" s="64">
        <f t="shared" si="60"/>
        <v>727.56</v>
      </c>
      <c r="BO379" s="64">
        <f t="shared" si="61"/>
        <v>0.9722222222222221</v>
      </c>
      <c r="BP379" s="64">
        <f t="shared" si="62"/>
        <v>0.97916666666666663</v>
      </c>
    </row>
    <row r="380" spans="1:68" ht="27" hidden="1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46.666666666666664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47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1.0222499999999999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700</v>
      </c>
      <c r="Y386" s="667">
        <f>IFERROR(SUM(Y375:Y384),"0")</f>
        <v>705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800</v>
      </c>
      <c r="Y388" s="666">
        <f>IFERROR(IF(X388="",0,CEILING((X388/$H388),1)*$H388),"")</f>
        <v>810</v>
      </c>
      <c r="Z388" s="36">
        <f>IFERROR(IF(Y388=0,"",ROUNDUP(Y388/H388,0)*0.02175),"")</f>
        <v>1.1744999999999999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825.6</v>
      </c>
      <c r="BN388" s="64">
        <f>IFERROR(Y388*I388/H388,"0")</f>
        <v>835.92000000000007</v>
      </c>
      <c r="BO388" s="64">
        <f>IFERROR(1/J388*(X388/H388),"0")</f>
        <v>1.1111111111111112</v>
      </c>
      <c r="BP388" s="64">
        <f>IFERROR(1/J388*(Y388/H388),"0")</f>
        <v>1.125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53.333333333333336</v>
      </c>
      <c r="Y390" s="667">
        <f>IFERROR(Y388/H388,"0")+IFERROR(Y389/H389,"0")</f>
        <v>54</v>
      </c>
      <c r="Z390" s="667">
        <f>IFERROR(IF(Z388="",0,Z388),"0")+IFERROR(IF(Z389="",0,Z389),"0")</f>
        <v>1.1744999999999999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800</v>
      </c>
      <c r="Y391" s="667">
        <f>IFERROR(SUM(Y388:Y389),"0")</f>
        <v>810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9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1500</v>
      </c>
      <c r="Y416" s="666">
        <f>IFERROR(IF(X416="",0,CEILING((X416/$H416),1)*$H416),"")</f>
        <v>1503</v>
      </c>
      <c r="Z416" s="36">
        <f>IFERROR(IF(Y416=0,"",ROUNDUP(Y416/H416,0)*0.01898),"")</f>
        <v>3.1696599999999999</v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1586.5</v>
      </c>
      <c r="BN416" s="64">
        <f>IFERROR(Y416*I416/H416,"0")</f>
        <v>1589.673</v>
      </c>
      <c r="BO416" s="64">
        <f>IFERROR(1/J416*(X416/H416),"0")</f>
        <v>2.6041666666666665</v>
      </c>
      <c r="BP416" s="64">
        <f>IFERROR(1/J416*(Y416/H416),"0")</f>
        <v>2.609375</v>
      </c>
    </row>
    <row r="417" spans="1:68" ht="37.5" hidden="1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1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166.66666666666666</v>
      </c>
      <c r="Y421" s="667">
        <f>IFERROR(Y416/H416,"0")+IFERROR(Y417/H417,"0")+IFERROR(Y418/H418,"0")+IFERROR(Y419/H419,"0")+IFERROR(Y420/H420,"0")</f>
        <v>167</v>
      </c>
      <c r="Z421" s="667">
        <f>IFERROR(IF(Z416="",0,Z416),"0")+IFERROR(IF(Z417="",0,Z417),"0")+IFERROR(IF(Z418="",0,Z418),"0")+IFERROR(IF(Z419="",0,Z419),"0")+IFERROR(IF(Z420="",0,Z420),"0")</f>
        <v>3.1696599999999999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1500</v>
      </c>
      <c r="Y422" s="667">
        <f>IFERROR(SUM(Y416:Y420),"0")</f>
        <v>1503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90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3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3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1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8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8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0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hidden="1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hidden="1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6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hidden="1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8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hidden="1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1000</v>
      </c>
      <c r="Y482" s="666">
        <f t="shared" si="69"/>
        <v>1003.2</v>
      </c>
      <c r="Z482" s="36">
        <f t="shared" si="70"/>
        <v>2.2724000000000002</v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1068.1818181818182</v>
      </c>
      <c r="BN482" s="64">
        <f t="shared" si="72"/>
        <v>1071.5999999999999</v>
      </c>
      <c r="BO482" s="64">
        <f t="shared" si="73"/>
        <v>1.821095571095571</v>
      </c>
      <c r="BP482" s="64">
        <f t="shared" si="74"/>
        <v>1.8269230769230771</v>
      </c>
    </row>
    <row r="483" spans="1:68" ht="16.5" hidden="1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1000</v>
      </c>
      <c r="Y484" s="666">
        <f t="shared" si="69"/>
        <v>1003.2</v>
      </c>
      <c r="Z484" s="36">
        <f t="shared" si="70"/>
        <v>2.2724000000000002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1068.1818181818182</v>
      </c>
      <c r="BN484" s="64">
        <f t="shared" si="72"/>
        <v>1071.5999999999999</v>
      </c>
      <c r="BO484" s="64">
        <f t="shared" si="73"/>
        <v>1.821095571095571</v>
      </c>
      <c r="BP484" s="64">
        <f t="shared" si="74"/>
        <v>1.8269230769230771</v>
      </c>
    </row>
    <row r="485" spans="1:68" ht="16.5" hidden="1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5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5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8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378.78787878787875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380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4.5448000000000004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2000</v>
      </c>
      <c r="Y497" s="667">
        <f>IFERROR(SUM(Y480:Y495),"0")</f>
        <v>2006.4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hidden="1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00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9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hidden="1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9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hidden="1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51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hidden="1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7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hidden="1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11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17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42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5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7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idden="1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hidden="1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hidden="1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2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52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45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6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90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52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27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24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6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7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4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4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7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46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7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9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20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53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30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4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71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83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797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6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938</v>
      </c>
      <c r="Q592" s="808"/>
      <c r="R592" s="808"/>
      <c r="S592" s="808"/>
      <c r="T592" s="808"/>
      <c r="U592" s="808"/>
      <c r="V592" s="809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5000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5024.3999999999996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939</v>
      </c>
      <c r="Q593" s="808"/>
      <c r="R593" s="808"/>
      <c r="S593" s="808"/>
      <c r="T593" s="808"/>
      <c r="U593" s="808"/>
      <c r="V593" s="809"/>
      <c r="W593" s="37" t="s">
        <v>68</v>
      </c>
      <c r="X593" s="667">
        <f>IFERROR(SUM(BM22:BM589),"0")</f>
        <v>5270.863636363636</v>
      </c>
      <c r="Y593" s="667">
        <f>IFERROR(SUM(BN22:BN589),"0")</f>
        <v>5296.353000000001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940</v>
      </c>
      <c r="Q594" s="808"/>
      <c r="R594" s="808"/>
      <c r="S594" s="808"/>
      <c r="T594" s="808"/>
      <c r="U594" s="808"/>
      <c r="V594" s="809"/>
      <c r="W594" s="37" t="s">
        <v>941</v>
      </c>
      <c r="X594" s="38">
        <f>ROUNDUP(SUM(BO22:BO589),0)</f>
        <v>9</v>
      </c>
      <c r="Y594" s="38">
        <f>ROUNDUP(SUM(BP22:BP589),0)</f>
        <v>9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942</v>
      </c>
      <c r="Q595" s="808"/>
      <c r="R595" s="808"/>
      <c r="S595" s="808"/>
      <c r="T595" s="808"/>
      <c r="U595" s="808"/>
      <c r="V595" s="809"/>
      <c r="W595" s="37" t="s">
        <v>68</v>
      </c>
      <c r="X595" s="667">
        <f>GrossWeightTotal+PalletQtyTotal*25</f>
        <v>5495.863636363636</v>
      </c>
      <c r="Y595" s="667">
        <f>GrossWeightTotalR+PalletQtyTotalR*25</f>
        <v>5521.353000000001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943</v>
      </c>
      <c r="Q596" s="808"/>
      <c r="R596" s="808"/>
      <c r="S596" s="808"/>
      <c r="T596" s="808"/>
      <c r="U596" s="808"/>
      <c r="V596" s="809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645.45454545454538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648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944</v>
      </c>
      <c r="Q597" s="808"/>
      <c r="R597" s="808"/>
      <c r="S597" s="808"/>
      <c r="T597" s="808"/>
      <c r="U597" s="808"/>
      <c r="V597" s="809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9.9112100000000005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700"/>
      <c r="E599" s="700"/>
      <c r="F599" s="700"/>
      <c r="G599" s="700"/>
      <c r="H599" s="701"/>
      <c r="I599" s="675" t="s">
        <v>283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573</v>
      </c>
      <c r="X599" s="701"/>
      <c r="Y599" s="675" t="s">
        <v>651</v>
      </c>
      <c r="Z599" s="700"/>
      <c r="AA599" s="700"/>
      <c r="AB599" s="701"/>
      <c r="AC599" s="662" t="s">
        <v>726</v>
      </c>
      <c r="AD599" s="675" t="s">
        <v>828</v>
      </c>
      <c r="AE599" s="701"/>
      <c r="AF599" s="663"/>
    </row>
    <row r="600" spans="1:32" ht="14.25" customHeight="1" thickTop="1" x14ac:dyDescent="0.2">
      <c r="A600" s="992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1515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1503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2006.4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66,67"/>
        <filter val="2 000,00"/>
        <filter val="378,79"/>
        <filter val="46,67"/>
        <filter val="5 000,00"/>
        <filter val="5 270,86"/>
        <filter val="5 495,86"/>
        <filter val="53,33"/>
        <filter val="645,45"/>
        <filter val="700,00"/>
        <filter val="800,00"/>
        <filter val="9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2025-04-18T12:11:34Z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