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D479C0-040A-440D-A33E-7C6648725D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N280" i="1"/>
  <c r="BM280" i="1"/>
  <c r="Z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Y209" i="1" s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15" i="1" l="1"/>
  <c r="BN115" i="1"/>
  <c r="Z115" i="1"/>
  <c r="BP123" i="1"/>
  <c r="BN123" i="1"/>
  <c r="Z123" i="1"/>
  <c r="BP143" i="1"/>
  <c r="BN143" i="1"/>
  <c r="Z143" i="1"/>
  <c r="BP204" i="1"/>
  <c r="BN204" i="1"/>
  <c r="Z204" i="1"/>
  <c r="BP224" i="1"/>
  <c r="BN224" i="1"/>
  <c r="Z224" i="1"/>
  <c r="BP242" i="1"/>
  <c r="BN242" i="1"/>
  <c r="Z242" i="1"/>
  <c r="BP321" i="1"/>
  <c r="BN321" i="1"/>
  <c r="Z321" i="1"/>
  <c r="BP345" i="1"/>
  <c r="BN345" i="1"/>
  <c r="Z345" i="1"/>
  <c r="BP384" i="1"/>
  <c r="BN384" i="1"/>
  <c r="Z384" i="1"/>
  <c r="BP437" i="1"/>
  <c r="BN437" i="1"/>
  <c r="Z437" i="1"/>
  <c r="Y504" i="1"/>
  <c r="Y503" i="1"/>
  <c r="BP499" i="1"/>
  <c r="BN499" i="1"/>
  <c r="Z499" i="1"/>
  <c r="BP501" i="1"/>
  <c r="BN501" i="1"/>
  <c r="Z501" i="1"/>
  <c r="BP513" i="1"/>
  <c r="BN513" i="1"/>
  <c r="Z513" i="1"/>
  <c r="Z40" i="1"/>
  <c r="BN40" i="1"/>
  <c r="Z59" i="1"/>
  <c r="BN59" i="1"/>
  <c r="Z71" i="1"/>
  <c r="BN71" i="1"/>
  <c r="Z88" i="1"/>
  <c r="BN88" i="1"/>
  <c r="Z93" i="1"/>
  <c r="BN93" i="1"/>
  <c r="Z100" i="1"/>
  <c r="BN100" i="1"/>
  <c r="BP120" i="1"/>
  <c r="BN120" i="1"/>
  <c r="Z120" i="1"/>
  <c r="BP124" i="1"/>
  <c r="BN124" i="1"/>
  <c r="Z124" i="1"/>
  <c r="Y166" i="1"/>
  <c r="Y165" i="1"/>
  <c r="BP164" i="1"/>
  <c r="BN164" i="1"/>
  <c r="Z164" i="1"/>
  <c r="Z165" i="1" s="1"/>
  <c r="Y172" i="1"/>
  <c r="Z170" i="1"/>
  <c r="Z171" i="1" s="1"/>
  <c r="BP214" i="1"/>
  <c r="BN214" i="1"/>
  <c r="Z214" i="1"/>
  <c r="BP237" i="1"/>
  <c r="BN237" i="1"/>
  <c r="Z237" i="1"/>
  <c r="BP271" i="1"/>
  <c r="BN271" i="1"/>
  <c r="Z271" i="1"/>
  <c r="BP335" i="1"/>
  <c r="BN335" i="1"/>
  <c r="Z335" i="1"/>
  <c r="BP376" i="1"/>
  <c r="BN376" i="1"/>
  <c r="Z376" i="1"/>
  <c r="BP404" i="1"/>
  <c r="BN404" i="1"/>
  <c r="Z404" i="1"/>
  <c r="BP438" i="1"/>
  <c r="BN438" i="1"/>
  <c r="Z438" i="1"/>
  <c r="BP500" i="1"/>
  <c r="BN500" i="1"/>
  <c r="Z500" i="1"/>
  <c r="BP502" i="1"/>
  <c r="BN502" i="1"/>
  <c r="Z502" i="1"/>
  <c r="BP512" i="1"/>
  <c r="BN512" i="1"/>
  <c r="Z512" i="1"/>
  <c r="BP516" i="1"/>
  <c r="BN516" i="1"/>
  <c r="Z516" i="1"/>
  <c r="F602" i="1"/>
  <c r="J9" i="1"/>
  <c r="T602" i="1"/>
  <c r="Y315" i="1"/>
  <c r="BP314" i="1"/>
  <c r="BN314" i="1"/>
  <c r="Z314" i="1"/>
  <c r="Z315" i="1" s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5" i="1"/>
  <c r="BN435" i="1"/>
  <c r="Z435" i="1"/>
  <c r="AA602" i="1"/>
  <c r="Y466" i="1"/>
  <c r="BP464" i="1"/>
  <c r="BN464" i="1"/>
  <c r="Z464" i="1"/>
  <c r="BP485" i="1"/>
  <c r="BN485" i="1"/>
  <c r="Z485" i="1"/>
  <c r="BP495" i="1"/>
  <c r="BN495" i="1"/>
  <c r="Z495" i="1"/>
  <c r="F9" i="1"/>
  <c r="F10" i="1"/>
  <c r="Z22" i="1"/>
  <c r="BN22" i="1"/>
  <c r="X596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2" i="1"/>
  <c r="Y102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Y128" i="1"/>
  <c r="Z126" i="1"/>
  <c r="BN126" i="1"/>
  <c r="Z137" i="1"/>
  <c r="BN137" i="1"/>
  <c r="Z147" i="1"/>
  <c r="BN147" i="1"/>
  <c r="BP147" i="1"/>
  <c r="H602" i="1"/>
  <c r="Y162" i="1"/>
  <c r="Z160" i="1"/>
  <c r="BN160" i="1"/>
  <c r="I602" i="1"/>
  <c r="Z177" i="1"/>
  <c r="BN177" i="1"/>
  <c r="Z180" i="1"/>
  <c r="BN180" i="1"/>
  <c r="Z202" i="1"/>
  <c r="BN202" i="1"/>
  <c r="Z206" i="1"/>
  <c r="BN206" i="1"/>
  <c r="Z212" i="1"/>
  <c r="BN212" i="1"/>
  <c r="Z216" i="1"/>
  <c r="BN216" i="1"/>
  <c r="Z220" i="1"/>
  <c r="BN220" i="1"/>
  <c r="Z231" i="1"/>
  <c r="BN231" i="1"/>
  <c r="Z235" i="1"/>
  <c r="BN235" i="1"/>
  <c r="Z250" i="1"/>
  <c r="Z251" i="1" s="1"/>
  <c r="BN250" i="1"/>
  <c r="BP250" i="1"/>
  <c r="Y251" i="1"/>
  <c r="Z255" i="1"/>
  <c r="BN255" i="1"/>
  <c r="Z259" i="1"/>
  <c r="BN259" i="1"/>
  <c r="Z278" i="1"/>
  <c r="BN278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AB602" i="1"/>
  <c r="Y471" i="1"/>
  <c r="BP470" i="1"/>
  <c r="BN470" i="1"/>
  <c r="Z470" i="1"/>
  <c r="Z471" i="1" s="1"/>
  <c r="BN474" i="1"/>
  <c r="Z474" i="1"/>
  <c r="Z475" i="1" s="1"/>
  <c r="BP481" i="1"/>
  <c r="BN481" i="1"/>
  <c r="Z481" i="1"/>
  <c r="BP486" i="1"/>
  <c r="BN486" i="1"/>
  <c r="Z486" i="1"/>
  <c r="BP522" i="1"/>
  <c r="BN522" i="1"/>
  <c r="Z522" i="1"/>
  <c r="Y56" i="1"/>
  <c r="Y62" i="1"/>
  <c r="Y78" i="1"/>
  <c r="Y110" i="1"/>
  <c r="Y116" i="1"/>
  <c r="Y140" i="1"/>
  <c r="Y144" i="1"/>
  <c r="Y155" i="1"/>
  <c r="BP178" i="1"/>
  <c r="BN178" i="1"/>
  <c r="Z178" i="1"/>
  <c r="BP181" i="1"/>
  <c r="BN181" i="1"/>
  <c r="Z181" i="1"/>
  <c r="BP197" i="1"/>
  <c r="BN197" i="1"/>
  <c r="Z197" i="1"/>
  <c r="Z198" i="1" s="1"/>
  <c r="Y19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Y29" i="1"/>
  <c r="Y33" i="1"/>
  <c r="Y41" i="1"/>
  <c r="Y68" i="1"/>
  <c r="Y84" i="1"/>
  <c r="Y91" i="1"/>
  <c r="Y103" i="1"/>
  <c r="Y129" i="1"/>
  <c r="Y133" i="1"/>
  <c r="Y150" i="1"/>
  <c r="Y161" i="1"/>
  <c r="Y184" i="1"/>
  <c r="BP174" i="1"/>
  <c r="BN174" i="1"/>
  <c r="Z174" i="1"/>
  <c r="Y210" i="1"/>
  <c r="BP201" i="1"/>
  <c r="BN201" i="1"/>
  <c r="Z201" i="1"/>
  <c r="BP205" i="1"/>
  <c r="BN205" i="1"/>
  <c r="Z205" i="1"/>
  <c r="H9" i="1"/>
  <c r="B602" i="1"/>
  <c r="X594" i="1"/>
  <c r="X595" i="1" s="1"/>
  <c r="Z23" i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BP279" i="1"/>
  <c r="BN279" i="1"/>
  <c r="Z279" i="1"/>
  <c r="Y310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359" i="1" l="1"/>
  <c r="Z273" i="1"/>
  <c r="Z128" i="1"/>
  <c r="Z110" i="1"/>
  <c r="Z90" i="1"/>
  <c r="Z62" i="1"/>
  <c r="Z41" i="1"/>
  <c r="Z503" i="1"/>
  <c r="Z340" i="1"/>
  <c r="Z325" i="1"/>
  <c r="Z261" i="1"/>
  <c r="Z77" i="1"/>
  <c r="Z55" i="1"/>
  <c r="Y594" i="1"/>
  <c r="Y595" i="1" s="1"/>
  <c r="Z28" i="1"/>
  <c r="Z466" i="1"/>
  <c r="Z395" i="1"/>
  <c r="Z102" i="1"/>
  <c r="Y593" i="1"/>
  <c r="Z221" i="1"/>
  <c r="Z548" i="1"/>
  <c r="Z566" i="1"/>
  <c r="Z524" i="1"/>
  <c r="Z529" i="1"/>
  <c r="Z496" i="1"/>
  <c r="Z385" i="1"/>
  <c r="Z353" i="1"/>
  <c r="Z442" i="1"/>
  <c r="Z332" i="1"/>
  <c r="Z161" i="1"/>
  <c r="Z83" i="1"/>
  <c r="Y596" i="1"/>
  <c r="Z282" i="1"/>
  <c r="Z238" i="1"/>
  <c r="Z518" i="1"/>
  <c r="Z209" i="1"/>
  <c r="Z183" i="1"/>
  <c r="Y592" i="1"/>
  <c r="Z408" i="1"/>
  <c r="Z370" i="1"/>
  <c r="Z597" i="1" l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<sst xmlns="http://schemas.openxmlformats.org/spreadsheetml/2006/main" count="2726" uniqueCount="978">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</sst>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977</v>
      </c>
      <c r="I5" s="947"/>
      <c r="J5" s="947"/>
      <c r="K5" s="947"/>
      <c r="L5" s="947"/>
      <c r="M5" s="756"/>
      <c r="N5" s="58"/>
      <c r="P5" s="24" t="s">
        <v>10</v>
      </c>
      <c r="Q5" s="1023">
        <v>45768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4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/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19</v>
      </c>
      <c r="Q8" s="818">
        <v>0.45833333333333331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60"/>
      <c r="R10" s="861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5"/>
      <c r="R11" s="806"/>
      <c r="U11" s="24" t="s">
        <v>26</v>
      </c>
      <c r="V11" s="968" t="s">
        <v>27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29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31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34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35</v>
      </c>
      <c r="B17" s="692" t="s">
        <v>36</v>
      </c>
      <c r="C17" s="831" t="s">
        <v>37</v>
      </c>
      <c r="D17" s="692" t="s">
        <v>38</v>
      </c>
      <c r="E17" s="782"/>
      <c r="F17" s="692" t="s">
        <v>39</v>
      </c>
      <c r="G17" s="692" t="s">
        <v>40</v>
      </c>
      <c r="H17" s="692" t="s">
        <v>41</v>
      </c>
      <c r="I17" s="692" t="s">
        <v>42</v>
      </c>
      <c r="J17" s="692" t="s">
        <v>43</v>
      </c>
      <c r="K17" s="692" t="s">
        <v>44</v>
      </c>
      <c r="L17" s="692" t="s">
        <v>45</v>
      </c>
      <c r="M17" s="692" t="s">
        <v>46</v>
      </c>
      <c r="N17" s="692" t="s">
        <v>47</v>
      </c>
      <c r="O17" s="692" t="s">
        <v>48</v>
      </c>
      <c r="P17" s="692" t="s">
        <v>49</v>
      </c>
      <c r="Q17" s="781"/>
      <c r="R17" s="781"/>
      <c r="S17" s="781"/>
      <c r="T17" s="782"/>
      <c r="U17" s="1040" t="s">
        <v>50</v>
      </c>
      <c r="V17" s="809"/>
      <c r="W17" s="692" t="s">
        <v>51</v>
      </c>
      <c r="X17" s="692" t="s">
        <v>52</v>
      </c>
      <c r="Y17" s="1041" t="s">
        <v>53</v>
      </c>
      <c r="Z17" s="944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771</v>
      </c>
      <c r="Y37" s="666">
        <f>IFERROR(IF(X37="",0,CEILING((X37/$H37),1)*$H37),"")</f>
        <v>777.6</v>
      </c>
      <c r="Z37" s="36">
        <f>IFERROR(IF(Y37=0,"",ROUNDUP(Y37/H37,0)*0.01898),"")</f>
        <v>1.36656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802.05416666666656</v>
      </c>
      <c r="BN37" s="64">
        <f>IFERROR(Y37*I37/H37,"0")</f>
        <v>808.91999999999985</v>
      </c>
      <c r="BO37" s="64">
        <f>IFERROR(1/J37*(X37/H37),"0")</f>
        <v>1.1154513888888888</v>
      </c>
      <c r="BP37" s="64">
        <f>IFERROR(1/J37*(Y37/H37),"0")</f>
        <v>1.125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64</v>
      </c>
      <c r="Y39" s="666">
        <f>IFERROR(IF(X39="",0,CEILING((X39/$H39),1)*$H39),"")</f>
        <v>66.600000000000009</v>
      </c>
      <c r="Z39" s="36">
        <f>IFERROR(IF(Y39=0,"",ROUNDUP(Y39/H39,0)*0.00902),"")</f>
        <v>0.16236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67.632432432432438</v>
      </c>
      <c r="BN39" s="64">
        <f>IFERROR(Y39*I39/H39,"0")</f>
        <v>70.38000000000001</v>
      </c>
      <c r="BO39" s="64">
        <f>IFERROR(1/J39*(X39/H39),"0")</f>
        <v>0.13104013104013101</v>
      </c>
      <c r="BP39" s="64">
        <f>IFERROR(1/J39*(Y39/H39),"0")</f>
        <v>0.13636363636363635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88.686186186186177</v>
      </c>
      <c r="Y41" s="667">
        <f>IFERROR(Y37/H37,"0")+IFERROR(Y38/H38,"0")+IFERROR(Y39/H39,"0")+IFERROR(Y40/H40,"0")</f>
        <v>90</v>
      </c>
      <c r="Z41" s="667">
        <f>IFERROR(IF(Z37="",0,Z37),"0")+IFERROR(IF(Z38="",0,Z38),"0")+IFERROR(IF(Z39="",0,Z39),"0")+IFERROR(IF(Z40="",0,Z40),"0")</f>
        <v>1.5289200000000001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835</v>
      </c>
      <c r="Y42" s="667">
        <f>IFERROR(SUM(Y37:Y40),"0")</f>
        <v>844.2</v>
      </c>
      <c r="Z42" s="37"/>
      <c r="AA42" s="668"/>
      <c r="AB42" s="668"/>
      <c r="AC42" s="668"/>
    </row>
    <row r="43" spans="1:68" ht="14.25" hidden="1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191</v>
      </c>
      <c r="Y49" s="666">
        <f t="shared" ref="Y49:Y54" si="6">IFERROR(IF(X49="",0,CEILING((X49/$H49),1)*$H49),"")</f>
        <v>201.6</v>
      </c>
      <c r="Z49" s="36">
        <f>IFERROR(IF(Y49=0,"",ROUNDUP(Y49/H49,0)*0.01898),"")</f>
        <v>0.34164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198.41830357142857</v>
      </c>
      <c r="BN49" s="64">
        <f t="shared" ref="BN49:BN54" si="8">IFERROR(Y49*I49/H49,"0")</f>
        <v>209.43</v>
      </c>
      <c r="BO49" s="64">
        <f t="shared" ref="BO49:BO54" si="9">IFERROR(1/J49*(X49/H49),"0")</f>
        <v>0.2664620535714286</v>
      </c>
      <c r="BP49" s="64">
        <f t="shared" ref="BP49:BP54" si="10">IFERROR(1/J49*(Y49/H49),"0")</f>
        <v>0.28125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356</v>
      </c>
      <c r="Y50" s="666">
        <f t="shared" si="6"/>
        <v>356.40000000000003</v>
      </c>
      <c r="Z50" s="36">
        <f>IFERROR(IF(Y50=0,"",ROUNDUP(Y50/H50,0)*0.01898),"")</f>
        <v>0.62634000000000001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370.33888888888885</v>
      </c>
      <c r="BN50" s="64">
        <f t="shared" si="8"/>
        <v>370.755</v>
      </c>
      <c r="BO50" s="64">
        <f t="shared" si="9"/>
        <v>0.51504629629629628</v>
      </c>
      <c r="BP50" s="64">
        <f t="shared" si="10"/>
        <v>0.515625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192</v>
      </c>
      <c r="Y52" s="666">
        <f t="shared" si="6"/>
        <v>192</v>
      </c>
      <c r="Z52" s="36">
        <f>IFERROR(IF(Y52=0,"",ROUNDUP(Y52/H52,0)*0.00902),"")</f>
        <v>0.43296000000000001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202.07999999999998</v>
      </c>
      <c r="BN52" s="64">
        <f t="shared" si="8"/>
        <v>202.07999999999998</v>
      </c>
      <c r="BO52" s="64">
        <f t="shared" si="9"/>
        <v>0.36363636363636365</v>
      </c>
      <c r="BP52" s="64">
        <f t="shared" si="10"/>
        <v>0.36363636363636365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98.016534391534393</v>
      </c>
      <c r="Y55" s="667">
        <f>IFERROR(Y49/H49,"0")+IFERROR(Y50/H50,"0")+IFERROR(Y51/H51,"0")+IFERROR(Y52/H52,"0")+IFERROR(Y53/H53,"0")+IFERROR(Y54/H54,"0")</f>
        <v>99</v>
      </c>
      <c r="Z55" s="667">
        <f>IFERROR(IF(Z49="",0,Z49),"0")+IFERROR(IF(Z50="",0,Z50),"0")+IFERROR(IF(Z51="",0,Z51),"0")+IFERROR(IF(Z52="",0,Z52),"0")+IFERROR(IF(Z53="",0,Z53),"0")+IFERROR(IF(Z54="",0,Z54),"0")</f>
        <v>1.4009400000000001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739</v>
      </c>
      <c r="Y56" s="667">
        <f>IFERROR(SUM(Y49:Y54),"0")</f>
        <v>750</v>
      </c>
      <c r="Z56" s="37"/>
      <c r="AA56" s="668"/>
      <c r="AB56" s="668"/>
      <c r="AC56" s="668"/>
    </row>
    <row r="57" spans="1:68" ht="14.25" hidden="1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374</v>
      </c>
      <c r="Y58" s="666">
        <f>IFERROR(IF(X58="",0,CEILING((X58/$H58),1)*$H58),"")</f>
        <v>378</v>
      </c>
      <c r="Z58" s="36">
        <f>IFERROR(IF(Y58=0,"",ROUNDUP(Y58/H58,0)*0.01898),"")</f>
        <v>0.6643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389.06388888888881</v>
      </c>
      <c r="BN58" s="64">
        <f>IFERROR(Y58*I58/H58,"0")</f>
        <v>393.22499999999997</v>
      </c>
      <c r="BO58" s="64">
        <f>IFERROR(1/J58*(X58/H58),"0")</f>
        <v>0.54108796296296291</v>
      </c>
      <c r="BP58" s="64">
        <f>IFERROR(1/J58*(Y58/H58),"0")</f>
        <v>0.546875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34.629629629629626</v>
      </c>
      <c r="Y62" s="667">
        <f>IFERROR(Y58/H58,"0")+IFERROR(Y59/H59,"0")+IFERROR(Y60/H60,"0")+IFERROR(Y61/H61,"0")</f>
        <v>35</v>
      </c>
      <c r="Z62" s="667">
        <f>IFERROR(IF(Z58="",0,Z58),"0")+IFERROR(IF(Z59="",0,Z59),"0")+IFERROR(IF(Z60="",0,Z60),"0")+IFERROR(IF(Z61="",0,Z61),"0")</f>
        <v>0.6643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374</v>
      </c>
      <c r="Y63" s="667">
        <f>IFERROR(SUM(Y58:Y61),"0")</f>
        <v>378</v>
      </c>
      <c r="Z63" s="37"/>
      <c r="AA63" s="668"/>
      <c r="AB63" s="668"/>
      <c r="AC63" s="668"/>
    </row>
    <row r="64" spans="1:68" ht="14.25" hidden="1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59</v>
      </c>
      <c r="Y72" s="666">
        <f t="shared" si="11"/>
        <v>67.2</v>
      </c>
      <c r="Z72" s="36">
        <f>IFERROR(IF(Y72=0,"",ROUNDUP(Y72/H72,0)*0.01898),"")</f>
        <v>0.15184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62.055357142857154</v>
      </c>
      <c r="BN72" s="64">
        <f t="shared" si="13"/>
        <v>70.680000000000007</v>
      </c>
      <c r="BO72" s="64">
        <f t="shared" si="14"/>
        <v>0.10974702380952381</v>
      </c>
      <c r="BP72" s="64">
        <f t="shared" si="15"/>
        <v>0.125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7.0238095238095237</v>
      </c>
      <c r="Y77" s="667">
        <f>IFERROR(Y71/H71,"0")+IFERROR(Y72/H72,"0")+IFERROR(Y73/H73,"0")+IFERROR(Y74/H74,"0")+IFERROR(Y75/H75,"0")+IFERROR(Y76/H76,"0")</f>
        <v>8</v>
      </c>
      <c r="Z77" s="667">
        <f>IFERROR(IF(Z71="",0,Z71),"0")+IFERROR(IF(Z72="",0,Z72),"0")+IFERROR(IF(Z73="",0,Z73),"0")+IFERROR(IF(Z74="",0,Z74),"0")+IFERROR(IF(Z75="",0,Z75),"0")+IFERROR(IF(Z76="",0,Z76),"0")</f>
        <v>0.15184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59</v>
      </c>
      <c r="Y78" s="667">
        <f>IFERROR(SUM(Y71:Y76),"0")</f>
        <v>67.2</v>
      </c>
      <c r="Z78" s="37"/>
      <c r="AA78" s="668"/>
      <c r="AB78" s="668"/>
      <c r="AC78" s="668"/>
    </row>
    <row r="79" spans="1:68" ht="14.25" hidden="1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639</v>
      </c>
      <c r="Y87" s="666">
        <f>IFERROR(IF(X87="",0,CEILING((X87/$H87),1)*$H87),"")</f>
        <v>648</v>
      </c>
      <c r="Z87" s="36">
        <f>IFERROR(IF(Y87=0,"",ROUNDUP(Y87/H87,0)*0.01898),"")</f>
        <v>1.1388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664.73749999999995</v>
      </c>
      <c r="BN87" s="64">
        <f>IFERROR(Y87*I87/H87,"0")</f>
        <v>674.09999999999991</v>
      </c>
      <c r="BO87" s="64">
        <f>IFERROR(1/J87*(X87/H87),"0")</f>
        <v>0.92447916666666663</v>
      </c>
      <c r="BP87" s="64">
        <f>IFERROR(1/J87*(Y87/H87),"0")</f>
        <v>0.93749999999999989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214</v>
      </c>
      <c r="Y89" s="666">
        <f>IFERROR(IF(X89="",0,CEILING((X89/$H89),1)*$H89),"")</f>
        <v>216</v>
      </c>
      <c r="Z89" s="36">
        <f>IFERROR(IF(Y89=0,"",ROUNDUP(Y89/H89,0)*0.00902),"")</f>
        <v>0.43296000000000001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223.98666666666665</v>
      </c>
      <c r="BN89" s="64">
        <f>IFERROR(Y89*I89/H89,"0")</f>
        <v>226.08</v>
      </c>
      <c r="BO89" s="64">
        <f>IFERROR(1/J89*(X89/H89),"0")</f>
        <v>0.36026936026936029</v>
      </c>
      <c r="BP89" s="64">
        <f>IFERROR(1/J89*(Y89/H89),"0")</f>
        <v>0.36363636363636365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106.72222222222223</v>
      </c>
      <c r="Y90" s="667">
        <f>IFERROR(Y87/H87,"0")+IFERROR(Y88/H88,"0")+IFERROR(Y89/H89,"0")</f>
        <v>108</v>
      </c>
      <c r="Z90" s="667">
        <f>IFERROR(IF(Z87="",0,Z87),"0")+IFERROR(IF(Z88="",0,Z88),"0")+IFERROR(IF(Z89="",0,Z89),"0")</f>
        <v>1.57176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853</v>
      </c>
      <c r="Y91" s="667">
        <f>IFERROR(SUM(Y87:Y89),"0")</f>
        <v>864</v>
      </c>
      <c r="Z91" s="37"/>
      <c r="AA91" s="668"/>
      <c r="AB91" s="668"/>
      <c r="AC91" s="668"/>
    </row>
    <row r="92" spans="1:68" ht="14.25" hidden="1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7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137</v>
      </c>
      <c r="Y94" s="666">
        <f t="shared" si="16"/>
        <v>142.80000000000001</v>
      </c>
      <c r="Z94" s="36">
        <f>IFERROR(IF(Y94=0,"",ROUNDUP(Y94/H94,0)*0.01898),"")</f>
        <v>0.32266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145.46464285714285</v>
      </c>
      <c r="BN94" s="64">
        <f t="shared" si="18"/>
        <v>151.62300000000002</v>
      </c>
      <c r="BO94" s="64">
        <f t="shared" si="19"/>
        <v>0.25483630952380953</v>
      </c>
      <c r="BP94" s="64">
        <f t="shared" si="20"/>
        <v>0.265625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4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75</v>
      </c>
      <c r="Y97" s="666">
        <f t="shared" si="16"/>
        <v>75.600000000000009</v>
      </c>
      <c r="Z97" s="36">
        <f>IFERROR(IF(Y97=0,"",ROUNDUP(Y97/H97,0)*0.00651),"")</f>
        <v>0.18228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82</v>
      </c>
      <c r="BN97" s="64">
        <f t="shared" si="18"/>
        <v>82.656000000000006</v>
      </c>
      <c r="BO97" s="64">
        <f t="shared" si="19"/>
        <v>0.15262515262515261</v>
      </c>
      <c r="BP97" s="64">
        <f t="shared" si="20"/>
        <v>0.15384615384615385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8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44</v>
      </c>
      <c r="Y101" s="666">
        <f t="shared" si="16"/>
        <v>45.900000000000006</v>
      </c>
      <c r="Z101" s="36">
        <f>IFERROR(IF(Y101=0,"",ROUNDUP(Y101/H101,0)*0.00902),"")</f>
        <v>0.15334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48.693333333333335</v>
      </c>
      <c r="BN101" s="64">
        <f t="shared" si="18"/>
        <v>50.795999999999999</v>
      </c>
      <c r="BO101" s="64">
        <f t="shared" si="19"/>
        <v>0.12345679012345678</v>
      </c>
      <c r="BP101" s="64">
        <f t="shared" si="20"/>
        <v>0.12878787878787878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60.383597883597872</v>
      </c>
      <c r="Y102" s="667">
        <f>IFERROR(Y93/H93,"0")+IFERROR(Y94/H94,"0")+IFERROR(Y95/H95,"0")+IFERROR(Y96/H96,"0")+IFERROR(Y97/H97,"0")+IFERROR(Y98/H98,"0")+IFERROR(Y99/H99,"0")+IFERROR(Y100/H100,"0")+IFERROR(Y101/H101,"0")</f>
        <v>62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0.65827999999999998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256</v>
      </c>
      <c r="Y103" s="667">
        <f>IFERROR(SUM(Y93:Y101),"0")</f>
        <v>264.30000000000007</v>
      </c>
      <c r="Z103" s="37"/>
      <c r="AA103" s="668"/>
      <c r="AB103" s="668"/>
      <c r="AC103" s="668"/>
    </row>
    <row r="104" spans="1:68" ht="16.5" hidden="1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556</v>
      </c>
      <c r="Y106" s="666">
        <f>IFERROR(IF(X106="",0,CEILING((X106/$H106),1)*$H106),"")</f>
        <v>561.6</v>
      </c>
      <c r="Z106" s="36">
        <f>IFERROR(IF(Y106=0,"",ROUNDUP(Y106/H106,0)*0.01898),"")</f>
        <v>0.98696000000000006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578.39444444444439</v>
      </c>
      <c r="BN106" s="64">
        <f>IFERROR(Y106*I106/H106,"0")</f>
        <v>584.21999999999991</v>
      </c>
      <c r="BO106" s="64">
        <f>IFERROR(1/J106*(X106/H106),"0")</f>
        <v>0.80439814814814814</v>
      </c>
      <c r="BP106" s="64">
        <f>IFERROR(1/J106*(Y106/H106),"0")</f>
        <v>0.8125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75</v>
      </c>
      <c r="Y108" s="666">
        <f>IFERROR(IF(X108="",0,CEILING((X108/$H108),1)*$H108),"")</f>
        <v>76.5</v>
      </c>
      <c r="Z108" s="36">
        <f>IFERROR(IF(Y108=0,"",ROUNDUP(Y108/H108,0)*0.00902),"")</f>
        <v>0.15334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78.5</v>
      </c>
      <c r="BN108" s="64">
        <f>IFERROR(Y108*I108/H108,"0")</f>
        <v>80.069999999999993</v>
      </c>
      <c r="BO108" s="64">
        <f>IFERROR(1/J108*(X108/H108),"0")</f>
        <v>0.12626262626262627</v>
      </c>
      <c r="BP108" s="64">
        <f>IFERROR(1/J108*(Y108/H108),"0")</f>
        <v>0.12878787878787878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68.148148148148152</v>
      </c>
      <c r="Y110" s="667">
        <f>IFERROR(Y106/H106,"0")+IFERROR(Y107/H107,"0")+IFERROR(Y108/H108,"0")+IFERROR(Y109/H109,"0")</f>
        <v>69</v>
      </c>
      <c r="Z110" s="667">
        <f>IFERROR(IF(Z106="",0,Z106),"0")+IFERROR(IF(Z107="",0,Z107),"0")+IFERROR(IF(Z108="",0,Z108),"0")+IFERROR(IF(Z109="",0,Z109),"0")</f>
        <v>1.1403000000000001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631</v>
      </c>
      <c r="Y111" s="667">
        <f>IFERROR(SUM(Y106:Y109),"0")</f>
        <v>638.1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47</v>
      </c>
      <c r="Y113" s="666">
        <f>IFERROR(IF(X113="",0,CEILING((X113/$H113),1)*$H113),"")</f>
        <v>54</v>
      </c>
      <c r="Z113" s="36">
        <f>IFERROR(IF(Y113=0,"",ROUNDUP(Y113/H113,0)*0.01898),"")</f>
        <v>9.4899999999999998E-2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48.893055555555549</v>
      </c>
      <c r="BN113" s="64">
        <f>IFERROR(Y113*I113/H113,"0")</f>
        <v>56.17499999999999</v>
      </c>
      <c r="BO113" s="64">
        <f>IFERROR(1/J113*(X113/H113),"0")</f>
        <v>6.7997685185185175E-2</v>
      </c>
      <c r="BP113" s="64">
        <f>IFERROR(1/J113*(Y113/H113),"0")</f>
        <v>7.8125E-2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96</v>
      </c>
      <c r="Y115" s="666">
        <f>IFERROR(IF(X115="",0,CEILING((X115/$H115),1)*$H115),"")</f>
        <v>96</v>
      </c>
      <c r="Z115" s="36">
        <f>IFERROR(IF(Y115=0,"",ROUNDUP(Y115/H115,0)*0.00651),"")</f>
        <v>0.26040000000000002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103.2</v>
      </c>
      <c r="BN115" s="64">
        <f>IFERROR(Y115*I115/H115,"0")</f>
        <v>103.2</v>
      </c>
      <c r="BO115" s="64">
        <f>IFERROR(1/J115*(X115/H115),"0")</f>
        <v>0.2197802197802198</v>
      </c>
      <c r="BP115" s="64">
        <f>IFERROR(1/J115*(Y115/H115),"0")</f>
        <v>0.2197802197802198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44.351851851851848</v>
      </c>
      <c r="Y116" s="667">
        <f>IFERROR(Y113/H113,"0")+IFERROR(Y114/H114,"0")+IFERROR(Y115/H115,"0")</f>
        <v>45</v>
      </c>
      <c r="Z116" s="667">
        <f>IFERROR(IF(Z113="",0,Z113),"0")+IFERROR(IF(Z114="",0,Z114),"0")+IFERROR(IF(Z115="",0,Z115),"0")</f>
        <v>0.3553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143</v>
      </c>
      <c r="Y117" s="667">
        <f>IFERROR(SUM(Y113:Y115),"0")</f>
        <v>150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20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138</v>
      </c>
      <c r="Y120" s="666">
        <f t="shared" si="21"/>
        <v>142.80000000000001</v>
      </c>
      <c r="Z120" s="36">
        <f>IFERROR(IF(Y120=0,"",ROUNDUP(Y120/H120,0)*0.01898),"")</f>
        <v>0.32266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146.42785714285716</v>
      </c>
      <c r="BN120" s="64">
        <f t="shared" si="23"/>
        <v>151.52100000000002</v>
      </c>
      <c r="BO120" s="64">
        <f t="shared" si="24"/>
        <v>0.25669642857142855</v>
      </c>
      <c r="BP120" s="64">
        <f t="shared" si="25"/>
        <v>0.265625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97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799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133</v>
      </c>
      <c r="Y125" s="666">
        <f t="shared" si="21"/>
        <v>135</v>
      </c>
      <c r="Z125" s="36">
        <f t="shared" si="26"/>
        <v>0.32550000000000001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145.41333333333333</v>
      </c>
      <c r="BN125" s="64">
        <f t="shared" si="23"/>
        <v>147.6</v>
      </c>
      <c r="BO125" s="64">
        <f t="shared" si="24"/>
        <v>0.27065527065527067</v>
      </c>
      <c r="BP125" s="64">
        <f t="shared" si="25"/>
        <v>0.27472527472527475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65.687830687830683</v>
      </c>
      <c r="Y128" s="667">
        <f>IFERROR(Y119/H119,"0")+IFERROR(Y120/H120,"0")+IFERROR(Y121/H121,"0")+IFERROR(Y122/H122,"0")+IFERROR(Y123/H123,"0")+IFERROR(Y124/H124,"0")+IFERROR(Y125/H125,"0")+IFERROR(Y126/H126,"0")+IFERROR(Y127/H127,"0")</f>
        <v>67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0.64816000000000007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271</v>
      </c>
      <c r="Y129" s="667">
        <f>IFERROR(SUM(Y119:Y127),"0")</f>
        <v>277.8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182</v>
      </c>
      <c r="Y174" s="666">
        <f t="shared" ref="Y174:Y182" si="27">IFERROR(IF(X174="",0,CEILING((X174/$H174),1)*$H174),"")</f>
        <v>184.8</v>
      </c>
      <c r="Z174" s="36">
        <f>IFERROR(IF(Y174=0,"",ROUNDUP(Y174/H174,0)*0.00902),"")</f>
        <v>0.39688000000000001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193.7</v>
      </c>
      <c r="BN174" s="64">
        <f t="shared" ref="BN174:BN182" si="29">IFERROR(Y174*I174/H174,"0")</f>
        <v>196.68</v>
      </c>
      <c r="BO174" s="64">
        <f t="shared" ref="BO174:BO182" si="30">IFERROR(1/J174*(X174/H174),"0")</f>
        <v>0.32828282828282823</v>
      </c>
      <c r="BP174" s="64">
        <f t="shared" ref="BP174:BP182" si="31">IFERROR(1/J174*(Y174/H174),"0")</f>
        <v>0.33333333333333337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234</v>
      </c>
      <c r="Y176" s="666">
        <f t="shared" si="27"/>
        <v>235.20000000000002</v>
      </c>
      <c r="Z176" s="36">
        <f>IFERROR(IF(Y176=0,"",ROUNDUP(Y176/H176,0)*0.00902),"")</f>
        <v>0.50512000000000001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245.7</v>
      </c>
      <c r="BN176" s="64">
        <f t="shared" si="29"/>
        <v>246.96000000000004</v>
      </c>
      <c r="BO176" s="64">
        <f t="shared" si="30"/>
        <v>0.42207792207792211</v>
      </c>
      <c r="BP176" s="64">
        <f t="shared" si="31"/>
        <v>0.42424242424242425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246</v>
      </c>
      <c r="Y177" s="666">
        <f t="shared" si="27"/>
        <v>247.8</v>
      </c>
      <c r="Z177" s="36">
        <f>IFERROR(IF(Y177=0,"",ROUNDUP(Y177/H177,0)*0.00502),"")</f>
        <v>0.59236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261.22857142857146</v>
      </c>
      <c r="BN177" s="64">
        <f t="shared" si="29"/>
        <v>263.14</v>
      </c>
      <c r="BO177" s="64">
        <f t="shared" si="30"/>
        <v>0.50061050061050061</v>
      </c>
      <c r="BP177" s="64">
        <f t="shared" si="31"/>
        <v>0.50427350427350437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72</v>
      </c>
      <c r="Y179" s="666">
        <f t="shared" si="27"/>
        <v>72</v>
      </c>
      <c r="Z179" s="36">
        <f>IFERROR(IF(Y179=0,"",ROUNDUP(Y179/H179,0)*0.00502),"")</f>
        <v>0.20080000000000001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77.2</v>
      </c>
      <c r="BN179" s="64">
        <f t="shared" si="29"/>
        <v>77.2</v>
      </c>
      <c r="BO179" s="64">
        <f t="shared" si="30"/>
        <v>0.17094017094017094</v>
      </c>
      <c r="BP179" s="64">
        <f t="shared" si="31"/>
        <v>0.17094017094017094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210</v>
      </c>
      <c r="Y180" s="666">
        <f t="shared" si="27"/>
        <v>210</v>
      </c>
      <c r="Z180" s="36">
        <f>IFERROR(IF(Y180=0,"",ROUNDUP(Y180/H180,0)*0.00502),"")</f>
        <v>0.502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220.00000000000003</v>
      </c>
      <c r="BN180" s="64">
        <f t="shared" si="29"/>
        <v>220.00000000000003</v>
      </c>
      <c r="BO180" s="64">
        <f t="shared" si="30"/>
        <v>0.42735042735042739</v>
      </c>
      <c r="BP180" s="64">
        <f t="shared" si="31"/>
        <v>0.42735042735042739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356.19047619047615</v>
      </c>
      <c r="Y183" s="667">
        <f>IFERROR(Y174/H174,"0")+IFERROR(Y175/H175,"0")+IFERROR(Y176/H176,"0")+IFERROR(Y177/H177,"0")+IFERROR(Y178/H178,"0")+IFERROR(Y179/H179,"0")+IFERROR(Y180/H180,"0")+IFERROR(Y181/H181,"0")+IFERROR(Y182/H182,"0")</f>
        <v>358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2.1971600000000002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944</v>
      </c>
      <c r="Y184" s="667">
        <f>IFERROR(SUM(Y174:Y182),"0")</f>
        <v>949.8</v>
      </c>
      <c r="Z184" s="37"/>
      <c r="AA184" s="668"/>
      <c r="AB184" s="668"/>
      <c r="AC184" s="668"/>
    </row>
    <row r="185" spans="1:68" ht="14.25" hidden="1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2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48</v>
      </c>
      <c r="Y197" s="666">
        <f>IFERROR(IF(X197="",0,CEILING((X197/$H197),1)*$H197),"")</f>
        <v>48.300000000000004</v>
      </c>
      <c r="Z197" s="36">
        <f>IFERROR(IF(Y197=0,"",ROUNDUP(Y197/H197,0)*0.00651),"")</f>
        <v>0.14973</v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52.114285714285714</v>
      </c>
      <c r="BN197" s="64">
        <f>IFERROR(Y197*I197/H197,"0")</f>
        <v>52.44</v>
      </c>
      <c r="BO197" s="64">
        <f>IFERROR(1/J197*(X197/H197),"0")</f>
        <v>0.12558869701726846</v>
      </c>
      <c r="BP197" s="64">
        <f>IFERROR(1/J197*(Y197/H197),"0")</f>
        <v>0.1263736263736264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22.857142857142858</v>
      </c>
      <c r="Y198" s="667">
        <f>IFERROR(Y196/H196,"0")+IFERROR(Y197/H197,"0")</f>
        <v>23</v>
      </c>
      <c r="Z198" s="667">
        <f>IFERROR(IF(Z196="",0,Z196),"0")+IFERROR(IF(Z197="",0,Z197),"0")</f>
        <v>0.14973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48</v>
      </c>
      <c r="Y199" s="667">
        <f>IFERROR(SUM(Y196:Y197),"0")</f>
        <v>48.300000000000004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283</v>
      </c>
      <c r="Y201" s="666">
        <f t="shared" ref="Y201:Y208" si="32">IFERROR(IF(X201="",0,CEILING((X201/$H201),1)*$H201),"")</f>
        <v>286.20000000000005</v>
      </c>
      <c r="Z201" s="36">
        <f>IFERROR(IF(Y201=0,"",ROUNDUP(Y201/H201,0)*0.00902),"")</f>
        <v>0.47806000000000004</v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294.00555555555553</v>
      </c>
      <c r="BN201" s="64">
        <f t="shared" ref="BN201:BN208" si="34">IFERROR(Y201*I201/H201,"0")</f>
        <v>297.33000000000004</v>
      </c>
      <c r="BO201" s="64">
        <f t="shared" ref="BO201:BO208" si="35">IFERROR(1/J201*(X201/H201),"0")</f>
        <v>0.39702581369248036</v>
      </c>
      <c r="BP201" s="64">
        <f t="shared" ref="BP201:BP208" si="36">IFERROR(1/J201*(Y201/H201),"0")</f>
        <v>0.4015151515151516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117</v>
      </c>
      <c r="Y202" s="666">
        <f t="shared" si="32"/>
        <v>118.80000000000001</v>
      </c>
      <c r="Z202" s="36">
        <f>IFERROR(IF(Y202=0,"",ROUNDUP(Y202/H202,0)*0.00902),"")</f>
        <v>0.19844000000000001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121.55</v>
      </c>
      <c r="BN202" s="64">
        <f t="shared" si="34"/>
        <v>123.42</v>
      </c>
      <c r="BO202" s="64">
        <f t="shared" si="35"/>
        <v>0.16414141414141412</v>
      </c>
      <c r="BP202" s="64">
        <f t="shared" si="36"/>
        <v>0.16666666666666669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268</v>
      </c>
      <c r="Y204" s="666">
        <f t="shared" si="32"/>
        <v>270</v>
      </c>
      <c r="Z204" s="36">
        <f>IFERROR(IF(Y204=0,"",ROUNDUP(Y204/H204,0)*0.00902),"")</f>
        <v>0.45100000000000001</v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278.42222222222222</v>
      </c>
      <c r="BN204" s="64">
        <f t="shared" si="34"/>
        <v>280.5</v>
      </c>
      <c r="BO204" s="64">
        <f t="shared" si="35"/>
        <v>0.37598204264870932</v>
      </c>
      <c r="BP204" s="64">
        <f t="shared" si="36"/>
        <v>0.37878787878787878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107</v>
      </c>
      <c r="Y205" s="666">
        <f t="shared" si="32"/>
        <v>108</v>
      </c>
      <c r="Z205" s="36">
        <f>IFERROR(IF(Y205=0,"",ROUNDUP(Y205/H205,0)*0.00502),"")</f>
        <v>0.30120000000000002</v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114.72777777777777</v>
      </c>
      <c r="BN205" s="64">
        <f t="shared" si="34"/>
        <v>115.8</v>
      </c>
      <c r="BO205" s="64">
        <f t="shared" si="35"/>
        <v>0.25403608736942074</v>
      </c>
      <c r="BP205" s="64">
        <f t="shared" si="36"/>
        <v>0.25641025641025644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90</v>
      </c>
      <c r="Y206" s="666">
        <f t="shared" si="32"/>
        <v>90</v>
      </c>
      <c r="Z206" s="36">
        <f>IFERROR(IF(Y206=0,"",ROUNDUP(Y206/H206,0)*0.00502),"")</f>
        <v>0.251</v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95</v>
      </c>
      <c r="BN206" s="64">
        <f t="shared" si="34"/>
        <v>95</v>
      </c>
      <c r="BO206" s="64">
        <f t="shared" si="35"/>
        <v>0.21367521367521369</v>
      </c>
      <c r="BP206" s="64">
        <f t="shared" si="36"/>
        <v>0.21367521367521369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90</v>
      </c>
      <c r="Y208" s="666">
        <f t="shared" si="32"/>
        <v>90</v>
      </c>
      <c r="Z208" s="36">
        <f>IFERROR(IF(Y208=0,"",ROUNDUP(Y208/H208,0)*0.00502),"")</f>
        <v>0.251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95</v>
      </c>
      <c r="BN208" s="64">
        <f t="shared" si="34"/>
        <v>95</v>
      </c>
      <c r="BO208" s="64">
        <f t="shared" si="35"/>
        <v>0.21367521367521369</v>
      </c>
      <c r="BP208" s="64">
        <f t="shared" si="36"/>
        <v>0.21367521367521369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283.14814814814815</v>
      </c>
      <c r="Y209" s="667">
        <f>IFERROR(Y201/H201,"0")+IFERROR(Y202/H202,"0")+IFERROR(Y203/H203,"0")+IFERROR(Y204/H204,"0")+IFERROR(Y205/H205,"0")+IFERROR(Y206/H206,"0")+IFERROR(Y207/H207,"0")+IFERROR(Y208/H208,"0")</f>
        <v>285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1.9306999999999999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955</v>
      </c>
      <c r="Y210" s="667">
        <f>IFERROR(SUM(Y201:Y208),"0")</f>
        <v>963</v>
      </c>
      <c r="Z210" s="37"/>
      <c r="AA210" s="668"/>
      <c r="AB210" s="668"/>
      <c r="AC210" s="668"/>
    </row>
    <row r="211" spans="1:68" ht="14.25" hidden="1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220</v>
      </c>
      <c r="Y214" s="666">
        <f t="shared" si="37"/>
        <v>226.2</v>
      </c>
      <c r="Z214" s="36">
        <f>IFERROR(IF(Y214=0,"",ROUNDUP(Y214/H214,0)*0.01898),"")</f>
        <v>0.49348000000000003</v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233.12413793103448</v>
      </c>
      <c r="BN214" s="64">
        <f t="shared" si="39"/>
        <v>239.69399999999999</v>
      </c>
      <c r="BO214" s="64">
        <f t="shared" si="40"/>
        <v>0.39511494252873569</v>
      </c>
      <c r="BP214" s="64">
        <f t="shared" si="41"/>
        <v>0.40625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210</v>
      </c>
      <c r="Y215" s="666">
        <f t="shared" si="37"/>
        <v>211.2</v>
      </c>
      <c r="Z215" s="36">
        <f t="shared" ref="Z215:Z220" si="42">IFERROR(IF(Y215=0,"",ROUNDUP(Y215/H215,0)*0.00651),"")</f>
        <v>0.57288000000000006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233.62499999999997</v>
      </c>
      <c r="BN215" s="64">
        <f t="shared" si="39"/>
        <v>234.96</v>
      </c>
      <c r="BO215" s="64">
        <f t="shared" si="40"/>
        <v>0.48076923076923078</v>
      </c>
      <c r="BP215" s="64">
        <f t="shared" si="41"/>
        <v>0.48351648351648358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262</v>
      </c>
      <c r="Y217" s="666">
        <f t="shared" si="37"/>
        <v>264</v>
      </c>
      <c r="Z217" s="36">
        <f t="shared" si="42"/>
        <v>0.71610000000000007</v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289.51000000000005</v>
      </c>
      <c r="BN217" s="64">
        <f t="shared" si="39"/>
        <v>291.72000000000003</v>
      </c>
      <c r="BO217" s="64">
        <f t="shared" si="40"/>
        <v>0.59981684981684991</v>
      </c>
      <c r="BP217" s="64">
        <f t="shared" si="41"/>
        <v>0.60439560439560447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46</v>
      </c>
      <c r="Y219" s="666">
        <f t="shared" si="37"/>
        <v>48</v>
      </c>
      <c r="Z219" s="36">
        <f t="shared" si="42"/>
        <v>0.13020000000000001</v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50.830000000000005</v>
      </c>
      <c r="BN219" s="64">
        <f t="shared" si="39"/>
        <v>53.040000000000006</v>
      </c>
      <c r="BO219" s="64">
        <f t="shared" si="40"/>
        <v>0.10531135531135533</v>
      </c>
      <c r="BP219" s="64">
        <f t="shared" si="41"/>
        <v>0.1098901098901099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125</v>
      </c>
      <c r="Y220" s="666">
        <f t="shared" si="37"/>
        <v>127.19999999999999</v>
      </c>
      <c r="Z220" s="36">
        <f t="shared" si="42"/>
        <v>0.34503</v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138.4375</v>
      </c>
      <c r="BN220" s="64">
        <f t="shared" si="39"/>
        <v>140.874</v>
      </c>
      <c r="BO220" s="64">
        <f t="shared" si="40"/>
        <v>0.28617216117216121</v>
      </c>
      <c r="BP220" s="64">
        <f t="shared" si="41"/>
        <v>0.29120879120879123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293.20402298850576</v>
      </c>
      <c r="Y221" s="667">
        <f>IFERROR(Y212/H212,"0")+IFERROR(Y213/H213,"0")+IFERROR(Y214/H214,"0")+IFERROR(Y215/H215,"0")+IFERROR(Y216/H216,"0")+IFERROR(Y217/H217,"0")+IFERROR(Y218/H218,"0")+IFERROR(Y219/H219,"0")+IFERROR(Y220/H220,"0")</f>
        <v>297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2.2576900000000002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863</v>
      </c>
      <c r="Y222" s="667">
        <f>IFERROR(SUM(Y212:Y220),"0")</f>
        <v>876.59999999999991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18</v>
      </c>
      <c r="Y225" s="666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19.890000000000004</v>
      </c>
      <c r="BN225" s="64">
        <f>IFERROR(Y225*I225/H225,"0")</f>
        <v>21.216000000000001</v>
      </c>
      <c r="BO225" s="64">
        <f>IFERROR(1/J225*(X225/H225),"0")</f>
        <v>4.1208791208791215E-2</v>
      </c>
      <c r="BP225" s="64">
        <f>IFERROR(1/J225*(Y225/H225),"0")</f>
        <v>4.3956043956043959E-2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7.5</v>
      </c>
      <c r="Y226" s="667">
        <f>IFERROR(Y224/H224,"0")+IFERROR(Y225/H225,"0")</f>
        <v>8</v>
      </c>
      <c r="Z226" s="667">
        <f>IFERROR(IF(Z224="",0,Z224),"0")+IFERROR(IF(Z225="",0,Z225),"0")</f>
        <v>5.2080000000000001E-2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18</v>
      </c>
      <c r="Y227" s="667">
        <f>IFERROR(SUM(Y224:Y225),"0")</f>
        <v>19.2</v>
      </c>
      <c r="Z227" s="37"/>
      <c r="AA227" s="668"/>
      <c r="AB227" s="668"/>
      <c r="AC227" s="668"/>
    </row>
    <row r="228" spans="1:68" ht="16.5" hidden="1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139</v>
      </c>
      <c r="Y230" s="666">
        <f t="shared" ref="Y230:Y237" si="43">IFERROR(IF(X230="",0,CEILING((X230/$H230),1)*$H230),"")</f>
        <v>139.19999999999999</v>
      </c>
      <c r="Z230" s="36">
        <f>IFERROR(IF(Y230=0,"",ROUNDUP(Y230/H230,0)*0.01898),"")</f>
        <v>0.22776000000000002</v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144.21250000000001</v>
      </c>
      <c r="BN230" s="64">
        <f t="shared" ref="BN230:BN237" si="45">IFERROR(Y230*I230/H230,"0")</f>
        <v>144.41999999999999</v>
      </c>
      <c r="BO230" s="64">
        <f t="shared" ref="BO230:BO237" si="46">IFERROR(1/J230*(X230/H230),"0")</f>
        <v>0.18723060344827586</v>
      </c>
      <c r="BP230" s="64">
        <f t="shared" ref="BP230:BP237" si="47">IFERROR(1/J230*(Y230/H230),"0")</f>
        <v>0.1875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10</v>
      </c>
      <c r="Y235" s="666">
        <f t="shared" si="43"/>
        <v>12</v>
      </c>
      <c r="Z235" s="36">
        <f>IFERROR(IF(Y235=0,"",ROUNDUP(Y235/H235,0)*0.00902),"")</f>
        <v>2.7060000000000001E-2</v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10.525</v>
      </c>
      <c r="BN235" s="64">
        <f t="shared" si="45"/>
        <v>12.629999999999999</v>
      </c>
      <c r="BO235" s="64">
        <f t="shared" si="46"/>
        <v>1.893939393939394E-2</v>
      </c>
      <c r="BP235" s="64">
        <f t="shared" si="47"/>
        <v>2.2727272727272728E-2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14.482758620689655</v>
      </c>
      <c r="Y238" s="667">
        <f>IFERROR(Y230/H230,"0")+IFERROR(Y231/H231,"0")+IFERROR(Y232/H232,"0")+IFERROR(Y233/H233,"0")+IFERROR(Y234/H234,"0")+IFERROR(Y235/H235,"0")+IFERROR(Y236/H236,"0")+IFERROR(Y237/H237,"0")</f>
        <v>15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0.25482000000000005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149</v>
      </c>
      <c r="Y239" s="667">
        <f>IFERROR(SUM(Y230:Y237),"0")</f>
        <v>151.19999999999999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2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21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6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39</v>
      </c>
      <c r="Y279" s="666">
        <f>IFERROR(IF(X279="",0,CEILING((X279/$H279),1)*$H279),"")</f>
        <v>40.799999999999997</v>
      </c>
      <c r="Z279" s="36">
        <f>IFERROR(IF(Y279=0,"",ROUNDUP(Y279/H279,0)*0.00651),"")</f>
        <v>0.11067</v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43.095000000000006</v>
      </c>
      <c r="BN279" s="64">
        <f>IFERROR(Y279*I279/H279,"0")</f>
        <v>45.084000000000003</v>
      </c>
      <c r="BO279" s="64">
        <f>IFERROR(1/J279*(X279/H279),"0")</f>
        <v>8.9285714285714288E-2</v>
      </c>
      <c r="BP279" s="64">
        <f>IFERROR(1/J279*(Y279/H279),"0")</f>
        <v>9.3406593406593408E-2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18</v>
      </c>
      <c r="Y280" s="666">
        <f>IFERROR(IF(X280="",0,CEILING((X280/$H280),1)*$H280),"")</f>
        <v>19.2</v>
      </c>
      <c r="Z280" s="36">
        <f>IFERROR(IF(Y280=0,"",ROUNDUP(Y280/H280,0)*0.00651),"")</f>
        <v>5.2080000000000001E-2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19.350000000000001</v>
      </c>
      <c r="BN280" s="64">
        <f>IFERROR(Y280*I280/H280,"0")</f>
        <v>20.64</v>
      </c>
      <c r="BO280" s="64">
        <f>IFERROR(1/J280*(X280/H280),"0")</f>
        <v>4.1208791208791215E-2</v>
      </c>
      <c r="BP280" s="64">
        <f>IFERROR(1/J280*(Y280/H280),"0")</f>
        <v>4.3956043956043959E-2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23.75</v>
      </c>
      <c r="Y282" s="667">
        <f>IFERROR(Y277/H277,"0")+IFERROR(Y278/H278,"0")+IFERROR(Y279/H279,"0")+IFERROR(Y280/H280,"0")+IFERROR(Y281/H281,"0")</f>
        <v>25</v>
      </c>
      <c r="Z282" s="667">
        <f>IFERROR(IF(Z277="",0,Z277),"0")+IFERROR(IF(Z278="",0,Z278),"0")+IFERROR(IF(Z279="",0,Z279),"0")+IFERROR(IF(Z280="",0,Z280),"0")+IFERROR(IF(Z281="",0,Z281),"0")</f>
        <v>0.16275000000000001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57</v>
      </c>
      <c r="Y283" s="667">
        <f>IFERROR(SUM(Y277:Y281),"0")</f>
        <v>60</v>
      </c>
      <c r="Z283" s="37"/>
      <c r="AA283" s="668"/>
      <c r="AB283" s="668"/>
      <c r="AC283" s="668"/>
    </row>
    <row r="284" spans="1:68" ht="16.5" hidden="1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5</v>
      </c>
      <c r="Y339" s="666">
        <f>IFERROR(IF(X339="",0,CEILING((X339/$H339),1)*$H339),"")</f>
        <v>5.4</v>
      </c>
      <c r="Z339" s="36">
        <f>IFERROR(IF(Y339=0,"",ROUNDUP(Y339/H339,0)*0.00651),"")</f>
        <v>1.302E-2</v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5.4777777777777779</v>
      </c>
      <c r="BN339" s="64">
        <f>IFERROR(Y339*I339/H339,"0")</f>
        <v>5.9160000000000004</v>
      </c>
      <c r="BO339" s="64">
        <f>IFERROR(1/J339*(X339/H339),"0")</f>
        <v>1.0175010175010175E-2</v>
      </c>
      <c r="BP339" s="64">
        <f>IFERROR(1/J339*(Y339/H339),"0")</f>
        <v>1.098901098901099E-2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1.8518518518518516</v>
      </c>
      <c r="Y340" s="667">
        <f>IFERROR(Y335/H335,"0")+IFERROR(Y336/H336,"0")+IFERROR(Y337/H337,"0")+IFERROR(Y338/H338,"0")+IFERROR(Y339/H339,"0")</f>
        <v>2</v>
      </c>
      <c r="Z340" s="667">
        <f>IFERROR(IF(Z335="",0,Z335),"0")+IFERROR(IF(Z336="",0,Z336),"0")+IFERROR(IF(Z337="",0,Z337),"0")+IFERROR(IF(Z338="",0,Z338),"0")+IFERROR(IF(Z339="",0,Z339),"0")</f>
        <v>1.302E-2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5</v>
      </c>
      <c r="Y341" s="667">
        <f>IFERROR(SUM(Y335:Y339),"0")</f>
        <v>5.4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178</v>
      </c>
      <c r="Y343" s="666">
        <f>IFERROR(IF(X343="",0,CEILING((X343/$H343),1)*$H343),"")</f>
        <v>184.8</v>
      </c>
      <c r="Z343" s="36">
        <f>IFERROR(IF(Y343=0,"",ROUNDUP(Y343/H343,0)*0.01898),"")</f>
        <v>0.41755999999999999</v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188.99785714285716</v>
      </c>
      <c r="BN343" s="64">
        <f>IFERROR(Y343*I343/H343,"0")</f>
        <v>196.21800000000002</v>
      </c>
      <c r="BO343" s="64">
        <f>IFERROR(1/J343*(X343/H343),"0")</f>
        <v>0.33110119047619047</v>
      </c>
      <c r="BP343" s="64">
        <f>IFERROR(1/J343*(Y343/H343),"0")</f>
        <v>0.34375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269</v>
      </c>
      <c r="Y344" s="666">
        <f>IFERROR(IF(X344="",0,CEILING((X344/$H344),1)*$H344),"")</f>
        <v>273</v>
      </c>
      <c r="Z344" s="36">
        <f>IFERROR(IF(Y344=0,"",ROUNDUP(Y344/H344,0)*0.01898),"")</f>
        <v>0.6643</v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286.89884615384619</v>
      </c>
      <c r="BN344" s="64">
        <f>IFERROR(Y344*I344/H344,"0")</f>
        <v>291.16500000000008</v>
      </c>
      <c r="BO344" s="64">
        <f>IFERROR(1/J344*(X344/H344),"0")</f>
        <v>0.53886217948717952</v>
      </c>
      <c r="BP344" s="64">
        <f>IFERROR(1/J344*(Y344/H344),"0")</f>
        <v>0.546875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56</v>
      </c>
      <c r="Y345" s="666">
        <f>IFERROR(IF(X345="",0,CEILING((X345/$H345),1)*$H345),"")</f>
        <v>58.800000000000004</v>
      </c>
      <c r="Z345" s="36">
        <f>IFERROR(IF(Y345=0,"",ROUNDUP(Y345/H345,0)*0.01898),"")</f>
        <v>0.13286000000000001</v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59.46</v>
      </c>
      <c r="BN345" s="64">
        <f>IFERROR(Y345*I345/H345,"0")</f>
        <v>62.433000000000007</v>
      </c>
      <c r="BO345" s="64">
        <f>IFERROR(1/J345*(X345/H345),"0")</f>
        <v>0.10416666666666666</v>
      </c>
      <c r="BP345" s="64">
        <f>IFERROR(1/J345*(Y345/H345),"0")</f>
        <v>0.109375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62.344322344322343</v>
      </c>
      <c r="Y346" s="667">
        <f>IFERROR(Y343/H343,"0")+IFERROR(Y344/H344,"0")+IFERROR(Y345/H345,"0")</f>
        <v>64</v>
      </c>
      <c r="Z346" s="667">
        <f>IFERROR(IF(Z343="",0,Z343),"0")+IFERROR(IF(Z344="",0,Z344),"0")+IFERROR(IF(Z345="",0,Z345),"0")</f>
        <v>1.21472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503</v>
      </c>
      <c r="Y347" s="667">
        <f>IFERROR(SUM(Y343:Y345),"0")</f>
        <v>516.6</v>
      </c>
      <c r="Z347" s="37"/>
      <c r="AA347" s="668"/>
      <c r="AB347" s="668"/>
      <c r="AC347" s="668"/>
    </row>
    <row r="348" spans="1:68" ht="14.25" hidden="1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35</v>
      </c>
      <c r="Y351" s="666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40.558823529411768</v>
      </c>
      <c r="BN351" s="64">
        <f>IFERROR(Y351*I351/H351,"0")</f>
        <v>41.37</v>
      </c>
      <c r="BO351" s="64">
        <f>IFERROR(1/J351*(X351/H351),"0")</f>
        <v>7.5414781297134248E-2</v>
      </c>
      <c r="BP351" s="64">
        <f>IFERROR(1/J351*(Y351/H351),"0")</f>
        <v>7.6923076923076927E-2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40</v>
      </c>
      <c r="Y352" s="666">
        <f>IFERROR(IF(X352="",0,CEILING((X352/$H352),1)*$H352),"")</f>
        <v>40.799999999999997</v>
      </c>
      <c r="Z352" s="36">
        <f>IFERROR(IF(Y352=0,"",ROUNDUP(Y352/H352,0)*0.00651),"")</f>
        <v>0.10416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45.17647058823529</v>
      </c>
      <c r="BN352" s="64">
        <f>IFERROR(Y352*I352/H352,"0")</f>
        <v>46.08</v>
      </c>
      <c r="BO352" s="64">
        <f>IFERROR(1/J352*(X352/H352),"0")</f>
        <v>8.6188321482439142E-2</v>
      </c>
      <c r="BP352" s="64">
        <f>IFERROR(1/J352*(Y352/H352),"0")</f>
        <v>8.7912087912087919E-2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29.411764705882355</v>
      </c>
      <c r="Y353" s="667">
        <f>IFERROR(Y349/H349,"0")+IFERROR(Y350/H350,"0")+IFERROR(Y351/H351,"0")+IFERROR(Y352/H352,"0")</f>
        <v>30</v>
      </c>
      <c r="Z353" s="667">
        <f>IFERROR(IF(Z349="",0,Z349),"0")+IFERROR(IF(Z350="",0,Z350),"0")+IFERROR(IF(Z351="",0,Z351),"0")+IFERROR(IF(Z352="",0,Z352),"0")</f>
        <v>0.1953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75</v>
      </c>
      <c r="Y354" s="667">
        <f>IFERROR(SUM(Y349:Y352),"0")</f>
        <v>76.5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20</v>
      </c>
      <c r="Y363" s="666">
        <f>IFERROR(IF(X363="",0,CEILING((X363/$H363),1)*$H363),"")</f>
        <v>21.6</v>
      </c>
      <c r="Z363" s="36">
        <f>IFERROR(IF(Y363=0,"",ROUNDUP(Y363/H363,0)*0.00651),"")</f>
        <v>7.8119999999999995E-2</v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22.533333333333335</v>
      </c>
      <c r="BN363" s="64">
        <f>IFERROR(Y363*I363/H363,"0")</f>
        <v>24.335999999999999</v>
      </c>
      <c r="BO363" s="64">
        <f>IFERROR(1/J363*(X363/H363),"0")</f>
        <v>6.1050061050061055E-2</v>
      </c>
      <c r="BP363" s="64">
        <f>IFERROR(1/J363*(Y363/H363),"0")</f>
        <v>6.5934065934065936E-2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11.111111111111111</v>
      </c>
      <c r="Y364" s="667">
        <f>IFERROR(Y363/H363,"0")</f>
        <v>12</v>
      </c>
      <c r="Z364" s="667">
        <f>IFERROR(IF(Z363="",0,Z363),"0")</f>
        <v>7.8119999999999995E-2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20</v>
      </c>
      <c r="Y365" s="667">
        <f>IFERROR(SUM(Y363:Y363),"0")</f>
        <v>21.6</v>
      </c>
      <c r="Z365" s="37"/>
      <c r="AA365" s="668"/>
      <c r="AB365" s="668"/>
      <c r="AC365" s="668"/>
    </row>
    <row r="366" spans="1:68" ht="14.25" hidden="1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890</v>
      </c>
      <c r="Y375" s="666">
        <f t="shared" ref="Y375:Y384" si="58">IFERROR(IF(X375="",0,CEILING((X375/$H375),1)*$H375),"")</f>
        <v>900</v>
      </c>
      <c r="Z375" s="36">
        <f>IFERROR(IF(Y375=0,"",ROUNDUP(Y375/H375,0)*0.02175),"")</f>
        <v>1.3049999999999999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918.48</v>
      </c>
      <c r="BN375" s="64">
        <f t="shared" ref="BN375:BN384" si="60">IFERROR(Y375*I375/H375,"0")</f>
        <v>928.8</v>
      </c>
      <c r="BO375" s="64">
        <f t="shared" ref="BO375:BO384" si="61">IFERROR(1/J375*(X375/H375),"0")</f>
        <v>1.2361111111111112</v>
      </c>
      <c r="BP375" s="64">
        <f t="shared" ref="BP375:BP384" si="62">IFERROR(1/J375*(Y375/H375),"0")</f>
        <v>1.25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600</v>
      </c>
      <c r="Y377" s="666">
        <f t="shared" si="58"/>
        <v>600</v>
      </c>
      <c r="Z377" s="36">
        <f>IFERROR(IF(Y377=0,"",ROUNDUP(Y377/H377,0)*0.02175),"")</f>
        <v>0.86999999999999988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619.20000000000005</v>
      </c>
      <c r="BN377" s="64">
        <f t="shared" si="60"/>
        <v>619.20000000000005</v>
      </c>
      <c r="BO377" s="64">
        <f t="shared" si="61"/>
        <v>0.83333333333333326</v>
      </c>
      <c r="BP377" s="64">
        <f t="shared" si="62"/>
        <v>0.83333333333333326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2000</v>
      </c>
      <c r="Y379" s="666">
        <f t="shared" si="58"/>
        <v>2010</v>
      </c>
      <c r="Z379" s="36">
        <f>IFERROR(IF(Y379=0,"",ROUNDUP(Y379/H379,0)*0.02175),"")</f>
        <v>2.9144999999999999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2064</v>
      </c>
      <c r="BN379" s="64">
        <f t="shared" si="60"/>
        <v>2074.3200000000002</v>
      </c>
      <c r="BO379" s="64">
        <f t="shared" si="61"/>
        <v>2.7777777777777777</v>
      </c>
      <c r="BP379" s="64">
        <f t="shared" si="62"/>
        <v>2.7916666666666665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215</v>
      </c>
      <c r="Y380" s="666">
        <f t="shared" si="58"/>
        <v>225</v>
      </c>
      <c r="Z380" s="36">
        <f>IFERROR(IF(Y380=0,"",ROUNDUP(Y380/H380,0)*0.02175),"")</f>
        <v>0.32624999999999998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221.88000000000002</v>
      </c>
      <c r="BN380" s="64">
        <f t="shared" si="60"/>
        <v>232.2</v>
      </c>
      <c r="BO380" s="64">
        <f t="shared" si="61"/>
        <v>0.2986111111111111</v>
      </c>
      <c r="BP380" s="64">
        <f t="shared" si="62"/>
        <v>0.3125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247.00000000000003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249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5.4157499999999992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3705</v>
      </c>
      <c r="Y386" s="667">
        <f>IFERROR(SUM(Y375:Y384),"0")</f>
        <v>3735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1131</v>
      </c>
      <c r="Y388" s="666">
        <f>IFERROR(IF(X388="",0,CEILING((X388/$H388),1)*$H388),"")</f>
        <v>1140</v>
      </c>
      <c r="Z388" s="36">
        <f>IFERROR(IF(Y388=0,"",ROUNDUP(Y388/H388,0)*0.02175),"")</f>
        <v>1.6529999999999998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1167.192</v>
      </c>
      <c r="BN388" s="64">
        <f>IFERROR(Y388*I388/H388,"0")</f>
        <v>1176.48</v>
      </c>
      <c r="BO388" s="64">
        <f>IFERROR(1/J388*(X388/H388),"0")</f>
        <v>1.5708333333333333</v>
      </c>
      <c r="BP388" s="64">
        <f>IFERROR(1/J388*(Y388/H388),"0")</f>
        <v>1.5833333333333333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75.400000000000006</v>
      </c>
      <c r="Y390" s="667">
        <f>IFERROR(Y388/H388,"0")+IFERROR(Y389/H389,"0")</f>
        <v>76</v>
      </c>
      <c r="Z390" s="667">
        <f>IFERROR(IF(Z388="",0,Z388),"0")+IFERROR(IF(Z389="",0,Z389),"0")</f>
        <v>1.6529999999999998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1131</v>
      </c>
      <c r="Y391" s="667">
        <f>IFERROR(SUM(Y388:Y389),"0")</f>
        <v>1140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9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95</v>
      </c>
      <c r="Y398" s="666">
        <f>IFERROR(IF(X398="",0,CEILING((X398/$H398),1)*$H398),"")</f>
        <v>99</v>
      </c>
      <c r="Z398" s="36">
        <f>IFERROR(IF(Y398=0,"",ROUNDUP(Y398/H398,0)*0.01898),"")</f>
        <v>0.20877999999999999</v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100.47833333333334</v>
      </c>
      <c r="BN398" s="64">
        <f>IFERROR(Y398*I398/H398,"0")</f>
        <v>104.709</v>
      </c>
      <c r="BO398" s="64">
        <f>IFERROR(1/J398*(X398/H398),"0")</f>
        <v>0.16493055555555555</v>
      </c>
      <c r="BP398" s="64">
        <f>IFERROR(1/J398*(Y398/H398),"0")</f>
        <v>0.171875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10.555555555555555</v>
      </c>
      <c r="Y399" s="667">
        <f>IFERROR(Y398/H398,"0")</f>
        <v>11</v>
      </c>
      <c r="Z399" s="667">
        <f>IFERROR(IF(Z398="",0,Z398),"0")</f>
        <v>0.20877999999999999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95</v>
      </c>
      <c r="Y400" s="667">
        <f>IFERROR(SUM(Y398:Y398),"0")</f>
        <v>99</v>
      </c>
      <c r="Z400" s="37"/>
      <c r="AA400" s="668"/>
      <c r="AB400" s="668"/>
      <c r="AC400" s="668"/>
    </row>
    <row r="401" spans="1:68" ht="16.5" hidden="1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41</v>
      </c>
      <c r="Y406" s="666">
        <f>IFERROR(IF(X406="",0,CEILING((X406/$H406),1)*$H406),"")</f>
        <v>48</v>
      </c>
      <c r="Z406" s="36">
        <f>IFERROR(IF(Y406=0,"",ROUNDUP(Y406/H406,0)*0.01898),"")</f>
        <v>7.5920000000000001E-2</v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42.486250000000005</v>
      </c>
      <c r="BN406" s="64">
        <f>IFERROR(Y406*I406/H406,"0")</f>
        <v>49.74</v>
      </c>
      <c r="BO406" s="64">
        <f>IFERROR(1/J406*(X406/H406),"0")</f>
        <v>5.3385416666666664E-2</v>
      </c>
      <c r="BP406" s="64">
        <f>IFERROR(1/J406*(Y406/H406),"0")</f>
        <v>6.25E-2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3.4166666666666665</v>
      </c>
      <c r="Y408" s="667">
        <f>IFERROR(Y403/H403,"0")+IFERROR(Y404/H404,"0")+IFERROR(Y405/H405,"0")+IFERROR(Y406/H406,"0")+IFERROR(Y407/H407,"0")</f>
        <v>4</v>
      </c>
      <c r="Z408" s="667">
        <f>IFERROR(IF(Z403="",0,Z403),"0")+IFERROR(IF(Z404="",0,Z404),"0")+IFERROR(IF(Z405="",0,Z405),"0")+IFERROR(IF(Z406="",0,Z406),"0")+IFERROR(IF(Z407="",0,Z407),"0")</f>
        <v>7.5920000000000001E-2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41</v>
      </c>
      <c r="Y409" s="667">
        <f>IFERROR(SUM(Y403:Y407),"0")</f>
        <v>48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1546</v>
      </c>
      <c r="Y416" s="666">
        <f>IFERROR(IF(X416="",0,CEILING((X416/$H416),1)*$H416),"")</f>
        <v>1548</v>
      </c>
      <c r="Z416" s="36">
        <f>IFERROR(IF(Y416=0,"",ROUNDUP(Y416/H416,0)*0.01898),"")</f>
        <v>3.2645599999999999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1635.1526666666666</v>
      </c>
      <c r="BN416" s="64">
        <f>IFERROR(Y416*I416/H416,"0")</f>
        <v>1637.268</v>
      </c>
      <c r="BO416" s="64">
        <f>IFERROR(1/J416*(X416/H416),"0")</f>
        <v>2.6840277777777777</v>
      </c>
      <c r="BP416" s="64">
        <f>IFERROR(1/J416*(Y416/H416),"0")</f>
        <v>2.6875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1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171.77777777777777</v>
      </c>
      <c r="Y421" s="667">
        <f>IFERROR(Y416/H416,"0")+IFERROR(Y417/H417,"0")+IFERROR(Y418/H418,"0")+IFERROR(Y419/H419,"0")+IFERROR(Y420/H420,"0")</f>
        <v>172</v>
      </c>
      <c r="Z421" s="667">
        <f>IFERROR(IF(Z416="",0,Z416),"0")+IFERROR(IF(Z417="",0,Z417),"0")+IFERROR(IF(Z418="",0,Z418),"0")+IFERROR(IF(Z419="",0,Z419),"0")+IFERROR(IF(Z420="",0,Z420),"0")</f>
        <v>3.2645599999999999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1546</v>
      </c>
      <c r="Y422" s="667">
        <f>IFERROR(SUM(Y416:Y420),"0")</f>
        <v>1548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90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3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3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1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8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8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6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8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60</v>
      </c>
      <c r="Y480" s="666">
        <f t="shared" ref="Y480:Y495" si="69">IFERROR(IF(X480="",0,CEILING((X480/$H480),1)*$H480),"")</f>
        <v>63.36</v>
      </c>
      <c r="Z480" s="36">
        <f t="shared" ref="Z480:Z485" si="70">IFERROR(IF(Y480=0,"",ROUNDUP(Y480/H480,0)*0.01196),"")</f>
        <v>0.14352000000000001</v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64.090909090909079</v>
      </c>
      <c r="BN480" s="64">
        <f t="shared" ref="BN480:BN495" si="72">IFERROR(Y480*I480/H480,"0")</f>
        <v>67.679999999999993</v>
      </c>
      <c r="BO480" s="64">
        <f t="shared" ref="BO480:BO495" si="73">IFERROR(1/J480*(X480/H480),"0")</f>
        <v>0.10926573426573427</v>
      </c>
      <c r="BP480" s="64">
        <f t="shared" ref="BP480:BP495" si="74">IFERROR(1/J480*(Y480/H480),"0")</f>
        <v>0.11538461538461539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82</v>
      </c>
      <c r="Y481" s="666">
        <f t="shared" si="69"/>
        <v>84.48</v>
      </c>
      <c r="Z481" s="36">
        <f t="shared" si="70"/>
        <v>0.19136</v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87.590909090909079</v>
      </c>
      <c r="BN481" s="64">
        <f t="shared" si="72"/>
        <v>90.24</v>
      </c>
      <c r="BO481" s="64">
        <f t="shared" si="73"/>
        <v>0.14932983682983683</v>
      </c>
      <c r="BP481" s="64">
        <f t="shared" si="74"/>
        <v>0.15384615384615385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560</v>
      </c>
      <c r="Y482" s="666">
        <f t="shared" si="69"/>
        <v>564.96</v>
      </c>
      <c r="Z482" s="36">
        <f t="shared" si="70"/>
        <v>1.27972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598.18181818181813</v>
      </c>
      <c r="BN482" s="64">
        <f t="shared" si="72"/>
        <v>603.48</v>
      </c>
      <c r="BO482" s="64">
        <f t="shared" si="73"/>
        <v>1.0198135198135199</v>
      </c>
      <c r="BP482" s="64">
        <f t="shared" si="74"/>
        <v>1.028846153846154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1002</v>
      </c>
      <c r="Y484" s="666">
        <f t="shared" si="69"/>
        <v>1003.2</v>
      </c>
      <c r="Z484" s="36">
        <f t="shared" si="70"/>
        <v>2.2724000000000002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1070.3181818181818</v>
      </c>
      <c r="BN484" s="64">
        <f t="shared" si="72"/>
        <v>1071.5999999999999</v>
      </c>
      <c r="BO484" s="64">
        <f t="shared" si="73"/>
        <v>1.8247377622377621</v>
      </c>
      <c r="BP484" s="64">
        <f t="shared" si="74"/>
        <v>1.8269230769230771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5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5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8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322.72727272727269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325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3.8870000000000005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1704</v>
      </c>
      <c r="Y497" s="667">
        <f>IFERROR(SUM(Y480:Y495),"0")</f>
        <v>1716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200</v>
      </c>
      <c r="Y499" s="666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00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9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41</v>
      </c>
      <c r="Y502" s="666">
        <f>IFERROR(IF(X502="",0,CEILING((X502/$H502),1)*$H502),"")</f>
        <v>43.199999999999996</v>
      </c>
      <c r="Z502" s="36">
        <f>IFERROR(IF(Y502=0,"",ROUNDUP(Y502/H502,0)*0.00902),"")</f>
        <v>8.1180000000000002E-2</v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59.193750000000001</v>
      </c>
      <c r="BN502" s="64">
        <f>IFERROR(Y502*I502/H502,"0")</f>
        <v>62.37</v>
      </c>
      <c r="BO502" s="64">
        <f>IFERROR(1/J502*(X502/H502),"0")</f>
        <v>6.4709595959595967E-2</v>
      </c>
      <c r="BP502" s="64">
        <f>IFERROR(1/J502*(Y502/H502),"0")</f>
        <v>6.8181818181818177E-2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46.420454545454547</v>
      </c>
      <c r="Y503" s="667">
        <f>IFERROR(Y499/H499,"0")+IFERROR(Y500/H500,"0")+IFERROR(Y501/H501,"0")+IFERROR(Y502/H502,"0")</f>
        <v>47</v>
      </c>
      <c r="Z503" s="667">
        <f>IFERROR(IF(Z499="",0,Z499),"0")+IFERROR(IF(Z500="",0,Z500),"0")+IFERROR(IF(Z501="",0,Z501),"0")+IFERROR(IF(Z502="",0,Z502),"0")</f>
        <v>0.53566000000000003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241</v>
      </c>
      <c r="Y504" s="667">
        <f>IFERROR(SUM(Y499:Y502),"0")</f>
        <v>243.84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9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399</v>
      </c>
      <c r="Y506" s="666">
        <f t="shared" ref="Y506:Y517" si="75">IFERROR(IF(X506="",0,CEILING((X506/$H506),1)*$H506),"")</f>
        <v>401.28000000000003</v>
      </c>
      <c r="Z506" s="36">
        <f>IFERROR(IF(Y506=0,"",ROUNDUP(Y506/H506,0)*0.01196),"")</f>
        <v>0.90895999999999999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426.20454545454538</v>
      </c>
      <c r="BN506" s="64">
        <f t="shared" ref="BN506:BN517" si="77">IFERROR(Y506*I506/H506,"0")</f>
        <v>428.64</v>
      </c>
      <c r="BO506" s="64">
        <f t="shared" ref="BO506:BO517" si="78">IFERROR(1/J506*(X506/H506),"0")</f>
        <v>0.72661713286713281</v>
      </c>
      <c r="BP506" s="64">
        <f t="shared" ref="BP506:BP517" si="79">IFERROR(1/J506*(Y506/H506),"0")</f>
        <v>0.73076923076923084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337</v>
      </c>
      <c r="Y507" s="666">
        <f t="shared" si="75"/>
        <v>337.92</v>
      </c>
      <c r="Z507" s="36">
        <f>IFERROR(IF(Y507=0,"",ROUNDUP(Y507/H507,0)*0.01196),"")</f>
        <v>0.76544000000000001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359.97727272727269</v>
      </c>
      <c r="BN507" s="64">
        <f t="shared" si="77"/>
        <v>360.96</v>
      </c>
      <c r="BO507" s="64">
        <f t="shared" si="78"/>
        <v>0.61370920745920743</v>
      </c>
      <c r="BP507" s="64">
        <f t="shared" si="79"/>
        <v>0.61538461538461542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7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231</v>
      </c>
      <c r="Y508" s="666">
        <f t="shared" si="75"/>
        <v>232.32000000000002</v>
      </c>
      <c r="Z508" s="36">
        <f>IFERROR(IF(Y508=0,"",ROUNDUP(Y508/H508,0)*0.01196),"")</f>
        <v>0.52624000000000004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246.74999999999997</v>
      </c>
      <c r="BN508" s="64">
        <f t="shared" si="77"/>
        <v>248.16000000000003</v>
      </c>
      <c r="BO508" s="64">
        <f t="shared" si="78"/>
        <v>0.42067307692307693</v>
      </c>
      <c r="BP508" s="64">
        <f t="shared" si="79"/>
        <v>0.42307692307692313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1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17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5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7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183.14393939393938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184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2.2006399999999999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967</v>
      </c>
      <c r="Y519" s="667">
        <f>IFERROR(SUM(Y506:Y517),"0")</f>
        <v>971.5200000000001</v>
      </c>
      <c r="Z519" s="37"/>
      <c r="AA519" s="668"/>
      <c r="AB519" s="668"/>
      <c r="AC519" s="668"/>
    </row>
    <row r="520" spans="1:68" ht="14.25" hidden="1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2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45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6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90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5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27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24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6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4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4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7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46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7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9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20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5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30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71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83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797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938</v>
      </c>
      <c r="Q592" s="808"/>
      <c r="R592" s="808"/>
      <c r="S592" s="808"/>
      <c r="T592" s="808"/>
      <c r="U592" s="808"/>
      <c r="V592" s="809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17228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17423.16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939</v>
      </c>
      <c r="Q593" s="808"/>
      <c r="R593" s="808"/>
      <c r="S593" s="808"/>
      <c r="T593" s="808"/>
      <c r="U593" s="808"/>
      <c r="V593" s="809"/>
      <c r="W593" s="37" t="s">
        <v>68</v>
      </c>
      <c r="X593" s="667">
        <f>IFERROR(SUM(BM22:BM589),"0")</f>
        <v>18132.517530079404</v>
      </c>
      <c r="Y593" s="667">
        <f>IFERROR(SUM(BN22:BN589),"0")</f>
        <v>18338.944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940</v>
      </c>
      <c r="Q594" s="808"/>
      <c r="R594" s="808"/>
      <c r="S594" s="808"/>
      <c r="T594" s="808"/>
      <c r="U594" s="808"/>
      <c r="V594" s="809"/>
      <c r="W594" s="37" t="s">
        <v>941</v>
      </c>
      <c r="X594" s="38">
        <f>ROUNDUP(SUM(BO22:BO589),0)</f>
        <v>29</v>
      </c>
      <c r="Y594" s="38">
        <f>ROUNDUP(SUM(BP22:BP589),0)</f>
        <v>29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942</v>
      </c>
      <c r="Q595" s="808"/>
      <c r="R595" s="808"/>
      <c r="S595" s="808"/>
      <c r="T595" s="808"/>
      <c r="U595" s="808"/>
      <c r="V595" s="809"/>
      <c r="W595" s="37" t="s">
        <v>68</v>
      </c>
      <c r="X595" s="667">
        <f>GrossWeightTotal+PalletQtyTotal*25</f>
        <v>18857.517530079404</v>
      </c>
      <c r="Y595" s="667">
        <f>GrossWeightTotalR+PalletQtyTotalR*25</f>
        <v>19063.944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943</v>
      </c>
      <c r="Q596" s="808"/>
      <c r="R596" s="808"/>
      <c r="S596" s="808"/>
      <c r="T596" s="808"/>
      <c r="U596" s="808"/>
      <c r="V596" s="809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2739.9430760096079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2770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944</v>
      </c>
      <c r="Q597" s="808"/>
      <c r="R597" s="808"/>
      <c r="S597" s="808"/>
      <c r="T597" s="808"/>
      <c r="U597" s="808"/>
      <c r="V597" s="809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33.867199999999997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700"/>
      <c r="E599" s="700"/>
      <c r="F599" s="700"/>
      <c r="G599" s="700"/>
      <c r="H599" s="701"/>
      <c r="I599" s="675" t="s">
        <v>283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573</v>
      </c>
      <c r="X599" s="701"/>
      <c r="Y599" s="675" t="s">
        <v>651</v>
      </c>
      <c r="Z599" s="700"/>
      <c r="AA599" s="700"/>
      <c r="AB599" s="701"/>
      <c r="AC599" s="662" t="s">
        <v>726</v>
      </c>
      <c r="AD599" s="675" t="s">
        <v>828</v>
      </c>
      <c r="AE599" s="701"/>
      <c r="AF599" s="663"/>
    </row>
    <row r="600" spans="1:32" ht="14.25" customHeight="1" thickTop="1" x14ac:dyDescent="0.2">
      <c r="A600" s="992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844.2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1195.2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1128.3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1065.9000000000001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949.8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1907.1000000000001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151.19999999999999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60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598.5</v>
      </c>
      <c r="V602" s="46">
        <f>IFERROR(Y363*1,"0")+IFERROR(Y367*1,"0")+IFERROR(Y368*1,"0")+IFERROR(Y369*1,"0")</f>
        <v>21.6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4974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1596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2931.3600000000006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2,00"/>
        <filter val="1 131,00"/>
        <filter val="1 546,00"/>
        <filter val="1 704,00"/>
        <filter val="1,85"/>
        <filter val="10,00"/>
        <filter val="10,56"/>
        <filter val="106,72"/>
        <filter val="107,00"/>
        <filter val="11,11"/>
        <filter val="117,00"/>
        <filter val="125,00"/>
        <filter val="133,00"/>
        <filter val="137,00"/>
        <filter val="138,00"/>
        <filter val="139,00"/>
        <filter val="14,48"/>
        <filter val="143,00"/>
        <filter val="149,00"/>
        <filter val="17 228,00"/>
        <filter val="171,78"/>
        <filter val="178,00"/>
        <filter val="18 132,52"/>
        <filter val="18 857,52"/>
        <filter val="18,00"/>
        <filter val="182,00"/>
        <filter val="183,14"/>
        <filter val="191,00"/>
        <filter val="192,00"/>
        <filter val="2 000,00"/>
        <filter val="2 739,94"/>
        <filter val="20,00"/>
        <filter val="200,00"/>
        <filter val="210,00"/>
        <filter val="214,00"/>
        <filter val="215,00"/>
        <filter val="22,86"/>
        <filter val="220,00"/>
        <filter val="23,75"/>
        <filter val="231,00"/>
        <filter val="234,00"/>
        <filter val="241,00"/>
        <filter val="246,00"/>
        <filter val="247,00"/>
        <filter val="256,00"/>
        <filter val="262,00"/>
        <filter val="268,00"/>
        <filter val="269,00"/>
        <filter val="271,00"/>
        <filter val="283,00"/>
        <filter val="283,15"/>
        <filter val="29"/>
        <filter val="29,41"/>
        <filter val="293,20"/>
        <filter val="3 705,00"/>
        <filter val="3,42"/>
        <filter val="322,73"/>
        <filter val="337,00"/>
        <filter val="34,63"/>
        <filter val="35,00"/>
        <filter val="356,00"/>
        <filter val="356,19"/>
        <filter val="374,00"/>
        <filter val="39,00"/>
        <filter val="399,00"/>
        <filter val="40,00"/>
        <filter val="41,00"/>
        <filter val="44,00"/>
        <filter val="44,35"/>
        <filter val="46,00"/>
        <filter val="46,42"/>
        <filter val="47,00"/>
        <filter val="48,00"/>
        <filter val="5,00"/>
        <filter val="503,00"/>
        <filter val="556,00"/>
        <filter val="56,00"/>
        <filter val="560,00"/>
        <filter val="57,00"/>
        <filter val="59,00"/>
        <filter val="60,00"/>
        <filter val="60,38"/>
        <filter val="600,00"/>
        <filter val="62,34"/>
        <filter val="631,00"/>
        <filter val="639,00"/>
        <filter val="64,00"/>
        <filter val="65,69"/>
        <filter val="68,15"/>
        <filter val="7,02"/>
        <filter val="7,50"/>
        <filter val="72,00"/>
        <filter val="739,00"/>
        <filter val="75,00"/>
        <filter val="75,40"/>
        <filter val="771,00"/>
        <filter val="82,00"/>
        <filter val="835,00"/>
        <filter val="853,00"/>
        <filter val="863,00"/>
        <filter val="88,69"/>
        <filter val="890,00"/>
        <filter val="90,00"/>
        <filter val="944,00"/>
        <filter val="95,00"/>
        <filter val="955,00"/>
        <filter val="96,00"/>
        <filter val="967,00"/>
        <filter val="98,02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