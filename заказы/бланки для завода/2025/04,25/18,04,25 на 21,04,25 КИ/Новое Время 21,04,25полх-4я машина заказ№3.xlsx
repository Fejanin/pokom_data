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0DD5E19-F79C-423B-AEF2-5BC4B58AD21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P516" i="1"/>
  <c r="BO515" i="1"/>
  <c r="BM515" i="1"/>
  <c r="Y515" i="1"/>
  <c r="BO514" i="1"/>
  <c r="BM514" i="1"/>
  <c r="Y514" i="1"/>
  <c r="P514" i="1"/>
  <c r="BO513" i="1"/>
  <c r="BM513" i="1"/>
  <c r="Y513" i="1"/>
  <c r="BO512" i="1"/>
  <c r="BM512" i="1"/>
  <c r="Y512" i="1"/>
  <c r="P512" i="1"/>
  <c r="BO511" i="1"/>
  <c r="BM511" i="1"/>
  <c r="Y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O495" i="1"/>
  <c r="BM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O280" i="1"/>
  <c r="BN280" i="1"/>
  <c r="BM280" i="1"/>
  <c r="Z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O259" i="1"/>
  <c r="BM259" i="1"/>
  <c r="Y259" i="1"/>
  <c r="BP259" i="1" s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BP255" i="1" s="1"/>
  <c r="P255" i="1"/>
  <c r="X252" i="1"/>
  <c r="X251" i="1"/>
  <c r="BO250" i="1"/>
  <c r="BM250" i="1"/>
  <c r="Y250" i="1"/>
  <c r="Y252" i="1" s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BP220" i="1" s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BP21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M137" i="1"/>
  <c r="Y137" i="1"/>
  <c r="BP137" i="1" s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O123" i="1"/>
  <c r="BM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P120" i="1"/>
  <c r="BO119" i="1"/>
  <c r="BM119" i="1"/>
  <c r="Y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BP93" i="1" s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602" i="1" s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X593" i="1" s="1"/>
  <c r="Y22" i="1"/>
  <c r="BP22" i="1" s="1"/>
  <c r="P22" i="1"/>
  <c r="H10" i="1"/>
  <c r="A9" i="1"/>
  <c r="A10" i="1" s="1"/>
  <c r="D7" i="1"/>
  <c r="Q6" i="1"/>
  <c r="P2" i="1"/>
  <c r="BP115" i="1" l="1"/>
  <c r="BN115" i="1"/>
  <c r="Z115" i="1"/>
  <c r="BP123" i="1"/>
  <c r="BN123" i="1"/>
  <c r="Z123" i="1"/>
  <c r="BP143" i="1"/>
  <c r="BN143" i="1"/>
  <c r="Z143" i="1"/>
  <c r="BP204" i="1"/>
  <c r="BN204" i="1"/>
  <c r="Z204" i="1"/>
  <c r="BP224" i="1"/>
  <c r="BN224" i="1"/>
  <c r="Z224" i="1"/>
  <c r="BP242" i="1"/>
  <c r="BN242" i="1"/>
  <c r="Z242" i="1"/>
  <c r="BP321" i="1"/>
  <c r="BN321" i="1"/>
  <c r="Z321" i="1"/>
  <c r="BP345" i="1"/>
  <c r="BN345" i="1"/>
  <c r="Z345" i="1"/>
  <c r="BP384" i="1"/>
  <c r="BN384" i="1"/>
  <c r="Z384" i="1"/>
  <c r="BP437" i="1"/>
  <c r="BN437" i="1"/>
  <c r="Z437" i="1"/>
  <c r="Y504" i="1"/>
  <c r="Y503" i="1"/>
  <c r="BP499" i="1"/>
  <c r="BN499" i="1"/>
  <c r="Z499" i="1"/>
  <c r="BP501" i="1"/>
  <c r="BN501" i="1"/>
  <c r="Z501" i="1"/>
  <c r="BP513" i="1"/>
  <c r="BN513" i="1"/>
  <c r="Z513" i="1"/>
  <c r="Z40" i="1"/>
  <c r="BN40" i="1"/>
  <c r="Z59" i="1"/>
  <c r="BN59" i="1"/>
  <c r="Z71" i="1"/>
  <c r="BN71" i="1"/>
  <c r="Z88" i="1"/>
  <c r="BN88" i="1"/>
  <c r="Z93" i="1"/>
  <c r="BN93" i="1"/>
  <c r="Z100" i="1"/>
  <c r="BN100" i="1"/>
  <c r="BP120" i="1"/>
  <c r="BN120" i="1"/>
  <c r="Z120" i="1"/>
  <c r="BP124" i="1"/>
  <c r="BN124" i="1"/>
  <c r="Z124" i="1"/>
  <c r="Y166" i="1"/>
  <c r="Y165" i="1"/>
  <c r="BP164" i="1"/>
  <c r="BN164" i="1"/>
  <c r="Z164" i="1"/>
  <c r="Z165" i="1" s="1"/>
  <c r="Y172" i="1"/>
  <c r="Z170" i="1"/>
  <c r="Z171" i="1" s="1"/>
  <c r="BP214" i="1"/>
  <c r="BN214" i="1"/>
  <c r="Z214" i="1"/>
  <c r="BP237" i="1"/>
  <c r="BN237" i="1"/>
  <c r="Z237" i="1"/>
  <c r="BP271" i="1"/>
  <c r="BN271" i="1"/>
  <c r="Z271" i="1"/>
  <c r="BP335" i="1"/>
  <c r="BN335" i="1"/>
  <c r="Z335" i="1"/>
  <c r="BP376" i="1"/>
  <c r="BN376" i="1"/>
  <c r="Z376" i="1"/>
  <c r="BP404" i="1"/>
  <c r="BN404" i="1"/>
  <c r="Z404" i="1"/>
  <c r="BP438" i="1"/>
  <c r="BN438" i="1"/>
  <c r="Z438" i="1"/>
  <c r="BP500" i="1"/>
  <c r="BN500" i="1"/>
  <c r="Z500" i="1"/>
  <c r="BP502" i="1"/>
  <c r="BN502" i="1"/>
  <c r="Z502" i="1"/>
  <c r="BP512" i="1"/>
  <c r="BN512" i="1"/>
  <c r="Z512" i="1"/>
  <c r="BP516" i="1"/>
  <c r="BN516" i="1"/>
  <c r="Z516" i="1"/>
  <c r="F602" i="1"/>
  <c r="J9" i="1"/>
  <c r="T602" i="1"/>
  <c r="Y315" i="1"/>
  <c r="BP314" i="1"/>
  <c r="BN314" i="1"/>
  <c r="Z314" i="1"/>
  <c r="Z315" i="1" s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Z395" i="1" s="1"/>
  <c r="Y421" i="1"/>
  <c r="BP416" i="1"/>
  <c r="BN416" i="1"/>
  <c r="Z416" i="1"/>
  <c r="BP435" i="1"/>
  <c r="BN435" i="1"/>
  <c r="Z435" i="1"/>
  <c r="AA602" i="1"/>
  <c r="Y466" i="1"/>
  <c r="BP464" i="1"/>
  <c r="BN464" i="1"/>
  <c r="Z464" i="1"/>
  <c r="Z466" i="1" s="1"/>
  <c r="BP485" i="1"/>
  <c r="BN485" i="1"/>
  <c r="Z485" i="1"/>
  <c r="BP495" i="1"/>
  <c r="BN495" i="1"/>
  <c r="Z495" i="1"/>
  <c r="F9" i="1"/>
  <c r="F10" i="1"/>
  <c r="Z22" i="1"/>
  <c r="BN22" i="1"/>
  <c r="X596" i="1"/>
  <c r="Z38" i="1"/>
  <c r="BN38" i="1"/>
  <c r="Z44" i="1"/>
  <c r="Z45" i="1" s="1"/>
  <c r="BN44" i="1"/>
  <c r="BP44" i="1"/>
  <c r="Y45" i="1"/>
  <c r="Z49" i="1"/>
  <c r="BN49" i="1"/>
  <c r="Z53" i="1"/>
  <c r="BN53" i="1"/>
  <c r="Y63" i="1"/>
  <c r="Z61" i="1"/>
  <c r="BN61" i="1"/>
  <c r="Y69" i="1"/>
  <c r="Z67" i="1"/>
  <c r="BN67" i="1"/>
  <c r="Y77" i="1"/>
  <c r="Z73" i="1"/>
  <c r="BN73" i="1"/>
  <c r="Z81" i="1"/>
  <c r="BN81" i="1"/>
  <c r="E602" i="1"/>
  <c r="Y102" i="1"/>
  <c r="Z95" i="1"/>
  <c r="BN95" i="1"/>
  <c r="Z96" i="1"/>
  <c r="BN96" i="1"/>
  <c r="Z97" i="1"/>
  <c r="BN97" i="1"/>
  <c r="Z98" i="1"/>
  <c r="BN98" i="1"/>
  <c r="Z107" i="1"/>
  <c r="BN107" i="1"/>
  <c r="Z113" i="1"/>
  <c r="BN113" i="1"/>
  <c r="BP113" i="1"/>
  <c r="Y128" i="1"/>
  <c r="Z126" i="1"/>
  <c r="BN126" i="1"/>
  <c r="Z137" i="1"/>
  <c r="BN137" i="1"/>
  <c r="Z147" i="1"/>
  <c r="BN147" i="1"/>
  <c r="BP147" i="1"/>
  <c r="H602" i="1"/>
  <c r="Y162" i="1"/>
  <c r="Z160" i="1"/>
  <c r="BN160" i="1"/>
  <c r="Z177" i="1"/>
  <c r="BN177" i="1"/>
  <c r="Z180" i="1"/>
  <c r="BN180" i="1"/>
  <c r="Z202" i="1"/>
  <c r="BN202" i="1"/>
  <c r="Z206" i="1"/>
  <c r="BN206" i="1"/>
  <c r="Z212" i="1"/>
  <c r="BN212" i="1"/>
  <c r="Z216" i="1"/>
  <c r="BN216" i="1"/>
  <c r="Z220" i="1"/>
  <c r="BN220" i="1"/>
  <c r="Z231" i="1"/>
  <c r="BN231" i="1"/>
  <c r="Z235" i="1"/>
  <c r="BN235" i="1"/>
  <c r="Z250" i="1"/>
  <c r="Z251" i="1" s="1"/>
  <c r="BN250" i="1"/>
  <c r="BP250" i="1"/>
  <c r="Y251" i="1"/>
  <c r="Z255" i="1"/>
  <c r="BN255" i="1"/>
  <c r="Z259" i="1"/>
  <c r="BN259" i="1"/>
  <c r="Z278" i="1"/>
  <c r="BN278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AB602" i="1"/>
  <c r="Y471" i="1"/>
  <c r="BP470" i="1"/>
  <c r="BN470" i="1"/>
  <c r="Z470" i="1"/>
  <c r="Z471" i="1" s="1"/>
  <c r="BN474" i="1"/>
  <c r="Z474" i="1"/>
  <c r="Z475" i="1" s="1"/>
  <c r="BP481" i="1"/>
  <c r="BN481" i="1"/>
  <c r="Z481" i="1"/>
  <c r="BP486" i="1"/>
  <c r="BN486" i="1"/>
  <c r="Z486" i="1"/>
  <c r="BP522" i="1"/>
  <c r="BN522" i="1"/>
  <c r="Z522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Y150" i="1"/>
  <c r="Y155" i="1"/>
  <c r="Y161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Z198" i="1" s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BP217" i="1"/>
  <c r="BN217" i="1"/>
  <c r="Z217" i="1"/>
  <c r="Y221" i="1"/>
  <c r="BP225" i="1"/>
  <c r="BN225" i="1"/>
  <c r="Z225" i="1"/>
  <c r="Z226" i="1" s="1"/>
  <c r="Y227" i="1"/>
  <c r="K602" i="1"/>
  <c r="Y239" i="1"/>
  <c r="BP230" i="1"/>
  <c r="BN230" i="1"/>
  <c r="Z230" i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BP272" i="1"/>
  <c r="BN272" i="1"/>
  <c r="Z272" i="1"/>
  <c r="Y274" i="1"/>
  <c r="P602" i="1"/>
  <c r="Y282" i="1"/>
  <c r="BP277" i="1"/>
  <c r="BN277" i="1"/>
  <c r="Z277" i="1"/>
  <c r="BP281" i="1"/>
  <c r="BN281" i="1"/>
  <c r="Z281" i="1"/>
  <c r="Y283" i="1"/>
  <c r="Q602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2" i="1"/>
  <c r="Y300" i="1"/>
  <c r="BP299" i="1"/>
  <c r="BN299" i="1"/>
  <c r="Z299" i="1"/>
  <c r="Z300" i="1" s="1"/>
  <c r="Y301" i="1"/>
  <c r="S602" i="1"/>
  <c r="Y305" i="1"/>
  <c r="BP304" i="1"/>
  <c r="BN304" i="1"/>
  <c r="Z304" i="1"/>
  <c r="Z305" i="1" s="1"/>
  <c r="Y306" i="1"/>
  <c r="Y311" i="1"/>
  <c r="BP308" i="1"/>
  <c r="BN308" i="1"/>
  <c r="Z308" i="1"/>
  <c r="Z310" i="1" s="1"/>
  <c r="BP350" i="1"/>
  <c r="BN350" i="1"/>
  <c r="Z350" i="1"/>
  <c r="BP358" i="1"/>
  <c r="BN358" i="1"/>
  <c r="Z358" i="1"/>
  <c r="Y360" i="1"/>
  <c r="V602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Y391" i="1"/>
  <c r="Y399" i="1"/>
  <c r="BP398" i="1"/>
  <c r="BN398" i="1"/>
  <c r="Z398" i="1"/>
  <c r="Z399" i="1" s="1"/>
  <c r="Y400" i="1"/>
  <c r="X602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2" i="1"/>
  <c r="H9" i="1"/>
  <c r="B602" i="1"/>
  <c r="X594" i="1"/>
  <c r="X595" i="1" s="1"/>
  <c r="Z23" i="1"/>
  <c r="BN23" i="1"/>
  <c r="Z24" i="1"/>
  <c r="BN24" i="1"/>
  <c r="Z25" i="1"/>
  <c r="BN25" i="1"/>
  <c r="Z27" i="1"/>
  <c r="BN27" i="1"/>
  <c r="Y28" i="1"/>
  <c r="X592" i="1"/>
  <c r="Z31" i="1"/>
  <c r="Z32" i="1" s="1"/>
  <c r="BN31" i="1"/>
  <c r="BP31" i="1"/>
  <c r="Z37" i="1"/>
  <c r="BN37" i="1"/>
  <c r="BP37" i="1"/>
  <c r="Z39" i="1"/>
  <c r="BN39" i="1"/>
  <c r="Y42" i="1"/>
  <c r="D602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4" i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2" i="1"/>
  <c r="Z138" i="1"/>
  <c r="Z139" i="1" s="1"/>
  <c r="BN138" i="1"/>
  <c r="Y139" i="1"/>
  <c r="Z142" i="1"/>
  <c r="Z144" i="1" s="1"/>
  <c r="BN142" i="1"/>
  <c r="BP142" i="1"/>
  <c r="Z148" i="1"/>
  <c r="Z149" i="1" s="1"/>
  <c r="BN148" i="1"/>
  <c r="Z153" i="1"/>
  <c r="Z154" i="1" s="1"/>
  <c r="BN153" i="1"/>
  <c r="BP153" i="1"/>
  <c r="Y154" i="1"/>
  <c r="Z157" i="1"/>
  <c r="BN157" i="1"/>
  <c r="BP157" i="1"/>
  <c r="Z159" i="1"/>
  <c r="BN159" i="1"/>
  <c r="Y171" i="1"/>
  <c r="BP170" i="1"/>
  <c r="BN170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2" i="1"/>
  <c r="Y194" i="1"/>
  <c r="BP191" i="1"/>
  <c r="BN191" i="1"/>
  <c r="Z191" i="1"/>
  <c r="Z193" i="1" s="1"/>
  <c r="Y198" i="1"/>
  <c r="BP203" i="1"/>
  <c r="BN203" i="1"/>
  <c r="Z203" i="1"/>
  <c r="BP207" i="1"/>
  <c r="BN207" i="1"/>
  <c r="Z207" i="1"/>
  <c r="Y222" i="1"/>
  <c r="BP215" i="1"/>
  <c r="BN215" i="1"/>
  <c r="Z215" i="1"/>
  <c r="BP219" i="1"/>
  <c r="BN219" i="1"/>
  <c r="Z219" i="1"/>
  <c r="Y226" i="1"/>
  <c r="BP232" i="1"/>
  <c r="BN232" i="1"/>
  <c r="Z232" i="1"/>
  <c r="BP236" i="1"/>
  <c r="BN236" i="1"/>
  <c r="Z236" i="1"/>
  <c r="Y243" i="1"/>
  <c r="Y247" i="1"/>
  <c r="BP246" i="1"/>
  <c r="BN246" i="1"/>
  <c r="Z246" i="1"/>
  <c r="Z247" i="1" s="1"/>
  <c r="Y248" i="1"/>
  <c r="BP256" i="1"/>
  <c r="BN256" i="1"/>
  <c r="Z256" i="1"/>
  <c r="BP260" i="1"/>
  <c r="BN260" i="1"/>
  <c r="Z260" i="1"/>
  <c r="Y262" i="1"/>
  <c r="M602" i="1"/>
  <c r="Y266" i="1"/>
  <c r="BP265" i="1"/>
  <c r="BN265" i="1"/>
  <c r="Z265" i="1"/>
  <c r="Z266" i="1" s="1"/>
  <c r="Y267" i="1"/>
  <c r="O602" i="1"/>
  <c r="Y273" i="1"/>
  <c r="BP270" i="1"/>
  <c r="BN270" i="1"/>
  <c r="Z270" i="1"/>
  <c r="Z273" i="1" s="1"/>
  <c r="BP279" i="1"/>
  <c r="BN279" i="1"/>
  <c r="Z279" i="1"/>
  <c r="Y310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Y346" i="1"/>
  <c r="BP420" i="1"/>
  <c r="BN420" i="1"/>
  <c r="Z420" i="1"/>
  <c r="Y422" i="1"/>
  <c r="Y602" i="1"/>
  <c r="Y442" i="1"/>
  <c r="BP430" i="1"/>
  <c r="BN430" i="1"/>
  <c r="Z430" i="1"/>
  <c r="Y443" i="1"/>
  <c r="BP432" i="1"/>
  <c r="BN432" i="1"/>
  <c r="Z432" i="1"/>
  <c r="BP434" i="1"/>
  <c r="BN434" i="1"/>
  <c r="Z434" i="1"/>
  <c r="BP439" i="1"/>
  <c r="BN439" i="1"/>
  <c r="Z439" i="1"/>
  <c r="BP452" i="1"/>
  <c r="BN452" i="1"/>
  <c r="Z452" i="1"/>
  <c r="Z453" i="1" s="1"/>
  <c r="Y454" i="1"/>
  <c r="BP457" i="1"/>
  <c r="BN457" i="1"/>
  <c r="Z457" i="1"/>
  <c r="Z460" i="1" s="1"/>
  <c r="Y460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L602" i="1"/>
  <c r="Y261" i="1"/>
  <c r="Y316" i="1"/>
  <c r="U602" i="1"/>
  <c r="Y325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6" i="1"/>
  <c r="BN436" i="1"/>
  <c r="Z436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Y467" i="1"/>
  <c r="Y472" i="1"/>
  <c r="Y475" i="1"/>
  <c r="BP474" i="1"/>
  <c r="Y476" i="1"/>
  <c r="AC602" i="1"/>
  <c r="Y497" i="1"/>
  <c r="BP480" i="1"/>
  <c r="BN480" i="1"/>
  <c r="Z480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1" i="1"/>
  <c r="BN511" i="1"/>
  <c r="Z511" i="1"/>
  <c r="BP515" i="1"/>
  <c r="BN515" i="1"/>
  <c r="Z515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421" i="1" l="1"/>
  <c r="Z325" i="1"/>
  <c r="Z261" i="1"/>
  <c r="Z68" i="1"/>
  <c r="Z28" i="1"/>
  <c r="Z503" i="1"/>
  <c r="Z340" i="1"/>
  <c r="Z77" i="1"/>
  <c r="Z55" i="1"/>
  <c r="Z221" i="1"/>
  <c r="Z128" i="1"/>
  <c r="Z110" i="1"/>
  <c r="Z102" i="1"/>
  <c r="Z90" i="1"/>
  <c r="Z62" i="1"/>
  <c r="Y594" i="1"/>
  <c r="Z41" i="1"/>
  <c r="Y593" i="1"/>
  <c r="Y595" i="1" s="1"/>
  <c r="Z390" i="1"/>
  <c r="Z282" i="1"/>
  <c r="Z518" i="1"/>
  <c r="Z238" i="1"/>
  <c r="Z566" i="1"/>
  <c r="Z524" i="1"/>
  <c r="Z529" i="1"/>
  <c r="Z496" i="1"/>
  <c r="Z385" i="1"/>
  <c r="Z359" i="1"/>
  <c r="Z353" i="1"/>
  <c r="Z442" i="1"/>
  <c r="Z332" i="1"/>
  <c r="Z161" i="1"/>
  <c r="Z83" i="1"/>
  <c r="Y596" i="1"/>
  <c r="Z408" i="1"/>
  <c r="Z370" i="1"/>
  <c r="Z209" i="1"/>
  <c r="Z183" i="1"/>
  <c r="Y592" i="1"/>
  <c r="Z548" i="1"/>
  <c r="Z597" i="1" l="1"/>
</calcChain>
</file>

<file path=xl/sharedStrings.xml><?xml version="1.0" encoding="utf-8"?>
<sst xmlns="http://schemas.openxmlformats.org/spreadsheetml/2006/main" count="2726" uniqueCount="978">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</sst>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50" sqref="AA50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51" t="s">
        <v>0</v>
      </c>
      <c r="E1" s="698"/>
      <c r="F1" s="698"/>
      <c r="G1" s="12" t="s">
        <v>1</v>
      </c>
      <c r="H1" s="751" t="s">
        <v>2</v>
      </c>
      <c r="I1" s="698"/>
      <c r="J1" s="698"/>
      <c r="K1" s="698"/>
      <c r="L1" s="698"/>
      <c r="M1" s="698"/>
      <c r="N1" s="698"/>
      <c r="O1" s="698"/>
      <c r="P1" s="698"/>
      <c r="Q1" s="698"/>
      <c r="R1" s="697" t="s">
        <v>3</v>
      </c>
      <c r="S1" s="698"/>
      <c r="T1" s="6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7" t="s">
        <v>8</v>
      </c>
      <c r="B5" s="808"/>
      <c r="C5" s="809"/>
      <c r="D5" s="755"/>
      <c r="E5" s="756"/>
      <c r="F5" s="1009" t="s">
        <v>9</v>
      </c>
      <c r="G5" s="809"/>
      <c r="H5" s="755" t="s">
        <v>977</v>
      </c>
      <c r="I5" s="947"/>
      <c r="J5" s="947"/>
      <c r="K5" s="947"/>
      <c r="L5" s="947"/>
      <c r="M5" s="756"/>
      <c r="N5" s="58"/>
      <c r="P5" s="24" t="s">
        <v>10</v>
      </c>
      <c r="Q5" s="1023">
        <v>45768</v>
      </c>
      <c r="R5" s="806"/>
      <c r="T5" s="854" t="s">
        <v>11</v>
      </c>
      <c r="U5" s="761"/>
      <c r="V5" s="856" t="s">
        <v>12</v>
      </c>
      <c r="W5" s="806"/>
      <c r="AB5" s="51"/>
      <c r="AC5" s="51"/>
      <c r="AD5" s="51"/>
      <c r="AE5" s="51"/>
    </row>
    <row r="6" spans="1:32" s="659" customFormat="1" ht="24" customHeight="1" x14ac:dyDescent="0.2">
      <c r="A6" s="807" t="s">
        <v>13</v>
      </c>
      <c r="B6" s="808"/>
      <c r="C6" s="809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806"/>
      <c r="N6" s="59"/>
      <c r="P6" s="24" t="s">
        <v>15</v>
      </c>
      <c r="Q6" s="1030" t="str">
        <f>IF(Q5=0," ",CHOOSE(WEEKDAY(Q5,2),"Понедельник","Вторник","Среда","Четверг","Пятница","Суббота","Воскресенье"))</f>
        <v>Понедельник</v>
      </c>
      <c r="R6" s="670"/>
      <c r="T6" s="859" t="s">
        <v>16</v>
      </c>
      <c r="U6" s="761"/>
      <c r="V6" s="929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5" t="str">
        <f>IFERROR(VLOOKUP(DeliveryAddress,Table,3,0),1)</f>
        <v>4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761"/>
      <c r="V7" s="930"/>
      <c r="W7" s="931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7"/>
      <c r="C8" s="688"/>
      <c r="D8" s="738"/>
      <c r="E8" s="739"/>
      <c r="F8" s="739"/>
      <c r="G8" s="739"/>
      <c r="H8" s="739"/>
      <c r="I8" s="739"/>
      <c r="J8" s="739"/>
      <c r="K8" s="739"/>
      <c r="L8" s="739"/>
      <c r="M8" s="740"/>
      <c r="N8" s="61"/>
      <c r="P8" s="24" t="s">
        <v>19</v>
      </c>
      <c r="Q8" s="818">
        <v>0.5</v>
      </c>
      <c r="R8" s="727"/>
      <c r="T8" s="679"/>
      <c r="U8" s="761"/>
      <c r="V8" s="930"/>
      <c r="W8" s="931"/>
      <c r="AB8" s="51"/>
      <c r="AC8" s="51"/>
      <c r="AD8" s="51"/>
      <c r="AE8" s="51"/>
    </row>
    <row r="9" spans="1:32" s="659" customFormat="1" ht="39.950000000000003" customHeight="1" x14ac:dyDescent="0.2">
      <c r="A9" s="8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38"/>
      <c r="E9" s="685"/>
      <c r="F9" s="8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20</v>
      </c>
      <c r="Q9" s="801"/>
      <c r="R9" s="802"/>
      <c r="T9" s="679"/>
      <c r="U9" s="761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38"/>
      <c r="E10" s="685"/>
      <c r="F10" s="8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21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21</v>
      </c>
      <c r="Q10" s="860"/>
      <c r="R10" s="861"/>
      <c r="U10" s="24" t="s">
        <v>22</v>
      </c>
      <c r="V10" s="708" t="s">
        <v>23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5"/>
      <c r="R11" s="806"/>
      <c r="U11" s="24" t="s">
        <v>26</v>
      </c>
      <c r="V11" s="968" t="s">
        <v>27</v>
      </c>
      <c r="W11" s="802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28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29</v>
      </c>
      <c r="Q12" s="818"/>
      <c r="R12" s="727"/>
      <c r="S12" s="23"/>
      <c r="U12" s="24"/>
      <c r="V12" s="698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30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31</v>
      </c>
      <c r="Q13" s="968"/>
      <c r="R13" s="8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32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33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44" t="s">
        <v>34</v>
      </c>
      <c r="Q15" s="698"/>
      <c r="R15" s="698"/>
      <c r="S15" s="698"/>
      <c r="T15" s="6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5"/>
      <c r="Q16" s="845"/>
      <c r="R16" s="845"/>
      <c r="S16" s="845"/>
      <c r="T16" s="8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35</v>
      </c>
      <c r="B17" s="692" t="s">
        <v>36</v>
      </c>
      <c r="C17" s="831" t="s">
        <v>37</v>
      </c>
      <c r="D17" s="692" t="s">
        <v>38</v>
      </c>
      <c r="E17" s="782"/>
      <c r="F17" s="692" t="s">
        <v>39</v>
      </c>
      <c r="G17" s="692" t="s">
        <v>40</v>
      </c>
      <c r="H17" s="692" t="s">
        <v>41</v>
      </c>
      <c r="I17" s="692" t="s">
        <v>42</v>
      </c>
      <c r="J17" s="692" t="s">
        <v>43</v>
      </c>
      <c r="K17" s="692" t="s">
        <v>44</v>
      </c>
      <c r="L17" s="692" t="s">
        <v>45</v>
      </c>
      <c r="M17" s="692" t="s">
        <v>46</v>
      </c>
      <c r="N17" s="692" t="s">
        <v>47</v>
      </c>
      <c r="O17" s="692" t="s">
        <v>48</v>
      </c>
      <c r="P17" s="692" t="s">
        <v>49</v>
      </c>
      <c r="Q17" s="781"/>
      <c r="R17" s="781"/>
      <c r="S17" s="781"/>
      <c r="T17" s="782"/>
      <c r="U17" s="1040" t="s">
        <v>50</v>
      </c>
      <c r="V17" s="809"/>
      <c r="W17" s="692" t="s">
        <v>51</v>
      </c>
      <c r="X17" s="692" t="s">
        <v>52</v>
      </c>
      <c r="Y17" s="1041" t="s">
        <v>53</v>
      </c>
      <c r="Z17" s="944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4"/>
      <c r="AF17" s="1005"/>
      <c r="AG17" s="66"/>
      <c r="BD17" s="65" t="s">
        <v>59</v>
      </c>
    </row>
    <row r="18" spans="1:68" ht="14.25" customHeight="1" x14ac:dyDescent="0.2">
      <c r="A18" s="693"/>
      <c r="B18" s="693"/>
      <c r="C18" s="693"/>
      <c r="D18" s="783"/>
      <c r="E18" s="78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83"/>
      <c r="Q18" s="784"/>
      <c r="R18" s="784"/>
      <c r="S18" s="784"/>
      <c r="T18" s="785"/>
      <c r="U18" s="67" t="s">
        <v>60</v>
      </c>
      <c r="V18" s="67" t="s">
        <v>61</v>
      </c>
      <c r="W18" s="693"/>
      <c r="X18" s="693"/>
      <c r="Y18" s="1042"/>
      <c r="Z18" s="945"/>
      <c r="AA18" s="919"/>
      <c r="AB18" s="919"/>
      <c r="AC18" s="919"/>
      <c r="AD18" s="1006"/>
      <c r="AE18" s="1007"/>
      <c r="AF18" s="1008"/>
      <c r="AG18" s="66"/>
      <c r="BD18" s="65"/>
    </row>
    <row r="19" spans="1:68" ht="27.75" hidden="1" customHeight="1" x14ac:dyDescent="0.2">
      <c r="A19" s="681" t="s">
        <v>62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hidden="1" customHeight="1" x14ac:dyDescent="0.25">
      <c r="A20" s="718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hidden="1" customHeight="1" x14ac:dyDescent="0.25">
      <c r="A21" s="683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68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68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9" t="s">
        <v>75</v>
      </c>
      <c r="Q24" s="672"/>
      <c r="R24" s="672"/>
      <c r="S24" s="672"/>
      <c r="T24" s="673"/>
      <c r="U24" s="34"/>
      <c r="V24" s="34"/>
      <c r="W24" s="35" t="s">
        <v>68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6" t="s">
        <v>79</v>
      </c>
      <c r="Q25" s="672"/>
      <c r="R25" s="672"/>
      <c r="S25" s="672"/>
      <c r="T25" s="673"/>
      <c r="U25" s="34"/>
      <c r="V25" s="34"/>
      <c r="W25" s="35" t="s">
        <v>68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68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68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87</v>
      </c>
      <c r="Q28" s="687"/>
      <c r="R28" s="687"/>
      <c r="S28" s="687"/>
      <c r="T28" s="687"/>
      <c r="U28" s="687"/>
      <c r="V28" s="688"/>
      <c r="W28" s="37" t="s">
        <v>88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87</v>
      </c>
      <c r="Q29" s="687"/>
      <c r="R29" s="687"/>
      <c r="S29" s="687"/>
      <c r="T29" s="687"/>
      <c r="U29" s="687"/>
      <c r="V29" s="688"/>
      <c r="W29" s="37" t="s">
        <v>68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hidden="1" customHeight="1" x14ac:dyDescent="0.25">
      <c r="A30" s="683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68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87</v>
      </c>
      <c r="Q32" s="687"/>
      <c r="R32" s="687"/>
      <c r="S32" s="687"/>
      <c r="T32" s="687"/>
      <c r="U32" s="687"/>
      <c r="V32" s="688"/>
      <c r="W32" s="37" t="s">
        <v>88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hidden="1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87</v>
      </c>
      <c r="Q33" s="687"/>
      <c r="R33" s="687"/>
      <c r="S33" s="687"/>
      <c r="T33" s="687"/>
      <c r="U33" s="687"/>
      <c r="V33" s="688"/>
      <c r="W33" s="37" t="s">
        <v>68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hidden="1" customHeight="1" x14ac:dyDescent="0.2">
      <c r="A34" s="681" t="s">
        <v>95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hidden="1" customHeight="1" x14ac:dyDescent="0.25">
      <c r="A35" s="718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hidden="1" customHeight="1" x14ac:dyDescent="0.25">
      <c r="A36" s="683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68</v>
      </c>
      <c r="X37" s="665">
        <v>0</v>
      </c>
      <c r="Y37" s="666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68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68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87</v>
      </c>
      <c r="Q41" s="687"/>
      <c r="R41" s="687"/>
      <c r="S41" s="687"/>
      <c r="T41" s="687"/>
      <c r="U41" s="687"/>
      <c r="V41" s="688"/>
      <c r="W41" s="37" t="s">
        <v>88</v>
      </c>
      <c r="X41" s="667">
        <f>IFERROR(X37/H37,"0")+IFERROR(X38/H38,"0")+IFERROR(X39/H39,"0")+IFERROR(X40/H40,"0")</f>
        <v>0</v>
      </c>
      <c r="Y41" s="667">
        <f>IFERROR(Y37/H37,"0")+IFERROR(Y38/H38,"0")+IFERROR(Y39/H39,"0")+IFERROR(Y40/H40,"0")</f>
        <v>0</v>
      </c>
      <c r="Z41" s="667">
        <f>IFERROR(IF(Z37="",0,Z37),"0")+IFERROR(IF(Z38="",0,Z38),"0")+IFERROR(IF(Z39="",0,Z39),"0")+IFERROR(IF(Z40="",0,Z40),"0")</f>
        <v>0</v>
      </c>
      <c r="AA41" s="668"/>
      <c r="AB41" s="668"/>
      <c r="AC41" s="668"/>
    </row>
    <row r="42" spans="1:68" hidden="1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87</v>
      </c>
      <c r="Q42" s="687"/>
      <c r="R42" s="687"/>
      <c r="S42" s="687"/>
      <c r="T42" s="687"/>
      <c r="U42" s="687"/>
      <c r="V42" s="688"/>
      <c r="W42" s="37" t="s">
        <v>68</v>
      </c>
      <c r="X42" s="667">
        <f>IFERROR(SUM(X37:X40),"0")</f>
        <v>0</v>
      </c>
      <c r="Y42" s="667">
        <f>IFERROR(SUM(Y37:Y40),"0")</f>
        <v>0</v>
      </c>
      <c r="Z42" s="37"/>
      <c r="AA42" s="668"/>
      <c r="AB42" s="668"/>
      <c r="AC42" s="668"/>
    </row>
    <row r="43" spans="1:68" ht="14.25" hidden="1" customHeight="1" x14ac:dyDescent="0.25">
      <c r="A43" s="683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68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87</v>
      </c>
      <c r="Q45" s="687"/>
      <c r="R45" s="687"/>
      <c r="S45" s="687"/>
      <c r="T45" s="687"/>
      <c r="U45" s="687"/>
      <c r="V45" s="688"/>
      <c r="W45" s="37" t="s">
        <v>88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87</v>
      </c>
      <c r="Q46" s="687"/>
      <c r="R46" s="687"/>
      <c r="S46" s="687"/>
      <c r="T46" s="687"/>
      <c r="U46" s="687"/>
      <c r="V46" s="688"/>
      <c r="W46" s="37" t="s">
        <v>68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hidden="1" customHeight="1" x14ac:dyDescent="0.25">
      <c r="A47" s="718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hidden="1" customHeight="1" x14ac:dyDescent="0.25">
      <c r="A48" s="683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68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68</v>
      </c>
      <c r="X50" s="665">
        <v>150</v>
      </c>
      <c r="Y50" s="666">
        <f t="shared" si="6"/>
        <v>151.20000000000002</v>
      </c>
      <c r="Z50" s="36">
        <f>IFERROR(IF(Y50=0,"",ROUNDUP(Y50/H50,0)*0.01898),"")</f>
        <v>0.26572000000000001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156.04166666666666</v>
      </c>
      <c r="BN50" s="64">
        <f t="shared" si="8"/>
        <v>157.29000000000002</v>
      </c>
      <c r="BO50" s="64">
        <f t="shared" si="9"/>
        <v>0.21701388888888887</v>
      </c>
      <c r="BP50" s="64">
        <f t="shared" si="10"/>
        <v>0.21875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68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10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68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3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68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68</v>
      </c>
      <c r="X54" s="665">
        <v>22.5</v>
      </c>
      <c r="Y54" s="666">
        <f t="shared" si="6"/>
        <v>22.5</v>
      </c>
      <c r="Z54" s="36">
        <f>IFERROR(IF(Y54=0,"",ROUNDUP(Y54/H54,0)*0.00902),"")</f>
        <v>4.5100000000000001E-2</v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23.549999999999997</v>
      </c>
      <c r="BN54" s="64">
        <f t="shared" si="8"/>
        <v>23.549999999999997</v>
      </c>
      <c r="BO54" s="64">
        <f t="shared" si="9"/>
        <v>3.787878787878788E-2</v>
      </c>
      <c r="BP54" s="64">
        <f t="shared" si="10"/>
        <v>3.787878787878788E-2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87</v>
      </c>
      <c r="Q55" s="687"/>
      <c r="R55" s="687"/>
      <c r="S55" s="687"/>
      <c r="T55" s="687"/>
      <c r="U55" s="687"/>
      <c r="V55" s="688"/>
      <c r="W55" s="37" t="s">
        <v>88</v>
      </c>
      <c r="X55" s="667">
        <f>IFERROR(X49/H49,"0")+IFERROR(X50/H50,"0")+IFERROR(X51/H51,"0")+IFERROR(X52/H52,"0")+IFERROR(X53/H53,"0")+IFERROR(X54/H54,"0")</f>
        <v>18.888888888888886</v>
      </c>
      <c r="Y55" s="667">
        <f>IFERROR(Y49/H49,"0")+IFERROR(Y50/H50,"0")+IFERROR(Y51/H51,"0")+IFERROR(Y52/H52,"0")+IFERROR(Y53/H53,"0")+IFERROR(Y54/H54,"0")</f>
        <v>19</v>
      </c>
      <c r="Z55" s="667">
        <f>IFERROR(IF(Z49="",0,Z49),"0")+IFERROR(IF(Z50="",0,Z50),"0")+IFERROR(IF(Z51="",0,Z51),"0")+IFERROR(IF(Z52="",0,Z52),"0")+IFERROR(IF(Z53="",0,Z53),"0")+IFERROR(IF(Z54="",0,Z54),"0")</f>
        <v>0.31081999999999999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87</v>
      </c>
      <c r="Q56" s="687"/>
      <c r="R56" s="687"/>
      <c r="S56" s="687"/>
      <c r="T56" s="687"/>
      <c r="U56" s="687"/>
      <c r="V56" s="688"/>
      <c r="W56" s="37" t="s">
        <v>68</v>
      </c>
      <c r="X56" s="667">
        <f>IFERROR(SUM(X49:X54),"0")</f>
        <v>172.5</v>
      </c>
      <c r="Y56" s="667">
        <f>IFERROR(SUM(Y49:Y54),"0")</f>
        <v>173.70000000000002</v>
      </c>
      <c r="Z56" s="37"/>
      <c r="AA56" s="668"/>
      <c r="AB56" s="668"/>
      <c r="AC56" s="668"/>
    </row>
    <row r="57" spans="1:68" ht="14.25" hidden="1" customHeight="1" x14ac:dyDescent="0.25">
      <c r="A57" s="683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68</v>
      </c>
      <c r="X58" s="665">
        <v>150</v>
      </c>
      <c r="Y58" s="666">
        <f>IFERROR(IF(X58="",0,CEILING((X58/$H58),1)*$H58),"")</f>
        <v>151.20000000000002</v>
      </c>
      <c r="Z58" s="36">
        <f>IFERROR(IF(Y58=0,"",ROUNDUP(Y58/H58,0)*0.01898),"")</f>
        <v>0.26572000000000001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156.04166666666666</v>
      </c>
      <c r="BN58" s="64">
        <f>IFERROR(Y58*I58/H58,"0")</f>
        <v>157.29000000000002</v>
      </c>
      <c r="BO58" s="64">
        <f>IFERROR(1/J58*(X58/H58),"0")</f>
        <v>0.21701388888888887</v>
      </c>
      <c r="BP58" s="64">
        <f>IFERROR(1/J58*(Y58/H58),"0")</f>
        <v>0.21875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68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87</v>
      </c>
      <c r="Q62" s="687"/>
      <c r="R62" s="687"/>
      <c r="S62" s="687"/>
      <c r="T62" s="687"/>
      <c r="U62" s="687"/>
      <c r="V62" s="688"/>
      <c r="W62" s="37" t="s">
        <v>88</v>
      </c>
      <c r="X62" s="667">
        <f>IFERROR(X58/H58,"0")+IFERROR(X59/H59,"0")+IFERROR(X60/H60,"0")+IFERROR(X61/H61,"0")</f>
        <v>13.888888888888888</v>
      </c>
      <c r="Y62" s="667">
        <f>IFERROR(Y58/H58,"0")+IFERROR(Y59/H59,"0")+IFERROR(Y60/H60,"0")+IFERROR(Y61/H61,"0")</f>
        <v>14</v>
      </c>
      <c r="Z62" s="667">
        <f>IFERROR(IF(Z58="",0,Z58),"0")+IFERROR(IF(Z59="",0,Z59),"0")+IFERROR(IF(Z60="",0,Z60),"0")+IFERROR(IF(Z61="",0,Z61),"0")</f>
        <v>0.26572000000000001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87</v>
      </c>
      <c r="Q63" s="687"/>
      <c r="R63" s="687"/>
      <c r="S63" s="687"/>
      <c r="T63" s="687"/>
      <c r="U63" s="687"/>
      <c r="V63" s="688"/>
      <c r="W63" s="37" t="s">
        <v>68</v>
      </c>
      <c r="X63" s="667">
        <f>IFERROR(SUM(X58:X61),"0")</f>
        <v>150</v>
      </c>
      <c r="Y63" s="667">
        <f>IFERROR(SUM(Y58:Y61),"0")</f>
        <v>151.20000000000002</v>
      </c>
      <c r="Z63" s="37"/>
      <c r="AA63" s="668"/>
      <c r="AB63" s="668"/>
      <c r="AC63" s="668"/>
    </row>
    <row r="64" spans="1:68" ht="14.25" hidden="1" customHeight="1" x14ac:dyDescent="0.25">
      <c r="A64" s="683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68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68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87</v>
      </c>
      <c r="Q68" s="687"/>
      <c r="R68" s="687"/>
      <c r="S68" s="687"/>
      <c r="T68" s="687"/>
      <c r="U68" s="687"/>
      <c r="V68" s="688"/>
      <c r="W68" s="37" t="s">
        <v>88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hidden="1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87</v>
      </c>
      <c r="Q69" s="687"/>
      <c r="R69" s="687"/>
      <c r="S69" s="687"/>
      <c r="T69" s="687"/>
      <c r="U69" s="687"/>
      <c r="V69" s="688"/>
      <c r="W69" s="37" t="s">
        <v>68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hidden="1" customHeight="1" x14ac:dyDescent="0.25">
      <c r="A70" s="683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68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91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68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68</v>
      </c>
      <c r="X73" s="665">
        <v>180</v>
      </c>
      <c r="Y73" s="666">
        <f t="shared" si="11"/>
        <v>184.8</v>
      </c>
      <c r="Z73" s="36">
        <f>IFERROR(IF(Y73=0,"",ROUNDUP(Y73/H73,0)*0.01898),"")</f>
        <v>0.41755999999999999</v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190.8642857142857</v>
      </c>
      <c r="BN73" s="64">
        <f t="shared" si="13"/>
        <v>195.95399999999998</v>
      </c>
      <c r="BO73" s="64">
        <f t="shared" si="14"/>
        <v>0.33482142857142855</v>
      </c>
      <c r="BP73" s="64">
        <f t="shared" si="15"/>
        <v>0.34375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68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68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68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87</v>
      </c>
      <c r="Q77" s="687"/>
      <c r="R77" s="687"/>
      <c r="S77" s="687"/>
      <c r="T77" s="687"/>
      <c r="U77" s="687"/>
      <c r="V77" s="688"/>
      <c r="W77" s="37" t="s">
        <v>88</v>
      </c>
      <c r="X77" s="667">
        <f>IFERROR(X71/H71,"0")+IFERROR(X72/H72,"0")+IFERROR(X73/H73,"0")+IFERROR(X74/H74,"0")+IFERROR(X75/H75,"0")+IFERROR(X76/H76,"0")</f>
        <v>21.428571428571427</v>
      </c>
      <c r="Y77" s="667">
        <f>IFERROR(Y71/H71,"0")+IFERROR(Y72/H72,"0")+IFERROR(Y73/H73,"0")+IFERROR(Y74/H74,"0")+IFERROR(Y75/H75,"0")+IFERROR(Y76/H76,"0")</f>
        <v>22</v>
      </c>
      <c r="Z77" s="667">
        <f>IFERROR(IF(Z71="",0,Z71),"0")+IFERROR(IF(Z72="",0,Z72),"0")+IFERROR(IF(Z73="",0,Z73),"0")+IFERROR(IF(Z74="",0,Z74),"0")+IFERROR(IF(Z75="",0,Z75),"0")+IFERROR(IF(Z76="",0,Z76),"0")</f>
        <v>0.41755999999999999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87</v>
      </c>
      <c r="Q78" s="687"/>
      <c r="R78" s="687"/>
      <c r="S78" s="687"/>
      <c r="T78" s="687"/>
      <c r="U78" s="687"/>
      <c r="V78" s="688"/>
      <c r="W78" s="37" t="s">
        <v>68</v>
      </c>
      <c r="X78" s="667">
        <f>IFERROR(SUM(X71:X76),"0")</f>
        <v>180</v>
      </c>
      <c r="Y78" s="667">
        <f>IFERROR(SUM(Y71:Y76),"0")</f>
        <v>184.8</v>
      </c>
      <c r="Z78" s="37"/>
      <c r="AA78" s="668"/>
      <c r="AB78" s="668"/>
      <c r="AC78" s="668"/>
    </row>
    <row r="79" spans="1:68" ht="14.25" hidden="1" customHeight="1" x14ac:dyDescent="0.25">
      <c r="A79" s="683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68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68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87</v>
      </c>
      <c r="Q83" s="687"/>
      <c r="R83" s="687"/>
      <c r="S83" s="687"/>
      <c r="T83" s="687"/>
      <c r="U83" s="687"/>
      <c r="V83" s="688"/>
      <c r="W83" s="37" t="s">
        <v>88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hidden="1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87</v>
      </c>
      <c r="Q84" s="687"/>
      <c r="R84" s="687"/>
      <c r="S84" s="687"/>
      <c r="T84" s="687"/>
      <c r="U84" s="687"/>
      <c r="V84" s="688"/>
      <c r="W84" s="37" t="s">
        <v>68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hidden="1" customHeight="1" x14ac:dyDescent="0.25">
      <c r="A85" s="718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hidden="1" customHeight="1" x14ac:dyDescent="0.25">
      <c r="A86" s="683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68</v>
      </c>
      <c r="X87" s="665">
        <v>0</v>
      </c>
      <c r="Y87" s="666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68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87</v>
      </c>
      <c r="Q90" s="687"/>
      <c r="R90" s="687"/>
      <c r="S90" s="687"/>
      <c r="T90" s="687"/>
      <c r="U90" s="687"/>
      <c r="V90" s="688"/>
      <c r="W90" s="37" t="s">
        <v>88</v>
      </c>
      <c r="X90" s="667">
        <f>IFERROR(X87/H87,"0")+IFERROR(X88/H88,"0")+IFERROR(X89/H89,"0")</f>
        <v>0</v>
      </c>
      <c r="Y90" s="667">
        <f>IFERROR(Y87/H87,"0")+IFERROR(Y88/H88,"0")+IFERROR(Y89/H89,"0")</f>
        <v>0</v>
      </c>
      <c r="Z90" s="667">
        <f>IFERROR(IF(Z87="",0,Z87),"0")+IFERROR(IF(Z88="",0,Z88),"0")+IFERROR(IF(Z89="",0,Z89),"0")</f>
        <v>0</v>
      </c>
      <c r="AA90" s="668"/>
      <c r="AB90" s="668"/>
      <c r="AC90" s="668"/>
    </row>
    <row r="91" spans="1:68" hidden="1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87</v>
      </c>
      <c r="Q91" s="687"/>
      <c r="R91" s="687"/>
      <c r="S91" s="687"/>
      <c r="T91" s="687"/>
      <c r="U91" s="687"/>
      <c r="V91" s="688"/>
      <c r="W91" s="37" t="s">
        <v>68</v>
      </c>
      <c r="X91" s="667">
        <f>IFERROR(SUM(X87:X89),"0")</f>
        <v>0</v>
      </c>
      <c r="Y91" s="667">
        <f>IFERROR(SUM(Y87:Y89),"0")</f>
        <v>0</v>
      </c>
      <c r="Z91" s="37"/>
      <c r="AA91" s="668"/>
      <c r="AB91" s="668"/>
      <c r="AC91" s="668"/>
    </row>
    <row r="92" spans="1:68" ht="14.25" hidden="1" customHeight="1" x14ac:dyDescent="0.25">
      <c r="A92" s="683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69">
        <v>4607091386967</v>
      </c>
      <c r="E93" s="670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7" t="s">
        <v>189</v>
      </c>
      <c r="Q93" s="672"/>
      <c r="R93" s="672"/>
      <c r="S93" s="672"/>
      <c r="T93" s="673"/>
      <c r="U93" s="34"/>
      <c r="V93" s="34"/>
      <c r="W93" s="35" t="s">
        <v>68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69">
        <v>4607091386967</v>
      </c>
      <c r="E94" s="670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5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2"/>
      <c r="R94" s="672"/>
      <c r="S94" s="672"/>
      <c r="T94" s="673"/>
      <c r="U94" s="34"/>
      <c r="V94" s="34"/>
      <c r="W94" s="35" t="s">
        <v>68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7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2"/>
      <c r="R95" s="672"/>
      <c r="S95" s="672"/>
      <c r="T95" s="673"/>
      <c r="U95" s="34"/>
      <c r="V95" s="34"/>
      <c r="W95" s="35" t="s">
        <v>68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7" t="s">
        <v>196</v>
      </c>
      <c r="Q96" s="672"/>
      <c r="R96" s="672"/>
      <c r="S96" s="672"/>
      <c r="T96" s="673"/>
      <c r="U96" s="34"/>
      <c r="V96" s="34"/>
      <c r="W96" s="35" t="s">
        <v>68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hidden="1" customHeight="1" x14ac:dyDescent="0.25">
      <c r="A97" s="54" t="s">
        <v>198</v>
      </c>
      <c r="B97" s="54" t="s">
        <v>199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106</v>
      </c>
      <c r="N97" s="33"/>
      <c r="O97" s="32">
        <v>45</v>
      </c>
      <c r="P97" s="774" t="s">
        <v>200</v>
      </c>
      <c r="Q97" s="672"/>
      <c r="R97" s="672"/>
      <c r="S97" s="672"/>
      <c r="T97" s="673"/>
      <c r="U97" s="34"/>
      <c r="V97" s="34"/>
      <c r="W97" s="35" t="s">
        <v>68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hidden="1" customHeight="1" x14ac:dyDescent="0.25">
      <c r="A98" s="54" t="s">
        <v>198</v>
      </c>
      <c r="B98" s="54" t="s">
        <v>201</v>
      </c>
      <c r="C98" s="31">
        <v>4301051718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66</v>
      </c>
      <c r="L98" s="32"/>
      <c r="M98" s="33" t="s">
        <v>129</v>
      </c>
      <c r="N98" s="33"/>
      <c r="O98" s="32">
        <v>45</v>
      </c>
      <c r="P98" s="948" t="s">
        <v>202</v>
      </c>
      <c r="Q98" s="672"/>
      <c r="R98" s="672"/>
      <c r="S98" s="672"/>
      <c r="T98" s="673"/>
      <c r="U98" s="34"/>
      <c r="V98" s="34"/>
      <c r="W98" s="35" t="s">
        <v>68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68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3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68</v>
      </c>
      <c r="X100" s="665">
        <v>0</v>
      </c>
      <c r="Y100" s="666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69">
        <v>4680115880214</v>
      </c>
      <c r="E101" s="670"/>
      <c r="F101" s="664">
        <v>0.45</v>
      </c>
      <c r="G101" s="32">
        <v>6</v>
      </c>
      <c r="H101" s="664">
        <v>2.7</v>
      </c>
      <c r="I101" s="664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2"/>
      <c r="R101" s="672"/>
      <c r="S101" s="672"/>
      <c r="T101" s="673"/>
      <c r="U101" s="34"/>
      <c r="V101" s="34"/>
      <c r="W101" s="35" t="s">
        <v>68</v>
      </c>
      <c r="X101" s="665">
        <v>0</v>
      </c>
      <c r="Y101" s="666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87</v>
      </c>
      <c r="Q102" s="687"/>
      <c r="R102" s="687"/>
      <c r="S102" s="687"/>
      <c r="T102" s="687"/>
      <c r="U102" s="687"/>
      <c r="V102" s="688"/>
      <c r="W102" s="37" t="s">
        <v>88</v>
      </c>
      <c r="X102" s="667">
        <f>IFERROR(X93/H93,"0")+IFERROR(X94/H94,"0")+IFERROR(X95/H95,"0")+IFERROR(X96/H96,"0")+IFERROR(X97/H97,"0")+IFERROR(X98/H98,"0")+IFERROR(X99/H99,"0")+IFERROR(X100/H100,"0")+IFERROR(X101/H101,"0")</f>
        <v>0</v>
      </c>
      <c r="Y102" s="667">
        <f>IFERROR(Y93/H93,"0")+IFERROR(Y94/H94,"0")+IFERROR(Y95/H95,"0")+IFERROR(Y96/H96,"0")+IFERROR(Y97/H97,"0")+IFERROR(Y98/H98,"0")+IFERROR(Y99/H99,"0")+IFERROR(Y100/H100,"0")+IFERROR(Y101/H101,"0")</f>
        <v>0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8"/>
      <c r="AB102" s="668"/>
      <c r="AC102" s="668"/>
    </row>
    <row r="103" spans="1:68" hidden="1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87</v>
      </c>
      <c r="Q103" s="687"/>
      <c r="R103" s="687"/>
      <c r="S103" s="687"/>
      <c r="T103" s="687"/>
      <c r="U103" s="687"/>
      <c r="V103" s="688"/>
      <c r="W103" s="37" t="s">
        <v>68</v>
      </c>
      <c r="X103" s="667">
        <f>IFERROR(SUM(X93:X101),"0")</f>
        <v>0</v>
      </c>
      <c r="Y103" s="667">
        <f>IFERROR(SUM(Y93:Y101),"0")</f>
        <v>0</v>
      </c>
      <c r="Z103" s="37"/>
      <c r="AA103" s="668"/>
      <c r="AB103" s="668"/>
      <c r="AC103" s="668"/>
    </row>
    <row r="104" spans="1:68" ht="16.5" hidden="1" customHeight="1" x14ac:dyDescent="0.25">
      <c r="A104" s="718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hidden="1" customHeight="1" x14ac:dyDescent="0.25">
      <c r="A105" s="683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68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68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68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87</v>
      </c>
      <c r="Q110" s="687"/>
      <c r="R110" s="687"/>
      <c r="S110" s="687"/>
      <c r="T110" s="687"/>
      <c r="U110" s="687"/>
      <c r="V110" s="688"/>
      <c r="W110" s="37" t="s">
        <v>88</v>
      </c>
      <c r="X110" s="667">
        <f>IFERROR(X106/H106,"0")+IFERROR(X107/H107,"0")+IFERROR(X108/H108,"0")+IFERROR(X109/H109,"0")</f>
        <v>0</v>
      </c>
      <c r="Y110" s="667">
        <f>IFERROR(Y106/H106,"0")+IFERROR(Y107/H107,"0")+IFERROR(Y108/H108,"0")+IFERROR(Y109/H109,"0")</f>
        <v>0</v>
      </c>
      <c r="Z110" s="667">
        <f>IFERROR(IF(Z106="",0,Z106),"0")+IFERROR(IF(Z107="",0,Z107),"0")+IFERROR(IF(Z108="",0,Z108),"0")+IFERROR(IF(Z109="",0,Z109),"0")</f>
        <v>0</v>
      </c>
      <c r="AA110" s="668"/>
      <c r="AB110" s="668"/>
      <c r="AC110" s="668"/>
    </row>
    <row r="111" spans="1:68" hidden="1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87</v>
      </c>
      <c r="Q111" s="687"/>
      <c r="R111" s="687"/>
      <c r="S111" s="687"/>
      <c r="T111" s="687"/>
      <c r="U111" s="687"/>
      <c r="V111" s="688"/>
      <c r="W111" s="37" t="s">
        <v>68</v>
      </c>
      <c r="X111" s="667">
        <f>IFERROR(SUM(X106:X109),"0")</f>
        <v>0</v>
      </c>
      <c r="Y111" s="667">
        <f>IFERROR(SUM(Y106:Y109),"0")</f>
        <v>0</v>
      </c>
      <c r="Z111" s="37"/>
      <c r="AA111" s="668"/>
      <c r="AB111" s="668"/>
      <c r="AC111" s="668"/>
    </row>
    <row r="112" spans="1:68" ht="14.25" hidden="1" customHeight="1" x14ac:dyDescent="0.25">
      <c r="A112" s="683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68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68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87</v>
      </c>
      <c r="Q116" s="687"/>
      <c r="R116" s="687"/>
      <c r="S116" s="687"/>
      <c r="T116" s="687"/>
      <c r="U116" s="687"/>
      <c r="V116" s="688"/>
      <c r="W116" s="37" t="s">
        <v>88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hidden="1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87</v>
      </c>
      <c r="Q117" s="687"/>
      <c r="R117" s="687"/>
      <c r="S117" s="687"/>
      <c r="T117" s="687"/>
      <c r="U117" s="687"/>
      <c r="V117" s="688"/>
      <c r="W117" s="37" t="s">
        <v>68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hidden="1" customHeight="1" x14ac:dyDescent="0.25">
      <c r="A118" s="683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20" t="s">
        <v>228</v>
      </c>
      <c r="Q119" s="672"/>
      <c r="R119" s="672"/>
      <c r="S119" s="672"/>
      <c r="T119" s="673"/>
      <c r="U119" s="34"/>
      <c r="V119" s="34"/>
      <c r="W119" s="35" t="s">
        <v>68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230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68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69">
        <v>4607091385168</v>
      </c>
      <c r="E121" s="670"/>
      <c r="F121" s="664">
        <v>1.35</v>
      </c>
      <c r="G121" s="32">
        <v>6</v>
      </c>
      <c r="H121" s="664">
        <v>8.1</v>
      </c>
      <c r="I121" s="664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977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2"/>
      <c r="R121" s="672"/>
      <c r="S121" s="672"/>
      <c r="T121" s="673"/>
      <c r="U121" s="34"/>
      <c r="V121" s="34"/>
      <c r="W121" s="35" t="s">
        <v>68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799" t="s">
        <v>236</v>
      </c>
      <c r="Q122" s="672"/>
      <c r="R122" s="672"/>
      <c r="S122" s="672"/>
      <c r="T122" s="673"/>
      <c r="U122" s="34"/>
      <c r="V122" s="34"/>
      <c r="W122" s="35" t="s">
        <v>68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2"/>
      <c r="R123" s="672"/>
      <c r="S123" s="672"/>
      <c r="T123" s="673"/>
      <c r="U123" s="34"/>
      <c r="V123" s="34"/>
      <c r="W123" s="35" t="s">
        <v>68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3" t="s">
        <v>240</v>
      </c>
      <c r="Q124" s="672"/>
      <c r="R124" s="672"/>
      <c r="S124" s="672"/>
      <c r="T124" s="673"/>
      <c r="U124" s="34"/>
      <c r="V124" s="34"/>
      <c r="W124" s="35" t="s">
        <v>68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238</v>
      </c>
      <c r="B125" s="54" t="s">
        <v>241</v>
      </c>
      <c r="C125" s="31">
        <v>4301051358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7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2"/>
      <c r="R125" s="672"/>
      <c r="S125" s="672"/>
      <c r="T125" s="673"/>
      <c r="U125" s="34"/>
      <c r="V125" s="34"/>
      <c r="W125" s="35" t="s">
        <v>68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68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68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hidden="1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87</v>
      </c>
      <c r="Q128" s="687"/>
      <c r="R128" s="687"/>
      <c r="S128" s="687"/>
      <c r="T128" s="687"/>
      <c r="U128" s="687"/>
      <c r="V128" s="688"/>
      <c r="W128" s="37" t="s">
        <v>88</v>
      </c>
      <c r="X128" s="667">
        <f>IFERROR(X119/H119,"0")+IFERROR(X120/H120,"0")+IFERROR(X121/H121,"0")+IFERROR(X122/H122,"0")+IFERROR(X123/H123,"0")+IFERROR(X124/H124,"0")+IFERROR(X125/H125,"0")+IFERROR(X126/H126,"0")+IFERROR(X127/H127,"0")</f>
        <v>0</v>
      </c>
      <c r="Y128" s="667">
        <f>IFERROR(Y119/H119,"0")+IFERROR(Y120/H120,"0")+IFERROR(Y121/H121,"0")+IFERROR(Y122/H122,"0")+IFERROR(Y123/H123,"0")+IFERROR(Y124/H124,"0")+IFERROR(Y125/H125,"0")+IFERROR(Y126/H126,"0")+IFERROR(Y127/H127,"0")</f>
        <v>0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8"/>
      <c r="AB128" s="668"/>
      <c r="AC128" s="668"/>
    </row>
    <row r="129" spans="1:68" hidden="1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87</v>
      </c>
      <c r="Q129" s="687"/>
      <c r="R129" s="687"/>
      <c r="S129" s="687"/>
      <c r="T129" s="687"/>
      <c r="U129" s="687"/>
      <c r="V129" s="688"/>
      <c r="W129" s="37" t="s">
        <v>68</v>
      </c>
      <c r="X129" s="667">
        <f>IFERROR(SUM(X119:X127),"0")</f>
        <v>0</v>
      </c>
      <c r="Y129" s="667">
        <f>IFERROR(SUM(Y119:Y127),"0")</f>
        <v>0</v>
      </c>
      <c r="Z129" s="37"/>
      <c r="AA129" s="668"/>
      <c r="AB129" s="668"/>
      <c r="AC129" s="668"/>
    </row>
    <row r="130" spans="1:68" ht="14.25" hidden="1" customHeight="1" x14ac:dyDescent="0.25">
      <c r="A130" s="683" t="s">
        <v>170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7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68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87</v>
      </c>
      <c r="Q133" s="687"/>
      <c r="R133" s="687"/>
      <c r="S133" s="687"/>
      <c r="T133" s="687"/>
      <c r="U133" s="687"/>
      <c r="V133" s="688"/>
      <c r="W133" s="37" t="s">
        <v>88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hidden="1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87</v>
      </c>
      <c r="Q134" s="687"/>
      <c r="R134" s="687"/>
      <c r="S134" s="687"/>
      <c r="T134" s="687"/>
      <c r="U134" s="687"/>
      <c r="V134" s="688"/>
      <c r="W134" s="37" t="s">
        <v>68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hidden="1" customHeight="1" x14ac:dyDescent="0.25">
      <c r="A135" s="718" t="s">
        <v>254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hidden="1" customHeight="1" x14ac:dyDescent="0.25">
      <c r="A136" s="683" t="s">
        <v>97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hidden="1" customHeight="1" x14ac:dyDescent="0.25">
      <c r="A137" s="54" t="s">
        <v>255</v>
      </c>
      <c r="B137" s="54" t="s">
        <v>256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68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87</v>
      </c>
      <c r="Q139" s="687"/>
      <c r="R139" s="687"/>
      <c r="S139" s="687"/>
      <c r="T139" s="687"/>
      <c r="U139" s="687"/>
      <c r="V139" s="688"/>
      <c r="W139" s="37" t="s">
        <v>88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hidden="1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87</v>
      </c>
      <c r="Q140" s="687"/>
      <c r="R140" s="687"/>
      <c r="S140" s="687"/>
      <c r="T140" s="687"/>
      <c r="U140" s="687"/>
      <c r="V140" s="688"/>
      <c r="W140" s="37" t="s">
        <v>68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hidden="1" customHeight="1" x14ac:dyDescent="0.25">
      <c r="A141" s="683" t="s">
        <v>144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hidden="1" customHeight="1" x14ac:dyDescent="0.25">
      <c r="A142" s="54" t="s">
        <v>259</v>
      </c>
      <c r="B142" s="54" t="s">
        <v>260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68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87</v>
      </c>
      <c r="Q144" s="687"/>
      <c r="R144" s="687"/>
      <c r="S144" s="687"/>
      <c r="T144" s="687"/>
      <c r="U144" s="687"/>
      <c r="V144" s="688"/>
      <c r="W144" s="37" t="s">
        <v>88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hidden="1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87</v>
      </c>
      <c r="Q145" s="687"/>
      <c r="R145" s="687"/>
      <c r="S145" s="687"/>
      <c r="T145" s="687"/>
      <c r="U145" s="687"/>
      <c r="V145" s="688"/>
      <c r="W145" s="37" t="s">
        <v>68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hidden="1" customHeight="1" x14ac:dyDescent="0.25">
      <c r="A146" s="683" t="s">
        <v>63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68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87</v>
      </c>
      <c r="Q149" s="687"/>
      <c r="R149" s="687"/>
      <c r="S149" s="687"/>
      <c r="T149" s="687"/>
      <c r="U149" s="687"/>
      <c r="V149" s="688"/>
      <c r="W149" s="37" t="s">
        <v>88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hidden="1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87</v>
      </c>
      <c r="Q150" s="687"/>
      <c r="R150" s="687"/>
      <c r="S150" s="687"/>
      <c r="T150" s="687"/>
      <c r="U150" s="687"/>
      <c r="V150" s="688"/>
      <c r="W150" s="37" t="s">
        <v>68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hidden="1" customHeight="1" x14ac:dyDescent="0.25">
      <c r="A151" s="718" t="s">
        <v>95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hidden="1" customHeight="1" x14ac:dyDescent="0.25">
      <c r="A152" s="683" t="s">
        <v>97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68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87</v>
      </c>
      <c r="Q154" s="687"/>
      <c r="R154" s="687"/>
      <c r="S154" s="687"/>
      <c r="T154" s="687"/>
      <c r="U154" s="687"/>
      <c r="V154" s="688"/>
      <c r="W154" s="37" t="s">
        <v>88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hidden="1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87</v>
      </c>
      <c r="Q155" s="687"/>
      <c r="R155" s="687"/>
      <c r="S155" s="687"/>
      <c r="T155" s="687"/>
      <c r="U155" s="687"/>
      <c r="V155" s="688"/>
      <c r="W155" s="37" t="s">
        <v>68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hidden="1" customHeight="1" x14ac:dyDescent="0.25">
      <c r="A156" s="683" t="s">
        <v>144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9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68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87</v>
      </c>
      <c r="Q161" s="687"/>
      <c r="R161" s="687"/>
      <c r="S161" s="687"/>
      <c r="T161" s="687"/>
      <c r="U161" s="687"/>
      <c r="V161" s="688"/>
      <c r="W161" s="37" t="s">
        <v>88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hidden="1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87</v>
      </c>
      <c r="Q162" s="687"/>
      <c r="R162" s="687"/>
      <c r="S162" s="687"/>
      <c r="T162" s="687"/>
      <c r="U162" s="687"/>
      <c r="V162" s="688"/>
      <c r="W162" s="37" t="s">
        <v>68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hidden="1" customHeight="1" x14ac:dyDescent="0.25">
      <c r="A163" s="683" t="s">
        <v>63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87</v>
      </c>
      <c r="Q165" s="687"/>
      <c r="R165" s="687"/>
      <c r="S165" s="687"/>
      <c r="T165" s="687"/>
      <c r="U165" s="687"/>
      <c r="V165" s="688"/>
      <c r="W165" s="37" t="s">
        <v>88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87</v>
      </c>
      <c r="Q166" s="687"/>
      <c r="R166" s="687"/>
      <c r="S166" s="687"/>
      <c r="T166" s="687"/>
      <c r="U166" s="687"/>
      <c r="V166" s="688"/>
      <c r="W166" s="37" t="s">
        <v>68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81" t="s">
        <v>283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hidden="1" customHeight="1" x14ac:dyDescent="0.25">
      <c r="A168" s="718" t="s">
        <v>284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hidden="1" customHeight="1" x14ac:dyDescent="0.25">
      <c r="A169" s="683" t="s">
        <v>133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68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87</v>
      </c>
      <c r="Q171" s="687"/>
      <c r="R171" s="687"/>
      <c r="S171" s="687"/>
      <c r="T171" s="687"/>
      <c r="U171" s="687"/>
      <c r="V171" s="688"/>
      <c r="W171" s="37" t="s">
        <v>88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87</v>
      </c>
      <c r="Q172" s="687"/>
      <c r="R172" s="687"/>
      <c r="S172" s="687"/>
      <c r="T172" s="687"/>
      <c r="U172" s="687"/>
      <c r="V172" s="688"/>
      <c r="W172" s="37" t="s">
        <v>68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3" t="s">
        <v>144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68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68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68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68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68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7" t="s">
        <v>303</v>
      </c>
      <c r="Q179" s="672"/>
      <c r="R179" s="672"/>
      <c r="S179" s="672"/>
      <c r="T179" s="673"/>
      <c r="U179" s="34"/>
      <c r="V179" s="34"/>
      <c r="W179" s="35" t="s">
        <v>68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68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9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68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68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87</v>
      </c>
      <c r="Q183" s="687"/>
      <c r="R183" s="687"/>
      <c r="S183" s="687"/>
      <c r="T183" s="687"/>
      <c r="U183" s="687"/>
      <c r="V183" s="688"/>
      <c r="W183" s="37" t="s">
        <v>88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hidden="1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87</v>
      </c>
      <c r="Q184" s="687"/>
      <c r="R184" s="687"/>
      <c r="S184" s="687"/>
      <c r="T184" s="687"/>
      <c r="U184" s="687"/>
      <c r="V184" s="688"/>
      <c r="W184" s="37" t="s">
        <v>68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hidden="1" customHeight="1" x14ac:dyDescent="0.25">
      <c r="A185" s="683" t="s">
        <v>89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2" t="s">
        <v>316</v>
      </c>
      <c r="Q186" s="672"/>
      <c r="R186" s="672"/>
      <c r="S186" s="672"/>
      <c r="T186" s="673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317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87</v>
      </c>
      <c r="Q187" s="687"/>
      <c r="R187" s="687"/>
      <c r="S187" s="687"/>
      <c r="T187" s="687"/>
      <c r="U187" s="687"/>
      <c r="V187" s="688"/>
      <c r="W187" s="37" t="s">
        <v>88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87</v>
      </c>
      <c r="Q188" s="687"/>
      <c r="R188" s="687"/>
      <c r="S188" s="687"/>
      <c r="T188" s="687"/>
      <c r="U188" s="687"/>
      <c r="V188" s="688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18" t="s">
        <v>318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hidden="1" customHeight="1" x14ac:dyDescent="0.25">
      <c r="A190" s="683" t="s">
        <v>97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hidden="1" customHeight="1" x14ac:dyDescent="0.25">
      <c r="A191" s="54" t="s">
        <v>319</v>
      </c>
      <c r="B191" s="54" t="s">
        <v>320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321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322</v>
      </c>
      <c r="B192" s="54" t="s">
        <v>323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321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87</v>
      </c>
      <c r="Q193" s="687"/>
      <c r="R193" s="687"/>
      <c r="S193" s="687"/>
      <c r="T193" s="687"/>
      <c r="U193" s="687"/>
      <c r="V193" s="688"/>
      <c r="W193" s="37" t="s">
        <v>88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87</v>
      </c>
      <c r="Q194" s="687"/>
      <c r="R194" s="687"/>
      <c r="S194" s="687"/>
      <c r="T194" s="687"/>
      <c r="U194" s="687"/>
      <c r="V194" s="688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3" t="s">
        <v>133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hidden="1" customHeight="1" x14ac:dyDescent="0.25">
      <c r="A196" s="54" t="s">
        <v>324</v>
      </c>
      <c r="B196" s="54" t="s">
        <v>325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326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327</v>
      </c>
      <c r="B197" s="54" t="s">
        <v>328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68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326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87</v>
      </c>
      <c r="Q198" s="687"/>
      <c r="R198" s="687"/>
      <c r="S198" s="687"/>
      <c r="T198" s="687"/>
      <c r="U198" s="687"/>
      <c r="V198" s="688"/>
      <c r="W198" s="37" t="s">
        <v>88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87</v>
      </c>
      <c r="Q199" s="687"/>
      <c r="R199" s="687"/>
      <c r="S199" s="687"/>
      <c r="T199" s="687"/>
      <c r="U199" s="687"/>
      <c r="V199" s="688"/>
      <c r="W199" s="37" t="s">
        <v>68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3" t="s">
        <v>144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hidden="1" customHeight="1" x14ac:dyDescent="0.25">
      <c r="A201" s="54" t="s">
        <v>329</v>
      </c>
      <c r="B201" s="54" t="s">
        <v>330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68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331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332</v>
      </c>
      <c r="B202" s="54" t="s">
        <v>333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4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68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334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335</v>
      </c>
      <c r="B203" s="54" t="s">
        <v>336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68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337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338</v>
      </c>
      <c r="B204" s="54" t="s">
        <v>339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68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340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68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331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68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334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345</v>
      </c>
      <c r="B207" s="54" t="s">
        <v>346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68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337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68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340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87</v>
      </c>
      <c r="Q209" s="687"/>
      <c r="R209" s="687"/>
      <c r="S209" s="687"/>
      <c r="T209" s="687"/>
      <c r="U209" s="687"/>
      <c r="V209" s="688"/>
      <c r="W209" s="37" t="s">
        <v>88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hidden="1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87</v>
      </c>
      <c r="Q210" s="687"/>
      <c r="R210" s="687"/>
      <c r="S210" s="687"/>
      <c r="T210" s="687"/>
      <c r="U210" s="687"/>
      <c r="V210" s="688"/>
      <c r="W210" s="37" t="s">
        <v>68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hidden="1" customHeight="1" x14ac:dyDescent="0.25">
      <c r="A211" s="683" t="s">
        <v>63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hidden="1" customHeight="1" x14ac:dyDescent="0.25">
      <c r="A212" s="54" t="s">
        <v>349</v>
      </c>
      <c r="B212" s="54" t="s">
        <v>350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68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351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352</v>
      </c>
      <c r="B213" s="54" t="s">
        <v>353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68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354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355</v>
      </c>
      <c r="B214" s="54" t="s">
        <v>356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68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357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68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351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68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362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363</v>
      </c>
      <c r="B217" s="54" t="s">
        <v>364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68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357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68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357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68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369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68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372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hidden="1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87</v>
      </c>
      <c r="Q221" s="687"/>
      <c r="R221" s="687"/>
      <c r="S221" s="687"/>
      <c r="T221" s="687"/>
      <c r="U221" s="687"/>
      <c r="V221" s="688"/>
      <c r="W221" s="37" t="s">
        <v>88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hidden="1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87</v>
      </c>
      <c r="Q222" s="687"/>
      <c r="R222" s="687"/>
      <c r="S222" s="687"/>
      <c r="T222" s="687"/>
      <c r="U222" s="687"/>
      <c r="V222" s="688"/>
      <c r="W222" s="37" t="s">
        <v>68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hidden="1" customHeight="1" x14ac:dyDescent="0.25">
      <c r="A223" s="683" t="s">
        <v>170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hidden="1" customHeight="1" x14ac:dyDescent="0.25">
      <c r="A224" s="54" t="s">
        <v>373</v>
      </c>
      <c r="B224" s="54" t="s">
        <v>374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68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375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68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378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87</v>
      </c>
      <c r="Q226" s="687"/>
      <c r="R226" s="687"/>
      <c r="S226" s="687"/>
      <c r="T226" s="687"/>
      <c r="U226" s="687"/>
      <c r="V226" s="688"/>
      <c r="W226" s="37" t="s">
        <v>88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87</v>
      </c>
      <c r="Q227" s="687"/>
      <c r="R227" s="687"/>
      <c r="S227" s="687"/>
      <c r="T227" s="687"/>
      <c r="U227" s="687"/>
      <c r="V227" s="688"/>
      <c r="W227" s="37" t="s">
        <v>68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18" t="s">
        <v>379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hidden="1" customHeight="1" x14ac:dyDescent="0.25">
      <c r="A229" s="683" t="s">
        <v>97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hidden="1" customHeight="1" x14ac:dyDescent="0.25">
      <c r="A230" s="54" t="s">
        <v>380</v>
      </c>
      <c r="B230" s="54" t="s">
        <v>381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68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382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380</v>
      </c>
      <c r="B231" s="54" t="s">
        <v>383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100</v>
      </c>
      <c r="L231" s="32"/>
      <c r="M231" s="33" t="s">
        <v>384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68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385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386</v>
      </c>
      <c r="B232" s="54" t="s">
        <v>387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68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388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389</v>
      </c>
      <c r="B233" s="54" t="s">
        <v>390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68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391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389</v>
      </c>
      <c r="B234" s="54" t="s">
        <v>392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100</v>
      </c>
      <c r="L234" s="32"/>
      <c r="M234" s="33" t="s">
        <v>384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68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385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68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382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395</v>
      </c>
      <c r="B236" s="54" t="s">
        <v>396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68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388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68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391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87</v>
      </c>
      <c r="Q238" s="687"/>
      <c r="R238" s="687"/>
      <c r="S238" s="687"/>
      <c r="T238" s="687"/>
      <c r="U238" s="687"/>
      <c r="V238" s="688"/>
      <c r="W238" s="37" t="s">
        <v>88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87</v>
      </c>
      <c r="Q239" s="687"/>
      <c r="R239" s="687"/>
      <c r="S239" s="687"/>
      <c r="T239" s="687"/>
      <c r="U239" s="687"/>
      <c r="V239" s="688"/>
      <c r="W239" s="37" t="s">
        <v>68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3" t="s">
        <v>133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hidden="1" customHeight="1" x14ac:dyDescent="0.25">
      <c r="A241" s="54" t="s">
        <v>399</v>
      </c>
      <c r="B241" s="54" t="s">
        <v>400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2" t="s">
        <v>401</v>
      </c>
      <c r="Q241" s="672"/>
      <c r="R241" s="672"/>
      <c r="S241" s="672"/>
      <c r="T241" s="673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402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399</v>
      </c>
      <c r="B242" s="54" t="s">
        <v>403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2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402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87</v>
      </c>
      <c r="Q243" s="687"/>
      <c r="R243" s="687"/>
      <c r="S243" s="687"/>
      <c r="T243" s="687"/>
      <c r="U243" s="687"/>
      <c r="V243" s="688"/>
      <c r="W243" s="37" t="s">
        <v>88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87</v>
      </c>
      <c r="Q244" s="687"/>
      <c r="R244" s="687"/>
      <c r="S244" s="687"/>
      <c r="T244" s="687"/>
      <c r="U244" s="687"/>
      <c r="V244" s="688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3" t="s">
        <v>404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hidden="1" customHeight="1" x14ac:dyDescent="0.25">
      <c r="A246" s="54" t="s">
        <v>405</v>
      </c>
      <c r="B246" s="54" t="s">
        <v>406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21" t="s">
        <v>407</v>
      </c>
      <c r="Q246" s="672"/>
      <c r="R246" s="672"/>
      <c r="S246" s="672"/>
      <c r="T246" s="673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408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87</v>
      </c>
      <c r="Q247" s="687"/>
      <c r="R247" s="687"/>
      <c r="S247" s="687"/>
      <c r="T247" s="687"/>
      <c r="U247" s="687"/>
      <c r="V247" s="688"/>
      <c r="W247" s="37" t="s">
        <v>88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87</v>
      </c>
      <c r="Q248" s="687"/>
      <c r="R248" s="687"/>
      <c r="S248" s="687"/>
      <c r="T248" s="687"/>
      <c r="U248" s="687"/>
      <c r="V248" s="688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3" t="s">
        <v>409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hidden="1" customHeight="1" x14ac:dyDescent="0.25">
      <c r="A250" s="54" t="s">
        <v>410</v>
      </c>
      <c r="B250" s="54" t="s">
        <v>411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6" t="s">
        <v>412</v>
      </c>
      <c r="Q250" s="672"/>
      <c r="R250" s="672"/>
      <c r="S250" s="672"/>
      <c r="T250" s="673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413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87</v>
      </c>
      <c r="Q251" s="687"/>
      <c r="R251" s="687"/>
      <c r="S251" s="687"/>
      <c r="T251" s="687"/>
      <c r="U251" s="687"/>
      <c r="V251" s="688"/>
      <c r="W251" s="37" t="s">
        <v>88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87</v>
      </c>
      <c r="Q252" s="687"/>
      <c r="R252" s="687"/>
      <c r="S252" s="687"/>
      <c r="T252" s="687"/>
      <c r="U252" s="687"/>
      <c r="V252" s="688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18" t="s">
        <v>414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hidden="1" customHeight="1" x14ac:dyDescent="0.25">
      <c r="A254" s="683" t="s">
        <v>97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hidden="1" customHeight="1" x14ac:dyDescent="0.25">
      <c r="A255" s="54" t="s">
        <v>415</v>
      </c>
      <c r="B255" s="54" t="s">
        <v>416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68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417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68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420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418</v>
      </c>
      <c r="B257" s="54" t="s">
        <v>421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100</v>
      </c>
      <c r="L257" s="32"/>
      <c r="M257" s="33" t="s">
        <v>384</v>
      </c>
      <c r="N257" s="33"/>
      <c r="O257" s="32">
        <v>55</v>
      </c>
      <c r="P257" s="94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68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422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423</v>
      </c>
      <c r="B258" s="54" t="s">
        <v>424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68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425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426</v>
      </c>
      <c r="B259" s="54" t="s">
        <v>427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68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428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429</v>
      </c>
      <c r="B260" s="54" t="s">
        <v>430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68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431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87</v>
      </c>
      <c r="Q261" s="687"/>
      <c r="R261" s="687"/>
      <c r="S261" s="687"/>
      <c r="T261" s="687"/>
      <c r="U261" s="687"/>
      <c r="V261" s="688"/>
      <c r="W261" s="37" t="s">
        <v>88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87</v>
      </c>
      <c r="Q262" s="687"/>
      <c r="R262" s="687"/>
      <c r="S262" s="687"/>
      <c r="T262" s="687"/>
      <c r="U262" s="687"/>
      <c r="V262" s="688"/>
      <c r="W262" s="37" t="s">
        <v>68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18" t="s">
        <v>432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hidden="1" customHeight="1" x14ac:dyDescent="0.25">
      <c r="A264" s="683" t="s">
        <v>97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hidden="1" customHeight="1" x14ac:dyDescent="0.25">
      <c r="A265" s="54" t="s">
        <v>433</v>
      </c>
      <c r="B265" s="54" t="s">
        <v>434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435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87</v>
      </c>
      <c r="Q266" s="687"/>
      <c r="R266" s="687"/>
      <c r="S266" s="687"/>
      <c r="T266" s="687"/>
      <c r="U266" s="687"/>
      <c r="V266" s="688"/>
      <c r="W266" s="37" t="s">
        <v>88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87</v>
      </c>
      <c r="Q267" s="687"/>
      <c r="R267" s="687"/>
      <c r="S267" s="687"/>
      <c r="T267" s="687"/>
      <c r="U267" s="687"/>
      <c r="V267" s="688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18" t="s">
        <v>436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hidden="1" customHeight="1" x14ac:dyDescent="0.25">
      <c r="A269" s="683" t="s">
        <v>97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3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441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444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87</v>
      </c>
      <c r="Q273" s="687"/>
      <c r="R273" s="687"/>
      <c r="S273" s="687"/>
      <c r="T273" s="687"/>
      <c r="U273" s="687"/>
      <c r="V273" s="688"/>
      <c r="W273" s="37" t="s">
        <v>88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87</v>
      </c>
      <c r="Q274" s="687"/>
      <c r="R274" s="687"/>
      <c r="S274" s="687"/>
      <c r="T274" s="687"/>
      <c r="U274" s="687"/>
      <c r="V274" s="688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18" t="s">
        <v>445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hidden="1" customHeight="1" x14ac:dyDescent="0.25">
      <c r="A276" s="683" t="s">
        <v>63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hidden="1" customHeight="1" x14ac:dyDescent="0.25">
      <c r="A277" s="54" t="s">
        <v>446</v>
      </c>
      <c r="B277" s="54" t="s">
        <v>447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79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448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449</v>
      </c>
      <c r="B278" s="54" t="s">
        <v>450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451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452</v>
      </c>
      <c r="B279" s="54" t="s">
        <v>453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68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448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454</v>
      </c>
      <c r="B280" s="54" t="s">
        <v>455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68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456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451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87</v>
      </c>
      <c r="Q282" s="687"/>
      <c r="R282" s="687"/>
      <c r="S282" s="687"/>
      <c r="T282" s="687"/>
      <c r="U282" s="687"/>
      <c r="V282" s="688"/>
      <c r="W282" s="37" t="s">
        <v>88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87</v>
      </c>
      <c r="Q283" s="687"/>
      <c r="R283" s="687"/>
      <c r="S283" s="687"/>
      <c r="T283" s="687"/>
      <c r="U283" s="687"/>
      <c r="V283" s="688"/>
      <c r="W283" s="37" t="s">
        <v>68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18" t="s">
        <v>459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hidden="1" customHeight="1" x14ac:dyDescent="0.25">
      <c r="A285" s="683" t="s">
        <v>97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hidden="1" customHeight="1" x14ac:dyDescent="0.25">
      <c r="A286" s="54" t="s">
        <v>460</v>
      </c>
      <c r="B286" s="54" t="s">
        <v>461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8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462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87</v>
      </c>
      <c r="Q287" s="687"/>
      <c r="R287" s="687"/>
      <c r="S287" s="687"/>
      <c r="T287" s="687"/>
      <c r="U287" s="687"/>
      <c r="V287" s="688"/>
      <c r="W287" s="37" t="s">
        <v>88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87</v>
      </c>
      <c r="Q288" s="687"/>
      <c r="R288" s="687"/>
      <c r="S288" s="687"/>
      <c r="T288" s="687"/>
      <c r="U288" s="687"/>
      <c r="V288" s="688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3" t="s">
        <v>144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hidden="1" customHeight="1" x14ac:dyDescent="0.25">
      <c r="A290" s="54" t="s">
        <v>463</v>
      </c>
      <c r="B290" s="54" t="s">
        <v>464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465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87</v>
      </c>
      <c r="Q291" s="687"/>
      <c r="R291" s="687"/>
      <c r="S291" s="687"/>
      <c r="T291" s="687"/>
      <c r="U291" s="687"/>
      <c r="V291" s="688"/>
      <c r="W291" s="37" t="s">
        <v>88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87</v>
      </c>
      <c r="Q292" s="687"/>
      <c r="R292" s="687"/>
      <c r="S292" s="687"/>
      <c r="T292" s="687"/>
      <c r="U292" s="687"/>
      <c r="V292" s="688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3" t="s">
        <v>63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hidden="1" customHeight="1" x14ac:dyDescent="0.25">
      <c r="A294" s="54" t="s">
        <v>466</v>
      </c>
      <c r="B294" s="54" t="s">
        <v>467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468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87</v>
      </c>
      <c r="Q295" s="687"/>
      <c r="R295" s="687"/>
      <c r="S295" s="687"/>
      <c r="T295" s="687"/>
      <c r="U295" s="687"/>
      <c r="V295" s="688"/>
      <c r="W295" s="37" t="s">
        <v>88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87</v>
      </c>
      <c r="Q296" s="687"/>
      <c r="R296" s="687"/>
      <c r="S296" s="687"/>
      <c r="T296" s="687"/>
      <c r="U296" s="687"/>
      <c r="V296" s="688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18" t="s">
        <v>469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hidden="1" customHeight="1" x14ac:dyDescent="0.25">
      <c r="A298" s="683" t="s">
        <v>63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hidden="1" customHeight="1" x14ac:dyDescent="0.25">
      <c r="A299" s="54" t="s">
        <v>470</v>
      </c>
      <c r="B299" s="54" t="s">
        <v>471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472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87</v>
      </c>
      <c r="Q300" s="687"/>
      <c r="R300" s="687"/>
      <c r="S300" s="687"/>
      <c r="T300" s="687"/>
      <c r="U300" s="687"/>
      <c r="V300" s="688"/>
      <c r="W300" s="37" t="s">
        <v>88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87</v>
      </c>
      <c r="Q301" s="687"/>
      <c r="R301" s="687"/>
      <c r="S301" s="687"/>
      <c r="T301" s="687"/>
      <c r="U301" s="687"/>
      <c r="V301" s="688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18" t="s">
        <v>473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hidden="1" customHeight="1" x14ac:dyDescent="0.25">
      <c r="A303" s="683" t="s">
        <v>97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hidden="1" customHeight="1" x14ac:dyDescent="0.25">
      <c r="A304" s="54" t="s">
        <v>474</v>
      </c>
      <c r="B304" s="54" t="s">
        <v>475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435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87</v>
      </c>
      <c r="Q305" s="687"/>
      <c r="R305" s="687"/>
      <c r="S305" s="687"/>
      <c r="T305" s="687"/>
      <c r="U305" s="687"/>
      <c r="V305" s="688"/>
      <c r="W305" s="37" t="s">
        <v>88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87</v>
      </c>
      <c r="Q306" s="687"/>
      <c r="R306" s="687"/>
      <c r="S306" s="687"/>
      <c r="T306" s="687"/>
      <c r="U306" s="687"/>
      <c r="V306" s="688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3" t="s">
        <v>144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hidden="1" customHeight="1" x14ac:dyDescent="0.25">
      <c r="A308" s="54" t="s">
        <v>476</v>
      </c>
      <c r="B308" s="54" t="s">
        <v>477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2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478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479</v>
      </c>
      <c r="B309" s="54" t="s">
        <v>480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478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87</v>
      </c>
      <c r="Q310" s="687"/>
      <c r="R310" s="687"/>
      <c r="S310" s="687"/>
      <c r="T310" s="687"/>
      <c r="U310" s="687"/>
      <c r="V310" s="688"/>
      <c r="W310" s="37" t="s">
        <v>88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87</v>
      </c>
      <c r="Q311" s="687"/>
      <c r="R311" s="687"/>
      <c r="S311" s="687"/>
      <c r="T311" s="687"/>
      <c r="U311" s="687"/>
      <c r="V311" s="688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18" t="s">
        <v>481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hidden="1" customHeight="1" x14ac:dyDescent="0.25">
      <c r="A313" s="683" t="s">
        <v>97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hidden="1" customHeight="1" x14ac:dyDescent="0.25">
      <c r="A314" s="54" t="s">
        <v>482</v>
      </c>
      <c r="B314" s="54" t="s">
        <v>483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484</v>
      </c>
      <c r="AB314" s="57"/>
      <c r="AC314" s="357" t="s">
        <v>485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87</v>
      </c>
      <c r="Q315" s="687"/>
      <c r="R315" s="687"/>
      <c r="S315" s="687"/>
      <c r="T315" s="687"/>
      <c r="U315" s="687"/>
      <c r="V315" s="688"/>
      <c r="W315" s="37" t="s">
        <v>88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87</v>
      </c>
      <c r="Q316" s="687"/>
      <c r="R316" s="687"/>
      <c r="S316" s="687"/>
      <c r="T316" s="687"/>
      <c r="U316" s="687"/>
      <c r="V316" s="688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18" t="s">
        <v>486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hidden="1" customHeight="1" x14ac:dyDescent="0.25">
      <c r="A318" s="683" t="s">
        <v>97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hidden="1" customHeight="1" x14ac:dyDescent="0.25">
      <c r="A319" s="54" t="s">
        <v>487</v>
      </c>
      <c r="B319" s="54" t="s">
        <v>488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68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489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490</v>
      </c>
      <c r="B320" s="54" t="s">
        <v>491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68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492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490</v>
      </c>
      <c r="B321" s="54" t="s">
        <v>493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100</v>
      </c>
      <c r="L321" s="32"/>
      <c r="M321" s="33" t="s">
        <v>384</v>
      </c>
      <c r="N321" s="33"/>
      <c r="O321" s="32">
        <v>55</v>
      </c>
      <c r="P321" s="96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68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494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495</v>
      </c>
      <c r="B322" s="54" t="s">
        <v>496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68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497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498</v>
      </c>
      <c r="B323" s="54" t="s">
        <v>499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68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500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501</v>
      </c>
      <c r="B324" s="54" t="s">
        <v>502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68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492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87</v>
      </c>
      <c r="Q325" s="687"/>
      <c r="R325" s="687"/>
      <c r="S325" s="687"/>
      <c r="T325" s="687"/>
      <c r="U325" s="687"/>
      <c r="V325" s="688"/>
      <c r="W325" s="37" t="s">
        <v>88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87</v>
      </c>
      <c r="Q326" s="687"/>
      <c r="R326" s="687"/>
      <c r="S326" s="687"/>
      <c r="T326" s="687"/>
      <c r="U326" s="687"/>
      <c r="V326" s="688"/>
      <c r="W326" s="37" t="s">
        <v>68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hidden="1" customHeight="1" x14ac:dyDescent="0.25">
      <c r="A327" s="683" t="s">
        <v>144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hidden="1" customHeight="1" x14ac:dyDescent="0.25">
      <c r="A328" s="54" t="s">
        <v>503</v>
      </c>
      <c r="B328" s="54" t="s">
        <v>504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505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506</v>
      </c>
      <c r="B329" s="54" t="s">
        <v>507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508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509</v>
      </c>
      <c r="B330" s="54" t="s">
        <v>510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511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512</v>
      </c>
      <c r="B331" s="54" t="s">
        <v>513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508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87</v>
      </c>
      <c r="Q332" s="687"/>
      <c r="R332" s="687"/>
      <c r="S332" s="687"/>
      <c r="T332" s="687"/>
      <c r="U332" s="687"/>
      <c r="V332" s="688"/>
      <c r="W332" s="37" t="s">
        <v>88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87</v>
      </c>
      <c r="Q333" s="687"/>
      <c r="R333" s="687"/>
      <c r="S333" s="687"/>
      <c r="T333" s="687"/>
      <c r="U333" s="687"/>
      <c r="V333" s="688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83" t="s">
        <v>63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hidden="1" customHeight="1" x14ac:dyDescent="0.25">
      <c r="A335" s="54" t="s">
        <v>514</v>
      </c>
      <c r="B335" s="54" t="s">
        <v>515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68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516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517</v>
      </c>
      <c r="B336" s="54" t="s">
        <v>518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519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520</v>
      </c>
      <c r="B337" s="54" t="s">
        <v>521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523</v>
      </c>
      <c r="B338" s="54" t="s">
        <v>524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526</v>
      </c>
      <c r="B339" s="54" t="s">
        <v>527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7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68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528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87</v>
      </c>
      <c r="Q340" s="687"/>
      <c r="R340" s="687"/>
      <c r="S340" s="687"/>
      <c r="T340" s="687"/>
      <c r="U340" s="687"/>
      <c r="V340" s="688"/>
      <c r="W340" s="37" t="s">
        <v>88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hidden="1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87</v>
      </c>
      <c r="Q341" s="687"/>
      <c r="R341" s="687"/>
      <c r="S341" s="687"/>
      <c r="T341" s="687"/>
      <c r="U341" s="687"/>
      <c r="V341" s="688"/>
      <c r="W341" s="37" t="s">
        <v>68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hidden="1" customHeight="1" x14ac:dyDescent="0.25">
      <c r="A342" s="683" t="s">
        <v>170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529</v>
      </c>
      <c r="B343" s="54" t="s">
        <v>530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68</v>
      </c>
      <c r="X343" s="665">
        <v>50</v>
      </c>
      <c r="Y343" s="666">
        <f>IFERROR(IF(X343="",0,CEILING((X343/$H343),1)*$H343),"")</f>
        <v>50.400000000000006</v>
      </c>
      <c r="Z343" s="36">
        <f>IFERROR(IF(Y343=0,"",ROUNDUP(Y343/H343,0)*0.01898),"")</f>
        <v>0.11388000000000001</v>
      </c>
      <c r="AA343" s="56"/>
      <c r="AB343" s="57"/>
      <c r="AC343" s="389" t="s">
        <v>531</v>
      </c>
      <c r="AG343" s="64"/>
      <c r="AJ343" s="68"/>
      <c r="AK343" s="68">
        <v>0</v>
      </c>
      <c r="BB343" s="390" t="s">
        <v>1</v>
      </c>
      <c r="BM343" s="64">
        <f>IFERROR(X343*I343/H343,"0")</f>
        <v>53.089285714285715</v>
      </c>
      <c r="BN343" s="64">
        <f>IFERROR(Y343*I343/H343,"0")</f>
        <v>53.514000000000003</v>
      </c>
      <c r="BO343" s="64">
        <f>IFERROR(1/J343*(X343/H343),"0")</f>
        <v>9.3005952380952384E-2</v>
      </c>
      <c r="BP343" s="64">
        <f>IFERROR(1/J343*(Y343/H343),"0")</f>
        <v>9.375E-2</v>
      </c>
    </row>
    <row r="344" spans="1:68" ht="27" hidden="1" customHeight="1" x14ac:dyDescent="0.25">
      <c r="A344" s="54" t="s">
        <v>532</v>
      </c>
      <c r="B344" s="54" t="s">
        <v>533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68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534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535</v>
      </c>
      <c r="B345" s="54" t="s">
        <v>536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68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537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87</v>
      </c>
      <c r="Q346" s="687"/>
      <c r="R346" s="687"/>
      <c r="S346" s="687"/>
      <c r="T346" s="687"/>
      <c r="U346" s="687"/>
      <c r="V346" s="688"/>
      <c r="W346" s="37" t="s">
        <v>88</v>
      </c>
      <c r="X346" s="667">
        <f>IFERROR(X343/H343,"0")+IFERROR(X344/H344,"0")+IFERROR(X345/H345,"0")</f>
        <v>5.9523809523809526</v>
      </c>
      <c r="Y346" s="667">
        <f>IFERROR(Y343/H343,"0")+IFERROR(Y344/H344,"0")+IFERROR(Y345/H345,"0")</f>
        <v>6</v>
      </c>
      <c r="Z346" s="667">
        <f>IFERROR(IF(Z343="",0,Z343),"0")+IFERROR(IF(Z344="",0,Z344),"0")+IFERROR(IF(Z345="",0,Z345),"0")</f>
        <v>0.11388000000000001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87</v>
      </c>
      <c r="Q347" s="687"/>
      <c r="R347" s="687"/>
      <c r="S347" s="687"/>
      <c r="T347" s="687"/>
      <c r="U347" s="687"/>
      <c r="V347" s="688"/>
      <c r="W347" s="37" t="s">
        <v>68</v>
      </c>
      <c r="X347" s="667">
        <f>IFERROR(SUM(X343:X345),"0")</f>
        <v>50</v>
      </c>
      <c r="Y347" s="667">
        <f>IFERROR(SUM(Y343:Y345),"0")</f>
        <v>50.400000000000006</v>
      </c>
      <c r="Z347" s="37"/>
      <c r="AA347" s="668"/>
      <c r="AB347" s="668"/>
      <c r="AC347" s="668"/>
    </row>
    <row r="348" spans="1:68" ht="14.25" hidden="1" customHeight="1" x14ac:dyDescent="0.25">
      <c r="A348" s="683" t="s">
        <v>89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hidden="1" customHeight="1" x14ac:dyDescent="0.25">
      <c r="A349" s="54" t="s">
        <v>538</v>
      </c>
      <c r="B349" s="54" t="s">
        <v>539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540</v>
      </c>
      <c r="Q349" s="672"/>
      <c r="R349" s="672"/>
      <c r="S349" s="672"/>
      <c r="T349" s="673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541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542</v>
      </c>
      <c r="B350" s="54" t="s">
        <v>543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90" t="s">
        <v>544</v>
      </c>
      <c r="Q350" s="672"/>
      <c r="R350" s="672"/>
      <c r="S350" s="672"/>
      <c r="T350" s="673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545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546</v>
      </c>
      <c r="B351" s="54" t="s">
        <v>547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68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548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549</v>
      </c>
      <c r="B352" s="54" t="s">
        <v>550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68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545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87</v>
      </c>
      <c r="Q353" s="687"/>
      <c r="R353" s="687"/>
      <c r="S353" s="687"/>
      <c r="T353" s="687"/>
      <c r="U353" s="687"/>
      <c r="V353" s="688"/>
      <c r="W353" s="37" t="s">
        <v>88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87</v>
      </c>
      <c r="Q354" s="687"/>
      <c r="R354" s="687"/>
      <c r="S354" s="687"/>
      <c r="T354" s="687"/>
      <c r="U354" s="687"/>
      <c r="V354" s="688"/>
      <c r="W354" s="37" t="s">
        <v>68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83" t="s">
        <v>551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hidden="1" customHeight="1" x14ac:dyDescent="0.25">
      <c r="A356" s="54" t="s">
        <v>552</v>
      </c>
      <c r="B356" s="54" t="s">
        <v>553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554</v>
      </c>
      <c r="N356" s="33"/>
      <c r="O356" s="32">
        <v>730</v>
      </c>
      <c r="P356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555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556</v>
      </c>
      <c r="B357" s="54" t="s">
        <v>557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554</v>
      </c>
      <c r="N357" s="33"/>
      <c r="O357" s="32">
        <v>730</v>
      </c>
      <c r="P357" s="9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558</v>
      </c>
      <c r="B358" s="54" t="s">
        <v>559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554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555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87</v>
      </c>
      <c r="Q359" s="687"/>
      <c r="R359" s="687"/>
      <c r="S359" s="687"/>
      <c r="T359" s="687"/>
      <c r="U359" s="687"/>
      <c r="V359" s="688"/>
      <c r="W359" s="37" t="s">
        <v>88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87</v>
      </c>
      <c r="Q360" s="687"/>
      <c r="R360" s="687"/>
      <c r="S360" s="687"/>
      <c r="T360" s="687"/>
      <c r="U360" s="687"/>
      <c r="V360" s="688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18" t="s">
        <v>560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hidden="1" customHeight="1" x14ac:dyDescent="0.25">
      <c r="A362" s="683" t="s">
        <v>144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hidden="1" customHeight="1" x14ac:dyDescent="0.25">
      <c r="A363" s="54" t="s">
        <v>561</v>
      </c>
      <c r="B363" s="54" t="s">
        <v>562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68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563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87</v>
      </c>
      <c r="Q364" s="687"/>
      <c r="R364" s="687"/>
      <c r="S364" s="687"/>
      <c r="T364" s="687"/>
      <c r="U364" s="687"/>
      <c r="V364" s="688"/>
      <c r="W364" s="37" t="s">
        <v>88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87</v>
      </c>
      <c r="Q365" s="687"/>
      <c r="R365" s="687"/>
      <c r="S365" s="687"/>
      <c r="T365" s="687"/>
      <c r="U365" s="687"/>
      <c r="V365" s="688"/>
      <c r="W365" s="37" t="s">
        <v>68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3" t="s">
        <v>63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hidden="1" customHeight="1" x14ac:dyDescent="0.25">
      <c r="A367" s="54" t="s">
        <v>564</v>
      </c>
      <c r="B367" s="54" t="s">
        <v>565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68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566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567</v>
      </c>
      <c r="B368" s="54" t="s">
        <v>568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569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570</v>
      </c>
      <c r="B369" s="54" t="s">
        <v>571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572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87</v>
      </c>
      <c r="Q370" s="687"/>
      <c r="R370" s="687"/>
      <c r="S370" s="687"/>
      <c r="T370" s="687"/>
      <c r="U370" s="687"/>
      <c r="V370" s="688"/>
      <c r="W370" s="37" t="s">
        <v>88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hidden="1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87</v>
      </c>
      <c r="Q371" s="687"/>
      <c r="R371" s="687"/>
      <c r="S371" s="687"/>
      <c r="T371" s="687"/>
      <c r="U371" s="687"/>
      <c r="V371" s="688"/>
      <c r="W371" s="37" t="s">
        <v>68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hidden="1" customHeight="1" x14ac:dyDescent="0.2">
      <c r="A372" s="681" t="s">
        <v>573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hidden="1" customHeight="1" x14ac:dyDescent="0.25">
      <c r="A373" s="718" t="s">
        <v>574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hidden="1" customHeight="1" x14ac:dyDescent="0.25">
      <c r="A374" s="683" t="s">
        <v>97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575</v>
      </c>
      <c r="B375" s="54" t="s">
        <v>576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68</v>
      </c>
      <c r="X375" s="665">
        <v>2000</v>
      </c>
      <c r="Y375" s="666">
        <f t="shared" ref="Y375:Y384" si="58">IFERROR(IF(X375="",0,CEILING((X375/$H375),1)*$H375),"")</f>
        <v>2010</v>
      </c>
      <c r="Z375" s="36">
        <f>IFERROR(IF(Y375=0,"",ROUNDUP(Y375/H375,0)*0.02175),"")</f>
        <v>2.9144999999999999</v>
      </c>
      <c r="AA375" s="56"/>
      <c r="AB375" s="57"/>
      <c r="AC375" s="417" t="s">
        <v>577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2064</v>
      </c>
      <c r="BN375" s="64">
        <f t="shared" ref="BN375:BN384" si="60">IFERROR(Y375*I375/H375,"0")</f>
        <v>2074.3200000000002</v>
      </c>
      <c r="BO375" s="64">
        <f t="shared" ref="BO375:BO384" si="61">IFERROR(1/J375*(X375/H375),"0")</f>
        <v>2.7777777777777777</v>
      </c>
      <c r="BP375" s="64">
        <f t="shared" ref="BP375:BP384" si="62">IFERROR(1/J375*(Y375/H375),"0")</f>
        <v>2.7916666666666665</v>
      </c>
    </row>
    <row r="376" spans="1:68" ht="27" hidden="1" customHeight="1" x14ac:dyDescent="0.25">
      <c r="A376" s="54" t="s">
        <v>575</v>
      </c>
      <c r="B376" s="54" t="s">
        <v>578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100</v>
      </c>
      <c r="L376" s="32"/>
      <c r="M376" s="33" t="s">
        <v>384</v>
      </c>
      <c r="N376" s="33"/>
      <c r="O376" s="32">
        <v>60</v>
      </c>
      <c r="P376" s="80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68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579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580</v>
      </c>
      <c r="B377" s="54" t="s">
        <v>581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68</v>
      </c>
      <c r="X377" s="665">
        <v>1000</v>
      </c>
      <c r="Y377" s="666">
        <f t="shared" si="58"/>
        <v>1005</v>
      </c>
      <c r="Z377" s="36">
        <f>IFERROR(IF(Y377=0,"",ROUNDUP(Y377/H377,0)*0.02175),"")</f>
        <v>1.4572499999999999</v>
      </c>
      <c r="AA377" s="56"/>
      <c r="AB377" s="57"/>
      <c r="AC377" s="421" t="s">
        <v>582</v>
      </c>
      <c r="AG377" s="64"/>
      <c r="AJ377" s="68"/>
      <c r="AK377" s="68">
        <v>0</v>
      </c>
      <c r="BB377" s="422" t="s">
        <v>1</v>
      </c>
      <c r="BM377" s="64">
        <f t="shared" si="59"/>
        <v>1032</v>
      </c>
      <c r="BN377" s="64">
        <f t="shared" si="60"/>
        <v>1037.1600000000001</v>
      </c>
      <c r="BO377" s="64">
        <f t="shared" si="61"/>
        <v>1.3888888888888888</v>
      </c>
      <c r="BP377" s="64">
        <f t="shared" si="62"/>
        <v>1.3958333333333333</v>
      </c>
    </row>
    <row r="378" spans="1:68" ht="27" hidden="1" customHeight="1" x14ac:dyDescent="0.25">
      <c r="A378" s="54" t="s">
        <v>580</v>
      </c>
      <c r="B378" s="54" t="s">
        <v>583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100</v>
      </c>
      <c r="L378" s="32"/>
      <c r="M378" s="33" t="s">
        <v>384</v>
      </c>
      <c r="N378" s="33"/>
      <c r="O378" s="32">
        <v>60</v>
      </c>
      <c r="P378" s="81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68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584</v>
      </c>
      <c r="B379" s="54" t="s">
        <v>585</v>
      </c>
      <c r="C379" s="31">
        <v>4301011867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1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68</v>
      </c>
      <c r="X379" s="665">
        <v>2500</v>
      </c>
      <c r="Y379" s="666">
        <f t="shared" si="58"/>
        <v>2505</v>
      </c>
      <c r="Z379" s="36">
        <f>IFERROR(IF(Y379=0,"",ROUNDUP(Y379/H379,0)*0.02175),"")</f>
        <v>3.6322499999999995</v>
      </c>
      <c r="AA379" s="56"/>
      <c r="AB379" s="57"/>
      <c r="AC379" s="425" t="s">
        <v>586</v>
      </c>
      <c r="AG379" s="64"/>
      <c r="AJ379" s="68"/>
      <c r="AK379" s="68">
        <v>0</v>
      </c>
      <c r="BB379" s="426" t="s">
        <v>1</v>
      </c>
      <c r="BM379" s="64">
        <f t="shared" si="59"/>
        <v>2580</v>
      </c>
      <c r="BN379" s="64">
        <f t="shared" si="60"/>
        <v>2585.1600000000003</v>
      </c>
      <c r="BO379" s="64">
        <f t="shared" si="61"/>
        <v>3.4722222222222219</v>
      </c>
      <c r="BP379" s="64">
        <f t="shared" si="62"/>
        <v>3.4791666666666665</v>
      </c>
    </row>
    <row r="380" spans="1:68" ht="27" hidden="1" customHeight="1" x14ac:dyDescent="0.25">
      <c r="A380" s="54" t="s">
        <v>587</v>
      </c>
      <c r="B380" s="54" t="s">
        <v>588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2"/>
      <c r="R380" s="672"/>
      <c r="S380" s="672"/>
      <c r="T380" s="673"/>
      <c r="U380" s="34"/>
      <c r="V380" s="34"/>
      <c r="W380" s="35" t="s">
        <v>68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589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584</v>
      </c>
      <c r="B381" s="54" t="s">
        <v>590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100</v>
      </c>
      <c r="L381" s="32"/>
      <c r="M381" s="33" t="s">
        <v>384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68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579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591</v>
      </c>
      <c r="B382" s="54" t="s">
        <v>592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68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593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594</v>
      </c>
      <c r="B383" s="54" t="s">
        <v>595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68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582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596</v>
      </c>
      <c r="B384" s="54" t="s">
        <v>597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68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87</v>
      </c>
      <c r="Q385" s="687"/>
      <c r="R385" s="687"/>
      <c r="S385" s="687"/>
      <c r="T385" s="687"/>
      <c r="U385" s="687"/>
      <c r="V385" s="688"/>
      <c r="W385" s="37" t="s">
        <v>88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366.66666666666663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368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8.0039999999999996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87</v>
      </c>
      <c r="Q386" s="687"/>
      <c r="R386" s="687"/>
      <c r="S386" s="687"/>
      <c r="T386" s="687"/>
      <c r="U386" s="687"/>
      <c r="V386" s="688"/>
      <c r="W386" s="37" t="s">
        <v>68</v>
      </c>
      <c r="X386" s="667">
        <f>IFERROR(SUM(X375:X384),"0")</f>
        <v>5500</v>
      </c>
      <c r="Y386" s="667">
        <f>IFERROR(SUM(Y375:Y384),"0")</f>
        <v>5520</v>
      </c>
      <c r="Z386" s="37"/>
      <c r="AA386" s="668"/>
      <c r="AB386" s="668"/>
      <c r="AC386" s="668"/>
    </row>
    <row r="387" spans="1:68" ht="14.25" hidden="1" customHeight="1" x14ac:dyDescent="0.25">
      <c r="A387" s="683" t="s">
        <v>133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598</v>
      </c>
      <c r="B388" s="54" t="s">
        <v>599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68</v>
      </c>
      <c r="X388" s="665">
        <v>3000</v>
      </c>
      <c r="Y388" s="666">
        <f>IFERROR(IF(X388="",0,CEILING((X388/$H388),1)*$H388),"")</f>
        <v>3000</v>
      </c>
      <c r="Z388" s="36">
        <f>IFERROR(IF(Y388=0,"",ROUNDUP(Y388/H388,0)*0.02175),"")</f>
        <v>4.3499999999999996</v>
      </c>
      <c r="AA388" s="56"/>
      <c r="AB388" s="57"/>
      <c r="AC388" s="437" t="s">
        <v>600</v>
      </c>
      <c r="AG388" s="64"/>
      <c r="AJ388" s="68"/>
      <c r="AK388" s="68">
        <v>0</v>
      </c>
      <c r="BB388" s="438" t="s">
        <v>1</v>
      </c>
      <c r="BM388" s="64">
        <f>IFERROR(X388*I388/H388,"0")</f>
        <v>3096</v>
      </c>
      <c r="BN388" s="64">
        <f>IFERROR(Y388*I388/H388,"0")</f>
        <v>3096</v>
      </c>
      <c r="BO388" s="64">
        <f>IFERROR(1/J388*(X388/H388),"0")</f>
        <v>4.1666666666666661</v>
      </c>
      <c r="BP388" s="64">
        <f>IFERROR(1/J388*(Y388/H388),"0")</f>
        <v>4.1666666666666661</v>
      </c>
    </row>
    <row r="389" spans="1:68" ht="27" hidden="1" customHeight="1" x14ac:dyDescent="0.25">
      <c r="A389" s="54" t="s">
        <v>601</v>
      </c>
      <c r="B389" s="54" t="s">
        <v>602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600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87</v>
      </c>
      <c r="Q390" s="687"/>
      <c r="R390" s="687"/>
      <c r="S390" s="687"/>
      <c r="T390" s="687"/>
      <c r="U390" s="687"/>
      <c r="V390" s="688"/>
      <c r="W390" s="37" t="s">
        <v>88</v>
      </c>
      <c r="X390" s="667">
        <f>IFERROR(X388/H388,"0")+IFERROR(X389/H389,"0")</f>
        <v>200</v>
      </c>
      <c r="Y390" s="667">
        <f>IFERROR(Y388/H388,"0")+IFERROR(Y389/H389,"0")</f>
        <v>200</v>
      </c>
      <c r="Z390" s="667">
        <f>IFERROR(IF(Z388="",0,Z388),"0")+IFERROR(IF(Z389="",0,Z389),"0")</f>
        <v>4.3499999999999996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87</v>
      </c>
      <c r="Q391" s="687"/>
      <c r="R391" s="687"/>
      <c r="S391" s="687"/>
      <c r="T391" s="687"/>
      <c r="U391" s="687"/>
      <c r="V391" s="688"/>
      <c r="W391" s="37" t="s">
        <v>68</v>
      </c>
      <c r="X391" s="667">
        <f>IFERROR(SUM(X388:X389),"0")</f>
        <v>3000</v>
      </c>
      <c r="Y391" s="667">
        <f>IFERROR(SUM(Y388:Y389),"0")</f>
        <v>3000</v>
      </c>
      <c r="Z391" s="37"/>
      <c r="AA391" s="668"/>
      <c r="AB391" s="668"/>
      <c r="AC391" s="668"/>
    </row>
    <row r="392" spans="1:68" ht="14.25" hidden="1" customHeight="1" x14ac:dyDescent="0.25">
      <c r="A392" s="683" t="s">
        <v>63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hidden="1" customHeight="1" x14ac:dyDescent="0.25">
      <c r="A393" s="54" t="s">
        <v>603</v>
      </c>
      <c r="B393" s="54" t="s">
        <v>604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605</v>
      </c>
      <c r="Q393" s="672"/>
      <c r="R393" s="672"/>
      <c r="S393" s="672"/>
      <c r="T393" s="673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606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607</v>
      </c>
      <c r="B394" s="54" t="s">
        <v>608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9" t="s">
        <v>609</v>
      </c>
      <c r="Q394" s="672"/>
      <c r="R394" s="672"/>
      <c r="S394" s="672"/>
      <c r="T394" s="673"/>
      <c r="U394" s="34"/>
      <c r="V394" s="34"/>
      <c r="W394" s="35" t="s">
        <v>68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610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87</v>
      </c>
      <c r="Q395" s="687"/>
      <c r="R395" s="687"/>
      <c r="S395" s="687"/>
      <c r="T395" s="687"/>
      <c r="U395" s="687"/>
      <c r="V395" s="688"/>
      <c r="W395" s="37" t="s">
        <v>88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87</v>
      </c>
      <c r="Q396" s="687"/>
      <c r="R396" s="687"/>
      <c r="S396" s="687"/>
      <c r="T396" s="687"/>
      <c r="U396" s="687"/>
      <c r="V396" s="688"/>
      <c r="W396" s="37" t="s">
        <v>68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3" t="s">
        <v>170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611</v>
      </c>
      <c r="B398" s="54" t="s">
        <v>612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613</v>
      </c>
      <c r="Q398" s="672"/>
      <c r="R398" s="672"/>
      <c r="S398" s="672"/>
      <c r="T398" s="673"/>
      <c r="U398" s="34"/>
      <c r="V398" s="34"/>
      <c r="W398" s="35" t="s">
        <v>68</v>
      </c>
      <c r="X398" s="665">
        <v>430</v>
      </c>
      <c r="Y398" s="666">
        <f>IFERROR(IF(X398="",0,CEILING((X398/$H398),1)*$H398),"")</f>
        <v>432</v>
      </c>
      <c r="Z398" s="36">
        <f>IFERROR(IF(Y398=0,"",ROUNDUP(Y398/H398,0)*0.01898),"")</f>
        <v>0.91104000000000007</v>
      </c>
      <c r="AA398" s="56"/>
      <c r="AB398" s="57"/>
      <c r="AC398" s="445" t="s">
        <v>614</v>
      </c>
      <c r="AG398" s="64"/>
      <c r="AJ398" s="68"/>
      <c r="AK398" s="68">
        <v>0</v>
      </c>
      <c r="BB398" s="446" t="s">
        <v>1</v>
      </c>
      <c r="BM398" s="64">
        <f>IFERROR(X398*I398/H398,"0")</f>
        <v>454.79666666666668</v>
      </c>
      <c r="BN398" s="64">
        <f>IFERROR(Y398*I398/H398,"0")</f>
        <v>456.91199999999998</v>
      </c>
      <c r="BO398" s="64">
        <f>IFERROR(1/J398*(X398/H398),"0")</f>
        <v>0.74652777777777779</v>
      </c>
      <c r="BP398" s="64">
        <f>IFERROR(1/J398*(Y398/H398),"0")</f>
        <v>0.75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87</v>
      </c>
      <c r="Q399" s="687"/>
      <c r="R399" s="687"/>
      <c r="S399" s="687"/>
      <c r="T399" s="687"/>
      <c r="U399" s="687"/>
      <c r="V399" s="688"/>
      <c r="W399" s="37" t="s">
        <v>88</v>
      </c>
      <c r="X399" s="667">
        <f>IFERROR(X398/H398,"0")</f>
        <v>47.777777777777779</v>
      </c>
      <c r="Y399" s="667">
        <f>IFERROR(Y398/H398,"0")</f>
        <v>48</v>
      </c>
      <c r="Z399" s="667">
        <f>IFERROR(IF(Z398="",0,Z398),"0")</f>
        <v>0.91104000000000007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87</v>
      </c>
      <c r="Q400" s="687"/>
      <c r="R400" s="687"/>
      <c r="S400" s="687"/>
      <c r="T400" s="687"/>
      <c r="U400" s="687"/>
      <c r="V400" s="688"/>
      <c r="W400" s="37" t="s">
        <v>68</v>
      </c>
      <c r="X400" s="667">
        <f>IFERROR(SUM(X398:X398),"0")</f>
        <v>430</v>
      </c>
      <c r="Y400" s="667">
        <f>IFERROR(SUM(Y398:Y398),"0")</f>
        <v>432</v>
      </c>
      <c r="Z400" s="37"/>
      <c r="AA400" s="668"/>
      <c r="AB400" s="668"/>
      <c r="AC400" s="668"/>
    </row>
    <row r="401" spans="1:68" ht="16.5" hidden="1" customHeight="1" x14ac:dyDescent="0.25">
      <c r="A401" s="718" t="s">
        <v>615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hidden="1" customHeight="1" x14ac:dyDescent="0.25">
      <c r="A402" s="683" t="s">
        <v>97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hidden="1" customHeight="1" x14ac:dyDescent="0.25">
      <c r="A403" s="54" t="s">
        <v>616</v>
      </c>
      <c r="B403" s="54" t="s">
        <v>617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1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68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618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616</v>
      </c>
      <c r="B404" s="54" t="s">
        <v>619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68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620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621</v>
      </c>
      <c r="B405" s="54" t="s">
        <v>622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68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623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624</v>
      </c>
      <c r="B406" s="54" t="s">
        <v>625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68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623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626</v>
      </c>
      <c r="B407" s="54" t="s">
        <v>627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68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623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87</v>
      </c>
      <c r="Q408" s="687"/>
      <c r="R408" s="687"/>
      <c r="S408" s="687"/>
      <c r="T408" s="687"/>
      <c r="U408" s="687"/>
      <c r="V408" s="688"/>
      <c r="W408" s="37" t="s">
        <v>88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hidden="1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87</v>
      </c>
      <c r="Q409" s="687"/>
      <c r="R409" s="687"/>
      <c r="S409" s="687"/>
      <c r="T409" s="687"/>
      <c r="U409" s="687"/>
      <c r="V409" s="688"/>
      <c r="W409" s="37" t="s">
        <v>68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hidden="1" customHeight="1" x14ac:dyDescent="0.25">
      <c r="A410" s="683" t="s">
        <v>144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628</v>
      </c>
      <c r="B411" s="54" t="s">
        <v>629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68</v>
      </c>
      <c r="X411" s="665">
        <v>100</v>
      </c>
      <c r="Y411" s="666">
        <f>IFERROR(IF(X411="",0,CEILING((X411/$H411),1)*$H411),"")</f>
        <v>100.74</v>
      </c>
      <c r="Z411" s="36">
        <f>IFERROR(IF(Y411=0,"",ROUNDUP(Y411/H411,0)*0.00902),"")</f>
        <v>0.20746000000000001</v>
      </c>
      <c r="AA411" s="56"/>
      <c r="AB411" s="57"/>
      <c r="AC411" s="457" t="s">
        <v>630</v>
      </c>
      <c r="AG411" s="64"/>
      <c r="AJ411" s="68"/>
      <c r="AK411" s="68">
        <v>0</v>
      </c>
      <c r="BB411" s="458" t="s">
        <v>1</v>
      </c>
      <c r="BM411" s="64">
        <f>IFERROR(X411*I411/H411,"0")</f>
        <v>106.16438356164385</v>
      </c>
      <c r="BN411" s="64">
        <f>IFERROR(Y411*I411/H411,"0")</f>
        <v>106.95</v>
      </c>
      <c r="BO411" s="64">
        <f>IFERROR(1/J411*(X411/H411),"0")</f>
        <v>0.17296250172962502</v>
      </c>
      <c r="BP411" s="64">
        <f>IFERROR(1/J411*(Y411/H411),"0")</f>
        <v>0.17424242424242425</v>
      </c>
    </row>
    <row r="412" spans="1:68" ht="27" hidden="1" customHeight="1" x14ac:dyDescent="0.25">
      <c r="A412" s="54" t="s">
        <v>631</v>
      </c>
      <c r="B412" s="54" t="s">
        <v>632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68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630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87</v>
      </c>
      <c r="Q413" s="687"/>
      <c r="R413" s="687"/>
      <c r="S413" s="687"/>
      <c r="T413" s="687"/>
      <c r="U413" s="687"/>
      <c r="V413" s="688"/>
      <c r="W413" s="37" t="s">
        <v>88</v>
      </c>
      <c r="X413" s="667">
        <f>IFERROR(X411/H411,"0")+IFERROR(X412/H412,"0")</f>
        <v>22.831050228310502</v>
      </c>
      <c r="Y413" s="667">
        <f>IFERROR(Y411/H411,"0")+IFERROR(Y412/H412,"0")</f>
        <v>23</v>
      </c>
      <c r="Z413" s="667">
        <f>IFERROR(IF(Z411="",0,Z411),"0")+IFERROR(IF(Z412="",0,Z412),"0")</f>
        <v>0.20746000000000001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87</v>
      </c>
      <c r="Q414" s="687"/>
      <c r="R414" s="687"/>
      <c r="S414" s="687"/>
      <c r="T414" s="687"/>
      <c r="U414" s="687"/>
      <c r="V414" s="688"/>
      <c r="W414" s="37" t="s">
        <v>68</v>
      </c>
      <c r="X414" s="667">
        <f>IFERROR(SUM(X411:X412),"0")</f>
        <v>100</v>
      </c>
      <c r="Y414" s="667">
        <f>IFERROR(SUM(Y411:Y412),"0")</f>
        <v>100.74</v>
      </c>
      <c r="Z414" s="37"/>
      <c r="AA414" s="668"/>
      <c r="AB414" s="668"/>
      <c r="AC414" s="668"/>
    </row>
    <row r="415" spans="1:68" ht="14.25" hidden="1" customHeight="1" x14ac:dyDescent="0.25">
      <c r="A415" s="683" t="s">
        <v>63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hidden="1" customHeight="1" x14ac:dyDescent="0.25">
      <c r="A416" s="54" t="s">
        <v>633</v>
      </c>
      <c r="B416" s="54" t="s">
        <v>634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68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635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636</v>
      </c>
      <c r="B417" s="54" t="s">
        <v>637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1" t="s">
        <v>638</v>
      </c>
      <c r="Q417" s="672"/>
      <c r="R417" s="672"/>
      <c r="S417" s="672"/>
      <c r="T417" s="673"/>
      <c r="U417" s="34"/>
      <c r="V417" s="34"/>
      <c r="W417" s="35" t="s">
        <v>68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639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640</v>
      </c>
      <c r="B418" s="54" t="s">
        <v>641</v>
      </c>
      <c r="C418" s="31">
        <v>4301051660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2"/>
      <c r="R418" s="672"/>
      <c r="S418" s="672"/>
      <c r="T418" s="673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635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640</v>
      </c>
      <c r="B419" s="54" t="s">
        <v>642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46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68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643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644</v>
      </c>
      <c r="B420" s="54" t="s">
        <v>645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100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646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87</v>
      </c>
      <c r="Q421" s="687"/>
      <c r="R421" s="687"/>
      <c r="S421" s="687"/>
      <c r="T421" s="687"/>
      <c r="U421" s="687"/>
      <c r="V421" s="688"/>
      <c r="W421" s="37" t="s">
        <v>88</v>
      </c>
      <c r="X421" s="667">
        <f>IFERROR(X416/H416,"0")+IFERROR(X417/H417,"0")+IFERROR(X418/H418,"0")+IFERROR(X419/H419,"0")+IFERROR(X420/H420,"0")</f>
        <v>0</v>
      </c>
      <c r="Y421" s="667">
        <f>IFERROR(Y416/H416,"0")+IFERROR(Y417/H417,"0")+IFERROR(Y418/H418,"0")+IFERROR(Y419/H419,"0")+IFERROR(Y420/H420,"0")</f>
        <v>0</v>
      </c>
      <c r="Z421" s="667">
        <f>IFERROR(IF(Z416="",0,Z416),"0")+IFERROR(IF(Z417="",0,Z417),"0")+IFERROR(IF(Z418="",0,Z418),"0")+IFERROR(IF(Z419="",0,Z419),"0")+IFERROR(IF(Z420="",0,Z420),"0")</f>
        <v>0</v>
      </c>
      <c r="AA421" s="668"/>
      <c r="AB421" s="668"/>
      <c r="AC421" s="668"/>
    </row>
    <row r="422" spans="1:68" hidden="1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87</v>
      </c>
      <c r="Q422" s="687"/>
      <c r="R422" s="687"/>
      <c r="S422" s="687"/>
      <c r="T422" s="687"/>
      <c r="U422" s="687"/>
      <c r="V422" s="688"/>
      <c r="W422" s="37" t="s">
        <v>68</v>
      </c>
      <c r="X422" s="667">
        <f>IFERROR(SUM(X416:X420),"0")</f>
        <v>0</v>
      </c>
      <c r="Y422" s="667">
        <f>IFERROR(SUM(Y416:Y420),"0")</f>
        <v>0</v>
      </c>
      <c r="Z422" s="37"/>
      <c r="AA422" s="668"/>
      <c r="AB422" s="668"/>
      <c r="AC422" s="668"/>
    </row>
    <row r="423" spans="1:68" ht="14.25" hidden="1" customHeight="1" x14ac:dyDescent="0.25">
      <c r="A423" s="683" t="s">
        <v>170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hidden="1" customHeight="1" x14ac:dyDescent="0.25">
      <c r="A424" s="54" t="s">
        <v>647</v>
      </c>
      <c r="B424" s="54" t="s">
        <v>648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9" t="s">
        <v>649</v>
      </c>
      <c r="Q424" s="672"/>
      <c r="R424" s="672"/>
      <c r="S424" s="672"/>
      <c r="T424" s="673"/>
      <c r="U424" s="34"/>
      <c r="V424" s="34"/>
      <c r="W424" s="35" t="s">
        <v>68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87</v>
      </c>
      <c r="Q425" s="687"/>
      <c r="R425" s="687"/>
      <c r="S425" s="687"/>
      <c r="T425" s="687"/>
      <c r="U425" s="687"/>
      <c r="V425" s="688"/>
      <c r="W425" s="37" t="s">
        <v>88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87</v>
      </c>
      <c r="Q426" s="687"/>
      <c r="R426" s="687"/>
      <c r="S426" s="687"/>
      <c r="T426" s="687"/>
      <c r="U426" s="687"/>
      <c r="V426" s="688"/>
      <c r="W426" s="37" t="s">
        <v>68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hidden="1" customHeight="1" x14ac:dyDescent="0.2">
      <c r="A427" s="681" t="s">
        <v>651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hidden="1" customHeight="1" x14ac:dyDescent="0.25">
      <c r="A428" s="718" t="s">
        <v>652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hidden="1" customHeight="1" x14ac:dyDescent="0.25">
      <c r="A429" s="683" t="s">
        <v>144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hidden="1" customHeight="1" x14ac:dyDescent="0.25">
      <c r="A430" s="54" t="s">
        <v>653</v>
      </c>
      <c r="B430" s="54" t="s">
        <v>654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90" t="s">
        <v>655</v>
      </c>
      <c r="Q430" s="672"/>
      <c r="R430" s="672"/>
      <c r="S430" s="672"/>
      <c r="T430" s="673"/>
      <c r="U430" s="34"/>
      <c r="V430" s="34"/>
      <c r="W430" s="35" t="s">
        <v>68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656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657</v>
      </c>
      <c r="B431" s="54" t="s">
        <v>658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30" t="s">
        <v>659</v>
      </c>
      <c r="Q431" s="672"/>
      <c r="R431" s="672"/>
      <c r="S431" s="672"/>
      <c r="T431" s="673"/>
      <c r="U431" s="34"/>
      <c r="V431" s="34"/>
      <c r="W431" s="35" t="s">
        <v>68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660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657</v>
      </c>
      <c r="B432" s="54" t="s">
        <v>661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03" t="s">
        <v>659</v>
      </c>
      <c r="Q432" s="672"/>
      <c r="R432" s="672"/>
      <c r="S432" s="672"/>
      <c r="T432" s="673"/>
      <c r="U432" s="34"/>
      <c r="V432" s="34"/>
      <c r="W432" s="35" t="s">
        <v>68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660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662</v>
      </c>
      <c r="B433" s="54" t="s">
        <v>663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1" t="s">
        <v>664</v>
      </c>
      <c r="Q433" s="672"/>
      <c r="R433" s="672"/>
      <c r="S433" s="672"/>
      <c r="T433" s="673"/>
      <c r="U433" s="34"/>
      <c r="V433" s="34"/>
      <c r="W433" s="35" t="s">
        <v>68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665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666</v>
      </c>
      <c r="B434" s="54" t="s">
        <v>667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8" t="s">
        <v>668</v>
      </c>
      <c r="Q434" s="672"/>
      <c r="R434" s="672"/>
      <c r="S434" s="672"/>
      <c r="T434" s="673"/>
      <c r="U434" s="34"/>
      <c r="V434" s="34"/>
      <c r="W434" s="35" t="s">
        <v>68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656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666</v>
      </c>
      <c r="B435" s="54" t="s">
        <v>669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68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656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670</v>
      </c>
      <c r="B436" s="54" t="s">
        <v>671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68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656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672</v>
      </c>
      <c r="B437" s="54" t="s">
        <v>673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68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674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675</v>
      </c>
      <c r="B438" s="54" t="s">
        <v>676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8" t="s">
        <v>677</v>
      </c>
      <c r="Q438" s="672"/>
      <c r="R438" s="672"/>
      <c r="S438" s="672"/>
      <c r="T438" s="673"/>
      <c r="U438" s="34"/>
      <c r="V438" s="34"/>
      <c r="W438" s="35" t="s">
        <v>68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675</v>
      </c>
      <c r="B439" s="54" t="s">
        <v>679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0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68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680</v>
      </c>
      <c r="B440" s="54" t="s">
        <v>681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68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682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683</v>
      </c>
      <c r="B441" s="54" t="s">
        <v>684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68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87</v>
      </c>
      <c r="Q442" s="687"/>
      <c r="R442" s="687"/>
      <c r="S442" s="687"/>
      <c r="T442" s="687"/>
      <c r="U442" s="687"/>
      <c r="V442" s="688"/>
      <c r="W442" s="37" t="s">
        <v>88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8"/>
      <c r="AB442" s="668"/>
      <c r="AC442" s="668"/>
    </row>
    <row r="443" spans="1:68" hidden="1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87</v>
      </c>
      <c r="Q443" s="687"/>
      <c r="R443" s="687"/>
      <c r="S443" s="687"/>
      <c r="T443" s="687"/>
      <c r="U443" s="687"/>
      <c r="V443" s="688"/>
      <c r="W443" s="37" t="s">
        <v>68</v>
      </c>
      <c r="X443" s="667">
        <f>IFERROR(SUM(X430:X441),"0")</f>
        <v>0</v>
      </c>
      <c r="Y443" s="667">
        <f>IFERROR(SUM(Y430:Y441),"0")</f>
        <v>0</v>
      </c>
      <c r="Z443" s="37"/>
      <c r="AA443" s="668"/>
      <c r="AB443" s="668"/>
      <c r="AC443" s="668"/>
    </row>
    <row r="444" spans="1:68" ht="14.25" hidden="1" customHeight="1" x14ac:dyDescent="0.25">
      <c r="A444" s="683" t="s">
        <v>63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hidden="1" customHeight="1" x14ac:dyDescent="0.25">
      <c r="A445" s="54" t="s">
        <v>685</v>
      </c>
      <c r="B445" s="54" t="s">
        <v>686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68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687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688</v>
      </c>
      <c r="B446" s="54" t="s">
        <v>689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690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87</v>
      </c>
      <c r="Q447" s="687"/>
      <c r="R447" s="687"/>
      <c r="S447" s="687"/>
      <c r="T447" s="687"/>
      <c r="U447" s="687"/>
      <c r="V447" s="688"/>
      <c r="W447" s="37" t="s">
        <v>88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87</v>
      </c>
      <c r="Q448" s="687"/>
      <c r="R448" s="687"/>
      <c r="S448" s="687"/>
      <c r="T448" s="687"/>
      <c r="U448" s="687"/>
      <c r="V448" s="688"/>
      <c r="W448" s="37" t="s">
        <v>68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hidden="1" customHeight="1" x14ac:dyDescent="0.25">
      <c r="A449" s="718" t="s">
        <v>691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hidden="1" customHeight="1" x14ac:dyDescent="0.25">
      <c r="A450" s="683" t="s">
        <v>133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hidden="1" customHeight="1" x14ac:dyDescent="0.25">
      <c r="A451" s="54" t="s">
        <v>692</v>
      </c>
      <c r="B451" s="54" t="s">
        <v>693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68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694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695</v>
      </c>
      <c r="B452" s="54" t="s">
        <v>696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697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87</v>
      </c>
      <c r="Q453" s="687"/>
      <c r="R453" s="687"/>
      <c r="S453" s="687"/>
      <c r="T453" s="687"/>
      <c r="U453" s="687"/>
      <c r="V453" s="688"/>
      <c r="W453" s="37" t="s">
        <v>88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87</v>
      </c>
      <c r="Q454" s="687"/>
      <c r="R454" s="687"/>
      <c r="S454" s="687"/>
      <c r="T454" s="687"/>
      <c r="U454" s="687"/>
      <c r="V454" s="688"/>
      <c r="W454" s="37" t="s">
        <v>68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hidden="1" customHeight="1" x14ac:dyDescent="0.25">
      <c r="A455" s="683" t="s">
        <v>144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hidden="1" customHeight="1" x14ac:dyDescent="0.25">
      <c r="A456" s="54" t="s">
        <v>698</v>
      </c>
      <c r="B456" s="54" t="s">
        <v>699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2" t="s">
        <v>700</v>
      </c>
      <c r="Q456" s="672"/>
      <c r="R456" s="672"/>
      <c r="S456" s="672"/>
      <c r="T456" s="673"/>
      <c r="U456" s="34"/>
      <c r="V456" s="34"/>
      <c r="W456" s="35" t="s">
        <v>68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701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702</v>
      </c>
      <c r="B457" s="54" t="s">
        <v>703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704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705</v>
      </c>
      <c r="B458" s="54" t="s">
        <v>706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6" t="s">
        <v>707</v>
      </c>
      <c r="Q458" s="672"/>
      <c r="R458" s="672"/>
      <c r="S458" s="672"/>
      <c r="T458" s="673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708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709</v>
      </c>
      <c r="B459" s="54" t="s">
        <v>710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708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87</v>
      </c>
      <c r="Q460" s="687"/>
      <c r="R460" s="687"/>
      <c r="S460" s="687"/>
      <c r="T460" s="687"/>
      <c r="U460" s="687"/>
      <c r="V460" s="688"/>
      <c r="W460" s="37" t="s">
        <v>88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hidden="1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87</v>
      </c>
      <c r="Q461" s="687"/>
      <c r="R461" s="687"/>
      <c r="S461" s="687"/>
      <c r="T461" s="687"/>
      <c r="U461" s="687"/>
      <c r="V461" s="688"/>
      <c r="W461" s="37" t="s">
        <v>68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hidden="1" customHeight="1" x14ac:dyDescent="0.25">
      <c r="A462" s="718" t="s">
        <v>711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hidden="1" customHeight="1" x14ac:dyDescent="0.25">
      <c r="A463" s="683" t="s">
        <v>144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hidden="1" customHeight="1" x14ac:dyDescent="0.25">
      <c r="A464" s="54" t="s">
        <v>712</v>
      </c>
      <c r="B464" s="54" t="s">
        <v>713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68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714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715</v>
      </c>
      <c r="B465" s="54" t="s">
        <v>716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8" t="s">
        <v>717</v>
      </c>
      <c r="Q465" s="672"/>
      <c r="R465" s="672"/>
      <c r="S465" s="672"/>
      <c r="T465" s="673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718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87</v>
      </c>
      <c r="Q466" s="687"/>
      <c r="R466" s="687"/>
      <c r="S466" s="687"/>
      <c r="T466" s="687"/>
      <c r="U466" s="687"/>
      <c r="V466" s="688"/>
      <c r="W466" s="37" t="s">
        <v>88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hidden="1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87</v>
      </c>
      <c r="Q467" s="687"/>
      <c r="R467" s="687"/>
      <c r="S467" s="687"/>
      <c r="T467" s="687"/>
      <c r="U467" s="687"/>
      <c r="V467" s="688"/>
      <c r="W467" s="37" t="s">
        <v>68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hidden="1" customHeight="1" x14ac:dyDescent="0.25">
      <c r="A468" s="718" t="s">
        <v>719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hidden="1" customHeight="1" x14ac:dyDescent="0.25">
      <c r="A469" s="683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hidden="1" customHeight="1" x14ac:dyDescent="0.25">
      <c r="A470" s="54" t="s">
        <v>720</v>
      </c>
      <c r="B470" s="54" t="s">
        <v>721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68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722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87</v>
      </c>
      <c r="Q471" s="687"/>
      <c r="R471" s="687"/>
      <c r="S471" s="687"/>
      <c r="T471" s="687"/>
      <c r="U471" s="687"/>
      <c r="V471" s="688"/>
      <c r="W471" s="37" t="s">
        <v>88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87</v>
      </c>
      <c r="Q472" s="687"/>
      <c r="R472" s="687"/>
      <c r="S472" s="687"/>
      <c r="T472" s="687"/>
      <c r="U472" s="687"/>
      <c r="V472" s="688"/>
      <c r="W472" s="37" t="s">
        <v>68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hidden="1" customHeight="1" x14ac:dyDescent="0.25">
      <c r="A473" s="683" t="s">
        <v>170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hidden="1" customHeight="1" x14ac:dyDescent="0.25">
      <c r="A474" s="54" t="s">
        <v>723</v>
      </c>
      <c r="B474" s="54" t="s">
        <v>724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7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68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725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87</v>
      </c>
      <c r="Q475" s="687"/>
      <c r="R475" s="687"/>
      <c r="S475" s="687"/>
      <c r="T475" s="687"/>
      <c r="U475" s="687"/>
      <c r="V475" s="688"/>
      <c r="W475" s="37" t="s">
        <v>88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87</v>
      </c>
      <c r="Q476" s="687"/>
      <c r="R476" s="687"/>
      <c r="S476" s="687"/>
      <c r="T476" s="687"/>
      <c r="U476" s="687"/>
      <c r="V476" s="688"/>
      <c r="W476" s="37" t="s">
        <v>68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hidden="1" customHeight="1" x14ac:dyDescent="0.2">
      <c r="A477" s="681" t="s">
        <v>726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hidden="1" customHeight="1" x14ac:dyDescent="0.25">
      <c r="A478" s="718" t="s">
        <v>726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hidden="1" customHeight="1" x14ac:dyDescent="0.25">
      <c r="A479" s="683" t="s">
        <v>97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hidden="1" customHeight="1" x14ac:dyDescent="0.25">
      <c r="A480" s="54" t="s">
        <v>727</v>
      </c>
      <c r="B480" s="54" t="s">
        <v>728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68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729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68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732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hidden="1" customHeight="1" x14ac:dyDescent="0.25">
      <c r="A482" s="54" t="s">
        <v>733</v>
      </c>
      <c r="B482" s="54" t="s">
        <v>734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68</v>
      </c>
      <c r="X482" s="665">
        <v>0</v>
      </c>
      <c r="Y482" s="666">
        <f t="shared" si="69"/>
        <v>0</v>
      </c>
      <c r="Z482" s="36" t="str">
        <f t="shared" si="70"/>
        <v/>
      </c>
      <c r="AA482" s="56"/>
      <c r="AB482" s="57"/>
      <c r="AC482" s="525" t="s">
        <v>735</v>
      </c>
      <c r="AG482" s="64"/>
      <c r="AJ482" s="68"/>
      <c r="AK482" s="68">
        <v>0</v>
      </c>
      <c r="BB482" s="526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16.5" hidden="1" customHeight="1" x14ac:dyDescent="0.25">
      <c r="A483" s="54" t="s">
        <v>736</v>
      </c>
      <c r="B483" s="54" t="s">
        <v>737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738</v>
      </c>
      <c r="V483" s="34"/>
      <c r="W483" s="35" t="s">
        <v>68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740</v>
      </c>
      <c r="B484" s="54" t="s">
        <v>741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100</v>
      </c>
      <c r="L484" s="32"/>
      <c r="M484" s="33" t="s">
        <v>101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68</v>
      </c>
      <c r="X484" s="665">
        <v>650</v>
      </c>
      <c r="Y484" s="666">
        <f t="shared" si="69"/>
        <v>654.72</v>
      </c>
      <c r="Z484" s="36">
        <f t="shared" si="70"/>
        <v>1.4830399999999999</v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1"/>
        <v>694.31818181818176</v>
      </c>
      <c r="BN484" s="64">
        <f t="shared" si="72"/>
        <v>699.36</v>
      </c>
      <c r="BO484" s="64">
        <f t="shared" si="73"/>
        <v>1.1837121212121211</v>
      </c>
      <c r="BP484" s="64">
        <f t="shared" si="74"/>
        <v>1.1923076923076923</v>
      </c>
    </row>
    <row r="485" spans="1:68" ht="16.5" hidden="1" customHeight="1" x14ac:dyDescent="0.25">
      <c r="A485" s="54" t="s">
        <v>743</v>
      </c>
      <c r="B485" s="54" t="s">
        <v>744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100</v>
      </c>
      <c r="L485" s="32"/>
      <c r="M485" s="33" t="s">
        <v>106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68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745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106</v>
      </c>
      <c r="N486" s="33"/>
      <c r="O486" s="32">
        <v>60</v>
      </c>
      <c r="P486" s="1015" t="s">
        <v>748</v>
      </c>
      <c r="Q486" s="672"/>
      <c r="R486" s="672"/>
      <c r="S486" s="672"/>
      <c r="T486" s="673"/>
      <c r="U486" s="34"/>
      <c r="V486" s="34"/>
      <c r="W486" s="35" t="s">
        <v>68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729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hidden="1" customHeight="1" x14ac:dyDescent="0.25">
      <c r="A487" s="54" t="s">
        <v>749</v>
      </c>
      <c r="B487" s="54" t="s">
        <v>750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68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729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hidden="1" customHeight="1" x14ac:dyDescent="0.25">
      <c r="A488" s="54" t="s">
        <v>749</v>
      </c>
      <c r="B488" s="54" t="s">
        <v>751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68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729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752</v>
      </c>
      <c r="B489" s="54" t="s">
        <v>753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105</v>
      </c>
      <c r="L489" s="32"/>
      <c r="M489" s="33" t="s">
        <v>101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68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732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5" t="s">
        <v>756</v>
      </c>
      <c r="Q490" s="672"/>
      <c r="R490" s="672"/>
      <c r="S490" s="672"/>
      <c r="T490" s="673"/>
      <c r="U490" s="34"/>
      <c r="V490" s="34"/>
      <c r="W490" s="35" t="s">
        <v>68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735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757</v>
      </c>
      <c r="B491" s="54" t="s">
        <v>758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105</v>
      </c>
      <c r="L491" s="32"/>
      <c r="M491" s="33" t="s">
        <v>101</v>
      </c>
      <c r="N491" s="33"/>
      <c r="O491" s="32">
        <v>60</v>
      </c>
      <c r="P491" s="868" t="s">
        <v>759</v>
      </c>
      <c r="Q491" s="672"/>
      <c r="R491" s="672"/>
      <c r="S491" s="672"/>
      <c r="T491" s="673"/>
      <c r="U491" s="34"/>
      <c r="V491" s="34"/>
      <c r="W491" s="35" t="s">
        <v>68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hidden="1" customHeight="1" x14ac:dyDescent="0.25">
      <c r="A492" s="54" t="s">
        <v>760</v>
      </c>
      <c r="B492" s="54" t="s">
        <v>761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101</v>
      </c>
      <c r="N492" s="33"/>
      <c r="O492" s="32">
        <v>60</v>
      </c>
      <c r="P492" s="788" t="s">
        <v>762</v>
      </c>
      <c r="Q492" s="672"/>
      <c r="R492" s="672"/>
      <c r="S492" s="672"/>
      <c r="T492" s="673"/>
      <c r="U492" s="34"/>
      <c r="V492" s="34"/>
      <c r="W492" s="35" t="s">
        <v>68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742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hidden="1" customHeight="1" x14ac:dyDescent="0.25">
      <c r="A493" s="54" t="s">
        <v>763</v>
      </c>
      <c r="B493" s="54" t="s">
        <v>764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68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742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hidden="1" customHeight="1" x14ac:dyDescent="0.25">
      <c r="A494" s="54" t="s">
        <v>763</v>
      </c>
      <c r="B494" s="54" t="s">
        <v>765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105</v>
      </c>
      <c r="L494" s="32"/>
      <c r="M494" s="33" t="s">
        <v>101</v>
      </c>
      <c r="N494" s="33"/>
      <c r="O494" s="32">
        <v>60</v>
      </c>
      <c r="P494" s="7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68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766</v>
      </c>
      <c r="B495" s="54" t="s">
        <v>767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105</v>
      </c>
      <c r="L495" s="32"/>
      <c r="M495" s="33" t="s">
        <v>101</v>
      </c>
      <c r="N495" s="33"/>
      <c r="O495" s="32">
        <v>60</v>
      </c>
      <c r="P495" s="8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68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745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87</v>
      </c>
      <c r="Q496" s="687"/>
      <c r="R496" s="687"/>
      <c r="S496" s="687"/>
      <c r="T496" s="687"/>
      <c r="U496" s="687"/>
      <c r="V496" s="688"/>
      <c r="W496" s="37" t="s">
        <v>88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123.10606060606059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124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1.4830399999999999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87</v>
      </c>
      <c r="Q497" s="687"/>
      <c r="R497" s="687"/>
      <c r="S497" s="687"/>
      <c r="T497" s="687"/>
      <c r="U497" s="687"/>
      <c r="V497" s="688"/>
      <c r="W497" s="37" t="s">
        <v>68</v>
      </c>
      <c r="X497" s="667">
        <f>IFERROR(SUM(X480:X495),"0")</f>
        <v>650</v>
      </c>
      <c r="Y497" s="667">
        <f>IFERROR(SUM(Y480:Y495),"0")</f>
        <v>654.72</v>
      </c>
      <c r="Z497" s="37"/>
      <c r="AA497" s="668"/>
      <c r="AB497" s="668"/>
      <c r="AC497" s="668"/>
    </row>
    <row r="498" spans="1:68" ht="14.25" hidden="1" customHeight="1" x14ac:dyDescent="0.25">
      <c r="A498" s="683" t="s">
        <v>133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768</v>
      </c>
      <c r="B499" s="54" t="s">
        <v>769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100</v>
      </c>
      <c r="L499" s="32"/>
      <c r="M499" s="33" t="s">
        <v>101</v>
      </c>
      <c r="N499" s="33"/>
      <c r="O499" s="32">
        <v>55</v>
      </c>
      <c r="P499" s="102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68</v>
      </c>
      <c r="X499" s="665">
        <v>300</v>
      </c>
      <c r="Y499" s="666">
        <f>IFERROR(IF(X499="",0,CEILING((X499/$H499),1)*$H499),"")</f>
        <v>300.96000000000004</v>
      </c>
      <c r="Z499" s="36">
        <f>IFERROR(IF(Y499=0,"",ROUNDUP(Y499/H499,0)*0.01196),"")</f>
        <v>0.68171999999999999</v>
      </c>
      <c r="AA499" s="56"/>
      <c r="AB499" s="57"/>
      <c r="AC499" s="553" t="s">
        <v>770</v>
      </c>
      <c r="AG499" s="64"/>
      <c r="AJ499" s="68"/>
      <c r="AK499" s="68">
        <v>0</v>
      </c>
      <c r="BB499" s="554" t="s">
        <v>1</v>
      </c>
      <c r="BM499" s="64">
        <f>IFERROR(X499*I499/H499,"0")</f>
        <v>320.45454545454544</v>
      </c>
      <c r="BN499" s="64">
        <f>IFERROR(Y499*I499/H499,"0")</f>
        <v>321.48</v>
      </c>
      <c r="BO499" s="64">
        <f>IFERROR(1/J499*(X499/H499),"0")</f>
        <v>0.54632867132867136</v>
      </c>
      <c r="BP499" s="64">
        <f>IFERROR(1/J499*(Y499/H499),"0")</f>
        <v>0.54807692307692313</v>
      </c>
    </row>
    <row r="500" spans="1:68" ht="16.5" hidden="1" customHeight="1" x14ac:dyDescent="0.25">
      <c r="A500" s="54" t="s">
        <v>768</v>
      </c>
      <c r="B500" s="54" t="s">
        <v>771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100</v>
      </c>
      <c r="L500" s="32"/>
      <c r="M500" s="33" t="s">
        <v>106</v>
      </c>
      <c r="N500" s="33"/>
      <c r="O500" s="32">
        <v>70</v>
      </c>
      <c r="P500" s="913" t="s">
        <v>772</v>
      </c>
      <c r="Q500" s="672"/>
      <c r="R500" s="672"/>
      <c r="S500" s="672"/>
      <c r="T500" s="673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773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774</v>
      </c>
      <c r="B501" s="54" t="s">
        <v>775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106</v>
      </c>
      <c r="N501" s="33"/>
      <c r="O501" s="32">
        <v>70</v>
      </c>
      <c r="P501" s="800" t="s">
        <v>776</v>
      </c>
      <c r="Q501" s="672"/>
      <c r="R501" s="672"/>
      <c r="S501" s="672"/>
      <c r="T501" s="673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773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777</v>
      </c>
      <c r="B502" s="54" t="s">
        <v>778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105</v>
      </c>
      <c r="L502" s="32"/>
      <c r="M502" s="33" t="s">
        <v>101</v>
      </c>
      <c r="N502" s="33"/>
      <c r="O502" s="32">
        <v>70</v>
      </c>
      <c r="P502" s="749" t="s">
        <v>779</v>
      </c>
      <c r="Q502" s="672"/>
      <c r="R502" s="672"/>
      <c r="S502" s="672"/>
      <c r="T502" s="673"/>
      <c r="U502" s="34"/>
      <c r="V502" s="34"/>
      <c r="W502" s="35" t="s">
        <v>68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773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87</v>
      </c>
      <c r="Q503" s="687"/>
      <c r="R503" s="687"/>
      <c r="S503" s="687"/>
      <c r="T503" s="687"/>
      <c r="U503" s="687"/>
      <c r="V503" s="688"/>
      <c r="W503" s="37" t="s">
        <v>88</v>
      </c>
      <c r="X503" s="667">
        <f>IFERROR(X499/H499,"0")+IFERROR(X500/H500,"0")+IFERROR(X501/H501,"0")+IFERROR(X502/H502,"0")</f>
        <v>56.818181818181813</v>
      </c>
      <c r="Y503" s="667">
        <f>IFERROR(Y499/H499,"0")+IFERROR(Y500/H500,"0")+IFERROR(Y501/H501,"0")+IFERROR(Y502/H502,"0")</f>
        <v>57.000000000000007</v>
      </c>
      <c r="Z503" s="667">
        <f>IFERROR(IF(Z499="",0,Z499),"0")+IFERROR(IF(Z500="",0,Z500),"0")+IFERROR(IF(Z501="",0,Z501),"0")+IFERROR(IF(Z502="",0,Z502),"0")</f>
        <v>0.68171999999999999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87</v>
      </c>
      <c r="Q504" s="687"/>
      <c r="R504" s="687"/>
      <c r="S504" s="687"/>
      <c r="T504" s="687"/>
      <c r="U504" s="687"/>
      <c r="V504" s="688"/>
      <c r="W504" s="37" t="s">
        <v>68</v>
      </c>
      <c r="X504" s="667">
        <f>IFERROR(SUM(X499:X502),"0")</f>
        <v>300</v>
      </c>
      <c r="Y504" s="667">
        <f>IFERROR(SUM(Y499:Y502),"0")</f>
        <v>300.96000000000004</v>
      </c>
      <c r="Z504" s="37"/>
      <c r="AA504" s="668"/>
      <c r="AB504" s="668"/>
      <c r="AC504" s="668"/>
    </row>
    <row r="505" spans="1:68" ht="14.25" hidden="1" customHeight="1" x14ac:dyDescent="0.25">
      <c r="A505" s="683" t="s">
        <v>144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780</v>
      </c>
      <c r="B506" s="54" t="s">
        <v>781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100</v>
      </c>
      <c r="L506" s="32"/>
      <c r="M506" s="33" t="s">
        <v>101</v>
      </c>
      <c r="N506" s="33"/>
      <c r="O506" s="32">
        <v>70</v>
      </c>
      <c r="P506" s="899" t="s">
        <v>782</v>
      </c>
      <c r="Q506" s="672"/>
      <c r="R506" s="672"/>
      <c r="S506" s="672"/>
      <c r="T506" s="673"/>
      <c r="U506" s="34"/>
      <c r="V506" s="34"/>
      <c r="W506" s="35" t="s">
        <v>68</v>
      </c>
      <c r="X506" s="665">
        <v>200</v>
      </c>
      <c r="Y506" s="666">
        <f t="shared" ref="Y506:Y517" si="75">IFERROR(IF(X506="",0,CEILING((X506/$H506),1)*$H506),"")</f>
        <v>200.64000000000001</v>
      </c>
      <c r="Z506" s="36">
        <f>IFERROR(IF(Y506=0,"",ROUNDUP(Y506/H506,0)*0.01196),"")</f>
        <v>0.45448</v>
      </c>
      <c r="AA506" s="56"/>
      <c r="AB506" s="57"/>
      <c r="AC506" s="561" t="s">
        <v>783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213.63636363636363</v>
      </c>
      <c r="BN506" s="64">
        <f t="shared" ref="BN506:BN517" si="77">IFERROR(Y506*I506/H506,"0")</f>
        <v>214.32</v>
      </c>
      <c r="BO506" s="64">
        <f t="shared" ref="BO506:BO517" si="78">IFERROR(1/J506*(X506/H506),"0")</f>
        <v>0.36421911421911418</v>
      </c>
      <c r="BP506" s="64">
        <f t="shared" ref="BP506:BP517" si="79">IFERROR(1/J506*(Y506/H506),"0")</f>
        <v>0.36538461538461542</v>
      </c>
    </row>
    <row r="507" spans="1:68" ht="27" customHeight="1" x14ac:dyDescent="0.25">
      <c r="A507" s="54" t="s">
        <v>784</v>
      </c>
      <c r="B507" s="54" t="s">
        <v>785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51" t="s">
        <v>786</v>
      </c>
      <c r="Q507" s="672"/>
      <c r="R507" s="672"/>
      <c r="S507" s="672"/>
      <c r="T507" s="673"/>
      <c r="U507" s="34"/>
      <c r="V507" s="34"/>
      <c r="W507" s="35" t="s">
        <v>68</v>
      </c>
      <c r="X507" s="665">
        <v>200</v>
      </c>
      <c r="Y507" s="666">
        <f t="shared" si="75"/>
        <v>200.64000000000001</v>
      </c>
      <c r="Z507" s="36">
        <f>IFERROR(IF(Y507=0,"",ROUNDUP(Y507/H507,0)*0.01196),"")</f>
        <v>0.45448</v>
      </c>
      <c r="AA507" s="56"/>
      <c r="AB507" s="57"/>
      <c r="AC507" s="563" t="s">
        <v>787</v>
      </c>
      <c r="AG507" s="64"/>
      <c r="AJ507" s="68"/>
      <c r="AK507" s="68">
        <v>0</v>
      </c>
      <c r="BB507" s="564" t="s">
        <v>1</v>
      </c>
      <c r="BM507" s="64">
        <f t="shared" si="76"/>
        <v>213.63636363636363</v>
      </c>
      <c r="BN507" s="64">
        <f t="shared" si="77"/>
        <v>214.32</v>
      </c>
      <c r="BO507" s="64">
        <f t="shared" si="78"/>
        <v>0.36421911421911418</v>
      </c>
      <c r="BP507" s="64">
        <f t="shared" si="79"/>
        <v>0.36538461538461542</v>
      </c>
    </row>
    <row r="508" spans="1:68" ht="27" customHeight="1" x14ac:dyDescent="0.25">
      <c r="A508" s="54" t="s">
        <v>788</v>
      </c>
      <c r="B508" s="54" t="s">
        <v>789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100</v>
      </c>
      <c r="L508" s="32"/>
      <c r="M508" s="33" t="s">
        <v>67</v>
      </c>
      <c r="N508" s="33"/>
      <c r="O508" s="32">
        <v>70</v>
      </c>
      <c r="P508" s="767" t="s">
        <v>790</v>
      </c>
      <c r="Q508" s="672"/>
      <c r="R508" s="672"/>
      <c r="S508" s="672"/>
      <c r="T508" s="673"/>
      <c r="U508" s="34"/>
      <c r="V508" s="34"/>
      <c r="W508" s="35" t="s">
        <v>68</v>
      </c>
      <c r="X508" s="665">
        <v>300</v>
      </c>
      <c r="Y508" s="666">
        <f t="shared" si="75"/>
        <v>300.96000000000004</v>
      </c>
      <c r="Z508" s="36">
        <f>IFERROR(IF(Y508=0,"",ROUNDUP(Y508/H508,0)*0.01196),"")</f>
        <v>0.68171999999999999</v>
      </c>
      <c r="AA508" s="56"/>
      <c r="AB508" s="57"/>
      <c r="AC508" s="565" t="s">
        <v>791</v>
      </c>
      <c r="AG508" s="64"/>
      <c r="AJ508" s="68"/>
      <c r="AK508" s="68">
        <v>0</v>
      </c>
      <c r="BB508" s="566" t="s">
        <v>1</v>
      </c>
      <c r="BM508" s="64">
        <f t="shared" si="76"/>
        <v>320.45454545454544</v>
      </c>
      <c r="BN508" s="64">
        <f t="shared" si="77"/>
        <v>321.48</v>
      </c>
      <c r="BO508" s="64">
        <f t="shared" si="78"/>
        <v>0.54632867132867136</v>
      </c>
      <c r="BP508" s="64">
        <f t="shared" si="79"/>
        <v>0.54807692307692313</v>
      </c>
    </row>
    <row r="509" spans="1:68" ht="27" hidden="1" customHeight="1" x14ac:dyDescent="0.25">
      <c r="A509" s="54" t="s">
        <v>792</v>
      </c>
      <c r="B509" s="54" t="s">
        <v>793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101</v>
      </c>
      <c r="N509" s="33"/>
      <c r="O509" s="32">
        <v>70</v>
      </c>
      <c r="P509" s="1011" t="s">
        <v>794</v>
      </c>
      <c r="Q509" s="672"/>
      <c r="R509" s="672"/>
      <c r="S509" s="672"/>
      <c r="T509" s="673"/>
      <c r="U509" s="34"/>
      <c r="V509" s="34"/>
      <c r="W509" s="35" t="s">
        <v>68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783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hidden="1" customHeight="1" x14ac:dyDescent="0.25">
      <c r="A510" s="54" t="s">
        <v>795</v>
      </c>
      <c r="B510" s="54" t="s">
        <v>796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17" t="s">
        <v>797</v>
      </c>
      <c r="Q510" s="672"/>
      <c r="R510" s="672"/>
      <c r="S510" s="672"/>
      <c r="T510" s="673"/>
      <c r="U510" s="34"/>
      <c r="V510" s="34"/>
      <c r="W510" s="35" t="s">
        <v>68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783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hidden="1" customHeight="1" x14ac:dyDescent="0.25">
      <c r="A511" s="54" t="s">
        <v>795</v>
      </c>
      <c r="B511" s="54" t="s">
        <v>798</v>
      </c>
      <c r="C511" s="31">
        <v>4301031351</v>
      </c>
      <c r="D511" s="669">
        <v>4680115882072</v>
      </c>
      <c r="E511" s="670"/>
      <c r="F511" s="664">
        <v>0.6</v>
      </c>
      <c r="G511" s="32">
        <v>6</v>
      </c>
      <c r="H511" s="664">
        <v>3.6</v>
      </c>
      <c r="I511" s="664">
        <v>3.81</v>
      </c>
      <c r="J511" s="32">
        <v>132</v>
      </c>
      <c r="K511" s="32" t="s">
        <v>105</v>
      </c>
      <c r="L511" s="32"/>
      <c r="M511" s="33" t="s">
        <v>101</v>
      </c>
      <c r="N511" s="33"/>
      <c r="O511" s="32">
        <v>70</v>
      </c>
      <c r="P511" s="880" t="s">
        <v>799</v>
      </c>
      <c r="Q511" s="672"/>
      <c r="R511" s="672"/>
      <c r="S511" s="672"/>
      <c r="T511" s="673"/>
      <c r="U511" s="34"/>
      <c r="V511" s="34"/>
      <c r="W511" s="35" t="s">
        <v>68</v>
      </c>
      <c r="X511" s="665">
        <v>0</v>
      </c>
      <c r="Y511" s="666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783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795</v>
      </c>
      <c r="B512" s="54" t="s">
        <v>800</v>
      </c>
      <c r="C512" s="31">
        <v>4301031383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6.96</v>
      </c>
      <c r="J512" s="32">
        <v>120</v>
      </c>
      <c r="K512" s="32" t="s">
        <v>105</v>
      </c>
      <c r="L512" s="32"/>
      <c r="M512" s="33" t="s">
        <v>101</v>
      </c>
      <c r="N512" s="33"/>
      <c r="O512" s="32">
        <v>60</v>
      </c>
      <c r="P512" s="92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2"/>
      <c r="R512" s="672"/>
      <c r="S512" s="672"/>
      <c r="T512" s="673"/>
      <c r="U512" s="34"/>
      <c r="V512" s="34"/>
      <c r="W512" s="35" t="s">
        <v>68</v>
      </c>
      <c r="X512" s="665">
        <v>0</v>
      </c>
      <c r="Y512" s="666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801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hidden="1" customHeight="1" x14ac:dyDescent="0.25">
      <c r="A513" s="54" t="s">
        <v>802</v>
      </c>
      <c r="B513" s="54" t="s">
        <v>803</v>
      </c>
      <c r="C513" s="31">
        <v>4301031418</v>
      </c>
      <c r="D513" s="669">
        <v>4680115882102</v>
      </c>
      <c r="E513" s="670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70</v>
      </c>
      <c r="P513" s="842" t="s">
        <v>804</v>
      </c>
      <c r="Q513" s="672"/>
      <c r="R513" s="672"/>
      <c r="S513" s="672"/>
      <c r="T513" s="673"/>
      <c r="U513" s="34"/>
      <c r="V513" s="34"/>
      <c r="W513" s="35" t="s">
        <v>68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787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hidden="1" customHeight="1" x14ac:dyDescent="0.25">
      <c r="A514" s="54" t="s">
        <v>802</v>
      </c>
      <c r="B514" s="54" t="s">
        <v>805</v>
      </c>
      <c r="C514" s="31">
        <v>4301031251</v>
      </c>
      <c r="D514" s="669">
        <v>4680115882102</v>
      </c>
      <c r="E514" s="670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60</v>
      </c>
      <c r="P514" s="85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72"/>
      <c r="R514" s="672"/>
      <c r="S514" s="672"/>
      <c r="T514" s="673"/>
      <c r="U514" s="34"/>
      <c r="V514" s="34"/>
      <c r="W514" s="35" t="s">
        <v>68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806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hidden="1" customHeight="1" x14ac:dyDescent="0.25">
      <c r="A515" s="54" t="s">
        <v>807</v>
      </c>
      <c r="B515" s="54" t="s">
        <v>808</v>
      </c>
      <c r="C515" s="31">
        <v>4301031417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132</v>
      </c>
      <c r="K515" s="32" t="s">
        <v>105</v>
      </c>
      <c r="L515" s="32"/>
      <c r="M515" s="33" t="s">
        <v>67</v>
      </c>
      <c r="N515" s="33"/>
      <c r="O515" s="32">
        <v>70</v>
      </c>
      <c r="P515" s="1017" t="s">
        <v>809</v>
      </c>
      <c r="Q515" s="672"/>
      <c r="R515" s="672"/>
      <c r="S515" s="672"/>
      <c r="T515" s="673"/>
      <c r="U515" s="34"/>
      <c r="V515" s="34"/>
      <c r="W515" s="35" t="s">
        <v>68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791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hidden="1" customHeight="1" x14ac:dyDescent="0.25">
      <c r="A516" s="54" t="s">
        <v>807</v>
      </c>
      <c r="B516" s="54" t="s">
        <v>810</v>
      </c>
      <c r="C516" s="31">
        <v>4301031253</v>
      </c>
      <c r="D516" s="669">
        <v>4680115882096</v>
      </c>
      <c r="E516" s="670"/>
      <c r="F516" s="664">
        <v>0.6</v>
      </c>
      <c r="G516" s="32">
        <v>6</v>
      </c>
      <c r="H516" s="664">
        <v>3.6</v>
      </c>
      <c r="I516" s="664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2"/>
      <c r="R516" s="672"/>
      <c r="S516" s="672"/>
      <c r="T516" s="673"/>
      <c r="U516" s="34"/>
      <c r="V516" s="34"/>
      <c r="W516" s="35" t="s">
        <v>68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811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807</v>
      </c>
      <c r="B517" s="54" t="s">
        <v>812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105</v>
      </c>
      <c r="L517" s="32"/>
      <c r="M517" s="33" t="s">
        <v>67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68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791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87</v>
      </c>
      <c r="Q518" s="687"/>
      <c r="R518" s="687"/>
      <c r="S518" s="687"/>
      <c r="T518" s="687"/>
      <c r="U518" s="687"/>
      <c r="V518" s="688"/>
      <c r="W518" s="37" t="s">
        <v>88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132.57575757575756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133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1.5906799999999999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87</v>
      </c>
      <c r="Q519" s="687"/>
      <c r="R519" s="687"/>
      <c r="S519" s="687"/>
      <c r="T519" s="687"/>
      <c r="U519" s="687"/>
      <c r="V519" s="688"/>
      <c r="W519" s="37" t="s">
        <v>68</v>
      </c>
      <c r="X519" s="667">
        <f>IFERROR(SUM(X506:X517),"0")</f>
        <v>700</v>
      </c>
      <c r="Y519" s="667">
        <f>IFERROR(SUM(Y506:Y517),"0")</f>
        <v>702.24</v>
      </c>
      <c r="Z519" s="37"/>
      <c r="AA519" s="668"/>
      <c r="AB519" s="668"/>
      <c r="AC519" s="668"/>
    </row>
    <row r="520" spans="1:68" ht="14.25" hidden="1" customHeight="1" x14ac:dyDescent="0.25">
      <c r="A520" s="683" t="s">
        <v>63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hidden="1" customHeight="1" x14ac:dyDescent="0.25">
      <c r="A521" s="54" t="s">
        <v>813</v>
      </c>
      <c r="B521" s="54" t="s">
        <v>814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100</v>
      </c>
      <c r="L521" s="32"/>
      <c r="M521" s="33" t="s">
        <v>106</v>
      </c>
      <c r="N521" s="33"/>
      <c r="O521" s="32">
        <v>45</v>
      </c>
      <c r="P52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815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816</v>
      </c>
      <c r="B522" s="54" t="s">
        <v>817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100</v>
      </c>
      <c r="L522" s="32"/>
      <c r="M522" s="33" t="s">
        <v>67</v>
      </c>
      <c r="N522" s="33"/>
      <c r="O522" s="32">
        <v>45</v>
      </c>
      <c r="P522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818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819</v>
      </c>
      <c r="B523" s="54" t="s">
        <v>820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106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821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87</v>
      </c>
      <c r="Q524" s="687"/>
      <c r="R524" s="687"/>
      <c r="S524" s="687"/>
      <c r="T524" s="687"/>
      <c r="U524" s="687"/>
      <c r="V524" s="688"/>
      <c r="W524" s="37" t="s">
        <v>88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87</v>
      </c>
      <c r="Q525" s="687"/>
      <c r="R525" s="687"/>
      <c r="S525" s="687"/>
      <c r="T525" s="687"/>
      <c r="U525" s="687"/>
      <c r="V525" s="688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3" t="s">
        <v>170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hidden="1" customHeight="1" x14ac:dyDescent="0.25">
      <c r="A527" s="54" t="s">
        <v>822</v>
      </c>
      <c r="B527" s="54" t="s">
        <v>823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100</v>
      </c>
      <c r="L527" s="32"/>
      <c r="M527" s="33" t="s">
        <v>67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824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825</v>
      </c>
      <c r="B528" s="54" t="s">
        <v>826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100</v>
      </c>
      <c r="L528" s="32"/>
      <c r="M528" s="33" t="s">
        <v>67</v>
      </c>
      <c r="N528" s="33"/>
      <c r="O528" s="32">
        <v>35</v>
      </c>
      <c r="P528" s="1032" t="s">
        <v>827</v>
      </c>
      <c r="Q528" s="672"/>
      <c r="R528" s="672"/>
      <c r="S528" s="672"/>
      <c r="T528" s="673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824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87</v>
      </c>
      <c r="Q529" s="687"/>
      <c r="R529" s="687"/>
      <c r="S529" s="687"/>
      <c r="T529" s="687"/>
      <c r="U529" s="687"/>
      <c r="V529" s="688"/>
      <c r="W529" s="37" t="s">
        <v>88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87</v>
      </c>
      <c r="Q530" s="687"/>
      <c r="R530" s="687"/>
      <c r="S530" s="687"/>
      <c r="T530" s="687"/>
      <c r="U530" s="687"/>
      <c r="V530" s="688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81" t="s">
        <v>828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hidden="1" customHeight="1" x14ac:dyDescent="0.25">
      <c r="A532" s="718" t="s">
        <v>828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hidden="1" customHeight="1" x14ac:dyDescent="0.25">
      <c r="A533" s="683" t="s">
        <v>97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hidden="1" customHeight="1" x14ac:dyDescent="0.25">
      <c r="A534" s="54" t="s">
        <v>829</v>
      </c>
      <c r="B534" s="54" t="s">
        <v>830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100</v>
      </c>
      <c r="L534" s="32"/>
      <c r="M534" s="33" t="s">
        <v>106</v>
      </c>
      <c r="N534" s="33"/>
      <c r="O534" s="32">
        <v>55</v>
      </c>
      <c r="P534" s="1052" t="s">
        <v>831</v>
      </c>
      <c r="Q534" s="672"/>
      <c r="R534" s="672"/>
      <c r="S534" s="672"/>
      <c r="T534" s="673"/>
      <c r="U534" s="34"/>
      <c r="V534" s="34"/>
      <c r="W534" s="35" t="s">
        <v>68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832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hidden="1" customHeight="1" x14ac:dyDescent="0.25">
      <c r="A535" s="54" t="s">
        <v>833</v>
      </c>
      <c r="B535" s="54" t="s">
        <v>834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4" t="s">
        <v>835</v>
      </c>
      <c r="Q535" s="672"/>
      <c r="R535" s="672"/>
      <c r="S535" s="672"/>
      <c r="T535" s="673"/>
      <c r="U535" s="34"/>
      <c r="V535" s="34"/>
      <c r="W535" s="35" t="s">
        <v>68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836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hidden="1" customHeight="1" x14ac:dyDescent="0.25">
      <c r="A536" s="54" t="s">
        <v>837</v>
      </c>
      <c r="B536" s="54" t="s">
        <v>838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50</v>
      </c>
      <c r="P536" s="1045" t="s">
        <v>839</v>
      </c>
      <c r="Q536" s="672"/>
      <c r="R536" s="672"/>
      <c r="S536" s="672"/>
      <c r="T536" s="673"/>
      <c r="U536" s="34"/>
      <c r="V536" s="34"/>
      <c r="W536" s="35" t="s">
        <v>68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840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hidden="1" customHeight="1" x14ac:dyDescent="0.25">
      <c r="A537" s="54" t="s">
        <v>841</v>
      </c>
      <c r="B537" s="54" t="s">
        <v>842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100</v>
      </c>
      <c r="L537" s="32"/>
      <c r="M537" s="33" t="s">
        <v>101</v>
      </c>
      <c r="N537" s="33"/>
      <c r="O537" s="32">
        <v>55</v>
      </c>
      <c r="P537" s="766" t="s">
        <v>843</v>
      </c>
      <c r="Q537" s="672"/>
      <c r="R537" s="672"/>
      <c r="S537" s="672"/>
      <c r="T537" s="673"/>
      <c r="U537" s="34"/>
      <c r="V537" s="34"/>
      <c r="W537" s="35" t="s">
        <v>68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844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845</v>
      </c>
      <c r="B538" s="54" t="s">
        <v>846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50</v>
      </c>
      <c r="P538" s="890" t="s">
        <v>847</v>
      </c>
      <c r="Q538" s="672"/>
      <c r="R538" s="672"/>
      <c r="S538" s="672"/>
      <c r="T538" s="673"/>
      <c r="U538" s="34"/>
      <c r="V538" s="34"/>
      <c r="W538" s="35" t="s">
        <v>68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840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hidden="1" customHeight="1" x14ac:dyDescent="0.25">
      <c r="A539" s="54" t="s">
        <v>848</v>
      </c>
      <c r="B539" s="54" t="s">
        <v>849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105</v>
      </c>
      <c r="L539" s="32"/>
      <c r="M539" s="33" t="s">
        <v>101</v>
      </c>
      <c r="N539" s="33"/>
      <c r="O539" s="32">
        <v>55</v>
      </c>
      <c r="P539" s="752" t="s">
        <v>850</v>
      </c>
      <c r="Q539" s="672"/>
      <c r="R539" s="672"/>
      <c r="S539" s="672"/>
      <c r="T539" s="673"/>
      <c r="U539" s="34"/>
      <c r="V539" s="34"/>
      <c r="W539" s="35" t="s">
        <v>68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844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hidden="1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87</v>
      </c>
      <c r="Q540" s="687"/>
      <c r="R540" s="687"/>
      <c r="S540" s="687"/>
      <c r="T540" s="687"/>
      <c r="U540" s="687"/>
      <c r="V540" s="688"/>
      <c r="W540" s="37" t="s">
        <v>88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87</v>
      </c>
      <c r="Q541" s="687"/>
      <c r="R541" s="687"/>
      <c r="S541" s="687"/>
      <c r="T541" s="687"/>
      <c r="U541" s="687"/>
      <c r="V541" s="688"/>
      <c r="W541" s="37" t="s">
        <v>68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3" t="s">
        <v>133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hidden="1" customHeight="1" x14ac:dyDescent="0.25">
      <c r="A543" s="54" t="s">
        <v>851</v>
      </c>
      <c r="B543" s="54" t="s">
        <v>852</v>
      </c>
      <c r="C543" s="31">
        <v>4301020400</v>
      </c>
      <c r="D543" s="669">
        <v>4640242180519</v>
      </c>
      <c r="E543" s="670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100</v>
      </c>
      <c r="L543" s="32"/>
      <c r="M543" s="33" t="s">
        <v>101</v>
      </c>
      <c r="N543" s="33"/>
      <c r="O543" s="32">
        <v>50</v>
      </c>
      <c r="P543" s="866" t="s">
        <v>853</v>
      </c>
      <c r="Q543" s="672"/>
      <c r="R543" s="672"/>
      <c r="S543" s="672"/>
      <c r="T543" s="673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854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851</v>
      </c>
      <c r="B544" s="54" t="s">
        <v>855</v>
      </c>
      <c r="C544" s="31">
        <v>4301020269</v>
      </c>
      <c r="D544" s="669">
        <v>4640242180519</v>
      </c>
      <c r="E544" s="670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100</v>
      </c>
      <c r="L544" s="32"/>
      <c r="M544" s="33" t="s">
        <v>106</v>
      </c>
      <c r="N544" s="33"/>
      <c r="O544" s="32">
        <v>50</v>
      </c>
      <c r="P544" s="827" t="s">
        <v>856</v>
      </c>
      <c r="Q544" s="672"/>
      <c r="R544" s="672"/>
      <c r="S544" s="672"/>
      <c r="T544" s="673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858</v>
      </c>
      <c r="B545" s="54" t="s">
        <v>859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4" t="s">
        <v>860</v>
      </c>
      <c r="Q545" s="672"/>
      <c r="R545" s="672"/>
      <c r="S545" s="672"/>
      <c r="T545" s="673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861</v>
      </c>
      <c r="B546" s="54" t="s">
        <v>862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100</v>
      </c>
      <c r="L546" s="32"/>
      <c r="M546" s="33" t="s">
        <v>101</v>
      </c>
      <c r="N546" s="33"/>
      <c r="O546" s="32">
        <v>50</v>
      </c>
      <c r="P546" s="724" t="s">
        <v>863</v>
      </c>
      <c r="Q546" s="672"/>
      <c r="R546" s="672"/>
      <c r="S546" s="672"/>
      <c r="T546" s="673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864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865</v>
      </c>
      <c r="B547" s="54" t="s">
        <v>866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105</v>
      </c>
      <c r="L547" s="32"/>
      <c r="M547" s="33" t="s">
        <v>101</v>
      </c>
      <c r="N547" s="33"/>
      <c r="O547" s="32">
        <v>50</v>
      </c>
      <c r="P547" s="976" t="s">
        <v>867</v>
      </c>
      <c r="Q547" s="672"/>
      <c r="R547" s="672"/>
      <c r="S547" s="672"/>
      <c r="T547" s="673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864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87</v>
      </c>
      <c r="Q548" s="687"/>
      <c r="R548" s="687"/>
      <c r="S548" s="687"/>
      <c r="T548" s="687"/>
      <c r="U548" s="687"/>
      <c r="V548" s="688"/>
      <c r="W548" s="37" t="s">
        <v>88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87</v>
      </c>
      <c r="Q549" s="687"/>
      <c r="R549" s="687"/>
      <c r="S549" s="687"/>
      <c r="T549" s="687"/>
      <c r="U549" s="687"/>
      <c r="V549" s="688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3" t="s">
        <v>144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hidden="1" customHeight="1" x14ac:dyDescent="0.25">
      <c r="A551" s="54" t="s">
        <v>868</v>
      </c>
      <c r="B551" s="54" t="s">
        <v>869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870</v>
      </c>
      <c r="Q551" s="672"/>
      <c r="R551" s="672"/>
      <c r="S551" s="672"/>
      <c r="T551" s="673"/>
      <c r="U551" s="34"/>
      <c r="V551" s="34"/>
      <c r="W551" s="35" t="s">
        <v>68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871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hidden="1" customHeight="1" x14ac:dyDescent="0.25">
      <c r="A552" s="54" t="s">
        <v>872</v>
      </c>
      <c r="B552" s="54" t="s">
        <v>873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40</v>
      </c>
      <c r="P552" s="713" t="s">
        <v>874</v>
      </c>
      <c r="Q552" s="672"/>
      <c r="R552" s="672"/>
      <c r="S552" s="672"/>
      <c r="T552" s="673"/>
      <c r="U552" s="34"/>
      <c r="V552" s="34"/>
      <c r="W552" s="35" t="s">
        <v>68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875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hidden="1" customHeight="1" x14ac:dyDescent="0.25">
      <c r="A553" s="54" t="s">
        <v>876</v>
      </c>
      <c r="B553" s="54" t="s">
        <v>877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7" t="s">
        <v>878</v>
      </c>
      <c r="Q553" s="672"/>
      <c r="R553" s="672"/>
      <c r="S553" s="672"/>
      <c r="T553" s="673"/>
      <c r="U553" s="34"/>
      <c r="V553" s="34"/>
      <c r="W553" s="35" t="s">
        <v>68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879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880</v>
      </c>
      <c r="B554" s="54" t="s">
        <v>881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4" t="s">
        <v>882</v>
      </c>
      <c r="Q554" s="672"/>
      <c r="R554" s="672"/>
      <c r="S554" s="672"/>
      <c r="T554" s="673"/>
      <c r="U554" s="34"/>
      <c r="V554" s="34"/>
      <c r="W554" s="35" t="s">
        <v>68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883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884</v>
      </c>
      <c r="B555" s="54" t="s">
        <v>885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45</v>
      </c>
      <c r="P555" s="964" t="s">
        <v>886</v>
      </c>
      <c r="Q555" s="672"/>
      <c r="R555" s="672"/>
      <c r="S555" s="672"/>
      <c r="T555" s="673"/>
      <c r="U555" s="34"/>
      <c r="V555" s="34"/>
      <c r="W555" s="35" t="s">
        <v>68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887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888</v>
      </c>
      <c r="B556" s="54" t="s">
        <v>889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77" t="s">
        <v>890</v>
      </c>
      <c r="Q556" s="672"/>
      <c r="R556" s="672"/>
      <c r="S556" s="672"/>
      <c r="T556" s="673"/>
      <c r="U556" s="34"/>
      <c r="V556" s="34"/>
      <c r="W556" s="35" t="s">
        <v>68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871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hidden="1" customHeight="1" x14ac:dyDescent="0.25">
      <c r="A557" s="54" t="s">
        <v>891</v>
      </c>
      <c r="B557" s="54" t="s">
        <v>892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67</v>
      </c>
      <c r="N557" s="33"/>
      <c r="O557" s="32">
        <v>40</v>
      </c>
      <c r="P557" s="946" t="s">
        <v>893</v>
      </c>
      <c r="Q557" s="672"/>
      <c r="R557" s="672"/>
      <c r="S557" s="672"/>
      <c r="T557" s="673"/>
      <c r="U557" s="34"/>
      <c r="V557" s="34"/>
      <c r="W557" s="35" t="s">
        <v>68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875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hidden="1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87</v>
      </c>
      <c r="Q558" s="687"/>
      <c r="R558" s="687"/>
      <c r="S558" s="687"/>
      <c r="T558" s="687"/>
      <c r="U558" s="687"/>
      <c r="V558" s="688"/>
      <c r="W558" s="37" t="s">
        <v>88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87</v>
      </c>
      <c r="Q559" s="687"/>
      <c r="R559" s="687"/>
      <c r="S559" s="687"/>
      <c r="T559" s="687"/>
      <c r="U559" s="687"/>
      <c r="V559" s="688"/>
      <c r="W559" s="37" t="s">
        <v>68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3" t="s">
        <v>63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hidden="1" customHeight="1" x14ac:dyDescent="0.25">
      <c r="A561" s="54" t="s">
        <v>894</v>
      </c>
      <c r="B561" s="54" t="s">
        <v>895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100</v>
      </c>
      <c r="L561" s="32"/>
      <c r="M561" s="33" t="s">
        <v>129</v>
      </c>
      <c r="N561" s="33"/>
      <c r="O561" s="32">
        <v>45</v>
      </c>
      <c r="P561" s="912" t="s">
        <v>896</v>
      </c>
      <c r="Q561" s="672"/>
      <c r="R561" s="672"/>
      <c r="S561" s="672"/>
      <c r="T561" s="673"/>
      <c r="U561" s="34"/>
      <c r="V561" s="34"/>
      <c r="W561" s="35" t="s">
        <v>68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897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894</v>
      </c>
      <c r="B562" s="54" t="s">
        <v>898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0" t="s">
        <v>896</v>
      </c>
      <c r="Q562" s="672"/>
      <c r="R562" s="672"/>
      <c r="S562" s="672"/>
      <c r="T562" s="673"/>
      <c r="U562" s="34"/>
      <c r="V562" s="34"/>
      <c r="W562" s="35" t="s">
        <v>68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897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899</v>
      </c>
      <c r="B563" s="54" t="s">
        <v>900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100</v>
      </c>
      <c r="L563" s="32"/>
      <c r="M563" s="33" t="s">
        <v>106</v>
      </c>
      <c r="N563" s="33"/>
      <c r="O563" s="32">
        <v>45</v>
      </c>
      <c r="P563" s="737" t="s">
        <v>901</v>
      </c>
      <c r="Q563" s="672"/>
      <c r="R563" s="672"/>
      <c r="S563" s="672"/>
      <c r="T563" s="673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902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903</v>
      </c>
      <c r="B564" s="54" t="s">
        <v>904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9" t="s">
        <v>905</v>
      </c>
      <c r="Q564" s="672"/>
      <c r="R564" s="672"/>
      <c r="S564" s="672"/>
      <c r="T564" s="673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897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906</v>
      </c>
      <c r="B565" s="54" t="s">
        <v>907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129</v>
      </c>
      <c r="N565" s="33"/>
      <c r="O565" s="32">
        <v>45</v>
      </c>
      <c r="P565" s="720" t="s">
        <v>908</v>
      </c>
      <c r="Q565" s="672"/>
      <c r="R565" s="672"/>
      <c r="S565" s="672"/>
      <c r="T565" s="673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902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87</v>
      </c>
      <c r="Q566" s="687"/>
      <c r="R566" s="687"/>
      <c r="S566" s="687"/>
      <c r="T566" s="687"/>
      <c r="U566" s="687"/>
      <c r="V566" s="688"/>
      <c r="W566" s="37" t="s">
        <v>88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87</v>
      </c>
      <c r="Q567" s="687"/>
      <c r="R567" s="687"/>
      <c r="S567" s="687"/>
      <c r="T567" s="687"/>
      <c r="U567" s="687"/>
      <c r="V567" s="688"/>
      <c r="W567" s="37" t="s">
        <v>68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3" t="s">
        <v>170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hidden="1" customHeight="1" x14ac:dyDescent="0.25">
      <c r="A569" s="54" t="s">
        <v>909</v>
      </c>
      <c r="B569" s="54" t="s">
        <v>910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100</v>
      </c>
      <c r="L569" s="32"/>
      <c r="M569" s="33" t="s">
        <v>129</v>
      </c>
      <c r="N569" s="33"/>
      <c r="O569" s="32">
        <v>40</v>
      </c>
      <c r="P569" s="953" t="s">
        <v>911</v>
      </c>
      <c r="Q569" s="672"/>
      <c r="R569" s="672"/>
      <c r="S569" s="672"/>
      <c r="T569" s="673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912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909</v>
      </c>
      <c r="B570" s="54" t="s">
        <v>913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100</v>
      </c>
      <c r="L570" s="32"/>
      <c r="M570" s="33" t="s">
        <v>106</v>
      </c>
      <c r="N570" s="33"/>
      <c r="O570" s="32">
        <v>40</v>
      </c>
      <c r="P570" s="730" t="s">
        <v>914</v>
      </c>
      <c r="Q570" s="672"/>
      <c r="R570" s="672"/>
      <c r="S570" s="672"/>
      <c r="T570" s="673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912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915</v>
      </c>
      <c r="B571" s="54" t="s">
        <v>916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100</v>
      </c>
      <c r="L571" s="32"/>
      <c r="M571" s="33" t="s">
        <v>129</v>
      </c>
      <c r="N571" s="33"/>
      <c r="O571" s="32">
        <v>40</v>
      </c>
      <c r="P571" s="764" t="s">
        <v>917</v>
      </c>
      <c r="Q571" s="672"/>
      <c r="R571" s="672"/>
      <c r="S571" s="672"/>
      <c r="T571" s="673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918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915</v>
      </c>
      <c r="B572" s="54" t="s">
        <v>919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100</v>
      </c>
      <c r="L572" s="32"/>
      <c r="M572" s="33" t="s">
        <v>106</v>
      </c>
      <c r="N572" s="33"/>
      <c r="O572" s="32">
        <v>40</v>
      </c>
      <c r="P572" s="771" t="s">
        <v>920</v>
      </c>
      <c r="Q572" s="672"/>
      <c r="R572" s="672"/>
      <c r="S572" s="672"/>
      <c r="T572" s="673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918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87</v>
      </c>
      <c r="Q573" s="687"/>
      <c r="R573" s="687"/>
      <c r="S573" s="687"/>
      <c r="T573" s="687"/>
      <c r="U573" s="687"/>
      <c r="V573" s="688"/>
      <c r="W573" s="37" t="s">
        <v>88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87</v>
      </c>
      <c r="Q574" s="687"/>
      <c r="R574" s="687"/>
      <c r="S574" s="687"/>
      <c r="T574" s="687"/>
      <c r="U574" s="687"/>
      <c r="V574" s="688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18" t="s">
        <v>921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hidden="1" customHeight="1" x14ac:dyDescent="0.25">
      <c r="A576" s="683" t="s">
        <v>97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hidden="1" customHeight="1" x14ac:dyDescent="0.25">
      <c r="A577" s="54" t="s">
        <v>922</v>
      </c>
      <c r="B577" s="54" t="s">
        <v>923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100</v>
      </c>
      <c r="L577" s="32"/>
      <c r="M577" s="33" t="s">
        <v>101</v>
      </c>
      <c r="N577" s="33"/>
      <c r="O577" s="32">
        <v>55</v>
      </c>
      <c r="P577" s="983" t="s">
        <v>924</v>
      </c>
      <c r="Q577" s="672"/>
      <c r="R577" s="672"/>
      <c r="S577" s="672"/>
      <c r="T577" s="673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925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87</v>
      </c>
      <c r="Q578" s="687"/>
      <c r="R578" s="687"/>
      <c r="S578" s="687"/>
      <c r="T578" s="687"/>
      <c r="U578" s="687"/>
      <c r="V578" s="688"/>
      <c r="W578" s="37" t="s">
        <v>88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87</v>
      </c>
      <c r="Q579" s="687"/>
      <c r="R579" s="687"/>
      <c r="S579" s="687"/>
      <c r="T579" s="687"/>
      <c r="U579" s="687"/>
      <c r="V579" s="688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3" t="s">
        <v>133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hidden="1" customHeight="1" x14ac:dyDescent="0.25">
      <c r="A581" s="54" t="s">
        <v>926</v>
      </c>
      <c r="B581" s="54" t="s">
        <v>927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50</v>
      </c>
      <c r="P581" s="797" t="s">
        <v>928</v>
      </c>
      <c r="Q581" s="672"/>
      <c r="R581" s="672"/>
      <c r="S581" s="672"/>
      <c r="T581" s="673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929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87</v>
      </c>
      <c r="Q582" s="687"/>
      <c r="R582" s="687"/>
      <c r="S582" s="687"/>
      <c r="T582" s="687"/>
      <c r="U582" s="687"/>
      <c r="V582" s="688"/>
      <c r="W582" s="37" t="s">
        <v>88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87</v>
      </c>
      <c r="Q583" s="687"/>
      <c r="R583" s="687"/>
      <c r="S583" s="687"/>
      <c r="T583" s="687"/>
      <c r="U583" s="687"/>
      <c r="V583" s="688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3" t="s">
        <v>144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hidden="1" customHeight="1" x14ac:dyDescent="0.25">
      <c r="A585" s="54" t="s">
        <v>930</v>
      </c>
      <c r="B585" s="54" t="s">
        <v>931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105</v>
      </c>
      <c r="L585" s="32"/>
      <c r="M585" s="33" t="s">
        <v>67</v>
      </c>
      <c r="N585" s="33"/>
      <c r="O585" s="32">
        <v>40</v>
      </c>
      <c r="P585" s="793" t="s">
        <v>932</v>
      </c>
      <c r="Q585" s="672"/>
      <c r="R585" s="672"/>
      <c r="S585" s="672"/>
      <c r="T585" s="673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933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87</v>
      </c>
      <c r="Q586" s="687"/>
      <c r="R586" s="687"/>
      <c r="S586" s="687"/>
      <c r="T586" s="687"/>
      <c r="U586" s="687"/>
      <c r="V586" s="688"/>
      <c r="W586" s="37" t="s">
        <v>88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87</v>
      </c>
      <c r="Q587" s="687"/>
      <c r="R587" s="687"/>
      <c r="S587" s="687"/>
      <c r="T587" s="687"/>
      <c r="U587" s="687"/>
      <c r="V587" s="688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3" t="s">
        <v>63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hidden="1" customHeight="1" x14ac:dyDescent="0.25">
      <c r="A589" s="54" t="s">
        <v>934</v>
      </c>
      <c r="B589" s="54" t="s">
        <v>935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100</v>
      </c>
      <c r="L589" s="32"/>
      <c r="M589" s="33" t="s">
        <v>129</v>
      </c>
      <c r="N589" s="33"/>
      <c r="O589" s="32">
        <v>45</v>
      </c>
      <c r="P589" s="1026" t="s">
        <v>936</v>
      </c>
      <c r="Q589" s="672"/>
      <c r="R589" s="672"/>
      <c r="S589" s="672"/>
      <c r="T589" s="673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937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87</v>
      </c>
      <c r="Q590" s="687"/>
      <c r="R590" s="687"/>
      <c r="S590" s="687"/>
      <c r="T590" s="687"/>
      <c r="U590" s="687"/>
      <c r="V590" s="688"/>
      <c r="W590" s="37" t="s">
        <v>88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87</v>
      </c>
      <c r="Q591" s="687"/>
      <c r="R591" s="687"/>
      <c r="S591" s="687"/>
      <c r="T591" s="687"/>
      <c r="U591" s="687"/>
      <c r="V591" s="688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1"/>
      <c r="P592" s="841" t="s">
        <v>938</v>
      </c>
      <c r="Q592" s="808"/>
      <c r="R592" s="808"/>
      <c r="S592" s="808"/>
      <c r="T592" s="808"/>
      <c r="U592" s="808"/>
      <c r="V592" s="809"/>
      <c r="W592" s="37" t="s">
        <v>68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11232.5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11270.76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1"/>
      <c r="P593" s="841" t="s">
        <v>939</v>
      </c>
      <c r="Q593" s="808"/>
      <c r="R593" s="808"/>
      <c r="S593" s="808"/>
      <c r="T593" s="808"/>
      <c r="U593" s="808"/>
      <c r="V593" s="809"/>
      <c r="W593" s="37" t="s">
        <v>68</v>
      </c>
      <c r="X593" s="667">
        <f>IFERROR(SUM(BM22:BM589),"0")</f>
        <v>11675.047954990217</v>
      </c>
      <c r="Y593" s="667">
        <f>IFERROR(SUM(BN22:BN589),"0")</f>
        <v>11715.060000000001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1"/>
      <c r="P594" s="841" t="s">
        <v>940</v>
      </c>
      <c r="Q594" s="808"/>
      <c r="R594" s="808"/>
      <c r="S594" s="808"/>
      <c r="T594" s="808"/>
      <c r="U594" s="808"/>
      <c r="V594" s="809"/>
      <c r="W594" s="37" t="s">
        <v>941</v>
      </c>
      <c r="X594" s="38">
        <f>ROUNDUP(SUM(BO22:BO589),0)</f>
        <v>17</v>
      </c>
      <c r="Y594" s="38">
        <f>ROUNDUP(SUM(BP22:BP589),0)</f>
        <v>17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1"/>
      <c r="P595" s="841" t="s">
        <v>942</v>
      </c>
      <c r="Q595" s="808"/>
      <c r="R595" s="808"/>
      <c r="S595" s="808"/>
      <c r="T595" s="808"/>
      <c r="U595" s="808"/>
      <c r="V595" s="809"/>
      <c r="W595" s="37" t="s">
        <v>68</v>
      </c>
      <c r="X595" s="667">
        <f>GrossWeightTotal+PalletQtyTotal*25</f>
        <v>12100.047954990217</v>
      </c>
      <c r="Y595" s="667">
        <f>GrossWeightTotalR+PalletQtyTotalR*25</f>
        <v>12140.060000000001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1"/>
      <c r="P596" s="841" t="s">
        <v>943</v>
      </c>
      <c r="Q596" s="808"/>
      <c r="R596" s="808"/>
      <c r="S596" s="808"/>
      <c r="T596" s="808"/>
      <c r="U596" s="808"/>
      <c r="V596" s="809"/>
      <c r="W596" s="37" t="s">
        <v>941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1009.9342248314849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1014</v>
      </c>
      <c r="Z596" s="37"/>
      <c r="AA596" s="668"/>
      <c r="AB596" s="668"/>
      <c r="AC596" s="668"/>
    </row>
    <row r="597" spans="1:32" ht="14.25" hidden="1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1"/>
      <c r="P597" s="841" t="s">
        <v>944</v>
      </c>
      <c r="Q597" s="808"/>
      <c r="R597" s="808"/>
      <c r="S597" s="808"/>
      <c r="T597" s="808"/>
      <c r="U597" s="808"/>
      <c r="V597" s="809"/>
      <c r="W597" s="39" t="s">
        <v>945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18.335919999999994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946</v>
      </c>
      <c r="B599" s="662" t="s">
        <v>62</v>
      </c>
      <c r="C599" s="675" t="s">
        <v>95</v>
      </c>
      <c r="D599" s="700"/>
      <c r="E599" s="700"/>
      <c r="F599" s="700"/>
      <c r="G599" s="700"/>
      <c r="H599" s="701"/>
      <c r="I599" s="675" t="s">
        <v>283</v>
      </c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1"/>
      <c r="W599" s="675" t="s">
        <v>573</v>
      </c>
      <c r="X599" s="701"/>
      <c r="Y599" s="675" t="s">
        <v>651</v>
      </c>
      <c r="Z599" s="700"/>
      <c r="AA599" s="700"/>
      <c r="AB599" s="701"/>
      <c r="AC599" s="662" t="s">
        <v>726</v>
      </c>
      <c r="AD599" s="675" t="s">
        <v>828</v>
      </c>
      <c r="AE599" s="701"/>
      <c r="AF599" s="663"/>
    </row>
    <row r="600" spans="1:32" ht="14.25" customHeight="1" thickTop="1" x14ac:dyDescent="0.2">
      <c r="A600" s="992" t="s">
        <v>947</v>
      </c>
      <c r="B600" s="675" t="s">
        <v>62</v>
      </c>
      <c r="C600" s="675" t="s">
        <v>96</v>
      </c>
      <c r="D600" s="675" t="s">
        <v>115</v>
      </c>
      <c r="E600" s="675" t="s">
        <v>178</v>
      </c>
      <c r="F600" s="675" t="s">
        <v>209</v>
      </c>
      <c r="G600" s="675" t="s">
        <v>254</v>
      </c>
      <c r="H600" s="675" t="s">
        <v>95</v>
      </c>
      <c r="I600" s="675" t="s">
        <v>284</v>
      </c>
      <c r="J600" s="675" t="s">
        <v>318</v>
      </c>
      <c r="K600" s="675" t="s">
        <v>379</v>
      </c>
      <c r="L600" s="675" t="s">
        <v>414</v>
      </c>
      <c r="M600" s="675" t="s">
        <v>432</v>
      </c>
      <c r="N600" s="663"/>
      <c r="O600" s="675" t="s">
        <v>436</v>
      </c>
      <c r="P600" s="675" t="s">
        <v>445</v>
      </c>
      <c r="Q600" s="675" t="s">
        <v>459</v>
      </c>
      <c r="R600" s="675" t="s">
        <v>469</v>
      </c>
      <c r="S600" s="675" t="s">
        <v>473</v>
      </c>
      <c r="T600" s="675" t="s">
        <v>481</v>
      </c>
      <c r="U600" s="675" t="s">
        <v>486</v>
      </c>
      <c r="V600" s="675" t="s">
        <v>560</v>
      </c>
      <c r="W600" s="675" t="s">
        <v>574</v>
      </c>
      <c r="X600" s="675" t="s">
        <v>615</v>
      </c>
      <c r="Y600" s="675" t="s">
        <v>652</v>
      </c>
      <c r="Z600" s="675" t="s">
        <v>691</v>
      </c>
      <c r="AA600" s="675" t="s">
        <v>711</v>
      </c>
      <c r="AB600" s="675" t="s">
        <v>719</v>
      </c>
      <c r="AC600" s="675" t="s">
        <v>726</v>
      </c>
      <c r="AD600" s="675" t="s">
        <v>828</v>
      </c>
      <c r="AE600" s="675" t="s">
        <v>921</v>
      </c>
      <c r="AF600" s="663"/>
    </row>
    <row r="601" spans="1:32" ht="13.5" customHeight="1" thickBot="1" x14ac:dyDescent="0.25">
      <c r="A601" s="993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948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0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509.70000000000005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50.400000000000006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8952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100.74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1657.9200000000003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lTEndSPB8y368fM0fgnxXDV1Kz+xfcumLxg3aK24sTi59BnQ8huIP76gT1ZaUlIaRa9GjHHLhukQ30RoFCRbrA==" saltValue="LbpuqZhHeUZid864Z0kiAA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09,93"/>
        <filter val="100,00"/>
        <filter val="11 232,50"/>
        <filter val="11 675,05"/>
        <filter val="12 100,05"/>
        <filter val="123,11"/>
        <filter val="13,89"/>
        <filter val="132,58"/>
        <filter val="150,00"/>
        <filter val="17"/>
        <filter val="172,50"/>
        <filter val="18,89"/>
        <filter val="180,00"/>
        <filter val="2 000,00"/>
        <filter val="2 500,00"/>
        <filter val="200,00"/>
        <filter val="21,43"/>
        <filter val="22,50"/>
        <filter val="22,83"/>
        <filter val="3 000,00"/>
        <filter val="300,00"/>
        <filter val="366,67"/>
        <filter val="430,00"/>
        <filter val="47,78"/>
        <filter val="5 500,00"/>
        <filter val="5,95"/>
        <filter val="50,00"/>
        <filter val="56,82"/>
        <filter val="650,00"/>
        <filter val="700,00"/>
      </filters>
    </filterColumn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949</v>
      </c>
      <c r="H1" s="52"/>
    </row>
    <row r="3" spans="2:8" x14ac:dyDescent="0.2">
      <c r="B3" s="47" t="s">
        <v>950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951</v>
      </c>
      <c r="C6" s="47" t="s">
        <v>952</v>
      </c>
      <c r="D6" s="47" t="s">
        <v>953</v>
      </c>
      <c r="E6" s="47"/>
    </row>
    <row r="7" spans="2:8" x14ac:dyDescent="0.2">
      <c r="B7" s="47" t="s">
        <v>954</v>
      </c>
      <c r="C7" s="47" t="s">
        <v>955</v>
      </c>
      <c r="D7" s="47" t="s">
        <v>956</v>
      </c>
      <c r="E7" s="47"/>
    </row>
    <row r="8" spans="2:8" x14ac:dyDescent="0.2">
      <c r="B8" s="47" t="s">
        <v>957</v>
      </c>
      <c r="C8" s="47" t="s">
        <v>958</v>
      </c>
      <c r="D8" s="47" t="s">
        <v>959</v>
      </c>
      <c r="E8" s="47"/>
    </row>
    <row r="9" spans="2:8" x14ac:dyDescent="0.2">
      <c r="B9" s="47" t="s">
        <v>14</v>
      </c>
      <c r="C9" s="47" t="s">
        <v>960</v>
      </c>
      <c r="D9" s="47" t="s">
        <v>961</v>
      </c>
      <c r="E9" s="47"/>
    </row>
    <row r="11" spans="2:8" x14ac:dyDescent="0.2">
      <c r="B11" s="47" t="s">
        <v>962</v>
      </c>
      <c r="C11" s="47" t="s">
        <v>952</v>
      </c>
      <c r="D11" s="47"/>
      <c r="E11" s="47"/>
    </row>
    <row r="13" spans="2:8" x14ac:dyDescent="0.2">
      <c r="B13" s="47" t="s">
        <v>963</v>
      </c>
      <c r="C13" s="47" t="s">
        <v>955</v>
      </c>
      <c r="D13" s="47"/>
      <c r="E13" s="47"/>
    </row>
    <row r="15" spans="2:8" x14ac:dyDescent="0.2">
      <c r="B15" s="47" t="s">
        <v>964</v>
      </c>
      <c r="C15" s="47" t="s">
        <v>958</v>
      </c>
      <c r="D15" s="47"/>
      <c r="E15" s="47"/>
    </row>
    <row r="17" spans="2:5" x14ac:dyDescent="0.2">
      <c r="B17" s="47" t="s">
        <v>965</v>
      </c>
      <c r="C17" s="47" t="s">
        <v>960</v>
      </c>
      <c r="D17" s="47"/>
      <c r="E17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  <row r="21" spans="2:5" x14ac:dyDescent="0.2">
      <c r="B21" s="47" t="s">
        <v>968</v>
      </c>
      <c r="C21" s="47"/>
      <c r="D21" s="47"/>
      <c r="E21" s="47"/>
    </row>
    <row r="22" spans="2:5" x14ac:dyDescent="0.2">
      <c r="B22" s="47" t="s">
        <v>969</v>
      </c>
      <c r="C22" s="47"/>
      <c r="D22" s="47"/>
      <c r="E22" s="47"/>
    </row>
    <row r="23" spans="2:5" x14ac:dyDescent="0.2">
      <c r="B23" s="47" t="s">
        <v>970</v>
      </c>
      <c r="C23" s="47"/>
      <c r="D23" s="47"/>
      <c r="E23" s="47"/>
    </row>
    <row r="24" spans="2:5" x14ac:dyDescent="0.2">
      <c r="B24" s="47" t="s">
        <v>971</v>
      </c>
      <c r="C24" s="47"/>
      <c r="D24" s="47"/>
      <c r="E24" s="47"/>
    </row>
    <row r="25" spans="2:5" x14ac:dyDescent="0.2">
      <c r="B25" s="47" t="s">
        <v>972</v>
      </c>
      <c r="C25" s="47"/>
      <c r="D25" s="47"/>
      <c r="E25" s="47"/>
    </row>
    <row r="26" spans="2:5" x14ac:dyDescent="0.2">
      <c r="B26" s="47" t="s">
        <v>973</v>
      </c>
      <c r="C26" s="47"/>
      <c r="D26" s="47"/>
      <c r="E26" s="47"/>
    </row>
    <row r="27" spans="2:5" x14ac:dyDescent="0.2">
      <c r="B27" s="47" t="s">
        <v>974</v>
      </c>
      <c r="C27" s="47"/>
      <c r="D27" s="47"/>
      <c r="E27" s="47"/>
    </row>
    <row r="28" spans="2:5" x14ac:dyDescent="0.2">
      <c r="B28" s="47" t="s">
        <v>975</v>
      </c>
      <c r="C28" s="47"/>
      <c r="D28" s="47"/>
      <c r="E28" s="47"/>
    </row>
    <row r="29" spans="2:5" x14ac:dyDescent="0.2">
      <c r="B29" s="47" t="s">
        <v>976</v>
      </c>
      <c r="C29" s="47"/>
      <c r="D29" s="47"/>
      <c r="E29" s="47"/>
    </row>
  </sheetData>
  <sheetProtection algorithmName="SHA-512" hashValue="6ZT8PVazwKCKyKSQEJuyij/5XkTlThWEUKgc7ATEIL0aYkVSBVBQw63RYCO0Orf3YBbbjZysvZrwbAFqgzHqEg==" saltValue="+kxM8MdGlMVTJCUo7eH5+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2025-04-18T11:45:02Z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