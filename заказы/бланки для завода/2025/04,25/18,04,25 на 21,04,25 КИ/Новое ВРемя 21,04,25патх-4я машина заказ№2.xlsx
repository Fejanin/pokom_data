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1530F61-4C7D-48BB-BA86-E85741DF18D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O516" i="1"/>
  <c r="BM516" i="1"/>
  <c r="Y516" i="1"/>
  <c r="BP516" i="1" s="1"/>
  <c r="P516" i="1"/>
  <c r="BO515" i="1"/>
  <c r="BM515" i="1"/>
  <c r="Y515" i="1"/>
  <c r="BO514" i="1"/>
  <c r="BM514" i="1"/>
  <c r="Y514" i="1"/>
  <c r="P514" i="1"/>
  <c r="BO513" i="1"/>
  <c r="BM513" i="1"/>
  <c r="Y513" i="1"/>
  <c r="BP513" i="1" s="1"/>
  <c r="BO512" i="1"/>
  <c r="BM512" i="1"/>
  <c r="Y512" i="1"/>
  <c r="BP512" i="1" s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BO499" i="1"/>
  <c r="BM499" i="1"/>
  <c r="Y499" i="1"/>
  <c r="P499" i="1"/>
  <c r="X497" i="1"/>
  <c r="X496" i="1"/>
  <c r="BO495" i="1"/>
  <c r="BM495" i="1"/>
  <c r="Y495" i="1"/>
  <c r="BP495" i="1" s="1"/>
  <c r="P495" i="1"/>
  <c r="BO494" i="1"/>
  <c r="BM494" i="1"/>
  <c r="Y494" i="1"/>
  <c r="P494" i="1"/>
  <c r="BO493" i="1"/>
  <c r="BM493" i="1"/>
  <c r="Y493" i="1"/>
  <c r="BP493" i="1" s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O484" i="1"/>
  <c r="BM484" i="1"/>
  <c r="Y484" i="1"/>
  <c r="P484" i="1"/>
  <c r="BO483" i="1"/>
  <c r="BM483" i="1"/>
  <c r="Y483" i="1"/>
  <c r="BP483" i="1" s="1"/>
  <c r="P483" i="1"/>
  <c r="BO482" i="1"/>
  <c r="BM482" i="1"/>
  <c r="Y482" i="1"/>
  <c r="P482" i="1"/>
  <c r="BO481" i="1"/>
  <c r="BM481" i="1"/>
  <c r="Y481" i="1"/>
  <c r="BP481" i="1" s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O459" i="1"/>
  <c r="BM459" i="1"/>
  <c r="Y459" i="1"/>
  <c r="P459" i="1"/>
  <c r="BO458" i="1"/>
  <c r="BM458" i="1"/>
  <c r="Y458" i="1"/>
  <c r="BP458" i="1" s="1"/>
  <c r="BO457" i="1"/>
  <c r="BM457" i="1"/>
  <c r="Y457" i="1"/>
  <c r="BP457" i="1" s="1"/>
  <c r="P457" i="1"/>
  <c r="BO456" i="1"/>
  <c r="BM456" i="1"/>
  <c r="Y456" i="1"/>
  <c r="X454" i="1"/>
  <c r="X453" i="1"/>
  <c r="BO452" i="1"/>
  <c r="BM452" i="1"/>
  <c r="Y452" i="1"/>
  <c r="BP452" i="1" s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Y448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BP418" i="1" s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O411" i="1"/>
  <c r="BM411" i="1"/>
  <c r="Y411" i="1"/>
  <c r="Y414" i="1" s="1"/>
  <c r="P411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Y399" i="1" s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Z368" i="1" s="1"/>
  <c r="P368" i="1"/>
  <c r="BO367" i="1"/>
  <c r="BM367" i="1"/>
  <c r="Y367" i="1"/>
  <c r="Y371" i="1" s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BP358" i="1" s="1"/>
  <c r="P358" i="1"/>
  <c r="BO357" i="1"/>
  <c r="BM357" i="1"/>
  <c r="Y357" i="1"/>
  <c r="BP357" i="1" s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O345" i="1"/>
  <c r="BM345" i="1"/>
  <c r="Y345" i="1"/>
  <c r="BP345" i="1" s="1"/>
  <c r="P345" i="1"/>
  <c r="BO344" i="1"/>
  <c r="BM344" i="1"/>
  <c r="Y344" i="1"/>
  <c r="BP344" i="1" s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2" i="1" s="1"/>
  <c r="P304" i="1"/>
  <c r="X301" i="1"/>
  <c r="X300" i="1"/>
  <c r="BO299" i="1"/>
  <c r="BM299" i="1"/>
  <c r="Y299" i="1"/>
  <c r="R602" i="1" s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BP279" i="1" s="1"/>
  <c r="P279" i="1"/>
  <c r="BO278" i="1"/>
  <c r="BM278" i="1"/>
  <c r="Z278" i="1"/>
  <c r="Y278" i="1"/>
  <c r="BP278" i="1" s="1"/>
  <c r="P278" i="1"/>
  <c r="BO277" i="1"/>
  <c r="BM277" i="1"/>
  <c r="Y277" i="1"/>
  <c r="BP277" i="1" s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O602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O242" i="1"/>
  <c r="BM242" i="1"/>
  <c r="Y242" i="1"/>
  <c r="P242" i="1"/>
  <c r="BO241" i="1"/>
  <c r="BM241" i="1"/>
  <c r="Y241" i="1"/>
  <c r="Y243" i="1" s="1"/>
  <c r="X239" i="1"/>
  <c r="X238" i="1"/>
  <c r="BO237" i="1"/>
  <c r="BM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X210" i="1"/>
  <c r="X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Y188" i="1" s="1"/>
  <c r="X184" i="1"/>
  <c r="X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P157" i="1"/>
  <c r="BO157" i="1"/>
  <c r="BN157" i="1"/>
  <c r="BM157" i="1"/>
  <c r="Z157" i="1"/>
  <c r="Y157" i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O148" i="1"/>
  <c r="BM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O137" i="1"/>
  <c r="BM137" i="1"/>
  <c r="Y137" i="1"/>
  <c r="G602" i="1" s="1"/>
  <c r="P137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BP124" i="1" s="1"/>
  <c r="BO123" i="1"/>
  <c r="BM123" i="1"/>
  <c r="Y123" i="1"/>
  <c r="P123" i="1"/>
  <c r="BO122" i="1"/>
  <c r="BM122" i="1"/>
  <c r="Y122" i="1"/>
  <c r="BO121" i="1"/>
  <c r="BM121" i="1"/>
  <c r="Y121" i="1"/>
  <c r="P121" i="1"/>
  <c r="BO120" i="1"/>
  <c r="BM120" i="1"/>
  <c r="Y120" i="1"/>
  <c r="P120" i="1"/>
  <c r="BO119" i="1"/>
  <c r="BM119" i="1"/>
  <c r="Y119" i="1"/>
  <c r="Y128" i="1" s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8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X596" i="1" s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75" i="1" l="1"/>
  <c r="BN75" i="1"/>
  <c r="Z75" i="1"/>
  <c r="BP121" i="1"/>
  <c r="BN121" i="1"/>
  <c r="Z121" i="1"/>
  <c r="BP125" i="1"/>
  <c r="BN125" i="1"/>
  <c r="Z125" i="1"/>
  <c r="BP175" i="1"/>
  <c r="BN175" i="1"/>
  <c r="Z175" i="1"/>
  <c r="BP192" i="1"/>
  <c r="BN192" i="1"/>
  <c r="Z192" i="1"/>
  <c r="BP216" i="1"/>
  <c r="BN216" i="1"/>
  <c r="Z216" i="1"/>
  <c r="BP259" i="1"/>
  <c r="BN259" i="1"/>
  <c r="Z259" i="1"/>
  <c r="BP331" i="1"/>
  <c r="BN331" i="1"/>
  <c r="Z331" i="1"/>
  <c r="BP412" i="1"/>
  <c r="BN412" i="1"/>
  <c r="Z412" i="1"/>
  <c r="Y426" i="1"/>
  <c r="Y425" i="1"/>
  <c r="BP424" i="1"/>
  <c r="BN424" i="1"/>
  <c r="Z424" i="1"/>
  <c r="Z425" i="1" s="1"/>
  <c r="BP446" i="1"/>
  <c r="BN446" i="1"/>
  <c r="Z446" i="1"/>
  <c r="BP487" i="1"/>
  <c r="BN487" i="1"/>
  <c r="Z487" i="1"/>
  <c r="BP517" i="1"/>
  <c r="BN517" i="1"/>
  <c r="Z517" i="1"/>
  <c r="Z26" i="1"/>
  <c r="BN26" i="1"/>
  <c r="X592" i="1"/>
  <c r="C602" i="1"/>
  <c r="Z51" i="1"/>
  <c r="BN51" i="1"/>
  <c r="Z65" i="1"/>
  <c r="BN65" i="1"/>
  <c r="F602" i="1"/>
  <c r="BP109" i="1"/>
  <c r="BN109" i="1"/>
  <c r="Z109" i="1"/>
  <c r="BP122" i="1"/>
  <c r="BN122" i="1"/>
  <c r="Z122" i="1"/>
  <c r="BP142" i="1"/>
  <c r="BN142" i="1"/>
  <c r="Z142" i="1"/>
  <c r="BP182" i="1"/>
  <c r="BN182" i="1"/>
  <c r="Z182" i="1"/>
  <c r="BP206" i="1"/>
  <c r="BN206" i="1"/>
  <c r="Z206" i="1"/>
  <c r="BP231" i="1"/>
  <c r="BN231" i="1"/>
  <c r="Z231" i="1"/>
  <c r="T602" i="1"/>
  <c r="Y315" i="1"/>
  <c r="BP314" i="1"/>
  <c r="BN314" i="1"/>
  <c r="Z314" i="1"/>
  <c r="Z315" i="1" s="1"/>
  <c r="BP319" i="1"/>
  <c r="BN319" i="1"/>
  <c r="Z319" i="1"/>
  <c r="BP343" i="1"/>
  <c r="BN343" i="1"/>
  <c r="Z343" i="1"/>
  <c r="BP380" i="1"/>
  <c r="BN380" i="1"/>
  <c r="Z380" i="1"/>
  <c r="BP419" i="1"/>
  <c r="BN419" i="1"/>
  <c r="Z419" i="1"/>
  <c r="BP484" i="1"/>
  <c r="BN484" i="1"/>
  <c r="Z484" i="1"/>
  <c r="BP494" i="1"/>
  <c r="BN494" i="1"/>
  <c r="Z494" i="1"/>
  <c r="Y68" i="1"/>
  <c r="Y145" i="1"/>
  <c r="Y602" i="1"/>
  <c r="Y503" i="1"/>
  <c r="BP138" i="1"/>
  <c r="BN138" i="1"/>
  <c r="Z138" i="1"/>
  <c r="BP159" i="1"/>
  <c r="BN159" i="1"/>
  <c r="Z159" i="1"/>
  <c r="BP180" i="1"/>
  <c r="BN180" i="1"/>
  <c r="Z180" i="1"/>
  <c r="BP204" i="1"/>
  <c r="BN204" i="1"/>
  <c r="Z204" i="1"/>
  <c r="BP214" i="1"/>
  <c r="BN214" i="1"/>
  <c r="Z214" i="1"/>
  <c r="Y226" i="1"/>
  <c r="BP224" i="1"/>
  <c r="BN224" i="1"/>
  <c r="Z224" i="1"/>
  <c r="BP237" i="1"/>
  <c r="BN237" i="1"/>
  <c r="Z237" i="1"/>
  <c r="BP257" i="1"/>
  <c r="BN257" i="1"/>
  <c r="Z257" i="1"/>
  <c r="BP309" i="1"/>
  <c r="BN309" i="1"/>
  <c r="Z309" i="1"/>
  <c r="BP329" i="1"/>
  <c r="BN329" i="1"/>
  <c r="Z329" i="1"/>
  <c r="Z22" i="1"/>
  <c r="BN22" i="1"/>
  <c r="Z38" i="1"/>
  <c r="BN38" i="1"/>
  <c r="Z44" i="1"/>
  <c r="Z45" i="1" s="1"/>
  <c r="BN44" i="1"/>
  <c r="BP44" i="1"/>
  <c r="Y45" i="1"/>
  <c r="Z49" i="1"/>
  <c r="BN49" i="1"/>
  <c r="Z53" i="1"/>
  <c r="BN53" i="1"/>
  <c r="Y62" i="1"/>
  <c r="Z61" i="1"/>
  <c r="BN61" i="1"/>
  <c r="Y69" i="1"/>
  <c r="Z67" i="1"/>
  <c r="BN67" i="1"/>
  <c r="Y77" i="1"/>
  <c r="Z73" i="1"/>
  <c r="BN73" i="1"/>
  <c r="Z81" i="1"/>
  <c r="BN81" i="1"/>
  <c r="E602" i="1"/>
  <c r="Y103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Z119" i="1"/>
  <c r="BN119" i="1"/>
  <c r="BP119" i="1"/>
  <c r="Z127" i="1"/>
  <c r="BN127" i="1"/>
  <c r="Y133" i="1"/>
  <c r="BP148" i="1"/>
  <c r="BN148" i="1"/>
  <c r="Z148" i="1"/>
  <c r="BP177" i="1"/>
  <c r="BN177" i="1"/>
  <c r="Z177" i="1"/>
  <c r="Y198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BP271" i="1"/>
  <c r="BN271" i="1"/>
  <c r="Z271" i="1"/>
  <c r="BP321" i="1"/>
  <c r="BN321" i="1"/>
  <c r="Z321" i="1"/>
  <c r="Y340" i="1"/>
  <c r="BP335" i="1"/>
  <c r="BN335" i="1"/>
  <c r="Z335" i="1"/>
  <c r="Y144" i="1"/>
  <c r="Y162" i="1"/>
  <c r="I602" i="1"/>
  <c r="Y183" i="1"/>
  <c r="J602" i="1"/>
  <c r="Y199" i="1"/>
  <c r="Y209" i="1"/>
  <c r="Y221" i="1"/>
  <c r="Y227" i="1"/>
  <c r="K602" i="1"/>
  <c r="Z339" i="1"/>
  <c r="BN339" i="1"/>
  <c r="Y346" i="1"/>
  <c r="Z345" i="1"/>
  <c r="BN345" i="1"/>
  <c r="Z357" i="1"/>
  <c r="BN357" i="1"/>
  <c r="BP368" i="1"/>
  <c r="BN368" i="1"/>
  <c r="BP378" i="1"/>
  <c r="BN378" i="1"/>
  <c r="Z378" i="1"/>
  <c r="BP388" i="1"/>
  <c r="BN388" i="1"/>
  <c r="Z388" i="1"/>
  <c r="BP394" i="1"/>
  <c r="BN394" i="1"/>
  <c r="Z394" i="1"/>
  <c r="BP406" i="1"/>
  <c r="BN406" i="1"/>
  <c r="Z406" i="1"/>
  <c r="BP417" i="1"/>
  <c r="BN417" i="1"/>
  <c r="Z417" i="1"/>
  <c r="BP440" i="1"/>
  <c r="BN440" i="1"/>
  <c r="Z440" i="1"/>
  <c r="Y461" i="1"/>
  <c r="BP456" i="1"/>
  <c r="BN456" i="1"/>
  <c r="Z456" i="1"/>
  <c r="BP482" i="1"/>
  <c r="BN482" i="1"/>
  <c r="Z482" i="1"/>
  <c r="BP490" i="1"/>
  <c r="BN490" i="1"/>
  <c r="Z490" i="1"/>
  <c r="BP492" i="1"/>
  <c r="BN492" i="1"/>
  <c r="Z492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382" i="1"/>
  <c r="BN382" i="1"/>
  <c r="Z382" i="1"/>
  <c r="Y396" i="1"/>
  <c r="Y395" i="1"/>
  <c r="BP393" i="1"/>
  <c r="BN393" i="1"/>
  <c r="Z393" i="1"/>
  <c r="Z395" i="1" s="1"/>
  <c r="Y421" i="1"/>
  <c r="BP416" i="1"/>
  <c r="BN416" i="1"/>
  <c r="Z416" i="1"/>
  <c r="BP435" i="1"/>
  <c r="BN435" i="1"/>
  <c r="Z435" i="1"/>
  <c r="Z602" i="1"/>
  <c r="BP451" i="1"/>
  <c r="BN451" i="1"/>
  <c r="Z451" i="1"/>
  <c r="BP459" i="1"/>
  <c r="BN459" i="1"/>
  <c r="Z459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408" i="1"/>
  <c r="H9" i="1"/>
  <c r="A10" i="1"/>
  <c r="B602" i="1"/>
  <c r="X593" i="1"/>
  <c r="X594" i="1"/>
  <c r="Z23" i="1"/>
  <c r="BN23" i="1"/>
  <c r="Z24" i="1"/>
  <c r="BN24" i="1"/>
  <c r="Z25" i="1"/>
  <c r="BN25" i="1"/>
  <c r="Z27" i="1"/>
  <c r="BN27" i="1"/>
  <c r="Y28" i="1"/>
  <c r="Z31" i="1"/>
  <c r="Z32" i="1" s="1"/>
  <c r="BN31" i="1"/>
  <c r="BP31" i="1"/>
  <c r="Y32" i="1"/>
  <c r="Z37" i="1"/>
  <c r="BN37" i="1"/>
  <c r="BP37" i="1"/>
  <c r="Z39" i="1"/>
  <c r="BN39" i="1"/>
  <c r="Y42" i="1"/>
  <c r="D602" i="1"/>
  <c r="Z50" i="1"/>
  <c r="BN50" i="1"/>
  <c r="Z52" i="1"/>
  <c r="BN52" i="1"/>
  <c r="Z54" i="1"/>
  <c r="BN54" i="1"/>
  <c r="Y55" i="1"/>
  <c r="Z58" i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4" i="1"/>
  <c r="BN94" i="1"/>
  <c r="Z99" i="1"/>
  <c r="BN99" i="1"/>
  <c r="Z101" i="1"/>
  <c r="BN101" i="1"/>
  <c r="Y102" i="1"/>
  <c r="Z106" i="1"/>
  <c r="BN106" i="1"/>
  <c r="BP106" i="1"/>
  <c r="Z108" i="1"/>
  <c r="BN108" i="1"/>
  <c r="Y111" i="1"/>
  <c r="Y116" i="1"/>
  <c r="Z114" i="1"/>
  <c r="BN114" i="1"/>
  <c r="BP115" i="1"/>
  <c r="BN115" i="1"/>
  <c r="Z115" i="1"/>
  <c r="Y117" i="1"/>
  <c r="BP120" i="1"/>
  <c r="BN120" i="1"/>
  <c r="Z120" i="1"/>
  <c r="F9" i="1"/>
  <c r="J9" i="1"/>
  <c r="Y29" i="1"/>
  <c r="Y41" i="1"/>
  <c r="Y56" i="1"/>
  <c r="Y91" i="1"/>
  <c r="Y110" i="1"/>
  <c r="BP123" i="1"/>
  <c r="BN123" i="1"/>
  <c r="Z123" i="1"/>
  <c r="Z124" i="1"/>
  <c r="BN124" i="1"/>
  <c r="Z126" i="1"/>
  <c r="BN126" i="1"/>
  <c r="Y129" i="1"/>
  <c r="Z132" i="1"/>
  <c r="Z133" i="1" s="1"/>
  <c r="BN132" i="1"/>
  <c r="BP132" i="1"/>
  <c r="Z137" i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2" i="1"/>
  <c r="Y155" i="1"/>
  <c r="Z158" i="1"/>
  <c r="BN158" i="1"/>
  <c r="Z160" i="1"/>
  <c r="BN160" i="1"/>
  <c r="Y161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BN201" i="1"/>
  <c r="BP201" i="1"/>
  <c r="Z203" i="1"/>
  <c r="BN203" i="1"/>
  <c r="Z205" i="1"/>
  <c r="BN205" i="1"/>
  <c r="Z207" i="1"/>
  <c r="BN207" i="1"/>
  <c r="Y210" i="1"/>
  <c r="Z213" i="1"/>
  <c r="BN213" i="1"/>
  <c r="Z215" i="1"/>
  <c r="BN215" i="1"/>
  <c r="Z217" i="1"/>
  <c r="BN217" i="1"/>
  <c r="Z219" i="1"/>
  <c r="BN219" i="1"/>
  <c r="Y222" i="1"/>
  <c r="Z225" i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2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Z279" i="1"/>
  <c r="BN279" i="1"/>
  <c r="Y139" i="1"/>
  <c r="Y172" i="1"/>
  <c r="Y193" i="1"/>
  <c r="Y238" i="1"/>
  <c r="Y262" i="1"/>
  <c r="Y267" i="1"/>
  <c r="Y274" i="1"/>
  <c r="P602" i="1"/>
  <c r="Y282" i="1"/>
  <c r="BN278" i="1"/>
  <c r="Z280" i="1"/>
  <c r="BN280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6" i="1"/>
  <c r="Y295" i="1"/>
  <c r="BP294" i="1"/>
  <c r="BN294" i="1"/>
  <c r="Z294" i="1"/>
  <c r="Z295" i="1" s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1" i="1"/>
  <c r="Y316" i="1"/>
  <c r="U602" i="1"/>
  <c r="Z320" i="1"/>
  <c r="BN320" i="1"/>
  <c r="Z322" i="1"/>
  <c r="BN322" i="1"/>
  <c r="Z324" i="1"/>
  <c r="BN324" i="1"/>
  <c r="Y325" i="1"/>
  <c r="Z328" i="1"/>
  <c r="BN328" i="1"/>
  <c r="BP328" i="1"/>
  <c r="Z330" i="1"/>
  <c r="BN330" i="1"/>
  <c r="Y333" i="1"/>
  <c r="Z336" i="1"/>
  <c r="BN336" i="1"/>
  <c r="Z338" i="1"/>
  <c r="BN338" i="1"/>
  <c r="Y341" i="1"/>
  <c r="Z344" i="1"/>
  <c r="Z346" i="1" s="1"/>
  <c r="BN344" i="1"/>
  <c r="Y347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Y301" i="1"/>
  <c r="Y306" i="1"/>
  <c r="Y326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400" i="1"/>
  <c r="Y409" i="1"/>
  <c r="Y413" i="1"/>
  <c r="Y422" i="1"/>
  <c r="Y443" i="1"/>
  <c r="Y447" i="1"/>
  <c r="Y454" i="1"/>
  <c r="Y460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X602" i="1"/>
  <c r="AB602" i="1"/>
  <c r="Z398" i="1"/>
  <c r="Z399" i="1" s="1"/>
  <c r="BN398" i="1"/>
  <c r="BP398" i="1"/>
  <c r="Z403" i="1"/>
  <c r="BN403" i="1"/>
  <c r="BP403" i="1"/>
  <c r="Z405" i="1"/>
  <c r="BN405" i="1"/>
  <c r="Z407" i="1"/>
  <c r="BN407" i="1"/>
  <c r="Z411" i="1"/>
  <c r="Z413" i="1" s="1"/>
  <c r="BN411" i="1"/>
  <c r="BP411" i="1"/>
  <c r="Z418" i="1"/>
  <c r="BN418" i="1"/>
  <c r="Z420" i="1"/>
  <c r="BN420" i="1"/>
  <c r="Z430" i="1"/>
  <c r="BN430" i="1"/>
  <c r="BP430" i="1"/>
  <c r="Z431" i="1"/>
  <c r="BN431" i="1"/>
  <c r="Z432" i="1"/>
  <c r="BN432" i="1"/>
  <c r="Z433" i="1"/>
  <c r="BN433" i="1"/>
  <c r="Z434" i="1"/>
  <c r="BN434" i="1"/>
  <c r="Z436" i="1"/>
  <c r="BN436" i="1"/>
  <c r="Z439" i="1"/>
  <c r="BN439" i="1"/>
  <c r="Z441" i="1"/>
  <c r="BN441" i="1"/>
  <c r="Y442" i="1"/>
  <c r="Z445" i="1"/>
  <c r="Z447" i="1" s="1"/>
  <c r="BN445" i="1"/>
  <c r="BP445" i="1"/>
  <c r="Z452" i="1"/>
  <c r="Z453" i="1" s="1"/>
  <c r="BN452" i="1"/>
  <c r="Y453" i="1"/>
  <c r="Z457" i="1"/>
  <c r="BN457" i="1"/>
  <c r="Z458" i="1"/>
  <c r="BN458" i="1"/>
  <c r="Y467" i="1"/>
  <c r="AC602" i="1"/>
  <c r="Z481" i="1"/>
  <c r="BN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499" i="1"/>
  <c r="Z503" i="1" s="1"/>
  <c r="BN499" i="1"/>
  <c r="BP499" i="1"/>
  <c r="Z500" i="1"/>
  <c r="BN500" i="1"/>
  <c r="Z501" i="1"/>
  <c r="BN501" i="1"/>
  <c r="Z502" i="1"/>
  <c r="BN502" i="1"/>
  <c r="Y518" i="1"/>
  <c r="Z512" i="1"/>
  <c r="BN512" i="1"/>
  <c r="Z513" i="1"/>
  <c r="BN513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Z325" i="1" l="1"/>
  <c r="Z221" i="1"/>
  <c r="Z102" i="1"/>
  <c r="Z460" i="1"/>
  <c r="Z421" i="1"/>
  <c r="Z226" i="1"/>
  <c r="Z183" i="1"/>
  <c r="Z139" i="1"/>
  <c r="Z496" i="1"/>
  <c r="Z359" i="1"/>
  <c r="Z353" i="1"/>
  <c r="Z340" i="1"/>
  <c r="Z332" i="1"/>
  <c r="Z161" i="1"/>
  <c r="Z110" i="1"/>
  <c r="Z77" i="1"/>
  <c r="Z55" i="1"/>
  <c r="Y593" i="1"/>
  <c r="Z28" i="1"/>
  <c r="X595" i="1"/>
  <c r="Z518" i="1"/>
  <c r="Z261" i="1"/>
  <c r="Y594" i="1"/>
  <c r="Z128" i="1"/>
  <c r="Z116" i="1"/>
  <c r="Z548" i="1"/>
  <c r="Z524" i="1"/>
  <c r="Y596" i="1"/>
  <c r="Z442" i="1"/>
  <c r="Z408" i="1"/>
  <c r="Z566" i="1"/>
  <c r="Z385" i="1"/>
  <c r="Z282" i="1"/>
  <c r="Z273" i="1"/>
  <c r="Z238" i="1"/>
  <c r="Z209" i="1"/>
  <c r="Y592" i="1"/>
  <c r="Z90" i="1"/>
  <c r="Z83" i="1"/>
  <c r="Z62" i="1"/>
  <c r="Z41" i="1"/>
  <c r="Z597" i="1" l="1"/>
  <c r="Y595" i="1"/>
</calcChain>
</file>

<file path=xl/sharedStrings.xml><?xml version="1.0" encoding="utf-8"?>
<sst xmlns="http://schemas.openxmlformats.org/spreadsheetml/2006/main" count="2726" uniqueCount="978">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</sst>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9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75" sqref="AA37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51" t="s">
        <v>0</v>
      </c>
      <c r="E1" s="698"/>
      <c r="F1" s="698"/>
      <c r="G1" s="12" t="s">
        <v>1</v>
      </c>
      <c r="H1" s="751" t="s">
        <v>2</v>
      </c>
      <c r="I1" s="698"/>
      <c r="J1" s="698"/>
      <c r="K1" s="698"/>
      <c r="L1" s="698"/>
      <c r="M1" s="698"/>
      <c r="N1" s="698"/>
      <c r="O1" s="698"/>
      <c r="P1" s="698"/>
      <c r="Q1" s="698"/>
      <c r="R1" s="697" t="s">
        <v>3</v>
      </c>
      <c r="S1" s="698"/>
      <c r="T1" s="6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7" t="s">
        <v>8</v>
      </c>
      <c r="B5" s="808"/>
      <c r="C5" s="809"/>
      <c r="D5" s="755"/>
      <c r="E5" s="756"/>
      <c r="F5" s="1009" t="s">
        <v>9</v>
      </c>
      <c r="G5" s="809"/>
      <c r="H5" s="755" t="s">
        <v>977</v>
      </c>
      <c r="I5" s="947"/>
      <c r="J5" s="947"/>
      <c r="K5" s="947"/>
      <c r="L5" s="947"/>
      <c r="M5" s="756"/>
      <c r="N5" s="58"/>
      <c r="P5" s="24" t="s">
        <v>10</v>
      </c>
      <c r="Q5" s="1023">
        <v>45768</v>
      </c>
      <c r="R5" s="806"/>
      <c r="T5" s="854" t="s">
        <v>11</v>
      </c>
      <c r="U5" s="761"/>
      <c r="V5" s="856" t="s">
        <v>12</v>
      </c>
      <c r="W5" s="806"/>
      <c r="AB5" s="51"/>
      <c r="AC5" s="51"/>
      <c r="AD5" s="51"/>
      <c r="AE5" s="51"/>
    </row>
    <row r="6" spans="1:32" s="659" customFormat="1" ht="24" customHeight="1" x14ac:dyDescent="0.2">
      <c r="A6" s="807" t="s">
        <v>13</v>
      </c>
      <c r="B6" s="808"/>
      <c r="C6" s="809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806"/>
      <c r="N6" s="59"/>
      <c r="P6" s="24" t="s">
        <v>15</v>
      </c>
      <c r="Q6" s="1030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9" t="s">
        <v>16</v>
      </c>
      <c r="U6" s="761"/>
      <c r="V6" s="929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5" t="str">
        <f>IFERROR(VLOOKUP(DeliveryAddress,Table,3,0),1)</f>
        <v>4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761"/>
      <c r="V7" s="930"/>
      <c r="W7" s="931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7"/>
      <c r="C8" s="688"/>
      <c r="D8" s="738"/>
      <c r="E8" s="739"/>
      <c r="F8" s="739"/>
      <c r="G8" s="739"/>
      <c r="H8" s="739"/>
      <c r="I8" s="739"/>
      <c r="J8" s="739"/>
      <c r="K8" s="739"/>
      <c r="L8" s="739"/>
      <c r="M8" s="740"/>
      <c r="N8" s="61"/>
      <c r="P8" s="24" t="s">
        <v>19</v>
      </c>
      <c r="Q8" s="818">
        <v>0.5</v>
      </c>
      <c r="R8" s="727"/>
      <c r="T8" s="679"/>
      <c r="U8" s="761"/>
      <c r="V8" s="930"/>
      <c r="W8" s="931"/>
      <c r="AB8" s="51"/>
      <c r="AC8" s="51"/>
      <c r="AD8" s="51"/>
      <c r="AE8" s="51"/>
    </row>
    <row r="9" spans="1:32" s="659" customFormat="1" ht="39.950000000000003" customHeight="1" x14ac:dyDescent="0.2">
      <c r="A9" s="8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38"/>
      <c r="E9" s="685"/>
      <c r="F9" s="8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801"/>
      <c r="R9" s="802"/>
      <c r="T9" s="679"/>
      <c r="U9" s="761"/>
      <c r="V9" s="932"/>
      <c r="W9" s="933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38"/>
      <c r="E10" s="685"/>
      <c r="F10" s="8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21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60"/>
      <c r="R10" s="861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5"/>
      <c r="R11" s="806"/>
      <c r="U11" s="24" t="s">
        <v>26</v>
      </c>
      <c r="V11" s="968" t="s">
        <v>27</v>
      </c>
      <c r="W11" s="802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8"/>
      <c r="C12" s="808"/>
      <c r="D12" s="808"/>
      <c r="E12" s="808"/>
      <c r="F12" s="808"/>
      <c r="G12" s="808"/>
      <c r="H12" s="808"/>
      <c r="I12" s="808"/>
      <c r="J12" s="808"/>
      <c r="K12" s="808"/>
      <c r="L12" s="808"/>
      <c r="M12" s="809"/>
      <c r="N12" s="62"/>
      <c r="P12" s="24" t="s">
        <v>29</v>
      </c>
      <c r="Q12" s="818"/>
      <c r="R12" s="727"/>
      <c r="S12" s="23"/>
      <c r="U12" s="24"/>
      <c r="V12" s="698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8"/>
      <c r="C13" s="808"/>
      <c r="D13" s="808"/>
      <c r="E13" s="808"/>
      <c r="F13" s="808"/>
      <c r="G13" s="808"/>
      <c r="H13" s="808"/>
      <c r="I13" s="808"/>
      <c r="J13" s="808"/>
      <c r="K13" s="808"/>
      <c r="L13" s="808"/>
      <c r="M13" s="809"/>
      <c r="N13" s="62"/>
      <c r="O13" s="26"/>
      <c r="P13" s="26" t="s">
        <v>31</v>
      </c>
      <c r="Q13" s="968"/>
      <c r="R13" s="80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8"/>
      <c r="C14" s="808"/>
      <c r="D14" s="808"/>
      <c r="E14" s="808"/>
      <c r="F14" s="808"/>
      <c r="G14" s="808"/>
      <c r="H14" s="808"/>
      <c r="I14" s="808"/>
      <c r="J14" s="808"/>
      <c r="K14" s="808"/>
      <c r="L14" s="808"/>
      <c r="M14" s="80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8"/>
      <c r="C15" s="808"/>
      <c r="D15" s="808"/>
      <c r="E15" s="808"/>
      <c r="F15" s="808"/>
      <c r="G15" s="808"/>
      <c r="H15" s="808"/>
      <c r="I15" s="808"/>
      <c r="J15" s="808"/>
      <c r="K15" s="808"/>
      <c r="L15" s="808"/>
      <c r="M15" s="809"/>
      <c r="N15" s="63"/>
      <c r="P15" s="844" t="s">
        <v>34</v>
      </c>
      <c r="Q15" s="698"/>
      <c r="R15" s="698"/>
      <c r="S15" s="698"/>
      <c r="T15" s="6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45"/>
      <c r="Q16" s="845"/>
      <c r="R16" s="845"/>
      <c r="S16" s="845"/>
      <c r="T16" s="84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35</v>
      </c>
      <c r="B17" s="692" t="s">
        <v>36</v>
      </c>
      <c r="C17" s="831" t="s">
        <v>37</v>
      </c>
      <c r="D17" s="692" t="s">
        <v>38</v>
      </c>
      <c r="E17" s="782"/>
      <c r="F17" s="692" t="s">
        <v>39</v>
      </c>
      <c r="G17" s="692" t="s">
        <v>40</v>
      </c>
      <c r="H17" s="692" t="s">
        <v>41</v>
      </c>
      <c r="I17" s="692" t="s">
        <v>42</v>
      </c>
      <c r="J17" s="692" t="s">
        <v>43</v>
      </c>
      <c r="K17" s="692" t="s">
        <v>44</v>
      </c>
      <c r="L17" s="692" t="s">
        <v>45</v>
      </c>
      <c r="M17" s="692" t="s">
        <v>46</v>
      </c>
      <c r="N17" s="692" t="s">
        <v>47</v>
      </c>
      <c r="O17" s="692" t="s">
        <v>48</v>
      </c>
      <c r="P17" s="692" t="s">
        <v>49</v>
      </c>
      <c r="Q17" s="781"/>
      <c r="R17" s="781"/>
      <c r="S17" s="781"/>
      <c r="T17" s="782"/>
      <c r="U17" s="1040" t="s">
        <v>50</v>
      </c>
      <c r="V17" s="809"/>
      <c r="W17" s="692" t="s">
        <v>51</v>
      </c>
      <c r="X17" s="692" t="s">
        <v>52</v>
      </c>
      <c r="Y17" s="1041" t="s">
        <v>53</v>
      </c>
      <c r="Z17" s="944" t="s">
        <v>54</v>
      </c>
      <c r="AA17" s="918" t="s">
        <v>55</v>
      </c>
      <c r="AB17" s="918" t="s">
        <v>56</v>
      </c>
      <c r="AC17" s="918" t="s">
        <v>57</v>
      </c>
      <c r="AD17" s="918" t="s">
        <v>58</v>
      </c>
      <c r="AE17" s="1004"/>
      <c r="AF17" s="1005"/>
      <c r="AG17" s="66"/>
      <c r="BD17" s="65" t="s">
        <v>59</v>
      </c>
    </row>
    <row r="18" spans="1:68" ht="14.25" customHeight="1" x14ac:dyDescent="0.2">
      <c r="A18" s="693"/>
      <c r="B18" s="693"/>
      <c r="C18" s="693"/>
      <c r="D18" s="783"/>
      <c r="E18" s="785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83"/>
      <c r="Q18" s="784"/>
      <c r="R18" s="784"/>
      <c r="S18" s="784"/>
      <c r="T18" s="785"/>
      <c r="U18" s="67" t="s">
        <v>60</v>
      </c>
      <c r="V18" s="67" t="s">
        <v>61</v>
      </c>
      <c r="W18" s="693"/>
      <c r="X18" s="693"/>
      <c r="Y18" s="1042"/>
      <c r="Z18" s="945"/>
      <c r="AA18" s="919"/>
      <c r="AB18" s="919"/>
      <c r="AC18" s="919"/>
      <c r="AD18" s="1006"/>
      <c r="AE18" s="1007"/>
      <c r="AF18" s="1008"/>
      <c r="AG18" s="66"/>
      <c r="BD18" s="65"/>
    </row>
    <row r="19" spans="1:68" ht="27.75" hidden="1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hidden="1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hidden="1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hidden="1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2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hidden="1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hidden="1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hidden="1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0</v>
      </c>
      <c r="Y31" s="66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0</v>
      </c>
      <c r="Y32" s="667">
        <f>IFERROR(Y31/H31,"0")</f>
        <v>0</v>
      </c>
      <c r="Z32" s="667">
        <f>IFERROR(IF(Z31="",0,Z31),"0")</f>
        <v>0</v>
      </c>
      <c r="AA32" s="668"/>
      <c r="AB32" s="668"/>
      <c r="AC32" s="668"/>
    </row>
    <row r="33" spans="1:68" hidden="1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0</v>
      </c>
      <c r="Y33" s="667">
        <f>IFERROR(SUM(Y31:Y31),"0")</f>
        <v>0</v>
      </c>
      <c r="Z33" s="37"/>
      <c r="AA33" s="668"/>
      <c r="AB33" s="668"/>
      <c r="AC33" s="668"/>
    </row>
    <row r="34" spans="1:68" ht="27.75" hidden="1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hidden="1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hidden="1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hidden="1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0</v>
      </c>
      <c r="Y37" s="666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4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0</v>
      </c>
      <c r="Y41" s="667">
        <f>IFERROR(Y37/H37,"0")+IFERROR(Y38/H38,"0")+IFERROR(Y39/H39,"0")+IFERROR(Y40/H40,"0")</f>
        <v>0</v>
      </c>
      <c r="Z41" s="667">
        <f>IFERROR(IF(Z37="",0,Z37),"0")+IFERROR(IF(Z38="",0,Z38),"0")+IFERROR(IF(Z39="",0,Z39),"0")+IFERROR(IF(Z40="",0,Z40),"0")</f>
        <v>0</v>
      </c>
      <c r="AA41" s="668"/>
      <c r="AB41" s="668"/>
      <c r="AC41" s="668"/>
    </row>
    <row r="42" spans="1:68" hidden="1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0</v>
      </c>
      <c r="Y42" s="667">
        <f>IFERROR(SUM(Y37:Y40),"0")</f>
        <v>0</v>
      </c>
      <c r="Z42" s="37"/>
      <c r="AA42" s="668"/>
      <c r="AB42" s="668"/>
      <c r="AC42" s="668"/>
    </row>
    <row r="43" spans="1:68" ht="14.25" hidden="1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hidden="1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hidden="1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hidden="1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hidden="1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hidden="1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8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0</v>
      </c>
      <c r="Y49" s="666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hidden="1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hidden="1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3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hidden="1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0</v>
      </c>
      <c r="Y55" s="667">
        <f>IFERROR(Y49/H49,"0")+IFERROR(Y50/H50,"0")+IFERROR(Y51/H51,"0")+IFERROR(Y52/H52,"0")+IFERROR(Y53/H53,"0")+IFERROR(Y54/H54,"0")</f>
        <v>0</v>
      </c>
      <c r="Z55" s="667">
        <f>IFERROR(IF(Z49="",0,Z49),"0")+IFERROR(IF(Z50="",0,Z50),"0")+IFERROR(IF(Z51="",0,Z51),"0")+IFERROR(IF(Z52="",0,Z52),"0")+IFERROR(IF(Z53="",0,Z53),"0")+IFERROR(IF(Z54="",0,Z54),"0")</f>
        <v>0</v>
      </c>
      <c r="AA55" s="668"/>
      <c r="AB55" s="668"/>
      <c r="AC55" s="668"/>
    </row>
    <row r="56" spans="1:68" hidden="1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0</v>
      </c>
      <c r="Y56" s="667">
        <f>IFERROR(SUM(Y49:Y54),"0")</f>
        <v>0</v>
      </c>
      <c r="Z56" s="37"/>
      <c r="AA56" s="668"/>
      <c r="AB56" s="668"/>
      <c r="AC56" s="668"/>
    </row>
    <row r="57" spans="1:68" ht="14.25" hidden="1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hidden="1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hidden="1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idden="1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hidden="1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hidden="1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hidden="1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0</v>
      </c>
      <c r="Y67" s="66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0</v>
      </c>
      <c r="Y68" s="667">
        <f>IFERROR(Y65/H65,"0")+IFERROR(Y66/H66,"0")+IFERROR(Y67/H67,"0")</f>
        <v>0</v>
      </c>
      <c r="Z68" s="667">
        <f>IFERROR(IF(Z65="",0,Z65),"0")+IFERROR(IF(Z66="",0,Z66),"0")+IFERROR(IF(Z67="",0,Z67),"0")</f>
        <v>0</v>
      </c>
      <c r="AA68" s="668"/>
      <c r="AB68" s="668"/>
      <c r="AC68" s="668"/>
    </row>
    <row r="69" spans="1:68" hidden="1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0</v>
      </c>
      <c r="Y69" s="667">
        <f>IFERROR(SUM(Y65:Y67),"0")</f>
        <v>0</v>
      </c>
      <c r="Z69" s="37"/>
      <c r="AA69" s="668"/>
      <c r="AB69" s="668"/>
      <c r="AC69" s="668"/>
    </row>
    <row r="70" spans="1:68" ht="14.25" hidden="1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hidden="1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91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0</v>
      </c>
      <c r="Y72" s="666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</v>
      </c>
      <c r="Y77" s="667">
        <f>IFERROR(Y71/H71,"0")+IFERROR(Y72/H72,"0")+IFERROR(Y73/H73,"0")+IFERROR(Y74/H74,"0")+IFERROR(Y75/H75,"0")+IFERROR(Y76/H76,"0")</f>
        <v>0</v>
      </c>
      <c r="Z77" s="667">
        <f>IFERROR(IF(Z71="",0,Z71),"0")+IFERROR(IF(Z72="",0,Z72),"0")+IFERROR(IF(Z73="",0,Z73),"0")+IFERROR(IF(Z74="",0,Z74),"0")+IFERROR(IF(Z75="",0,Z75),"0")+IFERROR(IF(Z76="",0,Z76),"0")</f>
        <v>0</v>
      </c>
      <c r="AA77" s="668"/>
      <c r="AB77" s="668"/>
      <c r="AC77" s="668"/>
    </row>
    <row r="78" spans="1:68" hidden="1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0</v>
      </c>
      <c r="Y78" s="667">
        <f>IFERROR(SUM(Y71:Y76),"0")</f>
        <v>0</v>
      </c>
      <c r="Z78" s="37"/>
      <c r="AA78" s="668"/>
      <c r="AB78" s="668"/>
      <c r="AC78" s="668"/>
    </row>
    <row r="79" spans="1:68" ht="14.25" hidden="1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hidden="1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0</v>
      </c>
      <c r="Y83" s="667">
        <f>IFERROR(Y80/H80,"0")+IFERROR(Y81/H81,"0")+IFERROR(Y82/H82,"0")</f>
        <v>0</v>
      </c>
      <c r="Z83" s="667">
        <f>IFERROR(IF(Z80="",0,Z80),"0")+IFERROR(IF(Z81="",0,Z81),"0")+IFERROR(IF(Z82="",0,Z82),"0")</f>
        <v>0</v>
      </c>
      <c r="AA83" s="668"/>
      <c r="AB83" s="668"/>
      <c r="AC83" s="668"/>
    </row>
    <row r="84" spans="1:68" hidden="1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0</v>
      </c>
      <c r="Y84" s="667">
        <f>IFERROR(SUM(Y80:Y82),"0")</f>
        <v>0</v>
      </c>
      <c r="Z84" s="37"/>
      <c r="AA84" s="668"/>
      <c r="AB84" s="668"/>
      <c r="AC84" s="668"/>
    </row>
    <row r="85" spans="1:68" ht="16.5" hidden="1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hidden="1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hidden="1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0</v>
      </c>
      <c r="Y87" s="666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hidden="1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0</v>
      </c>
      <c r="Y89" s="66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0</v>
      </c>
      <c r="Y90" s="667">
        <f>IFERROR(Y87/H87,"0")+IFERROR(Y88/H88,"0")+IFERROR(Y89/H89,"0")</f>
        <v>0</v>
      </c>
      <c r="Z90" s="667">
        <f>IFERROR(IF(Z87="",0,Z87),"0")+IFERROR(IF(Z88="",0,Z88),"0")+IFERROR(IF(Z89="",0,Z89),"0")</f>
        <v>0</v>
      </c>
      <c r="AA90" s="668"/>
      <c r="AB90" s="668"/>
      <c r="AC90" s="668"/>
    </row>
    <row r="91" spans="1:68" hidden="1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0</v>
      </c>
      <c r="Y91" s="667">
        <f>IFERROR(SUM(Y87:Y89),"0")</f>
        <v>0</v>
      </c>
      <c r="Z91" s="37"/>
      <c r="AA91" s="668"/>
      <c r="AB91" s="668"/>
      <c r="AC91" s="668"/>
    </row>
    <row r="92" spans="1:68" ht="14.25" hidden="1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hidden="1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7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hidden="1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5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0</v>
      </c>
      <c r="Y94" s="666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hidden="1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7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4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8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33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hidden="1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0</v>
      </c>
      <c r="Y102" s="667">
        <f>IFERROR(Y93/H93,"0")+IFERROR(Y94/H94,"0")+IFERROR(Y95/H95,"0")+IFERROR(Y96/H96,"0")+IFERROR(Y97/H97,"0")+IFERROR(Y98/H98,"0")+IFERROR(Y99/H99,"0")+IFERROR(Y100/H100,"0")+IFERROR(Y101/H101,"0")</f>
        <v>0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8"/>
      <c r="AB102" s="668"/>
      <c r="AC102" s="668"/>
    </row>
    <row r="103" spans="1:68" hidden="1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0</v>
      </c>
      <c r="Y103" s="667">
        <f>IFERROR(SUM(Y93:Y101),"0")</f>
        <v>0</v>
      </c>
      <c r="Z103" s="37"/>
      <c r="AA103" s="668"/>
      <c r="AB103" s="668"/>
      <c r="AC103" s="668"/>
    </row>
    <row r="104" spans="1:68" ht="16.5" hidden="1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hidden="1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hidden="1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0</v>
      </c>
      <c r="Y110" s="667">
        <f>IFERROR(Y106/H106,"0")+IFERROR(Y107/H107,"0")+IFERROR(Y108/H108,"0")+IFERROR(Y109/H109,"0")</f>
        <v>0</v>
      </c>
      <c r="Z110" s="667">
        <f>IFERROR(IF(Z106="",0,Z106),"0")+IFERROR(IF(Z107="",0,Z107),"0")+IFERROR(IF(Z108="",0,Z108),"0")+IFERROR(IF(Z109="",0,Z109),"0")</f>
        <v>0</v>
      </c>
      <c r="AA110" s="668"/>
      <c r="AB110" s="668"/>
      <c r="AC110" s="668"/>
    </row>
    <row r="111" spans="1:68" hidden="1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0</v>
      </c>
      <c r="Y111" s="667">
        <f>IFERROR(SUM(Y106:Y109),"0")</f>
        <v>0</v>
      </c>
      <c r="Z111" s="37"/>
      <c r="AA111" s="668"/>
      <c r="AB111" s="668"/>
      <c r="AC111" s="668"/>
    </row>
    <row r="112" spans="1:68" ht="14.25" hidden="1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hidden="1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0</v>
      </c>
      <c r="Y115" s="66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0</v>
      </c>
      <c r="Y116" s="667">
        <f>IFERROR(Y113/H113,"0")+IFERROR(Y114/H114,"0")+IFERROR(Y115/H115,"0")</f>
        <v>0</v>
      </c>
      <c r="Z116" s="667">
        <f>IFERROR(IF(Z113="",0,Z113),"0")+IFERROR(IF(Z114="",0,Z114),"0")+IFERROR(IF(Z115="",0,Z115),"0")</f>
        <v>0</v>
      </c>
      <c r="AA116" s="668"/>
      <c r="AB116" s="668"/>
      <c r="AC116" s="668"/>
    </row>
    <row r="117" spans="1:68" hidden="1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0</v>
      </c>
      <c r="Y117" s="667">
        <f>IFERROR(SUM(Y113:Y115),"0")</f>
        <v>0</v>
      </c>
      <c r="Z117" s="37"/>
      <c r="AA117" s="668"/>
      <c r="AB117" s="668"/>
      <c r="AC117" s="668"/>
    </row>
    <row r="118" spans="1:68" ht="14.25" hidden="1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hidden="1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20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hidden="1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0</v>
      </c>
      <c r="Y120" s="666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37.5" hidden="1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977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799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hidden="1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hidden="1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hidden="1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7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hidden="1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0</v>
      </c>
      <c r="Y128" s="667">
        <f>IFERROR(Y119/H119,"0")+IFERROR(Y120/H120,"0")+IFERROR(Y121/H121,"0")+IFERROR(Y122/H122,"0")+IFERROR(Y123/H123,"0")+IFERROR(Y124/H124,"0")+IFERROR(Y125/H125,"0")+IFERROR(Y126/H126,"0")+IFERROR(Y127/H127,"0")</f>
        <v>0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68"/>
      <c r="AB128" s="668"/>
      <c r="AC128" s="668"/>
    </row>
    <row r="129" spans="1:68" hidden="1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0</v>
      </c>
      <c r="Y129" s="667">
        <f>IFERROR(SUM(Y119:Y127),"0")</f>
        <v>0</v>
      </c>
      <c r="Z129" s="37"/>
      <c r="AA129" s="668"/>
      <c r="AB129" s="668"/>
      <c r="AC129" s="668"/>
    </row>
    <row r="130" spans="1:68" ht="14.25" hidden="1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hidden="1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7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hidden="1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hidden="1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hidden="1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hidden="1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hidden="1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hidden="1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hidden="1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hidden="1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hidden="1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hidden="1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hidden="1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hidden="1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hidden="1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hidden="1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hidden="1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hidden="1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hidden="1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8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hidden="1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hidden="1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hidden="1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9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hidden="1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hidden="1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hidden="1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hidden="1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hidden="1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0</v>
      </c>
      <c r="Y174" s="666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9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hidden="1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hidden="1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hidden="1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12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hidden="1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hidden="1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hidden="1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hidden="1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4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0</v>
      </c>
      <c r="Y202" s="666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0</v>
      </c>
      <c r="Y206" s="666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9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0</v>
      </c>
      <c r="Y208" s="666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hidden="1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hidden="1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hidden="1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0</v>
      </c>
      <c r="Y215" s="666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0</v>
      </c>
      <c r="Y218" s="666">
        <f t="shared" si="37"/>
        <v>0</v>
      </c>
      <c r="Z218" s="36" t="str">
        <f t="shared" si="42"/>
        <v/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0</v>
      </c>
      <c r="Y221" s="667">
        <f>IFERROR(Y212/H212,"0")+IFERROR(Y213/H213,"0")+IFERROR(Y214/H214,"0")+IFERROR(Y215/H215,"0")+IFERROR(Y216/H216,"0")+IFERROR(Y217/H217,"0")+IFERROR(Y218/H218,"0")+IFERROR(Y219/H219,"0")+IFERROR(Y220/H220,"0")</f>
        <v>0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8"/>
      <c r="AB221" s="668"/>
      <c r="AC221" s="668"/>
    </row>
    <row r="222" spans="1:68" hidden="1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0</v>
      </c>
      <c r="Y222" s="667">
        <f>IFERROR(SUM(Y212:Y220),"0")</f>
        <v>0</v>
      </c>
      <c r="Z222" s="37"/>
      <c r="AA222" s="668"/>
      <c r="AB222" s="668"/>
      <c r="AC222" s="668"/>
    </row>
    <row r="223" spans="1:68" ht="14.25" hidden="1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hidden="1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hidden="1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hidden="1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hidden="1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hidden="1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0</v>
      </c>
      <c r="Y230" s="666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0</v>
      </c>
      <c r="Y235" s="666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4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hidden="1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hidden="1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hidden="1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2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2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hidden="1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21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hidden="1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6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hidden="1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hidden="1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4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hidden="1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hidden="1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3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hidden="1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32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2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hidden="1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hidden="1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79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hidden="1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hidden="1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hidden="1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hidden="1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hidden="1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hidden="1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hidden="1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hidden="1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hidden="1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hidden="1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4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hidden="1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2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hidden="1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hidden="1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4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hidden="1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hidden="1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0</v>
      </c>
      <c r="Y319" s="666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hidden="1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hidden="1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2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idden="1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hidden="1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4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hidden="1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hidden="1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hidden="1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hidden="1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hidden="1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1002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hidden="1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hidden="1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hidden="1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6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97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hidden="1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hidden="1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hidden="1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hidden="1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hidden="1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hidden="1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hidden="1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hidden="1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hidden="1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1000</v>
      </c>
      <c r="Y375" s="666">
        <f t="shared" ref="Y375:Y384" si="58">IFERROR(IF(X375="",0,CEILING((X375/$H375),1)*$H375),"")</f>
        <v>1005</v>
      </c>
      <c r="Z375" s="36">
        <f>IFERROR(IF(Y375=0,"",ROUNDUP(Y375/H375,0)*0.02175),"")</f>
        <v>1.4572499999999999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1032</v>
      </c>
      <c r="BN375" s="64">
        <f t="shared" ref="BN375:BN384" si="60">IFERROR(Y375*I375/H375,"0")</f>
        <v>1037.1600000000001</v>
      </c>
      <c r="BO375" s="64">
        <f t="shared" ref="BO375:BO384" si="61">IFERROR(1/J375*(X375/H375),"0")</f>
        <v>1.3888888888888888</v>
      </c>
      <c r="BP375" s="64">
        <f t="shared" ref="BP375:BP384" si="62">IFERROR(1/J375*(Y375/H375),"0")</f>
        <v>1.3958333333333333</v>
      </c>
    </row>
    <row r="376" spans="1:68" ht="27" hidden="1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803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0</v>
      </c>
      <c r="Y377" s="666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4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1000</v>
      </c>
      <c r="Y379" s="666">
        <f t="shared" si="58"/>
        <v>1005</v>
      </c>
      <c r="Z379" s="36">
        <f>IFERROR(IF(Y379=0,"",ROUNDUP(Y379/H379,0)*0.02175),"")</f>
        <v>1.4572499999999999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1032</v>
      </c>
      <c r="BN379" s="64">
        <f t="shared" si="60"/>
        <v>1037.1600000000001</v>
      </c>
      <c r="BO379" s="64">
        <f t="shared" si="61"/>
        <v>1.3888888888888888</v>
      </c>
      <c r="BP379" s="64">
        <f t="shared" si="62"/>
        <v>1.3958333333333333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0</v>
      </c>
      <c r="Y380" s="666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133.33333333333334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134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2.9144999999999999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2000</v>
      </c>
      <c r="Y386" s="667">
        <f>IFERROR(SUM(Y375:Y384),"0")</f>
        <v>2010</v>
      </c>
      <c r="Z386" s="37"/>
      <c r="AA386" s="668"/>
      <c r="AB386" s="668"/>
      <c r="AC386" s="668"/>
    </row>
    <row r="387" spans="1:68" ht="14.25" hidden="1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hidden="1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hidden="1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hidden="1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hidden="1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9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hidden="1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hidden="1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hidden="1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4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hidden="1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hidden="1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hidden="1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hidden="1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13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hidden="1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hidden="1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hidden="1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hidden="1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hidden="1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hidden="1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0</v>
      </c>
      <c r="Y416" s="666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91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4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100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0</v>
      </c>
      <c r="Y421" s="667">
        <f>IFERROR(Y416/H416,"0")+IFERROR(Y417/H417,"0")+IFERROR(Y418/H418,"0")+IFERROR(Y419/H419,"0")+IFERROR(Y420/H420,"0")</f>
        <v>0</v>
      </c>
      <c r="Z421" s="667">
        <f>IFERROR(IF(Z416="",0,Z416),"0")+IFERROR(IF(Z417="",0,Z417),"0")+IFERROR(IF(Z418="",0,Z418),"0")+IFERROR(IF(Z419="",0,Z419),"0")+IFERROR(IF(Z420="",0,Z420),"0")</f>
        <v>0</v>
      </c>
      <c r="AA421" s="668"/>
      <c r="AB421" s="668"/>
      <c r="AC421" s="668"/>
    </row>
    <row r="422" spans="1:68" hidden="1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0</v>
      </c>
      <c r="Y422" s="667">
        <f>IFERROR(SUM(Y416:Y420),"0")</f>
        <v>0</v>
      </c>
      <c r="Z422" s="37"/>
      <c r="AA422" s="668"/>
      <c r="AB422" s="668"/>
      <c r="AC422" s="668"/>
    </row>
    <row r="423" spans="1:68" ht="14.25" hidden="1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hidden="1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hidden="1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hidden="1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hidden="1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hidden="1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hidden="1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90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3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3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21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8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8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20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hidden="1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hidden="1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hidden="1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hidden="1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hidden="1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hidden="1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hidden="1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hidden="1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hidden="1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hidden="1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0</v>
      </c>
      <c r="Y456" s="666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6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0</v>
      </c>
      <c r="Y460" s="667">
        <f>IFERROR(Y456/H456,"0")+IFERROR(Y457/H457,"0")+IFERROR(Y458/H458,"0")+IFERROR(Y459/H459,"0")</f>
        <v>0</v>
      </c>
      <c r="Z460" s="667">
        <f>IFERROR(IF(Z456="",0,Z456),"0")+IFERROR(IF(Z457="",0,Z457),"0")+IFERROR(IF(Z458="",0,Z458),"0")+IFERROR(IF(Z459="",0,Z459),"0")</f>
        <v>0</v>
      </c>
      <c r="AA460" s="668"/>
      <c r="AB460" s="668"/>
      <c r="AC460" s="668"/>
    </row>
    <row r="461" spans="1:68" hidden="1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0</v>
      </c>
      <c r="Y461" s="667">
        <f>IFERROR(SUM(Y456:Y459),"0")</f>
        <v>0</v>
      </c>
      <c r="Z461" s="37"/>
      <c r="AA461" s="668"/>
      <c r="AB461" s="668"/>
      <c r="AC461" s="668"/>
    </row>
    <row r="462" spans="1:68" ht="16.5" hidden="1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hidden="1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hidden="1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8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hidden="1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hidden="1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hidden="1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hidden="1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hidden="1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hidden="1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hidden="1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70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hidden="1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hidden="1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hidden="1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hidden="1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hidden="1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0</v>
      </c>
      <c r="Y480" s="666">
        <f t="shared" ref="Y480:Y495" si="69">IFERROR(IF(X480="",0,CEILING((X480/$H480),1)*$H480),"")</f>
        <v>0</v>
      </c>
      <c r="Z480" s="36" t="str">
        <f t="shared" ref="Z480:Z485" si="70">IFERROR(IF(Y480=0,"",ROUNDUP(Y480/H480,0)*0.01196),"")</f>
        <v/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0</v>
      </c>
      <c r="BN480" s="64">
        <f t="shared" ref="BN480:BN495" si="72">IFERROR(Y480*I480/H480,"0")</f>
        <v>0</v>
      </c>
      <c r="BO480" s="64">
        <f t="shared" ref="BO480:BO495" si="73">IFERROR(1/J480*(X480/H480),"0")</f>
        <v>0</v>
      </c>
      <c r="BP480" s="64">
        <f t="shared" ref="BP480:BP495" si="74"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0</v>
      </c>
      <c r="Y482" s="666">
        <f t="shared" si="69"/>
        <v>0</v>
      </c>
      <c r="Z482" s="36" t="str">
        <f t="shared" si="70"/>
        <v/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0</v>
      </c>
      <c r="BN482" s="64">
        <f t="shared" si="72"/>
        <v>0</v>
      </c>
      <c r="BO482" s="64">
        <f t="shared" si="73"/>
        <v>0</v>
      </c>
      <c r="BP482" s="64">
        <f t="shared" si="74"/>
        <v>0</v>
      </c>
    </row>
    <row r="483" spans="1:68" ht="16.5" hidden="1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hidden="1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0</v>
      </c>
      <c r="Y484" s="666">
        <f t="shared" si="69"/>
        <v>0</v>
      </c>
      <c r="Z484" s="36" t="str">
        <f t="shared" si="70"/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0</v>
      </c>
      <c r="BN484" s="64">
        <f t="shared" si="72"/>
        <v>0</v>
      </c>
      <c r="BO484" s="64">
        <f t="shared" si="73"/>
        <v>0</v>
      </c>
      <c r="BP484" s="64">
        <f t="shared" si="74"/>
        <v>0</v>
      </c>
    </row>
    <row r="485" spans="1:68" ht="16.5" hidden="1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hidden="1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5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hidden="1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hidden="1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hidden="1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hidden="1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5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hidden="1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hidden="1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8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hidden="1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hidden="1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hidden="1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hidden="1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hidden="1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0</v>
      </c>
      <c r="Y497" s="667">
        <f>IFERROR(SUM(Y480:Y495),"0")</f>
        <v>0</v>
      </c>
      <c r="Z497" s="37"/>
      <c r="AA497" s="668"/>
      <c r="AB497" s="668"/>
      <c r="AC497" s="668"/>
    </row>
    <row r="498" spans="1:68" ht="14.25" hidden="1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hidden="1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00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9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hidden="1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hidden="1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hidden="1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9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hidden="1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51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0</v>
      </c>
      <c r="Y507" s="666">
        <f t="shared" si="75"/>
        <v>0</v>
      </c>
      <c r="Z507" s="36" t="str">
        <f>IFERROR(IF(Y507=0,"",ROUNDUP(Y507/H507,0)*0.01196),"")</f>
        <v/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0</v>
      </c>
      <c r="BN507" s="64">
        <f t="shared" si="77"/>
        <v>0</v>
      </c>
      <c r="BO507" s="64">
        <f t="shared" si="78"/>
        <v>0</v>
      </c>
      <c r="BP507" s="64">
        <f t="shared" si="79"/>
        <v>0</v>
      </c>
    </row>
    <row r="508" spans="1:68" ht="27" hidden="1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7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0</v>
      </c>
      <c r="Y508" s="666">
        <f t="shared" si="75"/>
        <v>0</v>
      </c>
      <c r="Z508" s="36" t="str">
        <f>IFERROR(IF(Y508=0,"",ROUNDUP(Y508/H508,0)*0.01196),"")</f>
        <v/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0</v>
      </c>
      <c r="BN508" s="64">
        <f t="shared" si="77"/>
        <v>0</v>
      </c>
      <c r="BO508" s="64">
        <f t="shared" si="78"/>
        <v>0</v>
      </c>
      <c r="BP508" s="64">
        <f t="shared" si="79"/>
        <v>0</v>
      </c>
    </row>
    <row r="509" spans="1:68" ht="27" hidden="1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11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hidden="1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917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hidden="1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hidden="1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hidden="1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42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hidden="1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5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hidden="1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7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hidden="1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hidden="1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hidden="1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hidden="1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hidden="1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hidden="1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3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hidden="1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8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2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hidden="1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hidden="1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hidden="1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52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hidden="1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hidden="1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45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hidden="1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6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hidden="1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90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hidden="1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52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hidden="1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hidden="1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27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24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6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hidden="1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60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hidden="1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hidden="1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7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hidden="1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4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hidden="1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4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hidden="1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7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hidden="1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46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hidden="1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hidden="1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7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9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20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idden="1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hidden="1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hidden="1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hidden="1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53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30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4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71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hidden="1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hidden="1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hidden="1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hidden="1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hidden="1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83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hidden="1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797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hidden="1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hidden="1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6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0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61"/>
      <c r="P592" s="841" t="s">
        <v>938</v>
      </c>
      <c r="Q592" s="808"/>
      <c r="R592" s="808"/>
      <c r="S592" s="808"/>
      <c r="T592" s="808"/>
      <c r="U592" s="808"/>
      <c r="V592" s="809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2000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2010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61"/>
      <c r="P593" s="841" t="s">
        <v>939</v>
      </c>
      <c r="Q593" s="808"/>
      <c r="R593" s="808"/>
      <c r="S593" s="808"/>
      <c r="T593" s="808"/>
      <c r="U593" s="808"/>
      <c r="V593" s="809"/>
      <c r="W593" s="37" t="s">
        <v>68</v>
      </c>
      <c r="X593" s="667">
        <f>IFERROR(SUM(BM22:BM589),"0")</f>
        <v>2064</v>
      </c>
      <c r="Y593" s="667">
        <f>IFERROR(SUM(BN22:BN589),"0")</f>
        <v>2074.3200000000002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61"/>
      <c r="P594" s="841" t="s">
        <v>940</v>
      </c>
      <c r="Q594" s="808"/>
      <c r="R594" s="808"/>
      <c r="S594" s="808"/>
      <c r="T594" s="808"/>
      <c r="U594" s="808"/>
      <c r="V594" s="809"/>
      <c r="W594" s="37" t="s">
        <v>941</v>
      </c>
      <c r="X594" s="38">
        <f>ROUNDUP(SUM(BO22:BO589),0)</f>
        <v>3</v>
      </c>
      <c r="Y594" s="38">
        <f>ROUNDUP(SUM(BP22:BP589),0)</f>
        <v>3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61"/>
      <c r="P595" s="841" t="s">
        <v>942</v>
      </c>
      <c r="Q595" s="808"/>
      <c r="R595" s="808"/>
      <c r="S595" s="808"/>
      <c r="T595" s="808"/>
      <c r="U595" s="808"/>
      <c r="V595" s="809"/>
      <c r="W595" s="37" t="s">
        <v>68</v>
      </c>
      <c r="X595" s="667">
        <f>GrossWeightTotal+PalletQtyTotal*25</f>
        <v>2139</v>
      </c>
      <c r="Y595" s="667">
        <f>GrossWeightTotalR+PalletQtyTotalR*25</f>
        <v>2149.3200000000002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61"/>
      <c r="P596" s="841" t="s">
        <v>943</v>
      </c>
      <c r="Q596" s="808"/>
      <c r="R596" s="808"/>
      <c r="S596" s="808"/>
      <c r="T596" s="808"/>
      <c r="U596" s="808"/>
      <c r="V596" s="809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133.33333333333334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134</v>
      </c>
      <c r="Z596" s="37"/>
      <c r="AA596" s="668"/>
      <c r="AB596" s="668"/>
      <c r="AC596" s="668"/>
    </row>
    <row r="597" spans="1:32" ht="14.25" hidden="1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61"/>
      <c r="P597" s="841" t="s">
        <v>944</v>
      </c>
      <c r="Q597" s="808"/>
      <c r="R597" s="808"/>
      <c r="S597" s="808"/>
      <c r="T597" s="808"/>
      <c r="U597" s="808"/>
      <c r="V597" s="809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2.9144999999999999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700"/>
      <c r="E599" s="700"/>
      <c r="F599" s="700"/>
      <c r="G599" s="700"/>
      <c r="H599" s="701"/>
      <c r="I599" s="675" t="s">
        <v>283</v>
      </c>
      <c r="J599" s="700"/>
      <c r="K599" s="700"/>
      <c r="L599" s="700"/>
      <c r="M599" s="700"/>
      <c r="N599" s="700"/>
      <c r="O599" s="700"/>
      <c r="P599" s="700"/>
      <c r="Q599" s="700"/>
      <c r="R599" s="700"/>
      <c r="S599" s="700"/>
      <c r="T599" s="700"/>
      <c r="U599" s="700"/>
      <c r="V599" s="701"/>
      <c r="W599" s="675" t="s">
        <v>573</v>
      </c>
      <c r="X599" s="701"/>
      <c r="Y599" s="675" t="s">
        <v>651</v>
      </c>
      <c r="Z599" s="700"/>
      <c r="AA599" s="700"/>
      <c r="AB599" s="701"/>
      <c r="AC599" s="662" t="s">
        <v>726</v>
      </c>
      <c r="AD599" s="675" t="s">
        <v>828</v>
      </c>
      <c r="AE599" s="701"/>
      <c r="AF599" s="663"/>
    </row>
    <row r="600" spans="1:32" ht="14.25" customHeight="1" thickTop="1" x14ac:dyDescent="0.2">
      <c r="A600" s="992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93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0</v>
      </c>
      <c r="C602" s="46">
        <f>IFERROR(Y37*1,"0")+IFERROR(Y38*1,"0")+IFERROR(Y39*1,"0")+IFERROR(Y40*1,"0")+IFERROR(Y44*1,"0")</f>
        <v>0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0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0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2010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0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33,33"/>
        <filter val="2 000,00"/>
        <filter val="2 064,00"/>
        <filter val="2 139,00"/>
        <filter val="3"/>
      </filters>
    </filterColumn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2025-04-18T11:41:26Z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