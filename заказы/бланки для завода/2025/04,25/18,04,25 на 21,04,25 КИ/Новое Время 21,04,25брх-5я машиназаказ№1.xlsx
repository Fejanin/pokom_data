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9B46604-7316-4D37-9374-A8B79CFF15A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Y172" i="1"/>
  <c r="X172" i="1"/>
  <c r="X171" i="1"/>
  <c r="BO170" i="1"/>
  <c r="BM170" i="1"/>
  <c r="Y170" i="1"/>
  <c r="Z170" i="1" s="1"/>
  <c r="Z171" i="1" s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2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5" i="1"/>
  <c r="X144" i="1"/>
  <c r="BO143" i="1"/>
  <c r="BM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N93" i="1"/>
  <c r="BM93" i="1"/>
  <c r="Z93" i="1"/>
  <c r="Y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X593" i="1" s="1"/>
  <c r="Y22" i="1"/>
  <c r="BP22" i="1" s="1"/>
  <c r="P22" i="1"/>
  <c r="H10" i="1"/>
  <c r="A9" i="1"/>
  <c r="A10" i="1" s="1"/>
  <c r="D7" i="1"/>
  <c r="Q6" i="1"/>
  <c r="P2" i="1"/>
  <c r="BP137" i="1" l="1"/>
  <c r="BN137" i="1"/>
  <c r="Z137" i="1"/>
  <c r="BP177" i="1"/>
  <c r="BN177" i="1"/>
  <c r="Z177" i="1"/>
  <c r="BP202" i="1"/>
  <c r="BN202" i="1"/>
  <c r="Z202" i="1"/>
  <c r="BP220" i="1"/>
  <c r="BN220" i="1"/>
  <c r="Z220" i="1"/>
  <c r="Y252" i="1"/>
  <c r="Y251" i="1"/>
  <c r="BP250" i="1"/>
  <c r="BN250" i="1"/>
  <c r="Z250" i="1"/>
  <c r="Z251" i="1" s="1"/>
  <c r="BP255" i="1"/>
  <c r="BN255" i="1"/>
  <c r="Z255" i="1"/>
  <c r="BP321" i="1"/>
  <c r="BN321" i="1"/>
  <c r="Z321" i="1"/>
  <c r="BP345" i="1"/>
  <c r="BN345" i="1"/>
  <c r="Z345" i="1"/>
  <c r="BP384" i="1"/>
  <c r="BN384" i="1"/>
  <c r="Z384" i="1"/>
  <c r="BP437" i="1"/>
  <c r="BN437" i="1"/>
  <c r="Z437" i="1"/>
  <c r="Y504" i="1"/>
  <c r="Y503" i="1"/>
  <c r="BP499" i="1"/>
  <c r="BN499" i="1"/>
  <c r="Z499" i="1"/>
  <c r="BP501" i="1"/>
  <c r="BN501" i="1"/>
  <c r="Z501" i="1"/>
  <c r="BP513" i="1"/>
  <c r="BN513" i="1"/>
  <c r="Z513" i="1"/>
  <c r="Z40" i="1"/>
  <c r="BN40" i="1"/>
  <c r="Z59" i="1"/>
  <c r="BN59" i="1"/>
  <c r="Z71" i="1"/>
  <c r="BN71" i="1"/>
  <c r="BP75" i="1"/>
  <c r="BN75" i="1"/>
  <c r="BP107" i="1"/>
  <c r="BN107" i="1"/>
  <c r="Z107" i="1"/>
  <c r="BP160" i="1"/>
  <c r="BN160" i="1"/>
  <c r="Z160" i="1"/>
  <c r="BP180" i="1"/>
  <c r="BN180" i="1"/>
  <c r="Z180" i="1"/>
  <c r="BP212" i="1"/>
  <c r="BN212" i="1"/>
  <c r="Z212" i="1"/>
  <c r="BP235" i="1"/>
  <c r="BN235" i="1"/>
  <c r="Z235" i="1"/>
  <c r="BP278" i="1"/>
  <c r="BN278" i="1"/>
  <c r="Z278" i="1"/>
  <c r="BP335" i="1"/>
  <c r="BN335" i="1"/>
  <c r="Z335" i="1"/>
  <c r="BP376" i="1"/>
  <c r="BN376" i="1"/>
  <c r="Z376" i="1"/>
  <c r="BP404" i="1"/>
  <c r="BN404" i="1"/>
  <c r="Z404" i="1"/>
  <c r="BP438" i="1"/>
  <c r="BN438" i="1"/>
  <c r="Z438" i="1"/>
  <c r="BP500" i="1"/>
  <c r="BN500" i="1"/>
  <c r="Z500" i="1"/>
  <c r="BP502" i="1"/>
  <c r="BN502" i="1"/>
  <c r="Z502" i="1"/>
  <c r="BP512" i="1"/>
  <c r="BN512" i="1"/>
  <c r="Z512" i="1"/>
  <c r="BP516" i="1"/>
  <c r="BN516" i="1"/>
  <c r="Z516" i="1"/>
  <c r="J9" i="1"/>
  <c r="BP100" i="1"/>
  <c r="BN100" i="1"/>
  <c r="Z100" i="1"/>
  <c r="BP115" i="1"/>
  <c r="BN115" i="1"/>
  <c r="Z115" i="1"/>
  <c r="BP123" i="1"/>
  <c r="BN123" i="1"/>
  <c r="Z123" i="1"/>
  <c r="BP132" i="1"/>
  <c r="BN132" i="1"/>
  <c r="Z132" i="1"/>
  <c r="BP158" i="1"/>
  <c r="BN158" i="1"/>
  <c r="Z158" i="1"/>
  <c r="BP175" i="1"/>
  <c r="BN175" i="1"/>
  <c r="Z175" i="1"/>
  <c r="BP192" i="1"/>
  <c r="BN192" i="1"/>
  <c r="Z192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42" i="1"/>
  <c r="BN242" i="1"/>
  <c r="Z242" i="1"/>
  <c r="BP271" i="1"/>
  <c r="BN271" i="1"/>
  <c r="Z271" i="1"/>
  <c r="F9" i="1"/>
  <c r="F10" i="1"/>
  <c r="Z22" i="1"/>
  <c r="BN22" i="1"/>
  <c r="X596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2" i="1"/>
  <c r="Y102" i="1"/>
  <c r="BP93" i="1"/>
  <c r="BP109" i="1"/>
  <c r="BN109" i="1"/>
  <c r="Z109" i="1"/>
  <c r="Y128" i="1"/>
  <c r="BP120" i="1"/>
  <c r="BN120" i="1"/>
  <c r="Z120" i="1"/>
  <c r="BP124" i="1"/>
  <c r="BN124" i="1"/>
  <c r="Z124" i="1"/>
  <c r="BP143" i="1"/>
  <c r="BN143" i="1"/>
  <c r="Z143" i="1"/>
  <c r="Y166" i="1"/>
  <c r="Y165" i="1"/>
  <c r="BP164" i="1"/>
  <c r="BN164" i="1"/>
  <c r="Z164" i="1"/>
  <c r="Z165" i="1" s="1"/>
  <c r="BP182" i="1"/>
  <c r="BN182" i="1"/>
  <c r="Z182" i="1"/>
  <c r="BP204" i="1"/>
  <c r="BN204" i="1"/>
  <c r="Z204" i="1"/>
  <c r="BP214" i="1"/>
  <c r="BN214" i="1"/>
  <c r="Z214" i="1"/>
  <c r="BP224" i="1"/>
  <c r="BN224" i="1"/>
  <c r="Z224" i="1"/>
  <c r="BP237" i="1"/>
  <c r="BN237" i="1"/>
  <c r="Z237" i="1"/>
  <c r="BP257" i="1"/>
  <c r="BN257" i="1"/>
  <c r="Z257" i="1"/>
  <c r="BP280" i="1"/>
  <c r="BN280" i="1"/>
  <c r="Z280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AB602" i="1"/>
  <c r="Y471" i="1"/>
  <c r="BP470" i="1"/>
  <c r="BN470" i="1"/>
  <c r="Z470" i="1"/>
  <c r="Z471" i="1" s="1"/>
  <c r="BN474" i="1"/>
  <c r="Z474" i="1"/>
  <c r="Z475" i="1" s="1"/>
  <c r="BP481" i="1"/>
  <c r="BN481" i="1"/>
  <c r="Z481" i="1"/>
  <c r="BP486" i="1"/>
  <c r="BN486" i="1"/>
  <c r="Z486" i="1"/>
  <c r="BP522" i="1"/>
  <c r="BN522" i="1"/>
  <c r="Z522" i="1"/>
  <c r="F602" i="1"/>
  <c r="Y117" i="1"/>
  <c r="Y149" i="1"/>
  <c r="T602" i="1"/>
  <c r="Y315" i="1"/>
  <c r="BP314" i="1"/>
  <c r="BN314" i="1"/>
  <c r="Z314" i="1"/>
  <c r="Z315" i="1" s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BP435" i="1"/>
  <c r="BN435" i="1"/>
  <c r="Z435" i="1"/>
  <c r="AA602" i="1"/>
  <c r="Y466" i="1"/>
  <c r="BP464" i="1"/>
  <c r="BN464" i="1"/>
  <c r="Z464" i="1"/>
  <c r="Z466" i="1" s="1"/>
  <c r="BP485" i="1"/>
  <c r="BN485" i="1"/>
  <c r="Z485" i="1"/>
  <c r="BP495" i="1"/>
  <c r="BN495" i="1"/>
  <c r="Z495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50" i="1"/>
  <c r="BN350" i="1"/>
  <c r="Z350" i="1"/>
  <c r="BP358" i="1"/>
  <c r="BN358" i="1"/>
  <c r="Z358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2" i="1"/>
  <c r="H9" i="1"/>
  <c r="B602" i="1"/>
  <c r="X594" i="1"/>
  <c r="X595" i="1" s="1"/>
  <c r="Z23" i="1"/>
  <c r="BN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Z37" i="1"/>
  <c r="BN37" i="1"/>
  <c r="BP37" i="1"/>
  <c r="Z39" i="1"/>
  <c r="BN39" i="1"/>
  <c r="Y42" i="1"/>
  <c r="D602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Y171" i="1"/>
  <c r="BP170" i="1"/>
  <c r="BN17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0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2" i="1"/>
  <c r="Y442" i="1"/>
  <c r="BP430" i="1"/>
  <c r="BN430" i="1"/>
  <c r="Z430" i="1"/>
  <c r="Y443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L602" i="1"/>
  <c r="Y261" i="1"/>
  <c r="Y316" i="1"/>
  <c r="U602" i="1"/>
  <c r="Y325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77" i="1" l="1"/>
  <c r="Z28" i="1"/>
  <c r="Z460" i="1"/>
  <c r="Z221" i="1"/>
  <c r="Z128" i="1"/>
  <c r="Z116" i="1"/>
  <c r="Z110" i="1"/>
  <c r="Z90" i="1"/>
  <c r="Z62" i="1"/>
  <c r="Z41" i="1"/>
  <c r="Z390" i="1"/>
  <c r="Z282" i="1"/>
  <c r="Z243" i="1"/>
  <c r="Z226" i="1"/>
  <c r="Z503" i="1"/>
  <c r="Z102" i="1"/>
  <c r="Z325" i="1"/>
  <c r="Y594" i="1"/>
  <c r="Y593" i="1"/>
  <c r="Z421" i="1"/>
  <c r="Z340" i="1"/>
  <c r="Z261" i="1"/>
  <c r="Z193" i="1"/>
  <c r="Z68" i="1"/>
  <c r="Z55" i="1"/>
  <c r="Y595" i="1"/>
  <c r="Z548" i="1"/>
  <c r="Z518" i="1"/>
  <c r="Z238" i="1"/>
  <c r="Z566" i="1"/>
  <c r="Z524" i="1"/>
  <c r="Z529" i="1"/>
  <c r="Z496" i="1"/>
  <c r="Z385" i="1"/>
  <c r="Z359" i="1"/>
  <c r="Z353" i="1"/>
  <c r="Z442" i="1"/>
  <c r="Z332" i="1"/>
  <c r="Z161" i="1"/>
  <c r="Z83" i="1"/>
  <c r="Y596" i="1"/>
  <c r="Z408" i="1"/>
  <c r="Z370" i="1"/>
  <c r="Z209" i="1"/>
  <c r="Z183" i="1"/>
  <c r="Y592" i="1"/>
  <c r="Z597" i="1" l="1"/>
</calcChain>
</file>

<file path=xl/sharedStrings.xml><?xml version="1.0" encoding="utf-8"?>
<sst xmlns="http://schemas.openxmlformats.org/spreadsheetml/2006/main" count="2726" uniqueCount="978">
  <si>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</si>
  <si>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</si>
  <si>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</si>
  <si>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</si>
  <si>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</si>
  <si>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</si>
  <si>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</si>
  <si>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</si>
  <si>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</si>
  <si>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</si>
  <si>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</si>
  <si>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</si>
  <si>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</si>
  <si>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</si>
  <si>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</si>
  <si>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</si>
  <si>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</si>
  <si>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</si>
  <si>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</si>
  <si>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</si>
  <si>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</si>
  <si>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</si>
  <si>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</si>
  <si>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</si>
  <si>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</si>
  <si>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</si>
  <si>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</si>
  <si>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</si>
  <si>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</si>
  <si>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</si>
  <si>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</si>
  <si>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</si>
  <si>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</si>
  <si>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</si>
  <si>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</si>
  <si>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</si>
  <si>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</si>
  <si>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</si>
  <si>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</si>
  <si>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</si>
  <si>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</si>
  <si>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</si>
  <si>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</si>
  <si>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</si>
  <si>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</si>
  <si>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</si>
  <si>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</si>
  <si>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</si>
  <si>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</si>
  <si>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</si>
  <si>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</si>
  <si>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</si>
  <si>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</si>
  <si>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</si>
  <si>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</si>
  <si>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</si>
  <si>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</si>
  <si>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</si>
  <si>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</si>
  <si>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</si>
  <si>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</si>
  <si>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</si>
  <si>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</si>
  <si>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</si>
  <si>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</si>
  <si>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</si>
  <si>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</si>
  <si>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</si>
  <si>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</si>
  <si>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</si>
  <si>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</si>
  <si>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</si>
  <si>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</si>
  <si>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</si>
  <si>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</si>
  <si>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</si>
  <si>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</si>
  <si>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</si>
  <si>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</si>
  <si>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</si>
  <si>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</si>
  <si>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</si>
  <si>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</si>
  <si>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</si>
  <si>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</si>
  <si>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</si>
  <si>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</si>
  <si>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</si>
  <si>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</si>
  <si>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</si>
  <si>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</si>
  <si>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</si>
  <si>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</si>
  <si>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</si>
  <si>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</si>
  <si>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</si>
  <si>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</si>
  <si>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</si>
  <si>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</si>
  <si>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</si>
  <si>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</si>
  <si>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</si>
  <si>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</si>
  <si>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</si>
  <si>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</si>
  <si>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</si>
  <si>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</si>
  <si>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</si>
  <si>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</si>
  <si>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</si>
  <si>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</si>
  <si>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</si>
  <si>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</si>
  <si>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</si>
  <si>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</si>
  <si>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</si>
  <si>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</si>
  <si>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</si>
  <si>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</si>
  <si>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</si>
  <si>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</si>
  <si>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</si>
  <si>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</si>
  <si>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</si>
  <si>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</si>
  <si>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</si>
  <si>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</si>
  <si>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</si>
  <si>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</si>
  <si>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</si>
  <si>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</si>
  <si>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</si>
  <si>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</si>
  <si>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</si>
  <si>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</si>
  <si>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</si>
  <si>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</si>
  <si>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</si>
  <si>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</si>
  <si>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</si>
  <si>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</si>
  <si>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</si>
  <si>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</si>
  <si>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</si>
  <si>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</si>
  <si>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</si>
  <si>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</si>
  <si>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</si>
  <si>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</si>
  <si>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</si>
  <si>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</si>
  <si>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</si>
  <si>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</si>
  <si>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</si>
  <si>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</si>
  <si>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</si>
  <si>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</si>
  <si>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</si>
  <si>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</si>
  <si>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</si>
  <si>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</si>
  <si>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</si>
  <si>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</si>
  <si>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</si>
  <si>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</si>
  <si>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</si>
  <si>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</si>
  <si>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</si>
  <si>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</si>
  <si>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</si>
  <si>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</si>
  <si>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</si>
  <si>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</si>
  <si>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</si>
  <si>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</si>
  <si>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</si>
  <si>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</si>
  <si>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</si>
  <si>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</si>
  <si>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</si>
  <si>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</si>
  <si>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</si>
  <si>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</si>
  <si>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</si>
  <si>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</si>
  <si>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</si>
  <si>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</si>
  <si>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</si>
  <si>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</si>
  <si>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</si>
  <si>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</si>
  <si>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</si>
  <si>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</si>
  <si>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</si>
  <si>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</si>
  <si>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</si>
  <si>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</si>
  <si>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</si>
  <si>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</si>
  <si>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</si>
  <si>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</si>
  <si>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</si>
  <si>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</si>
  <si>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</si>
  <si>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</si>
  <si>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</si>
  <si>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</si>
  <si>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</si>
  <si>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</si>
  <si>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</si>
  <si>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</si>
  <si>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</si>
  <si>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</si>
  <si>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</si>
  <si>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</si>
  <si>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</si>
  <si>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</si>
  <si>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</si>
  <si>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</si>
  <si>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</si>
  <si>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</si>
  <si>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</si>
  <si>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</si>
  <si>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</si>
  <si>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</si>
  <si>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</si>
  <si>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</si>
  <si>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</si>
  <si>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</si>
  <si>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</si>
  <si>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</si>
  <si>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</si>
  <si>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</si>
  <si>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</si>
  <si>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</si>
  <si>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</si>
  <si>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</si>
  <si>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</si>
  <si>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</si>
  <si>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</si>
  <si>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</si>
  <si>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</si>
  <si>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</si>
  <si>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</si>
  <si>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</si>
  <si>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</si>
  <si>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</si>
  <si>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</si>
  <si>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</si>
  <si>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</si>
  <si>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</si>
  <si>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</si>
  <si>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</si>
  <si>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</si>
  <si>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</si>
  <si>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</si>
  <si>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</si>
  <si>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</si>
  <si>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</si>
  <si>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</si>
  <si>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</si>
  <si>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</si>
  <si>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</si>
  <si>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</si>
  <si>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</si>
  <si>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</si>
  <si>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</si>
  <si>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</si>
  <si>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</si>
  <si>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</si>
  <si>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</si>
  <si>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</si>
  <si>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</si>
  <si>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</si>
  <si>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</si>
  <si>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</si>
  <si>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</si>
  <si>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</si>
  <si>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</si>
  <si>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</si>
  <si>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</si>
  <si>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</si>
  <si>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</si>
  <si>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</si>
  <si>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</si>
  <si>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</si>
  <si>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</si>
  <si>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</si>
  <si>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</si>
  <si>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</si>
  <si>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</si>
  <si>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</si>
  <si>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</si>
  <si>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</si>
  <si>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</si>
  <si>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</si>
  <si>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</si>
  <si>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</si>
  <si>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</si>
  <si>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</si>
  <si>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</si>
  <si>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</si>
  <si>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</si>
  <si>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</si>
  <si>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</si>
  <si>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</si>
  <si>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</si>
  <si>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</si>
  <si>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</si>
  <si>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</si>
  <si>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</si>
  <si>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</si>
  <si>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</si>
  <si>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</si>
  <si>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</si>
  <si>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</si>
  <si>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</si>
  <si>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</si>
  <si>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</si>
  <si>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</si>
  <si>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</si>
  <si>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</si>
  <si>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</si>
  <si>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</si>
  <si>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</si>
  <si>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</si>
  <si>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</si>
  <si>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</si>
  <si>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</si>
  <si>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</si>
  <si>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</si>
  <si>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</si>
  <si>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</si>
  <si>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</si>
  <si>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</si>
  <si>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</si>
  <si>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</si>
  <si>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</si>
  <si>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</si>
  <si>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</si>
  <si>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</si>
  <si>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</si>
  <si>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</si>
  <si>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</si>
  <si>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</si>
  <si>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</si>
  <si>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</si>
  <si>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</si>
  <si>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</si>
  <si>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</si>
  <si>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</si>
  <si>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</si>
  <si>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</si>
  <si>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</si>
  <si>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</si>
  <si>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</si>
  <si>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</si>
  <si>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</si>
  <si>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</si>
  <si>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</si>
  <si>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</si>
  <si>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</si>
  <si>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</si>
  <si>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</si>
  <si>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</si>
  <si>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</si>
  <si>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</si>
  <si>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</si>
  <si>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</si>
  <si>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</si>
  <si>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</si>
  <si>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</si>
  <si>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</si>
  <si>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</si>
  <si>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</si>
  <si>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</si>
  <si>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</si>
  <si>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</si>
  <si>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</si>
  <si>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</si>
  <si>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</si>
  <si>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</si>
  <si>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</si>
  <si>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</si>
  <si>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</si>
  <si>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</si>
  <si>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</si>
  <si>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</si>
  <si>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</si>
  <si>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</si>
  <si>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</si>
  <si>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</si>
  <si>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</si>
  <si>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</si>
  <si>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</si>
  <si>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</si>
  <si>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</si>
  <si>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</si>
  <si>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</si>
  <si>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</si>
  <si>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</si>
  <si>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</si>
  <si>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</si>
  <si>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</si>
  <si>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</si>
  <si>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</si>
  <si>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</si>
  <si>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</si>
  <si>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</si>
  <si>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</si>
  <si>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</si>
  <si>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</si>
  <si>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</si>
  <si>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</si>
  <si>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</si>
  <si>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</si>
  <si>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</si>
  <si>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</si>
  <si>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</si>
  <si>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</si>
  <si>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</si>
  <si>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</si>
  <si>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</si>
  <si>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</si>
  <si>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</si>
  <si>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</si>
  <si>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</si>
  <si>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</si>
  <si>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</si>
  <si>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</si>
  <si>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</si>
  <si>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</si>
  <si>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</si>
  <si>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</si>
  <si>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</si>
  <si>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</si>
  <si>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</si>
  <si>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</si>
  <si>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</si>
  <si>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</si>
  <si>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</si>
  <si>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</si>
  <si>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</si>
  <si>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</si>
  <si>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</si>
  <si>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</si>
  <si>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</si>
  <si>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</si>
  <si>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</si>
  <si>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</si>
  <si>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</si>
  <si>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</si>
  <si>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</si>
  <si>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</si>
  <si>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</si>
  <si>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</si>
  <si>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</si>
  <si>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</si>
  <si>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</si>
  <si>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</si>
  <si>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</si>
  <si>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</si>
  <si>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</si>
  <si>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</si>
  <si>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</si>
  <si>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</si>
  <si>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</si>
  <si>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</si>
  <si>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</si>
  <si>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</si>
  <si>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</si>
  <si>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</si>
  <si>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</si>
  <si>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</si>
  <si>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</si>
  <si>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</si>
  <si>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</si>
  <si>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</si>
  <si>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</si>
  <si>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</si>
  <si>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</si>
  <si>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</si>
  <si>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</si>
  <si>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</si>
  <si>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</si>
  <si>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</si>
  <si>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</si>
  <si>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</si>
  <si>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</si>
  <si>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</si>
  <si>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</si>
  <si>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</si>
  <si>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</si>
  <si>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</si>
  <si>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</si>
  <si>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</si>
  <si>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</si>
  <si>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</si>
  <si>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</si>
  <si>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</si>
  <si>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</si>
  <si>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</si>
  <si>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</si>
  <si>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</si>
  <si>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</si>
  <si>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</si>
  <si>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</si>
  <si>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</si>
  <si>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</si>
  <si>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</si>
  <si>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</si>
  <si>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</si>
  <si>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</si>
  <si>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</si>
  <si>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</si>
  <si>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</si>
  <si>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</si>
  <si>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</si>
  <si>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</si>
  <si>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</si>
  <si>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</si>
  <si>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</si>
  <si>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</si>
  <si>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</si>
  <si>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</si>
  <si>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</si>
  <si>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</si>
  <si>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</si>
  <si>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</si>
  <si>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</si>
  <si>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</si>
  <si>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</si>
  <si>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</si>
  <si>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</si>
  <si>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</si>
  <si>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</si>
  <si>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</si>
  <si>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</si>
  <si>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</si>
  <si>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</si>
  <si>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</si>
  <si>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</si>
  <si>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</si>
  <si>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</si>
  <si>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</si>
  <si>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</si>
  <si>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</si>
  <si>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</si>
  <si>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</si>
  <si>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</si>
  <si>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</si>
  <si>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</si>
  <si>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</si>
  <si>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</si>
  <si>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</si>
  <si>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</si>
  <si>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</si>
  <si>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</si>
  <si>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</si>
  <si>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</si>
  <si>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</si>
  <si>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</si>
  <si>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</si>
  <si>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</si>
  <si>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</si>
  <si>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</si>
  <si>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</si>
  <si>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</si>
  <si>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</si>
  <si>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</si>
  <si>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</si>
  <si>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</si>
  <si>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</si>
  <si>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</si>
  <si>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</si>
  <si>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</si>
  <si>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</si>
  <si>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</si>
  <si>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</si>
  <si>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</si>
  <si>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</si>
  <si>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</si>
  <si>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</si>
  <si>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</si>
  <si>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</si>
  <si>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</si>
  <si>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</si>
  <si>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</si>
  <si>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</si>
  <si>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</si>
  <si>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</si>
  <si>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</si>
  <si>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</si>
  <si>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</si>
  <si>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</si>
  <si>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</si>
  <si>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</si>
  <si>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</si>
  <si>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</si>
  <si>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</si>
  <si>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</si>
  <si>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</si>
  <si>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</si>
  <si>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</si>
  <si>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</si>
  <si>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</si>
  <si>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</si>
  <si>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</si>
  <si>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</si>
  <si>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</si>
  <si>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</si>
  <si>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</si>
  <si>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</si>
  <si>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</si>
  <si>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</si>
  <si>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</si>
  <si>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</si>
  <si>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</si>
  <si>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</si>
  <si>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</si>
  <si>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</si>
  <si>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</si>
  <si>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</si>
  <si>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</si>
  <si>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</si>
  <si>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</si>
  <si>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</si>
  <si>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</si>
  <si>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</si>
  <si>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</si>
  <si>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</si>
  <si>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</si>
  <si>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</si>
  <si>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</si>
  <si>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</si>
  <si>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</si>
  <si>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</si>
  <si>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</si>
  <si>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</si>
  <si>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</si>
  <si>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</si>
  <si>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</si>
  <si>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</si>
  <si>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</si>
  <si>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</si>
  <si>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</si>
  <si>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</si>
  <si>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</si>
  <si>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</si>
  <si>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</si>
  <si>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</si>
  <si>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</si>
  <si>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</si>
  <si>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</si>
  <si>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</si>
  <si>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</si>
  <si>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</si>
  <si>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</si>
  <si>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</si>
  <si>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</si>
  <si>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</si>
  <si>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</si>
  <si>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</si>
  <si>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</si>
  <si>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</si>
  <si>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</si>
  <si>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</si>
  <si>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</si>
  <si>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</si>
  <si>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</si>
  <si>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</si>
  <si>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</si>
  <si>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</si>
  <si>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</si>
  <si>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</si>
  <si>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</si>
  <si>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</si>
  <si>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</si>
  <si>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</si>
  <si>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</si>
  <si>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</si>
  <si>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</si>
  <si>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</si>
  <si>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</si>
  <si>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</si>
  <si>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</si>
  <si>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</si>
  <si>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</si>
  <si>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</si>
  <si>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</si>
  <si>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</si>
  <si>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</si>
  <si>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</si>
  <si>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</si>
  <si>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</si>
  <si>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</si>
  <si>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</si>
  <si>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</si>
  <si>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</si>
  <si>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</si>
  <si>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</si>
  <si>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</si>
  <si>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</si>
  <si>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</si>
  <si>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</si>
  <si>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</si>
  <si>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</si>
  <si>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</si>
  <si>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</si>
  <si>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</si>
  <si>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</si>
  <si>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</si>
  <si>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</si>
  <si>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</si>
  <si>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</si>
  <si>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</si>
  <si>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</si>
  <si>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</si>
  <si>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</si>
  <si>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</si>
  <si>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</si>
  <si>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</si>
  <si>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</si>
  <si>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</si>
  <si>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</si>
  <si>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</si>
  <si>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</si>
  <si>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</si>
  <si>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</si>
  <si>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</si>
  <si>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</si>
  <si>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</si>
  <si>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</si>
  <si>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</si>
  <si>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</si>
  <si>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</si>
  <si>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</si>
  <si>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</si>
  <si>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</si>
  <si>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</si>
  <si>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</si>
  <si>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</si>
  <si>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</si>
  <si>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</si>
  <si>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</si>
  <si>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</si>
  <si>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</si>
  <si>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</si>
  <si>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</si>
  <si>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</si>
  <si>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</si>
  <si>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</si>
  <si>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</si>
  <si>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</si>
  <si>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</si>
  <si>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</si>
  <si>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</si>
  <si>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</si>
  <si>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</si>
  <si>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</si>
  <si>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</si>
  <si>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</si>
  <si>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</si>
  <si>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</si>
  <si>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</si>
  <si>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</si>
  <si>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</si>
  <si>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</si>
  <si>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</si>
  <si>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</si>
  <si>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</si>
  <si>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</si>
  <si>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</si>
  <si>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</si>
  <si>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</si>
  <si>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</si>
  <si>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</si>
  <si>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</si>
  <si>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</si>
  <si>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</si>
  <si>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</si>
  <si>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</si>
  <si>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</si>
  <si>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</si>
  <si>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</si>
  <si>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</si>
  <si>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</si>
  <si>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</si>
  <si>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</si>
  <si>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</si>
  <si>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</si>
  <si>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</si>
  <si>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</si>
  <si>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</si>
  <si>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</si>
  <si>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</si>
  <si>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</si>
  <si>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</si>
  <si>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</si>
  <si>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</si>
  <si>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</si>
  <si>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</si>
  <si>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</si>
  <si>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</si>
  <si>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</si>
  <si>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</si>
  <si>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</si>
  <si>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</si>
  <si>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</si>
  <si>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</si>
  <si>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</si>
  <si>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</si>
  <si>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</si>
  <si>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</si>
  <si>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</si>
  <si>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</si>
  <si>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</si>
  <si>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</si>
  <si>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</si>
  <si>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</si>
  <si>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</si>
  <si>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</si>
  <si>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</si>
  <si>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</si>
  <si>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</si>
  <si>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</si>
  <si>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</si>
  <si>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</si>
  <si>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</si>
  <si>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</si>
  <si>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</si>
  <si>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</si>
  <si>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</si>
  <si>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</si>
  <si>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</si>
  <si>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</si>
  <si>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</si>
  <si>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</si>
  <si>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</si>
  <si>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</si>
  <si>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</si>
  <si>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</si>
  <si>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</si>
  <si>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</si>
  <si>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</si>
  <si>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</si>
  <si>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</si>
  <si>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</si>
  <si>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</si>
  <si>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</si>
  <si>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</si>
  <si>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</si>
  <si>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</si>
  <si>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</si>
  <si>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</si>
  <si>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</si>
  <si>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</si>
  <si>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</si>
  <si>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</si>
  <si>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</si>
  <si>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</si>
  <si>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</si>
  <si>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</si>
  <si>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</si>
  <si>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</si>
  <si>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</si>
  <si>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</si>
  <si>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</si>
  <si>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</si>
  <si>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</si>
  <si>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</si>
  <si>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</si>
  <si>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</si>
  <si>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</si>
  <si>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</si>
  <si>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</si>
  <si>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</si>
  <si>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</si>
  <si>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</si>
  <si>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</si>
  <si>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</si>
  <si>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</si>
  <si>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</si>
  <si>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</si>
  <si>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</si>
  <si>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</si>
  <si>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</si>
  <si>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</si>
  <si>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</si>
  <si>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</si>
  <si>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</si>
  <si>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</si>
  <si>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</si>
  <si>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</si>
  <si>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</si>
  <si>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</si>
  <si>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</si>
  <si>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</si>
  <si>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</si>
  <si>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</si>
  <si>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</si>
  <si>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</si>
  <si>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</si>
  <si>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</si>
  <si>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</si>
  <si>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</si>
  <si>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</si>
  <si>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</si>
  <si>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</si>
  <si>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</si>
  <si>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</si>
  <si>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</si>
  <si>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</si>
  <si>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</si>
  <si>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</si>
  <si>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</si>
  <si>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</si>
  <si>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</si>
  <si>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</si>
  <si>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</si>
  <si>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</si>
  <si>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</si>
  <si>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</si>
  <si>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</si>
  <si>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</si>
  <si>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</si>
  <si>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</si>
  <si>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</si>
  <si>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</si>
  <si>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</si>
  <si>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</si>
  <si>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</si>
  <si>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</si>
  <si>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</si>
  <si>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</si>
  <si>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</si>
  <si>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</si>
  <si>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</si>
  <si>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</si>
  <si>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</si>
  <si>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</si>
  <si>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</si>
  <si>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</si>
  <si>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</si>
  <si>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</si>
  <si>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</si>
  <si>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</si>
  <si>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</si>
  <si>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</si>
  <si>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</si>
  <si>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</si>
  <si>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</si>
  <si>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</si>
  <si>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</si>
  <si>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</si>
  <si>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</si>
  <si>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</si>
  <si>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</si>
  <si>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</si>
  <si>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</si>
  <si>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</si>
  <si>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</si>
  <si>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</si>
  <si>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</si>
  <si>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</si>
  <si>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</si>
  <si>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</si>
  <si>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</si>
  <si>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</si>
  <si>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</si>
  <si>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</si>
  <si>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</si>
  <si>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</si>
  <si>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</si>
  <si>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</si>
  <si>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</si>
  <si>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</si>
  <si>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Бердянск,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</si>
</sst>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1" sqref="AA31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977</v>
      </c>
      <c r="I5" s="947"/>
      <c r="J5" s="947"/>
      <c r="K5" s="947"/>
      <c r="L5" s="947"/>
      <c r="M5" s="756"/>
      <c r="N5" s="58"/>
      <c r="P5" s="24" t="s">
        <v>10</v>
      </c>
      <c r="Q5" s="1023">
        <v>45768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4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/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19</v>
      </c>
      <c r="Q8" s="818">
        <v>0.54166666666666663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60"/>
      <c r="R10" s="861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5"/>
      <c r="R11" s="806"/>
      <c r="U11" s="24" t="s">
        <v>26</v>
      </c>
      <c r="V11" s="968" t="s">
        <v>27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29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31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34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35</v>
      </c>
      <c r="B17" s="692" t="s">
        <v>36</v>
      </c>
      <c r="C17" s="831" t="s">
        <v>37</v>
      </c>
      <c r="D17" s="692" t="s">
        <v>38</v>
      </c>
      <c r="E17" s="782"/>
      <c r="F17" s="692" t="s">
        <v>39</v>
      </c>
      <c r="G17" s="692" t="s">
        <v>40</v>
      </c>
      <c r="H17" s="692" t="s">
        <v>41</v>
      </c>
      <c r="I17" s="692" t="s">
        <v>42</v>
      </c>
      <c r="J17" s="692" t="s">
        <v>43</v>
      </c>
      <c r="K17" s="692" t="s">
        <v>44</v>
      </c>
      <c r="L17" s="692" t="s">
        <v>45</v>
      </c>
      <c r="M17" s="692" t="s">
        <v>46</v>
      </c>
      <c r="N17" s="692" t="s">
        <v>47</v>
      </c>
      <c r="O17" s="692" t="s">
        <v>48</v>
      </c>
      <c r="P17" s="692" t="s">
        <v>49</v>
      </c>
      <c r="Q17" s="781"/>
      <c r="R17" s="781"/>
      <c r="S17" s="781"/>
      <c r="T17" s="782"/>
      <c r="U17" s="1040" t="s">
        <v>50</v>
      </c>
      <c r="V17" s="809"/>
      <c r="W17" s="692" t="s">
        <v>51</v>
      </c>
      <c r="X17" s="692" t="s">
        <v>52</v>
      </c>
      <c r="Y17" s="1041" t="s">
        <v>53</v>
      </c>
      <c r="Z17" s="944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4"/>
      <c r="AF17" s="1005"/>
      <c r="AG17" s="66"/>
      <c r="BD17" s="65" t="s">
        <v>59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2</v>
      </c>
      <c r="Y31" s="666">
        <f>IFERROR(IF(X31="",0,CEILING((X31/$H31),1)*$H31),"")</f>
        <v>2.4</v>
      </c>
      <c r="Z31" s="36">
        <f>IFERROR(IF(Y31=0,"",ROUNDUP(Y31/H31,0)*0.00651),"")</f>
        <v>2.6040000000000001E-2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2.7399999999999998</v>
      </c>
      <c r="BN31" s="64">
        <f>IFERROR(Y31*I31/H31,"0")</f>
        <v>3.2879999999999998</v>
      </c>
      <c r="BO31" s="64">
        <f>IFERROR(1/J31*(X31/H31),"0")</f>
        <v>1.8315018315018316E-2</v>
      </c>
      <c r="BP31" s="64">
        <f>IFERROR(1/J31*(Y31/H31),"0")</f>
        <v>2.197802197802198E-2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3.3333333333333335</v>
      </c>
      <c r="Y32" s="667">
        <f>IFERROR(Y31/H31,"0")</f>
        <v>4</v>
      </c>
      <c r="Z32" s="667">
        <f>IFERROR(IF(Z31="",0,Z31),"0")</f>
        <v>2.6040000000000001E-2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2</v>
      </c>
      <c r="Y33" s="667">
        <f>IFERROR(SUM(Y31:Y31),"0")</f>
        <v>2.4</v>
      </c>
      <c r="Z33" s="37"/>
      <c r="AA33" s="668"/>
      <c r="AB33" s="668"/>
      <c r="AC33" s="668"/>
    </row>
    <row r="34" spans="1:68" ht="27.75" hidden="1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13</v>
      </c>
      <c r="Y37" s="666">
        <f>IFERROR(IF(X37="",0,CEILING((X37/$H37),1)*$H37),"")</f>
        <v>21.6</v>
      </c>
      <c r="Z37" s="36">
        <f>IFERROR(IF(Y37=0,"",ROUNDUP(Y37/H37,0)*0.01898),"")</f>
        <v>3.7960000000000001E-2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13.52361111111111</v>
      </c>
      <c r="BN37" s="64">
        <f>IFERROR(Y37*I37/H37,"0")</f>
        <v>22.47</v>
      </c>
      <c r="BO37" s="64">
        <f>IFERROR(1/J37*(X37/H37),"0")</f>
        <v>1.8807870370370371E-2</v>
      </c>
      <c r="BP37" s="64">
        <f>IFERROR(1/J37*(Y37/H37),"0")</f>
        <v>3.125E-2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1.2037037037037037</v>
      </c>
      <c r="Y41" s="667">
        <f>IFERROR(Y37/H37,"0")+IFERROR(Y38/H38,"0")+IFERROR(Y39/H39,"0")+IFERROR(Y40/H40,"0")</f>
        <v>2</v>
      </c>
      <c r="Z41" s="667">
        <f>IFERROR(IF(Z37="",0,Z37),"0")+IFERROR(IF(Z38="",0,Z38),"0")+IFERROR(IF(Z39="",0,Z39),"0")+IFERROR(IF(Z40="",0,Z40),"0")</f>
        <v>3.7960000000000001E-2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13</v>
      </c>
      <c r="Y42" s="667">
        <f>IFERROR(SUM(Y37:Y40),"0")</f>
        <v>21.6</v>
      </c>
      <c r="Z42" s="37"/>
      <c r="AA42" s="668"/>
      <c r="AB42" s="668"/>
      <c r="AC42" s="668"/>
    </row>
    <row r="43" spans="1:68" ht="14.25" hidden="1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21</v>
      </c>
      <c r="Y49" s="666">
        <f t="shared" ref="Y49:Y54" si="6">IFERROR(IF(X49="",0,CEILING((X49/$H49),1)*$H49),"")</f>
        <v>22.4</v>
      </c>
      <c r="Z49" s="36">
        <f>IFERROR(IF(Y49=0,"",ROUNDUP(Y49/H49,0)*0.01898),"")</f>
        <v>3.7960000000000001E-2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21.815625000000001</v>
      </c>
      <c r="BN49" s="64">
        <f t="shared" ref="BN49:BN54" si="8">IFERROR(Y49*I49/H49,"0")</f>
        <v>23.27</v>
      </c>
      <c r="BO49" s="64">
        <f t="shared" ref="BO49:BO54" si="9">IFERROR(1/J49*(X49/H49),"0")</f>
        <v>2.9296875000000003E-2</v>
      </c>
      <c r="BP49" s="64">
        <f t="shared" ref="BP49:BP54" si="10">IFERROR(1/J49*(Y49/H49),"0")</f>
        <v>3.125E-2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10</v>
      </c>
      <c r="Y52" s="666">
        <f t="shared" si="6"/>
        <v>12</v>
      </c>
      <c r="Z52" s="36">
        <f>IFERROR(IF(Y52=0,"",ROUNDUP(Y52/H52,0)*0.00902),"")</f>
        <v>2.7060000000000001E-2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10.525</v>
      </c>
      <c r="BN52" s="64">
        <f t="shared" si="8"/>
        <v>12.629999999999999</v>
      </c>
      <c r="BO52" s="64">
        <f t="shared" si="9"/>
        <v>1.893939393939394E-2</v>
      </c>
      <c r="BP52" s="64">
        <f t="shared" si="10"/>
        <v>2.2727272727272728E-2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4.375</v>
      </c>
      <c r="Y55" s="667">
        <f>IFERROR(Y49/H49,"0")+IFERROR(Y50/H50,"0")+IFERROR(Y51/H51,"0")+IFERROR(Y52/H52,"0")+IFERROR(Y53/H53,"0")+IFERROR(Y54/H54,"0")</f>
        <v>5</v>
      </c>
      <c r="Z55" s="667">
        <f>IFERROR(IF(Z49="",0,Z49),"0")+IFERROR(IF(Z50="",0,Z50),"0")+IFERROR(IF(Z51="",0,Z51),"0")+IFERROR(IF(Z52="",0,Z52),"0")+IFERROR(IF(Z53="",0,Z53),"0")+IFERROR(IF(Z54="",0,Z54),"0")</f>
        <v>6.5019999999999994E-2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31</v>
      </c>
      <c r="Y56" s="667">
        <f>IFERROR(SUM(Y49:Y54),"0")</f>
        <v>34.4</v>
      </c>
      <c r="Z56" s="37"/>
      <c r="AA56" s="668"/>
      <c r="AB56" s="668"/>
      <c r="AC56" s="668"/>
    </row>
    <row r="57" spans="1:68" ht="14.25" hidden="1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10</v>
      </c>
      <c r="Y58" s="666">
        <f>IFERROR(IF(X58="",0,CEILING((X58/$H58),1)*$H58),"")</f>
        <v>10.8</v>
      </c>
      <c r="Z58" s="36">
        <f>IFERROR(IF(Y58=0,"",ROUNDUP(Y58/H58,0)*0.01898),"")</f>
        <v>1.898E-2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10.402777777777777</v>
      </c>
      <c r="BN58" s="64">
        <f>IFERROR(Y58*I58/H58,"0")</f>
        <v>11.234999999999999</v>
      </c>
      <c r="BO58" s="64">
        <f>IFERROR(1/J58*(X58/H58),"0")</f>
        <v>1.4467592592592591E-2</v>
      </c>
      <c r="BP58" s="64">
        <f>IFERROR(1/J58*(Y58/H58),"0")</f>
        <v>1.5625E-2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0.92592592592592582</v>
      </c>
      <c r="Y62" s="667">
        <f>IFERROR(Y58/H58,"0")+IFERROR(Y59/H59,"0")+IFERROR(Y60/H60,"0")+IFERROR(Y61/H61,"0")</f>
        <v>1</v>
      </c>
      <c r="Z62" s="667">
        <f>IFERROR(IF(Z58="",0,Z58),"0")+IFERROR(IF(Z59="",0,Z59),"0")+IFERROR(IF(Z60="",0,Z60),"0")+IFERROR(IF(Z61="",0,Z61),"0")</f>
        <v>1.898E-2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10</v>
      </c>
      <c r="Y63" s="667">
        <f>IFERROR(SUM(Y58:Y61),"0")</f>
        <v>10.8</v>
      </c>
      <c r="Z63" s="37"/>
      <c r="AA63" s="668"/>
      <c r="AB63" s="668"/>
      <c r="AC63" s="668"/>
    </row>
    <row r="64" spans="1:68" ht="14.25" hidden="1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8</v>
      </c>
      <c r="Y66" s="666">
        <f>IFERROR(IF(X66="",0,CEILING((X66/$H66),1)*$H66),"")</f>
        <v>9</v>
      </c>
      <c r="Z66" s="36">
        <f>IFERROR(IF(Y66=0,"",ROUNDUP(Y66/H66,0)*0.00502),"")</f>
        <v>2.5100000000000001E-2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8.4444444444444446</v>
      </c>
      <c r="BN66" s="64">
        <f>IFERROR(Y66*I66/H66,"0")</f>
        <v>9.4999999999999982</v>
      </c>
      <c r="BO66" s="64">
        <f>IFERROR(1/J66*(X66/H66),"0")</f>
        <v>1.8993352326685663E-2</v>
      </c>
      <c r="BP66" s="64">
        <f>IFERROR(1/J66*(Y66/H66),"0")</f>
        <v>2.1367521367521368E-2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5</v>
      </c>
      <c r="Y67" s="666">
        <f>IFERROR(IF(X67="",0,CEILING((X67/$H67),1)*$H67),"")</f>
        <v>5.4</v>
      </c>
      <c r="Z67" s="36">
        <f>IFERROR(IF(Y67=0,"",ROUNDUP(Y67/H67,0)*0.00502),"")</f>
        <v>1.506E-2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5.2777777777777777</v>
      </c>
      <c r="BN67" s="64">
        <f>IFERROR(Y67*I67/H67,"0")</f>
        <v>5.7</v>
      </c>
      <c r="BO67" s="64">
        <f>IFERROR(1/J67*(X67/H67),"0")</f>
        <v>1.1870845204178538E-2</v>
      </c>
      <c r="BP67" s="64">
        <f>IFERROR(1/J67*(Y67/H67),"0")</f>
        <v>1.2820512820512822E-2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7.2222222222222223</v>
      </c>
      <c r="Y68" s="667">
        <f>IFERROR(Y65/H65,"0")+IFERROR(Y66/H66,"0")+IFERROR(Y67/H67,"0")</f>
        <v>8</v>
      </c>
      <c r="Z68" s="667">
        <f>IFERROR(IF(Z65="",0,Z65),"0")+IFERROR(IF(Z66="",0,Z66),"0")+IFERROR(IF(Z67="",0,Z67),"0")</f>
        <v>4.0160000000000001E-2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13</v>
      </c>
      <c r="Y69" s="667">
        <f>IFERROR(SUM(Y65:Y67),"0")</f>
        <v>14.4</v>
      </c>
      <c r="Z69" s="37"/>
      <c r="AA69" s="668"/>
      <c r="AB69" s="668"/>
      <c r="AC69" s="668"/>
    </row>
    <row r="70" spans="1:68" ht="14.25" hidden="1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2</v>
      </c>
      <c r="Y89" s="666">
        <f>IFERROR(IF(X89="",0,CEILING((X89/$H89),1)*$H89),"")</f>
        <v>4.5</v>
      </c>
      <c r="Z89" s="36">
        <f>IFERROR(IF(Y89=0,"",ROUNDUP(Y89/H89,0)*0.00902),"")</f>
        <v>9.0200000000000002E-3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2.0933333333333333</v>
      </c>
      <c r="BN89" s="64">
        <f>IFERROR(Y89*I89/H89,"0")</f>
        <v>4.71</v>
      </c>
      <c r="BO89" s="64">
        <f>IFERROR(1/J89*(X89/H89),"0")</f>
        <v>3.3670033670033669E-3</v>
      </c>
      <c r="BP89" s="64">
        <f>IFERROR(1/J89*(Y89/H89),"0")</f>
        <v>7.575757575757576E-3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0.44444444444444442</v>
      </c>
      <c r="Y90" s="667">
        <f>IFERROR(Y87/H87,"0")+IFERROR(Y88/H88,"0")+IFERROR(Y89/H89,"0")</f>
        <v>1</v>
      </c>
      <c r="Z90" s="667">
        <f>IFERROR(IF(Z87="",0,Z87),"0")+IFERROR(IF(Z88="",0,Z88),"0")+IFERROR(IF(Z89="",0,Z89),"0")</f>
        <v>9.0200000000000002E-3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2</v>
      </c>
      <c r="Y91" s="667">
        <f>IFERROR(SUM(Y87:Y89),"0")</f>
        <v>4.5</v>
      </c>
      <c r="Z91" s="37"/>
      <c r="AA91" s="668"/>
      <c r="AB91" s="668"/>
      <c r="AC91" s="668"/>
    </row>
    <row r="92" spans="1:68" ht="14.25" hidden="1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7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7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4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8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hidden="1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hidden="1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14</v>
      </c>
      <c r="Y108" s="666">
        <f>IFERROR(IF(X108="",0,CEILING((X108/$H108),1)*$H108),"")</f>
        <v>18</v>
      </c>
      <c r="Z108" s="36">
        <f>IFERROR(IF(Y108=0,"",ROUNDUP(Y108/H108,0)*0.00902),"")</f>
        <v>3.6080000000000001E-2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14.653333333333332</v>
      </c>
      <c r="BN108" s="64">
        <f>IFERROR(Y108*I108/H108,"0")</f>
        <v>18.84</v>
      </c>
      <c r="BO108" s="64">
        <f>IFERROR(1/J108*(X108/H108),"0")</f>
        <v>2.3569023569023569E-2</v>
      </c>
      <c r="BP108" s="64">
        <f>IFERROR(1/J108*(Y108/H108),"0")</f>
        <v>3.0303030303030304E-2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3.1111111111111112</v>
      </c>
      <c r="Y110" s="667">
        <f>IFERROR(Y106/H106,"0")+IFERROR(Y107/H107,"0")+IFERROR(Y108/H108,"0")+IFERROR(Y109/H109,"0")</f>
        <v>4</v>
      </c>
      <c r="Z110" s="667">
        <f>IFERROR(IF(Z106="",0,Z106),"0")+IFERROR(IF(Z107="",0,Z107),"0")+IFERROR(IF(Z108="",0,Z108),"0")+IFERROR(IF(Z109="",0,Z109),"0")</f>
        <v>3.6080000000000001E-2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14</v>
      </c>
      <c r="Y111" s="667">
        <f>IFERROR(SUM(Y106:Y109),"0")</f>
        <v>18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9</v>
      </c>
      <c r="Y113" s="666">
        <f>IFERROR(IF(X113="",0,CEILING((X113/$H113),1)*$H113),"")</f>
        <v>10.8</v>
      </c>
      <c r="Z113" s="36">
        <f>IFERROR(IF(Y113=0,"",ROUNDUP(Y113/H113,0)*0.01898),"")</f>
        <v>1.898E-2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9.3624999999999989</v>
      </c>
      <c r="BN113" s="64">
        <f>IFERROR(Y113*I113/H113,"0")</f>
        <v>11.234999999999999</v>
      </c>
      <c r="BO113" s="64">
        <f>IFERROR(1/J113*(X113/H113),"0")</f>
        <v>1.3020833333333332E-2</v>
      </c>
      <c r="BP113" s="64">
        <f>IFERROR(1/J113*(Y113/H113),"0")</f>
        <v>1.5625E-2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0.83333333333333326</v>
      </c>
      <c r="Y116" s="667">
        <f>IFERROR(Y113/H113,"0")+IFERROR(Y114/H114,"0")+IFERROR(Y115/H115,"0")</f>
        <v>1</v>
      </c>
      <c r="Z116" s="667">
        <f>IFERROR(IF(Z113="",0,Z113),"0")+IFERROR(IF(Z114="",0,Z114),"0")+IFERROR(IF(Z115="",0,Z115),"0")</f>
        <v>1.898E-2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9</v>
      </c>
      <c r="Y117" s="667">
        <f>IFERROR(SUM(Y113:Y115),"0")</f>
        <v>10.8</v>
      </c>
      <c r="Z117" s="37"/>
      <c r="AA117" s="668"/>
      <c r="AB117" s="668"/>
      <c r="AC117" s="668"/>
    </row>
    <row r="118" spans="1:68" ht="14.25" hidden="1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20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23</v>
      </c>
      <c r="Y120" s="666">
        <f t="shared" si="21"/>
        <v>25.200000000000003</v>
      </c>
      <c r="Z120" s="36">
        <f>IFERROR(IF(Y120=0,"",ROUNDUP(Y120/H120,0)*0.01898),"")</f>
        <v>5.6940000000000004E-2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24.404642857142857</v>
      </c>
      <c r="BN120" s="64">
        <f t="shared" si="23"/>
        <v>26.739000000000001</v>
      </c>
      <c r="BO120" s="64">
        <f t="shared" si="24"/>
        <v>4.2782738095238096E-2</v>
      </c>
      <c r="BP120" s="64">
        <f t="shared" si="25"/>
        <v>4.6875E-2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97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799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7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21</v>
      </c>
      <c r="Y125" s="666">
        <f t="shared" si="21"/>
        <v>21.6</v>
      </c>
      <c r="Z125" s="36">
        <f t="shared" si="26"/>
        <v>5.2080000000000001E-2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22.959999999999997</v>
      </c>
      <c r="BN125" s="64">
        <f t="shared" si="23"/>
        <v>23.616</v>
      </c>
      <c r="BO125" s="64">
        <f t="shared" si="24"/>
        <v>4.2735042735042736E-2</v>
      </c>
      <c r="BP125" s="64">
        <f t="shared" si="25"/>
        <v>4.3956043956043959E-2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10.515873015873016</v>
      </c>
      <c r="Y128" s="667">
        <f>IFERROR(Y119/H119,"0")+IFERROR(Y120/H120,"0")+IFERROR(Y121/H121,"0")+IFERROR(Y122/H122,"0")+IFERROR(Y123/H123,"0")+IFERROR(Y124/H124,"0")+IFERROR(Y125/H125,"0")+IFERROR(Y126/H126,"0")+IFERROR(Y127/H127,"0")</f>
        <v>11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0.10902000000000001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44</v>
      </c>
      <c r="Y129" s="667">
        <f>IFERROR(SUM(Y119:Y127),"0")</f>
        <v>46.800000000000004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22</v>
      </c>
      <c r="Y170" s="666">
        <f>IFERROR(IF(X170="",0,CEILING((X170/$H170),1)*$H170),"")</f>
        <v>23.759999999999998</v>
      </c>
      <c r="Z170" s="36">
        <f>IFERROR(IF(Y170=0,"",ROUNDUP(Y170/H170,0)*0.00502),"")</f>
        <v>6.0240000000000002E-2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23.111111111111114</v>
      </c>
      <c r="BN170" s="64">
        <f>IFERROR(Y170*I170/H170,"0")</f>
        <v>24.96</v>
      </c>
      <c r="BO170" s="64">
        <f>IFERROR(1/J170*(X170/H170),"0")</f>
        <v>4.7483380816714153E-2</v>
      </c>
      <c r="BP170" s="64">
        <f>IFERROR(1/J170*(Y170/H170),"0")</f>
        <v>5.128205128205128E-2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11.111111111111111</v>
      </c>
      <c r="Y171" s="667">
        <f>IFERROR(Y170/H170,"0")</f>
        <v>11.999999999999998</v>
      </c>
      <c r="Z171" s="667">
        <f>IFERROR(IF(Z170="",0,Z170),"0")</f>
        <v>6.0240000000000002E-2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22</v>
      </c>
      <c r="Y172" s="667">
        <f>IFERROR(SUM(Y170:Y170),"0")</f>
        <v>23.759999999999998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27</v>
      </c>
      <c r="Y174" s="666">
        <f t="shared" ref="Y174:Y182" si="27">IFERROR(IF(X174="",0,CEILING((X174/$H174),1)*$H174),"")</f>
        <v>29.400000000000002</v>
      </c>
      <c r="Z174" s="36">
        <f>IFERROR(IF(Y174=0,"",ROUNDUP(Y174/H174,0)*0.00902),"")</f>
        <v>6.3140000000000002E-2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28.735714285714284</v>
      </c>
      <c r="BN174" s="64">
        <f t="shared" ref="BN174:BN182" si="29">IFERROR(Y174*I174/H174,"0")</f>
        <v>31.29</v>
      </c>
      <c r="BO174" s="64">
        <f t="shared" ref="BO174:BO182" si="30">IFERROR(1/J174*(X174/H174),"0")</f>
        <v>4.8701298701298697E-2</v>
      </c>
      <c r="BP174" s="64">
        <f t="shared" ref="BP174:BP182" si="31">IFERROR(1/J174*(Y174/H174),"0")</f>
        <v>5.3030303030303032E-2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16</v>
      </c>
      <c r="Y176" s="666">
        <f t="shared" si="27"/>
        <v>16.8</v>
      </c>
      <c r="Z176" s="36">
        <f>IFERROR(IF(Y176=0,"",ROUNDUP(Y176/H176,0)*0.00902),"")</f>
        <v>3.6080000000000001E-2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16.8</v>
      </c>
      <c r="BN176" s="64">
        <f t="shared" si="29"/>
        <v>17.64</v>
      </c>
      <c r="BO176" s="64">
        <f t="shared" si="30"/>
        <v>2.886002886002886E-2</v>
      </c>
      <c r="BP176" s="64">
        <f t="shared" si="31"/>
        <v>3.0303030303030304E-2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28</v>
      </c>
      <c r="Y179" s="666">
        <f t="shared" si="27"/>
        <v>28.8</v>
      </c>
      <c r="Z179" s="36">
        <f>IFERROR(IF(Y179=0,"",ROUNDUP(Y179/H179,0)*0.00502),"")</f>
        <v>8.0320000000000003E-2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30.022222222222222</v>
      </c>
      <c r="BN179" s="64">
        <f t="shared" si="29"/>
        <v>30.879999999999995</v>
      </c>
      <c r="BO179" s="64">
        <f t="shared" si="30"/>
        <v>6.6476733143399816E-2</v>
      </c>
      <c r="BP179" s="64">
        <f t="shared" si="31"/>
        <v>6.8376068376068383E-2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15</v>
      </c>
      <c r="Y180" s="666">
        <f t="shared" si="27"/>
        <v>16.8</v>
      </c>
      <c r="Z180" s="36">
        <f>IFERROR(IF(Y180=0,"",ROUNDUP(Y180/H180,0)*0.00502),"")</f>
        <v>4.0160000000000001E-2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15.714285714285714</v>
      </c>
      <c r="BN180" s="64">
        <f t="shared" si="29"/>
        <v>17.600000000000001</v>
      </c>
      <c r="BO180" s="64">
        <f t="shared" si="30"/>
        <v>3.0525030525030528E-2</v>
      </c>
      <c r="BP180" s="64">
        <f t="shared" si="31"/>
        <v>3.4188034188034191E-2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32.936507936507937</v>
      </c>
      <c r="Y183" s="667">
        <f>IFERROR(Y174/H174,"0")+IFERROR(Y175/H175,"0")+IFERROR(Y176/H176,"0")+IFERROR(Y177/H177,"0")+IFERROR(Y178/H178,"0")+IFERROR(Y179/H179,"0")+IFERROR(Y180/H180,"0")+IFERROR(Y181/H181,"0")+IFERROR(Y182/H182,"0")</f>
        <v>35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0.21970000000000001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86</v>
      </c>
      <c r="Y184" s="667">
        <f>IFERROR(SUM(Y174:Y182),"0")</f>
        <v>91.8</v>
      </c>
      <c r="Z184" s="37"/>
      <c r="AA184" s="668"/>
      <c r="AB184" s="668"/>
      <c r="AC184" s="668"/>
    </row>
    <row r="185" spans="1:68" ht="14.25" hidden="1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2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70</v>
      </c>
      <c r="Y201" s="666">
        <f t="shared" ref="Y201:Y208" si="32">IFERROR(IF(X201="",0,CEILING((X201/$H201),1)*$H201),"")</f>
        <v>70.2</v>
      </c>
      <c r="Z201" s="36">
        <f>IFERROR(IF(Y201=0,"",ROUNDUP(Y201/H201,0)*0.00902),"")</f>
        <v>0.11726</v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72.722222222222229</v>
      </c>
      <c r="BN201" s="64">
        <f t="shared" ref="BN201:BN208" si="34">IFERROR(Y201*I201/H201,"0")</f>
        <v>72.930000000000007</v>
      </c>
      <c r="BO201" s="64">
        <f t="shared" ref="BO201:BO208" si="35">IFERROR(1/J201*(X201/H201),"0")</f>
        <v>9.8204264870931535E-2</v>
      </c>
      <c r="BP201" s="64">
        <f t="shared" ref="BP201:BP208" si="36">IFERROR(1/J201*(Y201/H201),"0")</f>
        <v>9.8484848484848481E-2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53</v>
      </c>
      <c r="Y202" s="666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55.061111111111117</v>
      </c>
      <c r="BN202" s="64">
        <f t="shared" si="34"/>
        <v>56.099999999999994</v>
      </c>
      <c r="BO202" s="64">
        <f t="shared" si="35"/>
        <v>7.435465768799103E-2</v>
      </c>
      <c r="BP202" s="64">
        <f t="shared" si="36"/>
        <v>7.575757575757576E-2</v>
      </c>
    </row>
    <row r="203" spans="1:68" ht="27" hidden="1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93</v>
      </c>
      <c r="Y204" s="666">
        <f t="shared" si="32"/>
        <v>97.2</v>
      </c>
      <c r="Z204" s="36">
        <f>IFERROR(IF(Y204=0,"",ROUNDUP(Y204/H204,0)*0.00902),"")</f>
        <v>0.16236</v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96.61666666666666</v>
      </c>
      <c r="BN204" s="64">
        <f t="shared" si="34"/>
        <v>100.98</v>
      </c>
      <c r="BO204" s="64">
        <f t="shared" si="35"/>
        <v>0.13047138047138046</v>
      </c>
      <c r="BP204" s="64">
        <f t="shared" si="36"/>
        <v>0.13636363636363635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19</v>
      </c>
      <c r="Y206" s="666">
        <f t="shared" si="32"/>
        <v>19.8</v>
      </c>
      <c r="Z206" s="36">
        <f>IFERROR(IF(Y206=0,"",ROUNDUP(Y206/H206,0)*0.00502),"")</f>
        <v>5.5220000000000005E-2</v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20.055555555555557</v>
      </c>
      <c r="BN206" s="64">
        <f t="shared" si="34"/>
        <v>20.9</v>
      </c>
      <c r="BO206" s="64">
        <f t="shared" si="35"/>
        <v>4.5109211775878448E-2</v>
      </c>
      <c r="BP206" s="64">
        <f t="shared" si="36"/>
        <v>4.7008547008547015E-2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7</v>
      </c>
      <c r="Y208" s="666">
        <f t="shared" si="32"/>
        <v>7.2</v>
      </c>
      <c r="Z208" s="36">
        <f>IFERROR(IF(Y208=0,"",ROUNDUP(Y208/H208,0)*0.00502),"")</f>
        <v>2.0080000000000001E-2</v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7.3888888888888884</v>
      </c>
      <c r="BN208" s="64">
        <f t="shared" si="34"/>
        <v>7.6</v>
      </c>
      <c r="BO208" s="64">
        <f t="shared" si="35"/>
        <v>1.6619183285849954E-2</v>
      </c>
      <c r="BP208" s="64">
        <f t="shared" si="36"/>
        <v>1.7094017094017096E-2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54.444444444444443</v>
      </c>
      <c r="Y209" s="667">
        <f>IFERROR(Y201/H201,"0")+IFERROR(Y202/H202,"0")+IFERROR(Y203/H203,"0")+IFERROR(Y204/H204,"0")+IFERROR(Y205/H205,"0")+IFERROR(Y206/H206,"0")+IFERROR(Y207/H207,"0")+IFERROR(Y208/H208,"0")</f>
        <v>56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0.44512000000000002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242</v>
      </c>
      <c r="Y210" s="667">
        <f>IFERROR(SUM(Y201:Y208),"0")</f>
        <v>248.4</v>
      </c>
      <c r="Z210" s="37"/>
      <c r="AA210" s="668"/>
      <c r="AB210" s="668"/>
      <c r="AC210" s="668"/>
    </row>
    <row r="211" spans="1:68" ht="14.25" hidden="1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15</v>
      </c>
      <c r="Y214" s="666">
        <f t="shared" si="37"/>
        <v>17.399999999999999</v>
      </c>
      <c r="Z214" s="36">
        <f>IFERROR(IF(Y214=0,"",ROUNDUP(Y214/H214,0)*0.01898),"")</f>
        <v>3.7960000000000001E-2</v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15.894827586206898</v>
      </c>
      <c r="BN214" s="64">
        <f t="shared" si="39"/>
        <v>18.437999999999999</v>
      </c>
      <c r="BO214" s="64">
        <f t="shared" si="40"/>
        <v>2.6939655172413795E-2</v>
      </c>
      <c r="BP214" s="64">
        <f t="shared" si="41"/>
        <v>3.125E-2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35</v>
      </c>
      <c r="Y215" s="666">
        <f t="shared" si="37"/>
        <v>36</v>
      </c>
      <c r="Z215" s="36">
        <f t="shared" ref="Z215:Z220" si="42">IFERROR(IF(Y215=0,"",ROUNDUP(Y215/H215,0)*0.00651),"")</f>
        <v>9.7650000000000001E-2</v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38.9375</v>
      </c>
      <c r="BN215" s="64">
        <f t="shared" si="39"/>
        <v>40.050000000000004</v>
      </c>
      <c r="BO215" s="64">
        <f t="shared" si="40"/>
        <v>8.0128205128205135E-2</v>
      </c>
      <c r="BP215" s="64">
        <f t="shared" si="41"/>
        <v>8.241758241758243E-2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63</v>
      </c>
      <c r="Y217" s="666">
        <f t="shared" si="37"/>
        <v>64.8</v>
      </c>
      <c r="Z217" s="36">
        <f t="shared" si="42"/>
        <v>0.17577000000000001</v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69.615000000000009</v>
      </c>
      <c r="BN217" s="64">
        <f t="shared" si="39"/>
        <v>71.604000000000013</v>
      </c>
      <c r="BO217" s="64">
        <f t="shared" si="40"/>
        <v>0.14423076923076925</v>
      </c>
      <c r="BP217" s="64">
        <f t="shared" si="41"/>
        <v>0.14835164835164835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63</v>
      </c>
      <c r="Y218" s="666">
        <f t="shared" si="37"/>
        <v>64.8</v>
      </c>
      <c r="Z218" s="36">
        <f t="shared" si="42"/>
        <v>0.17577000000000001</v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69.615000000000009</v>
      </c>
      <c r="BN218" s="64">
        <f t="shared" si="39"/>
        <v>71.604000000000013</v>
      </c>
      <c r="BO218" s="64">
        <f t="shared" si="40"/>
        <v>0.14423076923076925</v>
      </c>
      <c r="BP218" s="64">
        <f t="shared" si="41"/>
        <v>0.14835164835164835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91</v>
      </c>
      <c r="Y220" s="666">
        <f t="shared" si="37"/>
        <v>91.2</v>
      </c>
      <c r="Z220" s="36">
        <f t="shared" si="42"/>
        <v>0.24738000000000002</v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100.7825</v>
      </c>
      <c r="BN220" s="64">
        <f t="shared" si="39"/>
        <v>101.004</v>
      </c>
      <c r="BO220" s="64">
        <f t="shared" si="40"/>
        <v>0.20833333333333337</v>
      </c>
      <c r="BP220" s="64">
        <f t="shared" si="41"/>
        <v>0.2087912087912088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106.72413793103449</v>
      </c>
      <c r="Y221" s="667">
        <f>IFERROR(Y212/H212,"0")+IFERROR(Y213/H213,"0")+IFERROR(Y214/H214,"0")+IFERROR(Y215/H215,"0")+IFERROR(Y216/H216,"0")+IFERROR(Y217/H217,"0")+IFERROR(Y218/H218,"0")+IFERROR(Y219/H219,"0")+IFERROR(Y220/H220,"0")</f>
        <v>109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0.73453000000000002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267</v>
      </c>
      <c r="Y222" s="667">
        <f>IFERROR(SUM(Y212:Y220),"0")</f>
        <v>274.2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25</v>
      </c>
      <c r="Y225" s="666">
        <f>IFERROR(IF(X225="",0,CEILING((X225/$H225),1)*$H225),"")</f>
        <v>26.4</v>
      </c>
      <c r="Z225" s="36">
        <f>IFERROR(IF(Y225=0,"",ROUNDUP(Y225/H225,0)*0.00651),"")</f>
        <v>7.1610000000000007E-2</v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27.625</v>
      </c>
      <c r="BN225" s="64">
        <f>IFERROR(Y225*I225/H225,"0")</f>
        <v>29.172000000000001</v>
      </c>
      <c r="BO225" s="64">
        <f>IFERROR(1/J225*(X225/H225),"0")</f>
        <v>5.7234432234432246E-2</v>
      </c>
      <c r="BP225" s="64">
        <f>IFERROR(1/J225*(Y225/H225),"0")</f>
        <v>6.0439560439560447E-2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10.416666666666668</v>
      </c>
      <c r="Y226" s="667">
        <f>IFERROR(Y224/H224,"0")+IFERROR(Y225/H225,"0")</f>
        <v>11</v>
      </c>
      <c r="Z226" s="667">
        <f>IFERROR(IF(Z224="",0,Z224),"0")+IFERROR(IF(Z225="",0,Z225),"0")</f>
        <v>7.1610000000000007E-2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25</v>
      </c>
      <c r="Y227" s="667">
        <f>IFERROR(SUM(Y224:Y225),"0")</f>
        <v>26.4</v>
      </c>
      <c r="Z227" s="37"/>
      <c r="AA227" s="668"/>
      <c r="AB227" s="668"/>
      <c r="AC227" s="668"/>
    </row>
    <row r="228" spans="1:68" ht="16.5" hidden="1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2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21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6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3</v>
      </c>
      <c r="Y280" s="666">
        <f>IFERROR(IF(X280="",0,CEILING((X280/$H280),1)*$H280),"")</f>
        <v>4.8</v>
      </c>
      <c r="Z280" s="36">
        <f>IFERROR(IF(Y280=0,"",ROUNDUP(Y280/H280,0)*0.00651),"")</f>
        <v>1.302E-2</v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3.2250000000000001</v>
      </c>
      <c r="BN280" s="64">
        <f>IFERROR(Y280*I280/H280,"0")</f>
        <v>5.16</v>
      </c>
      <c r="BO280" s="64">
        <f>IFERROR(1/J280*(X280/H280),"0")</f>
        <v>6.8681318681318689E-3</v>
      </c>
      <c r="BP280" s="64">
        <f>IFERROR(1/J280*(Y280/H280),"0")</f>
        <v>1.098901098901099E-2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1.25</v>
      </c>
      <c r="Y282" s="667">
        <f>IFERROR(Y277/H277,"0")+IFERROR(Y278/H278,"0")+IFERROR(Y279/H279,"0")+IFERROR(Y280/H280,"0")+IFERROR(Y281/H281,"0")</f>
        <v>2</v>
      </c>
      <c r="Z282" s="667">
        <f>IFERROR(IF(Z277="",0,Z277),"0")+IFERROR(IF(Z278="",0,Z278),"0")+IFERROR(IF(Z279="",0,Z279),"0")+IFERROR(IF(Z280="",0,Z280),"0")+IFERROR(IF(Z281="",0,Z281),"0")</f>
        <v>1.302E-2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3</v>
      </c>
      <c r="Y283" s="667">
        <f>IFERROR(SUM(Y277:Y281),"0")</f>
        <v>4.8</v>
      </c>
      <c r="Z283" s="37"/>
      <c r="AA283" s="668"/>
      <c r="AB283" s="668"/>
      <c r="AC283" s="668"/>
    </row>
    <row r="284" spans="1:68" ht="16.5" hidden="1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4</v>
      </c>
      <c r="Y319" s="666">
        <f t="shared" ref="Y319:Y324" si="53">IFERROR(IF(X319="",0,CEILING((X319/$H319),1)*$H319),"")</f>
        <v>10.8</v>
      </c>
      <c r="Z319" s="36">
        <f>IFERROR(IF(Y319=0,"",ROUNDUP(Y319/H319,0)*0.01898),"")</f>
        <v>1.898E-2</v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4.1611111111111105</v>
      </c>
      <c r="BN319" s="64">
        <f t="shared" ref="BN319:BN324" si="55">IFERROR(Y319*I319/H319,"0")</f>
        <v>11.234999999999999</v>
      </c>
      <c r="BO319" s="64">
        <f t="shared" ref="BO319:BO324" si="56">IFERROR(1/J319*(X319/H319),"0")</f>
        <v>5.7870370370370367E-3</v>
      </c>
      <c r="BP319" s="64">
        <f t="shared" ref="BP319:BP324" si="57">IFERROR(1/J319*(Y319/H319),"0")</f>
        <v>1.5625E-2</v>
      </c>
    </row>
    <row r="320" spans="1:68" ht="27" hidden="1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0.37037037037037035</v>
      </c>
      <c r="Y325" s="667">
        <f>IFERROR(Y319/H319,"0")+IFERROR(Y320/H320,"0")+IFERROR(Y321/H321,"0")+IFERROR(Y322/H322,"0")+IFERROR(Y323/H323,"0")+IFERROR(Y324/H324,"0")</f>
        <v>1</v>
      </c>
      <c r="Z325" s="667">
        <f>IFERROR(IF(Z319="",0,Z319),"0")+IFERROR(IF(Z320="",0,Z320),"0")+IFERROR(IF(Z321="",0,Z321),"0")+IFERROR(IF(Z322="",0,Z322),"0")+IFERROR(IF(Z323="",0,Z323),"0")+IFERROR(IF(Z324="",0,Z324),"0")</f>
        <v>1.898E-2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4</v>
      </c>
      <c r="Y326" s="667">
        <f>IFERROR(SUM(Y319:Y324),"0")</f>
        <v>10.8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9</v>
      </c>
      <c r="Y345" s="666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9.5560714285714283</v>
      </c>
      <c r="BN345" s="64">
        <f>IFERROR(Y345*I345/H345,"0")</f>
        <v>17.838000000000001</v>
      </c>
      <c r="BO345" s="64">
        <f>IFERROR(1/J345*(X345/H345),"0")</f>
        <v>1.6741071428571428E-2</v>
      </c>
      <c r="BP345" s="64">
        <f>IFERROR(1/J345*(Y345/H345),"0")</f>
        <v>3.125E-2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1.0714285714285714</v>
      </c>
      <c r="Y346" s="667">
        <f>IFERROR(Y343/H343,"0")+IFERROR(Y344/H344,"0")+IFERROR(Y345/H345,"0")</f>
        <v>2</v>
      </c>
      <c r="Z346" s="667">
        <f>IFERROR(IF(Z343="",0,Z343),"0")+IFERROR(IF(Z344="",0,Z344),"0")+IFERROR(IF(Z345="",0,Z345),"0")</f>
        <v>3.7960000000000001E-2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9</v>
      </c>
      <c r="Y347" s="667">
        <f>IFERROR(SUM(Y343:Y345),"0")</f>
        <v>16.8</v>
      </c>
      <c r="Z347" s="37"/>
      <c r="AA347" s="668"/>
      <c r="AB347" s="668"/>
      <c r="AC347" s="668"/>
    </row>
    <row r="348" spans="1:68" ht="14.25" hidden="1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7</v>
      </c>
      <c r="Y351" s="666">
        <f>IFERROR(IF(X351="",0,CEILING((X351/$H351),1)*$H351),"")</f>
        <v>7.6499999999999995</v>
      </c>
      <c r="Z351" s="36">
        <f>IFERROR(IF(Y351=0,"",ROUNDUP(Y351/H351,0)*0.00651),"")</f>
        <v>1.9529999999999999E-2</v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8.1117647058823543</v>
      </c>
      <c r="BN351" s="64">
        <f>IFERROR(Y351*I351/H351,"0")</f>
        <v>8.8650000000000002</v>
      </c>
      <c r="BO351" s="64">
        <f>IFERROR(1/J351*(X351/H351),"0")</f>
        <v>1.508295625942685E-2</v>
      </c>
      <c r="BP351" s="64">
        <f>IFERROR(1/J351*(Y351/H351),"0")</f>
        <v>1.6483516483516484E-2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5</v>
      </c>
      <c r="Y352" s="666">
        <f>IFERROR(IF(X352="",0,CEILING((X352/$H352),1)*$H352),"")</f>
        <v>5.0999999999999996</v>
      </c>
      <c r="Z352" s="36">
        <f>IFERROR(IF(Y352=0,"",ROUNDUP(Y352/H352,0)*0.00651),"")</f>
        <v>1.302E-2</v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5.6470588235294112</v>
      </c>
      <c r="BN352" s="64">
        <f>IFERROR(Y352*I352/H352,"0")</f>
        <v>5.76</v>
      </c>
      <c r="BO352" s="64">
        <f>IFERROR(1/J352*(X352/H352),"0")</f>
        <v>1.0773540185304893E-2</v>
      </c>
      <c r="BP352" s="64">
        <f>IFERROR(1/J352*(Y352/H352),"0")</f>
        <v>1.098901098901099E-2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4.7058823529411766</v>
      </c>
      <c r="Y353" s="667">
        <f>IFERROR(Y349/H349,"0")+IFERROR(Y350/H350,"0")+IFERROR(Y351/H351,"0")+IFERROR(Y352/H352,"0")</f>
        <v>5</v>
      </c>
      <c r="Z353" s="667">
        <f>IFERROR(IF(Z349="",0,Z349),"0")+IFERROR(IF(Z350="",0,Z350),"0")+IFERROR(IF(Z351="",0,Z351),"0")+IFERROR(IF(Z352="",0,Z352),"0")</f>
        <v>3.2549999999999996E-2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12</v>
      </c>
      <c r="Y354" s="667">
        <f>IFERROR(SUM(Y349:Y352),"0")</f>
        <v>12.75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8</v>
      </c>
      <c r="Y363" s="666">
        <f>IFERROR(IF(X363="",0,CEILING((X363/$H363),1)*$H363),"")</f>
        <v>9</v>
      </c>
      <c r="Z363" s="36">
        <f>IFERROR(IF(Y363=0,"",ROUNDUP(Y363/H363,0)*0.00651),"")</f>
        <v>3.2550000000000003E-2</v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9.0133333333333336</v>
      </c>
      <c r="BN363" s="64">
        <f>IFERROR(Y363*I363/H363,"0")</f>
        <v>10.139999999999999</v>
      </c>
      <c r="BO363" s="64">
        <f>IFERROR(1/J363*(X363/H363),"0")</f>
        <v>2.4420024420024423E-2</v>
      </c>
      <c r="BP363" s="64">
        <f>IFERROR(1/J363*(Y363/H363),"0")</f>
        <v>2.7472527472527476E-2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4.4444444444444446</v>
      </c>
      <c r="Y364" s="667">
        <f>IFERROR(Y363/H363,"0")</f>
        <v>5</v>
      </c>
      <c r="Z364" s="667">
        <f>IFERROR(IF(Z363="",0,Z363),"0")</f>
        <v>3.2550000000000003E-2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8</v>
      </c>
      <c r="Y365" s="667">
        <f>IFERROR(SUM(Y363:Y363),"0")</f>
        <v>9</v>
      </c>
      <c r="Z365" s="37"/>
      <c r="AA365" s="668"/>
      <c r="AB365" s="668"/>
      <c r="AC365" s="668"/>
    </row>
    <row r="366" spans="1:68" ht="14.25" hidden="1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130</v>
      </c>
      <c r="Y375" s="666">
        <f t="shared" ref="Y375:Y384" si="58">IFERROR(IF(X375="",0,CEILING((X375/$H375),1)*$H375),"")</f>
        <v>135</v>
      </c>
      <c r="Z375" s="36">
        <f>IFERROR(IF(Y375=0,"",ROUNDUP(Y375/H375,0)*0.02175),"")</f>
        <v>0.19574999999999998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134.16</v>
      </c>
      <c r="BN375" s="64">
        <f t="shared" ref="BN375:BN384" si="60">IFERROR(Y375*I375/H375,"0")</f>
        <v>139.32000000000002</v>
      </c>
      <c r="BO375" s="64">
        <f t="shared" ref="BO375:BO384" si="61">IFERROR(1/J375*(X375/H375),"0")</f>
        <v>0.18055555555555552</v>
      </c>
      <c r="BP375" s="64">
        <f t="shared" ref="BP375:BP384" si="62">IFERROR(1/J375*(Y375/H375),"0")</f>
        <v>0.1875</v>
      </c>
    </row>
    <row r="376" spans="1:68" ht="27" hidden="1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113</v>
      </c>
      <c r="Y377" s="666">
        <f t="shared" si="58"/>
        <v>120</v>
      </c>
      <c r="Z377" s="36">
        <f>IFERROR(IF(Y377=0,"",ROUNDUP(Y377/H377,0)*0.02175),"")</f>
        <v>0.17399999999999999</v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116.616</v>
      </c>
      <c r="BN377" s="64">
        <f t="shared" si="60"/>
        <v>123.84</v>
      </c>
      <c r="BO377" s="64">
        <f t="shared" si="61"/>
        <v>0.15694444444444444</v>
      </c>
      <c r="BP377" s="64">
        <f t="shared" si="62"/>
        <v>0.16666666666666666</v>
      </c>
    </row>
    <row r="378" spans="1:68" ht="27" hidden="1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262</v>
      </c>
      <c r="Y379" s="666">
        <f t="shared" si="58"/>
        <v>270</v>
      </c>
      <c r="Z379" s="36">
        <f>IFERROR(IF(Y379=0,"",ROUNDUP(Y379/H379,0)*0.02175),"")</f>
        <v>0.39149999999999996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270.38400000000001</v>
      </c>
      <c r="BN379" s="64">
        <f t="shared" si="60"/>
        <v>278.64000000000004</v>
      </c>
      <c r="BO379" s="64">
        <f t="shared" si="61"/>
        <v>0.36388888888888882</v>
      </c>
      <c r="BP379" s="64">
        <f t="shared" si="62"/>
        <v>0.375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38</v>
      </c>
      <c r="Y380" s="666">
        <f t="shared" si="58"/>
        <v>45</v>
      </c>
      <c r="Z380" s="36">
        <f>IFERROR(IF(Y380=0,"",ROUNDUP(Y380/H380,0)*0.02175),"")</f>
        <v>6.5250000000000002E-2</v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39.216000000000001</v>
      </c>
      <c r="BN380" s="64">
        <f t="shared" si="60"/>
        <v>46.440000000000005</v>
      </c>
      <c r="BO380" s="64">
        <f t="shared" si="61"/>
        <v>5.2777777777777771E-2</v>
      </c>
      <c r="BP380" s="64">
        <f t="shared" si="62"/>
        <v>6.25E-2</v>
      </c>
    </row>
    <row r="381" spans="1:68" ht="27" hidden="1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36.199999999999996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0.82650000000000001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543</v>
      </c>
      <c r="Y386" s="667">
        <f>IFERROR(SUM(Y375:Y384),"0")</f>
        <v>570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216</v>
      </c>
      <c r="Y388" s="666">
        <f>IFERROR(IF(X388="",0,CEILING((X388/$H388),1)*$H388),"")</f>
        <v>225</v>
      </c>
      <c r="Z388" s="36">
        <f>IFERROR(IF(Y388=0,"",ROUNDUP(Y388/H388,0)*0.02175),"")</f>
        <v>0.32624999999999998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222.91200000000001</v>
      </c>
      <c r="BN388" s="64">
        <f>IFERROR(Y388*I388/H388,"0")</f>
        <v>232.2</v>
      </c>
      <c r="BO388" s="64">
        <f>IFERROR(1/J388*(X388/H388),"0")</f>
        <v>0.3</v>
      </c>
      <c r="BP388" s="64">
        <f>IFERROR(1/J388*(Y388/H388),"0")</f>
        <v>0.3125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14.4</v>
      </c>
      <c r="Y390" s="667">
        <f>IFERROR(Y388/H388,"0")+IFERROR(Y389/H389,"0")</f>
        <v>15</v>
      </c>
      <c r="Z390" s="667">
        <f>IFERROR(IF(Z388="",0,Z388),"0")+IFERROR(IF(Z389="",0,Z389),"0")</f>
        <v>0.32624999999999998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216</v>
      </c>
      <c r="Y391" s="667">
        <f>IFERROR(SUM(Y388:Y389),"0")</f>
        <v>225</v>
      </c>
      <c r="Z391" s="37"/>
      <c r="AA391" s="668"/>
      <c r="AB391" s="668"/>
      <c r="AC391" s="668"/>
    </row>
    <row r="392" spans="1:68" ht="14.25" hidden="1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9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256</v>
      </c>
      <c r="Y416" s="666">
        <f>IFERROR(IF(X416="",0,CEILING((X416/$H416),1)*$H416),"")</f>
        <v>261</v>
      </c>
      <c r="Z416" s="36">
        <f>IFERROR(IF(Y416=0,"",ROUNDUP(Y416/H416,0)*0.01898),"")</f>
        <v>0.55042000000000002</v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270.76266666666669</v>
      </c>
      <c r="BN416" s="64">
        <f>IFERROR(Y416*I416/H416,"0")</f>
        <v>276.05099999999999</v>
      </c>
      <c r="BO416" s="64">
        <f>IFERROR(1/J416*(X416/H416),"0")</f>
        <v>0.44444444444444442</v>
      </c>
      <c r="BP416" s="64">
        <f>IFERROR(1/J416*(Y416/H416),"0")</f>
        <v>0.453125</v>
      </c>
    </row>
    <row r="417" spans="1:68" ht="37.5" hidden="1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1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28.444444444444443</v>
      </c>
      <c r="Y421" s="667">
        <f>IFERROR(Y416/H416,"0")+IFERROR(Y417/H417,"0")+IFERROR(Y418/H418,"0")+IFERROR(Y419/H419,"0")+IFERROR(Y420/H420,"0")</f>
        <v>29</v>
      </c>
      <c r="Z421" s="667">
        <f>IFERROR(IF(Z416="",0,Z416),"0")+IFERROR(IF(Z417="",0,Z417),"0")+IFERROR(IF(Z418="",0,Z418),"0")+IFERROR(IF(Z419="",0,Z419),"0")+IFERROR(IF(Z420="",0,Z420),"0")</f>
        <v>0.55042000000000002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256</v>
      </c>
      <c r="Y422" s="667">
        <f>IFERROR(SUM(Y416:Y420),"0")</f>
        <v>261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90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4</v>
      </c>
      <c r="Y430" s="666">
        <f t="shared" ref="Y430:Y441" si="63">IFERROR(IF(X430="",0,CEILING((X430/$H430),1)*$H430),"")</f>
        <v>5.4</v>
      </c>
      <c r="Z430" s="36">
        <f>IFERROR(IF(Y430=0,"",ROUNDUP(Y430/H430,0)*0.00902),"")</f>
        <v>9.0200000000000002E-3</v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4.1555555555555559</v>
      </c>
      <c r="BN430" s="64">
        <f t="shared" ref="BN430:BN441" si="65">IFERROR(Y430*I430/H430,"0")</f>
        <v>5.61</v>
      </c>
      <c r="BO430" s="64">
        <f t="shared" ref="BO430:BO441" si="66">IFERROR(1/J430*(X430/H430),"0")</f>
        <v>5.6116722783389446E-3</v>
      </c>
      <c r="BP430" s="64">
        <f t="shared" ref="BP430:BP441" si="67">IFERROR(1/J430*(Y430/H430),"0")</f>
        <v>7.575757575757576E-3</v>
      </c>
    </row>
    <row r="431" spans="1:68" ht="27" hidden="1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3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3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1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8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7</v>
      </c>
      <c r="Y437" s="666">
        <f t="shared" si="63"/>
        <v>8.4</v>
      </c>
      <c r="Z437" s="36">
        <f t="shared" si="68"/>
        <v>2.0080000000000001E-2</v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7.4333333333333327</v>
      </c>
      <c r="BN437" s="64">
        <f t="shared" si="65"/>
        <v>8.92</v>
      </c>
      <c r="BO437" s="64">
        <f t="shared" si="66"/>
        <v>1.4245014245014245E-2</v>
      </c>
      <c r="BP437" s="64">
        <f t="shared" si="67"/>
        <v>1.7094017094017096E-2</v>
      </c>
    </row>
    <row r="438" spans="1:68" ht="27" hidden="1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8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0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8</v>
      </c>
      <c r="Y440" s="666">
        <f t="shared" si="63"/>
        <v>8.4</v>
      </c>
      <c r="Z440" s="36">
        <f t="shared" si="68"/>
        <v>2.0080000000000001E-2</v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8.4952380952380953</v>
      </c>
      <c r="BN440" s="64">
        <f t="shared" si="65"/>
        <v>8.92</v>
      </c>
      <c r="BO440" s="64">
        <f t="shared" si="66"/>
        <v>1.6280016280016282E-2</v>
      </c>
      <c r="BP440" s="64">
        <f t="shared" si="67"/>
        <v>1.7094017094017096E-2</v>
      </c>
    </row>
    <row r="441" spans="1:68" ht="37.5" hidden="1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7.8835978835978828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9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4.9180000000000001E-2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19</v>
      </c>
      <c r="Y443" s="667">
        <f>IFERROR(SUM(Y430:Y441),"0")</f>
        <v>22.200000000000003</v>
      </c>
      <c r="Z443" s="37"/>
      <c r="AA443" s="668"/>
      <c r="AB443" s="668"/>
      <c r="AC443" s="668"/>
    </row>
    <row r="444" spans="1:68" ht="14.25" hidden="1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55</v>
      </c>
      <c r="Y456" s="666">
        <f>IFERROR(IF(X456="",0,CEILING((X456/$H456),1)*$H456),"")</f>
        <v>59.400000000000006</v>
      </c>
      <c r="Z456" s="36">
        <f>IFERROR(IF(Y456=0,"",ROUNDUP(Y456/H456,0)*0.00902),"")</f>
        <v>9.9220000000000003E-2</v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57.138888888888886</v>
      </c>
      <c r="BN456" s="64">
        <f>IFERROR(Y456*I456/H456,"0")</f>
        <v>61.71</v>
      </c>
      <c r="BO456" s="64">
        <f>IFERROR(1/J456*(X456/H456),"0")</f>
        <v>7.716049382716049E-2</v>
      </c>
      <c r="BP456" s="64">
        <f>IFERROR(1/J456*(Y456/H456),"0")</f>
        <v>8.3333333333333343E-2</v>
      </c>
    </row>
    <row r="457" spans="1:68" ht="27" hidden="1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6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10.185185185185185</v>
      </c>
      <c r="Y460" s="667">
        <f>IFERROR(Y456/H456,"0")+IFERROR(Y457/H457,"0")+IFERROR(Y458/H458,"0")+IFERROR(Y459/H459,"0")</f>
        <v>11</v>
      </c>
      <c r="Z460" s="667">
        <f>IFERROR(IF(Z456="",0,Z456),"0")+IFERROR(IF(Z457="",0,Z457),"0")+IFERROR(IF(Z458="",0,Z458),"0")+IFERROR(IF(Z459="",0,Z459),"0")</f>
        <v>9.9220000000000003E-2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55</v>
      </c>
      <c r="Y461" s="667">
        <f>IFERROR(SUM(Y456:Y459),"0")</f>
        <v>59.400000000000006</v>
      </c>
      <c r="Z461" s="37"/>
      <c r="AA461" s="668"/>
      <c r="AB461" s="668"/>
      <c r="AC461" s="668"/>
    </row>
    <row r="462" spans="1:68" ht="16.5" hidden="1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8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hidden="1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hidden="1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79</v>
      </c>
      <c r="Y484" s="666">
        <f t="shared" si="69"/>
        <v>79.2</v>
      </c>
      <c r="Z484" s="36">
        <f t="shared" si="70"/>
        <v>0.1794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84.386363636363626</v>
      </c>
      <c r="BN484" s="64">
        <f t="shared" si="72"/>
        <v>84.6</v>
      </c>
      <c r="BO484" s="64">
        <f t="shared" si="73"/>
        <v>0.14386655011655011</v>
      </c>
      <c r="BP484" s="64">
        <f t="shared" si="74"/>
        <v>0.14423076923076925</v>
      </c>
    </row>
    <row r="485" spans="1:68" ht="16.5" hidden="1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5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5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8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14.962121212121211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15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0.1794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79</v>
      </c>
      <c r="Y497" s="667">
        <f>IFERROR(SUM(Y480:Y495),"0")</f>
        <v>79.2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14</v>
      </c>
      <c r="Y499" s="666">
        <f>IFERROR(IF(X499="",0,CEILING((X499/$H499),1)*$H499),"")</f>
        <v>15.84</v>
      </c>
      <c r="Z499" s="36">
        <f>IFERROR(IF(Y499=0,"",ROUNDUP(Y499/H499,0)*0.01196),"")</f>
        <v>3.5880000000000002E-2</v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14.954545454545453</v>
      </c>
      <c r="BN499" s="64">
        <f>IFERROR(Y499*I499/H499,"0")</f>
        <v>16.919999999999998</v>
      </c>
      <c r="BO499" s="64">
        <f>IFERROR(1/J499*(X499/H499),"0")</f>
        <v>2.5495337995337996E-2</v>
      </c>
      <c r="BP499" s="64">
        <f>IFERROR(1/J499*(Y499/H499),"0")</f>
        <v>2.8846153846153848E-2</v>
      </c>
    </row>
    <row r="500" spans="1:68" ht="16.5" hidden="1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00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9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2.6515151515151514</v>
      </c>
      <c r="Y503" s="667">
        <f>IFERROR(Y499/H499,"0")+IFERROR(Y500/H500,"0")+IFERROR(Y501/H501,"0")+IFERROR(Y502/H502,"0")</f>
        <v>3</v>
      </c>
      <c r="Z503" s="667">
        <f>IFERROR(IF(Z499="",0,Z499),"0")+IFERROR(IF(Z500="",0,Z500),"0")+IFERROR(IF(Z501="",0,Z501),"0")+IFERROR(IF(Z502="",0,Z502),"0")</f>
        <v>3.5880000000000002E-2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14</v>
      </c>
      <c r="Y504" s="667">
        <f>IFERROR(SUM(Y499:Y502),"0")</f>
        <v>15.84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hidden="1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9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hidden="1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51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hidden="1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7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hidden="1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11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17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42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5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7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idden="1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hidden="1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hidden="1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2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52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45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6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90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52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27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24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6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7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4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4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7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46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11</v>
      </c>
      <c r="Y561" s="666">
        <f>IFERROR(IF(X561="",0,CEILING((X561/$H561),1)*$H561),"")</f>
        <v>18</v>
      </c>
      <c r="Z561" s="36">
        <f>IFERROR(IF(Y561=0,"",ROUNDUP(Y561/H561,0)*0.01898),"")</f>
        <v>3.7960000000000001E-2</v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11.634333333333334</v>
      </c>
      <c r="BN561" s="64">
        <f>IFERROR(Y561*I561/H561,"0")</f>
        <v>19.038</v>
      </c>
      <c r="BO561" s="64">
        <f>IFERROR(1/J561*(X561/H561),"0")</f>
        <v>1.9097222222222224E-2</v>
      </c>
      <c r="BP561" s="64">
        <f>IFERROR(1/J561*(Y561/H561),"0")</f>
        <v>3.125E-2</v>
      </c>
    </row>
    <row r="562" spans="1:68" ht="27" hidden="1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7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9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20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1.2222222222222223</v>
      </c>
      <c r="Y566" s="667">
        <f>IFERROR(Y561/H561,"0")+IFERROR(Y562/H562,"0")+IFERROR(Y563/H563,"0")+IFERROR(Y564/H564,"0")+IFERROR(Y565/H565,"0")</f>
        <v>2</v>
      </c>
      <c r="Z566" s="667">
        <f>IFERROR(IF(Z561="",0,Z561),"0")+IFERROR(IF(Z562="",0,Z562),"0")+IFERROR(IF(Z563="",0,Z563),"0")+IFERROR(IF(Z564="",0,Z564),"0")+IFERROR(IF(Z565="",0,Z565),"0")</f>
        <v>3.7960000000000001E-2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11</v>
      </c>
      <c r="Y567" s="667">
        <f>IFERROR(SUM(Y561:Y565),"0")</f>
        <v>18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53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30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4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71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83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797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6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938</v>
      </c>
      <c r="Q592" s="808"/>
      <c r="R592" s="808"/>
      <c r="S592" s="808"/>
      <c r="T592" s="808"/>
      <c r="U592" s="808"/>
      <c r="V592" s="809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2009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2133.0500000000002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939</v>
      </c>
      <c r="Q593" s="808"/>
      <c r="R593" s="808"/>
      <c r="S593" s="808"/>
      <c r="T593" s="808"/>
      <c r="U593" s="808"/>
      <c r="V593" s="809"/>
      <c r="W593" s="37" t="s">
        <v>68</v>
      </c>
      <c r="X593" s="667">
        <f>IFERROR(SUM(BM22:BM589),"0")</f>
        <v>2116.8639153652584</v>
      </c>
      <c r="Y593" s="667">
        <f>IFERROR(SUM(BN22:BN589),"0")</f>
        <v>2247.192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940</v>
      </c>
      <c r="Q594" s="808"/>
      <c r="R594" s="808"/>
      <c r="S594" s="808"/>
      <c r="T594" s="808"/>
      <c r="U594" s="808"/>
      <c r="V594" s="809"/>
      <c r="W594" s="37" t="s">
        <v>941</v>
      </c>
      <c r="X594" s="38">
        <f>ROUNDUP(SUM(BO22:BO589),0)</f>
        <v>4</v>
      </c>
      <c r="Y594" s="38">
        <f>ROUNDUP(SUM(BP22:BP589),0)</f>
        <v>4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942</v>
      </c>
      <c r="Q595" s="808"/>
      <c r="R595" s="808"/>
      <c r="S595" s="808"/>
      <c r="T595" s="808"/>
      <c r="U595" s="808"/>
      <c r="V595" s="809"/>
      <c r="W595" s="37" t="s">
        <v>68</v>
      </c>
      <c r="X595" s="667">
        <f>GrossWeightTotal+PalletQtyTotal*25</f>
        <v>2216.8639153652584</v>
      </c>
      <c r="Y595" s="667">
        <f>GrossWeightTotalR+PalletQtyTotalR*25</f>
        <v>2347.192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943</v>
      </c>
      <c r="Q596" s="808"/>
      <c r="R596" s="808"/>
      <c r="S596" s="808"/>
      <c r="T596" s="808"/>
      <c r="U596" s="808"/>
      <c r="V596" s="809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375.3890270179823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397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944</v>
      </c>
      <c r="Q597" s="808"/>
      <c r="R597" s="808"/>
      <c r="S597" s="808"/>
      <c r="T597" s="808"/>
      <c r="U597" s="808"/>
      <c r="V597" s="809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4.1323299999999996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700"/>
      <c r="E599" s="700"/>
      <c r="F599" s="700"/>
      <c r="G599" s="700"/>
      <c r="H599" s="701"/>
      <c r="I599" s="675" t="s">
        <v>283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573</v>
      </c>
      <c r="X599" s="701"/>
      <c r="Y599" s="675" t="s">
        <v>651</v>
      </c>
      <c r="Z599" s="700"/>
      <c r="AA599" s="700"/>
      <c r="AB599" s="701"/>
      <c r="AC599" s="662" t="s">
        <v>726</v>
      </c>
      <c r="AD599" s="675" t="s">
        <v>828</v>
      </c>
      <c r="AE599" s="701"/>
      <c r="AF599" s="663"/>
    </row>
    <row r="600" spans="1:32" ht="14.25" customHeight="1" thickTop="1" x14ac:dyDescent="0.2">
      <c r="A600" s="992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2.4</v>
      </c>
      <c r="C602" s="46">
        <f>IFERROR(Y37*1,"0")+IFERROR(Y38*1,"0")+IFERROR(Y39*1,"0")+IFERROR(Y40*1,"0")+IFERROR(Y44*1,"0")</f>
        <v>21.6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59.6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4.5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75.599999999999994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115.55999999999999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549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4.8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40.35</v>
      </c>
      <c r="V602" s="46">
        <f>IFERROR(Y363*1,"0")+IFERROR(Y367*1,"0")+IFERROR(Y368*1,"0")+IFERROR(Y369*1,"0")</f>
        <v>9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795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261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22.200000000000003</v>
      </c>
      <c r="Z602" s="46">
        <f>IFERROR(Y451*1,"0")+IFERROR(Y452*1,"0")+IFERROR(Y456*1,"0")+IFERROR(Y457*1,"0")+IFERROR(Y458*1,"0")+IFERROR(Y459*1,"0")</f>
        <v>59.400000000000006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95.04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18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44"/>
        <filter val="0,83"/>
        <filter val="0,93"/>
        <filter val="1,07"/>
        <filter val="1,20"/>
        <filter val="1,22"/>
        <filter val="1,25"/>
        <filter val="10,00"/>
        <filter val="10,19"/>
        <filter val="10,42"/>
        <filter val="10,52"/>
        <filter val="106,72"/>
        <filter val="11,00"/>
        <filter val="11,11"/>
        <filter val="113,00"/>
        <filter val="12,00"/>
        <filter val="13,00"/>
        <filter val="130,00"/>
        <filter val="14,00"/>
        <filter val="14,40"/>
        <filter val="14,96"/>
        <filter val="15,00"/>
        <filter val="16,00"/>
        <filter val="19,00"/>
        <filter val="2 009,00"/>
        <filter val="2 116,86"/>
        <filter val="2 216,86"/>
        <filter val="2,00"/>
        <filter val="2,65"/>
        <filter val="21,00"/>
        <filter val="216,00"/>
        <filter val="22,00"/>
        <filter val="23,00"/>
        <filter val="242,00"/>
        <filter val="25,00"/>
        <filter val="256,00"/>
        <filter val="262,00"/>
        <filter val="267,00"/>
        <filter val="27,00"/>
        <filter val="28,00"/>
        <filter val="28,44"/>
        <filter val="3,00"/>
        <filter val="3,11"/>
        <filter val="3,33"/>
        <filter val="31,00"/>
        <filter val="32,94"/>
        <filter val="35,00"/>
        <filter val="36,20"/>
        <filter val="375,39"/>
        <filter val="38,00"/>
        <filter val="4"/>
        <filter val="4,00"/>
        <filter val="4,38"/>
        <filter val="4,44"/>
        <filter val="4,71"/>
        <filter val="44,00"/>
        <filter val="5,00"/>
        <filter val="53,00"/>
        <filter val="54,44"/>
        <filter val="543,00"/>
        <filter val="55,00"/>
        <filter val="63,00"/>
        <filter val="7,00"/>
        <filter val="7,22"/>
        <filter val="7,88"/>
        <filter val="70,00"/>
        <filter val="79,00"/>
        <filter val="8,00"/>
        <filter val="86,00"/>
        <filter val="9,00"/>
        <filter val="91,00"/>
        <filter val="93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