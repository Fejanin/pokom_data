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7A2E52A-9D8B-4DAA-8CE7-432A5B23BA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Z351" i="1" s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Z138" i="1" s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O94" i="1"/>
  <c r="BM94" i="1"/>
  <c r="Y94" i="1"/>
  <c r="P94" i="1"/>
  <c r="BO93" i="1"/>
  <c r="BM93" i="1"/>
  <c r="Y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2" i="1" s="1"/>
  <c r="P31" i="1"/>
  <c r="X29" i="1"/>
  <c r="X591" i="1" s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9" i="1" l="1"/>
  <c r="BN89" i="1"/>
  <c r="Z89" i="1"/>
  <c r="BP99" i="1"/>
  <c r="BN99" i="1"/>
  <c r="Z99" i="1"/>
  <c r="BP119" i="1"/>
  <c r="BN119" i="1"/>
  <c r="Z119" i="1"/>
  <c r="BP159" i="1"/>
  <c r="BN159" i="1"/>
  <c r="Z159" i="1"/>
  <c r="BP216" i="1"/>
  <c r="BN216" i="1"/>
  <c r="Z216" i="1"/>
  <c r="BP259" i="1"/>
  <c r="BN259" i="1"/>
  <c r="Z259" i="1"/>
  <c r="BP329" i="1"/>
  <c r="BN329" i="1"/>
  <c r="Z329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3" i="1"/>
  <c r="BN483" i="1"/>
  <c r="Z483" i="1"/>
  <c r="BP493" i="1"/>
  <c r="BN493" i="1"/>
  <c r="Z493" i="1"/>
  <c r="Z39" i="1"/>
  <c r="BN39" i="1"/>
  <c r="D601" i="1"/>
  <c r="Z58" i="1"/>
  <c r="BN58" i="1"/>
  <c r="Z74" i="1"/>
  <c r="BN74" i="1"/>
  <c r="BP94" i="1"/>
  <c r="BN94" i="1"/>
  <c r="Z94" i="1"/>
  <c r="BP114" i="1"/>
  <c r="BN114" i="1"/>
  <c r="Z114" i="1"/>
  <c r="BP206" i="1"/>
  <c r="BN206" i="1"/>
  <c r="Z206" i="1"/>
  <c r="BP231" i="1"/>
  <c r="BN231" i="1"/>
  <c r="Z231" i="1"/>
  <c r="BP309" i="1"/>
  <c r="BN309" i="1"/>
  <c r="Z309" i="1"/>
  <c r="BP339" i="1"/>
  <c r="BN339" i="1"/>
  <c r="Z339" i="1"/>
  <c r="BP369" i="1"/>
  <c r="BN369" i="1"/>
  <c r="Z369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6" i="1"/>
  <c r="BN516" i="1"/>
  <c r="Z516" i="1"/>
  <c r="Y183" i="1"/>
  <c r="J9" i="1"/>
  <c r="BP142" i="1"/>
  <c r="BN142" i="1"/>
  <c r="Z142" i="1"/>
  <c r="BP175" i="1"/>
  <c r="BN175" i="1"/>
  <c r="Z175" i="1"/>
  <c r="BP192" i="1"/>
  <c r="BN192" i="1"/>
  <c r="Z192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T601" i="1"/>
  <c r="Y315" i="1"/>
  <c r="BP314" i="1"/>
  <c r="BN314" i="1"/>
  <c r="Z314" i="1"/>
  <c r="Z315" i="1" s="1"/>
  <c r="BP319" i="1"/>
  <c r="BN319" i="1"/>
  <c r="Z319" i="1"/>
  <c r="BP331" i="1"/>
  <c r="BN331" i="1"/>
  <c r="Z331" i="1"/>
  <c r="Y347" i="1"/>
  <c r="BP343" i="1"/>
  <c r="BN343" i="1"/>
  <c r="Z343" i="1"/>
  <c r="Z346" i="1" s="1"/>
  <c r="F9" i="1"/>
  <c r="F10" i="1"/>
  <c r="Z22" i="1"/>
  <c r="BN22" i="1"/>
  <c r="X595" i="1"/>
  <c r="Z37" i="1"/>
  <c r="BN37" i="1"/>
  <c r="Z50" i="1"/>
  <c r="BN50" i="1"/>
  <c r="Z54" i="1"/>
  <c r="BN54" i="1"/>
  <c r="Z60" i="1"/>
  <c r="BN60" i="1"/>
  <c r="Z72" i="1"/>
  <c r="BN72" i="1"/>
  <c r="Z76" i="1"/>
  <c r="BN76" i="1"/>
  <c r="Y84" i="1"/>
  <c r="Z82" i="1"/>
  <c r="BN82" i="1"/>
  <c r="Y83" i="1"/>
  <c r="Z87" i="1"/>
  <c r="BN87" i="1"/>
  <c r="Y90" i="1"/>
  <c r="Z101" i="1"/>
  <c r="BN101" i="1"/>
  <c r="Z108" i="1"/>
  <c r="BN108" i="1"/>
  <c r="Y117" i="1"/>
  <c r="Y129" i="1"/>
  <c r="Z121" i="1"/>
  <c r="BN121" i="1"/>
  <c r="Z122" i="1"/>
  <c r="BN122" i="1"/>
  <c r="Z125" i="1"/>
  <c r="BN125" i="1"/>
  <c r="Z131" i="1"/>
  <c r="BN131" i="1"/>
  <c r="BP131" i="1"/>
  <c r="BP138" i="1"/>
  <c r="BN138" i="1"/>
  <c r="Y154" i="1"/>
  <c r="BP153" i="1"/>
  <c r="BN153" i="1"/>
  <c r="Z153" i="1"/>
  <c r="Z154" i="1" s="1"/>
  <c r="Y161" i="1"/>
  <c r="BP157" i="1"/>
  <c r="BN157" i="1"/>
  <c r="Z157" i="1"/>
  <c r="BP182" i="1"/>
  <c r="BN182" i="1"/>
  <c r="Z182" i="1"/>
  <c r="BP204" i="1"/>
  <c r="BN204" i="1"/>
  <c r="Z204" i="1"/>
  <c r="BP214" i="1"/>
  <c r="BN214" i="1"/>
  <c r="Z214" i="1"/>
  <c r="BP224" i="1"/>
  <c r="BN224" i="1"/>
  <c r="Z224" i="1"/>
  <c r="BP237" i="1"/>
  <c r="BN237" i="1"/>
  <c r="Z237" i="1"/>
  <c r="BP257" i="1"/>
  <c r="BN257" i="1"/>
  <c r="Z257" i="1"/>
  <c r="BP280" i="1"/>
  <c r="BN280" i="1"/>
  <c r="Z280" i="1"/>
  <c r="BP323" i="1"/>
  <c r="BN323" i="1"/>
  <c r="Z323" i="1"/>
  <c r="BP337" i="1"/>
  <c r="BN337" i="1"/>
  <c r="Z337" i="1"/>
  <c r="Y346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21" i="1"/>
  <c r="BN521" i="1"/>
  <c r="Z521" i="1"/>
  <c r="P601" i="1"/>
  <c r="Y341" i="1"/>
  <c r="BP351" i="1"/>
  <c r="BN351" i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360" i="1"/>
  <c r="Y29" i="1"/>
  <c r="Y33" i="1"/>
  <c r="BP40" i="1"/>
  <c r="BN40" i="1"/>
  <c r="Z40" i="1"/>
  <c r="H9" i="1"/>
  <c r="B601" i="1"/>
  <c r="X592" i="1"/>
  <c r="X593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BP38" i="1"/>
  <c r="BN38" i="1"/>
  <c r="Z38" i="1"/>
  <c r="C601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Y62" i="1"/>
  <c r="Z59" i="1"/>
  <c r="BN59" i="1"/>
  <c r="Z61" i="1"/>
  <c r="BN61" i="1"/>
  <c r="Y63" i="1"/>
  <c r="Y68" i="1"/>
  <c r="BP65" i="1"/>
  <c r="BN65" i="1"/>
  <c r="Z65" i="1"/>
  <c r="BP73" i="1"/>
  <c r="BN73" i="1"/>
  <c r="Z73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BP120" i="1"/>
  <c r="BN120" i="1"/>
  <c r="Z120" i="1"/>
  <c r="BP124" i="1"/>
  <c r="BN124" i="1"/>
  <c r="Z124" i="1"/>
  <c r="Y128" i="1"/>
  <c r="BP132" i="1"/>
  <c r="BN132" i="1"/>
  <c r="Z132" i="1"/>
  <c r="Y134" i="1"/>
  <c r="Y140" i="1"/>
  <c r="BP137" i="1"/>
  <c r="BN137" i="1"/>
  <c r="Z137" i="1"/>
  <c r="Z139" i="1" s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BP350" i="1"/>
  <c r="BN350" i="1"/>
  <c r="Z350" i="1"/>
  <c r="BP358" i="1"/>
  <c r="BN358" i="1"/>
  <c r="Z358" i="1"/>
  <c r="V601" i="1"/>
  <c r="Y365" i="1"/>
  <c r="Y364" i="1"/>
  <c r="BP363" i="1"/>
  <c r="BN363" i="1"/>
  <c r="Z363" i="1"/>
  <c r="Z364" i="1" s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Y390" i="1"/>
  <c r="BP435" i="1"/>
  <c r="BN435" i="1"/>
  <c r="Z435" i="1"/>
  <c r="BP440" i="1"/>
  <c r="BN440" i="1"/>
  <c r="Z440" i="1"/>
  <c r="Y42" i="1"/>
  <c r="Y55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3" i="1"/>
  <c r="BN123" i="1"/>
  <c r="Z123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1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BP258" i="1"/>
  <c r="BN258" i="1"/>
  <c r="Z258" i="1"/>
  <c r="BP272" i="1"/>
  <c r="BN272" i="1"/>
  <c r="Z272" i="1"/>
  <c r="Y274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94" i="1"/>
  <c r="BN394" i="1"/>
  <c r="Z394" i="1"/>
  <c r="Y396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Y421" i="1"/>
  <c r="BP419" i="1"/>
  <c r="BN419" i="1"/>
  <c r="Z419" i="1"/>
  <c r="Y460" i="1"/>
  <c r="BP456" i="1"/>
  <c r="BN456" i="1"/>
  <c r="Z456" i="1"/>
  <c r="Y461" i="1"/>
  <c r="BP465" i="1"/>
  <c r="BN465" i="1"/>
  <c r="Z465" i="1"/>
  <c r="Y467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Y503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BP406" i="1"/>
  <c r="BN406" i="1"/>
  <c r="Z406" i="1"/>
  <c r="Y413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Y448" i="1"/>
  <c r="Z601" i="1"/>
  <c r="Y454" i="1"/>
  <c r="BP451" i="1"/>
  <c r="BN451" i="1"/>
  <c r="Z451" i="1"/>
  <c r="Z453" i="1" s="1"/>
  <c r="BP459" i="1"/>
  <c r="BN459" i="1"/>
  <c r="Z459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528" i="1" l="1"/>
  <c r="Z442" i="1"/>
  <c r="Z359" i="1"/>
  <c r="Z243" i="1"/>
  <c r="Z209" i="1"/>
  <c r="Z128" i="1"/>
  <c r="Z90" i="1"/>
  <c r="Z41" i="1"/>
  <c r="Z370" i="1"/>
  <c r="Z385" i="1"/>
  <c r="Z340" i="1"/>
  <c r="Z325" i="1"/>
  <c r="Z62" i="1"/>
  <c r="Y593" i="1"/>
  <c r="Z447" i="1"/>
  <c r="Z282" i="1"/>
  <c r="Z221" i="1"/>
  <c r="Z390" i="1"/>
  <c r="Z261" i="1"/>
  <c r="Z133" i="1"/>
  <c r="Z55" i="1"/>
  <c r="Y592" i="1"/>
  <c r="Y594" i="1" s="1"/>
  <c r="Z28" i="1"/>
  <c r="X594" i="1"/>
  <c r="Z565" i="1"/>
  <c r="Z547" i="1"/>
  <c r="Z460" i="1"/>
  <c r="Z421" i="1"/>
  <c r="Z183" i="1"/>
  <c r="Z110" i="1"/>
  <c r="Z102" i="1"/>
  <c r="Y595" i="1"/>
  <c r="Y591" i="1"/>
  <c r="Z517" i="1"/>
  <c r="Z466" i="1"/>
  <c r="Z395" i="1"/>
  <c r="Z523" i="1"/>
  <c r="Z502" i="1"/>
  <c r="Z495" i="1"/>
  <c r="Z353" i="1"/>
  <c r="Z238" i="1"/>
  <c r="Z77" i="1"/>
  <c r="Z332" i="1"/>
  <c r="Z273" i="1"/>
  <c r="Z161" i="1"/>
  <c r="Z68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<sst xmlns="http://schemas.openxmlformats.org/spreadsheetml/2006/main" count="2721" uniqueCount="976">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</sst>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5" sqref="AA375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52" t="s">
        <v>0</v>
      </c>
      <c r="E1" s="701"/>
      <c r="F1" s="701"/>
      <c r="G1" s="12" t="s">
        <v>1</v>
      </c>
      <c r="H1" s="752" t="s">
        <v>2</v>
      </c>
      <c r="I1" s="701"/>
      <c r="J1" s="701"/>
      <c r="K1" s="701"/>
      <c r="L1" s="701"/>
      <c r="M1" s="701"/>
      <c r="N1" s="701"/>
      <c r="O1" s="701"/>
      <c r="P1" s="701"/>
      <c r="Q1" s="701"/>
      <c r="R1" s="700" t="s">
        <v>3</v>
      </c>
      <c r="S1" s="701"/>
      <c r="T1" s="7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2"/>
      <c r="Q3" s="672"/>
      <c r="R3" s="672"/>
      <c r="S3" s="672"/>
      <c r="T3" s="672"/>
      <c r="U3" s="672"/>
      <c r="V3" s="672"/>
      <c r="W3" s="672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16" t="s">
        <v>8</v>
      </c>
      <c r="B5" s="817"/>
      <c r="C5" s="818"/>
      <c r="D5" s="757"/>
      <c r="E5" s="758"/>
      <c r="F5" s="998" t="s">
        <v>9</v>
      </c>
      <c r="G5" s="818"/>
      <c r="H5" s="757" t="s">
        <v>975</v>
      </c>
      <c r="I5" s="949"/>
      <c r="J5" s="949"/>
      <c r="K5" s="949"/>
      <c r="L5" s="949"/>
      <c r="M5" s="758"/>
      <c r="N5" s="58"/>
      <c r="P5" s="24" t="s">
        <v>10</v>
      </c>
      <c r="Q5" s="1012">
        <v>45759</v>
      </c>
      <c r="R5" s="773"/>
      <c r="T5" s="857" t="s">
        <v>11</v>
      </c>
      <c r="U5" s="858"/>
      <c r="V5" s="860" t="s">
        <v>12</v>
      </c>
      <c r="W5" s="773"/>
      <c r="AB5" s="51"/>
      <c r="AC5" s="51"/>
      <c r="AD5" s="51"/>
      <c r="AE5" s="51"/>
    </row>
    <row r="6" spans="1:32" s="660" customFormat="1" ht="24" customHeight="1" x14ac:dyDescent="0.2">
      <c r="A6" s="816" t="s">
        <v>13</v>
      </c>
      <c r="B6" s="817"/>
      <c r="C6" s="818"/>
      <c r="D6" s="952" t="s">
        <v>14</v>
      </c>
      <c r="E6" s="953"/>
      <c r="F6" s="953"/>
      <c r="G6" s="953"/>
      <c r="H6" s="953"/>
      <c r="I6" s="953"/>
      <c r="J6" s="953"/>
      <c r="K6" s="953"/>
      <c r="L6" s="953"/>
      <c r="M6" s="773"/>
      <c r="N6" s="59"/>
      <c r="P6" s="24" t="s">
        <v>15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670"/>
      <c r="T6" s="863" t="s">
        <v>16</v>
      </c>
      <c r="U6" s="858"/>
      <c r="V6" s="929" t="s">
        <v>17</v>
      </c>
      <c r="W6" s="680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28" t="str">
        <f>IFERROR(VLOOKUP(DeliveryAddress,Table,3,0),1)</f>
        <v>4</v>
      </c>
      <c r="E7" s="729"/>
      <c r="F7" s="729"/>
      <c r="G7" s="729"/>
      <c r="H7" s="729"/>
      <c r="I7" s="729"/>
      <c r="J7" s="729"/>
      <c r="K7" s="729"/>
      <c r="L7" s="729"/>
      <c r="M7" s="730"/>
      <c r="N7" s="60"/>
      <c r="P7" s="24"/>
      <c r="Q7" s="42"/>
      <c r="R7" s="42"/>
      <c r="T7" s="672"/>
      <c r="U7" s="858"/>
      <c r="V7" s="930"/>
      <c r="W7" s="931"/>
      <c r="AB7" s="51"/>
      <c r="AC7" s="51"/>
      <c r="AD7" s="51"/>
      <c r="AE7" s="51"/>
    </row>
    <row r="8" spans="1:32" s="660" customFormat="1" ht="25.5" customHeight="1" x14ac:dyDescent="0.2">
      <c r="A8" s="1037" t="s">
        <v>18</v>
      </c>
      <c r="B8" s="677"/>
      <c r="C8" s="678"/>
      <c r="D8" s="739"/>
      <c r="E8" s="740"/>
      <c r="F8" s="740"/>
      <c r="G8" s="740"/>
      <c r="H8" s="740"/>
      <c r="I8" s="740"/>
      <c r="J8" s="740"/>
      <c r="K8" s="740"/>
      <c r="L8" s="740"/>
      <c r="M8" s="741"/>
      <c r="N8" s="61"/>
      <c r="P8" s="24" t="s">
        <v>19</v>
      </c>
      <c r="Q8" s="787">
        <v>0.54166666666666663</v>
      </c>
      <c r="R8" s="730"/>
      <c r="T8" s="672"/>
      <c r="U8" s="858"/>
      <c r="V8" s="930"/>
      <c r="W8" s="931"/>
      <c r="AB8" s="51"/>
      <c r="AC8" s="51"/>
      <c r="AD8" s="51"/>
      <c r="AE8" s="51"/>
    </row>
    <row r="9" spans="1:32" s="660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826"/>
      <c r="E9" s="668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61"/>
      <c r="P9" s="26" t="s">
        <v>20</v>
      </c>
      <c r="Q9" s="770"/>
      <c r="R9" s="771"/>
      <c r="T9" s="672"/>
      <c r="U9" s="858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826"/>
      <c r="E10" s="668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917" t="str">
        <f>IFERROR(VLOOKUP($D$10,Proxy,2,FALSE),"")</f>
        <v/>
      </c>
      <c r="I10" s="672"/>
      <c r="J10" s="672"/>
      <c r="K10" s="672"/>
      <c r="L10" s="672"/>
      <c r="M10" s="672"/>
      <c r="N10" s="659"/>
      <c r="P10" s="26" t="s">
        <v>21</v>
      </c>
      <c r="Q10" s="864"/>
      <c r="R10" s="865"/>
      <c r="U10" s="24" t="s">
        <v>22</v>
      </c>
      <c r="V10" s="679" t="s">
        <v>23</v>
      </c>
      <c r="W10" s="680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2"/>
      <c r="R11" s="773"/>
      <c r="U11" s="24" t="s">
        <v>26</v>
      </c>
      <c r="V11" s="945" t="s">
        <v>27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9" t="s">
        <v>28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29</v>
      </c>
      <c r="Q12" s="787"/>
      <c r="R12" s="730"/>
      <c r="S12" s="23"/>
      <c r="U12" s="24"/>
      <c r="V12" s="701"/>
      <c r="W12" s="672"/>
      <c r="AB12" s="51"/>
      <c r="AC12" s="51"/>
      <c r="AD12" s="51"/>
      <c r="AE12" s="51"/>
    </row>
    <row r="13" spans="1:32" s="660" customFormat="1" ht="23.25" customHeight="1" x14ac:dyDescent="0.2">
      <c r="A13" s="849" t="s">
        <v>30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31</v>
      </c>
      <c r="Q13" s="945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9" t="s">
        <v>32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7" t="s">
        <v>33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39" t="s">
        <v>34</v>
      </c>
      <c r="Q15" s="701"/>
      <c r="R15" s="701"/>
      <c r="S15" s="701"/>
      <c r="T15" s="7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0"/>
      <c r="Q16" s="840"/>
      <c r="R16" s="840"/>
      <c r="S16" s="840"/>
      <c r="T16" s="8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7" t="s">
        <v>35</v>
      </c>
      <c r="B17" s="707" t="s">
        <v>36</v>
      </c>
      <c r="C17" s="821" t="s">
        <v>37</v>
      </c>
      <c r="D17" s="707" t="s">
        <v>38</v>
      </c>
      <c r="E17" s="781"/>
      <c r="F17" s="707" t="s">
        <v>39</v>
      </c>
      <c r="G17" s="707" t="s">
        <v>40</v>
      </c>
      <c r="H17" s="707" t="s">
        <v>41</v>
      </c>
      <c r="I17" s="707" t="s">
        <v>42</v>
      </c>
      <c r="J17" s="707" t="s">
        <v>43</v>
      </c>
      <c r="K17" s="707" t="s">
        <v>44</v>
      </c>
      <c r="L17" s="707" t="s">
        <v>45</v>
      </c>
      <c r="M17" s="707" t="s">
        <v>46</v>
      </c>
      <c r="N17" s="707" t="s">
        <v>47</v>
      </c>
      <c r="O17" s="707" t="s">
        <v>48</v>
      </c>
      <c r="P17" s="707" t="s">
        <v>49</v>
      </c>
      <c r="Q17" s="780"/>
      <c r="R17" s="780"/>
      <c r="S17" s="780"/>
      <c r="T17" s="781"/>
      <c r="U17" s="1034" t="s">
        <v>50</v>
      </c>
      <c r="V17" s="818"/>
      <c r="W17" s="707" t="s">
        <v>51</v>
      </c>
      <c r="X17" s="707" t="s">
        <v>52</v>
      </c>
      <c r="Y17" s="1035" t="s">
        <v>53</v>
      </c>
      <c r="Z17" s="927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993"/>
      <c r="AF17" s="994"/>
      <c r="AG17" s="66"/>
      <c r="BD17" s="65" t="s">
        <v>59</v>
      </c>
    </row>
    <row r="18" spans="1:68" ht="14.25" customHeight="1" x14ac:dyDescent="0.2">
      <c r="A18" s="708"/>
      <c r="B18" s="708"/>
      <c r="C18" s="708"/>
      <c r="D18" s="782"/>
      <c r="E18" s="78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82"/>
      <c r="Q18" s="783"/>
      <c r="R18" s="783"/>
      <c r="S18" s="783"/>
      <c r="T18" s="784"/>
      <c r="U18" s="67" t="s">
        <v>60</v>
      </c>
      <c r="V18" s="67" t="s">
        <v>61</v>
      </c>
      <c r="W18" s="708"/>
      <c r="X18" s="708"/>
      <c r="Y18" s="1036"/>
      <c r="Z18" s="928"/>
      <c r="AA18" s="919"/>
      <c r="AB18" s="919"/>
      <c r="AC18" s="919"/>
      <c r="AD18" s="995"/>
      <c r="AE18" s="996"/>
      <c r="AF18" s="997"/>
      <c r="AG18" s="66"/>
      <c r="BD18" s="65"/>
    </row>
    <row r="19" spans="1:68" ht="27.75" hidden="1" customHeight="1" x14ac:dyDescent="0.2">
      <c r="A19" s="723" t="s">
        <v>62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721" t="s">
        <v>62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8"/>
      <c r="AB20" s="658"/>
      <c r="AC20" s="658"/>
    </row>
    <row r="21" spans="1:68" ht="14.25" hidden="1" customHeight="1" x14ac:dyDescent="0.25">
      <c r="A21" s="671" t="s">
        <v>63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56"/>
      <c r="AB21" s="656"/>
      <c r="AC21" s="656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25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5"/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86"/>
      <c r="P28" s="676" t="s">
        <v>87</v>
      </c>
      <c r="Q28" s="677"/>
      <c r="R28" s="677"/>
      <c r="S28" s="677"/>
      <c r="T28" s="677"/>
      <c r="U28" s="677"/>
      <c r="V28" s="678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2"/>
      <c r="B29" s="672"/>
      <c r="C29" s="672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86"/>
      <c r="P29" s="676" t="s">
        <v>87</v>
      </c>
      <c r="Q29" s="677"/>
      <c r="R29" s="677"/>
      <c r="S29" s="677"/>
      <c r="T29" s="677"/>
      <c r="U29" s="677"/>
      <c r="V29" s="678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1" t="s">
        <v>89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56"/>
      <c r="AB30" s="656"/>
      <c r="AC30" s="656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5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86"/>
      <c r="P32" s="676" t="s">
        <v>87</v>
      </c>
      <c r="Q32" s="677"/>
      <c r="R32" s="677"/>
      <c r="S32" s="677"/>
      <c r="T32" s="677"/>
      <c r="U32" s="677"/>
      <c r="V32" s="678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2"/>
      <c r="B33" s="672"/>
      <c r="C33" s="672"/>
      <c r="D33" s="672"/>
      <c r="E33" s="672"/>
      <c r="F33" s="672"/>
      <c r="G33" s="672"/>
      <c r="H33" s="672"/>
      <c r="I33" s="672"/>
      <c r="J33" s="672"/>
      <c r="K33" s="672"/>
      <c r="L33" s="672"/>
      <c r="M33" s="672"/>
      <c r="N33" s="672"/>
      <c r="O33" s="686"/>
      <c r="P33" s="676" t="s">
        <v>87</v>
      </c>
      <c r="Q33" s="677"/>
      <c r="R33" s="677"/>
      <c r="S33" s="677"/>
      <c r="T33" s="677"/>
      <c r="U33" s="677"/>
      <c r="V33" s="678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23" t="s">
        <v>95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48"/>
      <c r="AB34" s="48"/>
      <c r="AC34" s="48"/>
    </row>
    <row r="35" spans="1:68" ht="16.5" hidden="1" customHeight="1" x14ac:dyDescent="0.25">
      <c r="A35" s="721" t="s">
        <v>96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8"/>
      <c r="AB35" s="658"/>
      <c r="AC35" s="658"/>
    </row>
    <row r="36" spans="1:68" ht="14.25" hidden="1" customHeight="1" x14ac:dyDescent="0.25">
      <c r="A36" s="671" t="s">
        <v>97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56"/>
      <c r="AB36" s="656"/>
      <c r="AC36" s="656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5"/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86"/>
      <c r="P41" s="676" t="s">
        <v>87</v>
      </c>
      <c r="Q41" s="677"/>
      <c r="R41" s="677"/>
      <c r="S41" s="677"/>
      <c r="T41" s="677"/>
      <c r="U41" s="677"/>
      <c r="V41" s="678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2"/>
      <c r="B42" s="672"/>
      <c r="C42" s="672"/>
      <c r="D42" s="672"/>
      <c r="E42" s="672"/>
      <c r="F42" s="672"/>
      <c r="G42" s="672"/>
      <c r="H42" s="672"/>
      <c r="I42" s="672"/>
      <c r="J42" s="672"/>
      <c r="K42" s="672"/>
      <c r="L42" s="672"/>
      <c r="M42" s="672"/>
      <c r="N42" s="672"/>
      <c r="O42" s="686"/>
      <c r="P42" s="676" t="s">
        <v>87</v>
      </c>
      <c r="Q42" s="677"/>
      <c r="R42" s="677"/>
      <c r="S42" s="677"/>
      <c r="T42" s="677"/>
      <c r="U42" s="677"/>
      <c r="V42" s="678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1" t="s">
        <v>63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56"/>
      <c r="AB43" s="656"/>
      <c r="AC43" s="656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81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5"/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86"/>
      <c r="P45" s="676" t="s">
        <v>87</v>
      </c>
      <c r="Q45" s="677"/>
      <c r="R45" s="677"/>
      <c r="S45" s="677"/>
      <c r="T45" s="677"/>
      <c r="U45" s="677"/>
      <c r="V45" s="678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2"/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86"/>
      <c r="P46" s="676" t="s">
        <v>87</v>
      </c>
      <c r="Q46" s="677"/>
      <c r="R46" s="677"/>
      <c r="S46" s="677"/>
      <c r="T46" s="677"/>
      <c r="U46" s="677"/>
      <c r="V46" s="678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21" t="s">
        <v>115</v>
      </c>
      <c r="B47" s="672"/>
      <c r="C47" s="672"/>
      <c r="D47" s="672"/>
      <c r="E47" s="672"/>
      <c r="F47" s="672"/>
      <c r="G47" s="672"/>
      <c r="H47" s="672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Y47" s="672"/>
      <c r="Z47" s="672"/>
      <c r="AA47" s="658"/>
      <c r="AB47" s="658"/>
      <c r="AC47" s="658"/>
    </row>
    <row r="48" spans="1:68" ht="14.25" hidden="1" customHeight="1" x14ac:dyDescent="0.25">
      <c r="A48" s="671" t="s">
        <v>97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56"/>
      <c r="AB48" s="656"/>
      <c r="AC48" s="656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5"/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86"/>
      <c r="P55" s="676" t="s">
        <v>87</v>
      </c>
      <c r="Q55" s="677"/>
      <c r="R55" s="677"/>
      <c r="S55" s="677"/>
      <c r="T55" s="677"/>
      <c r="U55" s="677"/>
      <c r="V55" s="678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2"/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86"/>
      <c r="P56" s="676" t="s">
        <v>87</v>
      </c>
      <c r="Q56" s="677"/>
      <c r="R56" s="677"/>
      <c r="S56" s="677"/>
      <c r="T56" s="677"/>
      <c r="U56" s="677"/>
      <c r="V56" s="678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1" t="s">
        <v>133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56"/>
      <c r="AB57" s="656"/>
      <c r="AC57" s="656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5"/>
      <c r="B62" s="672"/>
      <c r="C62" s="672"/>
      <c r="D62" s="672"/>
      <c r="E62" s="672"/>
      <c r="F62" s="672"/>
      <c r="G62" s="672"/>
      <c r="H62" s="672"/>
      <c r="I62" s="672"/>
      <c r="J62" s="672"/>
      <c r="K62" s="672"/>
      <c r="L62" s="672"/>
      <c r="M62" s="672"/>
      <c r="N62" s="672"/>
      <c r="O62" s="686"/>
      <c r="P62" s="676" t="s">
        <v>87</v>
      </c>
      <c r="Q62" s="677"/>
      <c r="R62" s="677"/>
      <c r="S62" s="677"/>
      <c r="T62" s="677"/>
      <c r="U62" s="677"/>
      <c r="V62" s="678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2"/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86"/>
      <c r="P63" s="676" t="s">
        <v>87</v>
      </c>
      <c r="Q63" s="677"/>
      <c r="R63" s="677"/>
      <c r="S63" s="677"/>
      <c r="T63" s="677"/>
      <c r="U63" s="677"/>
      <c r="V63" s="678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1" t="s">
        <v>144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56"/>
      <c r="AB64" s="656"/>
      <c r="AC64" s="656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99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5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86"/>
      <c r="P68" s="676" t="s">
        <v>87</v>
      </c>
      <c r="Q68" s="677"/>
      <c r="R68" s="677"/>
      <c r="S68" s="677"/>
      <c r="T68" s="677"/>
      <c r="U68" s="677"/>
      <c r="V68" s="678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2"/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86"/>
      <c r="P69" s="676" t="s">
        <v>87</v>
      </c>
      <c r="Q69" s="677"/>
      <c r="R69" s="677"/>
      <c r="S69" s="677"/>
      <c r="T69" s="677"/>
      <c r="U69" s="677"/>
      <c r="V69" s="678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1" t="s">
        <v>63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56"/>
      <c r="AB70" s="656"/>
      <c r="AC70" s="656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71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5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86"/>
      <c r="P77" s="676" t="s">
        <v>87</v>
      </c>
      <c r="Q77" s="677"/>
      <c r="R77" s="677"/>
      <c r="S77" s="677"/>
      <c r="T77" s="677"/>
      <c r="U77" s="677"/>
      <c r="V77" s="678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2"/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86"/>
      <c r="P78" s="676" t="s">
        <v>87</v>
      </c>
      <c r="Q78" s="677"/>
      <c r="R78" s="677"/>
      <c r="S78" s="677"/>
      <c r="T78" s="677"/>
      <c r="U78" s="677"/>
      <c r="V78" s="678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1" t="s">
        <v>170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56"/>
      <c r="AB79" s="656"/>
      <c r="AC79" s="656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5"/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86"/>
      <c r="P83" s="676" t="s">
        <v>87</v>
      </c>
      <c r="Q83" s="677"/>
      <c r="R83" s="677"/>
      <c r="S83" s="677"/>
      <c r="T83" s="677"/>
      <c r="U83" s="677"/>
      <c r="V83" s="678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2"/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86"/>
      <c r="P84" s="676" t="s">
        <v>87</v>
      </c>
      <c r="Q84" s="677"/>
      <c r="R84" s="677"/>
      <c r="S84" s="677"/>
      <c r="T84" s="677"/>
      <c r="U84" s="677"/>
      <c r="V84" s="678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21" t="s">
        <v>178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8"/>
      <c r="AB85" s="658"/>
      <c r="AC85" s="658"/>
    </row>
    <row r="86" spans="1:68" ht="14.25" hidden="1" customHeight="1" x14ac:dyDescent="0.25">
      <c r="A86" s="671" t="s">
        <v>97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56"/>
      <c r="AB86" s="656"/>
      <c r="AC86" s="656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5"/>
      <c r="B90" s="672"/>
      <c r="C90" s="672"/>
      <c r="D90" s="672"/>
      <c r="E90" s="672"/>
      <c r="F90" s="672"/>
      <c r="G90" s="672"/>
      <c r="H90" s="672"/>
      <c r="I90" s="672"/>
      <c r="J90" s="672"/>
      <c r="K90" s="672"/>
      <c r="L90" s="672"/>
      <c r="M90" s="672"/>
      <c r="N90" s="672"/>
      <c r="O90" s="686"/>
      <c r="P90" s="676" t="s">
        <v>87</v>
      </c>
      <c r="Q90" s="677"/>
      <c r="R90" s="677"/>
      <c r="S90" s="677"/>
      <c r="T90" s="677"/>
      <c r="U90" s="677"/>
      <c r="V90" s="678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2"/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86"/>
      <c r="P91" s="676" t="s">
        <v>87</v>
      </c>
      <c r="Q91" s="677"/>
      <c r="R91" s="677"/>
      <c r="S91" s="677"/>
      <c r="T91" s="677"/>
      <c r="U91" s="677"/>
      <c r="V91" s="678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1" t="s">
        <v>63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56"/>
      <c r="AB92" s="656"/>
      <c r="AC92" s="656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9" t="s">
        <v>189</v>
      </c>
      <c r="Q93" s="674"/>
      <c r="R93" s="674"/>
      <c r="S93" s="674"/>
      <c r="T93" s="675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4"/>
      <c r="R95" s="674"/>
      <c r="S95" s="674"/>
      <c r="T95" s="675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9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69">
        <v>4607091385731</v>
      </c>
      <c r="E97" s="670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69">
        <v>4607091385731</v>
      </c>
      <c r="E98" s="670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50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69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4"/>
      <c r="R100" s="674"/>
      <c r="S100" s="674"/>
      <c r="T100" s="675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4"/>
      <c r="R101" s="674"/>
      <c r="S101" s="674"/>
      <c r="T101" s="675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5"/>
      <c r="B102" s="672"/>
      <c r="C102" s="672"/>
      <c r="D102" s="672"/>
      <c r="E102" s="672"/>
      <c r="F102" s="672"/>
      <c r="G102" s="672"/>
      <c r="H102" s="672"/>
      <c r="I102" s="672"/>
      <c r="J102" s="672"/>
      <c r="K102" s="672"/>
      <c r="L102" s="672"/>
      <c r="M102" s="672"/>
      <c r="N102" s="672"/>
      <c r="O102" s="686"/>
      <c r="P102" s="676" t="s">
        <v>87</v>
      </c>
      <c r="Q102" s="677"/>
      <c r="R102" s="677"/>
      <c r="S102" s="677"/>
      <c r="T102" s="677"/>
      <c r="U102" s="677"/>
      <c r="V102" s="678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2"/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86"/>
      <c r="P103" s="676" t="s">
        <v>87</v>
      </c>
      <c r="Q103" s="677"/>
      <c r="R103" s="677"/>
      <c r="S103" s="677"/>
      <c r="T103" s="677"/>
      <c r="U103" s="677"/>
      <c r="V103" s="678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21" t="s">
        <v>209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58"/>
      <c r="AB104" s="658"/>
      <c r="AC104" s="658"/>
    </row>
    <row r="105" spans="1:68" ht="14.25" hidden="1" customHeight="1" x14ac:dyDescent="0.25">
      <c r="A105" s="671" t="s">
        <v>97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56"/>
      <c r="AB105" s="656"/>
      <c r="AC105" s="656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5"/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86"/>
      <c r="P110" s="676" t="s">
        <v>87</v>
      </c>
      <c r="Q110" s="677"/>
      <c r="R110" s="677"/>
      <c r="S110" s="677"/>
      <c r="T110" s="677"/>
      <c r="U110" s="677"/>
      <c r="V110" s="678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2"/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86"/>
      <c r="P111" s="676" t="s">
        <v>87</v>
      </c>
      <c r="Q111" s="677"/>
      <c r="R111" s="677"/>
      <c r="S111" s="677"/>
      <c r="T111" s="677"/>
      <c r="U111" s="677"/>
      <c r="V111" s="678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1" t="s">
        <v>133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56"/>
      <c r="AB112" s="656"/>
      <c r="AC112" s="656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4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5"/>
      <c r="B116" s="672"/>
      <c r="C116" s="672"/>
      <c r="D116" s="672"/>
      <c r="E116" s="672"/>
      <c r="F116" s="672"/>
      <c r="G116" s="672"/>
      <c r="H116" s="672"/>
      <c r="I116" s="672"/>
      <c r="J116" s="672"/>
      <c r="K116" s="672"/>
      <c r="L116" s="672"/>
      <c r="M116" s="672"/>
      <c r="N116" s="672"/>
      <c r="O116" s="686"/>
      <c r="P116" s="676" t="s">
        <v>87</v>
      </c>
      <c r="Q116" s="677"/>
      <c r="R116" s="677"/>
      <c r="S116" s="677"/>
      <c r="T116" s="677"/>
      <c r="U116" s="677"/>
      <c r="V116" s="678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2"/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86"/>
      <c r="P117" s="676" t="s">
        <v>87</v>
      </c>
      <c r="Q117" s="677"/>
      <c r="R117" s="677"/>
      <c r="S117" s="677"/>
      <c r="T117" s="677"/>
      <c r="U117" s="677"/>
      <c r="V117" s="678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1" t="s">
        <v>63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56"/>
      <c r="AB118" s="656"/>
      <c r="AC118" s="656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0" t="s">
        <v>228</v>
      </c>
      <c r="Q119" s="674"/>
      <c r="R119" s="674"/>
      <c r="S119" s="674"/>
      <c r="T119" s="675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4"/>
      <c r="R121" s="674"/>
      <c r="S121" s="674"/>
      <c r="T121" s="675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8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4"/>
      <c r="R123" s="674"/>
      <c r="S123" s="674"/>
      <c r="T123" s="675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8" t="s">
        <v>240</v>
      </c>
      <c r="Q124" s="674"/>
      <c r="R124" s="674"/>
      <c r="S124" s="674"/>
      <c r="T124" s="675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4"/>
      <c r="R125" s="674"/>
      <c r="S125" s="674"/>
      <c r="T125" s="675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4"/>
      <c r="R126" s="674"/>
      <c r="S126" s="674"/>
      <c r="T126" s="675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4"/>
      <c r="R127" s="674"/>
      <c r="S127" s="674"/>
      <c r="T127" s="675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85"/>
      <c r="B128" s="672"/>
      <c r="C128" s="672"/>
      <c r="D128" s="672"/>
      <c r="E128" s="672"/>
      <c r="F128" s="672"/>
      <c r="G128" s="672"/>
      <c r="H128" s="672"/>
      <c r="I128" s="672"/>
      <c r="J128" s="672"/>
      <c r="K128" s="672"/>
      <c r="L128" s="672"/>
      <c r="M128" s="672"/>
      <c r="N128" s="672"/>
      <c r="O128" s="686"/>
      <c r="P128" s="676" t="s">
        <v>87</v>
      </c>
      <c r="Q128" s="677"/>
      <c r="R128" s="677"/>
      <c r="S128" s="677"/>
      <c r="T128" s="677"/>
      <c r="U128" s="677"/>
      <c r="V128" s="678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2"/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86"/>
      <c r="P129" s="676" t="s">
        <v>87</v>
      </c>
      <c r="Q129" s="677"/>
      <c r="R129" s="677"/>
      <c r="S129" s="677"/>
      <c r="T129" s="677"/>
      <c r="U129" s="677"/>
      <c r="V129" s="678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1" t="s">
        <v>170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56"/>
      <c r="AB130" s="656"/>
      <c r="AC130" s="656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4"/>
      <c r="R131" s="674"/>
      <c r="S131" s="674"/>
      <c r="T131" s="675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4"/>
      <c r="R132" s="674"/>
      <c r="S132" s="674"/>
      <c r="T132" s="675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85"/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86"/>
      <c r="P133" s="676" t="s">
        <v>87</v>
      </c>
      <c r="Q133" s="677"/>
      <c r="R133" s="677"/>
      <c r="S133" s="677"/>
      <c r="T133" s="677"/>
      <c r="U133" s="677"/>
      <c r="V133" s="678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2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86"/>
      <c r="P134" s="676" t="s">
        <v>87</v>
      </c>
      <c r="Q134" s="677"/>
      <c r="R134" s="677"/>
      <c r="S134" s="677"/>
      <c r="T134" s="677"/>
      <c r="U134" s="677"/>
      <c r="V134" s="678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21" t="s">
        <v>254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58"/>
      <c r="AB135" s="658"/>
      <c r="AC135" s="658"/>
    </row>
    <row r="136" spans="1:68" ht="14.25" hidden="1" customHeight="1" x14ac:dyDescent="0.25">
      <c r="A136" s="671" t="s">
        <v>97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6"/>
      <c r="AB136" s="656"/>
      <c r="AC136" s="656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69">
        <v>4680115882577</v>
      </c>
      <c r="E137" s="670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4"/>
      <c r="R137" s="674"/>
      <c r="S137" s="674"/>
      <c r="T137" s="675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69">
        <v>4680115882577</v>
      </c>
      <c r="E138" s="670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4"/>
      <c r="R138" s="674"/>
      <c r="S138" s="674"/>
      <c r="T138" s="675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85"/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86"/>
      <c r="P139" s="676" t="s">
        <v>87</v>
      </c>
      <c r="Q139" s="677"/>
      <c r="R139" s="677"/>
      <c r="S139" s="677"/>
      <c r="T139" s="677"/>
      <c r="U139" s="677"/>
      <c r="V139" s="678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2"/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86"/>
      <c r="P140" s="676" t="s">
        <v>87</v>
      </c>
      <c r="Q140" s="677"/>
      <c r="R140" s="677"/>
      <c r="S140" s="677"/>
      <c r="T140" s="677"/>
      <c r="U140" s="677"/>
      <c r="V140" s="678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1" t="s">
        <v>144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56"/>
      <c r="AB141" s="656"/>
      <c r="AC141" s="656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69">
        <v>4680115883444</v>
      </c>
      <c r="E142" s="670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4"/>
      <c r="R142" s="674"/>
      <c r="S142" s="674"/>
      <c r="T142" s="675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69">
        <v>4680115883444</v>
      </c>
      <c r="E143" s="670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4"/>
      <c r="R143" s="674"/>
      <c r="S143" s="674"/>
      <c r="T143" s="675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85"/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86"/>
      <c r="P144" s="676" t="s">
        <v>87</v>
      </c>
      <c r="Q144" s="677"/>
      <c r="R144" s="677"/>
      <c r="S144" s="677"/>
      <c r="T144" s="677"/>
      <c r="U144" s="677"/>
      <c r="V144" s="678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2"/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86"/>
      <c r="P145" s="676" t="s">
        <v>87</v>
      </c>
      <c r="Q145" s="677"/>
      <c r="R145" s="677"/>
      <c r="S145" s="677"/>
      <c r="T145" s="677"/>
      <c r="U145" s="677"/>
      <c r="V145" s="678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1" t="s">
        <v>63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56"/>
      <c r="AB146" s="656"/>
      <c r="AC146" s="656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4"/>
      <c r="R147" s="674"/>
      <c r="S147" s="674"/>
      <c r="T147" s="675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4"/>
      <c r="R148" s="674"/>
      <c r="S148" s="674"/>
      <c r="T148" s="675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85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86"/>
      <c r="P149" s="676" t="s">
        <v>87</v>
      </c>
      <c r="Q149" s="677"/>
      <c r="R149" s="677"/>
      <c r="S149" s="677"/>
      <c r="T149" s="677"/>
      <c r="U149" s="677"/>
      <c r="V149" s="678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2"/>
      <c r="B150" s="672"/>
      <c r="C150" s="672"/>
      <c r="D150" s="672"/>
      <c r="E150" s="672"/>
      <c r="F150" s="672"/>
      <c r="G150" s="672"/>
      <c r="H150" s="672"/>
      <c r="I150" s="672"/>
      <c r="J150" s="672"/>
      <c r="K150" s="672"/>
      <c r="L150" s="672"/>
      <c r="M150" s="672"/>
      <c r="N150" s="672"/>
      <c r="O150" s="686"/>
      <c r="P150" s="676" t="s">
        <v>87</v>
      </c>
      <c r="Q150" s="677"/>
      <c r="R150" s="677"/>
      <c r="S150" s="677"/>
      <c r="T150" s="677"/>
      <c r="U150" s="677"/>
      <c r="V150" s="678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21" t="s">
        <v>95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58"/>
      <c r="AB151" s="658"/>
      <c r="AC151" s="658"/>
    </row>
    <row r="152" spans="1:68" ht="14.25" hidden="1" customHeight="1" x14ac:dyDescent="0.25">
      <c r="A152" s="671" t="s">
        <v>97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6"/>
      <c r="AB152" s="656"/>
      <c r="AC152" s="656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4"/>
      <c r="R153" s="674"/>
      <c r="S153" s="674"/>
      <c r="T153" s="675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85"/>
      <c r="B154" s="672"/>
      <c r="C154" s="672"/>
      <c r="D154" s="672"/>
      <c r="E154" s="672"/>
      <c r="F154" s="672"/>
      <c r="G154" s="672"/>
      <c r="H154" s="672"/>
      <c r="I154" s="672"/>
      <c r="J154" s="672"/>
      <c r="K154" s="672"/>
      <c r="L154" s="672"/>
      <c r="M154" s="672"/>
      <c r="N154" s="672"/>
      <c r="O154" s="686"/>
      <c r="P154" s="676" t="s">
        <v>87</v>
      </c>
      <c r="Q154" s="677"/>
      <c r="R154" s="677"/>
      <c r="S154" s="677"/>
      <c r="T154" s="677"/>
      <c r="U154" s="677"/>
      <c r="V154" s="678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2"/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86"/>
      <c r="P155" s="676" t="s">
        <v>87</v>
      </c>
      <c r="Q155" s="677"/>
      <c r="R155" s="677"/>
      <c r="S155" s="677"/>
      <c r="T155" s="677"/>
      <c r="U155" s="677"/>
      <c r="V155" s="678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1" t="s">
        <v>144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56"/>
      <c r="AB156" s="656"/>
      <c r="AC156" s="656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4"/>
      <c r="R158" s="674"/>
      <c r="S158" s="674"/>
      <c r="T158" s="675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4"/>
      <c r="R159" s="674"/>
      <c r="S159" s="674"/>
      <c r="T159" s="675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8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4"/>
      <c r="R160" s="674"/>
      <c r="S160" s="674"/>
      <c r="T160" s="675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85"/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86"/>
      <c r="P161" s="676" t="s">
        <v>87</v>
      </c>
      <c r="Q161" s="677"/>
      <c r="R161" s="677"/>
      <c r="S161" s="677"/>
      <c r="T161" s="677"/>
      <c r="U161" s="677"/>
      <c r="V161" s="678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2"/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86"/>
      <c r="P162" s="676" t="s">
        <v>87</v>
      </c>
      <c r="Q162" s="677"/>
      <c r="R162" s="677"/>
      <c r="S162" s="677"/>
      <c r="T162" s="677"/>
      <c r="U162" s="677"/>
      <c r="V162" s="678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1" t="s">
        <v>63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56"/>
      <c r="AB163" s="656"/>
      <c r="AC163" s="656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6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4"/>
      <c r="R164" s="674"/>
      <c r="S164" s="674"/>
      <c r="T164" s="675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5"/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86"/>
      <c r="P165" s="676" t="s">
        <v>87</v>
      </c>
      <c r="Q165" s="677"/>
      <c r="R165" s="677"/>
      <c r="S165" s="677"/>
      <c r="T165" s="677"/>
      <c r="U165" s="677"/>
      <c r="V165" s="678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2"/>
      <c r="B166" s="672"/>
      <c r="C166" s="672"/>
      <c r="D166" s="672"/>
      <c r="E166" s="672"/>
      <c r="F166" s="672"/>
      <c r="G166" s="672"/>
      <c r="H166" s="672"/>
      <c r="I166" s="672"/>
      <c r="J166" s="672"/>
      <c r="K166" s="672"/>
      <c r="L166" s="672"/>
      <c r="M166" s="672"/>
      <c r="N166" s="672"/>
      <c r="O166" s="686"/>
      <c r="P166" s="676" t="s">
        <v>87</v>
      </c>
      <c r="Q166" s="677"/>
      <c r="R166" s="677"/>
      <c r="S166" s="677"/>
      <c r="T166" s="677"/>
      <c r="U166" s="677"/>
      <c r="V166" s="678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23" t="s">
        <v>283</v>
      </c>
      <c r="B167" s="724"/>
      <c r="C167" s="724"/>
      <c r="D167" s="724"/>
      <c r="E167" s="724"/>
      <c r="F167" s="724"/>
      <c r="G167" s="724"/>
      <c r="H167" s="724"/>
      <c r="I167" s="724"/>
      <c r="J167" s="724"/>
      <c r="K167" s="724"/>
      <c r="L167" s="724"/>
      <c r="M167" s="724"/>
      <c r="N167" s="724"/>
      <c r="O167" s="724"/>
      <c r="P167" s="724"/>
      <c r="Q167" s="724"/>
      <c r="R167" s="724"/>
      <c r="S167" s="724"/>
      <c r="T167" s="724"/>
      <c r="U167" s="724"/>
      <c r="V167" s="724"/>
      <c r="W167" s="724"/>
      <c r="X167" s="724"/>
      <c r="Y167" s="724"/>
      <c r="Z167" s="724"/>
      <c r="AA167" s="48"/>
      <c r="AB167" s="48"/>
      <c r="AC167" s="48"/>
    </row>
    <row r="168" spans="1:68" ht="16.5" hidden="1" customHeight="1" x14ac:dyDescent="0.25">
      <c r="A168" s="721" t="s">
        <v>284</v>
      </c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2"/>
      <c r="S168" s="672"/>
      <c r="T168" s="672"/>
      <c r="U168" s="672"/>
      <c r="V168" s="672"/>
      <c r="W168" s="672"/>
      <c r="X168" s="672"/>
      <c r="Y168" s="672"/>
      <c r="Z168" s="672"/>
      <c r="AA168" s="658"/>
      <c r="AB168" s="658"/>
      <c r="AC168" s="658"/>
    </row>
    <row r="169" spans="1:68" ht="14.25" hidden="1" customHeight="1" x14ac:dyDescent="0.25">
      <c r="A169" s="671" t="s">
        <v>133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56"/>
      <c r="AB169" s="656"/>
      <c r="AC169" s="656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4"/>
      <c r="R170" s="674"/>
      <c r="S170" s="674"/>
      <c r="T170" s="675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5"/>
      <c r="B171" s="672"/>
      <c r="C171" s="672"/>
      <c r="D171" s="672"/>
      <c r="E171" s="672"/>
      <c r="F171" s="672"/>
      <c r="G171" s="672"/>
      <c r="H171" s="672"/>
      <c r="I171" s="672"/>
      <c r="J171" s="672"/>
      <c r="K171" s="672"/>
      <c r="L171" s="672"/>
      <c r="M171" s="672"/>
      <c r="N171" s="672"/>
      <c r="O171" s="686"/>
      <c r="P171" s="676" t="s">
        <v>87</v>
      </c>
      <c r="Q171" s="677"/>
      <c r="R171" s="677"/>
      <c r="S171" s="677"/>
      <c r="T171" s="677"/>
      <c r="U171" s="677"/>
      <c r="V171" s="678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2"/>
      <c r="B172" s="672"/>
      <c r="C172" s="672"/>
      <c r="D172" s="672"/>
      <c r="E172" s="672"/>
      <c r="F172" s="672"/>
      <c r="G172" s="672"/>
      <c r="H172" s="672"/>
      <c r="I172" s="672"/>
      <c r="J172" s="672"/>
      <c r="K172" s="672"/>
      <c r="L172" s="672"/>
      <c r="M172" s="672"/>
      <c r="N172" s="672"/>
      <c r="O172" s="686"/>
      <c r="P172" s="676" t="s">
        <v>87</v>
      </c>
      <c r="Q172" s="677"/>
      <c r="R172" s="677"/>
      <c r="S172" s="677"/>
      <c r="T172" s="677"/>
      <c r="U172" s="677"/>
      <c r="V172" s="678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1" t="s">
        <v>144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56"/>
      <c r="AB173" s="656"/>
      <c r="AC173" s="656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4"/>
      <c r="R174" s="674"/>
      <c r="S174" s="674"/>
      <c r="T174" s="675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4"/>
      <c r="R176" s="674"/>
      <c r="S176" s="674"/>
      <c r="T176" s="675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4"/>
      <c r="R177" s="674"/>
      <c r="S177" s="674"/>
      <c r="T177" s="675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">
        <v>303</v>
      </c>
      <c r="Q179" s="674"/>
      <c r="R179" s="674"/>
      <c r="S179" s="674"/>
      <c r="T179" s="675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4"/>
      <c r="R180" s="674"/>
      <c r="S180" s="674"/>
      <c r="T180" s="675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4"/>
      <c r="R181" s="674"/>
      <c r="S181" s="674"/>
      <c r="T181" s="675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4"/>
      <c r="R182" s="674"/>
      <c r="S182" s="674"/>
      <c r="T182" s="675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85"/>
      <c r="B183" s="672"/>
      <c r="C183" s="672"/>
      <c r="D183" s="672"/>
      <c r="E183" s="672"/>
      <c r="F183" s="672"/>
      <c r="G183" s="672"/>
      <c r="H183" s="672"/>
      <c r="I183" s="672"/>
      <c r="J183" s="672"/>
      <c r="K183" s="672"/>
      <c r="L183" s="672"/>
      <c r="M183" s="672"/>
      <c r="N183" s="672"/>
      <c r="O183" s="686"/>
      <c r="P183" s="676" t="s">
        <v>87</v>
      </c>
      <c r="Q183" s="677"/>
      <c r="R183" s="677"/>
      <c r="S183" s="677"/>
      <c r="T183" s="677"/>
      <c r="U183" s="677"/>
      <c r="V183" s="678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2"/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86"/>
      <c r="P184" s="676" t="s">
        <v>87</v>
      </c>
      <c r="Q184" s="677"/>
      <c r="R184" s="677"/>
      <c r="S184" s="677"/>
      <c r="T184" s="677"/>
      <c r="U184" s="677"/>
      <c r="V184" s="678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1" t="s">
        <v>89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56"/>
      <c r="AB185" s="656"/>
      <c r="AC185" s="656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1" t="s">
        <v>316</v>
      </c>
      <c r="Q186" s="674"/>
      <c r="R186" s="674"/>
      <c r="S186" s="674"/>
      <c r="T186" s="675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5"/>
      <c r="B187" s="672"/>
      <c r="C187" s="672"/>
      <c r="D187" s="672"/>
      <c r="E187" s="672"/>
      <c r="F187" s="672"/>
      <c r="G187" s="672"/>
      <c r="H187" s="672"/>
      <c r="I187" s="672"/>
      <c r="J187" s="672"/>
      <c r="K187" s="672"/>
      <c r="L187" s="672"/>
      <c r="M187" s="672"/>
      <c r="N187" s="672"/>
      <c r="O187" s="686"/>
      <c r="P187" s="676" t="s">
        <v>87</v>
      </c>
      <c r="Q187" s="677"/>
      <c r="R187" s="677"/>
      <c r="S187" s="677"/>
      <c r="T187" s="677"/>
      <c r="U187" s="677"/>
      <c r="V187" s="678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2"/>
      <c r="B188" s="672"/>
      <c r="C188" s="672"/>
      <c r="D188" s="672"/>
      <c r="E188" s="672"/>
      <c r="F188" s="672"/>
      <c r="G188" s="672"/>
      <c r="H188" s="672"/>
      <c r="I188" s="672"/>
      <c r="J188" s="672"/>
      <c r="K188" s="672"/>
      <c r="L188" s="672"/>
      <c r="M188" s="672"/>
      <c r="N188" s="672"/>
      <c r="O188" s="686"/>
      <c r="P188" s="676" t="s">
        <v>87</v>
      </c>
      <c r="Q188" s="677"/>
      <c r="R188" s="677"/>
      <c r="S188" s="677"/>
      <c r="T188" s="677"/>
      <c r="U188" s="677"/>
      <c r="V188" s="678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21" t="s">
        <v>319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58"/>
      <c r="AB189" s="658"/>
      <c r="AC189" s="658"/>
    </row>
    <row r="190" spans="1:68" ht="14.25" hidden="1" customHeight="1" x14ac:dyDescent="0.25">
      <c r="A190" s="671" t="s">
        <v>97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56"/>
      <c r="AB190" s="656"/>
      <c r="AC190" s="656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69">
        <v>4680115881402</v>
      </c>
      <c r="E191" s="670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4"/>
      <c r="R191" s="674"/>
      <c r="S191" s="674"/>
      <c r="T191" s="675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69">
        <v>4680115881396</v>
      </c>
      <c r="E192" s="670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4"/>
      <c r="R192" s="674"/>
      <c r="S192" s="674"/>
      <c r="T192" s="675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5"/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86"/>
      <c r="P193" s="676" t="s">
        <v>87</v>
      </c>
      <c r="Q193" s="677"/>
      <c r="R193" s="677"/>
      <c r="S193" s="677"/>
      <c r="T193" s="677"/>
      <c r="U193" s="677"/>
      <c r="V193" s="678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2"/>
      <c r="B194" s="672"/>
      <c r="C194" s="672"/>
      <c r="D194" s="672"/>
      <c r="E194" s="672"/>
      <c r="F194" s="672"/>
      <c r="G194" s="672"/>
      <c r="H194" s="672"/>
      <c r="I194" s="672"/>
      <c r="J194" s="672"/>
      <c r="K194" s="672"/>
      <c r="L194" s="672"/>
      <c r="M194" s="672"/>
      <c r="N194" s="672"/>
      <c r="O194" s="686"/>
      <c r="P194" s="676" t="s">
        <v>87</v>
      </c>
      <c r="Q194" s="677"/>
      <c r="R194" s="677"/>
      <c r="S194" s="677"/>
      <c r="T194" s="677"/>
      <c r="U194" s="677"/>
      <c r="V194" s="678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1" t="s">
        <v>133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56"/>
      <c r="AB195" s="656"/>
      <c r="AC195" s="656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69">
        <v>4680115882935</v>
      </c>
      <c r="E196" s="670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10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4"/>
      <c r="R196" s="674"/>
      <c r="S196" s="674"/>
      <c r="T196" s="675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69">
        <v>4680115880764</v>
      </c>
      <c r="E197" s="670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4"/>
      <c r="R197" s="674"/>
      <c r="S197" s="674"/>
      <c r="T197" s="675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5"/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86"/>
      <c r="P198" s="676" t="s">
        <v>87</v>
      </c>
      <c r="Q198" s="677"/>
      <c r="R198" s="677"/>
      <c r="S198" s="677"/>
      <c r="T198" s="677"/>
      <c r="U198" s="677"/>
      <c r="V198" s="678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2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86"/>
      <c r="P199" s="676" t="s">
        <v>87</v>
      </c>
      <c r="Q199" s="677"/>
      <c r="R199" s="677"/>
      <c r="S199" s="677"/>
      <c r="T199" s="677"/>
      <c r="U199" s="677"/>
      <c r="V199" s="678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1" t="s">
        <v>144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56"/>
      <c r="AB200" s="656"/>
      <c r="AC200" s="656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69">
        <v>4680115882683</v>
      </c>
      <c r="E201" s="670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4"/>
      <c r="R201" s="674"/>
      <c r="S201" s="674"/>
      <c r="T201" s="675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69">
        <v>4680115882690</v>
      </c>
      <c r="E202" s="670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4"/>
      <c r="R202" s="674"/>
      <c r="S202" s="674"/>
      <c r="T202" s="675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69">
        <v>4680115882669</v>
      </c>
      <c r="E203" s="670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4"/>
      <c r="R203" s="674"/>
      <c r="S203" s="674"/>
      <c r="T203" s="675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69">
        <v>4680115882676</v>
      </c>
      <c r="E204" s="670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69">
        <v>4680115884014</v>
      </c>
      <c r="E205" s="670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69">
        <v>4680115884007</v>
      </c>
      <c r="E206" s="670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69">
        <v>4680115884038</v>
      </c>
      <c r="E207" s="670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69">
        <v>4680115884021</v>
      </c>
      <c r="E208" s="670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85"/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86"/>
      <c r="P209" s="676" t="s">
        <v>87</v>
      </c>
      <c r="Q209" s="677"/>
      <c r="R209" s="677"/>
      <c r="S209" s="677"/>
      <c r="T209" s="677"/>
      <c r="U209" s="677"/>
      <c r="V209" s="678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2"/>
      <c r="B210" s="672"/>
      <c r="C210" s="672"/>
      <c r="D210" s="672"/>
      <c r="E210" s="672"/>
      <c r="F210" s="672"/>
      <c r="G210" s="672"/>
      <c r="H210" s="672"/>
      <c r="I210" s="672"/>
      <c r="J210" s="672"/>
      <c r="K210" s="672"/>
      <c r="L210" s="672"/>
      <c r="M210" s="672"/>
      <c r="N210" s="672"/>
      <c r="O210" s="686"/>
      <c r="P210" s="676" t="s">
        <v>87</v>
      </c>
      <c r="Q210" s="677"/>
      <c r="R210" s="677"/>
      <c r="S210" s="677"/>
      <c r="T210" s="677"/>
      <c r="U210" s="677"/>
      <c r="V210" s="678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1" t="s">
        <v>63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56"/>
      <c r="AB211" s="656"/>
      <c r="AC211" s="656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69">
        <v>4680115881594</v>
      </c>
      <c r="E212" s="670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4"/>
      <c r="R212" s="674"/>
      <c r="S212" s="674"/>
      <c r="T212" s="675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69">
        <v>4680115881617</v>
      </c>
      <c r="E213" s="670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4"/>
      <c r="R213" s="674"/>
      <c r="S213" s="674"/>
      <c r="T213" s="675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69">
        <v>4680115880573</v>
      </c>
      <c r="E214" s="670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4"/>
      <c r="R214" s="674"/>
      <c r="S214" s="674"/>
      <c r="T214" s="675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69">
        <v>4680115882195</v>
      </c>
      <c r="E215" s="670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69">
        <v>4680115882607</v>
      </c>
      <c r="E216" s="670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4"/>
      <c r="R216" s="674"/>
      <c r="S216" s="674"/>
      <c r="T216" s="675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69">
        <v>4680115880092</v>
      </c>
      <c r="E217" s="670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69">
        <v>4680115880221</v>
      </c>
      <c r="E218" s="670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69">
        <v>4680115880504</v>
      </c>
      <c r="E219" s="670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4"/>
      <c r="R219" s="674"/>
      <c r="S219" s="674"/>
      <c r="T219" s="675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69">
        <v>4680115882164</v>
      </c>
      <c r="E220" s="670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85"/>
      <c r="B221" s="672"/>
      <c r="C221" s="672"/>
      <c r="D221" s="672"/>
      <c r="E221" s="672"/>
      <c r="F221" s="672"/>
      <c r="G221" s="672"/>
      <c r="H221" s="672"/>
      <c r="I221" s="672"/>
      <c r="J221" s="672"/>
      <c r="K221" s="672"/>
      <c r="L221" s="672"/>
      <c r="M221" s="672"/>
      <c r="N221" s="672"/>
      <c r="O221" s="686"/>
      <c r="P221" s="676" t="s">
        <v>87</v>
      </c>
      <c r="Q221" s="677"/>
      <c r="R221" s="677"/>
      <c r="S221" s="677"/>
      <c r="T221" s="677"/>
      <c r="U221" s="677"/>
      <c r="V221" s="678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2"/>
      <c r="B222" s="672"/>
      <c r="C222" s="672"/>
      <c r="D222" s="672"/>
      <c r="E222" s="672"/>
      <c r="F222" s="672"/>
      <c r="G222" s="672"/>
      <c r="H222" s="672"/>
      <c r="I222" s="672"/>
      <c r="J222" s="672"/>
      <c r="K222" s="672"/>
      <c r="L222" s="672"/>
      <c r="M222" s="672"/>
      <c r="N222" s="672"/>
      <c r="O222" s="686"/>
      <c r="P222" s="676" t="s">
        <v>87</v>
      </c>
      <c r="Q222" s="677"/>
      <c r="R222" s="677"/>
      <c r="S222" s="677"/>
      <c r="T222" s="677"/>
      <c r="U222" s="677"/>
      <c r="V222" s="678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1" t="s">
        <v>170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56"/>
      <c r="AB223" s="656"/>
      <c r="AC223" s="656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69">
        <v>4680115880818</v>
      </c>
      <c r="E224" s="670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4"/>
      <c r="R224" s="674"/>
      <c r="S224" s="674"/>
      <c r="T224" s="675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69">
        <v>4680115880801</v>
      </c>
      <c r="E225" s="670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4"/>
      <c r="R225" s="674"/>
      <c r="S225" s="674"/>
      <c r="T225" s="675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85"/>
      <c r="B226" s="672"/>
      <c r="C226" s="672"/>
      <c r="D226" s="672"/>
      <c r="E226" s="672"/>
      <c r="F226" s="672"/>
      <c r="G226" s="672"/>
      <c r="H226" s="672"/>
      <c r="I226" s="672"/>
      <c r="J226" s="672"/>
      <c r="K226" s="672"/>
      <c r="L226" s="672"/>
      <c r="M226" s="672"/>
      <c r="N226" s="672"/>
      <c r="O226" s="686"/>
      <c r="P226" s="676" t="s">
        <v>87</v>
      </c>
      <c r="Q226" s="677"/>
      <c r="R226" s="677"/>
      <c r="S226" s="677"/>
      <c r="T226" s="677"/>
      <c r="U226" s="677"/>
      <c r="V226" s="678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2"/>
      <c r="B227" s="672"/>
      <c r="C227" s="672"/>
      <c r="D227" s="672"/>
      <c r="E227" s="672"/>
      <c r="F227" s="672"/>
      <c r="G227" s="672"/>
      <c r="H227" s="672"/>
      <c r="I227" s="672"/>
      <c r="J227" s="672"/>
      <c r="K227" s="672"/>
      <c r="L227" s="672"/>
      <c r="M227" s="672"/>
      <c r="N227" s="672"/>
      <c r="O227" s="686"/>
      <c r="P227" s="676" t="s">
        <v>87</v>
      </c>
      <c r="Q227" s="677"/>
      <c r="R227" s="677"/>
      <c r="S227" s="677"/>
      <c r="T227" s="677"/>
      <c r="U227" s="677"/>
      <c r="V227" s="678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21" t="s">
        <v>380</v>
      </c>
      <c r="B228" s="672"/>
      <c r="C228" s="672"/>
      <c r="D228" s="672"/>
      <c r="E228" s="672"/>
      <c r="F228" s="672"/>
      <c r="G228" s="672"/>
      <c r="H228" s="672"/>
      <c r="I228" s="672"/>
      <c r="J228" s="672"/>
      <c r="K228" s="672"/>
      <c r="L228" s="672"/>
      <c r="M228" s="672"/>
      <c r="N228" s="672"/>
      <c r="O228" s="672"/>
      <c r="P228" s="672"/>
      <c r="Q228" s="672"/>
      <c r="R228" s="672"/>
      <c r="S228" s="672"/>
      <c r="T228" s="672"/>
      <c r="U228" s="672"/>
      <c r="V228" s="672"/>
      <c r="W228" s="672"/>
      <c r="X228" s="672"/>
      <c r="Y228" s="672"/>
      <c r="Z228" s="672"/>
      <c r="AA228" s="658"/>
      <c r="AB228" s="658"/>
      <c r="AC228" s="658"/>
    </row>
    <row r="229" spans="1:68" ht="14.25" hidden="1" customHeight="1" x14ac:dyDescent="0.25">
      <c r="A229" s="671" t="s">
        <v>97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56"/>
      <c r="AB229" s="656"/>
      <c r="AC229" s="656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69">
        <v>4680115884137</v>
      </c>
      <c r="E230" s="670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4"/>
      <c r="R230" s="674"/>
      <c r="S230" s="674"/>
      <c r="T230" s="675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69">
        <v>4680115884137</v>
      </c>
      <c r="E231" s="670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71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4"/>
      <c r="R231" s="674"/>
      <c r="S231" s="674"/>
      <c r="T231" s="675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69">
        <v>4680115884236</v>
      </c>
      <c r="E232" s="670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4"/>
      <c r="R232" s="674"/>
      <c r="S232" s="674"/>
      <c r="T232" s="675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69">
        <v>4680115884175</v>
      </c>
      <c r="E233" s="670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69">
        <v>4680115884175</v>
      </c>
      <c r="E234" s="670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69">
        <v>4680115884144</v>
      </c>
      <c r="E235" s="670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69">
        <v>4680115884182</v>
      </c>
      <c r="E236" s="670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69">
        <v>4680115884205</v>
      </c>
      <c r="E237" s="670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85"/>
      <c r="B238" s="672"/>
      <c r="C238" s="672"/>
      <c r="D238" s="672"/>
      <c r="E238" s="672"/>
      <c r="F238" s="672"/>
      <c r="G238" s="672"/>
      <c r="H238" s="672"/>
      <c r="I238" s="672"/>
      <c r="J238" s="672"/>
      <c r="K238" s="672"/>
      <c r="L238" s="672"/>
      <c r="M238" s="672"/>
      <c r="N238" s="672"/>
      <c r="O238" s="686"/>
      <c r="P238" s="676" t="s">
        <v>87</v>
      </c>
      <c r="Q238" s="677"/>
      <c r="R238" s="677"/>
      <c r="S238" s="677"/>
      <c r="T238" s="677"/>
      <c r="U238" s="677"/>
      <c r="V238" s="678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2"/>
      <c r="B239" s="672"/>
      <c r="C239" s="672"/>
      <c r="D239" s="672"/>
      <c r="E239" s="672"/>
      <c r="F239" s="672"/>
      <c r="G239" s="672"/>
      <c r="H239" s="672"/>
      <c r="I239" s="672"/>
      <c r="J239" s="672"/>
      <c r="K239" s="672"/>
      <c r="L239" s="672"/>
      <c r="M239" s="672"/>
      <c r="N239" s="672"/>
      <c r="O239" s="686"/>
      <c r="P239" s="676" t="s">
        <v>87</v>
      </c>
      <c r="Q239" s="677"/>
      <c r="R239" s="677"/>
      <c r="S239" s="677"/>
      <c r="T239" s="677"/>
      <c r="U239" s="677"/>
      <c r="V239" s="678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1" t="s">
        <v>133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56"/>
      <c r="AB240" s="656"/>
      <c r="AC240" s="656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69">
        <v>4680115885981</v>
      </c>
      <c r="E241" s="670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47" t="s">
        <v>402</v>
      </c>
      <c r="Q241" s="674"/>
      <c r="R241" s="674"/>
      <c r="S241" s="674"/>
      <c r="T241" s="675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69">
        <v>4680115885721</v>
      </c>
      <c r="E242" s="670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4"/>
      <c r="R242" s="674"/>
      <c r="S242" s="674"/>
      <c r="T242" s="675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5"/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86"/>
      <c r="P243" s="676" t="s">
        <v>87</v>
      </c>
      <c r="Q243" s="677"/>
      <c r="R243" s="677"/>
      <c r="S243" s="677"/>
      <c r="T243" s="677"/>
      <c r="U243" s="677"/>
      <c r="V243" s="678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2"/>
      <c r="B244" s="672"/>
      <c r="C244" s="672"/>
      <c r="D244" s="672"/>
      <c r="E244" s="672"/>
      <c r="F244" s="672"/>
      <c r="G244" s="672"/>
      <c r="H244" s="672"/>
      <c r="I244" s="672"/>
      <c r="J244" s="672"/>
      <c r="K244" s="672"/>
      <c r="L244" s="672"/>
      <c r="M244" s="672"/>
      <c r="N244" s="672"/>
      <c r="O244" s="686"/>
      <c r="P244" s="676" t="s">
        <v>87</v>
      </c>
      <c r="Q244" s="677"/>
      <c r="R244" s="677"/>
      <c r="S244" s="677"/>
      <c r="T244" s="677"/>
      <c r="U244" s="677"/>
      <c r="V244" s="678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1" t="s">
        <v>405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56"/>
      <c r="AB245" s="656"/>
      <c r="AC245" s="656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69">
        <v>4680115886803</v>
      </c>
      <c r="E246" s="670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1" t="s">
        <v>408</v>
      </c>
      <c r="Q246" s="674"/>
      <c r="R246" s="674"/>
      <c r="S246" s="674"/>
      <c r="T246" s="675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5"/>
      <c r="B247" s="672"/>
      <c r="C247" s="672"/>
      <c r="D247" s="672"/>
      <c r="E247" s="672"/>
      <c r="F247" s="672"/>
      <c r="G247" s="672"/>
      <c r="H247" s="672"/>
      <c r="I247" s="672"/>
      <c r="J247" s="672"/>
      <c r="K247" s="672"/>
      <c r="L247" s="672"/>
      <c r="M247" s="672"/>
      <c r="N247" s="672"/>
      <c r="O247" s="686"/>
      <c r="P247" s="676" t="s">
        <v>87</v>
      </c>
      <c r="Q247" s="677"/>
      <c r="R247" s="677"/>
      <c r="S247" s="677"/>
      <c r="T247" s="677"/>
      <c r="U247" s="677"/>
      <c r="V247" s="678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2"/>
      <c r="B248" s="672"/>
      <c r="C248" s="672"/>
      <c r="D248" s="672"/>
      <c r="E248" s="672"/>
      <c r="F248" s="672"/>
      <c r="G248" s="672"/>
      <c r="H248" s="672"/>
      <c r="I248" s="672"/>
      <c r="J248" s="672"/>
      <c r="K248" s="672"/>
      <c r="L248" s="672"/>
      <c r="M248" s="672"/>
      <c r="N248" s="672"/>
      <c r="O248" s="686"/>
      <c r="P248" s="676" t="s">
        <v>87</v>
      </c>
      <c r="Q248" s="677"/>
      <c r="R248" s="677"/>
      <c r="S248" s="677"/>
      <c r="T248" s="677"/>
      <c r="U248" s="677"/>
      <c r="V248" s="678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1" t="s">
        <v>410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56"/>
      <c r="AB249" s="656"/>
      <c r="AC249" s="656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69">
        <v>4680115886681</v>
      </c>
      <c r="E250" s="670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5" t="s">
        <v>413</v>
      </c>
      <c r="Q250" s="674"/>
      <c r="R250" s="674"/>
      <c r="S250" s="674"/>
      <c r="T250" s="675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5"/>
      <c r="B251" s="672"/>
      <c r="C251" s="672"/>
      <c r="D251" s="672"/>
      <c r="E251" s="672"/>
      <c r="F251" s="672"/>
      <c r="G251" s="672"/>
      <c r="H251" s="672"/>
      <c r="I251" s="672"/>
      <c r="J251" s="672"/>
      <c r="K251" s="672"/>
      <c r="L251" s="672"/>
      <c r="M251" s="672"/>
      <c r="N251" s="672"/>
      <c r="O251" s="686"/>
      <c r="P251" s="676" t="s">
        <v>87</v>
      </c>
      <c r="Q251" s="677"/>
      <c r="R251" s="677"/>
      <c r="S251" s="677"/>
      <c r="T251" s="677"/>
      <c r="U251" s="677"/>
      <c r="V251" s="678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2"/>
      <c r="B252" s="672"/>
      <c r="C252" s="672"/>
      <c r="D252" s="672"/>
      <c r="E252" s="672"/>
      <c r="F252" s="672"/>
      <c r="G252" s="672"/>
      <c r="H252" s="672"/>
      <c r="I252" s="672"/>
      <c r="J252" s="672"/>
      <c r="K252" s="672"/>
      <c r="L252" s="672"/>
      <c r="M252" s="672"/>
      <c r="N252" s="672"/>
      <c r="O252" s="686"/>
      <c r="P252" s="676" t="s">
        <v>87</v>
      </c>
      <c r="Q252" s="677"/>
      <c r="R252" s="677"/>
      <c r="S252" s="677"/>
      <c r="T252" s="677"/>
      <c r="U252" s="677"/>
      <c r="V252" s="678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21" t="s">
        <v>415</v>
      </c>
      <c r="B253" s="672"/>
      <c r="C253" s="672"/>
      <c r="D253" s="672"/>
      <c r="E253" s="672"/>
      <c r="F253" s="672"/>
      <c r="G253" s="672"/>
      <c r="H253" s="672"/>
      <c r="I253" s="672"/>
      <c r="J253" s="672"/>
      <c r="K253" s="672"/>
      <c r="L253" s="672"/>
      <c r="M253" s="672"/>
      <c r="N253" s="672"/>
      <c r="O253" s="672"/>
      <c r="P253" s="672"/>
      <c r="Q253" s="672"/>
      <c r="R253" s="672"/>
      <c r="S253" s="672"/>
      <c r="T253" s="672"/>
      <c r="U253" s="672"/>
      <c r="V253" s="672"/>
      <c r="W253" s="672"/>
      <c r="X253" s="672"/>
      <c r="Y253" s="672"/>
      <c r="Z253" s="672"/>
      <c r="AA253" s="658"/>
      <c r="AB253" s="658"/>
      <c r="AC253" s="658"/>
    </row>
    <row r="254" spans="1:68" ht="14.25" hidden="1" customHeight="1" x14ac:dyDescent="0.25">
      <c r="A254" s="671" t="s">
        <v>97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56"/>
      <c r="AB254" s="656"/>
      <c r="AC254" s="656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69">
        <v>4680115885837</v>
      </c>
      <c r="E255" s="670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4"/>
      <c r="R255" s="674"/>
      <c r="S255" s="674"/>
      <c r="T255" s="675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69">
        <v>4680115885806</v>
      </c>
      <c r="E256" s="670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4"/>
      <c r="R256" s="674"/>
      <c r="S256" s="674"/>
      <c r="T256" s="675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69">
        <v>4680115885806</v>
      </c>
      <c r="E257" s="670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4"/>
      <c r="R257" s="674"/>
      <c r="S257" s="674"/>
      <c r="T257" s="675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69">
        <v>4680115885851</v>
      </c>
      <c r="E258" s="670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4"/>
      <c r="R258" s="674"/>
      <c r="S258" s="674"/>
      <c r="T258" s="675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69">
        <v>4680115885844</v>
      </c>
      <c r="E259" s="670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4"/>
      <c r="R259" s="674"/>
      <c r="S259" s="674"/>
      <c r="T259" s="675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69">
        <v>4680115885820</v>
      </c>
      <c r="E260" s="670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4"/>
      <c r="R260" s="674"/>
      <c r="S260" s="674"/>
      <c r="T260" s="675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85"/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86"/>
      <c r="P261" s="676" t="s">
        <v>87</v>
      </c>
      <c r="Q261" s="677"/>
      <c r="R261" s="677"/>
      <c r="S261" s="677"/>
      <c r="T261" s="677"/>
      <c r="U261" s="677"/>
      <c r="V261" s="678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2"/>
      <c r="B262" s="672"/>
      <c r="C262" s="672"/>
      <c r="D262" s="672"/>
      <c r="E262" s="672"/>
      <c r="F262" s="672"/>
      <c r="G262" s="672"/>
      <c r="H262" s="672"/>
      <c r="I262" s="672"/>
      <c r="J262" s="672"/>
      <c r="K262" s="672"/>
      <c r="L262" s="672"/>
      <c r="M262" s="672"/>
      <c r="N262" s="672"/>
      <c r="O262" s="686"/>
      <c r="P262" s="676" t="s">
        <v>87</v>
      </c>
      <c r="Q262" s="677"/>
      <c r="R262" s="677"/>
      <c r="S262" s="677"/>
      <c r="T262" s="677"/>
      <c r="U262" s="677"/>
      <c r="V262" s="678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21" t="s">
        <v>433</v>
      </c>
      <c r="B263" s="672"/>
      <c r="C263" s="672"/>
      <c r="D263" s="672"/>
      <c r="E263" s="672"/>
      <c r="F263" s="672"/>
      <c r="G263" s="672"/>
      <c r="H263" s="672"/>
      <c r="I263" s="672"/>
      <c r="J263" s="672"/>
      <c r="K263" s="672"/>
      <c r="L263" s="672"/>
      <c r="M263" s="672"/>
      <c r="N263" s="672"/>
      <c r="O263" s="672"/>
      <c r="P263" s="672"/>
      <c r="Q263" s="672"/>
      <c r="R263" s="672"/>
      <c r="S263" s="672"/>
      <c r="T263" s="672"/>
      <c r="U263" s="672"/>
      <c r="V263" s="672"/>
      <c r="W263" s="672"/>
      <c r="X263" s="672"/>
      <c r="Y263" s="672"/>
      <c r="Z263" s="672"/>
      <c r="AA263" s="658"/>
      <c r="AB263" s="658"/>
      <c r="AC263" s="658"/>
    </row>
    <row r="264" spans="1:68" ht="14.25" hidden="1" customHeight="1" x14ac:dyDescent="0.25">
      <c r="A264" s="671" t="s">
        <v>97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56"/>
      <c r="AB264" s="656"/>
      <c r="AC264" s="656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69">
        <v>4680115885707</v>
      </c>
      <c r="E265" s="670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5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86"/>
      <c r="P266" s="676" t="s">
        <v>87</v>
      </c>
      <c r="Q266" s="677"/>
      <c r="R266" s="677"/>
      <c r="S266" s="677"/>
      <c r="T266" s="677"/>
      <c r="U266" s="677"/>
      <c r="V266" s="678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2"/>
      <c r="B267" s="672"/>
      <c r="C267" s="672"/>
      <c r="D267" s="672"/>
      <c r="E267" s="672"/>
      <c r="F267" s="672"/>
      <c r="G267" s="672"/>
      <c r="H267" s="672"/>
      <c r="I267" s="672"/>
      <c r="J267" s="672"/>
      <c r="K267" s="672"/>
      <c r="L267" s="672"/>
      <c r="M267" s="672"/>
      <c r="N267" s="672"/>
      <c r="O267" s="686"/>
      <c r="P267" s="676" t="s">
        <v>87</v>
      </c>
      <c r="Q267" s="677"/>
      <c r="R267" s="677"/>
      <c r="S267" s="677"/>
      <c r="T267" s="677"/>
      <c r="U267" s="677"/>
      <c r="V267" s="678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21" t="s">
        <v>437</v>
      </c>
      <c r="B268" s="672"/>
      <c r="C268" s="672"/>
      <c r="D268" s="672"/>
      <c r="E268" s="672"/>
      <c r="F268" s="672"/>
      <c r="G268" s="672"/>
      <c r="H268" s="672"/>
      <c r="I268" s="672"/>
      <c r="J268" s="672"/>
      <c r="K268" s="672"/>
      <c r="L268" s="672"/>
      <c r="M268" s="672"/>
      <c r="N268" s="672"/>
      <c r="O268" s="672"/>
      <c r="P268" s="672"/>
      <c r="Q268" s="672"/>
      <c r="R268" s="672"/>
      <c r="S268" s="672"/>
      <c r="T268" s="672"/>
      <c r="U268" s="672"/>
      <c r="V268" s="672"/>
      <c r="W268" s="672"/>
      <c r="X268" s="672"/>
      <c r="Y268" s="672"/>
      <c r="Z268" s="672"/>
      <c r="AA268" s="658"/>
      <c r="AB268" s="658"/>
      <c r="AC268" s="658"/>
    </row>
    <row r="269" spans="1:68" ht="14.25" hidden="1" customHeight="1" x14ac:dyDescent="0.25">
      <c r="A269" s="671" t="s">
        <v>97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56"/>
      <c r="AB269" s="656"/>
      <c r="AC269" s="656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69">
        <v>4607091383423</v>
      </c>
      <c r="E270" s="670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4"/>
      <c r="R270" s="674"/>
      <c r="S270" s="674"/>
      <c r="T270" s="675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69">
        <v>4680115885691</v>
      </c>
      <c r="E271" s="670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4"/>
      <c r="R271" s="674"/>
      <c r="S271" s="674"/>
      <c r="T271" s="675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69">
        <v>4680115885660</v>
      </c>
      <c r="E272" s="670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5"/>
      <c r="B273" s="672"/>
      <c r="C273" s="672"/>
      <c r="D273" s="672"/>
      <c r="E273" s="672"/>
      <c r="F273" s="672"/>
      <c r="G273" s="672"/>
      <c r="H273" s="672"/>
      <c r="I273" s="672"/>
      <c r="J273" s="672"/>
      <c r="K273" s="672"/>
      <c r="L273" s="672"/>
      <c r="M273" s="672"/>
      <c r="N273" s="672"/>
      <c r="O273" s="686"/>
      <c r="P273" s="676" t="s">
        <v>87</v>
      </c>
      <c r="Q273" s="677"/>
      <c r="R273" s="677"/>
      <c r="S273" s="677"/>
      <c r="T273" s="677"/>
      <c r="U273" s="677"/>
      <c r="V273" s="678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2"/>
      <c r="B274" s="672"/>
      <c r="C274" s="672"/>
      <c r="D274" s="672"/>
      <c r="E274" s="672"/>
      <c r="F274" s="672"/>
      <c r="G274" s="672"/>
      <c r="H274" s="672"/>
      <c r="I274" s="672"/>
      <c r="J274" s="672"/>
      <c r="K274" s="672"/>
      <c r="L274" s="672"/>
      <c r="M274" s="672"/>
      <c r="N274" s="672"/>
      <c r="O274" s="686"/>
      <c r="P274" s="676" t="s">
        <v>87</v>
      </c>
      <c r="Q274" s="677"/>
      <c r="R274" s="677"/>
      <c r="S274" s="677"/>
      <c r="T274" s="677"/>
      <c r="U274" s="677"/>
      <c r="V274" s="678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21" t="s">
        <v>446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58"/>
      <c r="AB275" s="658"/>
      <c r="AC275" s="658"/>
    </row>
    <row r="276" spans="1:68" ht="14.25" hidden="1" customHeight="1" x14ac:dyDescent="0.25">
      <c r="A276" s="671" t="s">
        <v>63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56"/>
      <c r="AB276" s="656"/>
      <c r="AC276" s="656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69">
        <v>4680115881037</v>
      </c>
      <c r="E277" s="670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4"/>
      <c r="R277" s="674"/>
      <c r="S277" s="674"/>
      <c r="T277" s="675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69">
        <v>4680115886186</v>
      </c>
      <c r="E278" s="670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69">
        <v>4680115881228</v>
      </c>
      <c r="E279" s="670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69">
        <v>4680115881211</v>
      </c>
      <c r="E280" s="670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7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4"/>
      <c r="R280" s="674"/>
      <c r="S280" s="674"/>
      <c r="T280" s="675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69">
        <v>4680115881020</v>
      </c>
      <c r="E281" s="670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4"/>
      <c r="R281" s="674"/>
      <c r="S281" s="674"/>
      <c r="T281" s="675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85"/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86"/>
      <c r="P282" s="676" t="s">
        <v>87</v>
      </c>
      <c r="Q282" s="677"/>
      <c r="R282" s="677"/>
      <c r="S282" s="677"/>
      <c r="T282" s="677"/>
      <c r="U282" s="677"/>
      <c r="V282" s="678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2"/>
      <c r="B283" s="672"/>
      <c r="C283" s="672"/>
      <c r="D283" s="672"/>
      <c r="E283" s="672"/>
      <c r="F283" s="672"/>
      <c r="G283" s="672"/>
      <c r="H283" s="672"/>
      <c r="I283" s="672"/>
      <c r="J283" s="672"/>
      <c r="K283" s="672"/>
      <c r="L283" s="672"/>
      <c r="M283" s="672"/>
      <c r="N283" s="672"/>
      <c r="O283" s="686"/>
      <c r="P283" s="676" t="s">
        <v>87</v>
      </c>
      <c r="Q283" s="677"/>
      <c r="R283" s="677"/>
      <c r="S283" s="677"/>
      <c r="T283" s="677"/>
      <c r="U283" s="677"/>
      <c r="V283" s="678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21" t="s">
        <v>460</v>
      </c>
      <c r="B284" s="672"/>
      <c r="C284" s="672"/>
      <c r="D284" s="672"/>
      <c r="E284" s="672"/>
      <c r="F284" s="672"/>
      <c r="G284" s="672"/>
      <c r="H284" s="672"/>
      <c r="I284" s="672"/>
      <c r="J284" s="672"/>
      <c r="K284" s="672"/>
      <c r="L284" s="672"/>
      <c r="M284" s="672"/>
      <c r="N284" s="672"/>
      <c r="O284" s="672"/>
      <c r="P284" s="672"/>
      <c r="Q284" s="672"/>
      <c r="R284" s="672"/>
      <c r="S284" s="672"/>
      <c r="T284" s="672"/>
      <c r="U284" s="672"/>
      <c r="V284" s="672"/>
      <c r="W284" s="672"/>
      <c r="X284" s="672"/>
      <c r="Y284" s="672"/>
      <c r="Z284" s="672"/>
      <c r="AA284" s="658"/>
      <c r="AB284" s="658"/>
      <c r="AC284" s="658"/>
    </row>
    <row r="285" spans="1:68" ht="14.25" hidden="1" customHeight="1" x14ac:dyDescent="0.25">
      <c r="A285" s="671" t="s">
        <v>97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56"/>
      <c r="AB285" s="656"/>
      <c r="AC285" s="656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69">
        <v>4607091389296</v>
      </c>
      <c r="E286" s="670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4"/>
      <c r="R286" s="674"/>
      <c r="S286" s="674"/>
      <c r="T286" s="675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5"/>
      <c r="B287" s="672"/>
      <c r="C287" s="672"/>
      <c r="D287" s="672"/>
      <c r="E287" s="672"/>
      <c r="F287" s="672"/>
      <c r="G287" s="672"/>
      <c r="H287" s="672"/>
      <c r="I287" s="672"/>
      <c r="J287" s="672"/>
      <c r="K287" s="672"/>
      <c r="L287" s="672"/>
      <c r="M287" s="672"/>
      <c r="N287" s="672"/>
      <c r="O287" s="686"/>
      <c r="P287" s="676" t="s">
        <v>87</v>
      </c>
      <c r="Q287" s="677"/>
      <c r="R287" s="677"/>
      <c r="S287" s="677"/>
      <c r="T287" s="677"/>
      <c r="U287" s="677"/>
      <c r="V287" s="678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2"/>
      <c r="B288" s="672"/>
      <c r="C288" s="672"/>
      <c r="D288" s="672"/>
      <c r="E288" s="672"/>
      <c r="F288" s="672"/>
      <c r="G288" s="672"/>
      <c r="H288" s="672"/>
      <c r="I288" s="672"/>
      <c r="J288" s="672"/>
      <c r="K288" s="672"/>
      <c r="L288" s="672"/>
      <c r="M288" s="672"/>
      <c r="N288" s="672"/>
      <c r="O288" s="686"/>
      <c r="P288" s="676" t="s">
        <v>87</v>
      </c>
      <c r="Q288" s="677"/>
      <c r="R288" s="677"/>
      <c r="S288" s="677"/>
      <c r="T288" s="677"/>
      <c r="U288" s="677"/>
      <c r="V288" s="678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1" t="s">
        <v>144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56"/>
      <c r="AB289" s="656"/>
      <c r="AC289" s="656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69">
        <v>4680115880344</v>
      </c>
      <c r="E290" s="670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4"/>
      <c r="R290" s="674"/>
      <c r="S290" s="674"/>
      <c r="T290" s="675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5"/>
      <c r="B291" s="672"/>
      <c r="C291" s="672"/>
      <c r="D291" s="672"/>
      <c r="E291" s="672"/>
      <c r="F291" s="672"/>
      <c r="G291" s="672"/>
      <c r="H291" s="672"/>
      <c r="I291" s="672"/>
      <c r="J291" s="672"/>
      <c r="K291" s="672"/>
      <c r="L291" s="672"/>
      <c r="M291" s="672"/>
      <c r="N291" s="672"/>
      <c r="O291" s="686"/>
      <c r="P291" s="676" t="s">
        <v>87</v>
      </c>
      <c r="Q291" s="677"/>
      <c r="R291" s="677"/>
      <c r="S291" s="677"/>
      <c r="T291" s="677"/>
      <c r="U291" s="677"/>
      <c r="V291" s="678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2"/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86"/>
      <c r="P292" s="676" t="s">
        <v>87</v>
      </c>
      <c r="Q292" s="677"/>
      <c r="R292" s="677"/>
      <c r="S292" s="677"/>
      <c r="T292" s="677"/>
      <c r="U292" s="677"/>
      <c r="V292" s="678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1" t="s">
        <v>63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56"/>
      <c r="AB293" s="656"/>
      <c r="AC293" s="656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69">
        <v>4680115884618</v>
      </c>
      <c r="E294" s="670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4"/>
      <c r="R294" s="674"/>
      <c r="S294" s="674"/>
      <c r="T294" s="675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5"/>
      <c r="B295" s="672"/>
      <c r="C295" s="672"/>
      <c r="D295" s="672"/>
      <c r="E295" s="672"/>
      <c r="F295" s="672"/>
      <c r="G295" s="672"/>
      <c r="H295" s="672"/>
      <c r="I295" s="672"/>
      <c r="J295" s="672"/>
      <c r="K295" s="672"/>
      <c r="L295" s="672"/>
      <c r="M295" s="672"/>
      <c r="N295" s="672"/>
      <c r="O295" s="686"/>
      <c r="P295" s="676" t="s">
        <v>87</v>
      </c>
      <c r="Q295" s="677"/>
      <c r="R295" s="677"/>
      <c r="S295" s="677"/>
      <c r="T295" s="677"/>
      <c r="U295" s="677"/>
      <c r="V295" s="678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2"/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86"/>
      <c r="P296" s="676" t="s">
        <v>87</v>
      </c>
      <c r="Q296" s="677"/>
      <c r="R296" s="677"/>
      <c r="S296" s="677"/>
      <c r="T296" s="677"/>
      <c r="U296" s="677"/>
      <c r="V296" s="678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21" t="s">
        <v>470</v>
      </c>
      <c r="B297" s="672"/>
      <c r="C297" s="672"/>
      <c r="D297" s="672"/>
      <c r="E297" s="672"/>
      <c r="F297" s="672"/>
      <c r="G297" s="672"/>
      <c r="H297" s="672"/>
      <c r="I297" s="672"/>
      <c r="J297" s="672"/>
      <c r="K297" s="672"/>
      <c r="L297" s="672"/>
      <c r="M297" s="672"/>
      <c r="N297" s="672"/>
      <c r="O297" s="672"/>
      <c r="P297" s="672"/>
      <c r="Q297" s="672"/>
      <c r="R297" s="672"/>
      <c r="S297" s="672"/>
      <c r="T297" s="672"/>
      <c r="U297" s="672"/>
      <c r="V297" s="672"/>
      <c r="W297" s="672"/>
      <c r="X297" s="672"/>
      <c r="Y297" s="672"/>
      <c r="Z297" s="672"/>
      <c r="AA297" s="658"/>
      <c r="AB297" s="658"/>
      <c r="AC297" s="658"/>
    </row>
    <row r="298" spans="1:68" ht="14.25" hidden="1" customHeight="1" x14ac:dyDescent="0.25">
      <c r="A298" s="671" t="s">
        <v>63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56"/>
      <c r="AB298" s="656"/>
      <c r="AC298" s="656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69">
        <v>4680115880511</v>
      </c>
      <c r="E299" s="670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4"/>
      <c r="R299" s="674"/>
      <c r="S299" s="674"/>
      <c r="T299" s="675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5"/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86"/>
      <c r="P300" s="676" t="s">
        <v>87</v>
      </c>
      <c r="Q300" s="677"/>
      <c r="R300" s="677"/>
      <c r="S300" s="677"/>
      <c r="T300" s="677"/>
      <c r="U300" s="677"/>
      <c r="V300" s="678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2"/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86"/>
      <c r="P301" s="676" t="s">
        <v>87</v>
      </c>
      <c r="Q301" s="677"/>
      <c r="R301" s="677"/>
      <c r="S301" s="677"/>
      <c r="T301" s="677"/>
      <c r="U301" s="677"/>
      <c r="V301" s="678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21" t="s">
        <v>474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8"/>
      <c r="AB302" s="658"/>
      <c r="AC302" s="658"/>
    </row>
    <row r="303" spans="1:68" ht="14.25" hidden="1" customHeight="1" x14ac:dyDescent="0.25">
      <c r="A303" s="671" t="s">
        <v>97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56"/>
      <c r="AB303" s="656"/>
      <c r="AC303" s="656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69">
        <v>4680115883413</v>
      </c>
      <c r="E304" s="670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4"/>
      <c r="R304" s="674"/>
      <c r="S304" s="674"/>
      <c r="T304" s="675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5"/>
      <c r="B305" s="672"/>
      <c r="C305" s="672"/>
      <c r="D305" s="672"/>
      <c r="E305" s="672"/>
      <c r="F305" s="672"/>
      <c r="G305" s="672"/>
      <c r="H305" s="672"/>
      <c r="I305" s="672"/>
      <c r="J305" s="672"/>
      <c r="K305" s="672"/>
      <c r="L305" s="672"/>
      <c r="M305" s="672"/>
      <c r="N305" s="672"/>
      <c r="O305" s="686"/>
      <c r="P305" s="676" t="s">
        <v>87</v>
      </c>
      <c r="Q305" s="677"/>
      <c r="R305" s="677"/>
      <c r="S305" s="677"/>
      <c r="T305" s="677"/>
      <c r="U305" s="677"/>
      <c r="V305" s="678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2"/>
      <c r="B306" s="672"/>
      <c r="C306" s="672"/>
      <c r="D306" s="672"/>
      <c r="E306" s="672"/>
      <c r="F306" s="672"/>
      <c r="G306" s="672"/>
      <c r="H306" s="672"/>
      <c r="I306" s="672"/>
      <c r="J306" s="672"/>
      <c r="K306" s="672"/>
      <c r="L306" s="672"/>
      <c r="M306" s="672"/>
      <c r="N306" s="672"/>
      <c r="O306" s="686"/>
      <c r="P306" s="676" t="s">
        <v>87</v>
      </c>
      <c r="Q306" s="677"/>
      <c r="R306" s="677"/>
      <c r="S306" s="677"/>
      <c r="T306" s="677"/>
      <c r="U306" s="677"/>
      <c r="V306" s="678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1" t="s">
        <v>144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56"/>
      <c r="AB307" s="656"/>
      <c r="AC307" s="656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69">
        <v>4607091389845</v>
      </c>
      <c r="E308" s="670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4"/>
      <c r="R308" s="674"/>
      <c r="S308" s="674"/>
      <c r="T308" s="675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69">
        <v>4680115882881</v>
      </c>
      <c r="E309" s="670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4"/>
      <c r="R309" s="674"/>
      <c r="S309" s="674"/>
      <c r="T309" s="675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5"/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86"/>
      <c r="P310" s="676" t="s">
        <v>87</v>
      </c>
      <c r="Q310" s="677"/>
      <c r="R310" s="677"/>
      <c r="S310" s="677"/>
      <c r="T310" s="677"/>
      <c r="U310" s="677"/>
      <c r="V310" s="678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2"/>
      <c r="B311" s="672"/>
      <c r="C311" s="672"/>
      <c r="D311" s="672"/>
      <c r="E311" s="672"/>
      <c r="F311" s="672"/>
      <c r="G311" s="672"/>
      <c r="H311" s="672"/>
      <c r="I311" s="672"/>
      <c r="J311" s="672"/>
      <c r="K311" s="672"/>
      <c r="L311" s="672"/>
      <c r="M311" s="672"/>
      <c r="N311" s="672"/>
      <c r="O311" s="686"/>
      <c r="P311" s="676" t="s">
        <v>87</v>
      </c>
      <c r="Q311" s="677"/>
      <c r="R311" s="677"/>
      <c r="S311" s="677"/>
      <c r="T311" s="677"/>
      <c r="U311" s="677"/>
      <c r="V311" s="678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21" t="s">
        <v>482</v>
      </c>
      <c r="B312" s="672"/>
      <c r="C312" s="672"/>
      <c r="D312" s="672"/>
      <c r="E312" s="672"/>
      <c r="F312" s="672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672"/>
      <c r="R312" s="672"/>
      <c r="S312" s="672"/>
      <c r="T312" s="672"/>
      <c r="U312" s="672"/>
      <c r="V312" s="672"/>
      <c r="W312" s="672"/>
      <c r="X312" s="672"/>
      <c r="Y312" s="672"/>
      <c r="Z312" s="672"/>
      <c r="AA312" s="658"/>
      <c r="AB312" s="658"/>
      <c r="AC312" s="658"/>
    </row>
    <row r="313" spans="1:68" ht="14.25" hidden="1" customHeight="1" x14ac:dyDescent="0.25">
      <c r="A313" s="671" t="s">
        <v>97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56"/>
      <c r="AB313" s="656"/>
      <c r="AC313" s="656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69">
        <v>4680115883703</v>
      </c>
      <c r="E314" s="670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4"/>
      <c r="R314" s="674"/>
      <c r="S314" s="674"/>
      <c r="T314" s="675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5"/>
      <c r="B315" s="672"/>
      <c r="C315" s="672"/>
      <c r="D315" s="672"/>
      <c r="E315" s="672"/>
      <c r="F315" s="672"/>
      <c r="G315" s="672"/>
      <c r="H315" s="672"/>
      <c r="I315" s="672"/>
      <c r="J315" s="672"/>
      <c r="K315" s="672"/>
      <c r="L315" s="672"/>
      <c r="M315" s="672"/>
      <c r="N315" s="672"/>
      <c r="O315" s="686"/>
      <c r="P315" s="676" t="s">
        <v>87</v>
      </c>
      <c r="Q315" s="677"/>
      <c r="R315" s="677"/>
      <c r="S315" s="677"/>
      <c r="T315" s="677"/>
      <c r="U315" s="677"/>
      <c r="V315" s="678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2"/>
      <c r="B316" s="672"/>
      <c r="C316" s="672"/>
      <c r="D316" s="672"/>
      <c r="E316" s="672"/>
      <c r="F316" s="672"/>
      <c r="G316" s="672"/>
      <c r="H316" s="672"/>
      <c r="I316" s="672"/>
      <c r="J316" s="672"/>
      <c r="K316" s="672"/>
      <c r="L316" s="672"/>
      <c r="M316" s="672"/>
      <c r="N316" s="672"/>
      <c r="O316" s="686"/>
      <c r="P316" s="676" t="s">
        <v>87</v>
      </c>
      <c r="Q316" s="677"/>
      <c r="R316" s="677"/>
      <c r="S316" s="677"/>
      <c r="T316" s="677"/>
      <c r="U316" s="677"/>
      <c r="V316" s="678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21" t="s">
        <v>487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58"/>
      <c r="AB317" s="658"/>
      <c r="AC317" s="658"/>
    </row>
    <row r="318" spans="1:68" ht="14.25" hidden="1" customHeight="1" x14ac:dyDescent="0.25">
      <c r="A318" s="671" t="s">
        <v>97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56"/>
      <c r="AB318" s="656"/>
      <c r="AC318" s="656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69">
        <v>4680115885615</v>
      </c>
      <c r="E319" s="670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4"/>
      <c r="R319" s="674"/>
      <c r="S319" s="674"/>
      <c r="T319" s="675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69">
        <v>4680115885554</v>
      </c>
      <c r="E320" s="670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4"/>
      <c r="R320" s="674"/>
      <c r="S320" s="674"/>
      <c r="T320" s="675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69">
        <v>4680115885554</v>
      </c>
      <c r="E321" s="670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7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4"/>
      <c r="R321" s="674"/>
      <c r="S321" s="674"/>
      <c r="T321" s="675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69">
        <v>4680115885646</v>
      </c>
      <c r="E322" s="670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69">
        <v>4680115885622</v>
      </c>
      <c r="E323" s="670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7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4"/>
      <c r="R323" s="674"/>
      <c r="S323" s="674"/>
      <c r="T323" s="675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69">
        <v>4680115885608</v>
      </c>
      <c r="E324" s="670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4"/>
      <c r="R324" s="674"/>
      <c r="S324" s="674"/>
      <c r="T324" s="675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85"/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86"/>
      <c r="P325" s="676" t="s">
        <v>87</v>
      </c>
      <c r="Q325" s="677"/>
      <c r="R325" s="677"/>
      <c r="S325" s="677"/>
      <c r="T325" s="677"/>
      <c r="U325" s="677"/>
      <c r="V325" s="678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2"/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86"/>
      <c r="P326" s="676" t="s">
        <v>87</v>
      </c>
      <c r="Q326" s="677"/>
      <c r="R326" s="677"/>
      <c r="S326" s="677"/>
      <c r="T326" s="677"/>
      <c r="U326" s="677"/>
      <c r="V326" s="678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1" t="s">
        <v>144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6"/>
      <c r="AB327" s="656"/>
      <c r="AC327" s="656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69">
        <v>4607091387193</v>
      </c>
      <c r="E328" s="670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4"/>
      <c r="R328" s="674"/>
      <c r="S328" s="674"/>
      <c r="T328" s="675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69">
        <v>4607091387230</v>
      </c>
      <c r="E329" s="670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4"/>
      <c r="R329" s="674"/>
      <c r="S329" s="674"/>
      <c r="T329" s="675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69">
        <v>4607091387292</v>
      </c>
      <c r="E330" s="670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4"/>
      <c r="R330" s="674"/>
      <c r="S330" s="674"/>
      <c r="T330" s="675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69">
        <v>4607091387285</v>
      </c>
      <c r="E331" s="670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4"/>
      <c r="R331" s="674"/>
      <c r="S331" s="674"/>
      <c r="T331" s="675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5"/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86"/>
      <c r="P332" s="676" t="s">
        <v>87</v>
      </c>
      <c r="Q332" s="677"/>
      <c r="R332" s="677"/>
      <c r="S332" s="677"/>
      <c r="T332" s="677"/>
      <c r="U332" s="677"/>
      <c r="V332" s="678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2"/>
      <c r="B333" s="672"/>
      <c r="C333" s="672"/>
      <c r="D333" s="672"/>
      <c r="E333" s="672"/>
      <c r="F333" s="672"/>
      <c r="G333" s="672"/>
      <c r="H333" s="672"/>
      <c r="I333" s="672"/>
      <c r="J333" s="672"/>
      <c r="K333" s="672"/>
      <c r="L333" s="672"/>
      <c r="M333" s="672"/>
      <c r="N333" s="672"/>
      <c r="O333" s="686"/>
      <c r="P333" s="676" t="s">
        <v>87</v>
      </c>
      <c r="Q333" s="677"/>
      <c r="R333" s="677"/>
      <c r="S333" s="677"/>
      <c r="T333" s="677"/>
      <c r="U333" s="677"/>
      <c r="V333" s="678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1" t="s">
        <v>63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6"/>
      <c r="AB334" s="656"/>
      <c r="AC334" s="656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69">
        <v>4607091387766</v>
      </c>
      <c r="E335" s="670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4"/>
      <c r="R335" s="674"/>
      <c r="S335" s="674"/>
      <c r="T335" s="675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69">
        <v>4607091387957</v>
      </c>
      <c r="E336" s="670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10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69">
        <v>4607091387964</v>
      </c>
      <c r="E337" s="670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69">
        <v>4680115884588</v>
      </c>
      <c r="E338" s="670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4"/>
      <c r="R338" s="674"/>
      <c r="S338" s="674"/>
      <c r="T338" s="675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69">
        <v>4607091387513</v>
      </c>
      <c r="E339" s="670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5"/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86"/>
      <c r="P340" s="676" t="s">
        <v>87</v>
      </c>
      <c r="Q340" s="677"/>
      <c r="R340" s="677"/>
      <c r="S340" s="677"/>
      <c r="T340" s="677"/>
      <c r="U340" s="677"/>
      <c r="V340" s="678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2"/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86"/>
      <c r="P341" s="676" t="s">
        <v>87</v>
      </c>
      <c r="Q341" s="677"/>
      <c r="R341" s="677"/>
      <c r="S341" s="677"/>
      <c r="T341" s="677"/>
      <c r="U341" s="677"/>
      <c r="V341" s="678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1" t="s">
        <v>170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56"/>
      <c r="AB342" s="656"/>
      <c r="AC342" s="656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69">
        <v>4607091380880</v>
      </c>
      <c r="E343" s="670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4"/>
      <c r="R343" s="674"/>
      <c r="S343" s="674"/>
      <c r="T343" s="675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69">
        <v>4607091384482</v>
      </c>
      <c r="E344" s="670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4"/>
      <c r="R344" s="674"/>
      <c r="S344" s="674"/>
      <c r="T344" s="675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69">
        <v>4607091380897</v>
      </c>
      <c r="E345" s="670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4"/>
      <c r="R345" s="674"/>
      <c r="S345" s="674"/>
      <c r="T345" s="675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85"/>
      <c r="B346" s="672"/>
      <c r="C346" s="672"/>
      <c r="D346" s="672"/>
      <c r="E346" s="672"/>
      <c r="F346" s="672"/>
      <c r="G346" s="672"/>
      <c r="H346" s="672"/>
      <c r="I346" s="672"/>
      <c r="J346" s="672"/>
      <c r="K346" s="672"/>
      <c r="L346" s="672"/>
      <c r="M346" s="672"/>
      <c r="N346" s="672"/>
      <c r="O346" s="686"/>
      <c r="P346" s="676" t="s">
        <v>87</v>
      </c>
      <c r="Q346" s="677"/>
      <c r="R346" s="677"/>
      <c r="S346" s="677"/>
      <c r="T346" s="677"/>
      <c r="U346" s="677"/>
      <c r="V346" s="678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2"/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86"/>
      <c r="P347" s="676" t="s">
        <v>87</v>
      </c>
      <c r="Q347" s="677"/>
      <c r="R347" s="677"/>
      <c r="S347" s="677"/>
      <c r="T347" s="677"/>
      <c r="U347" s="677"/>
      <c r="V347" s="678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1" t="s">
        <v>89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56"/>
      <c r="AB348" s="656"/>
      <c r="AC348" s="656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69">
        <v>4680115886476</v>
      </c>
      <c r="E349" s="670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89" t="s">
        <v>541</v>
      </c>
      <c r="Q349" s="674"/>
      <c r="R349" s="674"/>
      <c r="S349" s="674"/>
      <c r="T349" s="675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69">
        <v>4607091388374</v>
      </c>
      <c r="E350" s="670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12" t="s">
        <v>545</v>
      </c>
      <c r="Q350" s="674"/>
      <c r="R350" s="674"/>
      <c r="S350" s="674"/>
      <c r="T350" s="675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69">
        <v>4607091383102</v>
      </c>
      <c r="E351" s="670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4"/>
      <c r="R351" s="674"/>
      <c r="S351" s="674"/>
      <c r="T351" s="675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69">
        <v>4607091388404</v>
      </c>
      <c r="E352" s="670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4"/>
      <c r="R352" s="674"/>
      <c r="S352" s="674"/>
      <c r="T352" s="675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85"/>
      <c r="B353" s="672"/>
      <c r="C353" s="672"/>
      <c r="D353" s="672"/>
      <c r="E353" s="672"/>
      <c r="F353" s="672"/>
      <c r="G353" s="672"/>
      <c r="H353" s="672"/>
      <c r="I353" s="672"/>
      <c r="J353" s="672"/>
      <c r="K353" s="672"/>
      <c r="L353" s="672"/>
      <c r="M353" s="672"/>
      <c r="N353" s="672"/>
      <c r="O353" s="686"/>
      <c r="P353" s="676" t="s">
        <v>87</v>
      </c>
      <c r="Q353" s="677"/>
      <c r="R353" s="677"/>
      <c r="S353" s="677"/>
      <c r="T353" s="677"/>
      <c r="U353" s="677"/>
      <c r="V353" s="678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2"/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86"/>
      <c r="P354" s="676" t="s">
        <v>87</v>
      </c>
      <c r="Q354" s="677"/>
      <c r="R354" s="677"/>
      <c r="S354" s="677"/>
      <c r="T354" s="677"/>
      <c r="U354" s="677"/>
      <c r="V354" s="678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1" t="s">
        <v>552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6"/>
      <c r="AB355" s="656"/>
      <c r="AC355" s="656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69">
        <v>4680115881808</v>
      </c>
      <c r="E356" s="670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4"/>
      <c r="R356" s="674"/>
      <c r="S356" s="674"/>
      <c r="T356" s="675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69">
        <v>4680115881822</v>
      </c>
      <c r="E357" s="670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4"/>
      <c r="R357" s="674"/>
      <c r="S357" s="674"/>
      <c r="T357" s="675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69">
        <v>4680115880016</v>
      </c>
      <c r="E358" s="670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4"/>
      <c r="R358" s="674"/>
      <c r="S358" s="674"/>
      <c r="T358" s="675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5"/>
      <c r="B359" s="672"/>
      <c r="C359" s="672"/>
      <c r="D359" s="672"/>
      <c r="E359" s="672"/>
      <c r="F359" s="672"/>
      <c r="G359" s="672"/>
      <c r="H359" s="672"/>
      <c r="I359" s="672"/>
      <c r="J359" s="672"/>
      <c r="K359" s="672"/>
      <c r="L359" s="672"/>
      <c r="M359" s="672"/>
      <c r="N359" s="672"/>
      <c r="O359" s="686"/>
      <c r="P359" s="676" t="s">
        <v>87</v>
      </c>
      <c r="Q359" s="677"/>
      <c r="R359" s="677"/>
      <c r="S359" s="677"/>
      <c r="T359" s="677"/>
      <c r="U359" s="677"/>
      <c r="V359" s="678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2"/>
      <c r="B360" s="672"/>
      <c r="C360" s="672"/>
      <c r="D360" s="672"/>
      <c r="E360" s="672"/>
      <c r="F360" s="672"/>
      <c r="G360" s="672"/>
      <c r="H360" s="672"/>
      <c r="I360" s="672"/>
      <c r="J360" s="672"/>
      <c r="K360" s="672"/>
      <c r="L360" s="672"/>
      <c r="M360" s="672"/>
      <c r="N360" s="672"/>
      <c r="O360" s="686"/>
      <c r="P360" s="676" t="s">
        <v>87</v>
      </c>
      <c r="Q360" s="677"/>
      <c r="R360" s="677"/>
      <c r="S360" s="677"/>
      <c r="T360" s="677"/>
      <c r="U360" s="677"/>
      <c r="V360" s="678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21" t="s">
        <v>561</v>
      </c>
      <c r="B361" s="672"/>
      <c r="C361" s="672"/>
      <c r="D361" s="672"/>
      <c r="E361" s="672"/>
      <c r="F361" s="672"/>
      <c r="G361" s="672"/>
      <c r="H361" s="672"/>
      <c r="I361" s="672"/>
      <c r="J361" s="672"/>
      <c r="K361" s="672"/>
      <c r="L361" s="672"/>
      <c r="M361" s="672"/>
      <c r="N361" s="672"/>
      <c r="O361" s="672"/>
      <c r="P361" s="672"/>
      <c r="Q361" s="672"/>
      <c r="R361" s="672"/>
      <c r="S361" s="672"/>
      <c r="T361" s="672"/>
      <c r="U361" s="672"/>
      <c r="V361" s="672"/>
      <c r="W361" s="672"/>
      <c r="X361" s="672"/>
      <c r="Y361" s="672"/>
      <c r="Z361" s="672"/>
      <c r="AA361" s="658"/>
      <c r="AB361" s="658"/>
      <c r="AC361" s="658"/>
    </row>
    <row r="362" spans="1:68" ht="14.25" hidden="1" customHeight="1" x14ac:dyDescent="0.25">
      <c r="A362" s="671" t="s">
        <v>144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6"/>
      <c r="AB362" s="656"/>
      <c r="AC362" s="656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69">
        <v>4607091383836</v>
      </c>
      <c r="E363" s="670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4"/>
      <c r="R363" s="674"/>
      <c r="S363" s="674"/>
      <c r="T363" s="675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85"/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86"/>
      <c r="P364" s="676" t="s">
        <v>87</v>
      </c>
      <c r="Q364" s="677"/>
      <c r="R364" s="677"/>
      <c r="S364" s="677"/>
      <c r="T364" s="677"/>
      <c r="U364" s="677"/>
      <c r="V364" s="678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2"/>
      <c r="B365" s="672"/>
      <c r="C365" s="672"/>
      <c r="D365" s="672"/>
      <c r="E365" s="672"/>
      <c r="F365" s="672"/>
      <c r="G365" s="672"/>
      <c r="H365" s="672"/>
      <c r="I365" s="672"/>
      <c r="J365" s="672"/>
      <c r="K365" s="672"/>
      <c r="L365" s="672"/>
      <c r="M365" s="672"/>
      <c r="N365" s="672"/>
      <c r="O365" s="686"/>
      <c r="P365" s="676" t="s">
        <v>87</v>
      </c>
      <c r="Q365" s="677"/>
      <c r="R365" s="677"/>
      <c r="S365" s="677"/>
      <c r="T365" s="677"/>
      <c r="U365" s="677"/>
      <c r="V365" s="678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1" t="s">
        <v>63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56"/>
      <c r="AB366" s="656"/>
      <c r="AC366" s="656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69">
        <v>4607091387919</v>
      </c>
      <c r="E367" s="670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4"/>
      <c r="R367" s="674"/>
      <c r="S367" s="674"/>
      <c r="T367" s="675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69">
        <v>4680115883604</v>
      </c>
      <c r="E368" s="670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4"/>
      <c r="R368" s="674"/>
      <c r="S368" s="674"/>
      <c r="T368" s="675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69">
        <v>4680115883567</v>
      </c>
      <c r="E369" s="670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4"/>
      <c r="R369" s="674"/>
      <c r="S369" s="674"/>
      <c r="T369" s="675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5"/>
      <c r="B370" s="672"/>
      <c r="C370" s="672"/>
      <c r="D370" s="672"/>
      <c r="E370" s="672"/>
      <c r="F370" s="672"/>
      <c r="G370" s="672"/>
      <c r="H370" s="672"/>
      <c r="I370" s="672"/>
      <c r="J370" s="672"/>
      <c r="K370" s="672"/>
      <c r="L370" s="672"/>
      <c r="M370" s="672"/>
      <c r="N370" s="672"/>
      <c r="O370" s="686"/>
      <c r="P370" s="676" t="s">
        <v>87</v>
      </c>
      <c r="Q370" s="677"/>
      <c r="R370" s="677"/>
      <c r="S370" s="677"/>
      <c r="T370" s="677"/>
      <c r="U370" s="677"/>
      <c r="V370" s="678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2"/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86"/>
      <c r="P371" s="676" t="s">
        <v>87</v>
      </c>
      <c r="Q371" s="677"/>
      <c r="R371" s="677"/>
      <c r="S371" s="677"/>
      <c r="T371" s="677"/>
      <c r="U371" s="677"/>
      <c r="V371" s="678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23" t="s">
        <v>574</v>
      </c>
      <c r="B372" s="724"/>
      <c r="C372" s="724"/>
      <c r="D372" s="724"/>
      <c r="E372" s="724"/>
      <c r="F372" s="724"/>
      <c r="G372" s="724"/>
      <c r="H372" s="724"/>
      <c r="I372" s="724"/>
      <c r="J372" s="724"/>
      <c r="K372" s="724"/>
      <c r="L372" s="724"/>
      <c r="M372" s="724"/>
      <c r="N372" s="724"/>
      <c r="O372" s="724"/>
      <c r="P372" s="724"/>
      <c r="Q372" s="724"/>
      <c r="R372" s="724"/>
      <c r="S372" s="724"/>
      <c r="T372" s="724"/>
      <c r="U372" s="724"/>
      <c r="V372" s="724"/>
      <c r="W372" s="724"/>
      <c r="X372" s="724"/>
      <c r="Y372" s="724"/>
      <c r="Z372" s="724"/>
      <c r="AA372" s="48"/>
      <c r="AB372" s="48"/>
      <c r="AC372" s="48"/>
    </row>
    <row r="373" spans="1:68" ht="16.5" hidden="1" customHeight="1" x14ac:dyDescent="0.25">
      <c r="A373" s="721" t="s">
        <v>575</v>
      </c>
      <c r="B373" s="672"/>
      <c r="C373" s="672"/>
      <c r="D373" s="672"/>
      <c r="E373" s="672"/>
      <c r="F373" s="672"/>
      <c r="G373" s="672"/>
      <c r="H373" s="672"/>
      <c r="I373" s="672"/>
      <c r="J373" s="672"/>
      <c r="K373" s="672"/>
      <c r="L373" s="672"/>
      <c r="M373" s="672"/>
      <c r="N373" s="672"/>
      <c r="O373" s="672"/>
      <c r="P373" s="672"/>
      <c r="Q373" s="672"/>
      <c r="R373" s="672"/>
      <c r="S373" s="672"/>
      <c r="T373" s="672"/>
      <c r="U373" s="672"/>
      <c r="V373" s="672"/>
      <c r="W373" s="672"/>
      <c r="X373" s="672"/>
      <c r="Y373" s="672"/>
      <c r="Z373" s="672"/>
      <c r="AA373" s="658"/>
      <c r="AB373" s="658"/>
      <c r="AC373" s="658"/>
    </row>
    <row r="374" spans="1:68" ht="14.25" hidden="1" customHeight="1" x14ac:dyDescent="0.25">
      <c r="A374" s="671" t="s">
        <v>97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9">
        <v>4680115884847</v>
      </c>
      <c r="E375" s="670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4"/>
      <c r="R375" s="674"/>
      <c r="S375" s="674"/>
      <c r="T375" s="675"/>
      <c r="U375" s="34"/>
      <c r="V375" s="34"/>
      <c r="W375" s="35" t="s">
        <v>68</v>
      </c>
      <c r="X375" s="663">
        <v>200</v>
      </c>
      <c r="Y375" s="664">
        <f t="shared" ref="Y375:Y384" si="58">IFERROR(IF(X375="",0,CEILING((X375/$H375),1)*$H375),"")</f>
        <v>210</v>
      </c>
      <c r="Z375" s="36">
        <f>IFERROR(IF(Y375=0,"",ROUNDUP(Y375/H375,0)*0.02175),"")</f>
        <v>0.30449999999999999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206.4</v>
      </c>
      <c r="BN375" s="64">
        <f t="shared" ref="BN375:BN384" si="60">IFERROR(Y375*I375/H375,"0")</f>
        <v>216.72</v>
      </c>
      <c r="BO375" s="64">
        <f t="shared" ref="BO375:BO384" si="61">IFERROR(1/J375*(X375/H375),"0")</f>
        <v>0.27777777777777779</v>
      </c>
      <c r="BP375" s="64">
        <f t="shared" ref="BP375:BP384" si="62">IFERROR(1/J375*(Y375/H375),"0")</f>
        <v>0.29166666666666663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69">
        <v>4680115884847</v>
      </c>
      <c r="E376" s="670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4"/>
      <c r="R376" s="674"/>
      <c r="S376" s="674"/>
      <c r="T376" s="675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9">
        <v>4680115884854</v>
      </c>
      <c r="E377" s="670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4"/>
      <c r="R377" s="674"/>
      <c r="S377" s="674"/>
      <c r="T377" s="675"/>
      <c r="U377" s="34"/>
      <c r="V377" s="34"/>
      <c r="W377" s="35" t="s">
        <v>68</v>
      </c>
      <c r="X377" s="663">
        <v>100</v>
      </c>
      <c r="Y377" s="664">
        <f t="shared" si="58"/>
        <v>105</v>
      </c>
      <c r="Z377" s="36">
        <f>IFERROR(IF(Y377=0,"",ROUNDUP(Y377/H377,0)*0.02175),"")</f>
        <v>0.15225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103.2</v>
      </c>
      <c r="BN377" s="64">
        <f t="shared" si="60"/>
        <v>108.36</v>
      </c>
      <c r="BO377" s="64">
        <f t="shared" si="61"/>
        <v>0.1388888888888889</v>
      </c>
      <c r="BP377" s="64">
        <f t="shared" si="62"/>
        <v>0.14583333333333331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69">
        <v>4680115884854</v>
      </c>
      <c r="E378" s="670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4"/>
      <c r="R378" s="674"/>
      <c r="S378" s="674"/>
      <c r="T378" s="675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9">
        <v>4680115884830</v>
      </c>
      <c r="E379" s="670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6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4"/>
      <c r="R379" s="674"/>
      <c r="S379" s="674"/>
      <c r="T379" s="675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69">
        <v>4607091383997</v>
      </c>
      <c r="E380" s="670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4"/>
      <c r="R380" s="674"/>
      <c r="S380" s="674"/>
      <c r="T380" s="675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69">
        <v>4680115884830</v>
      </c>
      <c r="E381" s="670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4"/>
      <c r="R381" s="674"/>
      <c r="S381" s="674"/>
      <c r="T381" s="675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69">
        <v>4680115882638</v>
      </c>
      <c r="E382" s="670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4"/>
      <c r="R382" s="674"/>
      <c r="S382" s="674"/>
      <c r="T382" s="675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69">
        <v>4680115884922</v>
      </c>
      <c r="E383" s="670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69">
        <v>4680115884861</v>
      </c>
      <c r="E384" s="670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4"/>
      <c r="R384" s="674"/>
      <c r="S384" s="674"/>
      <c r="T384" s="675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5"/>
      <c r="B385" s="672"/>
      <c r="C385" s="672"/>
      <c r="D385" s="672"/>
      <c r="E385" s="672"/>
      <c r="F385" s="672"/>
      <c r="G385" s="672"/>
      <c r="H385" s="672"/>
      <c r="I385" s="672"/>
      <c r="J385" s="672"/>
      <c r="K385" s="672"/>
      <c r="L385" s="672"/>
      <c r="M385" s="672"/>
      <c r="N385" s="672"/>
      <c r="O385" s="686"/>
      <c r="P385" s="676" t="s">
        <v>87</v>
      </c>
      <c r="Q385" s="677"/>
      <c r="R385" s="677"/>
      <c r="S385" s="677"/>
      <c r="T385" s="677"/>
      <c r="U385" s="677"/>
      <c r="V385" s="678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53.333333333333336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55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1.19625</v>
      </c>
      <c r="AA385" s="666"/>
      <c r="AB385" s="666"/>
      <c r="AC385" s="666"/>
    </row>
    <row r="386" spans="1:68" x14ac:dyDescent="0.2">
      <c r="A386" s="672"/>
      <c r="B386" s="672"/>
      <c r="C386" s="672"/>
      <c r="D386" s="672"/>
      <c r="E386" s="672"/>
      <c r="F386" s="672"/>
      <c r="G386" s="672"/>
      <c r="H386" s="672"/>
      <c r="I386" s="672"/>
      <c r="J386" s="672"/>
      <c r="K386" s="672"/>
      <c r="L386" s="672"/>
      <c r="M386" s="672"/>
      <c r="N386" s="672"/>
      <c r="O386" s="686"/>
      <c r="P386" s="676" t="s">
        <v>87</v>
      </c>
      <c r="Q386" s="677"/>
      <c r="R386" s="677"/>
      <c r="S386" s="677"/>
      <c r="T386" s="677"/>
      <c r="U386" s="677"/>
      <c r="V386" s="678"/>
      <c r="W386" s="37" t="s">
        <v>68</v>
      </c>
      <c r="X386" s="665">
        <f>IFERROR(SUM(X375:X384),"0")</f>
        <v>800</v>
      </c>
      <c r="Y386" s="665">
        <f>IFERROR(SUM(Y375:Y384),"0")</f>
        <v>825</v>
      </c>
      <c r="Z386" s="37"/>
      <c r="AA386" s="666"/>
      <c r="AB386" s="666"/>
      <c r="AC386" s="666"/>
    </row>
    <row r="387" spans="1:68" ht="14.25" hidden="1" customHeight="1" x14ac:dyDescent="0.25">
      <c r="A387" s="671" t="s">
        <v>133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56"/>
      <c r="AB387" s="656"/>
      <c r="AC387" s="656"/>
    </row>
    <row r="388" spans="1:68" ht="27" hidden="1" customHeight="1" x14ac:dyDescent="0.25">
      <c r="A388" s="54" t="s">
        <v>599</v>
      </c>
      <c r="B388" s="54" t="s">
        <v>600</v>
      </c>
      <c r="C388" s="31">
        <v>4301020178</v>
      </c>
      <c r="D388" s="669">
        <v>4607091383980</v>
      </c>
      <c r="E388" s="670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69">
        <v>4607091384178</v>
      </c>
      <c r="E389" s="670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4"/>
      <c r="R389" s="674"/>
      <c r="S389" s="674"/>
      <c r="T389" s="675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85"/>
      <c r="B390" s="672"/>
      <c r="C390" s="672"/>
      <c r="D390" s="672"/>
      <c r="E390" s="672"/>
      <c r="F390" s="672"/>
      <c r="G390" s="672"/>
      <c r="H390" s="672"/>
      <c r="I390" s="672"/>
      <c r="J390" s="672"/>
      <c r="K390" s="672"/>
      <c r="L390" s="672"/>
      <c r="M390" s="672"/>
      <c r="N390" s="672"/>
      <c r="O390" s="686"/>
      <c r="P390" s="676" t="s">
        <v>87</v>
      </c>
      <c r="Q390" s="677"/>
      <c r="R390" s="677"/>
      <c r="S390" s="677"/>
      <c r="T390" s="677"/>
      <c r="U390" s="677"/>
      <c r="V390" s="678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hidden="1" x14ac:dyDescent="0.2">
      <c r="A391" s="672"/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86"/>
      <c r="P391" s="676" t="s">
        <v>87</v>
      </c>
      <c r="Q391" s="677"/>
      <c r="R391" s="677"/>
      <c r="S391" s="677"/>
      <c r="T391" s="677"/>
      <c r="U391" s="677"/>
      <c r="V391" s="678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hidden="1" customHeight="1" x14ac:dyDescent="0.25">
      <c r="A392" s="671" t="s">
        <v>63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56"/>
      <c r="AB392" s="656"/>
      <c r="AC392" s="656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69">
        <v>4607091383928</v>
      </c>
      <c r="E393" s="670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74"/>
      <c r="R393" s="674"/>
      <c r="S393" s="674"/>
      <c r="T393" s="675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69">
        <v>4607091384260</v>
      </c>
      <c r="E394" s="670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32" t="s">
        <v>610</v>
      </c>
      <c r="Q394" s="674"/>
      <c r="R394" s="674"/>
      <c r="S394" s="674"/>
      <c r="T394" s="675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85"/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86"/>
      <c r="P395" s="676" t="s">
        <v>87</v>
      </c>
      <c r="Q395" s="677"/>
      <c r="R395" s="677"/>
      <c r="S395" s="677"/>
      <c r="T395" s="677"/>
      <c r="U395" s="677"/>
      <c r="V395" s="678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2"/>
      <c r="B396" s="672"/>
      <c r="C396" s="672"/>
      <c r="D396" s="672"/>
      <c r="E396" s="672"/>
      <c r="F396" s="672"/>
      <c r="G396" s="672"/>
      <c r="H396" s="672"/>
      <c r="I396" s="672"/>
      <c r="J396" s="672"/>
      <c r="K396" s="672"/>
      <c r="L396" s="672"/>
      <c r="M396" s="672"/>
      <c r="N396" s="672"/>
      <c r="O396" s="686"/>
      <c r="P396" s="676" t="s">
        <v>87</v>
      </c>
      <c r="Q396" s="677"/>
      <c r="R396" s="677"/>
      <c r="S396" s="677"/>
      <c r="T396" s="677"/>
      <c r="U396" s="677"/>
      <c r="V396" s="678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1" t="s">
        <v>170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56"/>
      <c r="AB397" s="656"/>
      <c r="AC397" s="656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69">
        <v>4607091384673</v>
      </c>
      <c r="E398" s="670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5" t="s">
        <v>614</v>
      </c>
      <c r="Q398" s="674"/>
      <c r="R398" s="674"/>
      <c r="S398" s="674"/>
      <c r="T398" s="675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85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86"/>
      <c r="P399" s="676" t="s">
        <v>87</v>
      </c>
      <c r="Q399" s="677"/>
      <c r="R399" s="677"/>
      <c r="S399" s="677"/>
      <c r="T399" s="677"/>
      <c r="U399" s="677"/>
      <c r="V399" s="678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2"/>
      <c r="B400" s="672"/>
      <c r="C400" s="672"/>
      <c r="D400" s="672"/>
      <c r="E400" s="672"/>
      <c r="F400" s="672"/>
      <c r="G400" s="672"/>
      <c r="H400" s="672"/>
      <c r="I400" s="672"/>
      <c r="J400" s="672"/>
      <c r="K400" s="672"/>
      <c r="L400" s="672"/>
      <c r="M400" s="672"/>
      <c r="N400" s="672"/>
      <c r="O400" s="686"/>
      <c r="P400" s="676" t="s">
        <v>87</v>
      </c>
      <c r="Q400" s="677"/>
      <c r="R400" s="677"/>
      <c r="S400" s="677"/>
      <c r="T400" s="677"/>
      <c r="U400" s="677"/>
      <c r="V400" s="678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21" t="s">
        <v>616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58"/>
      <c r="AB401" s="658"/>
      <c r="AC401" s="658"/>
    </row>
    <row r="402" spans="1:68" ht="14.25" hidden="1" customHeight="1" x14ac:dyDescent="0.25">
      <c r="A402" s="671" t="s">
        <v>97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56"/>
      <c r="AB402" s="656"/>
      <c r="AC402" s="656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69">
        <v>4680115881907</v>
      </c>
      <c r="E403" s="670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4"/>
      <c r="R403" s="674"/>
      <c r="S403" s="674"/>
      <c r="T403" s="675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69">
        <v>4680115881907</v>
      </c>
      <c r="E404" s="670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4"/>
      <c r="R404" s="674"/>
      <c r="S404" s="674"/>
      <c r="T404" s="675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69">
        <v>4680115884892</v>
      </c>
      <c r="E405" s="670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4"/>
      <c r="R405" s="674"/>
      <c r="S405" s="674"/>
      <c r="T405" s="675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69">
        <v>4680115884885</v>
      </c>
      <c r="E406" s="670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4"/>
      <c r="R406" s="674"/>
      <c r="S406" s="674"/>
      <c r="T406" s="675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69">
        <v>4680115884908</v>
      </c>
      <c r="E407" s="670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4"/>
      <c r="R407" s="674"/>
      <c r="S407" s="674"/>
      <c r="T407" s="675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85"/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86"/>
      <c r="P408" s="676" t="s">
        <v>87</v>
      </c>
      <c r="Q408" s="677"/>
      <c r="R408" s="677"/>
      <c r="S408" s="677"/>
      <c r="T408" s="677"/>
      <c r="U408" s="677"/>
      <c r="V408" s="678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2"/>
      <c r="B409" s="672"/>
      <c r="C409" s="672"/>
      <c r="D409" s="672"/>
      <c r="E409" s="672"/>
      <c r="F409" s="672"/>
      <c r="G409" s="672"/>
      <c r="H409" s="672"/>
      <c r="I409" s="672"/>
      <c r="J409" s="672"/>
      <c r="K409" s="672"/>
      <c r="L409" s="672"/>
      <c r="M409" s="672"/>
      <c r="N409" s="672"/>
      <c r="O409" s="686"/>
      <c r="P409" s="676" t="s">
        <v>87</v>
      </c>
      <c r="Q409" s="677"/>
      <c r="R409" s="677"/>
      <c r="S409" s="677"/>
      <c r="T409" s="677"/>
      <c r="U409" s="677"/>
      <c r="V409" s="678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1" t="s">
        <v>144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56"/>
      <c r="AB410" s="656"/>
      <c r="AC410" s="656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69">
        <v>4607091384802</v>
      </c>
      <c r="E411" s="670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8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4"/>
      <c r="R411" s="674"/>
      <c r="S411" s="674"/>
      <c r="T411" s="675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69">
        <v>4607091384826</v>
      </c>
      <c r="E412" s="670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87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4"/>
      <c r="R412" s="674"/>
      <c r="S412" s="674"/>
      <c r="T412" s="675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85"/>
      <c r="B413" s="672"/>
      <c r="C413" s="672"/>
      <c r="D413" s="672"/>
      <c r="E413" s="672"/>
      <c r="F413" s="672"/>
      <c r="G413" s="672"/>
      <c r="H413" s="672"/>
      <c r="I413" s="672"/>
      <c r="J413" s="672"/>
      <c r="K413" s="672"/>
      <c r="L413" s="672"/>
      <c r="M413" s="672"/>
      <c r="N413" s="672"/>
      <c r="O413" s="686"/>
      <c r="P413" s="676" t="s">
        <v>87</v>
      </c>
      <c r="Q413" s="677"/>
      <c r="R413" s="677"/>
      <c r="S413" s="677"/>
      <c r="T413" s="677"/>
      <c r="U413" s="677"/>
      <c r="V413" s="678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2"/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86"/>
      <c r="P414" s="676" t="s">
        <v>87</v>
      </c>
      <c r="Q414" s="677"/>
      <c r="R414" s="677"/>
      <c r="S414" s="677"/>
      <c r="T414" s="677"/>
      <c r="U414" s="677"/>
      <c r="V414" s="678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1" t="s">
        <v>63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9">
        <v>4607091384246</v>
      </c>
      <c r="E416" s="670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4"/>
      <c r="R416" s="674"/>
      <c r="S416" s="674"/>
      <c r="T416" s="675"/>
      <c r="U416" s="34"/>
      <c r="V416" s="34"/>
      <c r="W416" s="35" t="s">
        <v>68</v>
      </c>
      <c r="X416" s="663">
        <v>200</v>
      </c>
      <c r="Y416" s="664">
        <f>IFERROR(IF(X416="",0,CEILING((X416/$H416),1)*$H416),"")</f>
        <v>207</v>
      </c>
      <c r="Z416" s="36">
        <f>IFERROR(IF(Y416=0,"",ROUNDUP(Y416/H416,0)*0.01898),"")</f>
        <v>0.43653999999999998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211.53333333333333</v>
      </c>
      <c r="BN416" s="64">
        <f>IFERROR(Y416*I416/H416,"0")</f>
        <v>218.93700000000001</v>
      </c>
      <c r="BO416" s="64">
        <f>IFERROR(1/J416*(X416/H416),"0")</f>
        <v>0.34722222222222221</v>
      </c>
      <c r="BP416" s="64">
        <f>IFERROR(1/J416*(Y416/H416),"0")</f>
        <v>0.359375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69">
        <v>4680115881976</v>
      </c>
      <c r="E417" s="670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1030" t="s">
        <v>639</v>
      </c>
      <c r="Q417" s="674"/>
      <c r="R417" s="674"/>
      <c r="S417" s="674"/>
      <c r="T417" s="675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69">
        <v>4607091384253</v>
      </c>
      <c r="E418" s="670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4"/>
      <c r="R418" s="674"/>
      <c r="S418" s="674"/>
      <c r="T418" s="675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69">
        <v>4607091384253</v>
      </c>
      <c r="E419" s="670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69">
        <v>4680115881969</v>
      </c>
      <c r="E420" s="670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4"/>
      <c r="R420" s="674"/>
      <c r="S420" s="674"/>
      <c r="T420" s="675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5"/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86"/>
      <c r="P421" s="676" t="s">
        <v>87</v>
      </c>
      <c r="Q421" s="677"/>
      <c r="R421" s="677"/>
      <c r="S421" s="677"/>
      <c r="T421" s="677"/>
      <c r="U421" s="677"/>
      <c r="V421" s="678"/>
      <c r="W421" s="37" t="s">
        <v>88</v>
      </c>
      <c r="X421" s="665">
        <f>IFERROR(X416/H416,"0")+IFERROR(X417/H417,"0")+IFERROR(X418/H418,"0")+IFERROR(X419/H419,"0")+IFERROR(X420/H420,"0")</f>
        <v>22.222222222222221</v>
      </c>
      <c r="Y421" s="665">
        <f>IFERROR(Y416/H416,"0")+IFERROR(Y417/H417,"0")+IFERROR(Y418/H418,"0")+IFERROR(Y419/H419,"0")+IFERROR(Y420/H420,"0")</f>
        <v>23</v>
      </c>
      <c r="Z421" s="665">
        <f>IFERROR(IF(Z416="",0,Z416),"0")+IFERROR(IF(Z417="",0,Z417),"0")+IFERROR(IF(Z418="",0,Z418),"0")+IFERROR(IF(Z419="",0,Z419),"0")+IFERROR(IF(Z420="",0,Z420),"0")</f>
        <v>0.43653999999999998</v>
      </c>
      <c r="AA421" s="666"/>
      <c r="AB421" s="666"/>
      <c r="AC421" s="666"/>
    </row>
    <row r="422" spans="1:68" x14ac:dyDescent="0.2">
      <c r="A422" s="672"/>
      <c r="B422" s="672"/>
      <c r="C422" s="672"/>
      <c r="D422" s="672"/>
      <c r="E422" s="672"/>
      <c r="F422" s="672"/>
      <c r="G422" s="672"/>
      <c r="H422" s="672"/>
      <c r="I422" s="672"/>
      <c r="J422" s="672"/>
      <c r="K422" s="672"/>
      <c r="L422" s="672"/>
      <c r="M422" s="672"/>
      <c r="N422" s="672"/>
      <c r="O422" s="686"/>
      <c r="P422" s="676" t="s">
        <v>87</v>
      </c>
      <c r="Q422" s="677"/>
      <c r="R422" s="677"/>
      <c r="S422" s="677"/>
      <c r="T422" s="677"/>
      <c r="U422" s="677"/>
      <c r="V422" s="678"/>
      <c r="W422" s="37" t="s">
        <v>68</v>
      </c>
      <c r="X422" s="665">
        <f>IFERROR(SUM(X416:X420),"0")</f>
        <v>200</v>
      </c>
      <c r="Y422" s="665">
        <f>IFERROR(SUM(Y416:Y420),"0")</f>
        <v>207</v>
      </c>
      <c r="Z422" s="37"/>
      <c r="AA422" s="666"/>
      <c r="AB422" s="666"/>
      <c r="AC422" s="666"/>
    </row>
    <row r="423" spans="1:68" ht="14.25" hidden="1" customHeight="1" x14ac:dyDescent="0.25">
      <c r="A423" s="671" t="s">
        <v>170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56"/>
      <c r="AB423" s="656"/>
      <c r="AC423" s="656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69">
        <v>4607091389357</v>
      </c>
      <c r="E424" s="670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74"/>
      <c r="R424" s="674"/>
      <c r="S424" s="674"/>
      <c r="T424" s="675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85"/>
      <c r="B425" s="672"/>
      <c r="C425" s="672"/>
      <c r="D425" s="672"/>
      <c r="E425" s="672"/>
      <c r="F425" s="672"/>
      <c r="G425" s="672"/>
      <c r="H425" s="672"/>
      <c r="I425" s="672"/>
      <c r="J425" s="672"/>
      <c r="K425" s="672"/>
      <c r="L425" s="672"/>
      <c r="M425" s="672"/>
      <c r="N425" s="672"/>
      <c r="O425" s="686"/>
      <c r="P425" s="676" t="s">
        <v>87</v>
      </c>
      <c r="Q425" s="677"/>
      <c r="R425" s="677"/>
      <c r="S425" s="677"/>
      <c r="T425" s="677"/>
      <c r="U425" s="677"/>
      <c r="V425" s="678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2"/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86"/>
      <c r="P426" s="676" t="s">
        <v>87</v>
      </c>
      <c r="Q426" s="677"/>
      <c r="R426" s="677"/>
      <c r="S426" s="677"/>
      <c r="T426" s="677"/>
      <c r="U426" s="677"/>
      <c r="V426" s="678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23" t="s">
        <v>652</v>
      </c>
      <c r="B427" s="724"/>
      <c r="C427" s="724"/>
      <c r="D427" s="724"/>
      <c r="E427" s="724"/>
      <c r="F427" s="724"/>
      <c r="G427" s="724"/>
      <c r="H427" s="724"/>
      <c r="I427" s="724"/>
      <c r="J427" s="724"/>
      <c r="K427" s="724"/>
      <c r="L427" s="724"/>
      <c r="M427" s="724"/>
      <c r="N427" s="724"/>
      <c r="O427" s="724"/>
      <c r="P427" s="724"/>
      <c r="Q427" s="724"/>
      <c r="R427" s="724"/>
      <c r="S427" s="724"/>
      <c r="T427" s="724"/>
      <c r="U427" s="724"/>
      <c r="V427" s="724"/>
      <c r="W427" s="724"/>
      <c r="X427" s="724"/>
      <c r="Y427" s="724"/>
      <c r="Z427" s="724"/>
      <c r="AA427" s="48"/>
      <c r="AB427" s="48"/>
      <c r="AC427" s="48"/>
    </row>
    <row r="428" spans="1:68" ht="16.5" hidden="1" customHeight="1" x14ac:dyDescent="0.25">
      <c r="A428" s="721" t="s">
        <v>653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58"/>
      <c r="AB428" s="658"/>
      <c r="AC428" s="658"/>
    </row>
    <row r="429" spans="1:68" ht="14.25" hidden="1" customHeight="1" x14ac:dyDescent="0.25">
      <c r="A429" s="671" t="s">
        <v>144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6"/>
      <c r="AB429" s="656"/>
      <c r="AC429" s="656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69">
        <v>4680115886100</v>
      </c>
      <c r="E430" s="670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1022" t="s">
        <v>656</v>
      </c>
      <c r="Q430" s="674"/>
      <c r="R430" s="674"/>
      <c r="S430" s="674"/>
      <c r="T430" s="675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69">
        <v>4680115886117</v>
      </c>
      <c r="E431" s="670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2" t="s">
        <v>660</v>
      </c>
      <c r="Q431" s="674"/>
      <c r="R431" s="674"/>
      <c r="S431" s="674"/>
      <c r="T431" s="675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69">
        <v>4680115886117</v>
      </c>
      <c r="E432" s="670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4" t="s">
        <v>660</v>
      </c>
      <c r="Q432" s="674"/>
      <c r="R432" s="674"/>
      <c r="S432" s="674"/>
      <c r="T432" s="675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69">
        <v>4680115886124</v>
      </c>
      <c r="E433" s="670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9" t="s">
        <v>665</v>
      </c>
      <c r="Q433" s="674"/>
      <c r="R433" s="674"/>
      <c r="S433" s="674"/>
      <c r="T433" s="675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69">
        <v>4680115883147</v>
      </c>
      <c r="E434" s="670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1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4"/>
      <c r="R434" s="674"/>
      <c r="S434" s="674"/>
      <c r="T434" s="675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69">
        <v>4680115883147</v>
      </c>
      <c r="E435" s="670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4" t="s">
        <v>670</v>
      </c>
      <c r="Q435" s="674"/>
      <c r="R435" s="674"/>
      <c r="S435" s="674"/>
      <c r="T435" s="675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69">
        <v>4607091384338</v>
      </c>
      <c r="E436" s="670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4"/>
      <c r="R436" s="674"/>
      <c r="S436" s="674"/>
      <c r="T436" s="675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69">
        <v>4607091389524</v>
      </c>
      <c r="E437" s="670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4"/>
      <c r="R437" s="674"/>
      <c r="S437" s="674"/>
      <c r="T437" s="675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69">
        <v>4680115883161</v>
      </c>
      <c r="E438" s="670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4"/>
      <c r="R438" s="674"/>
      <c r="S438" s="674"/>
      <c r="T438" s="675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69">
        <v>4680115883161</v>
      </c>
      <c r="E439" s="670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8" t="s">
        <v>680</v>
      </c>
      <c r="Q439" s="674"/>
      <c r="R439" s="674"/>
      <c r="S439" s="674"/>
      <c r="T439" s="675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69">
        <v>4607091389531</v>
      </c>
      <c r="E440" s="670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4"/>
      <c r="R440" s="674"/>
      <c r="S440" s="674"/>
      <c r="T440" s="675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69">
        <v>4607091384345</v>
      </c>
      <c r="E441" s="670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4"/>
      <c r="R441" s="674"/>
      <c r="S441" s="674"/>
      <c r="T441" s="675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85"/>
      <c r="B442" s="672"/>
      <c r="C442" s="672"/>
      <c r="D442" s="672"/>
      <c r="E442" s="672"/>
      <c r="F442" s="672"/>
      <c r="G442" s="672"/>
      <c r="H442" s="672"/>
      <c r="I442" s="672"/>
      <c r="J442" s="672"/>
      <c r="K442" s="672"/>
      <c r="L442" s="672"/>
      <c r="M442" s="672"/>
      <c r="N442" s="672"/>
      <c r="O442" s="686"/>
      <c r="P442" s="676" t="s">
        <v>87</v>
      </c>
      <c r="Q442" s="677"/>
      <c r="R442" s="677"/>
      <c r="S442" s="677"/>
      <c r="T442" s="677"/>
      <c r="U442" s="677"/>
      <c r="V442" s="678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2"/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86"/>
      <c r="P443" s="676" t="s">
        <v>87</v>
      </c>
      <c r="Q443" s="677"/>
      <c r="R443" s="677"/>
      <c r="S443" s="677"/>
      <c r="T443" s="677"/>
      <c r="U443" s="677"/>
      <c r="V443" s="678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1" t="s">
        <v>63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56"/>
      <c r="AB444" s="656"/>
      <c r="AC444" s="656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69">
        <v>4607091384352</v>
      </c>
      <c r="E445" s="670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4"/>
      <c r="R445" s="674"/>
      <c r="S445" s="674"/>
      <c r="T445" s="675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69">
        <v>4607091389654</v>
      </c>
      <c r="E446" s="670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85"/>
      <c r="B447" s="672"/>
      <c r="C447" s="672"/>
      <c r="D447" s="672"/>
      <c r="E447" s="672"/>
      <c r="F447" s="672"/>
      <c r="G447" s="672"/>
      <c r="H447" s="672"/>
      <c r="I447" s="672"/>
      <c r="J447" s="672"/>
      <c r="K447" s="672"/>
      <c r="L447" s="672"/>
      <c r="M447" s="672"/>
      <c r="N447" s="672"/>
      <c r="O447" s="686"/>
      <c r="P447" s="676" t="s">
        <v>87</v>
      </c>
      <c r="Q447" s="677"/>
      <c r="R447" s="677"/>
      <c r="S447" s="677"/>
      <c r="T447" s="677"/>
      <c r="U447" s="677"/>
      <c r="V447" s="678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2"/>
      <c r="B448" s="672"/>
      <c r="C448" s="672"/>
      <c r="D448" s="672"/>
      <c r="E448" s="672"/>
      <c r="F448" s="672"/>
      <c r="G448" s="672"/>
      <c r="H448" s="672"/>
      <c r="I448" s="672"/>
      <c r="J448" s="672"/>
      <c r="K448" s="672"/>
      <c r="L448" s="672"/>
      <c r="M448" s="672"/>
      <c r="N448" s="672"/>
      <c r="O448" s="686"/>
      <c r="P448" s="676" t="s">
        <v>87</v>
      </c>
      <c r="Q448" s="677"/>
      <c r="R448" s="677"/>
      <c r="S448" s="677"/>
      <c r="T448" s="677"/>
      <c r="U448" s="677"/>
      <c r="V448" s="678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21" t="s">
        <v>692</v>
      </c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2"/>
      <c r="T449" s="672"/>
      <c r="U449" s="672"/>
      <c r="V449" s="672"/>
      <c r="W449" s="672"/>
      <c r="X449" s="672"/>
      <c r="Y449" s="672"/>
      <c r="Z449" s="672"/>
      <c r="AA449" s="658"/>
      <c r="AB449" s="658"/>
      <c r="AC449" s="658"/>
    </row>
    <row r="450" spans="1:68" ht="14.25" hidden="1" customHeight="1" x14ac:dyDescent="0.25">
      <c r="A450" s="671" t="s">
        <v>133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56"/>
      <c r="AB450" s="656"/>
      <c r="AC450" s="656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69">
        <v>4680115885240</v>
      </c>
      <c r="E451" s="670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4"/>
      <c r="R451" s="674"/>
      <c r="S451" s="674"/>
      <c r="T451" s="675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69">
        <v>4607091389364</v>
      </c>
      <c r="E452" s="670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5"/>
      <c r="B453" s="672"/>
      <c r="C453" s="672"/>
      <c r="D453" s="672"/>
      <c r="E453" s="672"/>
      <c r="F453" s="672"/>
      <c r="G453" s="672"/>
      <c r="H453" s="672"/>
      <c r="I453" s="672"/>
      <c r="J453" s="672"/>
      <c r="K453" s="672"/>
      <c r="L453" s="672"/>
      <c r="M453" s="672"/>
      <c r="N453" s="672"/>
      <c r="O453" s="686"/>
      <c r="P453" s="676" t="s">
        <v>87</v>
      </c>
      <c r="Q453" s="677"/>
      <c r="R453" s="677"/>
      <c r="S453" s="677"/>
      <c r="T453" s="677"/>
      <c r="U453" s="677"/>
      <c r="V453" s="678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2"/>
      <c r="B454" s="672"/>
      <c r="C454" s="672"/>
      <c r="D454" s="672"/>
      <c r="E454" s="672"/>
      <c r="F454" s="672"/>
      <c r="G454" s="672"/>
      <c r="H454" s="672"/>
      <c r="I454" s="672"/>
      <c r="J454" s="672"/>
      <c r="K454" s="672"/>
      <c r="L454" s="672"/>
      <c r="M454" s="672"/>
      <c r="N454" s="672"/>
      <c r="O454" s="686"/>
      <c r="P454" s="676" t="s">
        <v>87</v>
      </c>
      <c r="Q454" s="677"/>
      <c r="R454" s="677"/>
      <c r="S454" s="677"/>
      <c r="T454" s="677"/>
      <c r="U454" s="677"/>
      <c r="V454" s="678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1" t="s">
        <v>144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56"/>
      <c r="AB455" s="656"/>
      <c r="AC455" s="656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69">
        <v>4680115886094</v>
      </c>
      <c r="E456" s="670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701</v>
      </c>
      <c r="Q456" s="674"/>
      <c r="R456" s="674"/>
      <c r="S456" s="674"/>
      <c r="T456" s="675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69">
        <v>4607091389425</v>
      </c>
      <c r="E457" s="670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69">
        <v>4680115880771</v>
      </c>
      <c r="E458" s="670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42" t="s">
        <v>708</v>
      </c>
      <c r="Q458" s="674"/>
      <c r="R458" s="674"/>
      <c r="S458" s="674"/>
      <c r="T458" s="675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69">
        <v>4607091389500</v>
      </c>
      <c r="E459" s="670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4"/>
      <c r="R459" s="674"/>
      <c r="S459" s="674"/>
      <c r="T459" s="675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85"/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86"/>
      <c r="P460" s="676" t="s">
        <v>87</v>
      </c>
      <c r="Q460" s="677"/>
      <c r="R460" s="677"/>
      <c r="S460" s="677"/>
      <c r="T460" s="677"/>
      <c r="U460" s="677"/>
      <c r="V460" s="678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2"/>
      <c r="B461" s="672"/>
      <c r="C461" s="672"/>
      <c r="D461" s="672"/>
      <c r="E461" s="672"/>
      <c r="F461" s="672"/>
      <c r="G461" s="672"/>
      <c r="H461" s="672"/>
      <c r="I461" s="672"/>
      <c r="J461" s="672"/>
      <c r="K461" s="672"/>
      <c r="L461" s="672"/>
      <c r="M461" s="672"/>
      <c r="N461" s="672"/>
      <c r="O461" s="686"/>
      <c r="P461" s="676" t="s">
        <v>87</v>
      </c>
      <c r="Q461" s="677"/>
      <c r="R461" s="677"/>
      <c r="S461" s="677"/>
      <c r="T461" s="677"/>
      <c r="U461" s="677"/>
      <c r="V461" s="678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21" t="s">
        <v>712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58"/>
      <c r="AB462" s="658"/>
      <c r="AC462" s="658"/>
    </row>
    <row r="463" spans="1:68" ht="14.25" hidden="1" customHeight="1" x14ac:dyDescent="0.25">
      <c r="A463" s="671" t="s">
        <v>144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56"/>
      <c r="AB463" s="656"/>
      <c r="AC463" s="656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69">
        <v>4680115885189</v>
      </c>
      <c r="E464" s="670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1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4"/>
      <c r="R464" s="674"/>
      <c r="S464" s="674"/>
      <c r="T464" s="675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69">
        <v>4680115885110</v>
      </c>
      <c r="E465" s="670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1002" t="s">
        <v>718</v>
      </c>
      <c r="Q465" s="674"/>
      <c r="R465" s="674"/>
      <c r="S465" s="674"/>
      <c r="T465" s="675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5"/>
      <c r="B466" s="672"/>
      <c r="C466" s="672"/>
      <c r="D466" s="672"/>
      <c r="E466" s="672"/>
      <c r="F466" s="672"/>
      <c r="G466" s="672"/>
      <c r="H466" s="672"/>
      <c r="I466" s="672"/>
      <c r="J466" s="672"/>
      <c r="K466" s="672"/>
      <c r="L466" s="672"/>
      <c r="M466" s="672"/>
      <c r="N466" s="672"/>
      <c r="O466" s="686"/>
      <c r="P466" s="676" t="s">
        <v>87</v>
      </c>
      <c r="Q466" s="677"/>
      <c r="R466" s="677"/>
      <c r="S466" s="677"/>
      <c r="T466" s="677"/>
      <c r="U466" s="677"/>
      <c r="V466" s="678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2"/>
      <c r="B467" s="672"/>
      <c r="C467" s="672"/>
      <c r="D467" s="672"/>
      <c r="E467" s="672"/>
      <c r="F467" s="672"/>
      <c r="G467" s="672"/>
      <c r="H467" s="672"/>
      <c r="I467" s="672"/>
      <c r="J467" s="672"/>
      <c r="K467" s="672"/>
      <c r="L467" s="672"/>
      <c r="M467" s="672"/>
      <c r="N467" s="672"/>
      <c r="O467" s="686"/>
      <c r="P467" s="676" t="s">
        <v>87</v>
      </c>
      <c r="Q467" s="677"/>
      <c r="R467" s="677"/>
      <c r="S467" s="677"/>
      <c r="T467" s="677"/>
      <c r="U467" s="677"/>
      <c r="V467" s="678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21" t="s">
        <v>720</v>
      </c>
      <c r="B468" s="672"/>
      <c r="C468" s="672"/>
      <c r="D468" s="672"/>
      <c r="E468" s="672"/>
      <c r="F468" s="672"/>
      <c r="G468" s="672"/>
      <c r="H468" s="672"/>
      <c r="I468" s="672"/>
      <c r="J468" s="672"/>
      <c r="K468" s="672"/>
      <c r="L468" s="672"/>
      <c r="M468" s="672"/>
      <c r="N468" s="672"/>
      <c r="O468" s="672"/>
      <c r="P468" s="672"/>
      <c r="Q468" s="672"/>
      <c r="R468" s="672"/>
      <c r="S468" s="672"/>
      <c r="T468" s="672"/>
      <c r="U468" s="672"/>
      <c r="V468" s="672"/>
      <c r="W468" s="672"/>
      <c r="X468" s="672"/>
      <c r="Y468" s="672"/>
      <c r="Z468" s="672"/>
      <c r="AA468" s="658"/>
      <c r="AB468" s="658"/>
      <c r="AC468" s="658"/>
    </row>
    <row r="469" spans="1:68" ht="14.25" hidden="1" customHeight="1" x14ac:dyDescent="0.25">
      <c r="A469" s="671" t="s">
        <v>144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56"/>
      <c r="AB469" s="656"/>
      <c r="AC469" s="656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69">
        <v>4680115885103</v>
      </c>
      <c r="E470" s="670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4"/>
      <c r="R470" s="674"/>
      <c r="S470" s="674"/>
      <c r="T470" s="675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85"/>
      <c r="B471" s="672"/>
      <c r="C471" s="672"/>
      <c r="D471" s="672"/>
      <c r="E471" s="672"/>
      <c r="F471" s="672"/>
      <c r="G471" s="672"/>
      <c r="H471" s="672"/>
      <c r="I471" s="672"/>
      <c r="J471" s="672"/>
      <c r="K471" s="672"/>
      <c r="L471" s="672"/>
      <c r="M471" s="672"/>
      <c r="N471" s="672"/>
      <c r="O471" s="686"/>
      <c r="P471" s="676" t="s">
        <v>87</v>
      </c>
      <c r="Q471" s="677"/>
      <c r="R471" s="677"/>
      <c r="S471" s="677"/>
      <c r="T471" s="677"/>
      <c r="U471" s="677"/>
      <c r="V471" s="678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2"/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86"/>
      <c r="P472" s="676" t="s">
        <v>87</v>
      </c>
      <c r="Q472" s="677"/>
      <c r="R472" s="677"/>
      <c r="S472" s="677"/>
      <c r="T472" s="677"/>
      <c r="U472" s="677"/>
      <c r="V472" s="678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1" t="s">
        <v>170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56"/>
      <c r="AB473" s="656"/>
      <c r="AC473" s="656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69">
        <v>4680115885509</v>
      </c>
      <c r="E474" s="670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4"/>
      <c r="R474" s="674"/>
      <c r="S474" s="674"/>
      <c r="T474" s="675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85"/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86"/>
      <c r="P475" s="676" t="s">
        <v>87</v>
      </c>
      <c r="Q475" s="677"/>
      <c r="R475" s="677"/>
      <c r="S475" s="677"/>
      <c r="T475" s="677"/>
      <c r="U475" s="677"/>
      <c r="V475" s="678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2"/>
      <c r="B476" s="672"/>
      <c r="C476" s="672"/>
      <c r="D476" s="672"/>
      <c r="E476" s="672"/>
      <c r="F476" s="672"/>
      <c r="G476" s="672"/>
      <c r="H476" s="672"/>
      <c r="I476" s="672"/>
      <c r="J476" s="672"/>
      <c r="K476" s="672"/>
      <c r="L476" s="672"/>
      <c r="M476" s="672"/>
      <c r="N476" s="672"/>
      <c r="O476" s="686"/>
      <c r="P476" s="676" t="s">
        <v>87</v>
      </c>
      <c r="Q476" s="677"/>
      <c r="R476" s="677"/>
      <c r="S476" s="677"/>
      <c r="T476" s="677"/>
      <c r="U476" s="677"/>
      <c r="V476" s="678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23" t="s">
        <v>727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48"/>
      <c r="AB477" s="48"/>
      <c r="AC477" s="48"/>
    </row>
    <row r="478" spans="1:68" ht="16.5" hidden="1" customHeight="1" x14ac:dyDescent="0.25">
      <c r="A478" s="721" t="s">
        <v>727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658"/>
      <c r="AB478" s="658"/>
      <c r="AC478" s="658"/>
    </row>
    <row r="479" spans="1:68" ht="14.25" hidden="1" customHeight="1" x14ac:dyDescent="0.25">
      <c r="A479" s="671" t="s">
        <v>97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56"/>
      <c r="AB479" s="656"/>
      <c r="AC479" s="656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69">
        <v>4607091389067</v>
      </c>
      <c r="E480" s="670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4"/>
      <c r="R480" s="674"/>
      <c r="S480" s="674"/>
      <c r="T480" s="675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69">
        <v>4680115885271</v>
      </c>
      <c r="E481" s="670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4"/>
      <c r="R481" s="674"/>
      <c r="S481" s="674"/>
      <c r="T481" s="675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69">
        <v>4680115885226</v>
      </c>
      <c r="E482" s="670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4"/>
      <c r="R482" s="674"/>
      <c r="S482" s="674"/>
      <c r="T482" s="675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hidden="1" customHeight="1" x14ac:dyDescent="0.25">
      <c r="A483" s="54" t="s">
        <v>737</v>
      </c>
      <c r="B483" s="54" t="s">
        <v>738</v>
      </c>
      <c r="C483" s="31">
        <v>4301011771</v>
      </c>
      <c r="D483" s="669">
        <v>4607091389104</v>
      </c>
      <c r="E483" s="670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4"/>
      <c r="R483" s="674"/>
      <c r="S483" s="674"/>
      <c r="T483" s="675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69">
        <v>4680115884519</v>
      </c>
      <c r="E484" s="670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1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4"/>
      <c r="R484" s="674"/>
      <c r="S484" s="674"/>
      <c r="T484" s="675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69">
        <v>4680115886391</v>
      </c>
      <c r="E485" s="670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1" t="s">
        <v>745</v>
      </c>
      <c r="Q485" s="674"/>
      <c r="R485" s="674"/>
      <c r="S485" s="674"/>
      <c r="T485" s="675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69">
        <v>4680115880603</v>
      </c>
      <c r="E486" s="670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4"/>
      <c r="R486" s="674"/>
      <c r="S486" s="674"/>
      <c r="T486" s="675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69">
        <v>4680115880603</v>
      </c>
      <c r="E487" s="670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69">
        <v>4680115882782</v>
      </c>
      <c r="E488" s="670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69">
        <v>4680115886469</v>
      </c>
      <c r="E489" s="670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74"/>
      <c r="R489" s="674"/>
      <c r="S489" s="674"/>
      <c r="T489" s="675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69">
        <v>4680115886483</v>
      </c>
      <c r="E490" s="670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71" t="s">
        <v>756</v>
      </c>
      <c r="Q490" s="674"/>
      <c r="R490" s="674"/>
      <c r="S490" s="674"/>
      <c r="T490" s="675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69">
        <v>4680115885479</v>
      </c>
      <c r="E491" s="670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4"/>
      <c r="R491" s="674"/>
      <c r="S491" s="674"/>
      <c r="T491" s="675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69">
        <v>4607091389982</v>
      </c>
      <c r="E492" s="670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4"/>
      <c r="R492" s="674"/>
      <c r="S492" s="674"/>
      <c r="T492" s="675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69">
        <v>4607091389982</v>
      </c>
      <c r="E493" s="670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69">
        <v>4680115886490</v>
      </c>
      <c r="E494" s="670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1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4"/>
      <c r="R494" s="674"/>
      <c r="S494" s="674"/>
      <c r="T494" s="675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idden="1" x14ac:dyDescent="0.2">
      <c r="A495" s="685"/>
      <c r="B495" s="672"/>
      <c r="C495" s="672"/>
      <c r="D495" s="672"/>
      <c r="E495" s="672"/>
      <c r="F495" s="672"/>
      <c r="G495" s="672"/>
      <c r="H495" s="672"/>
      <c r="I495" s="672"/>
      <c r="J495" s="672"/>
      <c r="K495" s="672"/>
      <c r="L495" s="672"/>
      <c r="M495" s="672"/>
      <c r="N495" s="672"/>
      <c r="O495" s="686"/>
      <c r="P495" s="676" t="s">
        <v>87</v>
      </c>
      <c r="Q495" s="677"/>
      <c r="R495" s="677"/>
      <c r="S495" s="677"/>
      <c r="T495" s="677"/>
      <c r="U495" s="677"/>
      <c r="V495" s="678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hidden="1" x14ac:dyDescent="0.2">
      <c r="A496" s="672"/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86"/>
      <c r="P496" s="676" t="s">
        <v>87</v>
      </c>
      <c r="Q496" s="677"/>
      <c r="R496" s="677"/>
      <c r="S496" s="677"/>
      <c r="T496" s="677"/>
      <c r="U496" s="677"/>
      <c r="V496" s="678"/>
      <c r="W496" s="37" t="s">
        <v>68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hidden="1" customHeight="1" x14ac:dyDescent="0.25">
      <c r="A497" s="671" t="s">
        <v>133</v>
      </c>
      <c r="B497" s="672"/>
      <c r="C497" s="672"/>
      <c r="D497" s="672"/>
      <c r="E497" s="672"/>
      <c r="F497" s="672"/>
      <c r="G497" s="672"/>
      <c r="H497" s="672"/>
      <c r="I497" s="672"/>
      <c r="J497" s="672"/>
      <c r="K497" s="672"/>
      <c r="L497" s="672"/>
      <c r="M497" s="672"/>
      <c r="N497" s="672"/>
      <c r="O497" s="672"/>
      <c r="P497" s="672"/>
      <c r="Q497" s="672"/>
      <c r="R497" s="672"/>
      <c r="S497" s="672"/>
      <c r="T497" s="672"/>
      <c r="U497" s="672"/>
      <c r="V497" s="672"/>
      <c r="W497" s="672"/>
      <c r="X497" s="672"/>
      <c r="Y497" s="672"/>
      <c r="Z497" s="672"/>
      <c r="AA497" s="656"/>
      <c r="AB497" s="656"/>
      <c r="AC497" s="656"/>
    </row>
    <row r="498" spans="1:68" ht="16.5" hidden="1" customHeight="1" x14ac:dyDescent="0.25">
      <c r="A498" s="54" t="s">
        <v>766</v>
      </c>
      <c r="B498" s="54" t="s">
        <v>767</v>
      </c>
      <c r="C498" s="31">
        <v>4301020222</v>
      </c>
      <c r="D498" s="669">
        <v>4607091388930</v>
      </c>
      <c r="E498" s="670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4"/>
      <c r="R498" s="674"/>
      <c r="S498" s="674"/>
      <c r="T498" s="675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69">
        <v>4607091388930</v>
      </c>
      <c r="E499" s="670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19" t="s">
        <v>770</v>
      </c>
      <c r="Q499" s="674"/>
      <c r="R499" s="674"/>
      <c r="S499" s="674"/>
      <c r="T499" s="675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69">
        <v>4680115886407</v>
      </c>
      <c r="E500" s="670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74"/>
      <c r="R500" s="674"/>
      <c r="S500" s="674"/>
      <c r="T500" s="675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69">
        <v>4680115880054</v>
      </c>
      <c r="E501" s="670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50" t="s">
        <v>777</v>
      </c>
      <c r="Q501" s="674"/>
      <c r="R501" s="674"/>
      <c r="S501" s="674"/>
      <c r="T501" s="675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idden="1" x14ac:dyDescent="0.2">
      <c r="A502" s="685"/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86"/>
      <c r="P502" s="676" t="s">
        <v>87</v>
      </c>
      <c r="Q502" s="677"/>
      <c r="R502" s="677"/>
      <c r="S502" s="677"/>
      <c r="T502" s="677"/>
      <c r="U502" s="677"/>
      <c r="V502" s="678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hidden="1" x14ac:dyDescent="0.2">
      <c r="A503" s="672"/>
      <c r="B503" s="672"/>
      <c r="C503" s="672"/>
      <c r="D503" s="672"/>
      <c r="E503" s="672"/>
      <c r="F503" s="672"/>
      <c r="G503" s="672"/>
      <c r="H503" s="672"/>
      <c r="I503" s="672"/>
      <c r="J503" s="672"/>
      <c r="K503" s="672"/>
      <c r="L503" s="672"/>
      <c r="M503" s="672"/>
      <c r="N503" s="672"/>
      <c r="O503" s="686"/>
      <c r="P503" s="676" t="s">
        <v>87</v>
      </c>
      <c r="Q503" s="677"/>
      <c r="R503" s="677"/>
      <c r="S503" s="677"/>
      <c r="T503" s="677"/>
      <c r="U503" s="677"/>
      <c r="V503" s="678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hidden="1" customHeight="1" x14ac:dyDescent="0.25">
      <c r="A504" s="671" t="s">
        <v>144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56"/>
      <c r="AB504" s="656"/>
      <c r="AC504" s="656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69">
        <v>4680115883116</v>
      </c>
      <c r="E505" s="670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27" t="s">
        <v>780</v>
      </c>
      <c r="Q505" s="674"/>
      <c r="R505" s="674"/>
      <c r="S505" s="674"/>
      <c r="T505" s="675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69">
        <v>4680115883093</v>
      </c>
      <c r="E506" s="670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2" t="s">
        <v>784</v>
      </c>
      <c r="Q506" s="674"/>
      <c r="R506" s="674"/>
      <c r="S506" s="674"/>
      <c r="T506" s="675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69">
        <v>4680115883109</v>
      </c>
      <c r="E507" s="670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2" t="s">
        <v>788</v>
      </c>
      <c r="Q507" s="674"/>
      <c r="R507" s="674"/>
      <c r="S507" s="674"/>
      <c r="T507" s="675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69">
        <v>4680115886438</v>
      </c>
      <c r="E508" s="670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4"/>
      <c r="R508" s="674"/>
      <c r="S508" s="674"/>
      <c r="T508" s="675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69">
        <v>4680115882072</v>
      </c>
      <c r="E509" s="670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0" t="s">
        <v>795</v>
      </c>
      <c r="Q509" s="674"/>
      <c r="R509" s="674"/>
      <c r="S509" s="674"/>
      <c r="T509" s="675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69">
        <v>4680115882072</v>
      </c>
      <c r="E510" s="670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50" t="s">
        <v>797</v>
      </c>
      <c r="Q510" s="674"/>
      <c r="R510" s="674"/>
      <c r="S510" s="674"/>
      <c r="T510" s="675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69">
        <v>4680115882072</v>
      </c>
      <c r="E511" s="670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4"/>
      <c r="R511" s="674"/>
      <c r="S511" s="674"/>
      <c r="T511" s="675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69">
        <v>4680115882102</v>
      </c>
      <c r="E512" s="670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74"/>
      <c r="R512" s="674"/>
      <c r="S512" s="674"/>
      <c r="T512" s="675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69">
        <v>4680115882102</v>
      </c>
      <c r="E513" s="670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4"/>
      <c r="R513" s="674"/>
      <c r="S513" s="674"/>
      <c r="T513" s="675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69">
        <v>4680115882096</v>
      </c>
      <c r="E514" s="670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69">
        <v>4680115882096</v>
      </c>
      <c r="E515" s="670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0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4"/>
      <c r="R515" s="674"/>
      <c r="S515" s="674"/>
      <c r="T515" s="675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69">
        <v>4680115882096</v>
      </c>
      <c r="E516" s="670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4"/>
      <c r="R516" s="674"/>
      <c r="S516" s="674"/>
      <c r="T516" s="675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85"/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86"/>
      <c r="P517" s="676" t="s">
        <v>87</v>
      </c>
      <c r="Q517" s="677"/>
      <c r="R517" s="677"/>
      <c r="S517" s="677"/>
      <c r="T517" s="677"/>
      <c r="U517" s="677"/>
      <c r="V517" s="678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2"/>
      <c r="B518" s="672"/>
      <c r="C518" s="672"/>
      <c r="D518" s="672"/>
      <c r="E518" s="672"/>
      <c r="F518" s="672"/>
      <c r="G518" s="672"/>
      <c r="H518" s="672"/>
      <c r="I518" s="672"/>
      <c r="J518" s="672"/>
      <c r="K518" s="672"/>
      <c r="L518" s="672"/>
      <c r="M518" s="672"/>
      <c r="N518" s="672"/>
      <c r="O518" s="686"/>
      <c r="P518" s="676" t="s">
        <v>87</v>
      </c>
      <c r="Q518" s="677"/>
      <c r="R518" s="677"/>
      <c r="S518" s="677"/>
      <c r="T518" s="677"/>
      <c r="U518" s="677"/>
      <c r="V518" s="678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1" t="s">
        <v>63</v>
      </c>
      <c r="B519" s="672"/>
      <c r="C519" s="672"/>
      <c r="D519" s="672"/>
      <c r="E519" s="672"/>
      <c r="F519" s="672"/>
      <c r="G519" s="672"/>
      <c r="H519" s="672"/>
      <c r="I519" s="672"/>
      <c r="J519" s="672"/>
      <c r="K519" s="672"/>
      <c r="L519" s="672"/>
      <c r="M519" s="672"/>
      <c r="N519" s="672"/>
      <c r="O519" s="672"/>
      <c r="P519" s="672"/>
      <c r="Q519" s="672"/>
      <c r="R519" s="672"/>
      <c r="S519" s="672"/>
      <c r="T519" s="672"/>
      <c r="U519" s="672"/>
      <c r="V519" s="672"/>
      <c r="W519" s="672"/>
      <c r="X519" s="672"/>
      <c r="Y519" s="672"/>
      <c r="Z519" s="672"/>
      <c r="AA519" s="656"/>
      <c r="AB519" s="656"/>
      <c r="AC519" s="656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69">
        <v>4607091383409</v>
      </c>
      <c r="E520" s="670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69">
        <v>4607091383416</v>
      </c>
      <c r="E521" s="670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4"/>
      <c r="R521" s="674"/>
      <c r="S521" s="674"/>
      <c r="T521" s="675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69">
        <v>4680115883536</v>
      </c>
      <c r="E522" s="670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4"/>
      <c r="R522" s="674"/>
      <c r="S522" s="674"/>
      <c r="T522" s="675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85"/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86"/>
      <c r="P523" s="676" t="s">
        <v>87</v>
      </c>
      <c r="Q523" s="677"/>
      <c r="R523" s="677"/>
      <c r="S523" s="677"/>
      <c r="T523" s="677"/>
      <c r="U523" s="677"/>
      <c r="V523" s="678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2"/>
      <c r="B524" s="672"/>
      <c r="C524" s="672"/>
      <c r="D524" s="672"/>
      <c r="E524" s="672"/>
      <c r="F524" s="672"/>
      <c r="G524" s="672"/>
      <c r="H524" s="672"/>
      <c r="I524" s="672"/>
      <c r="J524" s="672"/>
      <c r="K524" s="672"/>
      <c r="L524" s="672"/>
      <c r="M524" s="672"/>
      <c r="N524" s="672"/>
      <c r="O524" s="686"/>
      <c r="P524" s="676" t="s">
        <v>87</v>
      </c>
      <c r="Q524" s="677"/>
      <c r="R524" s="677"/>
      <c r="S524" s="677"/>
      <c r="T524" s="677"/>
      <c r="U524" s="677"/>
      <c r="V524" s="678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1" t="s">
        <v>170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56"/>
      <c r="AB525" s="656"/>
      <c r="AC525" s="656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69">
        <v>4680115885035</v>
      </c>
      <c r="E526" s="670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62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69">
        <v>4680115885936</v>
      </c>
      <c r="E527" s="670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50" t="s">
        <v>825</v>
      </c>
      <c r="Q527" s="674"/>
      <c r="R527" s="674"/>
      <c r="S527" s="674"/>
      <c r="T527" s="675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85"/>
      <c r="B528" s="672"/>
      <c r="C528" s="672"/>
      <c r="D528" s="672"/>
      <c r="E528" s="672"/>
      <c r="F528" s="672"/>
      <c r="G528" s="672"/>
      <c r="H528" s="672"/>
      <c r="I528" s="672"/>
      <c r="J528" s="672"/>
      <c r="K528" s="672"/>
      <c r="L528" s="672"/>
      <c r="M528" s="672"/>
      <c r="N528" s="672"/>
      <c r="O528" s="686"/>
      <c r="P528" s="676" t="s">
        <v>87</v>
      </c>
      <c r="Q528" s="677"/>
      <c r="R528" s="677"/>
      <c r="S528" s="677"/>
      <c r="T528" s="677"/>
      <c r="U528" s="677"/>
      <c r="V528" s="678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2"/>
      <c r="B529" s="672"/>
      <c r="C529" s="672"/>
      <c r="D529" s="672"/>
      <c r="E529" s="672"/>
      <c r="F529" s="672"/>
      <c r="G529" s="672"/>
      <c r="H529" s="672"/>
      <c r="I529" s="672"/>
      <c r="J529" s="672"/>
      <c r="K529" s="672"/>
      <c r="L529" s="672"/>
      <c r="M529" s="672"/>
      <c r="N529" s="672"/>
      <c r="O529" s="686"/>
      <c r="P529" s="676" t="s">
        <v>87</v>
      </c>
      <c r="Q529" s="677"/>
      <c r="R529" s="677"/>
      <c r="S529" s="677"/>
      <c r="T529" s="677"/>
      <c r="U529" s="677"/>
      <c r="V529" s="678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23" t="s">
        <v>826</v>
      </c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4"/>
      <c r="P530" s="724"/>
      <c r="Q530" s="724"/>
      <c r="R530" s="724"/>
      <c r="S530" s="724"/>
      <c r="T530" s="724"/>
      <c r="U530" s="724"/>
      <c r="V530" s="724"/>
      <c r="W530" s="724"/>
      <c r="X530" s="724"/>
      <c r="Y530" s="724"/>
      <c r="Z530" s="724"/>
      <c r="AA530" s="48"/>
      <c r="AB530" s="48"/>
      <c r="AC530" s="48"/>
    </row>
    <row r="531" spans="1:68" ht="16.5" hidden="1" customHeight="1" x14ac:dyDescent="0.25">
      <c r="A531" s="721" t="s">
        <v>826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658"/>
      <c r="AB531" s="658"/>
      <c r="AC531" s="658"/>
    </row>
    <row r="532" spans="1:68" ht="14.25" hidden="1" customHeight="1" x14ac:dyDescent="0.25">
      <c r="A532" s="671" t="s">
        <v>97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6"/>
      <c r="AB532" s="656"/>
      <c r="AC532" s="656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69">
        <v>4640242181011</v>
      </c>
      <c r="E533" s="670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3" t="s">
        <v>829</v>
      </c>
      <c r="Q533" s="674"/>
      <c r="R533" s="674"/>
      <c r="S533" s="674"/>
      <c r="T533" s="675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69">
        <v>4640242180441</v>
      </c>
      <c r="E534" s="670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4"/>
      <c r="R534" s="674"/>
      <c r="S534" s="674"/>
      <c r="T534" s="675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69">
        <v>4640242180564</v>
      </c>
      <c r="E535" s="670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74"/>
      <c r="R535" s="674"/>
      <c r="S535" s="674"/>
      <c r="T535" s="675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69">
        <v>4640242180922</v>
      </c>
      <c r="E536" s="670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4"/>
      <c r="R536" s="674"/>
      <c r="S536" s="674"/>
      <c r="T536" s="675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69">
        <v>4640242180038</v>
      </c>
      <c r="E537" s="670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12" t="s">
        <v>845</v>
      </c>
      <c r="Q537" s="674"/>
      <c r="R537" s="674"/>
      <c r="S537" s="674"/>
      <c r="T537" s="675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69">
        <v>4640242181172</v>
      </c>
      <c r="E538" s="670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4" t="s">
        <v>848</v>
      </c>
      <c r="Q538" s="674"/>
      <c r="R538" s="674"/>
      <c r="S538" s="674"/>
      <c r="T538" s="675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85"/>
      <c r="B539" s="672"/>
      <c r="C539" s="672"/>
      <c r="D539" s="672"/>
      <c r="E539" s="672"/>
      <c r="F539" s="672"/>
      <c r="G539" s="672"/>
      <c r="H539" s="672"/>
      <c r="I539" s="672"/>
      <c r="J539" s="672"/>
      <c r="K539" s="672"/>
      <c r="L539" s="672"/>
      <c r="M539" s="672"/>
      <c r="N539" s="672"/>
      <c r="O539" s="686"/>
      <c r="P539" s="676" t="s">
        <v>87</v>
      </c>
      <c r="Q539" s="677"/>
      <c r="R539" s="677"/>
      <c r="S539" s="677"/>
      <c r="T539" s="677"/>
      <c r="U539" s="677"/>
      <c r="V539" s="678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2"/>
      <c r="B540" s="672"/>
      <c r="C540" s="672"/>
      <c r="D540" s="672"/>
      <c r="E540" s="672"/>
      <c r="F540" s="672"/>
      <c r="G540" s="672"/>
      <c r="H540" s="672"/>
      <c r="I540" s="672"/>
      <c r="J540" s="672"/>
      <c r="K540" s="672"/>
      <c r="L540" s="672"/>
      <c r="M540" s="672"/>
      <c r="N540" s="672"/>
      <c r="O540" s="686"/>
      <c r="P540" s="676" t="s">
        <v>87</v>
      </c>
      <c r="Q540" s="677"/>
      <c r="R540" s="677"/>
      <c r="S540" s="677"/>
      <c r="T540" s="677"/>
      <c r="U540" s="677"/>
      <c r="V540" s="678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1" t="s">
        <v>133</v>
      </c>
      <c r="B541" s="672"/>
      <c r="C541" s="672"/>
      <c r="D541" s="672"/>
      <c r="E541" s="672"/>
      <c r="F541" s="672"/>
      <c r="G541" s="672"/>
      <c r="H541" s="672"/>
      <c r="I541" s="672"/>
      <c r="J541" s="672"/>
      <c r="K541" s="672"/>
      <c r="L541" s="672"/>
      <c r="M541" s="672"/>
      <c r="N541" s="672"/>
      <c r="O541" s="672"/>
      <c r="P541" s="672"/>
      <c r="Q541" s="672"/>
      <c r="R541" s="672"/>
      <c r="S541" s="672"/>
      <c r="T541" s="672"/>
      <c r="U541" s="672"/>
      <c r="V541" s="672"/>
      <c r="W541" s="672"/>
      <c r="X541" s="672"/>
      <c r="Y541" s="672"/>
      <c r="Z541" s="672"/>
      <c r="AA541" s="656"/>
      <c r="AB541" s="656"/>
      <c r="AC541" s="656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69">
        <v>4640242180519</v>
      </c>
      <c r="E542" s="670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19" t="s">
        <v>851</v>
      </c>
      <c r="Q542" s="674"/>
      <c r="R542" s="674"/>
      <c r="S542" s="674"/>
      <c r="T542" s="675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69">
        <v>4640242180519</v>
      </c>
      <c r="E543" s="670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36" t="s">
        <v>854</v>
      </c>
      <c r="Q543" s="674"/>
      <c r="R543" s="674"/>
      <c r="S543" s="674"/>
      <c r="T543" s="675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69">
        <v>4640242180526</v>
      </c>
      <c r="E544" s="670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6" t="s">
        <v>858</v>
      </c>
      <c r="Q544" s="674"/>
      <c r="R544" s="674"/>
      <c r="S544" s="674"/>
      <c r="T544" s="675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69">
        <v>4640242180090</v>
      </c>
      <c r="E545" s="670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4"/>
      <c r="R545" s="674"/>
      <c r="S545" s="674"/>
      <c r="T545" s="675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69">
        <v>4640242181363</v>
      </c>
      <c r="E546" s="670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13" t="s">
        <v>865</v>
      </c>
      <c r="Q546" s="674"/>
      <c r="R546" s="674"/>
      <c r="S546" s="674"/>
      <c r="T546" s="675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85"/>
      <c r="B547" s="672"/>
      <c r="C547" s="672"/>
      <c r="D547" s="672"/>
      <c r="E547" s="672"/>
      <c r="F547" s="672"/>
      <c r="G547" s="672"/>
      <c r="H547" s="672"/>
      <c r="I547" s="672"/>
      <c r="J547" s="672"/>
      <c r="K547" s="672"/>
      <c r="L547" s="672"/>
      <c r="M547" s="672"/>
      <c r="N547" s="672"/>
      <c r="O547" s="686"/>
      <c r="P547" s="676" t="s">
        <v>87</v>
      </c>
      <c r="Q547" s="677"/>
      <c r="R547" s="677"/>
      <c r="S547" s="677"/>
      <c r="T547" s="677"/>
      <c r="U547" s="677"/>
      <c r="V547" s="678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2"/>
      <c r="B548" s="672"/>
      <c r="C548" s="672"/>
      <c r="D548" s="672"/>
      <c r="E548" s="672"/>
      <c r="F548" s="672"/>
      <c r="G548" s="672"/>
      <c r="H548" s="672"/>
      <c r="I548" s="672"/>
      <c r="J548" s="672"/>
      <c r="K548" s="672"/>
      <c r="L548" s="672"/>
      <c r="M548" s="672"/>
      <c r="N548" s="672"/>
      <c r="O548" s="686"/>
      <c r="P548" s="676" t="s">
        <v>87</v>
      </c>
      <c r="Q548" s="677"/>
      <c r="R548" s="677"/>
      <c r="S548" s="677"/>
      <c r="T548" s="677"/>
      <c r="U548" s="677"/>
      <c r="V548" s="678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1" t="s">
        <v>144</v>
      </c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2"/>
      <c r="T549" s="672"/>
      <c r="U549" s="672"/>
      <c r="V549" s="672"/>
      <c r="W549" s="672"/>
      <c r="X549" s="672"/>
      <c r="Y549" s="672"/>
      <c r="Z549" s="672"/>
      <c r="AA549" s="656"/>
      <c r="AB549" s="656"/>
      <c r="AC549" s="656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69">
        <v>4640242180816</v>
      </c>
      <c r="E550" s="670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43" t="s">
        <v>868</v>
      </c>
      <c r="Q550" s="674"/>
      <c r="R550" s="674"/>
      <c r="S550" s="674"/>
      <c r="T550" s="675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69">
        <v>4640242180595</v>
      </c>
      <c r="E551" s="670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3" t="s">
        <v>872</v>
      </c>
      <c r="Q551" s="674"/>
      <c r="R551" s="674"/>
      <c r="S551" s="674"/>
      <c r="T551" s="675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69">
        <v>4640242181615</v>
      </c>
      <c r="E552" s="670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2" t="s">
        <v>876</v>
      </c>
      <c r="Q552" s="674"/>
      <c r="R552" s="674"/>
      <c r="S552" s="674"/>
      <c r="T552" s="675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69">
        <v>4640242181639</v>
      </c>
      <c r="E553" s="670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60" t="s">
        <v>880</v>
      </c>
      <c r="Q553" s="674"/>
      <c r="R553" s="674"/>
      <c r="S553" s="674"/>
      <c r="T553" s="675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69">
        <v>4640242181622</v>
      </c>
      <c r="E554" s="670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6" t="s">
        <v>884</v>
      </c>
      <c r="Q554" s="674"/>
      <c r="R554" s="674"/>
      <c r="S554" s="674"/>
      <c r="T554" s="675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69">
        <v>4640242180908</v>
      </c>
      <c r="E555" s="670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70" t="s">
        <v>888</v>
      </c>
      <c r="Q555" s="674"/>
      <c r="R555" s="674"/>
      <c r="S555" s="674"/>
      <c r="T555" s="675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69">
        <v>4640242180489</v>
      </c>
      <c r="E556" s="670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74"/>
      <c r="R556" s="674"/>
      <c r="S556" s="674"/>
      <c r="T556" s="675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85"/>
      <c r="B557" s="672"/>
      <c r="C557" s="672"/>
      <c r="D557" s="672"/>
      <c r="E557" s="672"/>
      <c r="F557" s="672"/>
      <c r="G557" s="672"/>
      <c r="H557" s="672"/>
      <c r="I557" s="672"/>
      <c r="J557" s="672"/>
      <c r="K557" s="672"/>
      <c r="L557" s="672"/>
      <c r="M557" s="672"/>
      <c r="N557" s="672"/>
      <c r="O557" s="686"/>
      <c r="P557" s="676" t="s">
        <v>87</v>
      </c>
      <c r="Q557" s="677"/>
      <c r="R557" s="677"/>
      <c r="S557" s="677"/>
      <c r="T557" s="677"/>
      <c r="U557" s="677"/>
      <c r="V557" s="678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2"/>
      <c r="B558" s="672"/>
      <c r="C558" s="672"/>
      <c r="D558" s="672"/>
      <c r="E558" s="672"/>
      <c r="F558" s="672"/>
      <c r="G558" s="672"/>
      <c r="H558" s="672"/>
      <c r="I558" s="672"/>
      <c r="J558" s="672"/>
      <c r="K558" s="672"/>
      <c r="L558" s="672"/>
      <c r="M558" s="672"/>
      <c r="N558" s="672"/>
      <c r="O558" s="686"/>
      <c r="P558" s="676" t="s">
        <v>87</v>
      </c>
      <c r="Q558" s="677"/>
      <c r="R558" s="677"/>
      <c r="S558" s="677"/>
      <c r="T558" s="677"/>
      <c r="U558" s="677"/>
      <c r="V558" s="678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1" t="s">
        <v>63</v>
      </c>
      <c r="B559" s="672"/>
      <c r="C559" s="672"/>
      <c r="D559" s="672"/>
      <c r="E559" s="672"/>
      <c r="F559" s="672"/>
      <c r="G559" s="672"/>
      <c r="H559" s="672"/>
      <c r="I559" s="672"/>
      <c r="J559" s="672"/>
      <c r="K559" s="672"/>
      <c r="L559" s="672"/>
      <c r="M559" s="672"/>
      <c r="N559" s="672"/>
      <c r="O559" s="672"/>
      <c r="P559" s="672"/>
      <c r="Q559" s="672"/>
      <c r="R559" s="672"/>
      <c r="S559" s="672"/>
      <c r="T559" s="672"/>
      <c r="U559" s="672"/>
      <c r="V559" s="672"/>
      <c r="W559" s="672"/>
      <c r="X559" s="672"/>
      <c r="Y559" s="672"/>
      <c r="Z559" s="672"/>
      <c r="AA559" s="656"/>
      <c r="AB559" s="656"/>
      <c r="AC559" s="656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69">
        <v>4640242180533</v>
      </c>
      <c r="E560" s="670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2" t="s">
        <v>894</v>
      </c>
      <c r="Q560" s="674"/>
      <c r="R560" s="674"/>
      <c r="S560" s="674"/>
      <c r="T560" s="675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69">
        <v>4640242180533</v>
      </c>
      <c r="E561" s="670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4" t="s">
        <v>894</v>
      </c>
      <c r="Q561" s="674"/>
      <c r="R561" s="674"/>
      <c r="S561" s="674"/>
      <c r="T561" s="675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69">
        <v>4640242180540</v>
      </c>
      <c r="E562" s="670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899</v>
      </c>
      <c r="Q562" s="674"/>
      <c r="R562" s="674"/>
      <c r="S562" s="674"/>
      <c r="T562" s="675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69">
        <v>4640242181233</v>
      </c>
      <c r="E563" s="670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18" t="s">
        <v>903</v>
      </c>
      <c r="Q563" s="674"/>
      <c r="R563" s="674"/>
      <c r="S563" s="674"/>
      <c r="T563" s="675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69">
        <v>4640242181226</v>
      </c>
      <c r="E564" s="670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1" t="s">
        <v>906</v>
      </c>
      <c r="Q564" s="674"/>
      <c r="R564" s="674"/>
      <c r="S564" s="674"/>
      <c r="T564" s="675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85"/>
      <c r="B565" s="672"/>
      <c r="C565" s="672"/>
      <c r="D565" s="672"/>
      <c r="E565" s="672"/>
      <c r="F565" s="672"/>
      <c r="G565" s="672"/>
      <c r="H565" s="672"/>
      <c r="I565" s="672"/>
      <c r="J565" s="672"/>
      <c r="K565" s="672"/>
      <c r="L565" s="672"/>
      <c r="M565" s="672"/>
      <c r="N565" s="672"/>
      <c r="O565" s="686"/>
      <c r="P565" s="676" t="s">
        <v>87</v>
      </c>
      <c r="Q565" s="677"/>
      <c r="R565" s="677"/>
      <c r="S565" s="677"/>
      <c r="T565" s="677"/>
      <c r="U565" s="677"/>
      <c r="V565" s="678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2"/>
      <c r="B566" s="672"/>
      <c r="C566" s="672"/>
      <c r="D566" s="672"/>
      <c r="E566" s="672"/>
      <c r="F566" s="672"/>
      <c r="G566" s="672"/>
      <c r="H566" s="672"/>
      <c r="I566" s="672"/>
      <c r="J566" s="672"/>
      <c r="K566" s="672"/>
      <c r="L566" s="672"/>
      <c r="M566" s="672"/>
      <c r="N566" s="672"/>
      <c r="O566" s="686"/>
      <c r="P566" s="676" t="s">
        <v>87</v>
      </c>
      <c r="Q566" s="677"/>
      <c r="R566" s="677"/>
      <c r="S566" s="677"/>
      <c r="T566" s="677"/>
      <c r="U566" s="677"/>
      <c r="V566" s="678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1" t="s">
        <v>170</v>
      </c>
      <c r="B567" s="672"/>
      <c r="C567" s="672"/>
      <c r="D567" s="672"/>
      <c r="E567" s="672"/>
      <c r="F567" s="672"/>
      <c r="G567" s="672"/>
      <c r="H567" s="672"/>
      <c r="I567" s="672"/>
      <c r="J567" s="672"/>
      <c r="K567" s="672"/>
      <c r="L567" s="672"/>
      <c r="M567" s="672"/>
      <c r="N567" s="672"/>
      <c r="O567" s="672"/>
      <c r="P567" s="672"/>
      <c r="Q567" s="672"/>
      <c r="R567" s="672"/>
      <c r="S567" s="672"/>
      <c r="T567" s="672"/>
      <c r="U567" s="672"/>
      <c r="V567" s="672"/>
      <c r="W567" s="672"/>
      <c r="X567" s="672"/>
      <c r="Y567" s="672"/>
      <c r="Z567" s="672"/>
      <c r="AA567" s="656"/>
      <c r="AB567" s="656"/>
      <c r="AC567" s="656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69">
        <v>4640242180120</v>
      </c>
      <c r="E568" s="670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15" t="s">
        <v>909</v>
      </c>
      <c r="Q568" s="674"/>
      <c r="R568" s="674"/>
      <c r="S568" s="674"/>
      <c r="T568" s="675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69">
        <v>4640242180120</v>
      </c>
      <c r="E569" s="670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6" t="s">
        <v>912</v>
      </c>
      <c r="Q569" s="674"/>
      <c r="R569" s="674"/>
      <c r="S569" s="674"/>
      <c r="T569" s="675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69">
        <v>4640242180137</v>
      </c>
      <c r="E570" s="670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34" t="s">
        <v>915</v>
      </c>
      <c r="Q570" s="674"/>
      <c r="R570" s="674"/>
      <c r="S570" s="674"/>
      <c r="T570" s="675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69">
        <v>4640242180137</v>
      </c>
      <c r="E571" s="670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10" t="s">
        <v>918</v>
      </c>
      <c r="Q571" s="674"/>
      <c r="R571" s="674"/>
      <c r="S571" s="674"/>
      <c r="T571" s="675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85"/>
      <c r="B572" s="672"/>
      <c r="C572" s="672"/>
      <c r="D572" s="672"/>
      <c r="E572" s="672"/>
      <c r="F572" s="672"/>
      <c r="G572" s="672"/>
      <c r="H572" s="672"/>
      <c r="I572" s="672"/>
      <c r="J572" s="672"/>
      <c r="K572" s="672"/>
      <c r="L572" s="672"/>
      <c r="M572" s="672"/>
      <c r="N572" s="672"/>
      <c r="O572" s="686"/>
      <c r="P572" s="676" t="s">
        <v>87</v>
      </c>
      <c r="Q572" s="677"/>
      <c r="R572" s="677"/>
      <c r="S572" s="677"/>
      <c r="T572" s="677"/>
      <c r="U572" s="677"/>
      <c r="V572" s="678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2"/>
      <c r="B573" s="672"/>
      <c r="C573" s="672"/>
      <c r="D573" s="672"/>
      <c r="E573" s="672"/>
      <c r="F573" s="672"/>
      <c r="G573" s="672"/>
      <c r="H573" s="672"/>
      <c r="I573" s="672"/>
      <c r="J573" s="672"/>
      <c r="K573" s="672"/>
      <c r="L573" s="672"/>
      <c r="M573" s="672"/>
      <c r="N573" s="672"/>
      <c r="O573" s="686"/>
      <c r="P573" s="676" t="s">
        <v>87</v>
      </c>
      <c r="Q573" s="677"/>
      <c r="R573" s="677"/>
      <c r="S573" s="677"/>
      <c r="T573" s="677"/>
      <c r="U573" s="677"/>
      <c r="V573" s="678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21" t="s">
        <v>919</v>
      </c>
      <c r="B574" s="672"/>
      <c r="C574" s="672"/>
      <c r="D574" s="672"/>
      <c r="E574" s="672"/>
      <c r="F574" s="672"/>
      <c r="G574" s="672"/>
      <c r="H574" s="672"/>
      <c r="I574" s="672"/>
      <c r="J574" s="672"/>
      <c r="K574" s="672"/>
      <c r="L574" s="672"/>
      <c r="M574" s="672"/>
      <c r="N574" s="672"/>
      <c r="O574" s="672"/>
      <c r="P574" s="672"/>
      <c r="Q574" s="672"/>
      <c r="R574" s="672"/>
      <c r="S574" s="672"/>
      <c r="T574" s="672"/>
      <c r="U574" s="672"/>
      <c r="V574" s="672"/>
      <c r="W574" s="672"/>
      <c r="X574" s="672"/>
      <c r="Y574" s="672"/>
      <c r="Z574" s="672"/>
      <c r="AA574" s="658"/>
      <c r="AB574" s="658"/>
      <c r="AC574" s="658"/>
    </row>
    <row r="575" spans="1:68" ht="14.25" hidden="1" customHeight="1" x14ac:dyDescent="0.25">
      <c r="A575" s="671" t="s">
        <v>97</v>
      </c>
      <c r="B575" s="672"/>
      <c r="C575" s="672"/>
      <c r="D575" s="672"/>
      <c r="E575" s="672"/>
      <c r="F575" s="672"/>
      <c r="G575" s="672"/>
      <c r="H575" s="672"/>
      <c r="I575" s="672"/>
      <c r="J575" s="672"/>
      <c r="K575" s="672"/>
      <c r="L575" s="672"/>
      <c r="M575" s="672"/>
      <c r="N575" s="672"/>
      <c r="O575" s="672"/>
      <c r="P575" s="672"/>
      <c r="Q575" s="672"/>
      <c r="R575" s="672"/>
      <c r="S575" s="672"/>
      <c r="T575" s="672"/>
      <c r="U575" s="672"/>
      <c r="V575" s="672"/>
      <c r="W575" s="672"/>
      <c r="X575" s="672"/>
      <c r="Y575" s="672"/>
      <c r="Z575" s="672"/>
      <c r="AA575" s="656"/>
      <c r="AB575" s="656"/>
      <c r="AC575" s="656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69">
        <v>4640242180045</v>
      </c>
      <c r="E576" s="670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1" t="s">
        <v>922</v>
      </c>
      <c r="Q576" s="674"/>
      <c r="R576" s="674"/>
      <c r="S576" s="674"/>
      <c r="T576" s="675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5"/>
      <c r="B577" s="672"/>
      <c r="C577" s="672"/>
      <c r="D577" s="672"/>
      <c r="E577" s="672"/>
      <c r="F577" s="672"/>
      <c r="G577" s="672"/>
      <c r="H577" s="672"/>
      <c r="I577" s="672"/>
      <c r="J577" s="672"/>
      <c r="K577" s="672"/>
      <c r="L577" s="672"/>
      <c r="M577" s="672"/>
      <c r="N577" s="672"/>
      <c r="O577" s="686"/>
      <c r="P577" s="676" t="s">
        <v>87</v>
      </c>
      <c r="Q577" s="677"/>
      <c r="R577" s="677"/>
      <c r="S577" s="677"/>
      <c r="T577" s="677"/>
      <c r="U577" s="677"/>
      <c r="V577" s="678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2"/>
      <c r="B578" s="672"/>
      <c r="C578" s="672"/>
      <c r="D578" s="672"/>
      <c r="E578" s="672"/>
      <c r="F578" s="672"/>
      <c r="G578" s="672"/>
      <c r="H578" s="672"/>
      <c r="I578" s="672"/>
      <c r="J578" s="672"/>
      <c r="K578" s="672"/>
      <c r="L578" s="672"/>
      <c r="M578" s="672"/>
      <c r="N578" s="672"/>
      <c r="O578" s="686"/>
      <c r="P578" s="676" t="s">
        <v>87</v>
      </c>
      <c r="Q578" s="677"/>
      <c r="R578" s="677"/>
      <c r="S578" s="677"/>
      <c r="T578" s="677"/>
      <c r="U578" s="677"/>
      <c r="V578" s="678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1" t="s">
        <v>133</v>
      </c>
      <c r="B579" s="672"/>
      <c r="C579" s="672"/>
      <c r="D579" s="672"/>
      <c r="E579" s="672"/>
      <c r="F579" s="672"/>
      <c r="G579" s="672"/>
      <c r="H579" s="672"/>
      <c r="I579" s="672"/>
      <c r="J579" s="672"/>
      <c r="K579" s="672"/>
      <c r="L579" s="672"/>
      <c r="M579" s="672"/>
      <c r="N579" s="672"/>
      <c r="O579" s="672"/>
      <c r="P579" s="672"/>
      <c r="Q579" s="672"/>
      <c r="R579" s="672"/>
      <c r="S579" s="672"/>
      <c r="T579" s="672"/>
      <c r="U579" s="672"/>
      <c r="V579" s="672"/>
      <c r="W579" s="672"/>
      <c r="X579" s="672"/>
      <c r="Y579" s="672"/>
      <c r="Z579" s="672"/>
      <c r="AA579" s="656"/>
      <c r="AB579" s="656"/>
      <c r="AC579" s="656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69">
        <v>4640242180090</v>
      </c>
      <c r="E580" s="670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8" t="s">
        <v>926</v>
      </c>
      <c r="Q580" s="674"/>
      <c r="R580" s="674"/>
      <c r="S580" s="674"/>
      <c r="T580" s="675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85"/>
      <c r="B581" s="672"/>
      <c r="C581" s="672"/>
      <c r="D581" s="672"/>
      <c r="E581" s="672"/>
      <c r="F581" s="672"/>
      <c r="G581" s="672"/>
      <c r="H581" s="672"/>
      <c r="I581" s="672"/>
      <c r="J581" s="672"/>
      <c r="K581" s="672"/>
      <c r="L581" s="672"/>
      <c r="M581" s="672"/>
      <c r="N581" s="672"/>
      <c r="O581" s="686"/>
      <c r="P581" s="676" t="s">
        <v>87</v>
      </c>
      <c r="Q581" s="677"/>
      <c r="R581" s="677"/>
      <c r="S581" s="677"/>
      <c r="T581" s="677"/>
      <c r="U581" s="677"/>
      <c r="V581" s="678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2"/>
      <c r="B582" s="672"/>
      <c r="C582" s="672"/>
      <c r="D582" s="672"/>
      <c r="E582" s="672"/>
      <c r="F582" s="672"/>
      <c r="G582" s="672"/>
      <c r="H582" s="672"/>
      <c r="I582" s="672"/>
      <c r="J582" s="672"/>
      <c r="K582" s="672"/>
      <c r="L582" s="672"/>
      <c r="M582" s="672"/>
      <c r="N582" s="672"/>
      <c r="O582" s="686"/>
      <c r="P582" s="676" t="s">
        <v>87</v>
      </c>
      <c r="Q582" s="677"/>
      <c r="R582" s="677"/>
      <c r="S582" s="677"/>
      <c r="T582" s="677"/>
      <c r="U582" s="677"/>
      <c r="V582" s="678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1" t="s">
        <v>144</v>
      </c>
      <c r="B583" s="672"/>
      <c r="C583" s="672"/>
      <c r="D583" s="672"/>
      <c r="E583" s="672"/>
      <c r="F583" s="672"/>
      <c r="G583" s="672"/>
      <c r="H583" s="672"/>
      <c r="I583" s="672"/>
      <c r="J583" s="672"/>
      <c r="K583" s="672"/>
      <c r="L583" s="672"/>
      <c r="M583" s="672"/>
      <c r="N583" s="672"/>
      <c r="O583" s="672"/>
      <c r="P583" s="672"/>
      <c r="Q583" s="672"/>
      <c r="R583" s="672"/>
      <c r="S583" s="672"/>
      <c r="T583" s="672"/>
      <c r="U583" s="672"/>
      <c r="V583" s="672"/>
      <c r="W583" s="672"/>
      <c r="X583" s="672"/>
      <c r="Y583" s="672"/>
      <c r="Z583" s="672"/>
      <c r="AA583" s="656"/>
      <c r="AB583" s="656"/>
      <c r="AC583" s="656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69">
        <v>4640242180076</v>
      </c>
      <c r="E584" s="670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09" t="s">
        <v>930</v>
      </c>
      <c r="Q584" s="674"/>
      <c r="R584" s="674"/>
      <c r="S584" s="674"/>
      <c r="T584" s="675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85"/>
      <c r="B585" s="672"/>
      <c r="C585" s="672"/>
      <c r="D585" s="672"/>
      <c r="E585" s="672"/>
      <c r="F585" s="672"/>
      <c r="G585" s="672"/>
      <c r="H585" s="672"/>
      <c r="I585" s="672"/>
      <c r="J585" s="672"/>
      <c r="K585" s="672"/>
      <c r="L585" s="672"/>
      <c r="M585" s="672"/>
      <c r="N585" s="672"/>
      <c r="O585" s="686"/>
      <c r="P585" s="676" t="s">
        <v>87</v>
      </c>
      <c r="Q585" s="677"/>
      <c r="R585" s="677"/>
      <c r="S585" s="677"/>
      <c r="T585" s="677"/>
      <c r="U585" s="677"/>
      <c r="V585" s="678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2"/>
      <c r="B586" s="672"/>
      <c r="C586" s="672"/>
      <c r="D586" s="672"/>
      <c r="E586" s="672"/>
      <c r="F586" s="672"/>
      <c r="G586" s="672"/>
      <c r="H586" s="672"/>
      <c r="I586" s="672"/>
      <c r="J586" s="672"/>
      <c r="K586" s="672"/>
      <c r="L586" s="672"/>
      <c r="M586" s="672"/>
      <c r="N586" s="672"/>
      <c r="O586" s="686"/>
      <c r="P586" s="676" t="s">
        <v>87</v>
      </c>
      <c r="Q586" s="677"/>
      <c r="R586" s="677"/>
      <c r="S586" s="677"/>
      <c r="T586" s="677"/>
      <c r="U586" s="677"/>
      <c r="V586" s="678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1" t="s">
        <v>63</v>
      </c>
      <c r="B587" s="672"/>
      <c r="C587" s="672"/>
      <c r="D587" s="672"/>
      <c r="E587" s="672"/>
      <c r="F587" s="672"/>
      <c r="G587" s="672"/>
      <c r="H587" s="672"/>
      <c r="I587" s="672"/>
      <c r="J587" s="672"/>
      <c r="K587" s="672"/>
      <c r="L587" s="672"/>
      <c r="M587" s="672"/>
      <c r="N587" s="672"/>
      <c r="O587" s="672"/>
      <c r="P587" s="672"/>
      <c r="Q587" s="672"/>
      <c r="R587" s="672"/>
      <c r="S587" s="672"/>
      <c r="T587" s="672"/>
      <c r="U587" s="672"/>
      <c r="V587" s="672"/>
      <c r="W587" s="672"/>
      <c r="X587" s="672"/>
      <c r="Y587" s="672"/>
      <c r="Z587" s="672"/>
      <c r="AA587" s="656"/>
      <c r="AB587" s="656"/>
      <c r="AC587" s="656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69">
        <v>4640242180113</v>
      </c>
      <c r="E588" s="670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1031" t="s">
        <v>934</v>
      </c>
      <c r="Q588" s="674"/>
      <c r="R588" s="674"/>
      <c r="S588" s="674"/>
      <c r="T588" s="675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85"/>
      <c r="B589" s="672"/>
      <c r="C589" s="672"/>
      <c r="D589" s="672"/>
      <c r="E589" s="672"/>
      <c r="F589" s="672"/>
      <c r="G589" s="672"/>
      <c r="H589" s="672"/>
      <c r="I589" s="672"/>
      <c r="J589" s="672"/>
      <c r="K589" s="672"/>
      <c r="L589" s="672"/>
      <c r="M589" s="672"/>
      <c r="N589" s="672"/>
      <c r="O589" s="686"/>
      <c r="P589" s="676" t="s">
        <v>87</v>
      </c>
      <c r="Q589" s="677"/>
      <c r="R589" s="677"/>
      <c r="S589" s="677"/>
      <c r="T589" s="677"/>
      <c r="U589" s="677"/>
      <c r="V589" s="678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2"/>
      <c r="B590" s="672"/>
      <c r="C590" s="672"/>
      <c r="D590" s="672"/>
      <c r="E590" s="672"/>
      <c r="F590" s="672"/>
      <c r="G590" s="672"/>
      <c r="H590" s="672"/>
      <c r="I590" s="672"/>
      <c r="J590" s="672"/>
      <c r="K590" s="672"/>
      <c r="L590" s="672"/>
      <c r="M590" s="672"/>
      <c r="N590" s="672"/>
      <c r="O590" s="686"/>
      <c r="P590" s="676" t="s">
        <v>87</v>
      </c>
      <c r="Q590" s="677"/>
      <c r="R590" s="677"/>
      <c r="S590" s="677"/>
      <c r="T590" s="677"/>
      <c r="U590" s="677"/>
      <c r="V590" s="678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5"/>
      <c r="B591" s="672"/>
      <c r="C591" s="672"/>
      <c r="D591" s="672"/>
      <c r="E591" s="672"/>
      <c r="F591" s="672"/>
      <c r="G591" s="672"/>
      <c r="H591" s="672"/>
      <c r="I591" s="672"/>
      <c r="J591" s="672"/>
      <c r="K591" s="672"/>
      <c r="L591" s="672"/>
      <c r="M591" s="672"/>
      <c r="N591" s="672"/>
      <c r="O591" s="858"/>
      <c r="P591" s="820" t="s">
        <v>936</v>
      </c>
      <c r="Q591" s="817"/>
      <c r="R591" s="817"/>
      <c r="S591" s="817"/>
      <c r="T591" s="817"/>
      <c r="U591" s="817"/>
      <c r="V591" s="818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1000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1032</v>
      </c>
      <c r="Z591" s="37"/>
      <c r="AA591" s="666"/>
      <c r="AB591" s="666"/>
      <c r="AC591" s="666"/>
    </row>
    <row r="592" spans="1:68" x14ac:dyDescent="0.2">
      <c r="A592" s="672"/>
      <c r="B592" s="672"/>
      <c r="C592" s="672"/>
      <c r="D592" s="672"/>
      <c r="E592" s="672"/>
      <c r="F592" s="672"/>
      <c r="G592" s="672"/>
      <c r="H592" s="672"/>
      <c r="I592" s="672"/>
      <c r="J592" s="672"/>
      <c r="K592" s="672"/>
      <c r="L592" s="672"/>
      <c r="M592" s="672"/>
      <c r="N592" s="672"/>
      <c r="O592" s="858"/>
      <c r="P592" s="820" t="s">
        <v>937</v>
      </c>
      <c r="Q592" s="817"/>
      <c r="R592" s="817"/>
      <c r="S592" s="817"/>
      <c r="T592" s="817"/>
      <c r="U592" s="817"/>
      <c r="V592" s="818"/>
      <c r="W592" s="37" t="s">
        <v>68</v>
      </c>
      <c r="X592" s="665">
        <f>IFERROR(SUM(BM22:BM588),"0")</f>
        <v>1037.1333333333334</v>
      </c>
      <c r="Y592" s="665">
        <f>IFERROR(SUM(BN22:BN588),"0")</f>
        <v>1070.337</v>
      </c>
      <c r="Z592" s="37"/>
      <c r="AA592" s="666"/>
      <c r="AB592" s="666"/>
      <c r="AC592" s="666"/>
    </row>
    <row r="593" spans="1:32" x14ac:dyDescent="0.2">
      <c r="A593" s="672"/>
      <c r="B593" s="672"/>
      <c r="C593" s="672"/>
      <c r="D593" s="672"/>
      <c r="E593" s="672"/>
      <c r="F593" s="672"/>
      <c r="G593" s="672"/>
      <c r="H593" s="672"/>
      <c r="I593" s="672"/>
      <c r="J593" s="672"/>
      <c r="K593" s="672"/>
      <c r="L593" s="672"/>
      <c r="M593" s="672"/>
      <c r="N593" s="672"/>
      <c r="O593" s="858"/>
      <c r="P593" s="820" t="s">
        <v>938</v>
      </c>
      <c r="Q593" s="817"/>
      <c r="R593" s="817"/>
      <c r="S593" s="817"/>
      <c r="T593" s="817"/>
      <c r="U593" s="817"/>
      <c r="V593" s="818"/>
      <c r="W593" s="37" t="s">
        <v>939</v>
      </c>
      <c r="X593" s="38">
        <f>ROUNDUP(SUM(BO22:BO588),0)</f>
        <v>2</v>
      </c>
      <c r="Y593" s="38">
        <f>ROUNDUP(SUM(BP22:BP588),0)</f>
        <v>2</v>
      </c>
      <c r="Z593" s="37"/>
      <c r="AA593" s="666"/>
      <c r="AB593" s="666"/>
      <c r="AC593" s="666"/>
    </row>
    <row r="594" spans="1:32" x14ac:dyDescent="0.2">
      <c r="A594" s="672"/>
      <c r="B594" s="672"/>
      <c r="C594" s="672"/>
      <c r="D594" s="672"/>
      <c r="E594" s="672"/>
      <c r="F594" s="672"/>
      <c r="G594" s="672"/>
      <c r="H594" s="672"/>
      <c r="I594" s="672"/>
      <c r="J594" s="672"/>
      <c r="K594" s="672"/>
      <c r="L594" s="672"/>
      <c r="M594" s="672"/>
      <c r="N594" s="672"/>
      <c r="O594" s="858"/>
      <c r="P594" s="820" t="s">
        <v>940</v>
      </c>
      <c r="Q594" s="817"/>
      <c r="R594" s="817"/>
      <c r="S594" s="817"/>
      <c r="T594" s="817"/>
      <c r="U594" s="817"/>
      <c r="V594" s="818"/>
      <c r="W594" s="37" t="s">
        <v>68</v>
      </c>
      <c r="X594" s="665">
        <f>GrossWeightTotal+PalletQtyTotal*25</f>
        <v>1087.1333333333334</v>
      </c>
      <c r="Y594" s="665">
        <f>GrossWeightTotalR+PalletQtyTotalR*25</f>
        <v>1120.337</v>
      </c>
      <c r="Z594" s="37"/>
      <c r="AA594" s="666"/>
      <c r="AB594" s="666"/>
      <c r="AC594" s="666"/>
    </row>
    <row r="595" spans="1:32" x14ac:dyDescent="0.2">
      <c r="A595" s="672"/>
      <c r="B595" s="672"/>
      <c r="C595" s="672"/>
      <c r="D595" s="672"/>
      <c r="E595" s="672"/>
      <c r="F595" s="672"/>
      <c r="G595" s="672"/>
      <c r="H595" s="672"/>
      <c r="I595" s="672"/>
      <c r="J595" s="672"/>
      <c r="K595" s="672"/>
      <c r="L595" s="672"/>
      <c r="M595" s="672"/>
      <c r="N595" s="672"/>
      <c r="O595" s="858"/>
      <c r="P595" s="820" t="s">
        <v>941</v>
      </c>
      <c r="Q595" s="817"/>
      <c r="R595" s="817"/>
      <c r="S595" s="817"/>
      <c r="T595" s="817"/>
      <c r="U595" s="817"/>
      <c r="V595" s="818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75.555555555555557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78</v>
      </c>
      <c r="Z595" s="37"/>
      <c r="AA595" s="666"/>
      <c r="AB595" s="666"/>
      <c r="AC595" s="666"/>
    </row>
    <row r="596" spans="1:32" ht="14.25" hidden="1" customHeight="1" x14ac:dyDescent="0.2">
      <c r="A596" s="672"/>
      <c r="B596" s="672"/>
      <c r="C596" s="672"/>
      <c r="D596" s="672"/>
      <c r="E596" s="672"/>
      <c r="F596" s="672"/>
      <c r="G596" s="672"/>
      <c r="H596" s="672"/>
      <c r="I596" s="672"/>
      <c r="J596" s="672"/>
      <c r="K596" s="672"/>
      <c r="L596" s="672"/>
      <c r="M596" s="672"/>
      <c r="N596" s="672"/>
      <c r="O596" s="858"/>
      <c r="P596" s="820" t="s">
        <v>942</v>
      </c>
      <c r="Q596" s="817"/>
      <c r="R596" s="817"/>
      <c r="S596" s="817"/>
      <c r="T596" s="817"/>
      <c r="U596" s="817"/>
      <c r="V596" s="818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1.63279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7" t="s">
        <v>95</v>
      </c>
      <c r="D598" s="810"/>
      <c r="E598" s="810"/>
      <c r="F598" s="810"/>
      <c r="G598" s="810"/>
      <c r="H598" s="801"/>
      <c r="I598" s="687" t="s">
        <v>283</v>
      </c>
      <c r="J598" s="810"/>
      <c r="K598" s="810"/>
      <c r="L598" s="810"/>
      <c r="M598" s="810"/>
      <c r="N598" s="810"/>
      <c r="O598" s="810"/>
      <c r="P598" s="810"/>
      <c r="Q598" s="810"/>
      <c r="R598" s="810"/>
      <c r="S598" s="810"/>
      <c r="T598" s="810"/>
      <c r="U598" s="810"/>
      <c r="V598" s="801"/>
      <c r="W598" s="687" t="s">
        <v>574</v>
      </c>
      <c r="X598" s="801"/>
      <c r="Y598" s="687" t="s">
        <v>652</v>
      </c>
      <c r="Z598" s="810"/>
      <c r="AA598" s="810"/>
      <c r="AB598" s="801"/>
      <c r="AC598" s="655" t="s">
        <v>727</v>
      </c>
      <c r="AD598" s="687" t="s">
        <v>826</v>
      </c>
      <c r="AE598" s="801"/>
      <c r="AF598" s="657"/>
    </row>
    <row r="599" spans="1:32" ht="14.25" customHeight="1" thickTop="1" x14ac:dyDescent="0.2">
      <c r="A599" s="829" t="s">
        <v>945</v>
      </c>
      <c r="B599" s="687" t="s">
        <v>62</v>
      </c>
      <c r="C599" s="687" t="s">
        <v>96</v>
      </c>
      <c r="D599" s="687" t="s">
        <v>115</v>
      </c>
      <c r="E599" s="687" t="s">
        <v>178</v>
      </c>
      <c r="F599" s="687" t="s">
        <v>209</v>
      </c>
      <c r="G599" s="687" t="s">
        <v>254</v>
      </c>
      <c r="H599" s="687" t="s">
        <v>95</v>
      </c>
      <c r="I599" s="687" t="s">
        <v>284</v>
      </c>
      <c r="J599" s="687" t="s">
        <v>319</v>
      </c>
      <c r="K599" s="687" t="s">
        <v>380</v>
      </c>
      <c r="L599" s="687" t="s">
        <v>415</v>
      </c>
      <c r="M599" s="687" t="s">
        <v>433</v>
      </c>
      <c r="N599" s="657"/>
      <c r="O599" s="687" t="s">
        <v>437</v>
      </c>
      <c r="P599" s="687" t="s">
        <v>446</v>
      </c>
      <c r="Q599" s="687" t="s">
        <v>460</v>
      </c>
      <c r="R599" s="687" t="s">
        <v>470</v>
      </c>
      <c r="S599" s="687" t="s">
        <v>474</v>
      </c>
      <c r="T599" s="687" t="s">
        <v>482</v>
      </c>
      <c r="U599" s="687" t="s">
        <v>487</v>
      </c>
      <c r="V599" s="687" t="s">
        <v>561</v>
      </c>
      <c r="W599" s="687" t="s">
        <v>575</v>
      </c>
      <c r="X599" s="687" t="s">
        <v>616</v>
      </c>
      <c r="Y599" s="687" t="s">
        <v>653</v>
      </c>
      <c r="Z599" s="687" t="s">
        <v>692</v>
      </c>
      <c r="AA599" s="687" t="s">
        <v>712</v>
      </c>
      <c r="AB599" s="687" t="s">
        <v>720</v>
      </c>
      <c r="AC599" s="687" t="s">
        <v>727</v>
      </c>
      <c r="AD599" s="687" t="s">
        <v>826</v>
      </c>
      <c r="AE599" s="687" t="s">
        <v>919</v>
      </c>
      <c r="AF599" s="657"/>
    </row>
    <row r="600" spans="1:32" ht="13.5" customHeight="1" thickBot="1" x14ac:dyDescent="0.25">
      <c r="A600" s="830"/>
      <c r="B600" s="688"/>
      <c r="C600" s="688"/>
      <c r="D600" s="688"/>
      <c r="E600" s="688"/>
      <c r="F600" s="688"/>
      <c r="G600" s="688"/>
      <c r="H600" s="688"/>
      <c r="I600" s="688"/>
      <c r="J600" s="688"/>
      <c r="K600" s="688"/>
      <c r="L600" s="688"/>
      <c r="M600" s="688"/>
      <c r="N600" s="657"/>
      <c r="O600" s="688"/>
      <c r="P600" s="688"/>
      <c r="Q600" s="688"/>
      <c r="R600" s="688"/>
      <c r="S600" s="688"/>
      <c r="T600" s="688"/>
      <c r="U600" s="688"/>
      <c r="V600" s="688"/>
      <c r="W600" s="688"/>
      <c r="X600" s="688"/>
      <c r="Y600" s="688"/>
      <c r="Z600" s="688"/>
      <c r="AA600" s="688"/>
      <c r="AB600" s="688"/>
      <c r="AC600" s="688"/>
      <c r="AD600" s="688"/>
      <c r="AE600" s="688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825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7,13"/>
        <filter val="1 087,13"/>
        <filter val="100,00"/>
        <filter val="2"/>
        <filter val="200,00"/>
        <filter val="22,22"/>
        <filter val="500,00"/>
        <filter val="53,33"/>
        <filter val="75,56"/>
        <filter val="800,00"/>
      </filters>
    </filterColumn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D257:E257"/>
    <mergeCell ref="P270:T270"/>
    <mergeCell ref="D213:E213"/>
    <mergeCell ref="D384:E384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49:T49"/>
    <mergeCell ref="A364:O365"/>
    <mergeCell ref="D196:E196"/>
    <mergeCell ref="A269:Z269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K599:K600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401:Z401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A591:O596"/>
    <mergeCell ref="P165:V165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W599:W600"/>
    <mergeCell ref="D555:E55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113:E113"/>
    <mergeCell ref="A247:O248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475:V475"/>
    <mergeCell ref="P226:V226"/>
    <mergeCell ref="D356:E356"/>
    <mergeCell ref="D527:E527"/>
    <mergeCell ref="P542:T542"/>
    <mergeCell ref="A387:Z38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P33:V33"/>
    <mergeCell ref="P399:V399"/>
    <mergeCell ref="P333:V333"/>
    <mergeCell ref="D272:E272"/>
    <mergeCell ref="W17:W18"/>
    <mergeCell ref="P445:T445"/>
    <mergeCell ref="P90:V90"/>
    <mergeCell ref="A86:Z86"/>
    <mergeCell ref="P161:V1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