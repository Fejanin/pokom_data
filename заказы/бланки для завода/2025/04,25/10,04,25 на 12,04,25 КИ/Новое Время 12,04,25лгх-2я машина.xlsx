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8D57236-57FC-48CF-B05B-83AF055E32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N96" i="1"/>
  <c r="BM96" i="1"/>
  <c r="Z96" i="1"/>
  <c r="Y96" i="1"/>
  <c r="BP96" i="1" s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61" i="1" l="1"/>
  <c r="BN61" i="1"/>
  <c r="Z61" i="1"/>
  <c r="BP109" i="1"/>
  <c r="BN109" i="1"/>
  <c r="Z109" i="1"/>
  <c r="BP158" i="1"/>
  <c r="BN158" i="1"/>
  <c r="Z158" i="1"/>
  <c r="BP179" i="1"/>
  <c r="BN179" i="1"/>
  <c r="Z179" i="1"/>
  <c r="BP213" i="1"/>
  <c r="BN213" i="1"/>
  <c r="Z213" i="1"/>
  <c r="BP260" i="1"/>
  <c r="BN260" i="1"/>
  <c r="Z26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BP73" i="1"/>
  <c r="BN73" i="1"/>
  <c r="Z73" i="1"/>
  <c r="BP132" i="1"/>
  <c r="BN132" i="1"/>
  <c r="Z132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02" i="1"/>
  <c r="BP97" i="1"/>
  <c r="BN97" i="1"/>
  <c r="Z97" i="1"/>
  <c r="BP107" i="1"/>
  <c r="BN107" i="1"/>
  <c r="Z107" i="1"/>
  <c r="BP126" i="1"/>
  <c r="BN126" i="1"/>
  <c r="Z126" i="1"/>
  <c r="BP147" i="1"/>
  <c r="BN147" i="1"/>
  <c r="Z147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07" i="1"/>
  <c r="BN207" i="1"/>
  <c r="Z207" i="1"/>
  <c r="BP219" i="1"/>
  <c r="BN219" i="1"/>
  <c r="Z219" i="1"/>
  <c r="BP236" i="1"/>
  <c r="BN236" i="1"/>
  <c r="Z236" i="1"/>
  <c r="Y248" i="1"/>
  <c r="Y247" i="1"/>
  <c r="BP246" i="1"/>
  <c r="BN246" i="1"/>
  <c r="Z246" i="1"/>
  <c r="Z247" i="1" s="1"/>
  <c r="BP258" i="1"/>
  <c r="BN258" i="1"/>
  <c r="Z258" i="1"/>
  <c r="BP277" i="1"/>
  <c r="BN277" i="1"/>
  <c r="Z277" i="1"/>
  <c r="T601" i="1"/>
  <c r="Y315" i="1"/>
  <c r="BP314" i="1"/>
  <c r="BN314" i="1"/>
  <c r="Z314" i="1"/>
  <c r="Z315" i="1" s="1"/>
  <c r="J9" i="1"/>
  <c r="X592" i="1"/>
  <c r="X594" i="1" s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BP98" i="1"/>
  <c r="BN98" i="1"/>
  <c r="Z98" i="1"/>
  <c r="Y117" i="1"/>
  <c r="BP113" i="1"/>
  <c r="BN113" i="1"/>
  <c r="Z113" i="1"/>
  <c r="BP137" i="1"/>
  <c r="BN137" i="1"/>
  <c r="Z137" i="1"/>
  <c r="BP160" i="1"/>
  <c r="BN160" i="1"/>
  <c r="Z160" i="1"/>
  <c r="BP181" i="1"/>
  <c r="BN181" i="1"/>
  <c r="Z181" i="1"/>
  <c r="BP203" i="1"/>
  <c r="BN203" i="1"/>
  <c r="Z203" i="1"/>
  <c r="BP215" i="1"/>
  <c r="BN215" i="1"/>
  <c r="Z215" i="1"/>
  <c r="BP232" i="1"/>
  <c r="BN232" i="1"/>
  <c r="Z232" i="1"/>
  <c r="Y243" i="1"/>
  <c r="BP241" i="1"/>
  <c r="BN241" i="1"/>
  <c r="Z241" i="1"/>
  <c r="M601" i="1"/>
  <c r="Y266" i="1"/>
  <c r="BP265" i="1"/>
  <c r="BN265" i="1"/>
  <c r="Z265" i="1"/>
  <c r="Z266" i="1" s="1"/>
  <c r="BP270" i="1"/>
  <c r="BN270" i="1"/>
  <c r="Z270" i="1"/>
  <c r="Z273" i="1" s="1"/>
  <c r="BP281" i="1"/>
  <c r="BN281" i="1"/>
  <c r="Z281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128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Z466" i="1" s="1"/>
  <c r="BP484" i="1"/>
  <c r="BN484" i="1"/>
  <c r="Z484" i="1"/>
  <c r="BP494" i="1"/>
  <c r="BN494" i="1"/>
  <c r="Z494" i="1"/>
  <c r="Y29" i="1"/>
  <c r="Y41" i="1"/>
  <c r="Y62" i="1"/>
  <c r="Y68" i="1"/>
  <c r="Y78" i="1"/>
  <c r="Y84" i="1"/>
  <c r="Y91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33" i="1"/>
  <c r="Y56" i="1"/>
  <c r="Y103" i="1"/>
  <c r="H9" i="1"/>
  <c r="B601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Z340" i="1" s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02" i="1" l="1"/>
  <c r="Z346" i="1"/>
  <c r="Z198" i="1"/>
  <c r="Z116" i="1"/>
  <c r="Z460" i="1"/>
  <c r="Z102" i="1"/>
  <c r="Z495" i="1"/>
  <c r="Z421" i="1"/>
  <c r="Z325" i="1"/>
  <c r="Z243" i="1"/>
  <c r="Z83" i="1"/>
  <c r="Z77" i="1"/>
  <c r="Z68" i="1"/>
  <c r="Z55" i="1"/>
  <c r="Y592" i="1"/>
  <c r="Y593" i="1"/>
  <c r="Z28" i="1"/>
  <c r="Z390" i="1"/>
  <c r="Z238" i="1"/>
  <c r="Z209" i="1"/>
  <c r="Z183" i="1"/>
  <c r="Z161" i="1"/>
  <c r="Z547" i="1"/>
  <c r="Z517" i="1"/>
  <c r="Z442" i="1"/>
  <c r="Z332" i="1"/>
  <c r="Y595" i="1"/>
  <c r="Y591" i="1"/>
  <c r="Z565" i="1"/>
  <c r="Z523" i="1"/>
  <c r="Z528" i="1"/>
  <c r="Z385" i="1"/>
  <c r="Z359" i="1"/>
  <c r="Z353" i="1"/>
  <c r="Z261" i="1"/>
  <c r="Z221" i="1"/>
  <c r="Z128" i="1"/>
  <c r="Z110" i="1"/>
  <c r="Z90" i="1"/>
  <c r="Z62" i="1"/>
  <c r="Z41" i="1"/>
  <c r="Z408" i="1"/>
  <c r="Z370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<sst xmlns="http://schemas.openxmlformats.org/spreadsheetml/2006/main" count="2721" uniqueCount="976">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</sst>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7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980" t="s">
        <v>0</v>
      </c>
      <c r="E1" s="710"/>
      <c r="F1" s="710"/>
      <c r="G1" s="12" t="s">
        <v>1</v>
      </c>
      <c r="H1" s="980" t="s">
        <v>2</v>
      </c>
      <c r="I1" s="710"/>
      <c r="J1" s="710"/>
      <c r="K1" s="710"/>
      <c r="L1" s="710"/>
      <c r="M1" s="710"/>
      <c r="N1" s="710"/>
      <c r="O1" s="710"/>
      <c r="P1" s="710"/>
      <c r="Q1" s="710"/>
      <c r="R1" s="1027" t="s">
        <v>3</v>
      </c>
      <c r="S1" s="710"/>
      <c r="T1" s="71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926" t="s">
        <v>8</v>
      </c>
      <c r="B5" s="705"/>
      <c r="C5" s="699"/>
      <c r="D5" s="791"/>
      <c r="E5" s="793"/>
      <c r="F5" s="751" t="s">
        <v>9</v>
      </c>
      <c r="G5" s="699"/>
      <c r="H5" s="791" t="s">
        <v>975</v>
      </c>
      <c r="I5" s="792"/>
      <c r="J5" s="792"/>
      <c r="K5" s="792"/>
      <c r="L5" s="792"/>
      <c r="M5" s="793"/>
      <c r="N5" s="58"/>
      <c r="P5" s="24" t="s">
        <v>10</v>
      </c>
      <c r="Q5" s="720">
        <v>45759</v>
      </c>
      <c r="R5" s="721"/>
      <c r="T5" s="890" t="s">
        <v>11</v>
      </c>
      <c r="U5" s="871"/>
      <c r="V5" s="892" t="s">
        <v>12</v>
      </c>
      <c r="W5" s="721"/>
      <c r="AB5" s="51"/>
      <c r="AC5" s="51"/>
      <c r="AD5" s="51"/>
      <c r="AE5" s="51"/>
    </row>
    <row r="6" spans="1:32" s="660" customFormat="1" ht="24" customHeight="1" x14ac:dyDescent="0.2">
      <c r="A6" s="926" t="s">
        <v>13</v>
      </c>
      <c r="B6" s="705"/>
      <c r="C6" s="699"/>
      <c r="D6" s="796" t="s">
        <v>14</v>
      </c>
      <c r="E6" s="797"/>
      <c r="F6" s="797"/>
      <c r="G6" s="797"/>
      <c r="H6" s="797"/>
      <c r="I6" s="797"/>
      <c r="J6" s="797"/>
      <c r="K6" s="797"/>
      <c r="L6" s="797"/>
      <c r="M6" s="721"/>
      <c r="N6" s="59"/>
      <c r="P6" s="24" t="s">
        <v>15</v>
      </c>
      <c r="Q6" s="767" t="str">
        <f>IF(Q5=0," ",CHOOSE(WEEKDAY(Q5,2),"Понедельник","Вторник","Среда","Четверг","Пятница","Суббота","Воскресенье"))</f>
        <v>Суббота</v>
      </c>
      <c r="R6" s="676"/>
      <c r="T6" s="897" t="s">
        <v>16</v>
      </c>
      <c r="U6" s="871"/>
      <c r="V6" s="806" t="s">
        <v>17</v>
      </c>
      <c r="W6" s="8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990" t="str">
        <f>IFERROR(VLOOKUP(DeliveryAddress,Table,3,0),1)</f>
        <v>4</v>
      </c>
      <c r="E7" s="991"/>
      <c r="F7" s="991"/>
      <c r="G7" s="991"/>
      <c r="H7" s="991"/>
      <c r="I7" s="991"/>
      <c r="J7" s="991"/>
      <c r="K7" s="991"/>
      <c r="L7" s="991"/>
      <c r="M7" s="895"/>
      <c r="N7" s="60"/>
      <c r="P7" s="24"/>
      <c r="Q7" s="42"/>
      <c r="R7" s="42"/>
      <c r="T7" s="671"/>
      <c r="U7" s="871"/>
      <c r="V7" s="808"/>
      <c r="W7" s="809"/>
      <c r="AB7" s="51"/>
      <c r="AC7" s="51"/>
      <c r="AD7" s="51"/>
      <c r="AE7" s="51"/>
    </row>
    <row r="8" spans="1:32" s="660" customFormat="1" ht="25.5" customHeight="1" x14ac:dyDescent="0.2">
      <c r="A8" s="702" t="s">
        <v>18</v>
      </c>
      <c r="B8" s="668"/>
      <c r="C8" s="669"/>
      <c r="D8" s="1000"/>
      <c r="E8" s="1001"/>
      <c r="F8" s="1001"/>
      <c r="G8" s="1001"/>
      <c r="H8" s="1001"/>
      <c r="I8" s="1001"/>
      <c r="J8" s="1001"/>
      <c r="K8" s="1001"/>
      <c r="L8" s="1001"/>
      <c r="M8" s="1002"/>
      <c r="N8" s="61"/>
      <c r="P8" s="24" t="s">
        <v>19</v>
      </c>
      <c r="Q8" s="894">
        <v>0.41666666666666669</v>
      </c>
      <c r="R8" s="895"/>
      <c r="T8" s="671"/>
      <c r="U8" s="871"/>
      <c r="V8" s="808"/>
      <c r="W8" s="809"/>
      <c r="AB8" s="51"/>
      <c r="AC8" s="51"/>
      <c r="AD8" s="51"/>
      <c r="AE8" s="51"/>
    </row>
    <row r="9" spans="1:32" s="660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62"/>
      <c r="E9" s="763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8" t="str">
        <f>IF(AND($A$9="Тип доверенности/получателя при получении в адресе перегруза:",$D$9="Разовая доверенность"),"Введите ФИО","")</f>
        <v/>
      </c>
      <c r="I9" s="763"/>
      <c r="J9" s="8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3"/>
      <c r="L9" s="763"/>
      <c r="M9" s="763"/>
      <c r="N9" s="661"/>
      <c r="P9" s="26" t="s">
        <v>20</v>
      </c>
      <c r="Q9" s="962"/>
      <c r="R9" s="731"/>
      <c r="T9" s="671"/>
      <c r="U9" s="871"/>
      <c r="V9" s="810"/>
      <c r="W9" s="811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62"/>
      <c r="E10" s="763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27" t="str">
        <f>IFERROR(VLOOKUP($D$10,Proxy,2,FALSE),"")</f>
        <v/>
      </c>
      <c r="I10" s="671"/>
      <c r="J10" s="671"/>
      <c r="K10" s="671"/>
      <c r="L10" s="671"/>
      <c r="M10" s="671"/>
      <c r="N10" s="659"/>
      <c r="P10" s="26" t="s">
        <v>21</v>
      </c>
      <c r="Q10" s="898"/>
      <c r="R10" s="899"/>
      <c r="U10" s="24" t="s">
        <v>22</v>
      </c>
      <c r="V10" s="1046" t="s">
        <v>23</v>
      </c>
      <c r="W10" s="8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63"/>
      <c r="R11" s="721"/>
      <c r="U11" s="24" t="s">
        <v>26</v>
      </c>
      <c r="V11" s="730" t="s">
        <v>27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63" t="s">
        <v>28</v>
      </c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699"/>
      <c r="N12" s="62"/>
      <c r="P12" s="24" t="s">
        <v>29</v>
      </c>
      <c r="Q12" s="894"/>
      <c r="R12" s="895"/>
      <c r="S12" s="23"/>
      <c r="U12" s="24"/>
      <c r="V12" s="710"/>
      <c r="W12" s="671"/>
      <c r="AB12" s="51"/>
      <c r="AC12" s="51"/>
      <c r="AD12" s="51"/>
      <c r="AE12" s="51"/>
    </row>
    <row r="13" spans="1:32" s="660" customFormat="1" ht="23.25" customHeight="1" x14ac:dyDescent="0.2">
      <c r="A13" s="863" t="s">
        <v>30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699"/>
      <c r="N13" s="62"/>
      <c r="O13" s="26"/>
      <c r="P13" s="26" t="s">
        <v>31</v>
      </c>
      <c r="Q13" s="730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63" t="s">
        <v>32</v>
      </c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69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65" t="s">
        <v>33</v>
      </c>
      <c r="B15" s="705"/>
      <c r="C15" s="705"/>
      <c r="D15" s="705"/>
      <c r="E15" s="705"/>
      <c r="F15" s="705"/>
      <c r="G15" s="705"/>
      <c r="H15" s="705"/>
      <c r="I15" s="705"/>
      <c r="J15" s="705"/>
      <c r="K15" s="705"/>
      <c r="L15" s="705"/>
      <c r="M15" s="699"/>
      <c r="N15" s="63"/>
      <c r="P15" s="909" t="s">
        <v>34</v>
      </c>
      <c r="Q15" s="710"/>
      <c r="R15" s="710"/>
      <c r="S15" s="710"/>
      <c r="T15" s="71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10"/>
      <c r="Q16" s="910"/>
      <c r="R16" s="910"/>
      <c r="S16" s="910"/>
      <c r="T16" s="9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35</v>
      </c>
      <c r="B17" s="680" t="s">
        <v>36</v>
      </c>
      <c r="C17" s="928" t="s">
        <v>37</v>
      </c>
      <c r="D17" s="680" t="s">
        <v>38</v>
      </c>
      <c r="E17" s="681"/>
      <c r="F17" s="680" t="s">
        <v>39</v>
      </c>
      <c r="G17" s="680" t="s">
        <v>40</v>
      </c>
      <c r="H17" s="680" t="s">
        <v>41</v>
      </c>
      <c r="I17" s="680" t="s">
        <v>42</v>
      </c>
      <c r="J17" s="680" t="s">
        <v>43</v>
      </c>
      <c r="K17" s="680" t="s">
        <v>44</v>
      </c>
      <c r="L17" s="680" t="s">
        <v>45</v>
      </c>
      <c r="M17" s="680" t="s">
        <v>46</v>
      </c>
      <c r="N17" s="680" t="s">
        <v>47</v>
      </c>
      <c r="O17" s="680" t="s">
        <v>48</v>
      </c>
      <c r="P17" s="680" t="s">
        <v>49</v>
      </c>
      <c r="Q17" s="970"/>
      <c r="R17" s="970"/>
      <c r="S17" s="970"/>
      <c r="T17" s="681"/>
      <c r="U17" s="698" t="s">
        <v>50</v>
      </c>
      <c r="V17" s="699"/>
      <c r="W17" s="680" t="s">
        <v>51</v>
      </c>
      <c r="X17" s="680" t="s">
        <v>52</v>
      </c>
      <c r="Y17" s="700" t="s">
        <v>53</v>
      </c>
      <c r="Z17" s="836" t="s">
        <v>54</v>
      </c>
      <c r="AA17" s="745" t="s">
        <v>55</v>
      </c>
      <c r="AB17" s="745" t="s">
        <v>56</v>
      </c>
      <c r="AC17" s="745" t="s">
        <v>57</v>
      </c>
      <c r="AD17" s="745" t="s">
        <v>58</v>
      </c>
      <c r="AE17" s="746"/>
      <c r="AF17" s="747"/>
      <c r="AG17" s="66"/>
      <c r="BD17" s="65" t="s">
        <v>59</v>
      </c>
    </row>
    <row r="18" spans="1:68" ht="14.25" customHeight="1" x14ac:dyDescent="0.2">
      <c r="A18" s="686"/>
      <c r="B18" s="686"/>
      <c r="C18" s="686"/>
      <c r="D18" s="682"/>
      <c r="E18" s="683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82"/>
      <c r="Q18" s="971"/>
      <c r="R18" s="971"/>
      <c r="S18" s="971"/>
      <c r="T18" s="683"/>
      <c r="U18" s="67" t="s">
        <v>60</v>
      </c>
      <c r="V18" s="67" t="s">
        <v>61</v>
      </c>
      <c r="W18" s="686"/>
      <c r="X18" s="686"/>
      <c r="Y18" s="701"/>
      <c r="Z18" s="837"/>
      <c r="AA18" s="828"/>
      <c r="AB18" s="828"/>
      <c r="AC18" s="828"/>
      <c r="AD18" s="748"/>
      <c r="AE18" s="749"/>
      <c r="AF18" s="750"/>
      <c r="AG18" s="66"/>
      <c r="BD18" s="65"/>
    </row>
    <row r="19" spans="1:68" ht="27.75" hidden="1" customHeight="1" x14ac:dyDescent="0.2">
      <c r="A19" s="785" t="s">
        <v>62</v>
      </c>
      <c r="B19" s="786"/>
      <c r="C19" s="786"/>
      <c r="D19" s="786"/>
      <c r="E19" s="786"/>
      <c r="F19" s="786"/>
      <c r="G19" s="786"/>
      <c r="H19" s="786"/>
      <c r="I19" s="786"/>
      <c r="J19" s="786"/>
      <c r="K19" s="786"/>
      <c r="L19" s="786"/>
      <c r="M19" s="786"/>
      <c r="N19" s="786"/>
      <c r="O19" s="786"/>
      <c r="P19" s="786"/>
      <c r="Q19" s="786"/>
      <c r="R19" s="786"/>
      <c r="S19" s="786"/>
      <c r="T19" s="786"/>
      <c r="U19" s="786"/>
      <c r="V19" s="786"/>
      <c r="W19" s="786"/>
      <c r="X19" s="786"/>
      <c r="Y19" s="786"/>
      <c r="Z19" s="786"/>
      <c r="AA19" s="48"/>
      <c r="AB19" s="48"/>
      <c r="AC19" s="48"/>
    </row>
    <row r="20" spans="1:68" ht="16.5" hidden="1" customHeight="1" x14ac:dyDescent="0.25">
      <c r="A20" s="709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7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2" t="s">
        <v>75</v>
      </c>
      <c r="Q24" s="673"/>
      <c r="R24" s="673"/>
      <c r="S24" s="673"/>
      <c r="T24" s="674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3" t="s">
        <v>79</v>
      </c>
      <c r="Q25" s="673"/>
      <c r="R25" s="673"/>
      <c r="S25" s="673"/>
      <c r="T25" s="674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95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96"/>
      <c r="P28" s="667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96"/>
      <c r="P29" s="667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4"/>
      <c r="V31" s="34"/>
      <c r="W31" s="35" t="s">
        <v>68</v>
      </c>
      <c r="X31" s="663">
        <v>5</v>
      </c>
      <c r="Y31" s="664">
        <f>IFERROR(IF(X31="",0,CEILING((X31/$H31),1)*$H31),"")</f>
        <v>5.3999999999999995</v>
      </c>
      <c r="Z31" s="36">
        <f>IFERROR(IF(Y31=0,"",ROUNDUP(Y31/H31,0)*0.00651),"")</f>
        <v>5.8590000000000003E-2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6.85</v>
      </c>
      <c r="BN31" s="64">
        <f>IFERROR(Y31*I31/H31,"0")</f>
        <v>7.3979999999999997</v>
      </c>
      <c r="BO31" s="64">
        <f>IFERROR(1/J31*(X31/H31),"0")</f>
        <v>4.5787545787545791E-2</v>
      </c>
      <c r="BP31" s="64">
        <f>IFERROR(1/J31*(Y31/H31),"0")</f>
        <v>4.9450549450549455E-2</v>
      </c>
    </row>
    <row r="32" spans="1:68" x14ac:dyDescent="0.2">
      <c r="A32" s="695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96"/>
      <c r="P32" s="667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8.3333333333333339</v>
      </c>
      <c r="Y32" s="665">
        <f>IFERROR(Y31/H31,"0")</f>
        <v>9</v>
      </c>
      <c r="Z32" s="665">
        <f>IFERROR(IF(Z31="",0,Z31),"0")</f>
        <v>5.8590000000000003E-2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96"/>
      <c r="P33" s="667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5</v>
      </c>
      <c r="Y33" s="665">
        <f>IFERROR(SUM(Y31:Y31),"0")</f>
        <v>5.3999999999999995</v>
      </c>
      <c r="Z33" s="37"/>
      <c r="AA33" s="666"/>
      <c r="AB33" s="666"/>
      <c r="AC33" s="666"/>
    </row>
    <row r="34" spans="1:68" ht="27.75" hidden="1" customHeight="1" x14ac:dyDescent="0.2">
      <c r="A34" s="785" t="s">
        <v>95</v>
      </c>
      <c r="B34" s="786"/>
      <c r="C34" s="786"/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6"/>
      <c r="S34" s="786"/>
      <c r="T34" s="786"/>
      <c r="U34" s="786"/>
      <c r="V34" s="786"/>
      <c r="W34" s="786"/>
      <c r="X34" s="786"/>
      <c r="Y34" s="786"/>
      <c r="Z34" s="786"/>
      <c r="AA34" s="48"/>
      <c r="AB34" s="48"/>
      <c r="AC34" s="48"/>
    </row>
    <row r="35" spans="1:68" ht="16.5" hidden="1" customHeight="1" x14ac:dyDescent="0.25">
      <c r="A35" s="709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7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4"/>
      <c r="V37" s="34"/>
      <c r="W37" s="35" t="s">
        <v>68</v>
      </c>
      <c r="X37" s="663">
        <v>523</v>
      </c>
      <c r="Y37" s="664">
        <f>IFERROR(IF(X37="",0,CEILING((X37/$H37),1)*$H37),"")</f>
        <v>529.20000000000005</v>
      </c>
      <c r="Z37" s="36">
        <f>IFERROR(IF(Y37=0,"",ROUNDUP(Y37/H37,0)*0.01898),"")</f>
        <v>0.93002000000000007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544.06527777777774</v>
      </c>
      <c r="BN37" s="64">
        <f>IFERROR(Y37*I37/H37,"0")</f>
        <v>550.51499999999999</v>
      </c>
      <c r="BO37" s="64">
        <f>IFERROR(1/J37*(X37/H37),"0")</f>
        <v>0.75665509259259256</v>
      </c>
      <c r="BP37" s="64">
        <f>IFERROR(1/J37*(Y37/H37),"0")</f>
        <v>0.765625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10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5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96"/>
      <c r="P41" s="667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48.425925925925924</v>
      </c>
      <c r="Y41" s="665">
        <f>IFERROR(Y37/H37,"0")+IFERROR(Y38/H38,"0")+IFERROR(Y39/H39,"0")+IFERROR(Y40/H40,"0")</f>
        <v>49</v>
      </c>
      <c r="Z41" s="665">
        <f>IFERROR(IF(Z37="",0,Z37),"0")+IFERROR(IF(Z38="",0,Z38),"0")+IFERROR(IF(Z39="",0,Z39),"0")+IFERROR(IF(Z40="",0,Z40),"0")</f>
        <v>0.93002000000000007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96"/>
      <c r="P42" s="667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523</v>
      </c>
      <c r="Y42" s="665">
        <f>IFERROR(SUM(Y37:Y40),"0")</f>
        <v>529.20000000000005</v>
      </c>
      <c r="Z42" s="37"/>
      <c r="AA42" s="666"/>
      <c r="AB42" s="666"/>
      <c r="AC42" s="666"/>
    </row>
    <row r="43" spans="1:68" ht="14.25" hidden="1" customHeight="1" x14ac:dyDescent="0.25">
      <c r="A43" s="67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95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96"/>
      <c r="P45" s="667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96"/>
      <c r="P46" s="667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09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7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4"/>
      <c r="V50" s="34"/>
      <c r="W50" s="35" t="s">
        <v>68</v>
      </c>
      <c r="X50" s="663">
        <v>402</v>
      </c>
      <c r="Y50" s="664">
        <f t="shared" si="6"/>
        <v>410.40000000000003</v>
      </c>
      <c r="Z50" s="36">
        <f>IFERROR(IF(Y50=0,"",ROUNDUP(Y50/H50,0)*0.01898),"")</f>
        <v>0.72123999999999999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418.19166666666661</v>
      </c>
      <c r="BN50" s="64">
        <f t="shared" si="8"/>
        <v>426.92999999999995</v>
      </c>
      <c r="BO50" s="64">
        <f t="shared" si="9"/>
        <v>0.58159722222222221</v>
      </c>
      <c r="BP50" s="64">
        <f t="shared" si="10"/>
        <v>0.59375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4"/>
      <c r="V52" s="34"/>
      <c r="W52" s="35" t="s">
        <v>68</v>
      </c>
      <c r="X52" s="663">
        <v>275</v>
      </c>
      <c r="Y52" s="664">
        <f t="shared" si="6"/>
        <v>276</v>
      </c>
      <c r="Z52" s="36">
        <f>IFERROR(IF(Y52=0,"",ROUNDUP(Y52/H52,0)*0.00902),"")</f>
        <v>0.62238000000000004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289.4375</v>
      </c>
      <c r="BN52" s="64">
        <f t="shared" si="8"/>
        <v>290.49</v>
      </c>
      <c r="BO52" s="64">
        <f t="shared" si="9"/>
        <v>0.52083333333333337</v>
      </c>
      <c r="BP52" s="64">
        <f t="shared" si="10"/>
        <v>0.52272727272727271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95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96"/>
      <c r="P55" s="667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105.97222222222223</v>
      </c>
      <c r="Y55" s="665">
        <f>IFERROR(Y49/H49,"0")+IFERROR(Y50/H50,"0")+IFERROR(Y51/H51,"0")+IFERROR(Y52/H52,"0")+IFERROR(Y53/H53,"0")+IFERROR(Y54/H54,"0")</f>
        <v>107</v>
      </c>
      <c r="Z55" s="665">
        <f>IFERROR(IF(Z49="",0,Z49),"0")+IFERROR(IF(Z50="",0,Z50),"0")+IFERROR(IF(Z51="",0,Z51),"0")+IFERROR(IF(Z52="",0,Z52),"0")+IFERROR(IF(Z53="",0,Z53),"0")+IFERROR(IF(Z54="",0,Z54),"0")</f>
        <v>1.34362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96"/>
      <c r="P56" s="667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677</v>
      </c>
      <c r="Y56" s="665">
        <f>IFERROR(SUM(Y49:Y54),"0")</f>
        <v>686.40000000000009</v>
      </c>
      <c r="Z56" s="37"/>
      <c r="AA56" s="666"/>
      <c r="AB56" s="666"/>
      <c r="AC56" s="666"/>
    </row>
    <row r="57" spans="1:68" ht="14.25" hidden="1" customHeight="1" x14ac:dyDescent="0.25">
      <c r="A57" s="67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4"/>
      <c r="V58" s="34"/>
      <c r="W58" s="35" t="s">
        <v>68</v>
      </c>
      <c r="X58" s="663">
        <v>598</v>
      </c>
      <c r="Y58" s="664">
        <f>IFERROR(IF(X58="",0,CEILING((X58/$H58),1)*$H58),"")</f>
        <v>604.80000000000007</v>
      </c>
      <c r="Z58" s="36">
        <f>IFERROR(IF(Y58=0,"",ROUNDUP(Y58/H58,0)*0.01898),"")</f>
        <v>1.06288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622.08611111111099</v>
      </c>
      <c r="BN58" s="64">
        <f>IFERROR(Y58*I58/H58,"0")</f>
        <v>629.16000000000008</v>
      </c>
      <c r="BO58" s="64">
        <f>IFERROR(1/J58*(X58/H58),"0")</f>
        <v>0.86516203703703698</v>
      </c>
      <c r="BP58" s="64">
        <f>IFERROR(1/J58*(Y58/H58),"0")</f>
        <v>0.875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8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6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5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96"/>
      <c r="P62" s="667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55.370370370370367</v>
      </c>
      <c r="Y62" s="665">
        <f>IFERROR(Y58/H58,"0")+IFERROR(Y59/H59,"0")+IFERROR(Y60/H60,"0")+IFERROR(Y61/H61,"0")</f>
        <v>56</v>
      </c>
      <c r="Z62" s="665">
        <f>IFERROR(IF(Z58="",0,Z58),"0")+IFERROR(IF(Z59="",0,Z59),"0")+IFERROR(IF(Z60="",0,Z60),"0")+IFERROR(IF(Z61="",0,Z61),"0")</f>
        <v>1.06288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96"/>
      <c r="P63" s="667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598</v>
      </c>
      <c r="Y63" s="665">
        <f>IFERROR(SUM(Y58:Y61),"0")</f>
        <v>604.80000000000007</v>
      </c>
      <c r="Z63" s="37"/>
      <c r="AA63" s="666"/>
      <c r="AB63" s="666"/>
      <c r="AC63" s="666"/>
    </row>
    <row r="64" spans="1:68" ht="14.25" hidden="1" customHeight="1" x14ac:dyDescent="0.25">
      <c r="A64" s="67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5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96"/>
      <c r="P68" s="667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96"/>
      <c r="P69" s="667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8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4"/>
      <c r="V72" s="34"/>
      <c r="W72" s="35" t="s">
        <v>68</v>
      </c>
      <c r="X72" s="663">
        <v>95</v>
      </c>
      <c r="Y72" s="664">
        <f t="shared" si="11"/>
        <v>100.80000000000001</v>
      </c>
      <c r="Z72" s="36">
        <f>IFERROR(IF(Y72=0,"",ROUNDUP(Y72/H72,0)*0.01898),"")</f>
        <v>0.22776000000000002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99.919642857142861</v>
      </c>
      <c r="BN72" s="64">
        <f t="shared" si="13"/>
        <v>106.02000000000002</v>
      </c>
      <c r="BO72" s="64">
        <f t="shared" si="14"/>
        <v>0.17671130952380951</v>
      </c>
      <c r="BP72" s="64">
        <f t="shared" si="15"/>
        <v>0.1875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2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95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96"/>
      <c r="P77" s="667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11.309523809523808</v>
      </c>
      <c r="Y77" s="665">
        <f>IFERROR(Y71/H71,"0")+IFERROR(Y72/H72,"0")+IFERROR(Y73/H73,"0")+IFERROR(Y74/H74,"0")+IFERROR(Y75/H75,"0")+IFERROR(Y76/H76,"0")</f>
        <v>12</v>
      </c>
      <c r="Z77" s="665">
        <f>IFERROR(IF(Z71="",0,Z71),"0")+IFERROR(IF(Z72="",0,Z72),"0")+IFERROR(IF(Z73="",0,Z73),"0")+IFERROR(IF(Z74="",0,Z74),"0")+IFERROR(IF(Z75="",0,Z75),"0")+IFERROR(IF(Z76="",0,Z76),"0")</f>
        <v>0.22776000000000002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96"/>
      <c r="P78" s="667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95</v>
      </c>
      <c r="Y78" s="665">
        <f>IFERROR(SUM(Y71:Y76),"0")</f>
        <v>100.80000000000001</v>
      </c>
      <c r="Z78" s="37"/>
      <c r="AA78" s="666"/>
      <c r="AB78" s="666"/>
      <c r="AC78" s="666"/>
    </row>
    <row r="79" spans="1:68" ht="14.25" hidden="1" customHeight="1" x14ac:dyDescent="0.25">
      <c r="A79" s="67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3"/>
      <c r="R80" s="673"/>
      <c r="S80" s="673"/>
      <c r="T80" s="674"/>
      <c r="U80" s="34"/>
      <c r="V80" s="34"/>
      <c r="W80" s="35" t="s">
        <v>68</v>
      </c>
      <c r="X80" s="663">
        <v>211</v>
      </c>
      <c r="Y80" s="664">
        <f>IFERROR(IF(X80="",0,CEILING((X80/$H80),1)*$H80),"")</f>
        <v>218.4</v>
      </c>
      <c r="Z80" s="36">
        <f>IFERROR(IF(Y80=0,"",ROUNDUP(Y80/H80,0)*0.01898),"")</f>
        <v>0.49348000000000003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224.03678571428571</v>
      </c>
      <c r="BN80" s="64">
        <f>IFERROR(Y80*I80/H80,"0")</f>
        <v>231.89400000000001</v>
      </c>
      <c r="BO80" s="64">
        <f>IFERROR(1/J80*(X80/H80),"0")</f>
        <v>0.39248511904761901</v>
      </c>
      <c r="BP80" s="64">
        <f>IFERROR(1/J80*(Y80/H80),"0")</f>
        <v>0.40625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3"/>
      <c r="R81" s="673"/>
      <c r="S81" s="673"/>
      <c r="T81" s="674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4"/>
      <c r="V82" s="34"/>
      <c r="W82" s="35" t="s">
        <v>68</v>
      </c>
      <c r="X82" s="663">
        <v>29</v>
      </c>
      <c r="Y82" s="664">
        <f>IFERROR(IF(X82="",0,CEILING((X82/$H82),1)*$H82),"")</f>
        <v>31.2</v>
      </c>
      <c r="Z82" s="36">
        <f>IFERROR(IF(Y82=0,"",ROUNDUP(Y82/H82,0)*0.00902),"")</f>
        <v>0.11726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31.537500000000001</v>
      </c>
      <c r="BN82" s="64">
        <f>IFERROR(Y82*I82/H82,"0")</f>
        <v>33.93</v>
      </c>
      <c r="BO82" s="64">
        <f>IFERROR(1/J82*(X82/H82),"0")</f>
        <v>9.1540404040404047E-2</v>
      </c>
      <c r="BP82" s="64">
        <f>IFERROR(1/J82*(Y82/H82),"0")</f>
        <v>9.8484848484848481E-2</v>
      </c>
    </row>
    <row r="83" spans="1:68" x14ac:dyDescent="0.2">
      <c r="A83" s="695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96"/>
      <c r="P83" s="667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37.202380952380949</v>
      </c>
      <c r="Y83" s="665">
        <f>IFERROR(Y80/H80,"0")+IFERROR(Y81/H81,"0")+IFERROR(Y82/H82,"0")</f>
        <v>39</v>
      </c>
      <c r="Z83" s="665">
        <f>IFERROR(IF(Z80="",0,Z80),"0")+IFERROR(IF(Z81="",0,Z81),"0")+IFERROR(IF(Z82="",0,Z82),"0")</f>
        <v>0.61074000000000006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96"/>
      <c r="P84" s="667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240</v>
      </c>
      <c r="Y84" s="665">
        <f>IFERROR(SUM(Y80:Y82),"0")</f>
        <v>249.6</v>
      </c>
      <c r="Z84" s="37"/>
      <c r="AA84" s="666"/>
      <c r="AB84" s="666"/>
      <c r="AC84" s="666"/>
    </row>
    <row r="85" spans="1:68" ht="16.5" hidden="1" customHeight="1" x14ac:dyDescent="0.25">
      <c r="A85" s="709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7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4"/>
      <c r="V87" s="34"/>
      <c r="W87" s="35" t="s">
        <v>68</v>
      </c>
      <c r="X87" s="663">
        <v>930</v>
      </c>
      <c r="Y87" s="664">
        <f>IFERROR(IF(X87="",0,CEILING((X87/$H87),1)*$H87),"")</f>
        <v>939.6</v>
      </c>
      <c r="Z87" s="36">
        <f>IFERROR(IF(Y87=0,"",ROUNDUP(Y87/H87,0)*0.01898),"")</f>
        <v>1.65126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967.45833333333326</v>
      </c>
      <c r="BN87" s="64">
        <f>IFERROR(Y87*I87/H87,"0")</f>
        <v>977.44499999999982</v>
      </c>
      <c r="BO87" s="64">
        <f>IFERROR(1/J87*(X87/H87),"0")</f>
        <v>1.3454861111111109</v>
      </c>
      <c r="BP87" s="64">
        <f>IFERROR(1/J87*(Y87/H87),"0")</f>
        <v>1.359375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4"/>
      <c r="V89" s="34"/>
      <c r="W89" s="35" t="s">
        <v>68</v>
      </c>
      <c r="X89" s="663">
        <v>91</v>
      </c>
      <c r="Y89" s="664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95.24666666666667</v>
      </c>
      <c r="BN89" s="64">
        <f>IFERROR(Y89*I89/H89,"0")</f>
        <v>98.91</v>
      </c>
      <c r="BO89" s="64">
        <f>IFERROR(1/J89*(X89/H89),"0")</f>
        <v>0.1531986531986532</v>
      </c>
      <c r="BP89" s="64">
        <f>IFERROR(1/J89*(Y89/H89),"0")</f>
        <v>0.15909090909090909</v>
      </c>
    </row>
    <row r="90" spans="1:68" x14ac:dyDescent="0.2">
      <c r="A90" s="695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96"/>
      <c r="P90" s="667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106.33333333333331</v>
      </c>
      <c r="Y90" s="665">
        <f>IFERROR(Y87/H87,"0")+IFERROR(Y88/H88,"0")+IFERROR(Y89/H89,"0")</f>
        <v>108</v>
      </c>
      <c r="Z90" s="665">
        <f>IFERROR(IF(Z87="",0,Z87),"0")+IFERROR(IF(Z88="",0,Z88),"0")+IFERROR(IF(Z89="",0,Z89),"0")</f>
        <v>1.8406799999999999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96"/>
      <c r="P91" s="667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1021</v>
      </c>
      <c r="Y91" s="665">
        <f>IFERROR(SUM(Y87:Y89),"0")</f>
        <v>1034.0999999999999</v>
      </c>
      <c r="Z91" s="37"/>
      <c r="AA91" s="666"/>
      <c r="AB91" s="666"/>
      <c r="AC91" s="666"/>
    </row>
    <row r="92" spans="1:68" ht="14.25" hidden="1" customHeight="1" x14ac:dyDescent="0.25">
      <c r="A92" s="67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803" t="s">
        <v>189</v>
      </c>
      <c r="Q93" s="673"/>
      <c r="R93" s="673"/>
      <c r="S93" s="673"/>
      <c r="T93" s="674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9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3"/>
      <c r="R94" s="673"/>
      <c r="S94" s="673"/>
      <c r="T94" s="674"/>
      <c r="U94" s="34"/>
      <c r="V94" s="34"/>
      <c r="W94" s="35" t="s">
        <v>68</v>
      </c>
      <c r="X94" s="663">
        <v>209</v>
      </c>
      <c r="Y94" s="664">
        <f t="shared" si="16"/>
        <v>210</v>
      </c>
      <c r="Z94" s="36">
        <f>IFERROR(IF(Y94=0,"",ROUNDUP(Y94/H94,0)*0.01898),"")</f>
        <v>0.47450000000000003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221.9132142857143</v>
      </c>
      <c r="BN94" s="64">
        <f t="shared" si="18"/>
        <v>222.97499999999999</v>
      </c>
      <c r="BO94" s="64">
        <f t="shared" si="19"/>
        <v>0.38876488095238093</v>
      </c>
      <c r="BP94" s="64">
        <f t="shared" si="20"/>
        <v>0.390625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1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3"/>
      <c r="R95" s="673"/>
      <c r="S95" s="673"/>
      <c r="T95" s="674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1" t="s">
        <v>196</v>
      </c>
      <c r="Q96" s="673"/>
      <c r="R96" s="673"/>
      <c r="S96" s="673"/>
      <c r="T96" s="674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7" t="s">
        <v>200</v>
      </c>
      <c r="Q97" s="673"/>
      <c r="R97" s="673"/>
      <c r="S97" s="673"/>
      <c r="T97" s="674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794" t="s">
        <v>202</v>
      </c>
      <c r="Q98" s="673"/>
      <c r="R98" s="673"/>
      <c r="S98" s="673"/>
      <c r="T98" s="674"/>
      <c r="U98" s="34"/>
      <c r="V98" s="34"/>
      <c r="W98" s="35" t="s">
        <v>68</v>
      </c>
      <c r="X98" s="663">
        <v>138</v>
      </c>
      <c r="Y98" s="664">
        <f t="shared" si="16"/>
        <v>140.4</v>
      </c>
      <c r="Z98" s="36">
        <f>IFERROR(IF(Y98=0,"",ROUNDUP(Y98/H98,0)*0.00651),"")</f>
        <v>0.33851999999999999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150.88</v>
      </c>
      <c r="BN98" s="64">
        <f t="shared" si="18"/>
        <v>153.50399999999999</v>
      </c>
      <c r="BO98" s="64">
        <f t="shared" si="19"/>
        <v>0.28083028083028083</v>
      </c>
      <c r="BP98" s="64">
        <f t="shared" si="20"/>
        <v>0.28571428571428575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99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3"/>
      <c r="R100" s="673"/>
      <c r="S100" s="673"/>
      <c r="T100" s="674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8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3"/>
      <c r="R101" s="673"/>
      <c r="S101" s="673"/>
      <c r="T101" s="674"/>
      <c r="U101" s="34"/>
      <c r="V101" s="34"/>
      <c r="W101" s="35" t="s">
        <v>68</v>
      </c>
      <c r="X101" s="663">
        <v>116</v>
      </c>
      <c r="Y101" s="664">
        <f t="shared" si="16"/>
        <v>116.10000000000001</v>
      </c>
      <c r="Z101" s="36">
        <f>IFERROR(IF(Y101=0,"",ROUNDUP(Y101/H101,0)*0.00902),"")</f>
        <v>0.38785999999999998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128.37333333333333</v>
      </c>
      <c r="BN101" s="64">
        <f t="shared" si="18"/>
        <v>128.48400000000001</v>
      </c>
      <c r="BO101" s="64">
        <f t="shared" si="19"/>
        <v>0.32547699214365883</v>
      </c>
      <c r="BP101" s="64">
        <f t="shared" si="20"/>
        <v>0.32575757575757575</v>
      </c>
    </row>
    <row r="102" spans="1:68" x14ac:dyDescent="0.2">
      <c r="A102" s="695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96"/>
      <c r="P102" s="667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118.95502645502646</v>
      </c>
      <c r="Y102" s="665">
        <f>IFERROR(Y93/H93,"0")+IFERROR(Y94/H94,"0")+IFERROR(Y95/H95,"0")+IFERROR(Y96/H96,"0")+IFERROR(Y97/H97,"0")+IFERROR(Y98/H98,"0")+IFERROR(Y99/H99,"0")+IFERROR(Y100/H100,"0")+IFERROR(Y101/H101,"0")</f>
        <v>120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1.2008800000000002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96"/>
      <c r="P103" s="667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463</v>
      </c>
      <c r="Y103" s="665">
        <f>IFERROR(SUM(Y93:Y101),"0")</f>
        <v>466.5</v>
      </c>
      <c r="Z103" s="37"/>
      <c r="AA103" s="666"/>
      <c r="AB103" s="666"/>
      <c r="AC103" s="666"/>
    </row>
    <row r="104" spans="1:68" ht="16.5" hidden="1" customHeight="1" x14ac:dyDescent="0.25">
      <c r="A104" s="709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7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4"/>
      <c r="V106" s="34"/>
      <c r="W106" s="35" t="s">
        <v>68</v>
      </c>
      <c r="X106" s="663">
        <v>1037</v>
      </c>
      <c r="Y106" s="664">
        <f>IFERROR(IF(X106="",0,CEILING((X106/$H106),1)*$H106),"")</f>
        <v>1047.6000000000001</v>
      </c>
      <c r="Z106" s="36">
        <f>IFERROR(IF(Y106=0,"",ROUNDUP(Y106/H106,0)*0.01898),"")</f>
        <v>1.8410600000000001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1078.7680555555555</v>
      </c>
      <c r="BN106" s="64">
        <f>IFERROR(Y106*I106/H106,"0")</f>
        <v>1089.7949999999998</v>
      </c>
      <c r="BO106" s="64">
        <f>IFERROR(1/J106*(X106/H106),"0")</f>
        <v>1.5002893518518519</v>
      </c>
      <c r="BP106" s="64">
        <f>IFERROR(1/J106*(Y106/H106),"0")</f>
        <v>1.515625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4"/>
      <c r="V108" s="34"/>
      <c r="W108" s="35" t="s">
        <v>68</v>
      </c>
      <c r="X108" s="663">
        <v>167</v>
      </c>
      <c r="Y108" s="664">
        <f>IFERROR(IF(X108="",0,CEILING((X108/$H108),1)*$H108),"")</f>
        <v>171</v>
      </c>
      <c r="Z108" s="36">
        <f>IFERROR(IF(Y108=0,"",ROUNDUP(Y108/H108,0)*0.00902),"")</f>
        <v>0.34276000000000001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174.79333333333335</v>
      </c>
      <c r="BN108" s="64">
        <f>IFERROR(Y108*I108/H108,"0")</f>
        <v>178.98</v>
      </c>
      <c r="BO108" s="64">
        <f>IFERROR(1/J108*(X108/H108),"0")</f>
        <v>0.2811447811447812</v>
      </c>
      <c r="BP108" s="64">
        <f>IFERROR(1/J108*(Y108/H108),"0")</f>
        <v>0.2878787878787879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5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96"/>
      <c r="P110" s="667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133.12962962962962</v>
      </c>
      <c r="Y110" s="665">
        <f>IFERROR(Y106/H106,"0")+IFERROR(Y107/H107,"0")+IFERROR(Y108/H108,"0")+IFERROR(Y109/H109,"0")</f>
        <v>135</v>
      </c>
      <c r="Z110" s="665">
        <f>IFERROR(IF(Z106="",0,Z106),"0")+IFERROR(IF(Z107="",0,Z107),"0")+IFERROR(IF(Z108="",0,Z108),"0")+IFERROR(IF(Z109="",0,Z109),"0")</f>
        <v>2.1838200000000003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96"/>
      <c r="P111" s="667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1204</v>
      </c>
      <c r="Y111" s="665">
        <f>IFERROR(SUM(Y106:Y109),"0")</f>
        <v>1218.6000000000001</v>
      </c>
      <c r="Z111" s="37"/>
      <c r="AA111" s="666"/>
      <c r="AB111" s="666"/>
      <c r="AC111" s="666"/>
    </row>
    <row r="112" spans="1:68" ht="14.25" hidden="1" customHeight="1" x14ac:dyDescent="0.25">
      <c r="A112" s="67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4"/>
      <c r="V113" s="34"/>
      <c r="W113" s="35" t="s">
        <v>68</v>
      </c>
      <c r="X113" s="663">
        <v>88</v>
      </c>
      <c r="Y113" s="664">
        <f>IFERROR(IF(X113="",0,CEILING((X113/$H113),1)*$H113),"")</f>
        <v>97.2</v>
      </c>
      <c r="Z113" s="36">
        <f>IFERROR(IF(Y113=0,"",ROUNDUP(Y113/H113,0)*0.01898),"")</f>
        <v>0.17082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91.544444444444437</v>
      </c>
      <c r="BN113" s="64">
        <f>IFERROR(Y113*I113/H113,"0")</f>
        <v>101.11499999999998</v>
      </c>
      <c r="BO113" s="64">
        <f>IFERROR(1/J113*(X113/H113),"0")</f>
        <v>0.1273148148148148</v>
      </c>
      <c r="BP113" s="64">
        <f>IFERROR(1/J113*(Y113/H113),"0")</f>
        <v>0.140625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8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4"/>
      <c r="V115" s="34"/>
      <c r="W115" s="35" t="s">
        <v>68</v>
      </c>
      <c r="X115" s="663">
        <v>21</v>
      </c>
      <c r="Y115" s="664">
        <f>IFERROR(IF(X115="",0,CEILING((X115/$H115),1)*$H115),"")</f>
        <v>21.599999999999998</v>
      </c>
      <c r="Z115" s="36">
        <f>IFERROR(IF(Y115=0,"",ROUNDUP(Y115/H115,0)*0.00651),"")</f>
        <v>5.8590000000000003E-2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22.574999999999999</v>
      </c>
      <c r="BN115" s="64">
        <f>IFERROR(Y115*I115/H115,"0")</f>
        <v>23.22</v>
      </c>
      <c r="BO115" s="64">
        <f>IFERROR(1/J115*(X115/H115),"0")</f>
        <v>4.807692307692308E-2</v>
      </c>
      <c r="BP115" s="64">
        <f>IFERROR(1/J115*(Y115/H115),"0")</f>
        <v>4.9450549450549455E-2</v>
      </c>
    </row>
    <row r="116" spans="1:68" x14ac:dyDescent="0.2">
      <c r="A116" s="695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96"/>
      <c r="P116" s="667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16.898148148148145</v>
      </c>
      <c r="Y116" s="665">
        <f>IFERROR(Y113/H113,"0")+IFERROR(Y114/H114,"0")+IFERROR(Y115/H115,"0")</f>
        <v>18</v>
      </c>
      <c r="Z116" s="665">
        <f>IFERROR(IF(Z113="",0,Z113),"0")+IFERROR(IF(Z114="",0,Z114),"0")+IFERROR(IF(Z115="",0,Z115),"0")</f>
        <v>0.22941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96"/>
      <c r="P117" s="667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109</v>
      </c>
      <c r="Y117" s="665">
        <f>IFERROR(SUM(Y113:Y115),"0")</f>
        <v>118.8</v>
      </c>
      <c r="Z117" s="37"/>
      <c r="AA117" s="666"/>
      <c r="AB117" s="666"/>
      <c r="AC117" s="666"/>
    </row>
    <row r="118" spans="1:68" ht="14.25" hidden="1" customHeight="1" x14ac:dyDescent="0.25">
      <c r="A118" s="67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51" t="s">
        <v>228</v>
      </c>
      <c r="Q119" s="673"/>
      <c r="R119" s="673"/>
      <c r="S119" s="673"/>
      <c r="T119" s="674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3"/>
      <c r="R120" s="673"/>
      <c r="S120" s="673"/>
      <c r="T120" s="674"/>
      <c r="U120" s="34"/>
      <c r="V120" s="34"/>
      <c r="W120" s="35" t="s">
        <v>68</v>
      </c>
      <c r="X120" s="663">
        <v>429</v>
      </c>
      <c r="Y120" s="664">
        <f t="shared" si="21"/>
        <v>436.8</v>
      </c>
      <c r="Z120" s="36">
        <f>IFERROR(IF(Y120=0,"",ROUNDUP(Y120/H120,0)*0.01898),"")</f>
        <v>0.98696000000000006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455.19964285714286</v>
      </c>
      <c r="BN120" s="64">
        <f t="shared" si="23"/>
        <v>463.476</v>
      </c>
      <c r="BO120" s="64">
        <f t="shared" si="24"/>
        <v>0.7979910714285714</v>
      </c>
      <c r="BP120" s="64">
        <f t="shared" si="25"/>
        <v>0.8125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3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3"/>
      <c r="R121" s="673"/>
      <c r="S121" s="673"/>
      <c r="T121" s="674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8" t="s">
        <v>236</v>
      </c>
      <c r="Q122" s="673"/>
      <c r="R122" s="673"/>
      <c r="S122" s="673"/>
      <c r="T122" s="674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3"/>
      <c r="R123" s="673"/>
      <c r="S123" s="673"/>
      <c r="T123" s="674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3" t="s">
        <v>240</v>
      </c>
      <c r="Q124" s="673"/>
      <c r="R124" s="673"/>
      <c r="S124" s="673"/>
      <c r="T124" s="674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6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3"/>
      <c r="R125" s="673"/>
      <c r="S125" s="673"/>
      <c r="T125" s="674"/>
      <c r="U125" s="34"/>
      <c r="V125" s="34"/>
      <c r="W125" s="35" t="s">
        <v>68</v>
      </c>
      <c r="X125" s="663">
        <v>132</v>
      </c>
      <c r="Y125" s="664">
        <f t="shared" si="21"/>
        <v>132.30000000000001</v>
      </c>
      <c r="Z125" s="36">
        <f t="shared" si="26"/>
        <v>0.31899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144.32</v>
      </c>
      <c r="BN125" s="64">
        <f t="shared" si="23"/>
        <v>144.64800000000002</v>
      </c>
      <c r="BO125" s="64">
        <f t="shared" si="24"/>
        <v>0.26862026862026861</v>
      </c>
      <c r="BP125" s="64">
        <f t="shared" si="25"/>
        <v>0.26923076923076927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7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95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96"/>
      <c r="P128" s="667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99.960317460317455</v>
      </c>
      <c r="Y128" s="665">
        <f>IFERROR(Y119/H119,"0")+IFERROR(Y120/H120,"0")+IFERROR(Y121/H121,"0")+IFERROR(Y122/H122,"0")+IFERROR(Y123/H123,"0")+IFERROR(Y124/H124,"0")+IFERROR(Y125/H125,"0")+IFERROR(Y126/H126,"0")+IFERROR(Y127/H127,"0")</f>
        <v>101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1.3059500000000002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96"/>
      <c r="P129" s="667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561</v>
      </c>
      <c r="Y129" s="665">
        <f>IFERROR(SUM(Y119:Y127),"0")</f>
        <v>569.1</v>
      </c>
      <c r="Z129" s="37"/>
      <c r="AA129" s="666"/>
      <c r="AB129" s="666"/>
      <c r="AC129" s="666"/>
    </row>
    <row r="130" spans="1:68" ht="14.25" hidden="1" customHeight="1" x14ac:dyDescent="0.25">
      <c r="A130" s="67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59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95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96"/>
      <c r="P133" s="667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96"/>
      <c r="P134" s="667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09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7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3"/>
      <c r="R137" s="673"/>
      <c r="S137" s="673"/>
      <c r="T137" s="674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3"/>
      <c r="R138" s="673"/>
      <c r="S138" s="673"/>
      <c r="T138" s="674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95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96"/>
      <c r="P139" s="667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96"/>
      <c r="P140" s="667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95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96"/>
      <c r="P144" s="667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96"/>
      <c r="P145" s="667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95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96"/>
      <c r="P149" s="667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96"/>
      <c r="P150" s="667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09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7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95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96"/>
      <c r="P154" s="667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96"/>
      <c r="P155" s="667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95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96"/>
      <c r="P161" s="667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96"/>
      <c r="P162" s="667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804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95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96"/>
      <c r="P165" s="667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96"/>
      <c r="P166" s="667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85" t="s">
        <v>283</v>
      </c>
      <c r="B167" s="786"/>
      <c r="C167" s="786"/>
      <c r="D167" s="786"/>
      <c r="E167" s="786"/>
      <c r="F167" s="786"/>
      <c r="G167" s="786"/>
      <c r="H167" s="786"/>
      <c r="I167" s="786"/>
      <c r="J167" s="786"/>
      <c r="K167" s="786"/>
      <c r="L167" s="786"/>
      <c r="M167" s="786"/>
      <c r="N167" s="786"/>
      <c r="O167" s="786"/>
      <c r="P167" s="786"/>
      <c r="Q167" s="786"/>
      <c r="R167" s="786"/>
      <c r="S167" s="786"/>
      <c r="T167" s="786"/>
      <c r="U167" s="786"/>
      <c r="V167" s="786"/>
      <c r="W167" s="786"/>
      <c r="X167" s="786"/>
      <c r="Y167" s="786"/>
      <c r="Z167" s="786"/>
      <c r="AA167" s="48"/>
      <c r="AB167" s="48"/>
      <c r="AC167" s="48"/>
    </row>
    <row r="168" spans="1:68" ht="16.5" hidden="1" customHeight="1" x14ac:dyDescent="0.25">
      <c r="A168" s="709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7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6"/>
      <c r="AB169" s="656"/>
      <c r="AC169" s="656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95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96"/>
      <c r="P171" s="667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96"/>
      <c r="P172" s="667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6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4"/>
      <c r="V174" s="34"/>
      <c r="W174" s="35" t="s">
        <v>68</v>
      </c>
      <c r="X174" s="663">
        <v>208</v>
      </c>
      <c r="Y174" s="664">
        <f t="shared" ref="Y174:Y182" si="27">IFERROR(IF(X174="",0,CEILING((X174/$H174),1)*$H174),"")</f>
        <v>210</v>
      </c>
      <c r="Z174" s="36">
        <f>IFERROR(IF(Y174=0,"",ROUNDUP(Y174/H174,0)*0.00902),"")</f>
        <v>0.45100000000000001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221.37142857142857</v>
      </c>
      <c r="BN174" s="64">
        <f t="shared" ref="BN174:BN182" si="29">IFERROR(Y174*I174/H174,"0")</f>
        <v>223.49999999999997</v>
      </c>
      <c r="BO174" s="64">
        <f t="shared" ref="BO174:BO182" si="30">IFERROR(1/J174*(X174/H174),"0")</f>
        <v>0.37518037518037517</v>
      </c>
      <c r="BP174" s="64">
        <f t="shared" ref="BP174:BP182" si="31">IFERROR(1/J174*(Y174/H174),"0")</f>
        <v>0.37878787878787878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4"/>
      <c r="V176" s="34"/>
      <c r="W176" s="35" t="s">
        <v>68</v>
      </c>
      <c r="X176" s="663">
        <v>376</v>
      </c>
      <c r="Y176" s="664">
        <f t="shared" si="27"/>
        <v>378</v>
      </c>
      <c r="Z176" s="36">
        <f>IFERROR(IF(Y176=0,"",ROUNDUP(Y176/H176,0)*0.00902),"")</f>
        <v>0.81180000000000008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394.8</v>
      </c>
      <c r="BN176" s="64">
        <f t="shared" si="29"/>
        <v>396.9</v>
      </c>
      <c r="BO176" s="64">
        <f t="shared" si="30"/>
        <v>0.67821067821067815</v>
      </c>
      <c r="BP176" s="64">
        <f t="shared" si="31"/>
        <v>0.68181818181818188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4"/>
      <c r="V177" s="34"/>
      <c r="W177" s="35" t="s">
        <v>68</v>
      </c>
      <c r="X177" s="663">
        <v>164</v>
      </c>
      <c r="Y177" s="664">
        <f t="shared" si="27"/>
        <v>165.9</v>
      </c>
      <c r="Z177" s="36">
        <f>IFERROR(IF(Y177=0,"",ROUNDUP(Y177/H177,0)*0.00502),"")</f>
        <v>0.39657999999999999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174.15238095238092</v>
      </c>
      <c r="BN177" s="64">
        <f t="shared" si="29"/>
        <v>176.17</v>
      </c>
      <c r="BO177" s="64">
        <f t="shared" si="30"/>
        <v>0.33374033374033374</v>
      </c>
      <c r="BP177" s="64">
        <f t="shared" si="31"/>
        <v>0.33760683760683763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66" t="s">
        <v>303</v>
      </c>
      <c r="Q179" s="673"/>
      <c r="R179" s="673"/>
      <c r="S179" s="673"/>
      <c r="T179" s="674"/>
      <c r="U179" s="34"/>
      <c r="V179" s="34"/>
      <c r="W179" s="35" t="s">
        <v>68</v>
      </c>
      <c r="X179" s="663">
        <v>83</v>
      </c>
      <c r="Y179" s="664">
        <f t="shared" si="27"/>
        <v>84.600000000000009</v>
      </c>
      <c r="Z179" s="36">
        <f>IFERROR(IF(Y179=0,"",ROUNDUP(Y179/H179,0)*0.00502),"")</f>
        <v>0.23594000000000001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88.99444444444444</v>
      </c>
      <c r="BN179" s="64">
        <f t="shared" si="29"/>
        <v>90.710000000000008</v>
      </c>
      <c r="BO179" s="64">
        <f t="shared" si="30"/>
        <v>0.19705603038936373</v>
      </c>
      <c r="BP179" s="64">
        <f t="shared" si="31"/>
        <v>0.20085470085470092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95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96"/>
      <c r="P183" s="667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263.2539682539682</v>
      </c>
      <c r="Y183" s="665">
        <f>IFERROR(Y174/H174,"0")+IFERROR(Y175/H175,"0")+IFERROR(Y176/H176,"0")+IFERROR(Y177/H177,"0")+IFERROR(Y178/H178,"0")+IFERROR(Y179/H179,"0")+IFERROR(Y180/H180,"0")+IFERROR(Y181/H181,"0")+IFERROR(Y182/H182,"0")</f>
        <v>266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1.8953200000000001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96"/>
      <c r="P184" s="667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831</v>
      </c>
      <c r="Y184" s="665">
        <f>IFERROR(SUM(Y174:Y182),"0")</f>
        <v>838.5</v>
      </c>
      <c r="Z184" s="37"/>
      <c r="AA184" s="666"/>
      <c r="AB184" s="666"/>
      <c r="AC184" s="666"/>
    </row>
    <row r="185" spans="1:68" ht="14.25" hidden="1" customHeight="1" x14ac:dyDescent="0.25">
      <c r="A185" s="67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54" t="s">
        <v>316</v>
      </c>
      <c r="Q186" s="673"/>
      <c r="R186" s="673"/>
      <c r="S186" s="673"/>
      <c r="T186" s="674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95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96"/>
      <c r="P187" s="667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96"/>
      <c r="P188" s="667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09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7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8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95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96"/>
      <c r="P193" s="667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96"/>
      <c r="P194" s="667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6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4"/>
      <c r="V197" s="34"/>
      <c r="W197" s="35" t="s">
        <v>68</v>
      </c>
      <c r="X197" s="663">
        <v>19</v>
      </c>
      <c r="Y197" s="664">
        <f>IFERROR(IF(X197="",0,CEILING((X197/$H197),1)*$H197),"")</f>
        <v>21</v>
      </c>
      <c r="Z197" s="36">
        <f>IFERROR(IF(Y197=0,"",ROUNDUP(Y197/H197,0)*0.00651),"")</f>
        <v>6.5100000000000005E-2</v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20.628571428571423</v>
      </c>
      <c r="BN197" s="64">
        <f>IFERROR(Y197*I197/H197,"0")</f>
        <v>22.799999999999997</v>
      </c>
      <c r="BO197" s="64">
        <f>IFERROR(1/J197*(X197/H197),"0")</f>
        <v>4.9712192569335428E-2</v>
      </c>
      <c r="BP197" s="64">
        <f>IFERROR(1/J197*(Y197/H197),"0")</f>
        <v>5.4945054945054951E-2</v>
      </c>
    </row>
    <row r="198" spans="1:68" x14ac:dyDescent="0.2">
      <c r="A198" s="695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96"/>
      <c r="P198" s="667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9.0476190476190474</v>
      </c>
      <c r="Y198" s="665">
        <f>IFERROR(Y196/H196,"0")+IFERROR(Y197/H197,"0")</f>
        <v>10</v>
      </c>
      <c r="Z198" s="665">
        <f>IFERROR(IF(Z196="",0,Z196),"0")+IFERROR(IF(Z197="",0,Z197),"0")</f>
        <v>6.5100000000000005E-2</v>
      </c>
      <c r="AA198" s="666"/>
      <c r="AB198" s="666"/>
      <c r="AC198" s="666"/>
    </row>
    <row r="199" spans="1:68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96"/>
      <c r="P199" s="667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19</v>
      </c>
      <c r="Y199" s="665">
        <f>IFERROR(SUM(Y196:Y197),"0")</f>
        <v>21</v>
      </c>
      <c r="Z199" s="37"/>
      <c r="AA199" s="666"/>
      <c r="AB199" s="666"/>
      <c r="AC199" s="666"/>
    </row>
    <row r="200" spans="1:68" ht="14.25" hidden="1" customHeight="1" x14ac:dyDescent="0.25">
      <c r="A200" s="67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4"/>
      <c r="V201" s="34"/>
      <c r="W201" s="35" t="s">
        <v>68</v>
      </c>
      <c r="X201" s="663">
        <v>534</v>
      </c>
      <c r="Y201" s="664">
        <f t="shared" ref="Y201:Y208" si="32">IFERROR(IF(X201="",0,CEILING((X201/$H201),1)*$H201),"")</f>
        <v>534.6</v>
      </c>
      <c r="Z201" s="36">
        <f>IFERROR(IF(Y201=0,"",ROUNDUP(Y201/H201,0)*0.00902),"")</f>
        <v>0.89298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554.76666666666665</v>
      </c>
      <c r="BN201" s="64">
        <f t="shared" ref="BN201:BN208" si="34">IFERROR(Y201*I201/H201,"0")</f>
        <v>555.39</v>
      </c>
      <c r="BO201" s="64">
        <f t="shared" ref="BO201:BO208" si="35">IFERROR(1/J201*(X201/H201),"0")</f>
        <v>0.74915824915824913</v>
      </c>
      <c r="BP201" s="64">
        <f t="shared" ref="BP201:BP208" si="36">IFERROR(1/J201*(Y201/H201),"0")</f>
        <v>0.75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6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4"/>
      <c r="V202" s="34"/>
      <c r="W202" s="35" t="s">
        <v>68</v>
      </c>
      <c r="X202" s="663">
        <v>538</v>
      </c>
      <c r="Y202" s="664">
        <f t="shared" si="32"/>
        <v>540</v>
      </c>
      <c r="Z202" s="36">
        <f>IFERROR(IF(Y202=0,"",ROUNDUP(Y202/H202,0)*0.00902),"")</f>
        <v>0.90200000000000002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558.92222222222222</v>
      </c>
      <c r="BN202" s="64">
        <f t="shared" si="34"/>
        <v>561</v>
      </c>
      <c r="BO202" s="64">
        <f t="shared" si="35"/>
        <v>0.75476992143658805</v>
      </c>
      <c r="BP202" s="64">
        <f t="shared" si="36"/>
        <v>0.75757575757575757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4"/>
      <c r="V204" s="34"/>
      <c r="W204" s="35" t="s">
        <v>68</v>
      </c>
      <c r="X204" s="663">
        <v>148</v>
      </c>
      <c r="Y204" s="664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153.75555555555556</v>
      </c>
      <c r="BN204" s="64">
        <f t="shared" si="34"/>
        <v>157.08000000000001</v>
      </c>
      <c r="BO204" s="64">
        <f t="shared" si="35"/>
        <v>0.20763187429854096</v>
      </c>
      <c r="BP204" s="64">
        <f t="shared" si="36"/>
        <v>0.21212121212121213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6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4"/>
      <c r="V205" s="34"/>
      <c r="W205" s="35" t="s">
        <v>68</v>
      </c>
      <c r="X205" s="663">
        <v>100</v>
      </c>
      <c r="Y205" s="664">
        <f t="shared" si="32"/>
        <v>100.8</v>
      </c>
      <c r="Z205" s="36">
        <f>IFERROR(IF(Y205=0,"",ROUNDUP(Y205/H205,0)*0.00502),"")</f>
        <v>0.28112000000000004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107.22222222222221</v>
      </c>
      <c r="BN205" s="64">
        <f t="shared" si="34"/>
        <v>108.07999999999998</v>
      </c>
      <c r="BO205" s="64">
        <f t="shared" si="35"/>
        <v>0.23741690408357077</v>
      </c>
      <c r="BP205" s="64">
        <f t="shared" si="36"/>
        <v>0.23931623931623935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4"/>
      <c r="V206" s="34"/>
      <c r="W206" s="35" t="s">
        <v>68</v>
      </c>
      <c r="X206" s="663">
        <v>89</v>
      </c>
      <c r="Y206" s="664">
        <f t="shared" si="32"/>
        <v>90</v>
      </c>
      <c r="Z206" s="36">
        <f>IFERROR(IF(Y206=0,"",ROUNDUP(Y206/H206,0)*0.00502),"")</f>
        <v>0.251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93.944444444444443</v>
      </c>
      <c r="BN206" s="64">
        <f t="shared" si="34"/>
        <v>95</v>
      </c>
      <c r="BO206" s="64">
        <f t="shared" si="35"/>
        <v>0.21130104463437799</v>
      </c>
      <c r="BP206" s="64">
        <f t="shared" si="36"/>
        <v>0.21367521367521369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4"/>
      <c r="V208" s="34"/>
      <c r="W208" s="35" t="s">
        <v>68</v>
      </c>
      <c r="X208" s="663">
        <v>83</v>
      </c>
      <c r="Y208" s="664">
        <f t="shared" si="32"/>
        <v>84.600000000000009</v>
      </c>
      <c r="Z208" s="36">
        <f>IFERROR(IF(Y208=0,"",ROUNDUP(Y208/H208,0)*0.00502),"")</f>
        <v>0.23594000000000001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87.6111111111111</v>
      </c>
      <c r="BN208" s="64">
        <f t="shared" si="34"/>
        <v>89.3</v>
      </c>
      <c r="BO208" s="64">
        <f t="shared" si="35"/>
        <v>0.19705603038936373</v>
      </c>
      <c r="BP208" s="64">
        <f t="shared" si="36"/>
        <v>0.20085470085470092</v>
      </c>
    </row>
    <row r="209" spans="1:68" x14ac:dyDescent="0.2">
      <c r="A209" s="695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96"/>
      <c r="P209" s="667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377.03703703703701</v>
      </c>
      <c r="Y209" s="665">
        <f>IFERROR(Y201/H201,"0")+IFERROR(Y202/H202,"0")+IFERROR(Y203/H203,"0")+IFERROR(Y204/H204,"0")+IFERROR(Y205/H205,"0")+IFERROR(Y206/H206,"0")+IFERROR(Y207/H207,"0")+IFERROR(Y208/H208,"0")</f>
        <v>380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2.8155999999999999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96"/>
      <c r="P210" s="667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1492</v>
      </c>
      <c r="Y210" s="665">
        <f>IFERROR(SUM(Y201:Y208),"0")</f>
        <v>1501.1999999999998</v>
      </c>
      <c r="Z210" s="37"/>
      <c r="AA210" s="666"/>
      <c r="AB210" s="666"/>
      <c r="AC210" s="666"/>
    </row>
    <row r="211" spans="1:68" ht="14.25" hidden="1" customHeight="1" x14ac:dyDescent="0.25">
      <c r="A211" s="67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4"/>
      <c r="V214" s="34"/>
      <c r="W214" s="35" t="s">
        <v>68</v>
      </c>
      <c r="X214" s="663">
        <v>1138</v>
      </c>
      <c r="Y214" s="664">
        <f t="shared" si="37"/>
        <v>1139.6999999999998</v>
      </c>
      <c r="Z214" s="36">
        <f>IFERROR(IF(Y214=0,"",ROUNDUP(Y214/H214,0)*0.01898),"")</f>
        <v>2.48638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1205.8875862068967</v>
      </c>
      <c r="BN214" s="64">
        <f t="shared" si="39"/>
        <v>1207.6889999999999</v>
      </c>
      <c r="BO214" s="64">
        <f t="shared" si="40"/>
        <v>2.0438218390804601</v>
      </c>
      <c r="BP214" s="64">
        <f t="shared" si="41"/>
        <v>2.046875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4"/>
      <c r="V215" s="34"/>
      <c r="W215" s="35" t="s">
        <v>68</v>
      </c>
      <c r="X215" s="663">
        <v>334</v>
      </c>
      <c r="Y215" s="664">
        <f t="shared" si="37"/>
        <v>336</v>
      </c>
      <c r="Z215" s="36">
        <f t="shared" ref="Z215:Z220" si="42">IFERROR(IF(Y215=0,"",ROUNDUP(Y215/H215,0)*0.00651),"")</f>
        <v>0.91139999999999999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371.57499999999999</v>
      </c>
      <c r="BN215" s="64">
        <f t="shared" si="39"/>
        <v>373.8</v>
      </c>
      <c r="BO215" s="64">
        <f t="shared" si="40"/>
        <v>0.76465201465201482</v>
      </c>
      <c r="BP215" s="64">
        <f t="shared" si="41"/>
        <v>0.76923076923076927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4"/>
      <c r="V217" s="34"/>
      <c r="W217" s="35" t="s">
        <v>68</v>
      </c>
      <c r="X217" s="663">
        <v>631</v>
      </c>
      <c r="Y217" s="664">
        <f t="shared" si="37"/>
        <v>631.19999999999993</v>
      </c>
      <c r="Z217" s="36">
        <f t="shared" si="42"/>
        <v>1.7121300000000002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697.255</v>
      </c>
      <c r="BN217" s="64">
        <f t="shared" si="39"/>
        <v>697.476</v>
      </c>
      <c r="BO217" s="64">
        <f t="shared" si="40"/>
        <v>1.4445970695970698</v>
      </c>
      <c r="BP217" s="64">
        <f t="shared" si="41"/>
        <v>1.4450549450549453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7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4"/>
      <c r="V218" s="34"/>
      <c r="W218" s="35" t="s">
        <v>68</v>
      </c>
      <c r="X218" s="663">
        <v>846</v>
      </c>
      <c r="Y218" s="664">
        <f t="shared" si="37"/>
        <v>847.19999999999993</v>
      </c>
      <c r="Z218" s="36">
        <f t="shared" si="42"/>
        <v>2.2980300000000002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934.83</v>
      </c>
      <c r="BN218" s="64">
        <f t="shared" si="39"/>
        <v>936.15599999999995</v>
      </c>
      <c r="BO218" s="64">
        <f t="shared" si="40"/>
        <v>1.936813186813187</v>
      </c>
      <c r="BP218" s="64">
        <f t="shared" si="41"/>
        <v>1.9395604395604398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4"/>
      <c r="V220" s="34"/>
      <c r="W220" s="35" t="s">
        <v>68</v>
      </c>
      <c r="X220" s="663">
        <v>465</v>
      </c>
      <c r="Y220" s="664">
        <f t="shared" si="37"/>
        <v>465.59999999999997</v>
      </c>
      <c r="Z220" s="36">
        <f t="shared" si="42"/>
        <v>1.26294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514.98750000000007</v>
      </c>
      <c r="BN220" s="64">
        <f t="shared" si="39"/>
        <v>515.65199999999993</v>
      </c>
      <c r="BO220" s="64">
        <f t="shared" si="40"/>
        <v>1.0645604395604396</v>
      </c>
      <c r="BP220" s="64">
        <f t="shared" si="41"/>
        <v>1.0659340659340659</v>
      </c>
    </row>
    <row r="221" spans="1:68" x14ac:dyDescent="0.2">
      <c r="A221" s="695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96"/>
      <c r="P221" s="667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1079.1379310344828</v>
      </c>
      <c r="Y221" s="665">
        <f>IFERROR(Y212/H212,"0")+IFERROR(Y213/H213,"0")+IFERROR(Y214/H214,"0")+IFERROR(Y215/H215,"0")+IFERROR(Y216/H216,"0")+IFERROR(Y217/H217,"0")+IFERROR(Y218/H218,"0")+IFERROR(Y219/H219,"0")+IFERROR(Y220/H220,"0")</f>
        <v>1081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8.6708800000000004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96"/>
      <c r="P222" s="667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3414</v>
      </c>
      <c r="Y222" s="665">
        <f>IFERROR(SUM(Y212:Y220),"0")</f>
        <v>3419.6999999999994</v>
      </c>
      <c r="Z222" s="37"/>
      <c r="AA222" s="666"/>
      <c r="AB222" s="666"/>
      <c r="AC222" s="666"/>
    </row>
    <row r="223" spans="1:68" ht="14.25" hidden="1" customHeight="1" x14ac:dyDescent="0.25">
      <c r="A223" s="67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4"/>
      <c r="V224" s="34"/>
      <c r="W224" s="35" t="s">
        <v>68</v>
      </c>
      <c r="X224" s="663">
        <v>43</v>
      </c>
      <c r="Y224" s="664">
        <f>IFERROR(IF(X224="",0,CEILING((X224/$H224),1)*$H224),"")</f>
        <v>43.199999999999996</v>
      </c>
      <c r="Z224" s="36">
        <f>IFERROR(IF(Y224=0,"",ROUNDUP(Y224/H224,0)*0.00651),"")</f>
        <v>0.11718000000000001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47.515000000000001</v>
      </c>
      <c r="BN224" s="64">
        <f>IFERROR(Y224*I224/H224,"0")</f>
        <v>47.736000000000004</v>
      </c>
      <c r="BO224" s="64">
        <f>IFERROR(1/J224*(X224/H224),"0")</f>
        <v>9.8443223443223454E-2</v>
      </c>
      <c r="BP224" s="64">
        <f>IFERROR(1/J224*(Y224/H224),"0")</f>
        <v>9.8901098901098911E-2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4"/>
      <c r="V225" s="34"/>
      <c r="W225" s="35" t="s">
        <v>68</v>
      </c>
      <c r="X225" s="663">
        <v>76</v>
      </c>
      <c r="Y225" s="664">
        <f>IFERROR(IF(X225="",0,CEILING((X225/$H225),1)*$H225),"")</f>
        <v>76.8</v>
      </c>
      <c r="Z225" s="36">
        <f>IFERROR(IF(Y225=0,"",ROUNDUP(Y225/H225,0)*0.00651),"")</f>
        <v>0.20832000000000001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83.980000000000018</v>
      </c>
      <c r="BN225" s="64">
        <f>IFERROR(Y225*I225/H225,"0")</f>
        <v>84.864000000000004</v>
      </c>
      <c r="BO225" s="64">
        <f>IFERROR(1/J225*(X225/H225),"0")</f>
        <v>0.17399267399267401</v>
      </c>
      <c r="BP225" s="64">
        <f>IFERROR(1/J225*(Y225/H225),"0")</f>
        <v>0.17582417582417584</v>
      </c>
    </row>
    <row r="226" spans="1:68" x14ac:dyDescent="0.2">
      <c r="A226" s="695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96"/>
      <c r="P226" s="667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49.583333333333336</v>
      </c>
      <c r="Y226" s="665">
        <f>IFERROR(Y224/H224,"0")+IFERROR(Y225/H225,"0")</f>
        <v>50</v>
      </c>
      <c r="Z226" s="665">
        <f>IFERROR(IF(Z224="",0,Z224),"0")+IFERROR(IF(Z225="",0,Z225),"0")</f>
        <v>0.32550000000000001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96"/>
      <c r="P227" s="667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119</v>
      </c>
      <c r="Y227" s="665">
        <f>IFERROR(SUM(Y224:Y225),"0")</f>
        <v>120</v>
      </c>
      <c r="Z227" s="37"/>
      <c r="AA227" s="666"/>
      <c r="AB227" s="666"/>
      <c r="AC227" s="666"/>
    </row>
    <row r="228" spans="1:68" ht="16.5" hidden="1" customHeight="1" x14ac:dyDescent="0.25">
      <c r="A228" s="709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7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0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99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95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96"/>
      <c r="P238" s="667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96"/>
      <c r="P239" s="667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824" t="s">
        <v>402</v>
      </c>
      <c r="Q241" s="673"/>
      <c r="R241" s="673"/>
      <c r="S241" s="673"/>
      <c r="T241" s="674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95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96"/>
      <c r="P243" s="667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96"/>
      <c r="P244" s="667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52" t="s">
        <v>408</v>
      </c>
      <c r="Q246" s="673"/>
      <c r="R246" s="673"/>
      <c r="S246" s="673"/>
      <c r="T246" s="674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95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96"/>
      <c r="P247" s="667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96"/>
      <c r="P248" s="667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72" t="s">
        <v>413</v>
      </c>
      <c r="Q250" s="673"/>
      <c r="R250" s="673"/>
      <c r="S250" s="673"/>
      <c r="T250" s="674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95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96"/>
      <c r="P251" s="667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96"/>
      <c r="P252" s="667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09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7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2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6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10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95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96"/>
      <c r="P261" s="667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96"/>
      <c r="P262" s="667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09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7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99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95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96"/>
      <c r="P266" s="667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96"/>
      <c r="P267" s="667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09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7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99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1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5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96"/>
      <c r="P273" s="667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96"/>
      <c r="P274" s="667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09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7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4"/>
      <c r="V279" s="34"/>
      <c r="W279" s="35" t="s">
        <v>68</v>
      </c>
      <c r="X279" s="663">
        <v>112</v>
      </c>
      <c r="Y279" s="664">
        <f>IFERROR(IF(X279="",0,CEILING((X279/$H279),1)*$H279),"")</f>
        <v>112.8</v>
      </c>
      <c r="Z279" s="36">
        <f>IFERROR(IF(Y279=0,"",ROUNDUP(Y279/H279,0)*0.00651),"")</f>
        <v>0.30597000000000002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123.76</v>
      </c>
      <c r="BN279" s="64">
        <f>IFERROR(Y279*I279/H279,"0")</f>
        <v>124.64400000000001</v>
      </c>
      <c r="BO279" s="64">
        <f>IFERROR(1/J279*(X279/H279),"0")</f>
        <v>0.25641025641025644</v>
      </c>
      <c r="BP279" s="64">
        <f>IFERROR(1/J279*(Y279/H279),"0")</f>
        <v>0.25824175824175827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4"/>
      <c r="V280" s="34"/>
      <c r="W280" s="35" t="s">
        <v>68</v>
      </c>
      <c r="X280" s="663">
        <v>143</v>
      </c>
      <c r="Y280" s="664">
        <f>IFERROR(IF(X280="",0,CEILING((X280/$H280),1)*$H280),"")</f>
        <v>144</v>
      </c>
      <c r="Z280" s="36">
        <f>IFERROR(IF(Y280=0,"",ROUNDUP(Y280/H280,0)*0.00651),"")</f>
        <v>0.3906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153.72499999999999</v>
      </c>
      <c r="BN280" s="64">
        <f>IFERROR(Y280*I280/H280,"0")</f>
        <v>154.80000000000001</v>
      </c>
      <c r="BO280" s="64">
        <f>IFERROR(1/J280*(X280/H280),"0")</f>
        <v>0.32738095238095244</v>
      </c>
      <c r="BP280" s="64">
        <f>IFERROR(1/J280*(Y280/H280),"0")</f>
        <v>0.32967032967032972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95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96"/>
      <c r="P282" s="667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106.25</v>
      </c>
      <c r="Y282" s="665">
        <f>IFERROR(Y277/H277,"0")+IFERROR(Y278/H278,"0")+IFERROR(Y279/H279,"0")+IFERROR(Y280/H280,"0")+IFERROR(Y281/H281,"0")</f>
        <v>107</v>
      </c>
      <c r="Z282" s="665">
        <f>IFERROR(IF(Z277="",0,Z277),"0")+IFERROR(IF(Z278="",0,Z278),"0")+IFERROR(IF(Z279="",0,Z279),"0")+IFERROR(IF(Z280="",0,Z280),"0")+IFERROR(IF(Z281="",0,Z281),"0")</f>
        <v>0.69657000000000002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96"/>
      <c r="P283" s="667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255</v>
      </c>
      <c r="Y283" s="665">
        <f>IFERROR(SUM(Y277:Y281),"0")</f>
        <v>256.8</v>
      </c>
      <c r="Z283" s="37"/>
      <c r="AA283" s="666"/>
      <c r="AB283" s="666"/>
      <c r="AC283" s="666"/>
    </row>
    <row r="284" spans="1:68" ht="16.5" hidden="1" customHeight="1" x14ac:dyDescent="0.25">
      <c r="A284" s="709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7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5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95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96"/>
      <c r="P287" s="667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96"/>
      <c r="P288" s="667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95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96"/>
      <c r="P291" s="667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96"/>
      <c r="P292" s="667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95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96"/>
      <c r="P295" s="667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96"/>
      <c r="P296" s="667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09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7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95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96"/>
      <c r="P300" s="667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96"/>
      <c r="P301" s="667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09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7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5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95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96"/>
      <c r="P305" s="667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96"/>
      <c r="P306" s="667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95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96"/>
      <c r="P310" s="667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96"/>
      <c r="P311" s="667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09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7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1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95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96"/>
      <c r="P315" s="667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96"/>
      <c r="P316" s="667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09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7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71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7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7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95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96"/>
      <c r="P325" s="667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96"/>
      <c r="P326" s="667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95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96"/>
      <c r="P332" s="667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96"/>
      <c r="P333" s="667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8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10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9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95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96"/>
      <c r="P340" s="667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96"/>
      <c r="P341" s="667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4"/>
      <c r="V343" s="34"/>
      <c r="W343" s="35" t="s">
        <v>68</v>
      </c>
      <c r="X343" s="663">
        <v>105</v>
      </c>
      <c r="Y343" s="664">
        <f>IFERROR(IF(X343="",0,CEILING((X343/$H343),1)*$H343),"")</f>
        <v>109.2</v>
      </c>
      <c r="Z343" s="36">
        <f>IFERROR(IF(Y343=0,"",ROUNDUP(Y343/H343,0)*0.01898),"")</f>
        <v>0.24674000000000001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111.4875</v>
      </c>
      <c r="BN343" s="64">
        <f>IFERROR(Y343*I343/H343,"0")</f>
        <v>115.947</v>
      </c>
      <c r="BO343" s="64">
        <f>IFERROR(1/J343*(X343/H343),"0")</f>
        <v>0.1953125</v>
      </c>
      <c r="BP343" s="64">
        <f>IFERROR(1/J343*(Y343/H343),"0")</f>
        <v>0.203125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4"/>
      <c r="V344" s="34"/>
      <c r="W344" s="35" t="s">
        <v>68</v>
      </c>
      <c r="X344" s="663">
        <v>402</v>
      </c>
      <c r="Y344" s="664">
        <f>IFERROR(IF(X344="",0,CEILING((X344/$H344),1)*$H344),"")</f>
        <v>405.59999999999997</v>
      </c>
      <c r="Z344" s="36">
        <f>IFERROR(IF(Y344=0,"",ROUNDUP(Y344/H344,0)*0.01898),"")</f>
        <v>0.98696000000000006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428.74846153846158</v>
      </c>
      <c r="BN344" s="64">
        <f>IFERROR(Y344*I344/H344,"0")</f>
        <v>432.58800000000002</v>
      </c>
      <c r="BO344" s="64">
        <f>IFERROR(1/J344*(X344/H344),"0")</f>
        <v>0.80528846153846156</v>
      </c>
      <c r="BP344" s="64">
        <f>IFERROR(1/J344*(Y344/H344),"0")</f>
        <v>0.8125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4"/>
      <c r="V345" s="34"/>
      <c r="W345" s="35" t="s">
        <v>68</v>
      </c>
      <c r="X345" s="663">
        <v>74</v>
      </c>
      <c r="Y345" s="664">
        <f>IFERROR(IF(X345="",0,CEILING((X345/$H345),1)*$H345),"")</f>
        <v>75.600000000000009</v>
      </c>
      <c r="Z345" s="36">
        <f>IFERROR(IF(Y345=0,"",ROUNDUP(Y345/H345,0)*0.01898),"")</f>
        <v>0.17082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78.572142857142865</v>
      </c>
      <c r="BN345" s="64">
        <f>IFERROR(Y345*I345/H345,"0")</f>
        <v>80.271000000000001</v>
      </c>
      <c r="BO345" s="64">
        <f>IFERROR(1/J345*(X345/H345),"0")</f>
        <v>0.13764880952380951</v>
      </c>
      <c r="BP345" s="64">
        <f>IFERROR(1/J345*(Y345/H345),"0")</f>
        <v>0.140625</v>
      </c>
    </row>
    <row r="346" spans="1:68" x14ac:dyDescent="0.2">
      <c r="A346" s="695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96"/>
      <c r="P346" s="667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72.847985347985357</v>
      </c>
      <c r="Y346" s="665">
        <f>IFERROR(Y343/H343,"0")+IFERROR(Y344/H344,"0")+IFERROR(Y345/H345,"0")</f>
        <v>74</v>
      </c>
      <c r="Z346" s="665">
        <f>IFERROR(IF(Z343="",0,Z343),"0")+IFERROR(IF(Z344="",0,Z344),"0")+IFERROR(IF(Z345="",0,Z345),"0")</f>
        <v>1.40452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96"/>
      <c r="P347" s="667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581</v>
      </c>
      <c r="Y347" s="665">
        <f>IFERROR(SUM(Y343:Y345),"0")</f>
        <v>590.4</v>
      </c>
      <c r="Z347" s="37"/>
      <c r="AA347" s="666"/>
      <c r="AB347" s="666"/>
      <c r="AC347" s="666"/>
    </row>
    <row r="348" spans="1:68" ht="14.25" hidden="1" customHeight="1" x14ac:dyDescent="0.25">
      <c r="A348" s="67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65" t="s">
        <v>541</v>
      </c>
      <c r="Q349" s="673"/>
      <c r="R349" s="673"/>
      <c r="S349" s="673"/>
      <c r="T349" s="674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45" t="s">
        <v>545</v>
      </c>
      <c r="Q350" s="673"/>
      <c r="R350" s="673"/>
      <c r="S350" s="673"/>
      <c r="T350" s="674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4"/>
      <c r="V351" s="34"/>
      <c r="W351" s="35" t="s">
        <v>68</v>
      </c>
      <c r="X351" s="663">
        <v>16</v>
      </c>
      <c r="Y351" s="664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18.541176470588237</v>
      </c>
      <c r="BN351" s="64">
        <f>IFERROR(Y351*I351/H351,"0")</f>
        <v>20.684999999999999</v>
      </c>
      <c r="BO351" s="64">
        <f>IFERROR(1/J351*(X351/H351),"0")</f>
        <v>3.4475328592975661E-2</v>
      </c>
      <c r="BP351" s="64">
        <f>IFERROR(1/J351*(Y351/H351),"0")</f>
        <v>3.8461538461538464E-2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95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96"/>
      <c r="P353" s="667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6.2745098039215694</v>
      </c>
      <c r="Y353" s="665">
        <f>IFERROR(Y349/H349,"0")+IFERROR(Y350/H350,"0")+IFERROR(Y351/H351,"0")+IFERROR(Y352/H352,"0")</f>
        <v>7</v>
      </c>
      <c r="Z353" s="665">
        <f>IFERROR(IF(Z349="",0,Z349),"0")+IFERROR(IF(Z350="",0,Z350),"0")+IFERROR(IF(Z351="",0,Z351),"0")+IFERROR(IF(Z352="",0,Z352),"0")</f>
        <v>4.5569999999999999E-2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96"/>
      <c r="P354" s="667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16</v>
      </c>
      <c r="Y354" s="665">
        <f>IFERROR(SUM(Y349:Y352),"0")</f>
        <v>17.849999999999998</v>
      </c>
      <c r="Z354" s="37"/>
      <c r="AA354" s="666"/>
      <c r="AB354" s="666"/>
      <c r="AC354" s="666"/>
    </row>
    <row r="355" spans="1:68" ht="14.25" hidden="1" customHeight="1" x14ac:dyDescent="0.25">
      <c r="A355" s="67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5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96"/>
      <c r="P359" s="667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96"/>
      <c r="P360" s="667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09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7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7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4"/>
      <c r="V363" s="34"/>
      <c r="W363" s="35" t="s">
        <v>68</v>
      </c>
      <c r="X363" s="663">
        <v>17</v>
      </c>
      <c r="Y363" s="664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19.153333333333332</v>
      </c>
      <c r="BN363" s="64">
        <f>IFERROR(Y363*I363/H363,"0")</f>
        <v>20.279999999999998</v>
      </c>
      <c r="BO363" s="64">
        <f>IFERROR(1/J363*(X363/H363),"0")</f>
        <v>5.1892551892551896E-2</v>
      </c>
      <c r="BP363" s="64">
        <f>IFERROR(1/J363*(Y363/H363),"0")</f>
        <v>5.4945054945054951E-2</v>
      </c>
    </row>
    <row r="364" spans="1:68" x14ac:dyDescent="0.2">
      <c r="A364" s="695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96"/>
      <c r="P364" s="667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9.4444444444444446</v>
      </c>
      <c r="Y364" s="665">
        <f>IFERROR(Y363/H363,"0")</f>
        <v>10</v>
      </c>
      <c r="Z364" s="665">
        <f>IFERROR(IF(Z363="",0,Z363),"0")</f>
        <v>6.5100000000000005E-2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96"/>
      <c r="P365" s="667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17</v>
      </c>
      <c r="Y365" s="665">
        <f>IFERROR(SUM(Y363:Y363),"0")</f>
        <v>18</v>
      </c>
      <c r="Z365" s="37"/>
      <c r="AA365" s="666"/>
      <c r="AB365" s="666"/>
      <c r="AC365" s="666"/>
    </row>
    <row r="366" spans="1:68" ht="14.25" hidden="1" customHeight="1" x14ac:dyDescent="0.25">
      <c r="A366" s="67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4"/>
      <c r="V367" s="34"/>
      <c r="W367" s="35" t="s">
        <v>68</v>
      </c>
      <c r="X367" s="663">
        <v>38</v>
      </c>
      <c r="Y367" s="664">
        <f>IFERROR(IF(X367="",0,CEILING((X367/$H367),1)*$H367),"")</f>
        <v>40.5</v>
      </c>
      <c r="Z367" s="36">
        <f>IFERROR(IF(Y367=0,"",ROUNDUP(Y367/H367,0)*0.01898),"")</f>
        <v>9.4899999999999998E-2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40.434814814814814</v>
      </c>
      <c r="BN367" s="64">
        <f>IFERROR(Y367*I367/H367,"0")</f>
        <v>43.095000000000006</v>
      </c>
      <c r="BO367" s="64">
        <f>IFERROR(1/J367*(X367/H367),"0")</f>
        <v>7.3302469135802475E-2</v>
      </c>
      <c r="BP367" s="64">
        <f>IFERROR(1/J367*(Y367/H367),"0")</f>
        <v>7.8125E-2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95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96"/>
      <c r="P370" s="667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4.6913580246913584</v>
      </c>
      <c r="Y370" s="665">
        <f>IFERROR(Y367/H367,"0")+IFERROR(Y368/H368,"0")+IFERROR(Y369/H369,"0")</f>
        <v>5</v>
      </c>
      <c r="Z370" s="665">
        <f>IFERROR(IF(Z367="",0,Z367),"0")+IFERROR(IF(Z368="",0,Z368),"0")+IFERROR(IF(Z369="",0,Z369),"0")</f>
        <v>9.4899999999999998E-2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96"/>
      <c r="P371" s="667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38</v>
      </c>
      <c r="Y371" s="665">
        <f>IFERROR(SUM(Y367:Y369),"0")</f>
        <v>40.5</v>
      </c>
      <c r="Z371" s="37"/>
      <c r="AA371" s="666"/>
      <c r="AB371" s="666"/>
      <c r="AC371" s="666"/>
    </row>
    <row r="372" spans="1:68" ht="27.75" hidden="1" customHeight="1" x14ac:dyDescent="0.2">
      <c r="A372" s="785" t="s">
        <v>574</v>
      </c>
      <c r="B372" s="786"/>
      <c r="C372" s="786"/>
      <c r="D372" s="786"/>
      <c r="E372" s="786"/>
      <c r="F372" s="786"/>
      <c r="G372" s="786"/>
      <c r="H372" s="786"/>
      <c r="I372" s="786"/>
      <c r="J372" s="786"/>
      <c r="K372" s="786"/>
      <c r="L372" s="786"/>
      <c r="M372" s="786"/>
      <c r="N372" s="786"/>
      <c r="O372" s="786"/>
      <c r="P372" s="786"/>
      <c r="Q372" s="786"/>
      <c r="R372" s="786"/>
      <c r="S372" s="786"/>
      <c r="T372" s="786"/>
      <c r="U372" s="786"/>
      <c r="V372" s="786"/>
      <c r="W372" s="786"/>
      <c r="X372" s="786"/>
      <c r="Y372" s="786"/>
      <c r="Z372" s="786"/>
      <c r="AA372" s="48"/>
      <c r="AB372" s="48"/>
      <c r="AC372" s="48"/>
    </row>
    <row r="373" spans="1:68" ht="16.5" hidden="1" customHeight="1" x14ac:dyDescent="0.25">
      <c r="A373" s="709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7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4"/>
      <c r="V375" s="34"/>
      <c r="W375" s="35" t="s">
        <v>68</v>
      </c>
      <c r="X375" s="663">
        <v>1400</v>
      </c>
      <c r="Y375" s="664">
        <f t="shared" ref="Y375:Y384" si="58">IFERROR(IF(X375="",0,CEILING((X375/$H375),1)*$H375),"")</f>
        <v>1410</v>
      </c>
      <c r="Z375" s="36">
        <f>IFERROR(IF(Y375=0,"",ROUNDUP(Y375/H375,0)*0.02175),"")</f>
        <v>2.0444999999999998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1444.8</v>
      </c>
      <c r="BN375" s="64">
        <f t="shared" ref="BN375:BN384" si="60">IFERROR(Y375*I375/H375,"0")</f>
        <v>1455.12</v>
      </c>
      <c r="BO375" s="64">
        <f t="shared" ref="BO375:BO384" si="61">IFERROR(1/J375*(X375/H375),"0")</f>
        <v>1.9444444444444442</v>
      </c>
      <c r="BP375" s="64">
        <f t="shared" ref="BP375:BP384" si="62">IFERROR(1/J375*(Y375/H375),"0")</f>
        <v>1.9583333333333333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6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98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3"/>
      <c r="R379" s="673"/>
      <c r="S379" s="673"/>
      <c r="T379" s="674"/>
      <c r="U379" s="34"/>
      <c r="V379" s="34"/>
      <c r="W379" s="35" t="s">
        <v>68</v>
      </c>
      <c r="X379" s="663">
        <v>1252</v>
      </c>
      <c r="Y379" s="664">
        <f t="shared" si="58"/>
        <v>1260</v>
      </c>
      <c r="Z379" s="36">
        <f>IFERROR(IF(Y379=0,"",ROUNDUP(Y379/H379,0)*0.02175),"")</f>
        <v>1.827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1292.0639999999999</v>
      </c>
      <c r="BN379" s="64">
        <f t="shared" si="60"/>
        <v>1300.32</v>
      </c>
      <c r="BO379" s="64">
        <f t="shared" si="61"/>
        <v>1.7388888888888889</v>
      </c>
      <c r="BP379" s="64">
        <f t="shared" si="62"/>
        <v>1.75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3"/>
      <c r="R380" s="673"/>
      <c r="S380" s="673"/>
      <c r="T380" s="674"/>
      <c r="U380" s="34"/>
      <c r="V380" s="34"/>
      <c r="W380" s="35" t="s">
        <v>68</v>
      </c>
      <c r="X380" s="663">
        <v>523</v>
      </c>
      <c r="Y380" s="664">
        <f t="shared" si="58"/>
        <v>525</v>
      </c>
      <c r="Z380" s="36">
        <f>IFERROR(IF(Y380=0,"",ROUNDUP(Y380/H380,0)*0.02175),"")</f>
        <v>0.76124999999999998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539.73599999999999</v>
      </c>
      <c r="BN380" s="64">
        <f t="shared" si="60"/>
        <v>541.79999999999995</v>
      </c>
      <c r="BO380" s="64">
        <f t="shared" si="61"/>
        <v>0.72638888888888886</v>
      </c>
      <c r="BP380" s="64">
        <f t="shared" si="62"/>
        <v>0.72916666666666663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95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96"/>
      <c r="P385" s="667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211.66666666666669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213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4.6327499999999997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96"/>
      <c r="P386" s="667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3175</v>
      </c>
      <c r="Y386" s="665">
        <f>IFERROR(SUM(Y375:Y384),"0")</f>
        <v>3195</v>
      </c>
      <c r="Z386" s="37"/>
      <c r="AA386" s="666"/>
      <c r="AB386" s="666"/>
      <c r="AC386" s="666"/>
    </row>
    <row r="387" spans="1:68" ht="14.25" hidden="1" customHeight="1" x14ac:dyDescent="0.25">
      <c r="A387" s="67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6"/>
      <c r="AB387" s="656"/>
      <c r="AC387" s="656"/>
    </row>
    <row r="388" spans="1:68" ht="27" hidden="1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95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96"/>
      <c r="P390" s="667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96"/>
      <c r="P391" s="667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5" t="s">
        <v>606</v>
      </c>
      <c r="Q393" s="673"/>
      <c r="R393" s="673"/>
      <c r="S393" s="673"/>
      <c r="T393" s="674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993" t="s">
        <v>610</v>
      </c>
      <c r="Q394" s="673"/>
      <c r="R394" s="673"/>
      <c r="S394" s="673"/>
      <c r="T394" s="674"/>
      <c r="U394" s="34"/>
      <c r="V394" s="34"/>
      <c r="W394" s="35" t="s">
        <v>68</v>
      </c>
      <c r="X394" s="663">
        <v>44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46.537333333333336</v>
      </c>
      <c r="BN394" s="64">
        <f>IFERROR(Y394*I394/H394,"0")</f>
        <v>47.594999999999999</v>
      </c>
      <c r="BO394" s="64">
        <f>IFERROR(1/J394*(X394/H394),"0")</f>
        <v>7.6388888888888895E-2</v>
      </c>
      <c r="BP394" s="64">
        <f>IFERROR(1/J394*(Y394/H394),"0")</f>
        <v>7.8125E-2</v>
      </c>
    </row>
    <row r="395" spans="1:68" x14ac:dyDescent="0.2">
      <c r="A395" s="695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96"/>
      <c r="P395" s="667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4.8888888888888893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96"/>
      <c r="P396" s="667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44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7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799" t="s">
        <v>614</v>
      </c>
      <c r="Q398" s="673"/>
      <c r="R398" s="673"/>
      <c r="S398" s="673"/>
      <c r="T398" s="674"/>
      <c r="U398" s="34"/>
      <c r="V398" s="34"/>
      <c r="W398" s="35" t="s">
        <v>68</v>
      </c>
      <c r="X398" s="663">
        <v>258</v>
      </c>
      <c r="Y398" s="664">
        <f>IFERROR(IF(X398="",0,CEILING((X398/$H398),1)*$H398),"")</f>
        <v>261</v>
      </c>
      <c r="Z398" s="36">
        <f>IFERROR(IF(Y398=0,"",ROUNDUP(Y398/H398,0)*0.01898),"")</f>
        <v>0.55042000000000002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272.87799999999999</v>
      </c>
      <c r="BN398" s="64">
        <f>IFERROR(Y398*I398/H398,"0")</f>
        <v>276.05099999999999</v>
      </c>
      <c r="BO398" s="64">
        <f>IFERROR(1/J398*(X398/H398),"0")</f>
        <v>0.44791666666666669</v>
      </c>
      <c r="BP398" s="64">
        <f>IFERROR(1/J398*(Y398/H398),"0")</f>
        <v>0.453125</v>
      </c>
    </row>
    <row r="399" spans="1:68" x14ac:dyDescent="0.2">
      <c r="A399" s="695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96"/>
      <c r="P399" s="667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28.666666666666668</v>
      </c>
      <c r="Y399" s="665">
        <f>IFERROR(Y398/H398,"0")</f>
        <v>29</v>
      </c>
      <c r="Z399" s="665">
        <f>IFERROR(IF(Z398="",0,Z398),"0")</f>
        <v>0.55042000000000002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96"/>
      <c r="P400" s="667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258</v>
      </c>
      <c r="Y400" s="665">
        <f>IFERROR(SUM(Y398:Y398),"0")</f>
        <v>261</v>
      </c>
      <c r="Z400" s="37"/>
      <c r="AA400" s="666"/>
      <c r="AB400" s="666"/>
      <c r="AC400" s="666"/>
    </row>
    <row r="401" spans="1:68" ht="16.5" hidden="1" customHeight="1" x14ac:dyDescent="0.25">
      <c r="A401" s="709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7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4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3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5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95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96"/>
      <c r="P408" s="667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96"/>
      <c r="P409" s="667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6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95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96"/>
      <c r="P413" s="667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96"/>
      <c r="P414" s="667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6"/>
      <c r="AB415" s="656"/>
      <c r="AC415" s="656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18" t="s">
        <v>639</v>
      </c>
      <c r="Q417" s="673"/>
      <c r="R417" s="673"/>
      <c r="S417" s="673"/>
      <c r="T417" s="674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3"/>
      <c r="R418" s="673"/>
      <c r="S418" s="673"/>
      <c r="T418" s="674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1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3"/>
      <c r="R419" s="673"/>
      <c r="S419" s="673"/>
      <c r="T419" s="674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95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96"/>
      <c r="P421" s="667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96"/>
      <c r="P422" s="667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3" t="s">
        <v>650</v>
      </c>
      <c r="Q424" s="673"/>
      <c r="R424" s="673"/>
      <c r="S424" s="673"/>
      <c r="T424" s="674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95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96"/>
      <c r="P425" s="667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96"/>
      <c r="P426" s="667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85" t="s">
        <v>652</v>
      </c>
      <c r="B427" s="786"/>
      <c r="C427" s="786"/>
      <c r="D427" s="786"/>
      <c r="E427" s="786"/>
      <c r="F427" s="786"/>
      <c r="G427" s="786"/>
      <c r="H427" s="786"/>
      <c r="I427" s="786"/>
      <c r="J427" s="786"/>
      <c r="K427" s="786"/>
      <c r="L427" s="786"/>
      <c r="M427" s="786"/>
      <c r="N427" s="786"/>
      <c r="O427" s="786"/>
      <c r="P427" s="786"/>
      <c r="Q427" s="786"/>
      <c r="R427" s="786"/>
      <c r="S427" s="786"/>
      <c r="T427" s="786"/>
      <c r="U427" s="786"/>
      <c r="V427" s="786"/>
      <c r="W427" s="786"/>
      <c r="X427" s="786"/>
      <c r="Y427" s="786"/>
      <c r="Z427" s="786"/>
      <c r="AA427" s="48"/>
      <c r="AB427" s="48"/>
      <c r="AC427" s="48"/>
    </row>
    <row r="428" spans="1:68" ht="16.5" hidden="1" customHeight="1" x14ac:dyDescent="0.25">
      <c r="A428" s="709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7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6"/>
      <c r="AB429" s="656"/>
      <c r="AC429" s="656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33" t="s">
        <v>656</v>
      </c>
      <c r="Q430" s="673"/>
      <c r="R430" s="673"/>
      <c r="S430" s="673"/>
      <c r="T430" s="674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29" t="s">
        <v>660</v>
      </c>
      <c r="Q431" s="673"/>
      <c r="R431" s="673"/>
      <c r="S431" s="673"/>
      <c r="T431" s="674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30" t="s">
        <v>660</v>
      </c>
      <c r="Q432" s="673"/>
      <c r="R432" s="673"/>
      <c r="S432" s="673"/>
      <c r="T432" s="674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7" t="s">
        <v>665</v>
      </c>
      <c r="Q433" s="673"/>
      <c r="R433" s="673"/>
      <c r="S433" s="673"/>
      <c r="T433" s="674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23" t="s">
        <v>670</v>
      </c>
      <c r="Q435" s="673"/>
      <c r="R435" s="673"/>
      <c r="S435" s="673"/>
      <c r="T435" s="674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16" t="s">
        <v>680</v>
      </c>
      <c r="Q439" s="673"/>
      <c r="R439" s="673"/>
      <c r="S439" s="673"/>
      <c r="T439" s="674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4"/>
      <c r="V440" s="34"/>
      <c r="W440" s="35" t="s">
        <v>68</v>
      </c>
      <c r="X440" s="663">
        <v>4</v>
      </c>
      <c r="Y440" s="664">
        <f t="shared" si="63"/>
        <v>4.2</v>
      </c>
      <c r="Z440" s="36">
        <f t="shared" si="68"/>
        <v>1.004E-2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4.2476190476190476</v>
      </c>
      <c r="BN440" s="64">
        <f t="shared" si="65"/>
        <v>4.46</v>
      </c>
      <c r="BO440" s="64">
        <f t="shared" si="66"/>
        <v>8.1400081400081412E-3</v>
      </c>
      <c r="BP440" s="64">
        <f t="shared" si="67"/>
        <v>8.5470085470085479E-3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95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96"/>
      <c r="P442" s="667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1.9047619047619047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1.004E-2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96"/>
      <c r="P443" s="667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4</v>
      </c>
      <c r="Y443" s="665">
        <f>IFERROR(SUM(Y430:Y441),"0")</f>
        <v>4.2</v>
      </c>
      <c r="Z443" s="37"/>
      <c r="AA443" s="666"/>
      <c r="AB443" s="666"/>
      <c r="AC443" s="666"/>
    </row>
    <row r="444" spans="1:68" ht="14.25" hidden="1" customHeight="1" x14ac:dyDescent="0.25">
      <c r="A444" s="67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95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96"/>
      <c r="P447" s="667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96"/>
      <c r="P448" s="667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09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7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3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95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96"/>
      <c r="P453" s="667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96"/>
      <c r="P454" s="667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6"/>
      <c r="AB455" s="656"/>
      <c r="AC455" s="656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53" t="s">
        <v>701</v>
      </c>
      <c r="Q456" s="673"/>
      <c r="R456" s="673"/>
      <c r="S456" s="673"/>
      <c r="T456" s="674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03" t="s">
        <v>708</v>
      </c>
      <c r="Q458" s="673"/>
      <c r="R458" s="673"/>
      <c r="S458" s="673"/>
      <c r="T458" s="674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5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96"/>
      <c r="P460" s="667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96"/>
      <c r="P461" s="667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09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7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6"/>
      <c r="AB463" s="656"/>
      <c r="AC463" s="656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102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55" t="s">
        <v>718</v>
      </c>
      <c r="Q465" s="673"/>
      <c r="R465" s="673"/>
      <c r="S465" s="673"/>
      <c r="T465" s="674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5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96"/>
      <c r="P466" s="667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96"/>
      <c r="P467" s="667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09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7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95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96"/>
      <c r="P471" s="667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96"/>
      <c r="P472" s="667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95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96"/>
      <c r="P475" s="667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96"/>
      <c r="P476" s="667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85" t="s">
        <v>727</v>
      </c>
      <c r="B477" s="786"/>
      <c r="C477" s="786"/>
      <c r="D477" s="786"/>
      <c r="E477" s="786"/>
      <c r="F477" s="786"/>
      <c r="G477" s="786"/>
      <c r="H477" s="786"/>
      <c r="I477" s="786"/>
      <c r="J477" s="786"/>
      <c r="K477" s="786"/>
      <c r="L477" s="786"/>
      <c r="M477" s="786"/>
      <c r="N477" s="786"/>
      <c r="O477" s="786"/>
      <c r="P477" s="786"/>
      <c r="Q477" s="786"/>
      <c r="R477" s="786"/>
      <c r="S477" s="786"/>
      <c r="T477" s="786"/>
      <c r="U477" s="786"/>
      <c r="V477" s="786"/>
      <c r="W477" s="786"/>
      <c r="X477" s="786"/>
      <c r="Y477" s="786"/>
      <c r="Z477" s="786"/>
      <c r="AA477" s="48"/>
      <c r="AB477" s="48"/>
      <c r="AC477" s="48"/>
    </row>
    <row r="478" spans="1:68" ht="16.5" hidden="1" customHeight="1" x14ac:dyDescent="0.25">
      <c r="A478" s="709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7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4"/>
      <c r="V480" s="34"/>
      <c r="W480" s="35" t="s">
        <v>68</v>
      </c>
      <c r="X480" s="663">
        <v>166</v>
      </c>
      <c r="Y480" s="664">
        <f t="shared" ref="Y480:Y494" si="69">IFERROR(IF(X480="",0,CEILING((X480/$H480),1)*$H480),"")</f>
        <v>168.96</v>
      </c>
      <c r="Z480" s="36">
        <f>IFERROR(IF(Y480=0,"",ROUNDUP(Y480/H480,0)*0.01196),"")</f>
        <v>0.38272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177.31818181818178</v>
      </c>
      <c r="BN480" s="64">
        <f t="shared" ref="BN480:BN494" si="71">IFERROR(Y480*I480/H480,"0")</f>
        <v>180.48</v>
      </c>
      <c r="BO480" s="64">
        <f t="shared" ref="BO480:BO494" si="72">IFERROR(1/J480*(X480/H480),"0")</f>
        <v>0.30230186480186483</v>
      </c>
      <c r="BP480" s="64">
        <f t="shared" ref="BP480:BP494" si="73">IFERROR(1/J480*(Y480/H480),"0")</f>
        <v>0.30769230769230771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4"/>
      <c r="V481" s="34"/>
      <c r="W481" s="35" t="s">
        <v>68</v>
      </c>
      <c r="X481" s="663">
        <v>88</v>
      </c>
      <c r="Y481" s="664">
        <f t="shared" si="69"/>
        <v>89.76</v>
      </c>
      <c r="Z481" s="36">
        <f>IFERROR(IF(Y481=0,"",ROUNDUP(Y481/H481,0)*0.01196),"")</f>
        <v>0.20332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94</v>
      </c>
      <c r="BN481" s="64">
        <f t="shared" si="71"/>
        <v>95.88</v>
      </c>
      <c r="BO481" s="64">
        <f t="shared" si="72"/>
        <v>0.16025641025641024</v>
      </c>
      <c r="BP481" s="64">
        <f t="shared" si="73"/>
        <v>0.16346153846153846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26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0" t="s">
        <v>745</v>
      </c>
      <c r="Q485" s="673"/>
      <c r="R485" s="673"/>
      <c r="S485" s="673"/>
      <c r="T485" s="674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3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7" t="s">
        <v>753</v>
      </c>
      <c r="Q489" s="673"/>
      <c r="R489" s="673"/>
      <c r="S489" s="673"/>
      <c r="T489" s="674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79" t="s">
        <v>756</v>
      </c>
      <c r="Q490" s="673"/>
      <c r="R490" s="673"/>
      <c r="S490" s="673"/>
      <c r="T490" s="674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73" t="s">
        <v>760</v>
      </c>
      <c r="Q491" s="673"/>
      <c r="R491" s="673"/>
      <c r="S491" s="673"/>
      <c r="T491" s="674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5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4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95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96"/>
      <c r="P495" s="667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48.106060606060602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49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0.58604000000000001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96"/>
      <c r="P496" s="667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254</v>
      </c>
      <c r="Y496" s="665">
        <f>IFERROR(SUM(Y480:Y494),"0")</f>
        <v>258.72000000000003</v>
      </c>
      <c r="Z496" s="37"/>
      <c r="AA496" s="666"/>
      <c r="AB496" s="666"/>
      <c r="AC496" s="666"/>
    </row>
    <row r="497" spans="1:68" ht="14.25" hidden="1" customHeight="1" x14ac:dyDescent="0.25">
      <c r="A497" s="67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5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4"/>
      <c r="V498" s="34"/>
      <c r="W498" s="35" t="s">
        <v>68</v>
      </c>
      <c r="X498" s="663">
        <v>359</v>
      </c>
      <c r="Y498" s="664">
        <f>IFERROR(IF(X498="",0,CEILING((X498/$H498),1)*$H498),"")</f>
        <v>359.04</v>
      </c>
      <c r="Z498" s="36">
        <f>IFERROR(IF(Y498=0,"",ROUNDUP(Y498/H498,0)*0.01196),"")</f>
        <v>0.81328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383.47727272727269</v>
      </c>
      <c r="BN498" s="64">
        <f>IFERROR(Y498*I498/H498,"0")</f>
        <v>383.52</v>
      </c>
      <c r="BO498" s="64">
        <f>IFERROR(1/J498*(X498/H498),"0")</f>
        <v>0.65377331002330996</v>
      </c>
      <c r="BP498" s="64">
        <f>IFERROR(1/J498*(Y498/H498),"0")</f>
        <v>0.65384615384615385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8" t="s">
        <v>770</v>
      </c>
      <c r="Q499" s="673"/>
      <c r="R499" s="673"/>
      <c r="S499" s="673"/>
      <c r="T499" s="674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47" t="s">
        <v>774</v>
      </c>
      <c r="Q500" s="673"/>
      <c r="R500" s="673"/>
      <c r="S500" s="673"/>
      <c r="T500" s="674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01" t="s">
        <v>777</v>
      </c>
      <c r="Q501" s="673"/>
      <c r="R501" s="673"/>
      <c r="S501" s="673"/>
      <c r="T501" s="674"/>
      <c r="U501" s="34"/>
      <c r="V501" s="34"/>
      <c r="W501" s="35" t="s">
        <v>68</v>
      </c>
      <c r="X501" s="663">
        <v>24</v>
      </c>
      <c r="Y501" s="664">
        <f>IFERROR(IF(X501="",0,CEILING((X501/$H501),1)*$H501),"")</f>
        <v>24</v>
      </c>
      <c r="Z501" s="36">
        <f>IFERROR(IF(Y501=0,"",ROUNDUP(Y501/H501,0)*0.00902),"")</f>
        <v>4.5100000000000001E-2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34.65</v>
      </c>
      <c r="BN501" s="64">
        <f>IFERROR(Y501*I501/H501,"0")</f>
        <v>34.65</v>
      </c>
      <c r="BO501" s="64">
        <f>IFERROR(1/J501*(X501/H501),"0")</f>
        <v>3.787878787878788E-2</v>
      </c>
      <c r="BP501" s="64">
        <f>IFERROR(1/J501*(Y501/H501),"0")</f>
        <v>3.787878787878788E-2</v>
      </c>
    </row>
    <row r="502" spans="1:68" x14ac:dyDescent="0.2">
      <c r="A502" s="695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96"/>
      <c r="P502" s="667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72.992424242424235</v>
      </c>
      <c r="Y502" s="665">
        <f>IFERROR(Y498/H498,"0")+IFERROR(Y499/H499,"0")+IFERROR(Y500/H500,"0")+IFERROR(Y501/H501,"0")</f>
        <v>73</v>
      </c>
      <c r="Z502" s="665">
        <f>IFERROR(IF(Z498="",0,Z498),"0")+IFERROR(IF(Z499="",0,Z499),"0")+IFERROR(IF(Z500="",0,Z500),"0")+IFERROR(IF(Z501="",0,Z501),"0")</f>
        <v>0.85838000000000003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96"/>
      <c r="P503" s="667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383</v>
      </c>
      <c r="Y503" s="665">
        <f>IFERROR(SUM(Y498:Y501),"0")</f>
        <v>383.04</v>
      </c>
      <c r="Z503" s="37"/>
      <c r="AA503" s="666"/>
      <c r="AB503" s="666"/>
      <c r="AC503" s="666"/>
    </row>
    <row r="504" spans="1:68" ht="14.25" hidden="1" customHeight="1" x14ac:dyDescent="0.25">
      <c r="A504" s="67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715" t="s">
        <v>780</v>
      </c>
      <c r="Q505" s="673"/>
      <c r="R505" s="673"/>
      <c r="S505" s="673"/>
      <c r="T505" s="674"/>
      <c r="U505" s="34"/>
      <c r="V505" s="34"/>
      <c r="W505" s="35" t="s">
        <v>68</v>
      </c>
      <c r="X505" s="663">
        <v>325</v>
      </c>
      <c r="Y505" s="664">
        <f t="shared" ref="Y505:Y516" si="74">IFERROR(IF(X505="",0,CEILING((X505/$H505),1)*$H505),"")</f>
        <v>327.36</v>
      </c>
      <c r="Z505" s="36">
        <f>IFERROR(IF(Y505=0,"",ROUNDUP(Y505/H505,0)*0.01196),"")</f>
        <v>0.74151999999999996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347.15909090909088</v>
      </c>
      <c r="BN505" s="64">
        <f t="shared" ref="BN505:BN516" si="76">IFERROR(Y505*I505/H505,"0")</f>
        <v>349.68</v>
      </c>
      <c r="BO505" s="64">
        <f t="shared" ref="BO505:BO516" si="77">IFERROR(1/J505*(X505/H505),"0")</f>
        <v>0.59185606060606055</v>
      </c>
      <c r="BP505" s="64">
        <f t="shared" ref="BP505:BP516" si="78">IFERROR(1/J505*(Y505/H505),"0")</f>
        <v>0.59615384615384615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9" t="s">
        <v>784</v>
      </c>
      <c r="Q506" s="673"/>
      <c r="R506" s="673"/>
      <c r="S506" s="673"/>
      <c r="T506" s="674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77" t="s">
        <v>788</v>
      </c>
      <c r="Q507" s="673"/>
      <c r="R507" s="673"/>
      <c r="S507" s="673"/>
      <c r="T507" s="674"/>
      <c r="U507" s="34"/>
      <c r="V507" s="34"/>
      <c r="W507" s="35" t="s">
        <v>68</v>
      </c>
      <c r="X507" s="663">
        <v>292</v>
      </c>
      <c r="Y507" s="664">
        <f t="shared" si="74"/>
        <v>295.68</v>
      </c>
      <c r="Z507" s="36">
        <f>IFERROR(IF(Y507=0,"",ROUNDUP(Y507/H507,0)*0.01196),"")</f>
        <v>0.66976000000000002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311.90909090909088</v>
      </c>
      <c r="BN507" s="64">
        <f t="shared" si="76"/>
        <v>315.83999999999997</v>
      </c>
      <c r="BO507" s="64">
        <f t="shared" si="77"/>
        <v>0.5317599067599067</v>
      </c>
      <c r="BP507" s="64">
        <f t="shared" si="78"/>
        <v>0.53846153846153855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5" t="s">
        <v>792</v>
      </c>
      <c r="Q508" s="673"/>
      <c r="R508" s="673"/>
      <c r="S508" s="673"/>
      <c r="T508" s="674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53" t="s">
        <v>795</v>
      </c>
      <c r="Q509" s="673"/>
      <c r="R509" s="673"/>
      <c r="S509" s="673"/>
      <c r="T509" s="674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690" t="s">
        <v>797</v>
      </c>
      <c r="Q510" s="673"/>
      <c r="R510" s="673"/>
      <c r="S510" s="673"/>
      <c r="T510" s="674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33" t="s">
        <v>802</v>
      </c>
      <c r="Q512" s="673"/>
      <c r="R512" s="673"/>
      <c r="S512" s="673"/>
      <c r="T512" s="674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3"/>
      <c r="R513" s="673"/>
      <c r="S513" s="673"/>
      <c r="T513" s="674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6" t="s">
        <v>807</v>
      </c>
      <c r="Q514" s="673"/>
      <c r="R514" s="673"/>
      <c r="S514" s="673"/>
      <c r="T514" s="674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4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3"/>
      <c r="R515" s="673"/>
      <c r="S515" s="673"/>
      <c r="T515" s="674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3"/>
      <c r="R516" s="673"/>
      <c r="S516" s="673"/>
      <c r="T516" s="674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95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96"/>
      <c r="P517" s="667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116.85606060606059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1.4112800000000001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96"/>
      <c r="P518" s="667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617</v>
      </c>
      <c r="Y518" s="665">
        <f>IFERROR(SUM(Y505:Y516),"0")</f>
        <v>623.04</v>
      </c>
      <c r="Z518" s="37"/>
      <c r="AA518" s="666"/>
      <c r="AB518" s="666"/>
      <c r="AC518" s="666"/>
    </row>
    <row r="519" spans="1:68" ht="14.25" hidden="1" customHeight="1" x14ac:dyDescent="0.25">
      <c r="A519" s="67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99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1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95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96"/>
      <c r="P523" s="667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96"/>
      <c r="P524" s="667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15" t="s">
        <v>825</v>
      </c>
      <c r="Q527" s="673"/>
      <c r="R527" s="673"/>
      <c r="S527" s="673"/>
      <c r="T527" s="674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95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96"/>
      <c r="P528" s="667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96"/>
      <c r="P529" s="667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85" t="s">
        <v>826</v>
      </c>
      <c r="B530" s="786"/>
      <c r="C530" s="786"/>
      <c r="D530" s="786"/>
      <c r="E530" s="786"/>
      <c r="F530" s="786"/>
      <c r="G530" s="786"/>
      <c r="H530" s="786"/>
      <c r="I530" s="786"/>
      <c r="J530" s="786"/>
      <c r="K530" s="786"/>
      <c r="L530" s="786"/>
      <c r="M530" s="786"/>
      <c r="N530" s="786"/>
      <c r="O530" s="786"/>
      <c r="P530" s="786"/>
      <c r="Q530" s="786"/>
      <c r="R530" s="786"/>
      <c r="S530" s="786"/>
      <c r="T530" s="786"/>
      <c r="U530" s="786"/>
      <c r="V530" s="786"/>
      <c r="W530" s="786"/>
      <c r="X530" s="786"/>
      <c r="Y530" s="786"/>
      <c r="Z530" s="786"/>
      <c r="AA530" s="48"/>
      <c r="AB530" s="48"/>
      <c r="AC530" s="48"/>
    </row>
    <row r="531" spans="1:68" ht="16.5" hidden="1" customHeight="1" x14ac:dyDescent="0.25">
      <c r="A531" s="709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7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0" t="s">
        <v>829</v>
      </c>
      <c r="Q533" s="673"/>
      <c r="R533" s="673"/>
      <c r="S533" s="673"/>
      <c r="T533" s="674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4" t="s">
        <v>833</v>
      </c>
      <c r="Q534" s="673"/>
      <c r="R534" s="673"/>
      <c r="S534" s="673"/>
      <c r="T534" s="674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26" t="s">
        <v>837</v>
      </c>
      <c r="Q535" s="673"/>
      <c r="R535" s="673"/>
      <c r="S535" s="673"/>
      <c r="T535" s="674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689" t="s">
        <v>841</v>
      </c>
      <c r="Q536" s="673"/>
      <c r="R536" s="673"/>
      <c r="S536" s="673"/>
      <c r="T536" s="674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1019" t="s">
        <v>845</v>
      </c>
      <c r="Q537" s="673"/>
      <c r="R537" s="673"/>
      <c r="S537" s="673"/>
      <c r="T537" s="674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1" t="s">
        <v>848</v>
      </c>
      <c r="Q538" s="673"/>
      <c r="R538" s="673"/>
      <c r="S538" s="673"/>
      <c r="T538" s="674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95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96"/>
      <c r="P539" s="667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96"/>
      <c r="P540" s="667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26" t="s">
        <v>851</v>
      </c>
      <c r="Q542" s="673"/>
      <c r="R542" s="673"/>
      <c r="S542" s="673"/>
      <c r="T542" s="674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24" t="s">
        <v>854</v>
      </c>
      <c r="Q543" s="673"/>
      <c r="R543" s="673"/>
      <c r="S543" s="673"/>
      <c r="T543" s="674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6" t="s">
        <v>858</v>
      </c>
      <c r="Q544" s="673"/>
      <c r="R544" s="673"/>
      <c r="S544" s="673"/>
      <c r="T544" s="674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8" t="s">
        <v>861</v>
      </c>
      <c r="Q545" s="673"/>
      <c r="R545" s="673"/>
      <c r="S545" s="673"/>
      <c r="T545" s="674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946" t="s">
        <v>865</v>
      </c>
      <c r="Q546" s="673"/>
      <c r="R546" s="673"/>
      <c r="S546" s="673"/>
      <c r="T546" s="674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5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96"/>
      <c r="P547" s="667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96"/>
      <c r="P548" s="667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1004" t="s">
        <v>868</v>
      </c>
      <c r="Q550" s="673"/>
      <c r="R550" s="673"/>
      <c r="S550" s="673"/>
      <c r="T550" s="674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87" t="s">
        <v>872</v>
      </c>
      <c r="Q551" s="673"/>
      <c r="R551" s="673"/>
      <c r="S551" s="673"/>
      <c r="T551" s="674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8" t="s">
        <v>876</v>
      </c>
      <c r="Q552" s="673"/>
      <c r="R552" s="673"/>
      <c r="S552" s="673"/>
      <c r="T552" s="674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9" t="s">
        <v>880</v>
      </c>
      <c r="Q553" s="673"/>
      <c r="R553" s="673"/>
      <c r="S553" s="673"/>
      <c r="T553" s="674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4" t="s">
        <v>884</v>
      </c>
      <c r="Q554" s="673"/>
      <c r="R554" s="673"/>
      <c r="S554" s="673"/>
      <c r="T554" s="674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78" t="s">
        <v>888</v>
      </c>
      <c r="Q555" s="673"/>
      <c r="R555" s="673"/>
      <c r="S555" s="673"/>
      <c r="T555" s="674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47" t="s">
        <v>891</v>
      </c>
      <c r="Q556" s="673"/>
      <c r="R556" s="673"/>
      <c r="S556" s="673"/>
      <c r="T556" s="674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95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96"/>
      <c r="P557" s="667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96"/>
      <c r="P558" s="667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6"/>
      <c r="AB559" s="656"/>
      <c r="AC559" s="656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7" t="s">
        <v>894</v>
      </c>
      <c r="Q560" s="673"/>
      <c r="R560" s="673"/>
      <c r="S560" s="673"/>
      <c r="T560" s="674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6" t="s">
        <v>894</v>
      </c>
      <c r="Q561" s="673"/>
      <c r="R561" s="673"/>
      <c r="S561" s="673"/>
      <c r="T561" s="674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5" t="s">
        <v>899</v>
      </c>
      <c r="Q562" s="673"/>
      <c r="R562" s="673"/>
      <c r="S562" s="673"/>
      <c r="T562" s="674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1025" t="s">
        <v>903</v>
      </c>
      <c r="Q563" s="673"/>
      <c r="R563" s="673"/>
      <c r="S563" s="673"/>
      <c r="T563" s="674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6" t="s">
        <v>906</v>
      </c>
      <c r="Q564" s="673"/>
      <c r="R564" s="673"/>
      <c r="S564" s="673"/>
      <c r="T564" s="674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95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96"/>
      <c r="P565" s="667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96"/>
      <c r="P566" s="667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24" t="s">
        <v>909</v>
      </c>
      <c r="Q568" s="673"/>
      <c r="R568" s="673"/>
      <c r="S568" s="673"/>
      <c r="T568" s="674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0" t="s">
        <v>912</v>
      </c>
      <c r="Q569" s="673"/>
      <c r="R569" s="673"/>
      <c r="S569" s="673"/>
      <c r="T569" s="674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995" t="s">
        <v>915</v>
      </c>
      <c r="Q570" s="673"/>
      <c r="R570" s="673"/>
      <c r="S570" s="673"/>
      <c r="T570" s="674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17" t="s">
        <v>918</v>
      </c>
      <c r="Q571" s="673"/>
      <c r="R571" s="673"/>
      <c r="S571" s="673"/>
      <c r="T571" s="674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95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96"/>
      <c r="P572" s="667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96"/>
      <c r="P573" s="667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09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7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672" t="s">
        <v>922</v>
      </c>
      <c r="Q576" s="673"/>
      <c r="R576" s="673"/>
      <c r="S576" s="673"/>
      <c r="T576" s="674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95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96"/>
      <c r="P577" s="667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96"/>
      <c r="P578" s="667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76" t="s">
        <v>926</v>
      </c>
      <c r="Q580" s="673"/>
      <c r="R580" s="673"/>
      <c r="S580" s="673"/>
      <c r="T580" s="674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95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96"/>
      <c r="P581" s="667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96"/>
      <c r="P582" s="667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43" t="s">
        <v>930</v>
      </c>
      <c r="Q584" s="673"/>
      <c r="R584" s="673"/>
      <c r="S584" s="673"/>
      <c r="T584" s="674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95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96"/>
      <c r="P585" s="667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96"/>
      <c r="P586" s="667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19" t="s">
        <v>934</v>
      </c>
      <c r="Q588" s="673"/>
      <c r="R588" s="673"/>
      <c r="S588" s="673"/>
      <c r="T588" s="674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95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96"/>
      <c r="P589" s="667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96"/>
      <c r="P590" s="667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0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71"/>
      <c r="P591" s="704" t="s">
        <v>936</v>
      </c>
      <c r="Q591" s="705"/>
      <c r="R591" s="705"/>
      <c r="S591" s="705"/>
      <c r="T591" s="705"/>
      <c r="U591" s="705"/>
      <c r="V591" s="699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17013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17177.25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71"/>
      <c r="P592" s="704" t="s">
        <v>937</v>
      </c>
      <c r="Q592" s="705"/>
      <c r="R592" s="705"/>
      <c r="S592" s="705"/>
      <c r="T592" s="705"/>
      <c r="U592" s="705"/>
      <c r="V592" s="699"/>
      <c r="W592" s="37" t="s">
        <v>68</v>
      </c>
      <c r="X592" s="665">
        <f>IFERROR(SUM(BM22:BM588),"0")</f>
        <v>18002.594659521379</v>
      </c>
      <c r="Y592" s="665">
        <f>IFERROR(SUM(BN22:BN588),"0")</f>
        <v>18175.898000000001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71"/>
      <c r="P593" s="704" t="s">
        <v>938</v>
      </c>
      <c r="Q593" s="705"/>
      <c r="R593" s="705"/>
      <c r="S593" s="705"/>
      <c r="T593" s="705"/>
      <c r="U593" s="705"/>
      <c r="V593" s="699"/>
      <c r="W593" s="37" t="s">
        <v>939</v>
      </c>
      <c r="X593" s="38">
        <f>ROUNDUP(SUM(BO22:BO588),0)</f>
        <v>30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71"/>
      <c r="P594" s="704" t="s">
        <v>940</v>
      </c>
      <c r="Q594" s="705"/>
      <c r="R594" s="705"/>
      <c r="S594" s="705"/>
      <c r="T594" s="705"/>
      <c r="U594" s="705"/>
      <c r="V594" s="699"/>
      <c r="W594" s="37" t="s">
        <v>68</v>
      </c>
      <c r="X594" s="665">
        <f>GrossWeightTotal+PalletQtyTotal*25</f>
        <v>18752.594659521379</v>
      </c>
      <c r="Y594" s="665">
        <f>GrossWeightTotalR+PalletQtyTotalR*25</f>
        <v>18925.898000000001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71"/>
      <c r="P595" s="704" t="s">
        <v>941</v>
      </c>
      <c r="Q595" s="705"/>
      <c r="R595" s="705"/>
      <c r="S595" s="705"/>
      <c r="T595" s="705"/>
      <c r="U595" s="705"/>
      <c r="V595" s="699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3204.5399275492236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3233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71"/>
      <c r="P596" s="704" t="s">
        <v>942</v>
      </c>
      <c r="Q596" s="705"/>
      <c r="R596" s="705"/>
      <c r="S596" s="705"/>
      <c r="T596" s="705"/>
      <c r="U596" s="705"/>
      <c r="V596" s="699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35.21721999999999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92" t="s">
        <v>95</v>
      </c>
      <c r="D598" s="743"/>
      <c r="E598" s="743"/>
      <c r="F598" s="743"/>
      <c r="G598" s="743"/>
      <c r="H598" s="734"/>
      <c r="I598" s="692" t="s">
        <v>283</v>
      </c>
      <c r="J598" s="743"/>
      <c r="K598" s="743"/>
      <c r="L598" s="743"/>
      <c r="M598" s="743"/>
      <c r="N598" s="743"/>
      <c r="O598" s="743"/>
      <c r="P598" s="743"/>
      <c r="Q598" s="743"/>
      <c r="R598" s="743"/>
      <c r="S598" s="743"/>
      <c r="T598" s="743"/>
      <c r="U598" s="743"/>
      <c r="V598" s="734"/>
      <c r="W598" s="692" t="s">
        <v>574</v>
      </c>
      <c r="X598" s="734"/>
      <c r="Y598" s="692" t="s">
        <v>652</v>
      </c>
      <c r="Z598" s="743"/>
      <c r="AA598" s="743"/>
      <c r="AB598" s="734"/>
      <c r="AC598" s="655" t="s">
        <v>727</v>
      </c>
      <c r="AD598" s="692" t="s">
        <v>826</v>
      </c>
      <c r="AE598" s="734"/>
      <c r="AF598" s="657"/>
    </row>
    <row r="599" spans="1:32" ht="14.25" customHeight="1" thickTop="1" x14ac:dyDescent="0.2">
      <c r="A599" s="934" t="s">
        <v>945</v>
      </c>
      <c r="B599" s="692" t="s">
        <v>62</v>
      </c>
      <c r="C599" s="692" t="s">
        <v>96</v>
      </c>
      <c r="D599" s="692" t="s">
        <v>115</v>
      </c>
      <c r="E599" s="692" t="s">
        <v>178</v>
      </c>
      <c r="F599" s="692" t="s">
        <v>209</v>
      </c>
      <c r="G599" s="692" t="s">
        <v>254</v>
      </c>
      <c r="H599" s="692" t="s">
        <v>95</v>
      </c>
      <c r="I599" s="692" t="s">
        <v>284</v>
      </c>
      <c r="J599" s="692" t="s">
        <v>319</v>
      </c>
      <c r="K599" s="692" t="s">
        <v>380</v>
      </c>
      <c r="L599" s="692" t="s">
        <v>415</v>
      </c>
      <c r="M599" s="692" t="s">
        <v>433</v>
      </c>
      <c r="N599" s="657"/>
      <c r="O599" s="692" t="s">
        <v>437</v>
      </c>
      <c r="P599" s="692" t="s">
        <v>446</v>
      </c>
      <c r="Q599" s="692" t="s">
        <v>460</v>
      </c>
      <c r="R599" s="692" t="s">
        <v>470</v>
      </c>
      <c r="S599" s="692" t="s">
        <v>474</v>
      </c>
      <c r="T599" s="692" t="s">
        <v>482</v>
      </c>
      <c r="U599" s="692" t="s">
        <v>487</v>
      </c>
      <c r="V599" s="692" t="s">
        <v>561</v>
      </c>
      <c r="W599" s="692" t="s">
        <v>575</v>
      </c>
      <c r="X599" s="692" t="s">
        <v>616</v>
      </c>
      <c r="Y599" s="692" t="s">
        <v>653</v>
      </c>
      <c r="Z599" s="692" t="s">
        <v>692</v>
      </c>
      <c r="AA599" s="692" t="s">
        <v>712</v>
      </c>
      <c r="AB599" s="692" t="s">
        <v>720</v>
      </c>
      <c r="AC599" s="692" t="s">
        <v>727</v>
      </c>
      <c r="AD599" s="692" t="s">
        <v>826</v>
      </c>
      <c r="AE599" s="692" t="s">
        <v>919</v>
      </c>
      <c r="AF599" s="657"/>
    </row>
    <row r="600" spans="1:32" ht="13.5" customHeight="1" thickBot="1" x14ac:dyDescent="0.25">
      <c r="A600" s="935"/>
      <c r="B600" s="693"/>
      <c r="C600" s="693"/>
      <c r="D600" s="693"/>
      <c r="E600" s="693"/>
      <c r="F600" s="693"/>
      <c r="G600" s="693"/>
      <c r="H600" s="693"/>
      <c r="I600" s="693"/>
      <c r="J600" s="693"/>
      <c r="K600" s="693"/>
      <c r="L600" s="693"/>
      <c r="M600" s="693"/>
      <c r="N600" s="657"/>
      <c r="O600" s="693"/>
      <c r="P600" s="693"/>
      <c r="Q600" s="693"/>
      <c r="R600" s="693"/>
      <c r="S600" s="693"/>
      <c r="T600" s="693"/>
      <c r="U600" s="693"/>
      <c r="V600" s="693"/>
      <c r="W600" s="693"/>
      <c r="X600" s="693"/>
      <c r="Y600" s="693"/>
      <c r="Z600" s="693"/>
      <c r="AA600" s="693"/>
      <c r="AB600" s="693"/>
      <c r="AC600" s="693"/>
      <c r="AD600" s="693"/>
      <c r="AE600" s="693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5.3999999999999995</v>
      </c>
      <c r="C601" s="46">
        <f>IFERROR(Y37*1,"0")+IFERROR(Y38*1,"0")+IFERROR(Y39*1,"0")+IFERROR(Y40*1,"0")+IFERROR(Y44*1,"0")</f>
        <v>529.20000000000005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1641.6000000000004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1500.6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1906.5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838.5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5061.8999999999996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256.8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608.25</v>
      </c>
      <c r="V601" s="46">
        <f>IFERROR(Y363*1,"0")+IFERROR(Y367*1,"0")+IFERROR(Y368*1,"0")+IFERROR(Y369*1,"0")</f>
        <v>58.5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3501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4.2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1264.8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1,00"/>
        <filter val="1 037,00"/>
        <filter val="1 079,14"/>
        <filter val="1 138,00"/>
        <filter val="1 204,00"/>
        <filter val="1 252,00"/>
        <filter val="1 400,00"/>
        <filter val="1 492,00"/>
        <filter val="1,90"/>
        <filter val="100,00"/>
        <filter val="105,00"/>
        <filter val="105,97"/>
        <filter val="106,25"/>
        <filter val="106,33"/>
        <filter val="109,00"/>
        <filter val="11,31"/>
        <filter val="112,00"/>
        <filter val="116,00"/>
        <filter val="116,86"/>
        <filter val="118,96"/>
        <filter val="119,00"/>
        <filter val="132,00"/>
        <filter val="133,13"/>
        <filter val="138,00"/>
        <filter val="143,00"/>
        <filter val="148,00"/>
        <filter val="16,00"/>
        <filter val="16,90"/>
        <filter val="164,00"/>
        <filter val="166,00"/>
        <filter val="167,00"/>
        <filter val="17 013,00"/>
        <filter val="17,00"/>
        <filter val="18 002,59"/>
        <filter val="18 752,59"/>
        <filter val="19,00"/>
        <filter val="208,00"/>
        <filter val="209,00"/>
        <filter val="21,00"/>
        <filter val="211,00"/>
        <filter val="211,67"/>
        <filter val="24,00"/>
        <filter val="240,00"/>
        <filter val="254,00"/>
        <filter val="255,00"/>
        <filter val="258,00"/>
        <filter val="263,25"/>
        <filter val="275,00"/>
        <filter val="28,67"/>
        <filter val="29,00"/>
        <filter val="292,00"/>
        <filter val="3 175,00"/>
        <filter val="3 204,54"/>
        <filter val="3 414,00"/>
        <filter val="30"/>
        <filter val="325,00"/>
        <filter val="334,00"/>
        <filter val="359,00"/>
        <filter val="37,20"/>
        <filter val="376,00"/>
        <filter val="377,04"/>
        <filter val="38,00"/>
        <filter val="383,00"/>
        <filter val="4,00"/>
        <filter val="4,69"/>
        <filter val="4,89"/>
        <filter val="402,00"/>
        <filter val="429,00"/>
        <filter val="43,00"/>
        <filter val="44,00"/>
        <filter val="463,00"/>
        <filter val="465,00"/>
        <filter val="48,11"/>
        <filter val="48,43"/>
        <filter val="49,58"/>
        <filter val="5,00"/>
        <filter val="523,00"/>
        <filter val="534,00"/>
        <filter val="538,00"/>
        <filter val="55,37"/>
        <filter val="561,00"/>
        <filter val="581,00"/>
        <filter val="598,00"/>
        <filter val="6,27"/>
        <filter val="617,00"/>
        <filter val="631,00"/>
        <filter val="677,00"/>
        <filter val="72,85"/>
        <filter val="72,99"/>
        <filter val="74,00"/>
        <filter val="76,00"/>
        <filter val="8,33"/>
        <filter val="83,00"/>
        <filter val="831,00"/>
        <filter val="846,00"/>
        <filter val="88,00"/>
        <filter val="89,00"/>
        <filter val="9,05"/>
        <filter val="9,44"/>
        <filter val="91,00"/>
        <filter val="930,00"/>
        <filter val="95,00"/>
        <filter val="99,96"/>
      </filters>
    </filterColumn>
    <filterColumn colId="29" showButton="0"/>
    <filterColumn colId="30" showButton="0"/>
  </autoFilter>
  <mergeCells count="1054"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P261:V261"/>
    <mergeCell ref="P332:V332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D27:E27"/>
    <mergeCell ref="P408:V408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Y599:Y6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P232:T232"/>
    <mergeCell ref="A92:Z92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