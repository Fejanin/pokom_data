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43BFD01-08C3-4B9E-879E-FE6EF2B898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Z346" i="1" s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5" i="1" l="1"/>
  <c r="Z421" i="1"/>
  <c r="Z502" i="1"/>
  <c r="Y593" i="1"/>
  <c r="Z28" i="1"/>
  <c r="Z238" i="1"/>
  <c r="Z183" i="1"/>
  <c r="Z523" i="1"/>
  <c r="Z528" i="1"/>
  <c r="Z353" i="1"/>
  <c r="Z495" i="1"/>
  <c r="Z340" i="1"/>
  <c r="Z325" i="1"/>
  <c r="Z261" i="1"/>
  <c r="Z128" i="1"/>
  <c r="Z110" i="1"/>
  <c r="Z102" i="1"/>
  <c r="Z90" i="1"/>
  <c r="Z62" i="1"/>
  <c r="Z41" i="1"/>
  <c r="Y592" i="1"/>
  <c r="Z466" i="1"/>
  <c r="Z395" i="1"/>
  <c r="Z77" i="1"/>
  <c r="Z209" i="1"/>
  <c r="Y594" i="1"/>
  <c r="Z385" i="1"/>
  <c r="Z221" i="1"/>
  <c r="Z161" i="1"/>
  <c r="Z565" i="1"/>
  <c r="Z547" i="1"/>
  <c r="Z517" i="1"/>
  <c r="Z442" i="1"/>
  <c r="Z332" i="1"/>
  <c r="Z83" i="1"/>
  <c r="Y595" i="1"/>
  <c r="Z408" i="1"/>
  <c r="Z370" i="1"/>
  <c r="Y591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<sst xmlns="http://schemas.openxmlformats.org/spreadsheetml/2006/main" count="2721" uniqueCount="976">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</sst>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45759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0.45833333333333331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172.8</v>
      </c>
      <c r="Y37" s="664">
        <f>IFERROR(IF(X37="",0,CEILING((X37/$H37),1)*$H37),"")</f>
        <v>172.8</v>
      </c>
      <c r="Z37" s="36">
        <f>IFERROR(IF(Y37=0,"",ROUNDUP(Y37/H37,0)*0.01898),"")</f>
        <v>0.30368000000000001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179.76</v>
      </c>
      <c r="BN37" s="64">
        <f>IFERROR(Y37*I37/H37,"0")</f>
        <v>179.76</v>
      </c>
      <c r="BO37" s="64">
        <f>IFERROR(1/J37*(X37/H37),"0")</f>
        <v>0.25</v>
      </c>
      <c r="BP37" s="64">
        <f>IFERROR(1/J37*(Y37/H37),"0")</f>
        <v>0.25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16</v>
      </c>
      <c r="Y41" s="665">
        <f>IFERROR(Y37/H37,"0")+IFERROR(Y38/H38,"0")+IFERROR(Y39/H39,"0")+IFERROR(Y40/H40,"0")</f>
        <v>16</v>
      </c>
      <c r="Z41" s="665">
        <f>IFERROR(IF(Z37="",0,Z37),"0")+IFERROR(IF(Z38="",0,Z38),"0")+IFERROR(IF(Z39="",0,Z39),"0")+IFERROR(IF(Z40="",0,Z40),"0")</f>
        <v>0.30368000000000001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172.8</v>
      </c>
      <c r="Y42" s="665">
        <f>IFERROR(SUM(Y37:Y40),"0")</f>
        <v>172.8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62.4</v>
      </c>
      <c r="Y81" s="66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65.88</v>
      </c>
      <c r="BN81" s="64">
        <f>IFERROR(Y81*I81/H81,"0")</f>
        <v>65.88</v>
      </c>
      <c r="BO81" s="64">
        <f>IFERROR(1/J81*(X81/H81),"0")</f>
        <v>0.125</v>
      </c>
      <c r="BP81" s="64">
        <f>IFERROR(1/J81*(Y81/H81),"0")</f>
        <v>0.125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8</v>
      </c>
      <c r="Y83" s="665">
        <f>IFERROR(Y80/H80,"0")+IFERROR(Y81/H81,"0")+IFERROR(Y82/H82,"0")</f>
        <v>8</v>
      </c>
      <c r="Z83" s="665">
        <f>IFERROR(IF(Z80="",0,Z80),"0")+IFERROR(IF(Z81="",0,Z81),"0")+IFERROR(IF(Z82="",0,Z82),"0")</f>
        <v>0.15184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62.4</v>
      </c>
      <c r="Y84" s="665">
        <f>IFERROR(SUM(Y80:Y82),"0")</f>
        <v>62.4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86.4</v>
      </c>
      <c r="Y106" s="664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89.88</v>
      </c>
      <c r="BN106" s="64">
        <f>IFERROR(Y106*I106/H106,"0")</f>
        <v>89.88</v>
      </c>
      <c r="BO106" s="64">
        <f>IFERROR(1/J106*(X106/H106),"0")</f>
        <v>0.125</v>
      </c>
      <c r="BP106" s="64">
        <f>IFERROR(1/J106*(Y106/H106),"0")</f>
        <v>0.125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8</v>
      </c>
      <c r="Y110" s="665">
        <f>IFERROR(Y106/H106,"0")+IFERROR(Y107/H107,"0")+IFERROR(Y108/H108,"0")+IFERROR(Y109/H109,"0")</f>
        <v>8</v>
      </c>
      <c r="Z110" s="665">
        <f>IFERROR(IF(Z106="",0,Z106),"0")+IFERROR(IF(Z107="",0,Z107),"0")+IFERROR(IF(Z108="",0,Z108),"0")+IFERROR(IF(Z109="",0,Z109),"0")</f>
        <v>0.15184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86.4</v>
      </c>
      <c r="Y111" s="665">
        <f>IFERROR(SUM(Y106:Y109),"0")</f>
        <v>86.4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50.400000000000013</v>
      </c>
      <c r="Y176" s="664">
        <f t="shared" si="27"/>
        <v>50.400000000000006</v>
      </c>
      <c r="Z176" s="36">
        <f>IFERROR(IF(Y176=0,"",ROUNDUP(Y176/H176,0)*0.00902),"")</f>
        <v>0.10824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52.920000000000016</v>
      </c>
      <c r="BN176" s="64">
        <f t="shared" si="29"/>
        <v>52.920000000000009</v>
      </c>
      <c r="BO176" s="64">
        <f t="shared" si="30"/>
        <v>9.0909090909090925E-2</v>
      </c>
      <c r="BP176" s="64">
        <f t="shared" si="31"/>
        <v>9.0909090909090912E-2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37.799999999999997</v>
      </c>
      <c r="Y177" s="664">
        <f t="shared" si="27"/>
        <v>37.800000000000004</v>
      </c>
      <c r="Z177" s="36">
        <f>IFERROR(IF(Y177=0,"",ROUNDUP(Y177/H177,0)*0.00502),"")</f>
        <v>9.0359999999999996E-2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40.139999999999993</v>
      </c>
      <c r="BN177" s="64">
        <f t="shared" si="29"/>
        <v>40.14</v>
      </c>
      <c r="BO177" s="64">
        <f t="shared" si="30"/>
        <v>7.6923076923076913E-2</v>
      </c>
      <c r="BP177" s="64">
        <f t="shared" si="31"/>
        <v>7.6923076923076927E-2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30</v>
      </c>
      <c r="Y183" s="665">
        <f>IFERROR(Y174/H174,"0")+IFERROR(Y175/H175,"0")+IFERROR(Y176/H176,"0")+IFERROR(Y177/H177,"0")+IFERROR(Y178/H178,"0")+IFERROR(Y179/H179,"0")+IFERROR(Y180/H180,"0")+IFERROR(Y181/H181,"0")+IFERROR(Y182/H182,"0")</f>
        <v>30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0.1986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88.200000000000017</v>
      </c>
      <c r="Y184" s="665">
        <f>IFERROR(SUM(Y174:Y182),"0")</f>
        <v>88.200000000000017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69.599999999999994</v>
      </c>
      <c r="Y214" s="664">
        <f t="shared" si="37"/>
        <v>69.599999999999994</v>
      </c>
      <c r="Z214" s="36">
        <f>IFERROR(IF(Y214=0,"",ROUNDUP(Y214/H214,0)*0.01898),"")</f>
        <v>0.15184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73.751999999999995</v>
      </c>
      <c r="BN214" s="64">
        <f t="shared" si="39"/>
        <v>73.751999999999995</v>
      </c>
      <c r="BO214" s="64">
        <f t="shared" si="40"/>
        <v>0.125</v>
      </c>
      <c r="BP214" s="64">
        <f t="shared" si="41"/>
        <v>0.125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8</v>
      </c>
      <c r="Y221" s="665">
        <f>IFERROR(Y212/H212,"0")+IFERROR(Y213/H213,"0")+IFERROR(Y214/H214,"0")+IFERROR(Y215/H215,"0")+IFERROR(Y216/H216,"0")+IFERROR(Y217/H217,"0")+IFERROR(Y218/H218,"0")+IFERROR(Y219/H219,"0")+IFERROR(Y220/H220,"0")</f>
        <v>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0.15184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69.599999999999994</v>
      </c>
      <c r="Y222" s="665">
        <f>IFERROR(SUM(Y212:Y220),"0")</f>
        <v>69.599999999999994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67.2</v>
      </c>
      <c r="Y343" s="664">
        <f>IFERROR(IF(X343="",0,CEILING((X343/$H343),1)*$H343),"")</f>
        <v>67.2</v>
      </c>
      <c r="Z343" s="36">
        <f>IFERROR(IF(Y343=0,"",ROUNDUP(Y343/H343,0)*0.01898),"")</f>
        <v>0.15184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71.352000000000004</v>
      </c>
      <c r="BN343" s="64">
        <f>IFERROR(Y343*I343/H343,"0")</f>
        <v>71.352000000000004</v>
      </c>
      <c r="BO343" s="64">
        <f>IFERROR(1/J343*(X343/H343),"0")</f>
        <v>0.125</v>
      </c>
      <c r="BP343" s="64">
        <f>IFERROR(1/J343*(Y343/H343),"0")</f>
        <v>0.125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62.4</v>
      </c>
      <c r="Y344" s="664">
        <f>IFERROR(IF(X344="",0,CEILING((X344/$H344),1)*$H344),"")</f>
        <v>62.4</v>
      </c>
      <c r="Z344" s="36">
        <f>IFERROR(IF(Y344=0,"",ROUNDUP(Y344/H344,0)*0.01898),"")</f>
        <v>0.15184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66.552000000000007</v>
      </c>
      <c r="BN344" s="64">
        <f>IFERROR(Y344*I344/H344,"0")</f>
        <v>66.552000000000007</v>
      </c>
      <c r="BO344" s="64">
        <f>IFERROR(1/J344*(X344/H344),"0")</f>
        <v>0.125</v>
      </c>
      <c r="BP344" s="64">
        <f>IFERROR(1/J344*(Y344/H344),"0")</f>
        <v>0.125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16</v>
      </c>
      <c r="Y346" s="665">
        <f>IFERROR(Y343/H343,"0")+IFERROR(Y344/H344,"0")+IFERROR(Y345/H345,"0")</f>
        <v>16</v>
      </c>
      <c r="Z346" s="665">
        <f>IFERROR(IF(Z343="",0,Z343),"0")+IFERROR(IF(Z344="",0,Z344),"0")+IFERROR(IF(Z345="",0,Z345),"0")</f>
        <v>0.30368000000000001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129.6</v>
      </c>
      <c r="Y347" s="665">
        <f>IFERROR(SUM(Y343:Y345),"0")</f>
        <v>129.6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120</v>
      </c>
      <c r="Y375" s="664">
        <f t="shared" ref="Y375:Y384" si="58">IFERROR(IF(X375="",0,CEILING((X375/$H375),1)*$H375),"")</f>
        <v>120</v>
      </c>
      <c r="Z375" s="36">
        <f>IFERROR(IF(Y375=0,"",ROUNDUP(Y375/H375,0)*0.02175),"")</f>
        <v>0.17399999999999999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123.84</v>
      </c>
      <c r="BN375" s="64">
        <f t="shared" ref="BN375:BN384" si="60">IFERROR(Y375*I375/H375,"0")</f>
        <v>123.84</v>
      </c>
      <c r="BO375" s="64">
        <f t="shared" ref="BO375:BO384" si="61">IFERROR(1/J375*(X375/H375),"0")</f>
        <v>0.16666666666666666</v>
      </c>
      <c r="BP375" s="64">
        <f t="shared" ref="BP375:BP384" si="62">IFERROR(1/J375*(Y375/H375),"0")</f>
        <v>0.16666666666666666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240</v>
      </c>
      <c r="Y379" s="664">
        <f t="shared" si="58"/>
        <v>240</v>
      </c>
      <c r="Z379" s="36">
        <f>IFERROR(IF(Y379=0,"",ROUNDUP(Y379/H379,0)*0.02175),"")</f>
        <v>0.34799999999999998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247.68</v>
      </c>
      <c r="BN379" s="64">
        <f t="shared" si="60"/>
        <v>247.68</v>
      </c>
      <c r="BO379" s="64">
        <f t="shared" si="61"/>
        <v>0.33333333333333331</v>
      </c>
      <c r="BP379" s="64">
        <f t="shared" si="62"/>
        <v>0.33333333333333331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0.52200000000000002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360</v>
      </c>
      <c r="Y386" s="665">
        <f>IFERROR(SUM(Y375:Y384),"0")</f>
        <v>360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360</v>
      </c>
      <c r="Y388" s="664">
        <f>IFERROR(IF(X388="",0,CEILING((X388/$H388),1)*$H388),"")</f>
        <v>360</v>
      </c>
      <c r="Z388" s="36">
        <f>IFERROR(IF(Y388=0,"",ROUNDUP(Y388/H388,0)*0.02175),"")</f>
        <v>0.52200000000000002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371.52000000000004</v>
      </c>
      <c r="BN388" s="64">
        <f>IFERROR(Y388*I388/H388,"0")</f>
        <v>371.52000000000004</v>
      </c>
      <c r="BO388" s="64">
        <f>IFERROR(1/J388*(X388/H388),"0")</f>
        <v>0.5</v>
      </c>
      <c r="BP388" s="64">
        <f>IFERROR(1/J388*(Y388/H388),"0")</f>
        <v>0.5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24</v>
      </c>
      <c r="Y390" s="665">
        <f>IFERROR(Y388/H388,"0")+IFERROR(Y389/H389,"0")</f>
        <v>24</v>
      </c>
      <c r="Z390" s="665">
        <f>IFERROR(IF(Z388="",0,Z388),"0")+IFERROR(IF(Z389="",0,Z389),"0")</f>
        <v>0.52200000000000002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360</v>
      </c>
      <c r="Y391" s="665">
        <f>IFERROR(SUM(Y388:Y389),"0")</f>
        <v>360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259.2</v>
      </c>
      <c r="Y405" s="664">
        <f>IFERROR(IF(X405="",0,CEILING((X405/$H405),1)*$H405),"")</f>
        <v>259.20000000000005</v>
      </c>
      <c r="Z405" s="36">
        <f>IFERROR(IF(Y405=0,"",ROUNDUP(Y405/H405,0)*0.01898),"")</f>
        <v>0.45552000000000004</v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269.63999999999993</v>
      </c>
      <c r="BN405" s="64">
        <f>IFERROR(Y405*I405/H405,"0")</f>
        <v>269.64000000000004</v>
      </c>
      <c r="BO405" s="64">
        <f>IFERROR(1/J405*(X405/H405),"0")</f>
        <v>0.37499999999999994</v>
      </c>
      <c r="BP405" s="64">
        <f>IFERROR(1/J405*(Y405/H405),"0")</f>
        <v>0.37500000000000006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23.999999999999996</v>
      </c>
      <c r="Y408" s="665">
        <f>IFERROR(Y403/H403,"0")+IFERROR(Y404/H404,"0")+IFERROR(Y405/H405,"0")+IFERROR(Y406/H406,"0")+IFERROR(Y407/H407,"0")</f>
        <v>24.000000000000004</v>
      </c>
      <c r="Z408" s="665">
        <f>IFERROR(IF(Z403="",0,Z403),"0")+IFERROR(IF(Z404="",0,Z404),"0")+IFERROR(IF(Z405="",0,Z405),"0")+IFERROR(IF(Z406="",0,Z406),"0")+IFERROR(IF(Z407="",0,Z407),"0")</f>
        <v>0.45552000000000004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259.2</v>
      </c>
      <c r="Y409" s="665">
        <f>IFERROR(SUM(Y403:Y407),"0")</f>
        <v>259.20000000000005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144</v>
      </c>
      <c r="Y416" s="664">
        <f>IFERROR(IF(X416="",0,CEILING((X416/$H416),1)*$H416),"")</f>
        <v>144</v>
      </c>
      <c r="Z416" s="36">
        <f>IFERROR(IF(Y416=0,"",ROUNDUP(Y416/H416,0)*0.01898),"")</f>
        <v>0.30368000000000001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152.304</v>
      </c>
      <c r="BN416" s="64">
        <f>IFERROR(Y416*I416/H416,"0")</f>
        <v>152.304</v>
      </c>
      <c r="BO416" s="64">
        <f>IFERROR(1/J416*(X416/H416),"0")</f>
        <v>0.25</v>
      </c>
      <c r="BP416" s="64">
        <f>IFERROR(1/J416*(Y416/H416),"0")</f>
        <v>0.25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33.6</v>
      </c>
      <c r="Y419" s="664">
        <f>IFERROR(IF(X419="",0,CEILING((X419/$H419),1)*$H419),"")</f>
        <v>33.6</v>
      </c>
      <c r="Z419" s="36">
        <f>IFERROR(IF(Y419=0,"",ROUNDUP(Y419/H419,0)*0.00651),"")</f>
        <v>9.1139999999999999E-2</v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37.296000000000006</v>
      </c>
      <c r="BN419" s="64">
        <f>IFERROR(Y419*I419/H419,"0")</f>
        <v>37.296000000000006</v>
      </c>
      <c r="BO419" s="64">
        <f>IFERROR(1/J419*(X419/H419),"0")</f>
        <v>7.6923076923076941E-2</v>
      </c>
      <c r="BP419" s="64">
        <f>IFERROR(1/J419*(Y419/H419),"0")</f>
        <v>7.6923076923076941E-2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30</v>
      </c>
      <c r="Y421" s="665">
        <f>IFERROR(Y416/H416,"0")+IFERROR(Y417/H417,"0")+IFERROR(Y418/H418,"0")+IFERROR(Y419/H419,"0")+IFERROR(Y420/H420,"0")</f>
        <v>30</v>
      </c>
      <c r="Z421" s="665">
        <f>IFERROR(IF(Z416="",0,Z416),"0")+IFERROR(IF(Z417="",0,Z417),"0")+IFERROR(IF(Z418="",0,Z418),"0")+IFERROR(IF(Z419="",0,Z419),"0")+IFERROR(IF(Z420="",0,Z420),"0")</f>
        <v>0.39482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177.6</v>
      </c>
      <c r="Y422" s="665">
        <f>IFERROR(SUM(Y416:Y420),"0")</f>
        <v>177.6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84.48</v>
      </c>
      <c r="Y482" s="664">
        <f t="shared" si="69"/>
        <v>84.48</v>
      </c>
      <c r="Z482" s="36">
        <f>IFERROR(IF(Y482=0,"",ROUNDUP(Y482/H482,0)*0.01196),"")</f>
        <v>0.19136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90.24</v>
      </c>
      <c r="BN482" s="64">
        <f t="shared" si="71"/>
        <v>90.24</v>
      </c>
      <c r="BO482" s="64">
        <f t="shared" si="72"/>
        <v>0.15384615384615385</v>
      </c>
      <c r="BP482" s="64">
        <f t="shared" si="73"/>
        <v>0.15384615384615385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84.48</v>
      </c>
      <c r="Y483" s="664">
        <f t="shared" si="69"/>
        <v>84.48</v>
      </c>
      <c r="Z483" s="36">
        <f>IFERROR(IF(Y483=0,"",ROUNDUP(Y483/H483,0)*0.01196),"")</f>
        <v>0.19136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90.24</v>
      </c>
      <c r="BN483" s="64">
        <f t="shared" si="71"/>
        <v>90.24</v>
      </c>
      <c r="BO483" s="64">
        <f t="shared" si="72"/>
        <v>0.15384615384615385</v>
      </c>
      <c r="BP483" s="64">
        <f t="shared" si="73"/>
        <v>0.15384615384615385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0.38272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168.96</v>
      </c>
      <c r="Y496" s="665">
        <f>IFERROR(SUM(Y480:Y494),"0")</f>
        <v>168.96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42.24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45.12</v>
      </c>
      <c r="BN505" s="64">
        <f t="shared" ref="BN505:BN516" si="76">IFERROR(Y505*I505/H505,"0")</f>
        <v>45.12</v>
      </c>
      <c r="BO505" s="64">
        <f t="shared" ref="BO505:BO516" si="77">IFERROR(1/J505*(X505/H505),"0")</f>
        <v>7.6923076923076927E-2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42.24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45.12</v>
      </c>
      <c r="BN506" s="64">
        <f t="shared" si="76"/>
        <v>45.12</v>
      </c>
      <c r="BO506" s="64">
        <f t="shared" si="77"/>
        <v>7.6923076923076927E-2</v>
      </c>
      <c r="BP506" s="64">
        <f t="shared" si="78"/>
        <v>7.6923076923076927E-2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42.24</v>
      </c>
      <c r="Y507" s="664">
        <f t="shared" si="74"/>
        <v>42.24</v>
      </c>
      <c r="Z507" s="36">
        <f>IFERROR(IF(Y507=0,"",ROUNDUP(Y507/H507,0)*0.01196),"")</f>
        <v>9.5680000000000001E-2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45.12</v>
      </c>
      <c r="BN507" s="64">
        <f t="shared" si="76"/>
        <v>45.12</v>
      </c>
      <c r="BO507" s="64">
        <f t="shared" si="77"/>
        <v>7.6923076923076927E-2</v>
      </c>
      <c r="BP507" s="64">
        <f t="shared" si="78"/>
        <v>7.6923076923076927E-2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0.28704000000000002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126.72</v>
      </c>
      <c r="Y518" s="665">
        <f>IFERROR(SUM(Y505:Y516),"0")</f>
        <v>126.72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2061.48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2061.48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2158.3559999999998</v>
      </c>
      <c r="Y592" s="665">
        <f>IFERROR(SUM(BN22:BN588),"0")</f>
        <v>2158.3560000000002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4</v>
      </c>
      <c r="Y593" s="38">
        <f>ROUNDUP(SUM(BP22:BP588),0)</f>
        <v>4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2258.3559999999998</v>
      </c>
      <c r="Y594" s="665">
        <f>GrossWeightTotalR+PalletQtyTotalR*25</f>
        <v>2258.3560000000002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244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244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3.8255800000000004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172.8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62.4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86.4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88.200000000000017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69.599999999999994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129.6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436.80000000000007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295.68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0,00"/>
        <filter val="126,72"/>
        <filter val="129,60"/>
        <filter val="144,00"/>
        <filter val="16,00"/>
        <filter val="168,96"/>
        <filter val="172,80"/>
        <filter val="177,60"/>
        <filter val="2 061,48"/>
        <filter val="2 158,36"/>
        <filter val="2 258,36"/>
        <filter val="24,00"/>
        <filter val="240,00"/>
        <filter val="244,00"/>
        <filter val="259,20"/>
        <filter val="30,00"/>
        <filter val="32,00"/>
        <filter val="33,60"/>
        <filter val="360,00"/>
        <filter val="37,80"/>
        <filter val="4"/>
        <filter val="42,24"/>
        <filter val="50,40"/>
        <filter val="62,40"/>
        <filter val="67,20"/>
        <filter val="69,60"/>
        <filter val="8,00"/>
        <filter val="84,48"/>
        <filter val="86,40"/>
        <filter val="88,2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