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A6A7C6-3176-4D20-AC53-A069879A14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Y552" i="1"/>
  <c r="X552" i="1"/>
  <c r="BP551" i="1"/>
  <c r="BO551" i="1"/>
  <c r="BN551" i="1"/>
  <c r="BM551" i="1"/>
  <c r="Z551" i="1"/>
  <c r="Y551" i="1"/>
  <c r="BP550" i="1"/>
  <c r="BO550" i="1"/>
  <c r="BN550" i="1"/>
  <c r="BM550" i="1"/>
  <c r="Z550" i="1"/>
  <c r="Y550" i="1"/>
  <c r="BP549" i="1"/>
  <c r="BO549" i="1"/>
  <c r="BN549" i="1"/>
  <c r="BM549" i="1"/>
  <c r="Z549" i="1"/>
  <c r="Y549" i="1"/>
  <c r="BP548" i="1"/>
  <c r="BO548" i="1"/>
  <c r="BN548" i="1"/>
  <c r="BM548" i="1"/>
  <c r="Z548" i="1"/>
  <c r="Y548" i="1"/>
  <c r="BP547" i="1"/>
  <c r="BO547" i="1"/>
  <c r="BN547" i="1"/>
  <c r="BM547" i="1"/>
  <c r="Z547" i="1"/>
  <c r="Z552" i="1" s="1"/>
  <c r="Y547" i="1"/>
  <c r="Y553" i="1" s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O538" i="1"/>
  <c r="BM538" i="1"/>
  <c r="Y538" i="1"/>
  <c r="X534" i="1"/>
  <c r="X533" i="1"/>
  <c r="BO532" i="1"/>
  <c r="BM532" i="1"/>
  <c r="Y532" i="1"/>
  <c r="Y534" i="1" s="1"/>
  <c r="X530" i="1"/>
  <c r="X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P521" i="1" s="1"/>
  <c r="BO520" i="1"/>
  <c r="BM520" i="1"/>
  <c r="Y520" i="1"/>
  <c r="BP520" i="1" s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P517" i="1" s="1"/>
  <c r="BO516" i="1"/>
  <c r="BM516" i="1"/>
  <c r="Y516" i="1"/>
  <c r="BP516" i="1" s="1"/>
  <c r="BO515" i="1"/>
  <c r="BM515" i="1"/>
  <c r="Y515" i="1"/>
  <c r="BP515" i="1" s="1"/>
  <c r="BO514" i="1"/>
  <c r="BM514" i="1"/>
  <c r="Y514" i="1"/>
  <c r="BP514" i="1" s="1"/>
  <c r="BO513" i="1"/>
  <c r="BM513" i="1"/>
  <c r="Y513" i="1"/>
  <c r="BP513" i="1" s="1"/>
  <c r="BO512" i="1"/>
  <c r="BM512" i="1"/>
  <c r="Y512" i="1"/>
  <c r="Y523" i="1" s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BO497" i="1"/>
  <c r="BM497" i="1"/>
  <c r="Y497" i="1"/>
  <c r="BP497" i="1" s="1"/>
  <c r="BO496" i="1"/>
  <c r="BM496" i="1"/>
  <c r="Y496" i="1"/>
  <c r="BP496" i="1" s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Y482" i="1" s="1"/>
  <c r="P480" i="1"/>
  <c r="X478" i="1"/>
  <c r="X477" i="1"/>
  <c r="BO476" i="1"/>
  <c r="BM476" i="1"/>
  <c r="Y476" i="1"/>
  <c r="AB606" i="1" s="1"/>
  <c r="P476" i="1"/>
  <c r="X473" i="1"/>
  <c r="X472" i="1"/>
  <c r="BO471" i="1"/>
  <c r="BM471" i="1"/>
  <c r="Y471" i="1"/>
  <c r="BP471" i="1" s="1"/>
  <c r="BO470" i="1"/>
  <c r="BM470" i="1"/>
  <c r="Y470" i="1"/>
  <c r="P470" i="1"/>
  <c r="X467" i="1"/>
  <c r="X466" i="1"/>
  <c r="BO465" i="1"/>
  <c r="BM465" i="1"/>
  <c r="Y465" i="1"/>
  <c r="BP465" i="1" s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BP383" i="1" s="1"/>
  <c r="P383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BP360" i="1" s="1"/>
  <c r="P360" i="1"/>
  <c r="BO359" i="1"/>
  <c r="BM359" i="1"/>
  <c r="Y359" i="1"/>
  <c r="P359" i="1"/>
  <c r="BO358" i="1"/>
  <c r="BM358" i="1"/>
  <c r="Y358" i="1"/>
  <c r="BP358" i="1" s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Y348" i="1" s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S606" i="1" s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Y246" i="1" s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Y230" i="1" s="1"/>
  <c r="P228" i="1"/>
  <c r="BP227" i="1"/>
  <c r="BO227" i="1"/>
  <c r="BN227" i="1"/>
  <c r="BM227" i="1"/>
  <c r="Z227" i="1"/>
  <c r="Y227" i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J606" i="1" s="1"/>
  <c r="P194" i="1"/>
  <c r="X191" i="1"/>
  <c r="X190" i="1"/>
  <c r="BO189" i="1"/>
  <c r="BM189" i="1"/>
  <c r="Y189" i="1"/>
  <c r="Y191" i="1" s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Y168" i="1" s="1"/>
  <c r="P167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P157" i="1"/>
  <c r="BO156" i="1"/>
  <c r="BM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Y152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6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P52" i="1"/>
  <c r="BO51" i="1"/>
  <c r="BM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66" i="1" l="1"/>
  <c r="BN66" i="1"/>
  <c r="Z66" i="1"/>
  <c r="BP93" i="1"/>
  <c r="BN93" i="1"/>
  <c r="Z93" i="1"/>
  <c r="BP136" i="1"/>
  <c r="BN136" i="1"/>
  <c r="Z136" i="1"/>
  <c r="BP199" i="1"/>
  <c r="BN199" i="1"/>
  <c r="Z199" i="1"/>
  <c r="BP221" i="1"/>
  <c r="BN221" i="1"/>
  <c r="Z221" i="1"/>
  <c r="BP264" i="1"/>
  <c r="BN264" i="1"/>
  <c r="Z264" i="1"/>
  <c r="BP337" i="1"/>
  <c r="BN337" i="1"/>
  <c r="Z337" i="1"/>
  <c r="BP365" i="1"/>
  <c r="BN365" i="1"/>
  <c r="Z365" i="1"/>
  <c r="BP396" i="1"/>
  <c r="BN396" i="1"/>
  <c r="Z396" i="1"/>
  <c r="BP402" i="1"/>
  <c r="BN402" i="1"/>
  <c r="Z402" i="1"/>
  <c r="BP426" i="1"/>
  <c r="BN426" i="1"/>
  <c r="Z426" i="1"/>
  <c r="BP489" i="1"/>
  <c r="BN489" i="1"/>
  <c r="Z489" i="1"/>
  <c r="BP499" i="1"/>
  <c r="BN499" i="1"/>
  <c r="Z499" i="1"/>
  <c r="B606" i="1"/>
  <c r="X598" i="1"/>
  <c r="BP52" i="1"/>
  <c r="BN52" i="1"/>
  <c r="Z52" i="1"/>
  <c r="BP80" i="1"/>
  <c r="BN80" i="1"/>
  <c r="Z80" i="1"/>
  <c r="BP108" i="1"/>
  <c r="BN108" i="1"/>
  <c r="Z108" i="1"/>
  <c r="BP157" i="1"/>
  <c r="BN157" i="1"/>
  <c r="Z157" i="1"/>
  <c r="BP211" i="1"/>
  <c r="BN211" i="1"/>
  <c r="Z211" i="1"/>
  <c r="BP236" i="1"/>
  <c r="BN236" i="1"/>
  <c r="Z236" i="1"/>
  <c r="BP317" i="1"/>
  <c r="BN317" i="1"/>
  <c r="Z317" i="1"/>
  <c r="BP347" i="1"/>
  <c r="BN347" i="1"/>
  <c r="Z347" i="1"/>
  <c r="BP386" i="1"/>
  <c r="BN386" i="1"/>
  <c r="Z386" i="1"/>
  <c r="Y404" i="1"/>
  <c r="Y403" i="1"/>
  <c r="BP401" i="1"/>
  <c r="BN401" i="1"/>
  <c r="Z401" i="1"/>
  <c r="BP451" i="1"/>
  <c r="BN451" i="1"/>
  <c r="Z451" i="1"/>
  <c r="BP494" i="1"/>
  <c r="BN494" i="1"/>
  <c r="Z494" i="1"/>
  <c r="BP528" i="1"/>
  <c r="BN528" i="1"/>
  <c r="Z528" i="1"/>
  <c r="X596" i="1"/>
  <c r="Y77" i="1"/>
  <c r="Y180" i="1"/>
  <c r="Y202" i="1"/>
  <c r="Y212" i="1"/>
  <c r="V606" i="1"/>
  <c r="X597" i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Z60" i="1"/>
  <c r="BN60" i="1"/>
  <c r="Z72" i="1"/>
  <c r="BN72" i="1"/>
  <c r="Z76" i="1"/>
  <c r="BN76" i="1"/>
  <c r="Z82" i="1"/>
  <c r="BN82" i="1"/>
  <c r="Z89" i="1"/>
  <c r="BN89" i="1"/>
  <c r="Y103" i="1"/>
  <c r="Z99" i="1"/>
  <c r="BN99" i="1"/>
  <c r="Z106" i="1"/>
  <c r="BN106" i="1"/>
  <c r="Y111" i="1"/>
  <c r="Z114" i="1"/>
  <c r="BN114" i="1"/>
  <c r="Z129" i="1"/>
  <c r="BN129" i="1"/>
  <c r="BP129" i="1"/>
  <c r="Y132" i="1"/>
  <c r="G606" i="1"/>
  <c r="Z140" i="1"/>
  <c r="BN140" i="1"/>
  <c r="BP140" i="1"/>
  <c r="Y143" i="1"/>
  <c r="Z151" i="1"/>
  <c r="Z152" i="1" s="1"/>
  <c r="BN151" i="1"/>
  <c r="BP151" i="1"/>
  <c r="Z155" i="1"/>
  <c r="BN155" i="1"/>
  <c r="BP155" i="1"/>
  <c r="Y158" i="1"/>
  <c r="Z161" i="1"/>
  <c r="Z162" i="1" s="1"/>
  <c r="BN161" i="1"/>
  <c r="BP161" i="1"/>
  <c r="Y162" i="1"/>
  <c r="Z167" i="1"/>
  <c r="Z168" i="1" s="1"/>
  <c r="BN167" i="1"/>
  <c r="BP167" i="1"/>
  <c r="Z171" i="1"/>
  <c r="BN171" i="1"/>
  <c r="BP171" i="1"/>
  <c r="Y181" i="1"/>
  <c r="Z175" i="1"/>
  <c r="BN175" i="1"/>
  <c r="Z176" i="1"/>
  <c r="BN176" i="1"/>
  <c r="Z195" i="1"/>
  <c r="BN195" i="1"/>
  <c r="BP209" i="1"/>
  <c r="BN209" i="1"/>
  <c r="Z209" i="1"/>
  <c r="BP219" i="1"/>
  <c r="BN219" i="1"/>
  <c r="Z219" i="1"/>
  <c r="K606" i="1"/>
  <c r="BP234" i="1"/>
  <c r="BN234" i="1"/>
  <c r="Z234" i="1"/>
  <c r="Y259" i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288" i="1"/>
  <c r="BN288" i="1"/>
  <c r="Z288" i="1"/>
  <c r="BP331" i="1"/>
  <c r="BN331" i="1"/>
  <c r="Z331" i="1"/>
  <c r="BP345" i="1"/>
  <c r="BN345" i="1"/>
  <c r="Z345" i="1"/>
  <c r="BP359" i="1"/>
  <c r="BN359" i="1"/>
  <c r="Z359" i="1"/>
  <c r="BP205" i="1"/>
  <c r="BN205" i="1"/>
  <c r="Z205" i="1"/>
  <c r="Y225" i="1"/>
  <c r="BP215" i="1"/>
  <c r="BN215" i="1"/>
  <c r="Z215" i="1"/>
  <c r="BP223" i="1"/>
  <c r="BN223" i="1"/>
  <c r="Z223" i="1"/>
  <c r="BP238" i="1"/>
  <c r="BN238" i="1"/>
  <c r="Z238" i="1"/>
  <c r="BP254" i="1"/>
  <c r="BN254" i="1"/>
  <c r="Z254" i="1"/>
  <c r="BP256" i="1"/>
  <c r="BN256" i="1"/>
  <c r="Z256" i="1"/>
  <c r="BP266" i="1"/>
  <c r="BN266" i="1"/>
  <c r="Z266" i="1"/>
  <c r="T606" i="1"/>
  <c r="Y323" i="1"/>
  <c r="BP322" i="1"/>
  <c r="BN322" i="1"/>
  <c r="Z322" i="1"/>
  <c r="Z323" i="1" s="1"/>
  <c r="BP327" i="1"/>
  <c r="BN327" i="1"/>
  <c r="Z327" i="1"/>
  <c r="BP339" i="1"/>
  <c r="BN339" i="1"/>
  <c r="Z339" i="1"/>
  <c r="Y355" i="1"/>
  <c r="BP351" i="1"/>
  <c r="BN351" i="1"/>
  <c r="Z351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0" i="1"/>
  <c r="BN440" i="1"/>
  <c r="Z440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38" i="1"/>
  <c r="BN538" i="1"/>
  <c r="Z538" i="1"/>
  <c r="BP567" i="1"/>
  <c r="BN567" i="1"/>
  <c r="Z567" i="1"/>
  <c r="BP569" i="1"/>
  <c r="BN569" i="1"/>
  <c r="Z569" i="1"/>
  <c r="Y201" i="1"/>
  <c r="Y229" i="1"/>
  <c r="Y269" i="1"/>
  <c r="O606" i="1"/>
  <c r="P606" i="1"/>
  <c r="Y334" i="1"/>
  <c r="Y340" i="1"/>
  <c r="Y349" i="1"/>
  <c r="Y354" i="1"/>
  <c r="Y362" i="1"/>
  <c r="Y368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AC606" i="1"/>
  <c r="BP487" i="1"/>
  <c r="BN487" i="1"/>
  <c r="Z487" i="1"/>
  <c r="BP492" i="1"/>
  <c r="BN492" i="1"/>
  <c r="Z492" i="1"/>
  <c r="Y529" i="1"/>
  <c r="BP526" i="1"/>
  <c r="BN526" i="1"/>
  <c r="Z526" i="1"/>
  <c r="BP539" i="1"/>
  <c r="BN539" i="1"/>
  <c r="Z539" i="1"/>
  <c r="BP566" i="1"/>
  <c r="BN566" i="1"/>
  <c r="Z566" i="1"/>
  <c r="BP568" i="1"/>
  <c r="BN568" i="1"/>
  <c r="Z568" i="1"/>
  <c r="Y582" i="1"/>
  <c r="BP581" i="1"/>
  <c r="BN581" i="1"/>
  <c r="Z581" i="1"/>
  <c r="Z582" i="1" s="1"/>
  <c r="Y591" i="1"/>
  <c r="Y590" i="1"/>
  <c r="BP589" i="1"/>
  <c r="BN589" i="1"/>
  <c r="Z589" i="1"/>
  <c r="Z590" i="1" s="1"/>
  <c r="Y379" i="1"/>
  <c r="AA606" i="1"/>
  <c r="Y571" i="1"/>
  <c r="Z565" i="1"/>
  <c r="BN565" i="1"/>
  <c r="BP565" i="1"/>
  <c r="Y570" i="1"/>
  <c r="Y224" i="1"/>
  <c r="Z123" i="1"/>
  <c r="BN123" i="1"/>
  <c r="Y102" i="1"/>
  <c r="X599" i="1"/>
  <c r="F9" i="1"/>
  <c r="J9" i="1"/>
  <c r="F10" i="1"/>
  <c r="Z22" i="1"/>
  <c r="BN22" i="1"/>
  <c r="BP22" i="1"/>
  <c r="Z26" i="1"/>
  <c r="BN26" i="1"/>
  <c r="X600" i="1"/>
  <c r="Y29" i="1"/>
  <c r="C606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53" i="1"/>
  <c r="BN53" i="1"/>
  <c r="Z53" i="1"/>
  <c r="Y62" i="1"/>
  <c r="BP61" i="1"/>
  <c r="BN61" i="1"/>
  <c r="Z61" i="1"/>
  <c r="Y68" i="1"/>
  <c r="BP65" i="1"/>
  <c r="BN65" i="1"/>
  <c r="Z65" i="1"/>
  <c r="BP73" i="1"/>
  <c r="BN73" i="1"/>
  <c r="Z73" i="1"/>
  <c r="Y83" i="1"/>
  <c r="BP81" i="1"/>
  <c r="BN81" i="1"/>
  <c r="Z81" i="1"/>
  <c r="Z83" i="1" s="1"/>
  <c r="H9" i="1"/>
  <c r="Y28" i="1"/>
  <c r="D606" i="1"/>
  <c r="Y56" i="1"/>
  <c r="BP51" i="1"/>
  <c r="BN51" i="1"/>
  <c r="Z51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BP75" i="1"/>
  <c r="BN75" i="1"/>
  <c r="Z75" i="1"/>
  <c r="Y84" i="1"/>
  <c r="E606" i="1"/>
  <c r="Z88" i="1"/>
  <c r="Z90" i="1" s="1"/>
  <c r="BN88" i="1"/>
  <c r="BP88" i="1"/>
  <c r="Y91" i="1"/>
  <c r="Z94" i="1"/>
  <c r="BN94" i="1"/>
  <c r="BP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19" i="1"/>
  <c r="BN119" i="1"/>
  <c r="BP119" i="1"/>
  <c r="Z124" i="1"/>
  <c r="BN124" i="1"/>
  <c r="Y127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Z156" i="1"/>
  <c r="Z158" i="1" s="1"/>
  <c r="BN156" i="1"/>
  <c r="BP156" i="1"/>
  <c r="I606" i="1"/>
  <c r="Y169" i="1"/>
  <c r="Z172" i="1"/>
  <c r="BN172" i="1"/>
  <c r="BP172" i="1"/>
  <c r="Z174" i="1"/>
  <c r="BN174" i="1"/>
  <c r="Z177" i="1"/>
  <c r="BN177" i="1"/>
  <c r="Z179" i="1"/>
  <c r="BN179" i="1"/>
  <c r="Z189" i="1"/>
  <c r="Z190" i="1" s="1"/>
  <c r="BN189" i="1"/>
  <c r="BP189" i="1"/>
  <c r="Y190" i="1"/>
  <c r="Z194" i="1"/>
  <c r="BN194" i="1"/>
  <c r="BP194" i="1"/>
  <c r="Y197" i="1"/>
  <c r="Z200" i="1"/>
  <c r="BN200" i="1"/>
  <c r="BP200" i="1"/>
  <c r="Z204" i="1"/>
  <c r="BN204" i="1"/>
  <c r="BP204" i="1"/>
  <c r="Z206" i="1"/>
  <c r="BN206" i="1"/>
  <c r="Z208" i="1"/>
  <c r="BN208" i="1"/>
  <c r="Z210" i="1"/>
  <c r="BN210" i="1"/>
  <c r="Y213" i="1"/>
  <c r="Z216" i="1"/>
  <c r="BN216" i="1"/>
  <c r="BP216" i="1"/>
  <c r="Z218" i="1"/>
  <c r="BN218" i="1"/>
  <c r="Z220" i="1"/>
  <c r="BN220" i="1"/>
  <c r="Z222" i="1"/>
  <c r="BN222" i="1"/>
  <c r="Z228" i="1"/>
  <c r="Z229" i="1" s="1"/>
  <c r="BN228" i="1"/>
  <c r="BP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Y247" i="1"/>
  <c r="Z249" i="1"/>
  <c r="Z250" i="1" s="1"/>
  <c r="BN249" i="1"/>
  <c r="BP249" i="1"/>
  <c r="Y250" i="1"/>
  <c r="L606" i="1"/>
  <c r="Z263" i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BN307" i="1"/>
  <c r="BP307" i="1"/>
  <c r="Y308" i="1"/>
  <c r="Z312" i="1"/>
  <c r="Z313" i="1" s="1"/>
  <c r="BN312" i="1"/>
  <c r="BP312" i="1"/>
  <c r="Y313" i="1"/>
  <c r="Z316" i="1"/>
  <c r="BN316" i="1"/>
  <c r="BP316" i="1"/>
  <c r="Y319" i="1"/>
  <c r="Y324" i="1"/>
  <c r="U606" i="1"/>
  <c r="Z328" i="1"/>
  <c r="BN328" i="1"/>
  <c r="BP328" i="1"/>
  <c r="Z330" i="1"/>
  <c r="BN330" i="1"/>
  <c r="Z332" i="1"/>
  <c r="BN332" i="1"/>
  <c r="Y333" i="1"/>
  <c r="Z336" i="1"/>
  <c r="BN336" i="1"/>
  <c r="BP336" i="1"/>
  <c r="Z338" i="1"/>
  <c r="BN338" i="1"/>
  <c r="Y341" i="1"/>
  <c r="Z344" i="1"/>
  <c r="BN344" i="1"/>
  <c r="BP344" i="1"/>
  <c r="Z346" i="1"/>
  <c r="BN346" i="1"/>
  <c r="Z352" i="1"/>
  <c r="Z354" i="1" s="1"/>
  <c r="BN352" i="1"/>
  <c r="BP352" i="1"/>
  <c r="Z357" i="1"/>
  <c r="BN357" i="1"/>
  <c r="BP357" i="1"/>
  <c r="Z358" i="1"/>
  <c r="BN358" i="1"/>
  <c r="Z360" i="1"/>
  <c r="BN360" i="1"/>
  <c r="Y361" i="1"/>
  <c r="Z364" i="1"/>
  <c r="BN364" i="1"/>
  <c r="BP364" i="1"/>
  <c r="Z366" i="1"/>
  <c r="BN366" i="1"/>
  <c r="Y367" i="1"/>
  <c r="Z371" i="1"/>
  <c r="Z372" i="1" s="1"/>
  <c r="BN371" i="1"/>
  <c r="BP371" i="1"/>
  <c r="Y372" i="1"/>
  <c r="Z375" i="1"/>
  <c r="BN375" i="1"/>
  <c r="BP375" i="1"/>
  <c r="Z377" i="1"/>
  <c r="BN377" i="1"/>
  <c r="Y378" i="1"/>
  <c r="Z383" i="1"/>
  <c r="BN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7" i="1"/>
  <c r="Y466" i="1"/>
  <c r="BP462" i="1"/>
  <c r="BN462" i="1"/>
  <c r="Z462" i="1"/>
  <c r="Y137" i="1"/>
  <c r="Y196" i="1"/>
  <c r="Y241" i="1"/>
  <c r="Y274" i="1"/>
  <c r="Y282" i="1"/>
  <c r="Y291" i="1"/>
  <c r="Y296" i="1"/>
  <c r="Y309" i="1"/>
  <c r="Y314" i="1"/>
  <c r="Y373" i="1"/>
  <c r="W606" i="1"/>
  <c r="Y394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Y454" i="1"/>
  <c r="Z606" i="1"/>
  <c r="Y460" i="1"/>
  <c r="BP457" i="1"/>
  <c r="BN457" i="1"/>
  <c r="Z457" i="1"/>
  <c r="Y606" i="1"/>
  <c r="Y449" i="1"/>
  <c r="Z465" i="1"/>
  <c r="BN465" i="1"/>
  <c r="Z470" i="1"/>
  <c r="BN470" i="1"/>
  <c r="BP470" i="1"/>
  <c r="Z471" i="1"/>
  <c r="BN471" i="1"/>
  <c r="Y472" i="1"/>
  <c r="Z476" i="1"/>
  <c r="Z477" i="1" s="1"/>
  <c r="BN476" i="1"/>
  <c r="BP476" i="1"/>
  <c r="Y477" i="1"/>
  <c r="Z480" i="1"/>
  <c r="Z481" i="1" s="1"/>
  <c r="BN480" i="1"/>
  <c r="BP480" i="1"/>
  <c r="Y481" i="1"/>
  <c r="Z486" i="1"/>
  <c r="BN486" i="1"/>
  <c r="BP486" i="1"/>
  <c r="Z488" i="1"/>
  <c r="BN488" i="1"/>
  <c r="Z490" i="1"/>
  <c r="BN490" i="1"/>
  <c r="Z493" i="1"/>
  <c r="BN493" i="1"/>
  <c r="Z495" i="1"/>
  <c r="BN495" i="1"/>
  <c r="Z496" i="1"/>
  <c r="BN496" i="1"/>
  <c r="Z497" i="1"/>
  <c r="BN497" i="1"/>
  <c r="Z498" i="1"/>
  <c r="BN498" i="1"/>
  <c r="Z500" i="1"/>
  <c r="BN500" i="1"/>
  <c r="Y503" i="1"/>
  <c r="Z512" i="1"/>
  <c r="BN512" i="1"/>
  <c r="BP512" i="1"/>
  <c r="Z513" i="1"/>
  <c r="BN513" i="1"/>
  <c r="Z514" i="1"/>
  <c r="BN514" i="1"/>
  <c r="Z515" i="1"/>
  <c r="BN515" i="1"/>
  <c r="Z516" i="1"/>
  <c r="BN516" i="1"/>
  <c r="Z517" i="1"/>
  <c r="BN517" i="1"/>
  <c r="Z520" i="1"/>
  <c r="BN520" i="1"/>
  <c r="Z521" i="1"/>
  <c r="BN521" i="1"/>
  <c r="Y524" i="1"/>
  <c r="Z527" i="1"/>
  <c r="Z529" i="1" s="1"/>
  <c r="BN527" i="1"/>
  <c r="Y530" i="1"/>
  <c r="Z532" i="1"/>
  <c r="Z533" i="1" s="1"/>
  <c r="BN532" i="1"/>
  <c r="BP532" i="1"/>
  <c r="Y533" i="1"/>
  <c r="AD606" i="1"/>
  <c r="Y544" i="1"/>
  <c r="BP541" i="1"/>
  <c r="BN541" i="1"/>
  <c r="Z541" i="1"/>
  <c r="BP543" i="1"/>
  <c r="BN543" i="1"/>
  <c r="Z543" i="1"/>
  <c r="Y545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63" i="1"/>
  <c r="Y577" i="1"/>
  <c r="BP573" i="1"/>
  <c r="BN573" i="1"/>
  <c r="Z573" i="1"/>
  <c r="BP575" i="1"/>
  <c r="BN575" i="1"/>
  <c r="Z575" i="1"/>
  <c r="AE606" i="1"/>
  <c r="Y473" i="1"/>
  <c r="Y478" i="1"/>
  <c r="Y502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78" i="1"/>
  <c r="Y586" i="1"/>
  <c r="BP585" i="1"/>
  <c r="BN585" i="1"/>
  <c r="Z585" i="1"/>
  <c r="Z586" i="1" s="1"/>
  <c r="Y587" i="1"/>
  <c r="Y583" i="1"/>
  <c r="Z593" i="1"/>
  <c r="Z594" i="1" s="1"/>
  <c r="BN593" i="1"/>
  <c r="BP593" i="1"/>
  <c r="Y594" i="1"/>
  <c r="Z544" i="1" l="1"/>
  <c r="Z459" i="1"/>
  <c r="Z453" i="1"/>
  <c r="Z448" i="1"/>
  <c r="Z427" i="1"/>
  <c r="Z378" i="1"/>
  <c r="Z367" i="1"/>
  <c r="Z361" i="1"/>
  <c r="Z348" i="1"/>
  <c r="Z340" i="1"/>
  <c r="Z333" i="1"/>
  <c r="Z318" i="1"/>
  <c r="Z290" i="1"/>
  <c r="Z281" i="1"/>
  <c r="Z268" i="1"/>
  <c r="Z201" i="1"/>
  <c r="Z196" i="1"/>
  <c r="Z116" i="1"/>
  <c r="Z110" i="1"/>
  <c r="Z102" i="1"/>
  <c r="Z77" i="1"/>
  <c r="Z41" i="1"/>
  <c r="Z570" i="1"/>
  <c r="Z403" i="1"/>
  <c r="Z416" i="1"/>
  <c r="Z224" i="1"/>
  <c r="Z180" i="1"/>
  <c r="Z258" i="1"/>
  <c r="Z126" i="1"/>
  <c r="Z577" i="1"/>
  <c r="Z562" i="1"/>
  <c r="Z241" i="1"/>
  <c r="Z212" i="1"/>
  <c r="Y600" i="1"/>
  <c r="Z68" i="1"/>
  <c r="Z55" i="1"/>
  <c r="Y596" i="1"/>
  <c r="Y598" i="1"/>
  <c r="Z28" i="1"/>
  <c r="Z523" i="1"/>
  <c r="Z502" i="1"/>
  <c r="Z472" i="1"/>
  <c r="Z466" i="1"/>
  <c r="Z393" i="1"/>
  <c r="Y597" i="1"/>
  <c r="Y599" i="1" l="1"/>
  <c r="Z601" i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<sst xmlns="http://schemas.openxmlformats.org/spreadsheetml/2006/main" count="2761" uniqueCount="999">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</sst>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8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topLeftCell="A419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961" t="s">
        <v>0</v>
      </c>
      <c r="E1" s="717"/>
      <c r="F1" s="717"/>
      <c r="G1" s="12" t="s">
        <v>1</v>
      </c>
      <c r="H1" s="961" t="s">
        <v>2</v>
      </c>
      <c r="I1" s="717"/>
      <c r="J1" s="717"/>
      <c r="K1" s="717"/>
      <c r="L1" s="717"/>
      <c r="M1" s="717"/>
      <c r="N1" s="717"/>
      <c r="O1" s="717"/>
      <c r="P1" s="717"/>
      <c r="Q1" s="717"/>
      <c r="R1" s="1045" t="s">
        <v>3</v>
      </c>
      <c r="S1" s="717"/>
      <c r="T1" s="71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6"/>
      <c r="R2" s="686"/>
      <c r="S2" s="686"/>
      <c r="T2" s="686"/>
      <c r="U2" s="686"/>
      <c r="V2" s="686"/>
      <c r="W2" s="686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6"/>
      <c r="Q3" s="686"/>
      <c r="R3" s="686"/>
      <c r="S3" s="686"/>
      <c r="T3" s="686"/>
      <c r="U3" s="686"/>
      <c r="V3" s="686"/>
      <c r="W3" s="686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926" t="s">
        <v>8</v>
      </c>
      <c r="B5" s="739"/>
      <c r="C5" s="692"/>
      <c r="D5" s="808"/>
      <c r="E5" s="810"/>
      <c r="F5" s="754" t="s">
        <v>9</v>
      </c>
      <c r="G5" s="692"/>
      <c r="H5" s="808" t="s">
        <v>998</v>
      </c>
      <c r="I5" s="809"/>
      <c r="J5" s="809"/>
      <c r="K5" s="809"/>
      <c r="L5" s="809"/>
      <c r="M5" s="810"/>
      <c r="N5" s="58"/>
      <c r="P5" s="24" t="s">
        <v>10</v>
      </c>
      <c r="Q5" s="772">
        <v>45779</v>
      </c>
      <c r="R5" s="773"/>
      <c r="T5" s="891" t="s">
        <v>11</v>
      </c>
      <c r="U5" s="687"/>
      <c r="V5" s="893" t="s">
        <v>12</v>
      </c>
      <c r="W5" s="773"/>
      <c r="AB5" s="51"/>
      <c r="AC5" s="51"/>
      <c r="AD5" s="51"/>
      <c r="AE5" s="51"/>
    </row>
    <row r="6" spans="1:32" s="661" customFormat="1" ht="24" customHeight="1" x14ac:dyDescent="0.2">
      <c r="A6" s="926" t="s">
        <v>13</v>
      </c>
      <c r="B6" s="739"/>
      <c r="C6" s="692"/>
      <c r="D6" s="815" t="s">
        <v>975</v>
      </c>
      <c r="E6" s="816"/>
      <c r="F6" s="816"/>
      <c r="G6" s="816"/>
      <c r="H6" s="816"/>
      <c r="I6" s="816"/>
      <c r="J6" s="816"/>
      <c r="K6" s="816"/>
      <c r="L6" s="816"/>
      <c r="M6" s="773"/>
      <c r="N6" s="59"/>
      <c r="P6" s="24" t="s">
        <v>15</v>
      </c>
      <c r="Q6" s="712" t="str">
        <f>IF(Q5=0," ",CHOOSE(WEEKDAY(Q5,2),"Понедельник","Вторник","Среда","Четверг","Пятница","Суббота","Воскресенье"))</f>
        <v>Пятница</v>
      </c>
      <c r="R6" s="679"/>
      <c r="T6" s="920" t="s">
        <v>16</v>
      </c>
      <c r="U6" s="687"/>
      <c r="V6" s="824" t="s">
        <v>17</v>
      </c>
      <c r="W6" s="825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997" t="str">
        <f>IFERROR(VLOOKUP(DeliveryAddress,Table,3,0),1)</f>
        <v>5</v>
      </c>
      <c r="E7" s="998"/>
      <c r="F7" s="998"/>
      <c r="G7" s="998"/>
      <c r="H7" s="998"/>
      <c r="I7" s="998"/>
      <c r="J7" s="998"/>
      <c r="K7" s="998"/>
      <c r="L7" s="998"/>
      <c r="M7" s="896"/>
      <c r="N7" s="60"/>
      <c r="P7" s="24"/>
      <c r="Q7" s="42"/>
      <c r="R7" s="42"/>
      <c r="T7" s="686"/>
      <c r="U7" s="687"/>
      <c r="V7" s="826"/>
      <c r="W7" s="827"/>
      <c r="AB7" s="51"/>
      <c r="AC7" s="51"/>
      <c r="AD7" s="51"/>
      <c r="AE7" s="51"/>
    </row>
    <row r="8" spans="1:32" s="661" customFormat="1" ht="25.5" customHeight="1" x14ac:dyDescent="0.2">
      <c r="A8" s="700" t="s">
        <v>18</v>
      </c>
      <c r="B8" s="696"/>
      <c r="C8" s="697"/>
      <c r="D8" s="988"/>
      <c r="E8" s="989"/>
      <c r="F8" s="989"/>
      <c r="G8" s="989"/>
      <c r="H8" s="989"/>
      <c r="I8" s="989"/>
      <c r="J8" s="989"/>
      <c r="K8" s="989"/>
      <c r="L8" s="989"/>
      <c r="M8" s="990"/>
      <c r="N8" s="61"/>
      <c r="P8" s="24" t="s">
        <v>19</v>
      </c>
      <c r="Q8" s="895">
        <v>0.5</v>
      </c>
      <c r="R8" s="896"/>
      <c r="T8" s="686"/>
      <c r="U8" s="687"/>
      <c r="V8" s="826"/>
      <c r="W8" s="827"/>
      <c r="AB8" s="51"/>
      <c r="AC8" s="51"/>
      <c r="AD8" s="51"/>
      <c r="AE8" s="51"/>
    </row>
    <row r="9" spans="1:32" s="661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6"/>
      <c r="C9" s="686"/>
      <c r="D9" s="768"/>
      <c r="E9" s="769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69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9"/>
      <c r="L9" s="769"/>
      <c r="M9" s="769"/>
      <c r="N9" s="659"/>
      <c r="P9" s="26" t="s">
        <v>20</v>
      </c>
      <c r="Q9" s="948"/>
      <c r="R9" s="759"/>
      <c r="T9" s="686"/>
      <c r="U9" s="687"/>
      <c r="V9" s="828"/>
      <c r="W9" s="829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6"/>
      <c r="C10" s="686"/>
      <c r="D10" s="768"/>
      <c r="E10" s="769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6"/>
      <c r="H10" s="842" t="str">
        <f>IFERROR(VLOOKUP($D$10,Proxy,2,FALSE),"")</f>
        <v/>
      </c>
      <c r="I10" s="686"/>
      <c r="J10" s="686"/>
      <c r="K10" s="686"/>
      <c r="L10" s="686"/>
      <c r="M10" s="686"/>
      <c r="N10" s="660"/>
      <c r="P10" s="26" t="s">
        <v>21</v>
      </c>
      <c r="Q10" s="921"/>
      <c r="R10" s="922"/>
      <c r="U10" s="24" t="s">
        <v>22</v>
      </c>
      <c r="V10" s="1035" t="s">
        <v>23</v>
      </c>
      <c r="W10" s="825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43"/>
      <c r="R11" s="773"/>
      <c r="U11" s="24" t="s">
        <v>26</v>
      </c>
      <c r="V11" s="758" t="s">
        <v>27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794" t="s">
        <v>28</v>
      </c>
      <c r="B12" s="739"/>
      <c r="C12" s="739"/>
      <c r="D12" s="739"/>
      <c r="E12" s="739"/>
      <c r="F12" s="739"/>
      <c r="G12" s="739"/>
      <c r="H12" s="739"/>
      <c r="I12" s="739"/>
      <c r="J12" s="739"/>
      <c r="K12" s="739"/>
      <c r="L12" s="739"/>
      <c r="M12" s="692"/>
      <c r="N12" s="62"/>
      <c r="P12" s="24" t="s">
        <v>29</v>
      </c>
      <c r="Q12" s="895"/>
      <c r="R12" s="896"/>
      <c r="S12" s="23"/>
      <c r="U12" s="24"/>
      <c r="V12" s="717"/>
      <c r="W12" s="686"/>
      <c r="AB12" s="51"/>
      <c r="AC12" s="51"/>
      <c r="AD12" s="51"/>
      <c r="AE12" s="51"/>
    </row>
    <row r="13" spans="1:32" s="661" customFormat="1" ht="23.25" customHeight="1" x14ac:dyDescent="0.2">
      <c r="A13" s="794" t="s">
        <v>30</v>
      </c>
      <c r="B13" s="739"/>
      <c r="C13" s="739"/>
      <c r="D13" s="739"/>
      <c r="E13" s="739"/>
      <c r="F13" s="739"/>
      <c r="G13" s="739"/>
      <c r="H13" s="739"/>
      <c r="I13" s="739"/>
      <c r="J13" s="739"/>
      <c r="K13" s="739"/>
      <c r="L13" s="739"/>
      <c r="M13" s="692"/>
      <c r="N13" s="62"/>
      <c r="O13" s="26"/>
      <c r="P13" s="26" t="s">
        <v>31</v>
      </c>
      <c r="Q13" s="758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794" t="s">
        <v>32</v>
      </c>
      <c r="B14" s="739"/>
      <c r="C14" s="739"/>
      <c r="D14" s="739"/>
      <c r="E14" s="739"/>
      <c r="F14" s="739"/>
      <c r="G14" s="739"/>
      <c r="H14" s="739"/>
      <c r="I14" s="739"/>
      <c r="J14" s="739"/>
      <c r="K14" s="739"/>
      <c r="L14" s="739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796" t="s">
        <v>33</v>
      </c>
      <c r="B15" s="739"/>
      <c r="C15" s="739"/>
      <c r="D15" s="739"/>
      <c r="E15" s="739"/>
      <c r="F15" s="739"/>
      <c r="G15" s="739"/>
      <c r="H15" s="739"/>
      <c r="I15" s="739"/>
      <c r="J15" s="739"/>
      <c r="K15" s="739"/>
      <c r="L15" s="739"/>
      <c r="M15" s="692"/>
      <c r="N15" s="63"/>
      <c r="P15" s="970" t="s">
        <v>34</v>
      </c>
      <c r="Q15" s="717"/>
      <c r="R15" s="717"/>
      <c r="S15" s="717"/>
      <c r="T15" s="71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71"/>
      <c r="Q16" s="971"/>
      <c r="R16" s="971"/>
      <c r="S16" s="971"/>
      <c r="T16" s="9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35</v>
      </c>
      <c r="B17" s="674" t="s">
        <v>36</v>
      </c>
      <c r="C17" s="919" t="s">
        <v>37</v>
      </c>
      <c r="D17" s="674" t="s">
        <v>38</v>
      </c>
      <c r="E17" s="675"/>
      <c r="F17" s="674" t="s">
        <v>39</v>
      </c>
      <c r="G17" s="674" t="s">
        <v>40</v>
      </c>
      <c r="H17" s="674" t="s">
        <v>41</v>
      </c>
      <c r="I17" s="674" t="s">
        <v>42</v>
      </c>
      <c r="J17" s="674" t="s">
        <v>43</v>
      </c>
      <c r="K17" s="674" t="s">
        <v>44</v>
      </c>
      <c r="L17" s="674" t="s">
        <v>45</v>
      </c>
      <c r="M17" s="674" t="s">
        <v>46</v>
      </c>
      <c r="N17" s="674" t="s">
        <v>47</v>
      </c>
      <c r="O17" s="674" t="s">
        <v>48</v>
      </c>
      <c r="P17" s="674" t="s">
        <v>49</v>
      </c>
      <c r="Q17" s="965"/>
      <c r="R17" s="965"/>
      <c r="S17" s="965"/>
      <c r="T17" s="675"/>
      <c r="U17" s="691" t="s">
        <v>50</v>
      </c>
      <c r="V17" s="692"/>
      <c r="W17" s="674" t="s">
        <v>51</v>
      </c>
      <c r="X17" s="674" t="s">
        <v>52</v>
      </c>
      <c r="Y17" s="688" t="s">
        <v>53</v>
      </c>
      <c r="Z17" s="839" t="s">
        <v>54</v>
      </c>
      <c r="AA17" s="748" t="s">
        <v>55</v>
      </c>
      <c r="AB17" s="748" t="s">
        <v>56</v>
      </c>
      <c r="AC17" s="748" t="s">
        <v>57</v>
      </c>
      <c r="AD17" s="748" t="s">
        <v>58</v>
      </c>
      <c r="AE17" s="749"/>
      <c r="AF17" s="750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676"/>
      <c r="E18" s="677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76"/>
      <c r="Q18" s="966"/>
      <c r="R18" s="966"/>
      <c r="S18" s="966"/>
      <c r="T18" s="677"/>
      <c r="U18" s="67" t="s">
        <v>60</v>
      </c>
      <c r="V18" s="67" t="s">
        <v>61</v>
      </c>
      <c r="W18" s="684"/>
      <c r="X18" s="684"/>
      <c r="Y18" s="689"/>
      <c r="Z18" s="840"/>
      <c r="AA18" s="841"/>
      <c r="AB18" s="841"/>
      <c r="AC18" s="841"/>
      <c r="AD18" s="751"/>
      <c r="AE18" s="752"/>
      <c r="AF18" s="753"/>
      <c r="AG18" s="66"/>
      <c r="BD18" s="65"/>
    </row>
    <row r="19" spans="1:68" ht="27.75" hidden="1" customHeight="1" x14ac:dyDescent="0.2">
      <c r="A19" s="843" t="s">
        <v>62</v>
      </c>
      <c r="B19" s="844"/>
      <c r="C19" s="844"/>
      <c r="D19" s="844"/>
      <c r="E19" s="844"/>
      <c r="F19" s="844"/>
      <c r="G19" s="844"/>
      <c r="H19" s="844"/>
      <c r="I19" s="844"/>
      <c r="J19" s="844"/>
      <c r="K19" s="844"/>
      <c r="L19" s="844"/>
      <c r="M19" s="844"/>
      <c r="N19" s="844"/>
      <c r="O19" s="844"/>
      <c r="P19" s="844"/>
      <c r="Q19" s="844"/>
      <c r="R19" s="844"/>
      <c r="S19" s="844"/>
      <c r="T19" s="844"/>
      <c r="U19" s="844"/>
      <c r="V19" s="844"/>
      <c r="W19" s="844"/>
      <c r="X19" s="844"/>
      <c r="Y19" s="844"/>
      <c r="Z19" s="844"/>
      <c r="AA19" s="48"/>
      <c r="AB19" s="48"/>
      <c r="AC19" s="48"/>
    </row>
    <row r="20" spans="1:68" ht="16.5" hidden="1" customHeight="1" x14ac:dyDescent="0.25">
      <c r="A20" s="705" t="s">
        <v>62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62"/>
      <c r="AB20" s="662"/>
      <c r="AC20" s="662"/>
    </row>
    <row r="21" spans="1:68" ht="14.25" hidden="1" customHeight="1" x14ac:dyDescent="0.25">
      <c r="A21" s="703" t="s">
        <v>63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8">
        <v>4680115885912</v>
      </c>
      <c r="E22" s="679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8">
        <v>4607091388237</v>
      </c>
      <c r="E23" s="679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105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8">
        <v>4680115886230</v>
      </c>
      <c r="E24" s="679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98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8">
        <v>4680115886247</v>
      </c>
      <c r="E25" s="679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18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8">
        <v>4680115885905</v>
      </c>
      <c r="E26" s="679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9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8">
        <v>4607091388244</v>
      </c>
      <c r="E27" s="679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93"/>
      <c r="B28" s="686"/>
      <c r="C28" s="686"/>
      <c r="D28" s="686"/>
      <c r="E28" s="686"/>
      <c r="F28" s="686"/>
      <c r="G28" s="686"/>
      <c r="H28" s="686"/>
      <c r="I28" s="686"/>
      <c r="J28" s="686"/>
      <c r="K28" s="686"/>
      <c r="L28" s="686"/>
      <c r="M28" s="686"/>
      <c r="N28" s="686"/>
      <c r="O28" s="694"/>
      <c r="P28" s="695" t="s">
        <v>87</v>
      </c>
      <c r="Q28" s="696"/>
      <c r="R28" s="696"/>
      <c r="S28" s="696"/>
      <c r="T28" s="696"/>
      <c r="U28" s="696"/>
      <c r="V28" s="697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86"/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6"/>
      <c r="N29" s="686"/>
      <c r="O29" s="694"/>
      <c r="P29" s="695" t="s">
        <v>87</v>
      </c>
      <c r="Q29" s="696"/>
      <c r="R29" s="696"/>
      <c r="S29" s="696"/>
      <c r="T29" s="696"/>
      <c r="U29" s="696"/>
      <c r="V29" s="697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703" t="s">
        <v>89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6"/>
      <c r="N30" s="686"/>
      <c r="O30" s="686"/>
      <c r="P30" s="686"/>
      <c r="Q30" s="686"/>
      <c r="R30" s="686"/>
      <c r="S30" s="686"/>
      <c r="T30" s="686"/>
      <c r="U30" s="686"/>
      <c r="V30" s="686"/>
      <c r="W30" s="686"/>
      <c r="X30" s="686"/>
      <c r="Y30" s="686"/>
      <c r="Z30" s="686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8">
        <v>4607091388503</v>
      </c>
      <c r="E31" s="679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3"/>
      <c r="B32" s="686"/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6"/>
      <c r="N32" s="686"/>
      <c r="O32" s="694"/>
      <c r="P32" s="695" t="s">
        <v>87</v>
      </c>
      <c r="Q32" s="696"/>
      <c r="R32" s="696"/>
      <c r="S32" s="696"/>
      <c r="T32" s="696"/>
      <c r="U32" s="696"/>
      <c r="V32" s="697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86"/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6"/>
      <c r="N33" s="686"/>
      <c r="O33" s="694"/>
      <c r="P33" s="695" t="s">
        <v>87</v>
      </c>
      <c r="Q33" s="696"/>
      <c r="R33" s="696"/>
      <c r="S33" s="696"/>
      <c r="T33" s="696"/>
      <c r="U33" s="696"/>
      <c r="V33" s="697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843" t="s">
        <v>95</v>
      </c>
      <c r="B34" s="844"/>
      <c r="C34" s="844"/>
      <c r="D34" s="844"/>
      <c r="E34" s="844"/>
      <c r="F34" s="844"/>
      <c r="G34" s="844"/>
      <c r="H34" s="844"/>
      <c r="I34" s="844"/>
      <c r="J34" s="844"/>
      <c r="K34" s="844"/>
      <c r="L34" s="844"/>
      <c r="M34" s="844"/>
      <c r="N34" s="844"/>
      <c r="O34" s="844"/>
      <c r="P34" s="844"/>
      <c r="Q34" s="844"/>
      <c r="R34" s="844"/>
      <c r="S34" s="844"/>
      <c r="T34" s="844"/>
      <c r="U34" s="844"/>
      <c r="V34" s="844"/>
      <c r="W34" s="844"/>
      <c r="X34" s="844"/>
      <c r="Y34" s="844"/>
      <c r="Z34" s="844"/>
      <c r="AA34" s="48"/>
      <c r="AB34" s="48"/>
      <c r="AC34" s="48"/>
    </row>
    <row r="35" spans="1:68" ht="16.5" hidden="1" customHeight="1" x14ac:dyDescent="0.25">
      <c r="A35" s="705" t="s">
        <v>96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2"/>
      <c r="AB35" s="662"/>
      <c r="AC35" s="662"/>
    </row>
    <row r="36" spans="1:68" ht="14.25" hidden="1" customHeight="1" x14ac:dyDescent="0.25">
      <c r="A36" s="703" t="s">
        <v>97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6"/>
      <c r="N36" s="686"/>
      <c r="O36" s="686"/>
      <c r="P36" s="686"/>
      <c r="Q36" s="686"/>
      <c r="R36" s="686"/>
      <c r="S36" s="686"/>
      <c r="T36" s="686"/>
      <c r="U36" s="686"/>
      <c r="V36" s="686"/>
      <c r="W36" s="686"/>
      <c r="X36" s="686"/>
      <c r="Y36" s="686"/>
      <c r="Z36" s="686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8">
        <v>4607091385670</v>
      </c>
      <c r="E37" s="679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7">
        <v>400</v>
      </c>
      <c r="Y37" s="668">
        <f>IFERROR(IF(X37="",0,CEILING((X37/$H37),1)*$H37),"")</f>
        <v>410.40000000000003</v>
      </c>
      <c r="Z37" s="36">
        <f>IFERROR(IF(Y37=0,"",ROUNDUP(Y37/H37,0)*0.01898),"")</f>
        <v>0.72123999999999999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416.11111111111109</v>
      </c>
      <c r="BN37" s="64">
        <f>IFERROR(Y37*I37/H37,"0")</f>
        <v>426.92999999999995</v>
      </c>
      <c r="BO37" s="64">
        <f>IFERROR(1/J37*(X37/H37),"0")</f>
        <v>0.57870370370370372</v>
      </c>
      <c r="BP37" s="64">
        <f>IFERROR(1/J37*(Y37/H37),"0")</f>
        <v>0.59375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8">
        <v>4607091385687</v>
      </c>
      <c r="E38" s="679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7">
        <v>100</v>
      </c>
      <c r="Y38" s="668">
        <f>IFERROR(IF(X38="",0,CEILING((X38/$H38),1)*$H38),"")</f>
        <v>100</v>
      </c>
      <c r="Z38" s="36">
        <f>IFERROR(IF(Y38=0,"",ROUNDUP(Y38/H38,0)*0.00902),"")</f>
        <v>0.22550000000000001</v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105.25</v>
      </c>
      <c r="BN38" s="64">
        <f>IFERROR(Y38*I38/H38,"0")</f>
        <v>105.25</v>
      </c>
      <c r="BO38" s="64">
        <f>IFERROR(1/J38*(X38/H38),"0")</f>
        <v>0.18939393939393939</v>
      </c>
      <c r="BP38" s="64">
        <f>IFERROR(1/J38*(Y38/H38),"0")</f>
        <v>0.18939393939393939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8">
        <v>4680115882539</v>
      </c>
      <c r="E39" s="679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7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8">
        <v>4680115883949</v>
      </c>
      <c r="E40" s="679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3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3"/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94"/>
      <c r="P41" s="695" t="s">
        <v>87</v>
      </c>
      <c r="Q41" s="696"/>
      <c r="R41" s="696"/>
      <c r="S41" s="696"/>
      <c r="T41" s="696"/>
      <c r="U41" s="696"/>
      <c r="V41" s="697"/>
      <c r="W41" s="37" t="s">
        <v>88</v>
      </c>
      <c r="X41" s="669">
        <f>IFERROR(X37/H37,"0")+IFERROR(X38/H38,"0")+IFERROR(X39/H39,"0")+IFERROR(X40/H40,"0")</f>
        <v>62.037037037037038</v>
      </c>
      <c r="Y41" s="669">
        <f>IFERROR(Y37/H37,"0")+IFERROR(Y38/H38,"0")+IFERROR(Y39/H39,"0")+IFERROR(Y40/H40,"0")</f>
        <v>63</v>
      </c>
      <c r="Z41" s="669">
        <f>IFERROR(IF(Z37="",0,Z37),"0")+IFERROR(IF(Z38="",0,Z38),"0")+IFERROR(IF(Z39="",0,Z39),"0")+IFERROR(IF(Z40="",0,Z40),"0")</f>
        <v>0.94674000000000003</v>
      </c>
      <c r="AA41" s="670"/>
      <c r="AB41" s="670"/>
      <c r="AC41" s="670"/>
    </row>
    <row r="42" spans="1:68" x14ac:dyDescent="0.2">
      <c r="A42" s="686"/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6"/>
      <c r="N42" s="686"/>
      <c r="O42" s="694"/>
      <c r="P42" s="695" t="s">
        <v>87</v>
      </c>
      <c r="Q42" s="696"/>
      <c r="R42" s="696"/>
      <c r="S42" s="696"/>
      <c r="T42" s="696"/>
      <c r="U42" s="696"/>
      <c r="V42" s="697"/>
      <c r="W42" s="37" t="s">
        <v>68</v>
      </c>
      <c r="X42" s="669">
        <f>IFERROR(SUM(X37:X40),"0")</f>
        <v>500</v>
      </c>
      <c r="Y42" s="669">
        <f>IFERROR(SUM(Y37:Y40),"0")</f>
        <v>510.40000000000003</v>
      </c>
      <c r="Z42" s="37"/>
      <c r="AA42" s="670"/>
      <c r="AB42" s="670"/>
      <c r="AC42" s="670"/>
    </row>
    <row r="43" spans="1:68" ht="14.25" hidden="1" customHeight="1" x14ac:dyDescent="0.25">
      <c r="A43" s="703" t="s">
        <v>63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6"/>
      <c r="U43" s="686"/>
      <c r="V43" s="686"/>
      <c r="W43" s="686"/>
      <c r="X43" s="686"/>
      <c r="Y43" s="686"/>
      <c r="Z43" s="686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8">
        <v>4680115884915</v>
      </c>
      <c r="E44" s="679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93"/>
      <c r="B45" s="686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6"/>
      <c r="N45" s="686"/>
      <c r="O45" s="694"/>
      <c r="P45" s="695" t="s">
        <v>87</v>
      </c>
      <c r="Q45" s="696"/>
      <c r="R45" s="696"/>
      <c r="S45" s="696"/>
      <c r="T45" s="696"/>
      <c r="U45" s="696"/>
      <c r="V45" s="697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86"/>
      <c r="B46" s="686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6"/>
      <c r="N46" s="686"/>
      <c r="O46" s="694"/>
      <c r="P46" s="695" t="s">
        <v>87</v>
      </c>
      <c r="Q46" s="696"/>
      <c r="R46" s="696"/>
      <c r="S46" s="696"/>
      <c r="T46" s="696"/>
      <c r="U46" s="696"/>
      <c r="V46" s="697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705" t="s">
        <v>115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6"/>
      <c r="N47" s="686"/>
      <c r="O47" s="686"/>
      <c r="P47" s="686"/>
      <c r="Q47" s="686"/>
      <c r="R47" s="686"/>
      <c r="S47" s="686"/>
      <c r="T47" s="686"/>
      <c r="U47" s="686"/>
      <c r="V47" s="686"/>
      <c r="W47" s="686"/>
      <c r="X47" s="686"/>
      <c r="Y47" s="686"/>
      <c r="Z47" s="686"/>
      <c r="AA47" s="662"/>
      <c r="AB47" s="662"/>
      <c r="AC47" s="662"/>
    </row>
    <row r="48" spans="1:68" ht="14.25" hidden="1" customHeight="1" x14ac:dyDescent="0.25">
      <c r="A48" s="703" t="s">
        <v>97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8">
        <v>4680115885882</v>
      </c>
      <c r="E49" s="679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8">
        <v>4680115881426</v>
      </c>
      <c r="E50" s="679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6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7">
        <v>150</v>
      </c>
      <c r="Y50" s="668">
        <f t="shared" si="6"/>
        <v>151.20000000000002</v>
      </c>
      <c r="Z50" s="36">
        <f>IFERROR(IF(Y50=0,"",ROUNDUP(Y50/H50,0)*0.01898),"")</f>
        <v>0.26572000000000001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156.04166666666666</v>
      </c>
      <c r="BN50" s="64">
        <f t="shared" si="8"/>
        <v>157.29000000000002</v>
      </c>
      <c r="BO50" s="64">
        <f t="shared" si="9"/>
        <v>0.21701388888888887</v>
      </c>
      <c r="BP50" s="64">
        <f t="shared" si="10"/>
        <v>0.21875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8">
        <v>4680115880283</v>
      </c>
      <c r="E51" s="679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9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8">
        <v>4680115881525</v>
      </c>
      <c r="E52" s="679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8">
        <v>4680115885899</v>
      </c>
      <c r="E53" s="679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5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8">
        <v>4680115881419</v>
      </c>
      <c r="E54" s="679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7">
        <v>200</v>
      </c>
      <c r="Y54" s="668">
        <f t="shared" si="6"/>
        <v>202.5</v>
      </c>
      <c r="Z54" s="36">
        <f>IFERROR(IF(Y54=0,"",ROUNDUP(Y54/H54,0)*0.00902),"")</f>
        <v>0.40590000000000004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209.33333333333334</v>
      </c>
      <c r="BN54" s="64">
        <f t="shared" si="8"/>
        <v>211.95</v>
      </c>
      <c r="BO54" s="64">
        <f t="shared" si="9"/>
        <v>0.33670033670033672</v>
      </c>
      <c r="BP54" s="64">
        <f t="shared" si="10"/>
        <v>0.34090909090909094</v>
      </c>
    </row>
    <row r="55" spans="1:68" x14ac:dyDescent="0.2">
      <c r="A55" s="693"/>
      <c r="B55" s="686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94"/>
      <c r="P55" s="695" t="s">
        <v>87</v>
      </c>
      <c r="Q55" s="696"/>
      <c r="R55" s="696"/>
      <c r="S55" s="696"/>
      <c r="T55" s="696"/>
      <c r="U55" s="696"/>
      <c r="V55" s="697"/>
      <c r="W55" s="37" t="s">
        <v>88</v>
      </c>
      <c r="X55" s="669">
        <f>IFERROR(X49/H49,"0")+IFERROR(X50/H50,"0")+IFERROR(X51/H51,"0")+IFERROR(X52/H52,"0")+IFERROR(X53/H53,"0")+IFERROR(X54/H54,"0")</f>
        <v>58.333333333333329</v>
      </c>
      <c r="Y55" s="669">
        <f>IFERROR(Y49/H49,"0")+IFERROR(Y50/H50,"0")+IFERROR(Y51/H51,"0")+IFERROR(Y52/H52,"0")+IFERROR(Y53/H53,"0")+IFERROR(Y54/H54,"0")</f>
        <v>59</v>
      </c>
      <c r="Z55" s="669">
        <f>IFERROR(IF(Z49="",0,Z49),"0")+IFERROR(IF(Z50="",0,Z50),"0")+IFERROR(IF(Z51="",0,Z51),"0")+IFERROR(IF(Z52="",0,Z52),"0")+IFERROR(IF(Z53="",0,Z53),"0")+IFERROR(IF(Z54="",0,Z54),"0")</f>
        <v>0.67162000000000011</v>
      </c>
      <c r="AA55" s="670"/>
      <c r="AB55" s="670"/>
      <c r="AC55" s="670"/>
    </row>
    <row r="56" spans="1:68" x14ac:dyDescent="0.2">
      <c r="A56" s="686"/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6"/>
      <c r="N56" s="686"/>
      <c r="O56" s="694"/>
      <c r="P56" s="695" t="s">
        <v>87</v>
      </c>
      <c r="Q56" s="696"/>
      <c r="R56" s="696"/>
      <c r="S56" s="696"/>
      <c r="T56" s="696"/>
      <c r="U56" s="696"/>
      <c r="V56" s="697"/>
      <c r="W56" s="37" t="s">
        <v>68</v>
      </c>
      <c r="X56" s="669">
        <f>IFERROR(SUM(X49:X54),"0")</f>
        <v>350</v>
      </c>
      <c r="Y56" s="669">
        <f>IFERROR(SUM(Y49:Y54),"0")</f>
        <v>353.70000000000005</v>
      </c>
      <c r="Z56" s="37"/>
      <c r="AA56" s="670"/>
      <c r="AB56" s="670"/>
      <c r="AC56" s="670"/>
    </row>
    <row r="57" spans="1:68" ht="14.25" hidden="1" customHeight="1" x14ac:dyDescent="0.25">
      <c r="A57" s="703" t="s">
        <v>133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8">
        <v>4680115881440</v>
      </c>
      <c r="E58" s="679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7">
        <v>50</v>
      </c>
      <c r="Y58" s="668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8">
        <v>4680115882751</v>
      </c>
      <c r="E59" s="679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8">
        <v>4680115885950</v>
      </c>
      <c r="E60" s="679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8">
        <v>4680115881433</v>
      </c>
      <c r="E61" s="679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80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3"/>
      <c r="B62" s="686"/>
      <c r="C62" s="686"/>
      <c r="D62" s="686"/>
      <c r="E62" s="686"/>
      <c r="F62" s="686"/>
      <c r="G62" s="686"/>
      <c r="H62" s="686"/>
      <c r="I62" s="686"/>
      <c r="J62" s="686"/>
      <c r="K62" s="686"/>
      <c r="L62" s="686"/>
      <c r="M62" s="686"/>
      <c r="N62" s="686"/>
      <c r="O62" s="694"/>
      <c r="P62" s="695" t="s">
        <v>87</v>
      </c>
      <c r="Q62" s="696"/>
      <c r="R62" s="696"/>
      <c r="S62" s="696"/>
      <c r="T62" s="696"/>
      <c r="U62" s="696"/>
      <c r="V62" s="697"/>
      <c r="W62" s="37" t="s">
        <v>88</v>
      </c>
      <c r="X62" s="669">
        <f>IFERROR(X58/H58,"0")+IFERROR(X59/H59,"0")+IFERROR(X60/H60,"0")+IFERROR(X61/H61,"0")</f>
        <v>4.6296296296296298</v>
      </c>
      <c r="Y62" s="669">
        <f>IFERROR(Y58/H58,"0")+IFERROR(Y59/H59,"0")+IFERROR(Y60/H60,"0")+IFERROR(Y61/H61,"0")</f>
        <v>5</v>
      </c>
      <c r="Z62" s="669">
        <f>IFERROR(IF(Z58="",0,Z58),"0")+IFERROR(IF(Z59="",0,Z59),"0")+IFERROR(IF(Z60="",0,Z60),"0")+IFERROR(IF(Z61="",0,Z61),"0")</f>
        <v>9.4899999999999998E-2</v>
      </c>
      <c r="AA62" s="670"/>
      <c r="AB62" s="670"/>
      <c r="AC62" s="670"/>
    </row>
    <row r="63" spans="1:68" x14ac:dyDescent="0.2">
      <c r="A63" s="686"/>
      <c r="B63" s="686"/>
      <c r="C63" s="686"/>
      <c r="D63" s="686"/>
      <c r="E63" s="686"/>
      <c r="F63" s="686"/>
      <c r="G63" s="686"/>
      <c r="H63" s="686"/>
      <c r="I63" s="686"/>
      <c r="J63" s="686"/>
      <c r="K63" s="686"/>
      <c r="L63" s="686"/>
      <c r="M63" s="686"/>
      <c r="N63" s="686"/>
      <c r="O63" s="694"/>
      <c r="P63" s="695" t="s">
        <v>87</v>
      </c>
      <c r="Q63" s="696"/>
      <c r="R63" s="696"/>
      <c r="S63" s="696"/>
      <c r="T63" s="696"/>
      <c r="U63" s="696"/>
      <c r="V63" s="697"/>
      <c r="W63" s="37" t="s">
        <v>68</v>
      </c>
      <c r="X63" s="669">
        <f>IFERROR(SUM(X58:X61),"0")</f>
        <v>50</v>
      </c>
      <c r="Y63" s="669">
        <f>IFERROR(SUM(Y58:Y61),"0")</f>
        <v>54</v>
      </c>
      <c r="Z63" s="37"/>
      <c r="AA63" s="670"/>
      <c r="AB63" s="670"/>
      <c r="AC63" s="670"/>
    </row>
    <row r="64" spans="1:68" ht="14.25" hidden="1" customHeight="1" x14ac:dyDescent="0.25">
      <c r="A64" s="703" t="s">
        <v>144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6"/>
      <c r="U64" s="686"/>
      <c r="V64" s="686"/>
      <c r="W64" s="686"/>
      <c r="X64" s="686"/>
      <c r="Y64" s="686"/>
      <c r="Z64" s="686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8">
        <v>4680115885073</v>
      </c>
      <c r="E65" s="679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8">
        <v>4680115885059</v>
      </c>
      <c r="E66" s="679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4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8">
        <v>4680115885097</v>
      </c>
      <c r="E67" s="679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3"/>
      <c r="B68" s="686"/>
      <c r="C68" s="686"/>
      <c r="D68" s="686"/>
      <c r="E68" s="686"/>
      <c r="F68" s="686"/>
      <c r="G68" s="686"/>
      <c r="H68" s="686"/>
      <c r="I68" s="686"/>
      <c r="J68" s="686"/>
      <c r="K68" s="686"/>
      <c r="L68" s="686"/>
      <c r="M68" s="686"/>
      <c r="N68" s="686"/>
      <c r="O68" s="694"/>
      <c r="P68" s="695" t="s">
        <v>87</v>
      </c>
      <c r="Q68" s="696"/>
      <c r="R68" s="696"/>
      <c r="S68" s="696"/>
      <c r="T68" s="696"/>
      <c r="U68" s="696"/>
      <c r="V68" s="697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86"/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94"/>
      <c r="P69" s="695" t="s">
        <v>87</v>
      </c>
      <c r="Q69" s="696"/>
      <c r="R69" s="696"/>
      <c r="S69" s="696"/>
      <c r="T69" s="696"/>
      <c r="U69" s="696"/>
      <c r="V69" s="697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703" t="s">
        <v>63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6"/>
      <c r="N70" s="686"/>
      <c r="O70" s="686"/>
      <c r="P70" s="686"/>
      <c r="Q70" s="686"/>
      <c r="R70" s="686"/>
      <c r="S70" s="686"/>
      <c r="T70" s="686"/>
      <c r="U70" s="686"/>
      <c r="V70" s="686"/>
      <c r="W70" s="686"/>
      <c r="X70" s="686"/>
      <c r="Y70" s="686"/>
      <c r="Z70" s="686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8">
        <v>4680115881891</v>
      </c>
      <c r="E71" s="679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67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8">
        <v>4680115885769</v>
      </c>
      <c r="E72" s="679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8">
        <v>4680115884410</v>
      </c>
      <c r="E73" s="679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8">
        <v>4680115884311</v>
      </c>
      <c r="E74" s="679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8">
        <v>4680115885929</v>
      </c>
      <c r="E75" s="679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8">
        <v>4680115884403</v>
      </c>
      <c r="E76" s="679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93"/>
      <c r="B77" s="686"/>
      <c r="C77" s="686"/>
      <c r="D77" s="686"/>
      <c r="E77" s="686"/>
      <c r="F77" s="686"/>
      <c r="G77" s="686"/>
      <c r="H77" s="686"/>
      <c r="I77" s="686"/>
      <c r="J77" s="686"/>
      <c r="K77" s="686"/>
      <c r="L77" s="686"/>
      <c r="M77" s="686"/>
      <c r="N77" s="686"/>
      <c r="O77" s="694"/>
      <c r="P77" s="695" t="s">
        <v>87</v>
      </c>
      <c r="Q77" s="696"/>
      <c r="R77" s="696"/>
      <c r="S77" s="696"/>
      <c r="T77" s="696"/>
      <c r="U77" s="696"/>
      <c r="V77" s="697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86"/>
      <c r="B78" s="686"/>
      <c r="C78" s="686"/>
      <c r="D78" s="686"/>
      <c r="E78" s="686"/>
      <c r="F78" s="686"/>
      <c r="G78" s="686"/>
      <c r="H78" s="686"/>
      <c r="I78" s="686"/>
      <c r="J78" s="686"/>
      <c r="K78" s="686"/>
      <c r="L78" s="686"/>
      <c r="M78" s="686"/>
      <c r="N78" s="686"/>
      <c r="O78" s="694"/>
      <c r="P78" s="695" t="s">
        <v>87</v>
      </c>
      <c r="Q78" s="696"/>
      <c r="R78" s="696"/>
      <c r="S78" s="696"/>
      <c r="T78" s="696"/>
      <c r="U78" s="696"/>
      <c r="V78" s="697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703" t="s">
        <v>170</v>
      </c>
      <c r="B79" s="686"/>
      <c r="C79" s="686"/>
      <c r="D79" s="686"/>
      <c r="E79" s="686"/>
      <c r="F79" s="686"/>
      <c r="G79" s="686"/>
      <c r="H79" s="686"/>
      <c r="I79" s="686"/>
      <c r="J79" s="686"/>
      <c r="K79" s="686"/>
      <c r="L79" s="686"/>
      <c r="M79" s="686"/>
      <c r="N79" s="686"/>
      <c r="O79" s="686"/>
      <c r="P79" s="686"/>
      <c r="Q79" s="686"/>
      <c r="R79" s="686"/>
      <c r="S79" s="686"/>
      <c r="T79" s="686"/>
      <c r="U79" s="686"/>
      <c r="V79" s="686"/>
      <c r="W79" s="686"/>
      <c r="X79" s="686"/>
      <c r="Y79" s="686"/>
      <c r="Z79" s="686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78">
        <v>4680115881532</v>
      </c>
      <c r="E80" s="679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78">
        <v>4680115881532</v>
      </c>
      <c r="E81" s="679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1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8">
        <v>4680115881464</v>
      </c>
      <c r="E82" s="679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93"/>
      <c r="B83" s="686"/>
      <c r="C83" s="686"/>
      <c r="D83" s="686"/>
      <c r="E83" s="686"/>
      <c r="F83" s="686"/>
      <c r="G83" s="686"/>
      <c r="H83" s="686"/>
      <c r="I83" s="686"/>
      <c r="J83" s="686"/>
      <c r="K83" s="686"/>
      <c r="L83" s="686"/>
      <c r="M83" s="686"/>
      <c r="N83" s="686"/>
      <c r="O83" s="694"/>
      <c r="P83" s="695" t="s">
        <v>87</v>
      </c>
      <c r="Q83" s="696"/>
      <c r="R83" s="696"/>
      <c r="S83" s="696"/>
      <c r="T83" s="696"/>
      <c r="U83" s="696"/>
      <c r="V83" s="697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86"/>
      <c r="B84" s="686"/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6"/>
      <c r="N84" s="686"/>
      <c r="O84" s="694"/>
      <c r="P84" s="695" t="s">
        <v>87</v>
      </c>
      <c r="Q84" s="696"/>
      <c r="R84" s="696"/>
      <c r="S84" s="696"/>
      <c r="T84" s="696"/>
      <c r="U84" s="696"/>
      <c r="V84" s="697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705" t="s">
        <v>178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6"/>
      <c r="N85" s="686"/>
      <c r="O85" s="686"/>
      <c r="P85" s="686"/>
      <c r="Q85" s="686"/>
      <c r="R85" s="686"/>
      <c r="S85" s="686"/>
      <c r="T85" s="686"/>
      <c r="U85" s="686"/>
      <c r="V85" s="686"/>
      <c r="W85" s="686"/>
      <c r="X85" s="686"/>
      <c r="Y85" s="686"/>
      <c r="Z85" s="686"/>
      <c r="AA85" s="662"/>
      <c r="AB85" s="662"/>
      <c r="AC85" s="662"/>
    </row>
    <row r="86" spans="1:68" ht="14.25" hidden="1" customHeight="1" x14ac:dyDescent="0.25">
      <c r="A86" s="703" t="s">
        <v>97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8">
        <v>4680115881327</v>
      </c>
      <c r="E87" s="679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7">
        <v>500</v>
      </c>
      <c r="Y87" s="668">
        <f>IFERROR(IF(X87="",0,CEILING((X87/$H87),1)*$H87),"")</f>
        <v>507.6</v>
      </c>
      <c r="Z87" s="36">
        <f>IFERROR(IF(Y87=0,"",ROUNDUP(Y87/H87,0)*0.01898),"")</f>
        <v>0.89205999999999996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520.1388888888888</v>
      </c>
      <c r="BN87" s="64">
        <f>IFERROR(Y87*I87/H87,"0")</f>
        <v>528.04499999999996</v>
      </c>
      <c r="BO87" s="64">
        <f>IFERROR(1/J87*(X87/H87),"0")</f>
        <v>0.72337962962962954</v>
      </c>
      <c r="BP87" s="64">
        <f>IFERROR(1/J87*(Y87/H87),"0")</f>
        <v>0.734375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8">
        <v>4680115881518</v>
      </c>
      <c r="E88" s="679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8">
        <v>4680115881303</v>
      </c>
      <c r="E89" s="679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93"/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6"/>
      <c r="N90" s="686"/>
      <c r="O90" s="694"/>
      <c r="P90" s="695" t="s">
        <v>87</v>
      </c>
      <c r="Q90" s="696"/>
      <c r="R90" s="696"/>
      <c r="S90" s="696"/>
      <c r="T90" s="696"/>
      <c r="U90" s="696"/>
      <c r="V90" s="697"/>
      <c r="W90" s="37" t="s">
        <v>88</v>
      </c>
      <c r="X90" s="669">
        <f>IFERROR(X87/H87,"0")+IFERROR(X88/H88,"0")+IFERROR(X89/H89,"0")</f>
        <v>46.296296296296291</v>
      </c>
      <c r="Y90" s="669">
        <f>IFERROR(Y87/H87,"0")+IFERROR(Y88/H88,"0")+IFERROR(Y89/H89,"0")</f>
        <v>47</v>
      </c>
      <c r="Z90" s="669">
        <f>IFERROR(IF(Z87="",0,Z87),"0")+IFERROR(IF(Z88="",0,Z88),"0")+IFERROR(IF(Z89="",0,Z89),"0")</f>
        <v>0.89205999999999996</v>
      </c>
      <c r="AA90" s="670"/>
      <c r="AB90" s="670"/>
      <c r="AC90" s="670"/>
    </row>
    <row r="91" spans="1:68" x14ac:dyDescent="0.2">
      <c r="A91" s="686"/>
      <c r="B91" s="686"/>
      <c r="C91" s="686"/>
      <c r="D91" s="686"/>
      <c r="E91" s="686"/>
      <c r="F91" s="686"/>
      <c r="G91" s="686"/>
      <c r="H91" s="686"/>
      <c r="I91" s="686"/>
      <c r="J91" s="686"/>
      <c r="K91" s="686"/>
      <c r="L91" s="686"/>
      <c r="M91" s="686"/>
      <c r="N91" s="686"/>
      <c r="O91" s="694"/>
      <c r="P91" s="695" t="s">
        <v>87</v>
      </c>
      <c r="Q91" s="696"/>
      <c r="R91" s="696"/>
      <c r="S91" s="696"/>
      <c r="T91" s="696"/>
      <c r="U91" s="696"/>
      <c r="V91" s="697"/>
      <c r="W91" s="37" t="s">
        <v>68</v>
      </c>
      <c r="X91" s="669">
        <f>IFERROR(SUM(X87:X89),"0")</f>
        <v>500</v>
      </c>
      <c r="Y91" s="669">
        <f>IFERROR(SUM(Y87:Y89),"0")</f>
        <v>507.6</v>
      </c>
      <c r="Z91" s="37"/>
      <c r="AA91" s="670"/>
      <c r="AB91" s="670"/>
      <c r="AC91" s="670"/>
    </row>
    <row r="92" spans="1:68" ht="14.25" hidden="1" customHeight="1" x14ac:dyDescent="0.25">
      <c r="A92" s="703" t="s">
        <v>63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6"/>
      <c r="N92" s="686"/>
      <c r="O92" s="686"/>
      <c r="P92" s="686"/>
      <c r="Q92" s="686"/>
      <c r="R92" s="686"/>
      <c r="S92" s="686"/>
      <c r="T92" s="686"/>
      <c r="U92" s="686"/>
      <c r="V92" s="686"/>
      <c r="W92" s="686"/>
      <c r="X92" s="686"/>
      <c r="Y92" s="686"/>
      <c r="Z92" s="686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8">
        <v>4607091386967</v>
      </c>
      <c r="E93" s="679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82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68</v>
      </c>
      <c r="X93" s="667">
        <v>450</v>
      </c>
      <c r="Y93" s="668">
        <f t="shared" ref="Y93:Y101" si="16">IFERROR(IF(X93="",0,CEILING((X93/$H93),1)*$H93),"")</f>
        <v>453.6</v>
      </c>
      <c r="Z93" s="36">
        <f>IFERROR(IF(Y93=0,"",ROUNDUP(Y93/H93,0)*0.01898),"")</f>
        <v>1.0249200000000001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477.80357142857144</v>
      </c>
      <c r="BN93" s="64">
        <f t="shared" ref="BN93:BN101" si="18">IFERROR(Y93*I93/H93,"0")</f>
        <v>481.62600000000003</v>
      </c>
      <c r="BO93" s="64">
        <f t="shared" ref="BO93:BO101" si="19">IFERROR(1/J93*(X93/H93),"0")</f>
        <v>0.8370535714285714</v>
      </c>
      <c r="BP93" s="64">
        <f t="shared" ref="BP93:BP101" si="20">IFERROR(1/J93*(Y93/H93),"0")</f>
        <v>0.84375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78">
        <v>4607091386967</v>
      </c>
      <c r="E94" s="679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78">
        <v>4607091386967</v>
      </c>
      <c r="E95" s="679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1020" t="s">
        <v>192</v>
      </c>
      <c r="Q95" s="672"/>
      <c r="R95" s="672"/>
      <c r="S95" s="672"/>
      <c r="T95" s="673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8">
        <v>4680115884953</v>
      </c>
      <c r="E96" s="679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12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8">
        <v>4607091385731</v>
      </c>
      <c r="E97" s="679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1003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7">
        <v>400</v>
      </c>
      <c r="Y97" s="668">
        <f t="shared" si="16"/>
        <v>402.3</v>
      </c>
      <c r="Z97" s="36">
        <f>IFERROR(IF(Y97=0,"",ROUNDUP(Y97/H97,0)*0.00651),"")</f>
        <v>0.96999000000000002</v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437.33333333333331</v>
      </c>
      <c r="BN97" s="64">
        <f t="shared" si="18"/>
        <v>439.84799999999996</v>
      </c>
      <c r="BO97" s="64">
        <f t="shared" si="19"/>
        <v>0.81400081400081403</v>
      </c>
      <c r="BP97" s="64">
        <f t="shared" si="20"/>
        <v>0.81868131868131877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8">
        <v>4607091385731</v>
      </c>
      <c r="E98" s="679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1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8">
        <v>4680115880894</v>
      </c>
      <c r="E99" s="679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78">
        <v>4680115880214</v>
      </c>
      <c r="E100" s="679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98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78">
        <v>4680115880214</v>
      </c>
      <c r="E101" s="679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78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93"/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94"/>
      <c r="P102" s="695" t="s">
        <v>87</v>
      </c>
      <c r="Q102" s="696"/>
      <c r="R102" s="696"/>
      <c r="S102" s="696"/>
      <c r="T102" s="696"/>
      <c r="U102" s="696"/>
      <c r="V102" s="697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201.71957671957671</v>
      </c>
      <c r="Y102" s="669">
        <f>IFERROR(Y93/H93,"0")+IFERROR(Y94/H94,"0")+IFERROR(Y95/H95,"0")+IFERROR(Y96/H96,"0")+IFERROR(Y97/H97,"0")+IFERROR(Y98/H98,"0")+IFERROR(Y99/H99,"0")+IFERROR(Y100/H100,"0")+IFERROR(Y101/H101,"0")</f>
        <v>203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1.99491</v>
      </c>
      <c r="AA102" s="670"/>
      <c r="AB102" s="670"/>
      <c r="AC102" s="670"/>
    </row>
    <row r="103" spans="1:68" x14ac:dyDescent="0.2">
      <c r="A103" s="686"/>
      <c r="B103" s="686"/>
      <c r="C103" s="686"/>
      <c r="D103" s="686"/>
      <c r="E103" s="686"/>
      <c r="F103" s="686"/>
      <c r="G103" s="686"/>
      <c r="H103" s="686"/>
      <c r="I103" s="686"/>
      <c r="J103" s="686"/>
      <c r="K103" s="686"/>
      <c r="L103" s="686"/>
      <c r="M103" s="686"/>
      <c r="N103" s="686"/>
      <c r="O103" s="694"/>
      <c r="P103" s="695" t="s">
        <v>87</v>
      </c>
      <c r="Q103" s="696"/>
      <c r="R103" s="696"/>
      <c r="S103" s="696"/>
      <c r="T103" s="696"/>
      <c r="U103" s="696"/>
      <c r="V103" s="697"/>
      <c r="W103" s="37" t="s">
        <v>68</v>
      </c>
      <c r="X103" s="669">
        <f>IFERROR(SUM(X93:X101),"0")</f>
        <v>850</v>
      </c>
      <c r="Y103" s="669">
        <f>IFERROR(SUM(Y93:Y101),"0")</f>
        <v>855.90000000000009</v>
      </c>
      <c r="Z103" s="37"/>
      <c r="AA103" s="670"/>
      <c r="AB103" s="670"/>
      <c r="AC103" s="670"/>
    </row>
    <row r="104" spans="1:68" ht="16.5" hidden="1" customHeight="1" x14ac:dyDescent="0.25">
      <c r="A104" s="705" t="s">
        <v>209</v>
      </c>
      <c r="B104" s="686"/>
      <c r="C104" s="686"/>
      <c r="D104" s="686"/>
      <c r="E104" s="686"/>
      <c r="F104" s="686"/>
      <c r="G104" s="686"/>
      <c r="H104" s="686"/>
      <c r="I104" s="686"/>
      <c r="J104" s="686"/>
      <c r="K104" s="686"/>
      <c r="L104" s="686"/>
      <c r="M104" s="686"/>
      <c r="N104" s="686"/>
      <c r="O104" s="686"/>
      <c r="P104" s="686"/>
      <c r="Q104" s="686"/>
      <c r="R104" s="686"/>
      <c r="S104" s="686"/>
      <c r="T104" s="686"/>
      <c r="U104" s="686"/>
      <c r="V104" s="686"/>
      <c r="W104" s="686"/>
      <c r="X104" s="686"/>
      <c r="Y104" s="686"/>
      <c r="Z104" s="686"/>
      <c r="AA104" s="662"/>
      <c r="AB104" s="662"/>
      <c r="AC104" s="662"/>
    </row>
    <row r="105" spans="1:68" ht="14.25" hidden="1" customHeight="1" x14ac:dyDescent="0.25">
      <c r="A105" s="703" t="s">
        <v>97</v>
      </c>
      <c r="B105" s="686"/>
      <c r="C105" s="686"/>
      <c r="D105" s="686"/>
      <c r="E105" s="686"/>
      <c r="F105" s="686"/>
      <c r="G105" s="686"/>
      <c r="H105" s="686"/>
      <c r="I105" s="686"/>
      <c r="J105" s="686"/>
      <c r="K105" s="686"/>
      <c r="L105" s="686"/>
      <c r="M105" s="686"/>
      <c r="N105" s="686"/>
      <c r="O105" s="686"/>
      <c r="P105" s="686"/>
      <c r="Q105" s="686"/>
      <c r="R105" s="686"/>
      <c r="S105" s="686"/>
      <c r="T105" s="686"/>
      <c r="U105" s="686"/>
      <c r="V105" s="686"/>
      <c r="W105" s="686"/>
      <c r="X105" s="686"/>
      <c r="Y105" s="686"/>
      <c r="Z105" s="686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8">
        <v>4680115882133</v>
      </c>
      <c r="E106" s="679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8">
        <v>4680115880269</v>
      </c>
      <c r="E107" s="679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7">
        <v>200</v>
      </c>
      <c r="Y107" s="668">
        <f>IFERROR(IF(X107="",0,CEILING((X107/$H107),1)*$H107),"")</f>
        <v>202.5</v>
      </c>
      <c r="Z107" s="36">
        <f>IFERROR(IF(Y107=0,"",ROUNDUP(Y107/H107,0)*0.00902),"")</f>
        <v>0.48708000000000001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211.2</v>
      </c>
      <c r="BN107" s="64">
        <f>IFERROR(Y107*I107/H107,"0")</f>
        <v>213.84</v>
      </c>
      <c r="BO107" s="64">
        <f>IFERROR(1/J107*(X107/H107),"0")</f>
        <v>0.40404040404040409</v>
      </c>
      <c r="BP107" s="64">
        <f>IFERROR(1/J107*(Y107/H107),"0")</f>
        <v>0.40909090909090912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8">
        <v>4680115880429</v>
      </c>
      <c r="E108" s="679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8">
        <v>4680115881457</v>
      </c>
      <c r="E109" s="679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3"/>
      <c r="B110" s="686"/>
      <c r="C110" s="686"/>
      <c r="D110" s="686"/>
      <c r="E110" s="686"/>
      <c r="F110" s="686"/>
      <c r="G110" s="686"/>
      <c r="H110" s="686"/>
      <c r="I110" s="686"/>
      <c r="J110" s="686"/>
      <c r="K110" s="686"/>
      <c r="L110" s="686"/>
      <c r="M110" s="686"/>
      <c r="N110" s="686"/>
      <c r="O110" s="694"/>
      <c r="P110" s="695" t="s">
        <v>87</v>
      </c>
      <c r="Q110" s="696"/>
      <c r="R110" s="696"/>
      <c r="S110" s="696"/>
      <c r="T110" s="696"/>
      <c r="U110" s="696"/>
      <c r="V110" s="697"/>
      <c r="W110" s="37" t="s">
        <v>88</v>
      </c>
      <c r="X110" s="669">
        <f>IFERROR(X106/H106,"0")+IFERROR(X107/H107,"0")+IFERROR(X108/H108,"0")+IFERROR(X109/H109,"0")</f>
        <v>53.333333333333336</v>
      </c>
      <c r="Y110" s="669">
        <f>IFERROR(Y106/H106,"0")+IFERROR(Y107/H107,"0")+IFERROR(Y108/H108,"0")+IFERROR(Y109/H109,"0")</f>
        <v>54</v>
      </c>
      <c r="Z110" s="669">
        <f>IFERROR(IF(Z106="",0,Z106),"0")+IFERROR(IF(Z107="",0,Z107),"0")+IFERROR(IF(Z108="",0,Z108),"0")+IFERROR(IF(Z109="",0,Z109),"0")</f>
        <v>0.48708000000000001</v>
      </c>
      <c r="AA110" s="670"/>
      <c r="AB110" s="670"/>
      <c r="AC110" s="670"/>
    </row>
    <row r="111" spans="1:68" x14ac:dyDescent="0.2">
      <c r="A111" s="686"/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94"/>
      <c r="P111" s="695" t="s">
        <v>87</v>
      </c>
      <c r="Q111" s="696"/>
      <c r="R111" s="696"/>
      <c r="S111" s="696"/>
      <c r="T111" s="696"/>
      <c r="U111" s="696"/>
      <c r="V111" s="697"/>
      <c r="W111" s="37" t="s">
        <v>68</v>
      </c>
      <c r="X111" s="669">
        <f>IFERROR(SUM(X106:X109),"0")</f>
        <v>200</v>
      </c>
      <c r="Y111" s="669">
        <f>IFERROR(SUM(Y106:Y109),"0")</f>
        <v>202.5</v>
      </c>
      <c r="Z111" s="37"/>
      <c r="AA111" s="670"/>
      <c r="AB111" s="670"/>
      <c r="AC111" s="670"/>
    </row>
    <row r="112" spans="1:68" ht="14.25" hidden="1" customHeight="1" x14ac:dyDescent="0.25">
      <c r="A112" s="703" t="s">
        <v>133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8">
        <v>4680115881488</v>
      </c>
      <c r="E113" s="679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7">
        <v>100</v>
      </c>
      <c r="Y113" s="668">
        <f>IFERROR(IF(X113="",0,CEILING((X113/$H113),1)*$H113),"")</f>
        <v>108</v>
      </c>
      <c r="Z113" s="36">
        <f>IFERROR(IF(Y113=0,"",ROUNDUP(Y113/H113,0)*0.01898),"")</f>
        <v>0.1898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104.02777777777777</v>
      </c>
      <c r="BN113" s="64">
        <f>IFERROR(Y113*I113/H113,"0")</f>
        <v>112.34999999999998</v>
      </c>
      <c r="BO113" s="64">
        <f>IFERROR(1/J113*(X113/H113),"0")</f>
        <v>0.14467592592592593</v>
      </c>
      <c r="BP113" s="64">
        <f>IFERROR(1/J113*(Y113/H113),"0")</f>
        <v>0.15625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8">
        <v>4680115882775</v>
      </c>
      <c r="E114" s="679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8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8">
        <v>4680115880658</v>
      </c>
      <c r="E115" s="679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7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93"/>
      <c r="B116" s="686"/>
      <c r="C116" s="686"/>
      <c r="D116" s="686"/>
      <c r="E116" s="686"/>
      <c r="F116" s="686"/>
      <c r="G116" s="686"/>
      <c r="H116" s="686"/>
      <c r="I116" s="686"/>
      <c r="J116" s="686"/>
      <c r="K116" s="686"/>
      <c r="L116" s="686"/>
      <c r="M116" s="686"/>
      <c r="N116" s="686"/>
      <c r="O116" s="694"/>
      <c r="P116" s="695" t="s">
        <v>87</v>
      </c>
      <c r="Q116" s="696"/>
      <c r="R116" s="696"/>
      <c r="S116" s="696"/>
      <c r="T116" s="696"/>
      <c r="U116" s="696"/>
      <c r="V116" s="697"/>
      <c r="W116" s="37" t="s">
        <v>88</v>
      </c>
      <c r="X116" s="669">
        <f>IFERROR(X113/H113,"0")+IFERROR(X114/H114,"0")+IFERROR(X115/H115,"0")</f>
        <v>9.2592592592592595</v>
      </c>
      <c r="Y116" s="669">
        <f>IFERROR(Y113/H113,"0")+IFERROR(Y114/H114,"0")+IFERROR(Y115/H115,"0")</f>
        <v>10</v>
      </c>
      <c r="Z116" s="669">
        <f>IFERROR(IF(Z113="",0,Z113),"0")+IFERROR(IF(Z114="",0,Z114),"0")+IFERROR(IF(Z115="",0,Z115),"0")</f>
        <v>0.1898</v>
      </c>
      <c r="AA116" s="670"/>
      <c r="AB116" s="670"/>
      <c r="AC116" s="670"/>
    </row>
    <row r="117" spans="1:68" x14ac:dyDescent="0.2">
      <c r="A117" s="686"/>
      <c r="B117" s="686"/>
      <c r="C117" s="686"/>
      <c r="D117" s="686"/>
      <c r="E117" s="686"/>
      <c r="F117" s="686"/>
      <c r="G117" s="686"/>
      <c r="H117" s="686"/>
      <c r="I117" s="686"/>
      <c r="J117" s="686"/>
      <c r="K117" s="686"/>
      <c r="L117" s="686"/>
      <c r="M117" s="686"/>
      <c r="N117" s="686"/>
      <c r="O117" s="694"/>
      <c r="P117" s="695" t="s">
        <v>87</v>
      </c>
      <c r="Q117" s="696"/>
      <c r="R117" s="696"/>
      <c r="S117" s="696"/>
      <c r="T117" s="696"/>
      <c r="U117" s="696"/>
      <c r="V117" s="697"/>
      <c r="W117" s="37" t="s">
        <v>68</v>
      </c>
      <c r="X117" s="669">
        <f>IFERROR(SUM(X113:X115),"0")</f>
        <v>100</v>
      </c>
      <c r="Y117" s="669">
        <f>IFERROR(SUM(Y113:Y115),"0")</f>
        <v>108</v>
      </c>
      <c r="Z117" s="37"/>
      <c r="AA117" s="670"/>
      <c r="AB117" s="670"/>
      <c r="AC117" s="670"/>
    </row>
    <row r="118" spans="1:68" ht="14.25" hidden="1" customHeight="1" x14ac:dyDescent="0.25">
      <c r="A118" s="703" t="s">
        <v>63</v>
      </c>
      <c r="B118" s="686"/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  <c r="P118" s="686"/>
      <c r="Q118" s="686"/>
      <c r="R118" s="686"/>
      <c r="S118" s="686"/>
      <c r="T118" s="686"/>
      <c r="U118" s="686"/>
      <c r="V118" s="686"/>
      <c r="W118" s="686"/>
      <c r="X118" s="686"/>
      <c r="Y118" s="686"/>
      <c r="Z118" s="686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78">
        <v>4607091385168</v>
      </c>
      <c r="E119" s="679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95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8">
        <v>4607091385168</v>
      </c>
      <c r="E120" s="679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7">
        <v>500</v>
      </c>
      <c r="Y120" s="668">
        <f t="shared" si="21"/>
        <v>504</v>
      </c>
      <c r="Z120" s="36">
        <f>IFERROR(IF(Y120=0,"",ROUNDUP(Y120/H120,0)*0.01898),"")</f>
        <v>1.1388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530.53571428571422</v>
      </c>
      <c r="BN120" s="64">
        <f t="shared" si="23"/>
        <v>534.78</v>
      </c>
      <c r="BO120" s="64">
        <f t="shared" si="24"/>
        <v>0.93005952380952372</v>
      </c>
      <c r="BP120" s="64">
        <f t="shared" si="25"/>
        <v>0.9375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78">
        <v>4607091385168</v>
      </c>
      <c r="E121" s="679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736" t="s">
        <v>232</v>
      </c>
      <c r="Q121" s="672"/>
      <c r="R121" s="672"/>
      <c r="S121" s="672"/>
      <c r="T121" s="673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8">
        <v>4607091383256</v>
      </c>
      <c r="E122" s="679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08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8">
        <v>4607091385748</v>
      </c>
      <c r="E123" s="679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747" t="s">
        <v>239</v>
      </c>
      <c r="Q123" s="672"/>
      <c r="R123" s="672"/>
      <c r="S123" s="672"/>
      <c r="T123" s="673"/>
      <c r="U123" s="34"/>
      <c r="V123" s="34"/>
      <c r="W123" s="35" t="s">
        <v>68</v>
      </c>
      <c r="X123" s="667">
        <v>700</v>
      </c>
      <c r="Y123" s="668">
        <f t="shared" si="21"/>
        <v>702</v>
      </c>
      <c r="Z123" s="36">
        <f>IFERROR(IF(Y123=0,"",ROUNDUP(Y123/H123,0)*0.00651),"")</f>
        <v>1.6926000000000001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765.33333333333337</v>
      </c>
      <c r="BN123" s="64">
        <f t="shared" si="23"/>
        <v>767.52</v>
      </c>
      <c r="BO123" s="64">
        <f t="shared" si="24"/>
        <v>1.4245014245014245</v>
      </c>
      <c r="BP123" s="64">
        <f t="shared" si="25"/>
        <v>1.4285714285714286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78">
        <v>4680115884533</v>
      </c>
      <c r="E124" s="679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2"/>
      <c r="R124" s="672"/>
      <c r="S124" s="672"/>
      <c r="T124" s="673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78">
        <v>4680115882645</v>
      </c>
      <c r="E125" s="679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78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2"/>
      <c r="R125" s="672"/>
      <c r="S125" s="672"/>
      <c r="T125" s="673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93"/>
      <c r="B126" s="686"/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6"/>
      <c r="N126" s="686"/>
      <c r="O126" s="694"/>
      <c r="P126" s="695" t="s">
        <v>87</v>
      </c>
      <c r="Q126" s="696"/>
      <c r="R126" s="696"/>
      <c r="S126" s="696"/>
      <c r="T126" s="696"/>
      <c r="U126" s="696"/>
      <c r="V126" s="697"/>
      <c r="W126" s="37" t="s">
        <v>88</v>
      </c>
      <c r="X126" s="669">
        <f>IFERROR(X119/H119,"0")+IFERROR(X120/H120,"0")+IFERROR(X121/H121,"0")+IFERROR(X122/H122,"0")+IFERROR(X123/H123,"0")+IFERROR(X124/H124,"0")+IFERROR(X125/H125,"0")</f>
        <v>318.78306878306876</v>
      </c>
      <c r="Y126" s="669">
        <f>IFERROR(Y119/H119,"0")+IFERROR(Y120/H120,"0")+IFERROR(Y121/H121,"0")+IFERROR(Y122/H122,"0")+IFERROR(Y123/H123,"0")+IFERROR(Y124/H124,"0")+IFERROR(Y125/H125,"0")</f>
        <v>320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2.8314000000000004</v>
      </c>
      <c r="AA126" s="670"/>
      <c r="AB126" s="670"/>
      <c r="AC126" s="670"/>
    </row>
    <row r="127" spans="1:68" x14ac:dyDescent="0.2">
      <c r="A127" s="686"/>
      <c r="B127" s="686"/>
      <c r="C127" s="686"/>
      <c r="D127" s="686"/>
      <c r="E127" s="686"/>
      <c r="F127" s="686"/>
      <c r="G127" s="686"/>
      <c r="H127" s="686"/>
      <c r="I127" s="686"/>
      <c r="J127" s="686"/>
      <c r="K127" s="686"/>
      <c r="L127" s="686"/>
      <c r="M127" s="686"/>
      <c r="N127" s="686"/>
      <c r="O127" s="694"/>
      <c r="P127" s="695" t="s">
        <v>87</v>
      </c>
      <c r="Q127" s="696"/>
      <c r="R127" s="696"/>
      <c r="S127" s="696"/>
      <c r="T127" s="696"/>
      <c r="U127" s="696"/>
      <c r="V127" s="697"/>
      <c r="W127" s="37" t="s">
        <v>68</v>
      </c>
      <c r="X127" s="669">
        <f>IFERROR(SUM(X119:X125),"0")</f>
        <v>1200</v>
      </c>
      <c r="Y127" s="669">
        <f>IFERROR(SUM(Y119:Y125),"0")</f>
        <v>1206</v>
      </c>
      <c r="Z127" s="37"/>
      <c r="AA127" s="670"/>
      <c r="AB127" s="670"/>
      <c r="AC127" s="670"/>
    </row>
    <row r="128" spans="1:68" ht="14.25" hidden="1" customHeight="1" x14ac:dyDescent="0.25">
      <c r="A128" s="703" t="s">
        <v>170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78">
        <v>4680115882652</v>
      </c>
      <c r="E129" s="679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96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2"/>
      <c r="R129" s="672"/>
      <c r="S129" s="672"/>
      <c r="T129" s="673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78">
        <v>4680115880238</v>
      </c>
      <c r="E130" s="679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2"/>
      <c r="R130" s="672"/>
      <c r="S130" s="672"/>
      <c r="T130" s="673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93"/>
      <c r="B131" s="686"/>
      <c r="C131" s="686"/>
      <c r="D131" s="686"/>
      <c r="E131" s="686"/>
      <c r="F131" s="686"/>
      <c r="G131" s="686"/>
      <c r="H131" s="686"/>
      <c r="I131" s="686"/>
      <c r="J131" s="686"/>
      <c r="K131" s="686"/>
      <c r="L131" s="686"/>
      <c r="M131" s="686"/>
      <c r="N131" s="686"/>
      <c r="O131" s="694"/>
      <c r="P131" s="695" t="s">
        <v>87</v>
      </c>
      <c r="Q131" s="696"/>
      <c r="R131" s="696"/>
      <c r="S131" s="696"/>
      <c r="T131" s="696"/>
      <c r="U131" s="696"/>
      <c r="V131" s="697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86"/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94"/>
      <c r="P132" s="695" t="s">
        <v>87</v>
      </c>
      <c r="Q132" s="696"/>
      <c r="R132" s="696"/>
      <c r="S132" s="696"/>
      <c r="T132" s="696"/>
      <c r="U132" s="696"/>
      <c r="V132" s="697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705" t="s">
        <v>252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2"/>
      <c r="AB133" s="662"/>
      <c r="AC133" s="662"/>
    </row>
    <row r="134" spans="1:68" ht="14.25" hidden="1" customHeight="1" x14ac:dyDescent="0.25">
      <c r="A134" s="703" t="s">
        <v>97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8">
        <v>4680115882577</v>
      </c>
      <c r="E135" s="679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2"/>
      <c r="R135" s="672"/>
      <c r="S135" s="672"/>
      <c r="T135" s="673"/>
      <c r="U135" s="34"/>
      <c r="V135" s="34"/>
      <c r="W135" s="35" t="s">
        <v>68</v>
      </c>
      <c r="X135" s="667">
        <v>200</v>
      </c>
      <c r="Y135" s="668">
        <f>IFERROR(IF(X135="",0,CEILING((X135/$H135),1)*$H135),"")</f>
        <v>201.60000000000002</v>
      </c>
      <c r="Z135" s="36">
        <f>IFERROR(IF(Y135=0,"",ROUNDUP(Y135/H135,0)*0.00651),"")</f>
        <v>0.41012999999999999</v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211.25</v>
      </c>
      <c r="BN135" s="64">
        <f>IFERROR(Y135*I135/H135,"0")</f>
        <v>212.94</v>
      </c>
      <c r="BO135" s="64">
        <f>IFERROR(1/J135*(X135/H135),"0")</f>
        <v>0.34340659340659341</v>
      </c>
      <c r="BP135" s="64">
        <f>IFERROR(1/J135*(Y135/H135),"0")</f>
        <v>0.3461538461538462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78">
        <v>4680115882577</v>
      </c>
      <c r="E136" s="679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7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2"/>
      <c r="R136" s="672"/>
      <c r="S136" s="672"/>
      <c r="T136" s="673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93"/>
      <c r="B137" s="686"/>
      <c r="C137" s="686"/>
      <c r="D137" s="686"/>
      <c r="E137" s="686"/>
      <c r="F137" s="686"/>
      <c r="G137" s="686"/>
      <c r="H137" s="686"/>
      <c r="I137" s="686"/>
      <c r="J137" s="686"/>
      <c r="K137" s="686"/>
      <c r="L137" s="686"/>
      <c r="M137" s="686"/>
      <c r="N137" s="686"/>
      <c r="O137" s="694"/>
      <c r="P137" s="695" t="s">
        <v>87</v>
      </c>
      <c r="Q137" s="696"/>
      <c r="R137" s="696"/>
      <c r="S137" s="696"/>
      <c r="T137" s="696"/>
      <c r="U137" s="696"/>
      <c r="V137" s="697"/>
      <c r="W137" s="37" t="s">
        <v>88</v>
      </c>
      <c r="X137" s="669">
        <f>IFERROR(X135/H135,"0")+IFERROR(X136/H136,"0")</f>
        <v>62.5</v>
      </c>
      <c r="Y137" s="669">
        <f>IFERROR(Y135/H135,"0")+IFERROR(Y136/H136,"0")</f>
        <v>63.000000000000007</v>
      </c>
      <c r="Z137" s="669">
        <f>IFERROR(IF(Z135="",0,Z135),"0")+IFERROR(IF(Z136="",0,Z136),"0")</f>
        <v>0.41012999999999999</v>
      </c>
      <c r="AA137" s="670"/>
      <c r="AB137" s="670"/>
      <c r="AC137" s="670"/>
    </row>
    <row r="138" spans="1:68" x14ac:dyDescent="0.2">
      <c r="A138" s="686"/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94"/>
      <c r="P138" s="695" t="s">
        <v>87</v>
      </c>
      <c r="Q138" s="696"/>
      <c r="R138" s="696"/>
      <c r="S138" s="696"/>
      <c r="T138" s="696"/>
      <c r="U138" s="696"/>
      <c r="V138" s="697"/>
      <c r="W138" s="37" t="s">
        <v>68</v>
      </c>
      <c r="X138" s="669">
        <f>IFERROR(SUM(X135:X136),"0")</f>
        <v>200</v>
      </c>
      <c r="Y138" s="669">
        <f>IFERROR(SUM(Y135:Y136),"0")</f>
        <v>201.60000000000002</v>
      </c>
      <c r="Z138" s="37"/>
      <c r="AA138" s="670"/>
      <c r="AB138" s="670"/>
      <c r="AC138" s="670"/>
    </row>
    <row r="139" spans="1:68" ht="14.25" hidden="1" customHeight="1" x14ac:dyDescent="0.25">
      <c r="A139" s="703" t="s">
        <v>144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78">
        <v>4680115883444</v>
      </c>
      <c r="E140" s="679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8">
        <v>4680115883444</v>
      </c>
      <c r="E141" s="679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68</v>
      </c>
      <c r="X141" s="667">
        <v>200</v>
      </c>
      <c r="Y141" s="668">
        <f>IFERROR(IF(X141="",0,CEILING((X141/$H141),1)*$H141),"")</f>
        <v>201.6</v>
      </c>
      <c r="Z141" s="36">
        <f>IFERROR(IF(Y141=0,"",ROUNDUP(Y141/H141,0)*0.00651),"")</f>
        <v>0.46872000000000003</v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219.14285714285717</v>
      </c>
      <c r="BN141" s="64">
        <f>IFERROR(Y141*I141/H141,"0")</f>
        <v>220.89599999999999</v>
      </c>
      <c r="BO141" s="64">
        <f>IFERROR(1/J141*(X141/H141),"0")</f>
        <v>0.39246467817896391</v>
      </c>
      <c r="BP141" s="64">
        <f>IFERROR(1/J141*(Y141/H141),"0")</f>
        <v>0.39560439560439564</v>
      </c>
    </row>
    <row r="142" spans="1:68" x14ac:dyDescent="0.2">
      <c r="A142" s="693"/>
      <c r="B142" s="686"/>
      <c r="C142" s="686"/>
      <c r="D142" s="686"/>
      <c r="E142" s="686"/>
      <c r="F142" s="686"/>
      <c r="G142" s="686"/>
      <c r="H142" s="686"/>
      <c r="I142" s="686"/>
      <c r="J142" s="686"/>
      <c r="K142" s="686"/>
      <c r="L142" s="686"/>
      <c r="M142" s="686"/>
      <c r="N142" s="686"/>
      <c r="O142" s="694"/>
      <c r="P142" s="695" t="s">
        <v>87</v>
      </c>
      <c r="Q142" s="696"/>
      <c r="R142" s="696"/>
      <c r="S142" s="696"/>
      <c r="T142" s="696"/>
      <c r="U142" s="696"/>
      <c r="V142" s="697"/>
      <c r="W142" s="37" t="s">
        <v>88</v>
      </c>
      <c r="X142" s="669">
        <f>IFERROR(X140/H140,"0")+IFERROR(X141/H141,"0")</f>
        <v>71.428571428571431</v>
      </c>
      <c r="Y142" s="669">
        <f>IFERROR(Y140/H140,"0")+IFERROR(Y141/H141,"0")</f>
        <v>72</v>
      </c>
      <c r="Z142" s="669">
        <f>IFERROR(IF(Z140="",0,Z140),"0")+IFERROR(IF(Z141="",0,Z141),"0")</f>
        <v>0.46872000000000003</v>
      </c>
      <c r="AA142" s="670"/>
      <c r="AB142" s="670"/>
      <c r="AC142" s="670"/>
    </row>
    <row r="143" spans="1:68" x14ac:dyDescent="0.2">
      <c r="A143" s="686"/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94"/>
      <c r="P143" s="695" t="s">
        <v>87</v>
      </c>
      <c r="Q143" s="696"/>
      <c r="R143" s="696"/>
      <c r="S143" s="696"/>
      <c r="T143" s="696"/>
      <c r="U143" s="696"/>
      <c r="V143" s="697"/>
      <c r="W143" s="37" t="s">
        <v>68</v>
      </c>
      <c r="X143" s="669">
        <f>IFERROR(SUM(X140:X141),"0")</f>
        <v>200</v>
      </c>
      <c r="Y143" s="669">
        <f>IFERROR(SUM(Y140:Y141),"0")</f>
        <v>201.6</v>
      </c>
      <c r="Z143" s="37"/>
      <c r="AA143" s="670"/>
      <c r="AB143" s="670"/>
      <c r="AC143" s="670"/>
    </row>
    <row r="144" spans="1:68" ht="14.25" hidden="1" customHeight="1" x14ac:dyDescent="0.25">
      <c r="A144" s="703" t="s">
        <v>63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78">
        <v>4680115882584</v>
      </c>
      <c r="E145" s="679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10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2"/>
      <c r="R145" s="672"/>
      <c r="S145" s="672"/>
      <c r="T145" s="673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78">
        <v>4680115882584</v>
      </c>
      <c r="E146" s="679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7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2"/>
      <c r="R146" s="672"/>
      <c r="S146" s="672"/>
      <c r="T146" s="673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3"/>
      <c r="B147" s="686"/>
      <c r="C147" s="686"/>
      <c r="D147" s="686"/>
      <c r="E147" s="686"/>
      <c r="F147" s="686"/>
      <c r="G147" s="686"/>
      <c r="H147" s="686"/>
      <c r="I147" s="686"/>
      <c r="J147" s="686"/>
      <c r="K147" s="686"/>
      <c r="L147" s="686"/>
      <c r="M147" s="686"/>
      <c r="N147" s="686"/>
      <c r="O147" s="694"/>
      <c r="P147" s="695" t="s">
        <v>87</v>
      </c>
      <c r="Q147" s="696"/>
      <c r="R147" s="696"/>
      <c r="S147" s="696"/>
      <c r="T147" s="696"/>
      <c r="U147" s="696"/>
      <c r="V147" s="697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86"/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94"/>
      <c r="P148" s="695" t="s">
        <v>87</v>
      </c>
      <c r="Q148" s="696"/>
      <c r="R148" s="696"/>
      <c r="S148" s="696"/>
      <c r="T148" s="696"/>
      <c r="U148" s="696"/>
      <c r="V148" s="697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705" t="s">
        <v>95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2"/>
      <c r="AB149" s="662"/>
      <c r="AC149" s="662"/>
    </row>
    <row r="150" spans="1:68" ht="14.25" hidden="1" customHeight="1" x14ac:dyDescent="0.25">
      <c r="A150" s="703" t="s">
        <v>97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78">
        <v>4607091384604</v>
      </c>
      <c r="E151" s="679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2"/>
      <c r="R151" s="672"/>
      <c r="S151" s="672"/>
      <c r="T151" s="673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3"/>
      <c r="B152" s="686"/>
      <c r="C152" s="686"/>
      <c r="D152" s="686"/>
      <c r="E152" s="686"/>
      <c r="F152" s="686"/>
      <c r="G152" s="686"/>
      <c r="H152" s="686"/>
      <c r="I152" s="686"/>
      <c r="J152" s="686"/>
      <c r="K152" s="686"/>
      <c r="L152" s="686"/>
      <c r="M152" s="686"/>
      <c r="N152" s="686"/>
      <c r="O152" s="694"/>
      <c r="P152" s="695" t="s">
        <v>87</v>
      </c>
      <c r="Q152" s="696"/>
      <c r="R152" s="696"/>
      <c r="S152" s="696"/>
      <c r="T152" s="696"/>
      <c r="U152" s="696"/>
      <c r="V152" s="697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86"/>
      <c r="B153" s="686"/>
      <c r="C153" s="686"/>
      <c r="D153" s="686"/>
      <c r="E153" s="686"/>
      <c r="F153" s="686"/>
      <c r="G153" s="686"/>
      <c r="H153" s="686"/>
      <c r="I153" s="686"/>
      <c r="J153" s="686"/>
      <c r="K153" s="686"/>
      <c r="L153" s="686"/>
      <c r="M153" s="686"/>
      <c r="N153" s="686"/>
      <c r="O153" s="694"/>
      <c r="P153" s="695" t="s">
        <v>87</v>
      </c>
      <c r="Q153" s="696"/>
      <c r="R153" s="696"/>
      <c r="S153" s="696"/>
      <c r="T153" s="696"/>
      <c r="U153" s="696"/>
      <c r="V153" s="697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703" t="s">
        <v>144</v>
      </c>
      <c r="B154" s="686"/>
      <c r="C154" s="686"/>
      <c r="D154" s="686"/>
      <c r="E154" s="686"/>
      <c r="F154" s="686"/>
      <c r="G154" s="686"/>
      <c r="H154" s="686"/>
      <c r="I154" s="686"/>
      <c r="J154" s="686"/>
      <c r="K154" s="686"/>
      <c r="L154" s="686"/>
      <c r="M154" s="686"/>
      <c r="N154" s="686"/>
      <c r="O154" s="686"/>
      <c r="P154" s="686"/>
      <c r="Q154" s="686"/>
      <c r="R154" s="686"/>
      <c r="S154" s="686"/>
      <c r="T154" s="686"/>
      <c r="U154" s="686"/>
      <c r="V154" s="686"/>
      <c r="W154" s="686"/>
      <c r="X154" s="686"/>
      <c r="Y154" s="686"/>
      <c r="Z154" s="686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78">
        <v>4607091387667</v>
      </c>
      <c r="E155" s="679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103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2"/>
      <c r="R155" s="672"/>
      <c r="S155" s="672"/>
      <c r="T155" s="673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78">
        <v>4607091387636</v>
      </c>
      <c r="E156" s="679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86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78">
        <v>4607091382426</v>
      </c>
      <c r="E157" s="679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7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93"/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94"/>
      <c r="P158" s="695" t="s">
        <v>87</v>
      </c>
      <c r="Q158" s="696"/>
      <c r="R158" s="696"/>
      <c r="S158" s="696"/>
      <c r="T158" s="696"/>
      <c r="U158" s="696"/>
      <c r="V158" s="697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86"/>
      <c r="B159" s="686"/>
      <c r="C159" s="686"/>
      <c r="D159" s="686"/>
      <c r="E159" s="686"/>
      <c r="F159" s="686"/>
      <c r="G159" s="686"/>
      <c r="H159" s="686"/>
      <c r="I159" s="686"/>
      <c r="J159" s="686"/>
      <c r="K159" s="686"/>
      <c r="L159" s="686"/>
      <c r="M159" s="686"/>
      <c r="N159" s="686"/>
      <c r="O159" s="694"/>
      <c r="P159" s="695" t="s">
        <v>87</v>
      </c>
      <c r="Q159" s="696"/>
      <c r="R159" s="696"/>
      <c r="S159" s="696"/>
      <c r="T159" s="696"/>
      <c r="U159" s="696"/>
      <c r="V159" s="697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703" t="s">
        <v>63</v>
      </c>
      <c r="B160" s="686"/>
      <c r="C160" s="686"/>
      <c r="D160" s="686"/>
      <c r="E160" s="686"/>
      <c r="F160" s="686"/>
      <c r="G160" s="686"/>
      <c r="H160" s="686"/>
      <c r="I160" s="686"/>
      <c r="J160" s="686"/>
      <c r="K160" s="686"/>
      <c r="L160" s="686"/>
      <c r="M160" s="686"/>
      <c r="N160" s="686"/>
      <c r="O160" s="686"/>
      <c r="P160" s="686"/>
      <c r="Q160" s="686"/>
      <c r="R160" s="686"/>
      <c r="S160" s="686"/>
      <c r="T160" s="686"/>
      <c r="U160" s="686"/>
      <c r="V160" s="686"/>
      <c r="W160" s="686"/>
      <c r="X160" s="686"/>
      <c r="Y160" s="686"/>
      <c r="Z160" s="686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78">
        <v>4607091386264</v>
      </c>
      <c r="E161" s="679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707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2"/>
      <c r="R161" s="672"/>
      <c r="S161" s="672"/>
      <c r="T161" s="673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93"/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94"/>
      <c r="P162" s="695" t="s">
        <v>87</v>
      </c>
      <c r="Q162" s="696"/>
      <c r="R162" s="696"/>
      <c r="S162" s="696"/>
      <c r="T162" s="696"/>
      <c r="U162" s="696"/>
      <c r="V162" s="697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86"/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94"/>
      <c r="P163" s="695" t="s">
        <v>87</v>
      </c>
      <c r="Q163" s="696"/>
      <c r="R163" s="696"/>
      <c r="S163" s="696"/>
      <c r="T163" s="696"/>
      <c r="U163" s="696"/>
      <c r="V163" s="697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843" t="s">
        <v>279</v>
      </c>
      <c r="B164" s="844"/>
      <c r="C164" s="844"/>
      <c r="D164" s="844"/>
      <c r="E164" s="844"/>
      <c r="F164" s="844"/>
      <c r="G164" s="844"/>
      <c r="H164" s="844"/>
      <c r="I164" s="844"/>
      <c r="J164" s="844"/>
      <c r="K164" s="844"/>
      <c r="L164" s="844"/>
      <c r="M164" s="844"/>
      <c r="N164" s="844"/>
      <c r="O164" s="844"/>
      <c r="P164" s="844"/>
      <c r="Q164" s="844"/>
      <c r="R164" s="844"/>
      <c r="S164" s="844"/>
      <c r="T164" s="844"/>
      <c r="U164" s="844"/>
      <c r="V164" s="844"/>
      <c r="W164" s="844"/>
      <c r="X164" s="844"/>
      <c r="Y164" s="844"/>
      <c r="Z164" s="844"/>
      <c r="AA164" s="48"/>
      <c r="AB164" s="48"/>
      <c r="AC164" s="48"/>
    </row>
    <row r="165" spans="1:68" ht="16.5" hidden="1" customHeight="1" x14ac:dyDescent="0.25">
      <c r="A165" s="705" t="s">
        <v>280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6"/>
      <c r="N165" s="686"/>
      <c r="O165" s="686"/>
      <c r="P165" s="686"/>
      <c r="Q165" s="686"/>
      <c r="R165" s="686"/>
      <c r="S165" s="686"/>
      <c r="T165" s="686"/>
      <c r="U165" s="686"/>
      <c r="V165" s="686"/>
      <c r="W165" s="686"/>
      <c r="X165" s="686"/>
      <c r="Y165" s="686"/>
      <c r="Z165" s="686"/>
      <c r="AA165" s="662"/>
      <c r="AB165" s="662"/>
      <c r="AC165" s="662"/>
    </row>
    <row r="166" spans="1:68" ht="14.25" hidden="1" customHeight="1" x14ac:dyDescent="0.25">
      <c r="A166" s="703" t="s">
        <v>133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78">
        <v>4680115886223</v>
      </c>
      <c r="E167" s="679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9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2"/>
      <c r="R167" s="672"/>
      <c r="S167" s="672"/>
      <c r="T167" s="673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93"/>
      <c r="B168" s="686"/>
      <c r="C168" s="686"/>
      <c r="D168" s="686"/>
      <c r="E168" s="686"/>
      <c r="F168" s="686"/>
      <c r="G168" s="686"/>
      <c r="H168" s="686"/>
      <c r="I168" s="686"/>
      <c r="J168" s="686"/>
      <c r="K168" s="686"/>
      <c r="L168" s="686"/>
      <c r="M168" s="686"/>
      <c r="N168" s="686"/>
      <c r="O168" s="694"/>
      <c r="P168" s="695" t="s">
        <v>87</v>
      </c>
      <c r="Q168" s="696"/>
      <c r="R168" s="696"/>
      <c r="S168" s="696"/>
      <c r="T168" s="696"/>
      <c r="U168" s="696"/>
      <c r="V168" s="697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86"/>
      <c r="B169" s="686"/>
      <c r="C169" s="686"/>
      <c r="D169" s="686"/>
      <c r="E169" s="686"/>
      <c r="F169" s="686"/>
      <c r="G169" s="686"/>
      <c r="H169" s="686"/>
      <c r="I169" s="686"/>
      <c r="J169" s="686"/>
      <c r="K169" s="686"/>
      <c r="L169" s="686"/>
      <c r="M169" s="686"/>
      <c r="N169" s="686"/>
      <c r="O169" s="694"/>
      <c r="P169" s="695" t="s">
        <v>87</v>
      </c>
      <c r="Q169" s="696"/>
      <c r="R169" s="696"/>
      <c r="S169" s="696"/>
      <c r="T169" s="696"/>
      <c r="U169" s="696"/>
      <c r="V169" s="697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703" t="s">
        <v>144</v>
      </c>
      <c r="B170" s="686"/>
      <c r="C170" s="686"/>
      <c r="D170" s="686"/>
      <c r="E170" s="686"/>
      <c r="F170" s="686"/>
      <c r="G170" s="686"/>
      <c r="H170" s="686"/>
      <c r="I170" s="686"/>
      <c r="J170" s="686"/>
      <c r="K170" s="686"/>
      <c r="L170" s="686"/>
      <c r="M170" s="686"/>
      <c r="N170" s="686"/>
      <c r="O170" s="686"/>
      <c r="P170" s="686"/>
      <c r="Q170" s="686"/>
      <c r="R170" s="686"/>
      <c r="S170" s="686"/>
      <c r="T170" s="686"/>
      <c r="U170" s="686"/>
      <c r="V170" s="686"/>
      <c r="W170" s="686"/>
      <c r="X170" s="686"/>
      <c r="Y170" s="686"/>
      <c r="Z170" s="686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78">
        <v>4680115880993</v>
      </c>
      <c r="E171" s="679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10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2"/>
      <c r="R171" s="672"/>
      <c r="S171" s="672"/>
      <c r="T171" s="673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78">
        <v>4680115881761</v>
      </c>
      <c r="E172" s="679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102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2"/>
      <c r="R172" s="672"/>
      <c r="S172" s="672"/>
      <c r="T172" s="673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8">
        <v>4680115881563</v>
      </c>
      <c r="E173" s="679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9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2"/>
      <c r="R173" s="672"/>
      <c r="S173" s="672"/>
      <c r="T173" s="673"/>
      <c r="U173" s="34"/>
      <c r="V173" s="34"/>
      <c r="W173" s="35" t="s">
        <v>68</v>
      </c>
      <c r="X173" s="667">
        <v>150</v>
      </c>
      <c r="Y173" s="668">
        <f t="shared" si="26"/>
        <v>151.20000000000002</v>
      </c>
      <c r="Z173" s="36">
        <f>IFERROR(IF(Y173=0,"",ROUNDUP(Y173/H173,0)*0.00902),"")</f>
        <v>0.32472000000000001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157.5</v>
      </c>
      <c r="BN173" s="64">
        <f t="shared" si="28"/>
        <v>158.76000000000002</v>
      </c>
      <c r="BO173" s="64">
        <f t="shared" si="29"/>
        <v>0.27056277056277056</v>
      </c>
      <c r="BP173" s="64">
        <f t="shared" si="30"/>
        <v>0.27272727272727271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78">
        <v>4680115880986</v>
      </c>
      <c r="E174" s="679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7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2"/>
      <c r="R174" s="672"/>
      <c r="S174" s="672"/>
      <c r="T174" s="673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78">
        <v>4680115881785</v>
      </c>
      <c r="E175" s="679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8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78">
        <v>4680115886537</v>
      </c>
      <c r="E176" s="679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788" t="s">
        <v>299</v>
      </c>
      <c r="Q176" s="672"/>
      <c r="R176" s="672"/>
      <c r="S176" s="672"/>
      <c r="T176" s="673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78">
        <v>4680115881679</v>
      </c>
      <c r="E177" s="679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2"/>
      <c r="R177" s="672"/>
      <c r="S177" s="672"/>
      <c r="T177" s="673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78">
        <v>4680115880191</v>
      </c>
      <c r="E178" s="679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78">
        <v>4680115883963</v>
      </c>
      <c r="E179" s="679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2"/>
      <c r="R179" s="672"/>
      <c r="S179" s="672"/>
      <c r="T179" s="673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93"/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94"/>
      <c r="P180" s="695" t="s">
        <v>87</v>
      </c>
      <c r="Q180" s="696"/>
      <c r="R180" s="696"/>
      <c r="S180" s="696"/>
      <c r="T180" s="696"/>
      <c r="U180" s="696"/>
      <c r="V180" s="697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35.714285714285715</v>
      </c>
      <c r="Y180" s="669">
        <f>IFERROR(Y171/H171,"0")+IFERROR(Y172/H172,"0")+IFERROR(Y173/H173,"0")+IFERROR(Y174/H174,"0")+IFERROR(Y175/H175,"0")+IFERROR(Y176/H176,"0")+IFERROR(Y177/H177,"0")+IFERROR(Y178/H178,"0")+IFERROR(Y179/H179,"0")</f>
        <v>36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0.32472000000000001</v>
      </c>
      <c r="AA180" s="670"/>
      <c r="AB180" s="670"/>
      <c r="AC180" s="670"/>
    </row>
    <row r="181" spans="1:68" x14ac:dyDescent="0.2">
      <c r="A181" s="686"/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94"/>
      <c r="P181" s="695" t="s">
        <v>87</v>
      </c>
      <c r="Q181" s="696"/>
      <c r="R181" s="696"/>
      <c r="S181" s="696"/>
      <c r="T181" s="696"/>
      <c r="U181" s="696"/>
      <c r="V181" s="697"/>
      <c r="W181" s="37" t="s">
        <v>68</v>
      </c>
      <c r="X181" s="669">
        <f>IFERROR(SUM(X171:X179),"0")</f>
        <v>150</v>
      </c>
      <c r="Y181" s="669">
        <f>IFERROR(SUM(Y171:Y179),"0")</f>
        <v>151.20000000000002</v>
      </c>
      <c r="Z181" s="37"/>
      <c r="AA181" s="670"/>
      <c r="AB181" s="670"/>
      <c r="AC181" s="670"/>
    </row>
    <row r="182" spans="1:68" ht="14.25" hidden="1" customHeight="1" x14ac:dyDescent="0.25">
      <c r="A182" s="703" t="s">
        <v>89</v>
      </c>
      <c r="B182" s="686"/>
      <c r="C182" s="686"/>
      <c r="D182" s="686"/>
      <c r="E182" s="686"/>
      <c r="F182" s="686"/>
      <c r="G182" s="686"/>
      <c r="H182" s="686"/>
      <c r="I182" s="686"/>
      <c r="J182" s="686"/>
      <c r="K182" s="686"/>
      <c r="L182" s="686"/>
      <c r="M182" s="686"/>
      <c r="N182" s="686"/>
      <c r="O182" s="686"/>
      <c r="P182" s="686"/>
      <c r="Q182" s="686"/>
      <c r="R182" s="686"/>
      <c r="S182" s="686"/>
      <c r="T182" s="686"/>
      <c r="U182" s="686"/>
      <c r="V182" s="686"/>
      <c r="W182" s="686"/>
      <c r="X182" s="686"/>
      <c r="Y182" s="686"/>
      <c r="Z182" s="686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78">
        <v>4680115886742</v>
      </c>
      <c r="E183" s="679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13" t="s">
        <v>312</v>
      </c>
      <c r="Q183" s="672"/>
      <c r="R183" s="672"/>
      <c r="S183" s="672"/>
      <c r="T183" s="673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78">
        <v>4680115886766</v>
      </c>
      <c r="E184" s="679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1013" t="s">
        <v>317</v>
      </c>
      <c r="Q184" s="672"/>
      <c r="R184" s="672"/>
      <c r="S184" s="672"/>
      <c r="T184" s="673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78">
        <v>4680115886780</v>
      </c>
      <c r="E185" s="679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924" t="s">
        <v>320</v>
      </c>
      <c r="Q185" s="672"/>
      <c r="R185" s="672"/>
      <c r="S185" s="672"/>
      <c r="T185" s="673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93"/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94"/>
      <c r="P186" s="695" t="s">
        <v>87</v>
      </c>
      <c r="Q186" s="696"/>
      <c r="R186" s="696"/>
      <c r="S186" s="696"/>
      <c r="T186" s="696"/>
      <c r="U186" s="696"/>
      <c r="V186" s="697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86"/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94"/>
      <c r="P187" s="695" t="s">
        <v>87</v>
      </c>
      <c r="Q187" s="696"/>
      <c r="R187" s="696"/>
      <c r="S187" s="696"/>
      <c r="T187" s="696"/>
      <c r="U187" s="696"/>
      <c r="V187" s="697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703" t="s">
        <v>322</v>
      </c>
      <c r="B188" s="686"/>
      <c r="C188" s="686"/>
      <c r="D188" s="686"/>
      <c r="E188" s="686"/>
      <c r="F188" s="686"/>
      <c r="G188" s="686"/>
      <c r="H188" s="686"/>
      <c r="I188" s="686"/>
      <c r="J188" s="686"/>
      <c r="K188" s="686"/>
      <c r="L188" s="686"/>
      <c r="M188" s="686"/>
      <c r="N188" s="686"/>
      <c r="O188" s="686"/>
      <c r="P188" s="686"/>
      <c r="Q188" s="686"/>
      <c r="R188" s="686"/>
      <c r="S188" s="686"/>
      <c r="T188" s="686"/>
      <c r="U188" s="686"/>
      <c r="V188" s="686"/>
      <c r="W188" s="686"/>
      <c r="X188" s="686"/>
      <c r="Y188" s="686"/>
      <c r="Z188" s="686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78">
        <v>4680115886797</v>
      </c>
      <c r="E189" s="679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1040" t="s">
        <v>325</v>
      </c>
      <c r="Q189" s="672"/>
      <c r="R189" s="672"/>
      <c r="S189" s="672"/>
      <c r="T189" s="673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93"/>
      <c r="B190" s="686"/>
      <c r="C190" s="686"/>
      <c r="D190" s="686"/>
      <c r="E190" s="686"/>
      <c r="F190" s="686"/>
      <c r="G190" s="686"/>
      <c r="H190" s="686"/>
      <c r="I190" s="686"/>
      <c r="J190" s="686"/>
      <c r="K190" s="686"/>
      <c r="L190" s="686"/>
      <c r="M190" s="686"/>
      <c r="N190" s="686"/>
      <c r="O190" s="694"/>
      <c r="P190" s="695" t="s">
        <v>87</v>
      </c>
      <c r="Q190" s="696"/>
      <c r="R190" s="696"/>
      <c r="S190" s="696"/>
      <c r="T190" s="696"/>
      <c r="U190" s="696"/>
      <c r="V190" s="697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86"/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94"/>
      <c r="P191" s="695" t="s">
        <v>87</v>
      </c>
      <c r="Q191" s="696"/>
      <c r="R191" s="696"/>
      <c r="S191" s="696"/>
      <c r="T191" s="696"/>
      <c r="U191" s="696"/>
      <c r="V191" s="697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705" t="s">
        <v>326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2"/>
      <c r="AB192" s="662"/>
      <c r="AC192" s="662"/>
    </row>
    <row r="193" spans="1:68" ht="14.25" hidden="1" customHeight="1" x14ac:dyDescent="0.25">
      <c r="A193" s="703" t="s">
        <v>97</v>
      </c>
      <c r="B193" s="686"/>
      <c r="C193" s="686"/>
      <c r="D193" s="686"/>
      <c r="E193" s="686"/>
      <c r="F193" s="686"/>
      <c r="G193" s="686"/>
      <c r="H193" s="686"/>
      <c r="I193" s="686"/>
      <c r="J193" s="686"/>
      <c r="K193" s="686"/>
      <c r="L193" s="686"/>
      <c r="M193" s="686"/>
      <c r="N193" s="686"/>
      <c r="O193" s="686"/>
      <c r="P193" s="686"/>
      <c r="Q193" s="686"/>
      <c r="R193" s="686"/>
      <c r="S193" s="686"/>
      <c r="T193" s="686"/>
      <c r="U193" s="686"/>
      <c r="V193" s="686"/>
      <c r="W193" s="686"/>
      <c r="X193" s="686"/>
      <c r="Y193" s="686"/>
      <c r="Z193" s="686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78">
        <v>4680115881402</v>
      </c>
      <c r="E194" s="679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2"/>
      <c r="R194" s="672"/>
      <c r="S194" s="672"/>
      <c r="T194" s="673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78">
        <v>4680115881396</v>
      </c>
      <c r="E195" s="679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9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2"/>
      <c r="R195" s="672"/>
      <c r="S195" s="672"/>
      <c r="T195" s="673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93"/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94"/>
      <c r="P196" s="695" t="s">
        <v>87</v>
      </c>
      <c r="Q196" s="696"/>
      <c r="R196" s="696"/>
      <c r="S196" s="696"/>
      <c r="T196" s="696"/>
      <c r="U196" s="696"/>
      <c r="V196" s="697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86"/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94"/>
      <c r="P197" s="695" t="s">
        <v>87</v>
      </c>
      <c r="Q197" s="696"/>
      <c r="R197" s="696"/>
      <c r="S197" s="696"/>
      <c r="T197" s="696"/>
      <c r="U197" s="696"/>
      <c r="V197" s="697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703" t="s">
        <v>133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78">
        <v>4680115882935</v>
      </c>
      <c r="E199" s="679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7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2"/>
      <c r="R199" s="672"/>
      <c r="S199" s="672"/>
      <c r="T199" s="673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78">
        <v>4680115880764</v>
      </c>
      <c r="E200" s="679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2"/>
      <c r="R200" s="672"/>
      <c r="S200" s="672"/>
      <c r="T200" s="673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93"/>
      <c r="B201" s="686"/>
      <c r="C201" s="686"/>
      <c r="D201" s="686"/>
      <c r="E201" s="686"/>
      <c r="F201" s="686"/>
      <c r="G201" s="686"/>
      <c r="H201" s="686"/>
      <c r="I201" s="686"/>
      <c r="J201" s="686"/>
      <c r="K201" s="686"/>
      <c r="L201" s="686"/>
      <c r="M201" s="686"/>
      <c r="N201" s="686"/>
      <c r="O201" s="694"/>
      <c r="P201" s="695" t="s">
        <v>87</v>
      </c>
      <c r="Q201" s="696"/>
      <c r="R201" s="696"/>
      <c r="S201" s="696"/>
      <c r="T201" s="696"/>
      <c r="U201" s="696"/>
      <c r="V201" s="697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86"/>
      <c r="B202" s="686"/>
      <c r="C202" s="686"/>
      <c r="D202" s="686"/>
      <c r="E202" s="686"/>
      <c r="F202" s="686"/>
      <c r="G202" s="686"/>
      <c r="H202" s="686"/>
      <c r="I202" s="686"/>
      <c r="J202" s="686"/>
      <c r="K202" s="686"/>
      <c r="L202" s="686"/>
      <c r="M202" s="686"/>
      <c r="N202" s="686"/>
      <c r="O202" s="694"/>
      <c r="P202" s="695" t="s">
        <v>87</v>
      </c>
      <c r="Q202" s="696"/>
      <c r="R202" s="696"/>
      <c r="S202" s="696"/>
      <c r="T202" s="696"/>
      <c r="U202" s="696"/>
      <c r="V202" s="697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703" t="s">
        <v>144</v>
      </c>
      <c r="B203" s="686"/>
      <c r="C203" s="686"/>
      <c r="D203" s="686"/>
      <c r="E203" s="686"/>
      <c r="F203" s="686"/>
      <c r="G203" s="686"/>
      <c r="H203" s="686"/>
      <c r="I203" s="686"/>
      <c r="J203" s="686"/>
      <c r="K203" s="686"/>
      <c r="L203" s="686"/>
      <c r="M203" s="686"/>
      <c r="N203" s="686"/>
      <c r="O203" s="686"/>
      <c r="P203" s="686"/>
      <c r="Q203" s="686"/>
      <c r="R203" s="686"/>
      <c r="S203" s="686"/>
      <c r="T203" s="686"/>
      <c r="U203" s="686"/>
      <c r="V203" s="686"/>
      <c r="W203" s="686"/>
      <c r="X203" s="686"/>
      <c r="Y203" s="686"/>
      <c r="Z203" s="686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8">
        <v>4680115882683</v>
      </c>
      <c r="E204" s="679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7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7">
        <v>200</v>
      </c>
      <c r="Y204" s="668">
        <f t="shared" ref="Y204:Y211" si="31">IFERROR(IF(X204="",0,CEILING((X204/$H204),1)*$H204),"")</f>
        <v>205.20000000000002</v>
      </c>
      <c r="Z204" s="36">
        <f>IFERROR(IF(Y204=0,"",ROUNDUP(Y204/H204,0)*0.00902),"")</f>
        <v>0.34276000000000001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207.77777777777777</v>
      </c>
      <c r="BN204" s="64">
        <f t="shared" ref="BN204:BN211" si="33">IFERROR(Y204*I204/H204,"0")</f>
        <v>213.18000000000004</v>
      </c>
      <c r="BO204" s="64">
        <f t="shared" ref="BO204:BO211" si="34">IFERROR(1/J204*(X204/H204),"0")</f>
        <v>0.28058361391694725</v>
      </c>
      <c r="BP204" s="64">
        <f t="shared" ref="BP204:BP211" si="35">IFERROR(1/J204*(Y204/H204),"0")</f>
        <v>0.2878787878787879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8">
        <v>4680115882690</v>
      </c>
      <c r="E205" s="679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9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7">
        <v>200</v>
      </c>
      <c r="Y205" s="668">
        <f t="shared" si="31"/>
        <v>205.20000000000002</v>
      </c>
      <c r="Z205" s="36">
        <f>IFERROR(IF(Y205=0,"",ROUNDUP(Y205/H205,0)*0.00902),"")</f>
        <v>0.34276000000000001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207.77777777777777</v>
      </c>
      <c r="BN205" s="64">
        <f t="shared" si="33"/>
        <v>213.18000000000004</v>
      </c>
      <c r="BO205" s="64">
        <f t="shared" si="34"/>
        <v>0.28058361391694725</v>
      </c>
      <c r="BP205" s="64">
        <f t="shared" si="35"/>
        <v>0.2878787878787879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8">
        <v>4680115882669</v>
      </c>
      <c r="E206" s="679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7">
        <v>250</v>
      </c>
      <c r="Y206" s="668">
        <f t="shared" si="31"/>
        <v>253.8</v>
      </c>
      <c r="Z206" s="36">
        <f>IFERROR(IF(Y206=0,"",ROUNDUP(Y206/H206,0)*0.00902),"")</f>
        <v>0.42393999999999998</v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259.72222222222223</v>
      </c>
      <c r="BN206" s="64">
        <f t="shared" si="33"/>
        <v>263.67</v>
      </c>
      <c r="BO206" s="64">
        <f t="shared" si="34"/>
        <v>0.35072951739618402</v>
      </c>
      <c r="BP206" s="64">
        <f t="shared" si="35"/>
        <v>0.35606060606060608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8">
        <v>4680115882676</v>
      </c>
      <c r="E207" s="679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8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7">
        <v>250</v>
      </c>
      <c r="Y207" s="668">
        <f t="shared" si="31"/>
        <v>253.8</v>
      </c>
      <c r="Z207" s="36">
        <f>IFERROR(IF(Y207=0,"",ROUNDUP(Y207/H207,0)*0.00902),"")</f>
        <v>0.42393999999999998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259.72222222222223</v>
      </c>
      <c r="BN207" s="64">
        <f t="shared" si="33"/>
        <v>263.67</v>
      </c>
      <c r="BO207" s="64">
        <f t="shared" si="34"/>
        <v>0.35072951739618402</v>
      </c>
      <c r="BP207" s="64">
        <f t="shared" si="35"/>
        <v>0.35606060606060608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78">
        <v>4680115884014</v>
      </c>
      <c r="E208" s="679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78">
        <v>4680115884007</v>
      </c>
      <c r="E209" s="679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10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2"/>
      <c r="R209" s="672"/>
      <c r="S209" s="672"/>
      <c r="T209" s="673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78">
        <v>4680115884038</v>
      </c>
      <c r="E210" s="679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9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2"/>
      <c r="R210" s="672"/>
      <c r="S210" s="672"/>
      <c r="T210" s="673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78">
        <v>4680115884021</v>
      </c>
      <c r="E211" s="679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2"/>
      <c r="R211" s="672"/>
      <c r="S211" s="672"/>
      <c r="T211" s="673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93"/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94"/>
      <c r="P212" s="695" t="s">
        <v>87</v>
      </c>
      <c r="Q212" s="696"/>
      <c r="R212" s="696"/>
      <c r="S212" s="696"/>
      <c r="T212" s="696"/>
      <c r="U212" s="696"/>
      <c r="V212" s="697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166.66666666666666</v>
      </c>
      <c r="Y212" s="669">
        <f>IFERROR(Y204/H204,"0")+IFERROR(Y205/H205,"0")+IFERROR(Y206/H206,"0")+IFERROR(Y207/H207,"0")+IFERROR(Y208/H208,"0")+IFERROR(Y209/H209,"0")+IFERROR(Y210/H210,"0")+IFERROR(Y211/H211,"0")</f>
        <v>170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1.5333999999999999</v>
      </c>
      <c r="AA212" s="670"/>
      <c r="AB212" s="670"/>
      <c r="AC212" s="670"/>
    </row>
    <row r="213" spans="1:68" x14ac:dyDescent="0.2">
      <c r="A213" s="686"/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94"/>
      <c r="P213" s="695" t="s">
        <v>87</v>
      </c>
      <c r="Q213" s="696"/>
      <c r="R213" s="696"/>
      <c r="S213" s="696"/>
      <c r="T213" s="696"/>
      <c r="U213" s="696"/>
      <c r="V213" s="697"/>
      <c r="W213" s="37" t="s">
        <v>68</v>
      </c>
      <c r="X213" s="669">
        <f>IFERROR(SUM(X204:X211),"0")</f>
        <v>900</v>
      </c>
      <c r="Y213" s="669">
        <f>IFERROR(SUM(Y204:Y211),"0")</f>
        <v>918</v>
      </c>
      <c r="Z213" s="37"/>
      <c r="AA213" s="670"/>
      <c r="AB213" s="670"/>
      <c r="AC213" s="670"/>
    </row>
    <row r="214" spans="1:68" ht="14.25" hidden="1" customHeight="1" x14ac:dyDescent="0.25">
      <c r="A214" s="703" t="s">
        <v>63</v>
      </c>
      <c r="B214" s="686"/>
      <c r="C214" s="686"/>
      <c r="D214" s="686"/>
      <c r="E214" s="686"/>
      <c r="F214" s="686"/>
      <c r="G214" s="686"/>
      <c r="H214" s="686"/>
      <c r="I214" s="686"/>
      <c r="J214" s="686"/>
      <c r="K214" s="686"/>
      <c r="L214" s="686"/>
      <c r="M214" s="686"/>
      <c r="N214" s="686"/>
      <c r="O214" s="686"/>
      <c r="P214" s="686"/>
      <c r="Q214" s="686"/>
      <c r="R214" s="686"/>
      <c r="S214" s="686"/>
      <c r="T214" s="686"/>
      <c r="U214" s="686"/>
      <c r="V214" s="686"/>
      <c r="W214" s="686"/>
      <c r="X214" s="686"/>
      <c r="Y214" s="686"/>
      <c r="Z214" s="686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8">
        <v>4680115881594</v>
      </c>
      <c r="E215" s="679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10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7">
        <v>250</v>
      </c>
      <c r="Y215" s="668">
        <f t="shared" ref="Y215:Y223" si="36">IFERROR(IF(X215="",0,CEILING((X215/$H215),1)*$H215),"")</f>
        <v>251.1</v>
      </c>
      <c r="Z215" s="36">
        <f>IFERROR(IF(Y215=0,"",ROUNDUP(Y215/H215,0)*0.01898),"")</f>
        <v>0.58838000000000001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266.01851851851853</v>
      </c>
      <c r="BN215" s="64">
        <f t="shared" ref="BN215:BN223" si="38">IFERROR(Y215*I215/H215,"0")</f>
        <v>267.18900000000002</v>
      </c>
      <c r="BO215" s="64">
        <f t="shared" ref="BO215:BO223" si="39">IFERROR(1/J215*(X215/H215),"0")</f>
        <v>0.48225308641975312</v>
      </c>
      <c r="BP215" s="64">
        <f t="shared" ref="BP215:BP223" si="40">IFERROR(1/J215*(Y215/H215),"0")</f>
        <v>0.484375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78">
        <v>4680115881617</v>
      </c>
      <c r="E216" s="679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2"/>
      <c r="R216" s="672"/>
      <c r="S216" s="672"/>
      <c r="T216" s="673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78">
        <v>4680115880573</v>
      </c>
      <c r="E217" s="679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8">
        <v>4680115882195</v>
      </c>
      <c r="E218" s="679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7">
        <v>250</v>
      </c>
      <c r="Y218" s="668">
        <f t="shared" si="36"/>
        <v>252</v>
      </c>
      <c r="Z218" s="36">
        <f t="shared" ref="Z218:Z223" si="41">IFERROR(IF(Y218=0,"",ROUNDUP(Y218/H218,0)*0.00651),"")</f>
        <v>0.68354999999999999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278.125</v>
      </c>
      <c r="BN218" s="64">
        <f t="shared" si="38"/>
        <v>280.35000000000002</v>
      </c>
      <c r="BO218" s="64">
        <f t="shared" si="39"/>
        <v>0.57234432234432242</v>
      </c>
      <c r="BP218" s="64">
        <f t="shared" si="40"/>
        <v>0.57692307692307698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78">
        <v>4680115882607</v>
      </c>
      <c r="E219" s="679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9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2"/>
      <c r="R219" s="672"/>
      <c r="S219" s="672"/>
      <c r="T219" s="673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8">
        <v>4680115880092</v>
      </c>
      <c r="E220" s="679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10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7">
        <v>400</v>
      </c>
      <c r="Y220" s="668">
        <f t="shared" si="36"/>
        <v>400.8</v>
      </c>
      <c r="Z220" s="36">
        <f t="shared" si="41"/>
        <v>1.08717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442</v>
      </c>
      <c r="BN220" s="64">
        <f t="shared" si="38"/>
        <v>442.88400000000007</v>
      </c>
      <c r="BO220" s="64">
        <f t="shared" si="39"/>
        <v>0.91575091575091594</v>
      </c>
      <c r="BP220" s="64">
        <f t="shared" si="40"/>
        <v>0.91758241758241765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8">
        <v>4680115880221</v>
      </c>
      <c r="E221" s="679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2"/>
      <c r="R221" s="672"/>
      <c r="S221" s="672"/>
      <c r="T221" s="673"/>
      <c r="U221" s="34"/>
      <c r="V221" s="34"/>
      <c r="W221" s="35" t="s">
        <v>68</v>
      </c>
      <c r="X221" s="667">
        <v>400</v>
      </c>
      <c r="Y221" s="668">
        <f t="shared" si="36"/>
        <v>400.8</v>
      </c>
      <c r="Z221" s="36">
        <f t="shared" si="41"/>
        <v>1.08717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442</v>
      </c>
      <c r="BN221" s="64">
        <f t="shared" si="38"/>
        <v>442.88400000000007</v>
      </c>
      <c r="BO221" s="64">
        <f t="shared" si="39"/>
        <v>0.91575091575091594</v>
      </c>
      <c r="BP221" s="64">
        <f t="shared" si="40"/>
        <v>0.91758241758241765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8">
        <v>4680115880504</v>
      </c>
      <c r="E222" s="679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8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2"/>
      <c r="R222" s="672"/>
      <c r="S222" s="672"/>
      <c r="T222" s="673"/>
      <c r="U222" s="34"/>
      <c r="V222" s="34"/>
      <c r="W222" s="35" t="s">
        <v>68</v>
      </c>
      <c r="X222" s="667">
        <v>200</v>
      </c>
      <c r="Y222" s="668">
        <f t="shared" si="36"/>
        <v>201.6</v>
      </c>
      <c r="Z222" s="36">
        <f t="shared" si="41"/>
        <v>0.54683999999999999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221</v>
      </c>
      <c r="BN222" s="64">
        <f t="shared" si="38"/>
        <v>222.768</v>
      </c>
      <c r="BO222" s="64">
        <f t="shared" si="39"/>
        <v>0.45787545787545797</v>
      </c>
      <c r="BP222" s="64">
        <f t="shared" si="40"/>
        <v>0.46153846153846156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8">
        <v>4680115882164</v>
      </c>
      <c r="E223" s="679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2"/>
      <c r="R223" s="672"/>
      <c r="S223" s="672"/>
      <c r="T223" s="673"/>
      <c r="U223" s="34"/>
      <c r="V223" s="34"/>
      <c r="W223" s="35" t="s">
        <v>68</v>
      </c>
      <c r="X223" s="667">
        <v>250</v>
      </c>
      <c r="Y223" s="668">
        <f t="shared" si="36"/>
        <v>252</v>
      </c>
      <c r="Z223" s="36">
        <f t="shared" si="41"/>
        <v>0.68354999999999999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276.875</v>
      </c>
      <c r="BN223" s="64">
        <f t="shared" si="38"/>
        <v>279.09000000000003</v>
      </c>
      <c r="BO223" s="64">
        <f t="shared" si="39"/>
        <v>0.57234432234432242</v>
      </c>
      <c r="BP223" s="64">
        <f t="shared" si="40"/>
        <v>0.57692307692307698</v>
      </c>
    </row>
    <row r="224" spans="1:68" x14ac:dyDescent="0.2">
      <c r="A224" s="693"/>
      <c r="B224" s="686"/>
      <c r="C224" s="686"/>
      <c r="D224" s="686"/>
      <c r="E224" s="686"/>
      <c r="F224" s="686"/>
      <c r="G224" s="686"/>
      <c r="H224" s="686"/>
      <c r="I224" s="686"/>
      <c r="J224" s="686"/>
      <c r="K224" s="686"/>
      <c r="L224" s="686"/>
      <c r="M224" s="686"/>
      <c r="N224" s="686"/>
      <c r="O224" s="694"/>
      <c r="P224" s="695" t="s">
        <v>87</v>
      </c>
      <c r="Q224" s="696"/>
      <c r="R224" s="696"/>
      <c r="S224" s="696"/>
      <c r="T224" s="696"/>
      <c r="U224" s="696"/>
      <c r="V224" s="697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655.8641975308642</v>
      </c>
      <c r="Y224" s="669">
        <f>IFERROR(Y215/H215,"0")+IFERROR(Y216/H216,"0")+IFERROR(Y217/H217,"0")+IFERROR(Y218/H218,"0")+IFERROR(Y219/H219,"0")+IFERROR(Y220/H220,"0")+IFERROR(Y221/H221,"0")+IFERROR(Y222/H222,"0")+IFERROR(Y223/H223,"0")</f>
        <v>659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4.67666</v>
      </c>
      <c r="AA224" s="670"/>
      <c r="AB224" s="670"/>
      <c r="AC224" s="670"/>
    </row>
    <row r="225" spans="1:68" x14ac:dyDescent="0.2">
      <c r="A225" s="686"/>
      <c r="B225" s="686"/>
      <c r="C225" s="686"/>
      <c r="D225" s="686"/>
      <c r="E225" s="686"/>
      <c r="F225" s="686"/>
      <c r="G225" s="686"/>
      <c r="H225" s="686"/>
      <c r="I225" s="686"/>
      <c r="J225" s="686"/>
      <c r="K225" s="686"/>
      <c r="L225" s="686"/>
      <c r="M225" s="686"/>
      <c r="N225" s="686"/>
      <c r="O225" s="694"/>
      <c r="P225" s="695" t="s">
        <v>87</v>
      </c>
      <c r="Q225" s="696"/>
      <c r="R225" s="696"/>
      <c r="S225" s="696"/>
      <c r="T225" s="696"/>
      <c r="U225" s="696"/>
      <c r="V225" s="697"/>
      <c r="W225" s="37" t="s">
        <v>68</v>
      </c>
      <c r="X225" s="669">
        <f>IFERROR(SUM(X215:X223),"0")</f>
        <v>1750</v>
      </c>
      <c r="Y225" s="669">
        <f>IFERROR(SUM(Y215:Y223),"0")</f>
        <v>1758.3</v>
      </c>
      <c r="Z225" s="37"/>
      <c r="AA225" s="670"/>
      <c r="AB225" s="670"/>
      <c r="AC225" s="670"/>
    </row>
    <row r="226" spans="1:68" ht="14.25" hidden="1" customHeight="1" x14ac:dyDescent="0.25">
      <c r="A226" s="703" t="s">
        <v>170</v>
      </c>
      <c r="B226" s="686"/>
      <c r="C226" s="686"/>
      <c r="D226" s="686"/>
      <c r="E226" s="686"/>
      <c r="F226" s="686"/>
      <c r="G226" s="686"/>
      <c r="H226" s="686"/>
      <c r="I226" s="686"/>
      <c r="J226" s="686"/>
      <c r="K226" s="686"/>
      <c r="L226" s="686"/>
      <c r="M226" s="686"/>
      <c r="N226" s="686"/>
      <c r="O226" s="686"/>
      <c r="P226" s="686"/>
      <c r="Q226" s="686"/>
      <c r="R226" s="686"/>
      <c r="S226" s="686"/>
      <c r="T226" s="686"/>
      <c r="U226" s="686"/>
      <c r="V226" s="686"/>
      <c r="W226" s="686"/>
      <c r="X226" s="686"/>
      <c r="Y226" s="686"/>
      <c r="Z226" s="686"/>
      <c r="AA226" s="663"/>
      <c r="AB226" s="663"/>
      <c r="AC226" s="663"/>
    </row>
    <row r="227" spans="1:68" ht="27" hidden="1" customHeight="1" x14ac:dyDescent="0.25">
      <c r="A227" s="54" t="s">
        <v>381</v>
      </c>
      <c r="B227" s="54" t="s">
        <v>382</v>
      </c>
      <c r="C227" s="31">
        <v>4301060463</v>
      </c>
      <c r="D227" s="678">
        <v>4680115880818</v>
      </c>
      <c r="E227" s="679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81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2"/>
      <c r="R227" s="672"/>
      <c r="S227" s="672"/>
      <c r="T227" s="673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78">
        <v>4680115880801</v>
      </c>
      <c r="E228" s="679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2"/>
      <c r="R228" s="672"/>
      <c r="S228" s="672"/>
      <c r="T228" s="673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93"/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94"/>
      <c r="P229" s="695" t="s">
        <v>87</v>
      </c>
      <c r="Q229" s="696"/>
      <c r="R229" s="696"/>
      <c r="S229" s="696"/>
      <c r="T229" s="696"/>
      <c r="U229" s="696"/>
      <c r="V229" s="697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86"/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94"/>
      <c r="P230" s="695" t="s">
        <v>87</v>
      </c>
      <c r="Q230" s="696"/>
      <c r="R230" s="696"/>
      <c r="S230" s="696"/>
      <c r="T230" s="696"/>
      <c r="U230" s="696"/>
      <c r="V230" s="697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705" t="s">
        <v>387</v>
      </c>
      <c r="B231" s="686"/>
      <c r="C231" s="686"/>
      <c r="D231" s="686"/>
      <c r="E231" s="686"/>
      <c r="F231" s="686"/>
      <c r="G231" s="686"/>
      <c r="H231" s="686"/>
      <c r="I231" s="686"/>
      <c r="J231" s="686"/>
      <c r="K231" s="686"/>
      <c r="L231" s="686"/>
      <c r="M231" s="686"/>
      <c r="N231" s="686"/>
      <c r="O231" s="686"/>
      <c r="P231" s="686"/>
      <c r="Q231" s="686"/>
      <c r="R231" s="686"/>
      <c r="S231" s="686"/>
      <c r="T231" s="686"/>
      <c r="U231" s="686"/>
      <c r="V231" s="686"/>
      <c r="W231" s="686"/>
      <c r="X231" s="686"/>
      <c r="Y231" s="686"/>
      <c r="Z231" s="686"/>
      <c r="AA231" s="662"/>
      <c r="AB231" s="662"/>
      <c r="AC231" s="662"/>
    </row>
    <row r="232" spans="1:68" ht="14.25" hidden="1" customHeight="1" x14ac:dyDescent="0.25">
      <c r="A232" s="703" t="s">
        <v>97</v>
      </c>
      <c r="B232" s="686"/>
      <c r="C232" s="686"/>
      <c r="D232" s="686"/>
      <c r="E232" s="686"/>
      <c r="F232" s="686"/>
      <c r="G232" s="686"/>
      <c r="H232" s="686"/>
      <c r="I232" s="686"/>
      <c r="J232" s="686"/>
      <c r="K232" s="686"/>
      <c r="L232" s="686"/>
      <c r="M232" s="686"/>
      <c r="N232" s="686"/>
      <c r="O232" s="686"/>
      <c r="P232" s="686"/>
      <c r="Q232" s="686"/>
      <c r="R232" s="686"/>
      <c r="S232" s="686"/>
      <c r="T232" s="686"/>
      <c r="U232" s="686"/>
      <c r="V232" s="686"/>
      <c r="W232" s="686"/>
      <c r="X232" s="686"/>
      <c r="Y232" s="686"/>
      <c r="Z232" s="686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78">
        <v>4680115884137</v>
      </c>
      <c r="E233" s="679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78">
        <v>4680115884137</v>
      </c>
      <c r="E234" s="679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101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78">
        <v>4680115884236</v>
      </c>
      <c r="E235" s="679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78">
        <v>4680115884175</v>
      </c>
      <c r="E236" s="679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9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78">
        <v>4680115884175</v>
      </c>
      <c r="E237" s="679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103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78">
        <v>4680115884144</v>
      </c>
      <c r="E238" s="679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7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2"/>
      <c r="R238" s="672"/>
      <c r="S238" s="672"/>
      <c r="T238" s="673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78">
        <v>4680115884182</v>
      </c>
      <c r="E239" s="679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9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2"/>
      <c r="R239" s="672"/>
      <c r="S239" s="672"/>
      <c r="T239" s="673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78">
        <v>4680115884205</v>
      </c>
      <c r="E240" s="679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10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2"/>
      <c r="R240" s="672"/>
      <c r="S240" s="672"/>
      <c r="T240" s="673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93"/>
      <c r="B241" s="686"/>
      <c r="C241" s="686"/>
      <c r="D241" s="686"/>
      <c r="E241" s="686"/>
      <c r="F241" s="686"/>
      <c r="G241" s="686"/>
      <c r="H241" s="686"/>
      <c r="I241" s="686"/>
      <c r="J241" s="686"/>
      <c r="K241" s="686"/>
      <c r="L241" s="686"/>
      <c r="M241" s="686"/>
      <c r="N241" s="686"/>
      <c r="O241" s="694"/>
      <c r="P241" s="695" t="s">
        <v>87</v>
      </c>
      <c r="Q241" s="696"/>
      <c r="R241" s="696"/>
      <c r="S241" s="696"/>
      <c r="T241" s="696"/>
      <c r="U241" s="696"/>
      <c r="V241" s="697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86"/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6"/>
      <c r="M242" s="686"/>
      <c r="N242" s="686"/>
      <c r="O242" s="694"/>
      <c r="P242" s="695" t="s">
        <v>87</v>
      </c>
      <c r="Q242" s="696"/>
      <c r="R242" s="696"/>
      <c r="S242" s="696"/>
      <c r="T242" s="696"/>
      <c r="U242" s="696"/>
      <c r="V242" s="697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703" t="s">
        <v>133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78">
        <v>4680115885981</v>
      </c>
      <c r="E244" s="679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1041" t="s">
        <v>409</v>
      </c>
      <c r="Q244" s="672"/>
      <c r="R244" s="672"/>
      <c r="S244" s="672"/>
      <c r="T244" s="673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78">
        <v>4680115885721</v>
      </c>
      <c r="E245" s="679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2"/>
      <c r="R245" s="672"/>
      <c r="S245" s="672"/>
      <c r="T245" s="673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93"/>
      <c r="B246" s="686"/>
      <c r="C246" s="686"/>
      <c r="D246" s="686"/>
      <c r="E246" s="686"/>
      <c r="F246" s="686"/>
      <c r="G246" s="686"/>
      <c r="H246" s="686"/>
      <c r="I246" s="686"/>
      <c r="J246" s="686"/>
      <c r="K246" s="686"/>
      <c r="L246" s="686"/>
      <c r="M246" s="686"/>
      <c r="N246" s="686"/>
      <c r="O246" s="694"/>
      <c r="P246" s="695" t="s">
        <v>87</v>
      </c>
      <c r="Q246" s="696"/>
      <c r="R246" s="696"/>
      <c r="S246" s="696"/>
      <c r="T246" s="696"/>
      <c r="U246" s="696"/>
      <c r="V246" s="697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86"/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94"/>
      <c r="P247" s="695" t="s">
        <v>87</v>
      </c>
      <c r="Q247" s="696"/>
      <c r="R247" s="696"/>
      <c r="S247" s="696"/>
      <c r="T247" s="696"/>
      <c r="U247" s="696"/>
      <c r="V247" s="697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703" t="s">
        <v>412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78">
        <v>4680115886803</v>
      </c>
      <c r="E249" s="679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1026" t="s">
        <v>415</v>
      </c>
      <c r="Q249" s="672"/>
      <c r="R249" s="672"/>
      <c r="S249" s="672"/>
      <c r="T249" s="673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93"/>
      <c r="B250" s="686"/>
      <c r="C250" s="686"/>
      <c r="D250" s="686"/>
      <c r="E250" s="686"/>
      <c r="F250" s="686"/>
      <c r="G250" s="686"/>
      <c r="H250" s="686"/>
      <c r="I250" s="686"/>
      <c r="J250" s="686"/>
      <c r="K250" s="686"/>
      <c r="L250" s="686"/>
      <c r="M250" s="686"/>
      <c r="N250" s="686"/>
      <c r="O250" s="694"/>
      <c r="P250" s="695" t="s">
        <v>87</v>
      </c>
      <c r="Q250" s="696"/>
      <c r="R250" s="696"/>
      <c r="S250" s="696"/>
      <c r="T250" s="696"/>
      <c r="U250" s="696"/>
      <c r="V250" s="697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86"/>
      <c r="B251" s="686"/>
      <c r="C251" s="686"/>
      <c r="D251" s="686"/>
      <c r="E251" s="686"/>
      <c r="F251" s="686"/>
      <c r="G251" s="686"/>
      <c r="H251" s="686"/>
      <c r="I251" s="686"/>
      <c r="J251" s="686"/>
      <c r="K251" s="686"/>
      <c r="L251" s="686"/>
      <c r="M251" s="686"/>
      <c r="N251" s="686"/>
      <c r="O251" s="694"/>
      <c r="P251" s="695" t="s">
        <v>87</v>
      </c>
      <c r="Q251" s="696"/>
      <c r="R251" s="696"/>
      <c r="S251" s="696"/>
      <c r="T251" s="696"/>
      <c r="U251" s="696"/>
      <c r="V251" s="697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703" t="s">
        <v>417</v>
      </c>
      <c r="B252" s="686"/>
      <c r="C252" s="686"/>
      <c r="D252" s="686"/>
      <c r="E252" s="686"/>
      <c r="F252" s="686"/>
      <c r="G252" s="686"/>
      <c r="H252" s="686"/>
      <c r="I252" s="686"/>
      <c r="J252" s="686"/>
      <c r="K252" s="686"/>
      <c r="L252" s="686"/>
      <c r="M252" s="686"/>
      <c r="N252" s="686"/>
      <c r="O252" s="686"/>
      <c r="P252" s="686"/>
      <c r="Q252" s="686"/>
      <c r="R252" s="686"/>
      <c r="S252" s="686"/>
      <c r="T252" s="686"/>
      <c r="U252" s="686"/>
      <c r="V252" s="686"/>
      <c r="W252" s="686"/>
      <c r="X252" s="686"/>
      <c r="Y252" s="686"/>
      <c r="Z252" s="686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78">
        <v>4680115886704</v>
      </c>
      <c r="E253" s="679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756" t="s">
        <v>420</v>
      </c>
      <c r="Q253" s="672"/>
      <c r="R253" s="672"/>
      <c r="S253" s="672"/>
      <c r="T253" s="673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78">
        <v>4680115886735</v>
      </c>
      <c r="E254" s="679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847" t="s">
        <v>424</v>
      </c>
      <c r="Q254" s="672"/>
      <c r="R254" s="672"/>
      <c r="S254" s="672"/>
      <c r="T254" s="673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78">
        <v>4680115886728</v>
      </c>
      <c r="E255" s="679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963" t="s">
        <v>427</v>
      </c>
      <c r="Q255" s="672"/>
      <c r="R255" s="672"/>
      <c r="S255" s="672"/>
      <c r="T255" s="673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78">
        <v>4680115886711</v>
      </c>
      <c r="E256" s="679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851" t="s">
        <v>430</v>
      </c>
      <c r="Q256" s="672"/>
      <c r="R256" s="672"/>
      <c r="S256" s="672"/>
      <c r="T256" s="673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78">
        <v>4680115886681</v>
      </c>
      <c r="E257" s="679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837" t="s">
        <v>433</v>
      </c>
      <c r="Q257" s="672"/>
      <c r="R257" s="672"/>
      <c r="S257" s="672"/>
      <c r="T257" s="673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93"/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94"/>
      <c r="P258" s="695" t="s">
        <v>87</v>
      </c>
      <c r="Q258" s="696"/>
      <c r="R258" s="696"/>
      <c r="S258" s="696"/>
      <c r="T258" s="696"/>
      <c r="U258" s="696"/>
      <c r="V258" s="697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86"/>
      <c r="B259" s="686"/>
      <c r="C259" s="686"/>
      <c r="D259" s="686"/>
      <c r="E259" s="686"/>
      <c r="F259" s="686"/>
      <c r="G259" s="686"/>
      <c r="H259" s="686"/>
      <c r="I259" s="686"/>
      <c r="J259" s="686"/>
      <c r="K259" s="686"/>
      <c r="L259" s="686"/>
      <c r="M259" s="686"/>
      <c r="N259" s="686"/>
      <c r="O259" s="694"/>
      <c r="P259" s="695" t="s">
        <v>87</v>
      </c>
      <c r="Q259" s="696"/>
      <c r="R259" s="696"/>
      <c r="S259" s="696"/>
      <c r="T259" s="696"/>
      <c r="U259" s="696"/>
      <c r="V259" s="697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705" t="s">
        <v>434</v>
      </c>
      <c r="B260" s="686"/>
      <c r="C260" s="686"/>
      <c r="D260" s="686"/>
      <c r="E260" s="686"/>
      <c r="F260" s="686"/>
      <c r="G260" s="686"/>
      <c r="H260" s="686"/>
      <c r="I260" s="686"/>
      <c r="J260" s="686"/>
      <c r="K260" s="686"/>
      <c r="L260" s="686"/>
      <c r="M260" s="686"/>
      <c r="N260" s="686"/>
      <c r="O260" s="686"/>
      <c r="P260" s="686"/>
      <c r="Q260" s="686"/>
      <c r="R260" s="686"/>
      <c r="S260" s="686"/>
      <c r="T260" s="686"/>
      <c r="U260" s="686"/>
      <c r="V260" s="686"/>
      <c r="W260" s="686"/>
      <c r="X260" s="686"/>
      <c r="Y260" s="686"/>
      <c r="Z260" s="686"/>
      <c r="AA260" s="662"/>
      <c r="AB260" s="662"/>
      <c r="AC260" s="662"/>
    </row>
    <row r="261" spans="1:68" ht="14.25" hidden="1" customHeight="1" x14ac:dyDescent="0.25">
      <c r="A261" s="703" t="s">
        <v>97</v>
      </c>
      <c r="B261" s="686"/>
      <c r="C261" s="686"/>
      <c r="D261" s="686"/>
      <c r="E261" s="686"/>
      <c r="F261" s="686"/>
      <c r="G261" s="686"/>
      <c r="H261" s="686"/>
      <c r="I261" s="686"/>
      <c r="J261" s="686"/>
      <c r="K261" s="686"/>
      <c r="L261" s="686"/>
      <c r="M261" s="686"/>
      <c r="N261" s="686"/>
      <c r="O261" s="686"/>
      <c r="P261" s="686"/>
      <c r="Q261" s="686"/>
      <c r="R261" s="686"/>
      <c r="S261" s="686"/>
      <c r="T261" s="686"/>
      <c r="U261" s="686"/>
      <c r="V261" s="686"/>
      <c r="W261" s="686"/>
      <c r="X261" s="686"/>
      <c r="Y261" s="686"/>
      <c r="Z261" s="686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8">
        <v>4680115885837</v>
      </c>
      <c r="E262" s="679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2"/>
      <c r="R262" s="672"/>
      <c r="S262" s="672"/>
      <c r="T262" s="673"/>
      <c r="U262" s="34"/>
      <c r="V262" s="34"/>
      <c r="W262" s="35" t="s">
        <v>68</v>
      </c>
      <c r="X262" s="667">
        <v>150</v>
      </c>
      <c r="Y262" s="668">
        <f t="shared" ref="Y262:Y267" si="47">IFERROR(IF(X262="",0,CEILING((X262/$H262),1)*$H262),"")</f>
        <v>151.20000000000002</v>
      </c>
      <c r="Z262" s="36">
        <f>IFERROR(IF(Y262=0,"",ROUNDUP(Y262/H262,0)*0.01898),"")</f>
        <v>0.26572000000000001</v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156.04166666666666</v>
      </c>
      <c r="BN262" s="64">
        <f t="shared" ref="BN262:BN267" si="49">IFERROR(Y262*I262/H262,"0")</f>
        <v>157.29000000000002</v>
      </c>
      <c r="BO262" s="64">
        <f t="shared" ref="BO262:BO267" si="50">IFERROR(1/J262*(X262/H262),"0")</f>
        <v>0.21701388888888887</v>
      </c>
      <c r="BP262" s="64">
        <f t="shared" ref="BP262:BP267" si="51">IFERROR(1/J262*(Y262/H262),"0")</f>
        <v>0.21875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8">
        <v>4680115885806</v>
      </c>
      <c r="E263" s="679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7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2"/>
      <c r="R263" s="672"/>
      <c r="S263" s="672"/>
      <c r="T263" s="673"/>
      <c r="U263" s="34"/>
      <c r="V263" s="34"/>
      <c r="W263" s="35" t="s">
        <v>68</v>
      </c>
      <c r="X263" s="667">
        <v>150</v>
      </c>
      <c r="Y263" s="668">
        <f t="shared" si="47"/>
        <v>151.20000000000002</v>
      </c>
      <c r="Z263" s="36">
        <f>IFERROR(IF(Y263=0,"",ROUNDUP(Y263/H263,0)*0.01898),"")</f>
        <v>0.26572000000000001</v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156.04166666666666</v>
      </c>
      <c r="BN263" s="64">
        <f t="shared" si="49"/>
        <v>157.29000000000002</v>
      </c>
      <c r="BO263" s="64">
        <f t="shared" si="50"/>
        <v>0.21701388888888887</v>
      </c>
      <c r="BP263" s="64">
        <f t="shared" si="51"/>
        <v>0.21875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78">
        <v>4680115885806</v>
      </c>
      <c r="E264" s="679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93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2"/>
      <c r="R264" s="672"/>
      <c r="S264" s="672"/>
      <c r="T264" s="673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78">
        <v>4680115885851</v>
      </c>
      <c r="E265" s="679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9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78">
        <v>4680115885844</v>
      </c>
      <c r="E266" s="679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10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2"/>
      <c r="R266" s="672"/>
      <c r="S266" s="672"/>
      <c r="T266" s="673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78">
        <v>4680115885820</v>
      </c>
      <c r="E267" s="679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2"/>
      <c r="R267" s="672"/>
      <c r="S267" s="672"/>
      <c r="T267" s="673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93"/>
      <c r="B268" s="686"/>
      <c r="C268" s="686"/>
      <c r="D268" s="686"/>
      <c r="E268" s="686"/>
      <c r="F268" s="686"/>
      <c r="G268" s="686"/>
      <c r="H268" s="686"/>
      <c r="I268" s="686"/>
      <c r="J268" s="686"/>
      <c r="K268" s="686"/>
      <c r="L268" s="686"/>
      <c r="M268" s="686"/>
      <c r="N268" s="686"/>
      <c r="O268" s="694"/>
      <c r="P268" s="695" t="s">
        <v>87</v>
      </c>
      <c r="Q268" s="696"/>
      <c r="R268" s="696"/>
      <c r="S268" s="696"/>
      <c r="T268" s="696"/>
      <c r="U268" s="696"/>
      <c r="V268" s="697"/>
      <c r="W268" s="37" t="s">
        <v>88</v>
      </c>
      <c r="X268" s="669">
        <f>IFERROR(X262/H262,"0")+IFERROR(X263/H263,"0")+IFERROR(X264/H264,"0")+IFERROR(X265/H265,"0")+IFERROR(X266/H266,"0")+IFERROR(X267/H267,"0")</f>
        <v>27.777777777777775</v>
      </c>
      <c r="Y268" s="669">
        <f>IFERROR(Y262/H262,"0")+IFERROR(Y263/H263,"0")+IFERROR(Y264/H264,"0")+IFERROR(Y265/H265,"0")+IFERROR(Y266/H266,"0")+IFERROR(Y267/H267,"0")</f>
        <v>28</v>
      </c>
      <c r="Z268" s="669">
        <f>IFERROR(IF(Z262="",0,Z262),"0")+IFERROR(IF(Z263="",0,Z263),"0")+IFERROR(IF(Z264="",0,Z264),"0")+IFERROR(IF(Z265="",0,Z265),"0")+IFERROR(IF(Z266="",0,Z266),"0")+IFERROR(IF(Z267="",0,Z267),"0")</f>
        <v>0.53144000000000002</v>
      </c>
      <c r="AA268" s="670"/>
      <c r="AB268" s="670"/>
      <c r="AC268" s="670"/>
    </row>
    <row r="269" spans="1:68" x14ac:dyDescent="0.2">
      <c r="A269" s="686"/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94"/>
      <c r="P269" s="695" t="s">
        <v>87</v>
      </c>
      <c r="Q269" s="696"/>
      <c r="R269" s="696"/>
      <c r="S269" s="696"/>
      <c r="T269" s="696"/>
      <c r="U269" s="696"/>
      <c r="V269" s="697"/>
      <c r="W269" s="37" t="s">
        <v>68</v>
      </c>
      <c r="X269" s="669">
        <f>IFERROR(SUM(X262:X267),"0")</f>
        <v>300</v>
      </c>
      <c r="Y269" s="669">
        <f>IFERROR(SUM(Y262:Y267),"0")</f>
        <v>302.40000000000003</v>
      </c>
      <c r="Z269" s="37"/>
      <c r="AA269" s="670"/>
      <c r="AB269" s="670"/>
      <c r="AC269" s="670"/>
    </row>
    <row r="270" spans="1:68" ht="16.5" hidden="1" customHeight="1" x14ac:dyDescent="0.25">
      <c r="A270" s="705" t="s">
        <v>452</v>
      </c>
      <c r="B270" s="686"/>
      <c r="C270" s="686"/>
      <c r="D270" s="686"/>
      <c r="E270" s="686"/>
      <c r="F270" s="686"/>
      <c r="G270" s="686"/>
      <c r="H270" s="686"/>
      <c r="I270" s="686"/>
      <c r="J270" s="686"/>
      <c r="K270" s="686"/>
      <c r="L270" s="686"/>
      <c r="M270" s="686"/>
      <c r="N270" s="686"/>
      <c r="O270" s="686"/>
      <c r="P270" s="686"/>
      <c r="Q270" s="686"/>
      <c r="R270" s="686"/>
      <c r="S270" s="686"/>
      <c r="T270" s="686"/>
      <c r="U270" s="686"/>
      <c r="V270" s="686"/>
      <c r="W270" s="686"/>
      <c r="X270" s="686"/>
      <c r="Y270" s="686"/>
      <c r="Z270" s="686"/>
      <c r="AA270" s="662"/>
      <c r="AB270" s="662"/>
      <c r="AC270" s="662"/>
    </row>
    <row r="271" spans="1:68" ht="14.25" hidden="1" customHeight="1" x14ac:dyDescent="0.25">
      <c r="A271" s="703" t="s">
        <v>97</v>
      </c>
      <c r="B271" s="686"/>
      <c r="C271" s="686"/>
      <c r="D271" s="686"/>
      <c r="E271" s="686"/>
      <c r="F271" s="686"/>
      <c r="G271" s="686"/>
      <c r="H271" s="686"/>
      <c r="I271" s="686"/>
      <c r="J271" s="686"/>
      <c r="K271" s="686"/>
      <c r="L271" s="686"/>
      <c r="M271" s="686"/>
      <c r="N271" s="686"/>
      <c r="O271" s="686"/>
      <c r="P271" s="686"/>
      <c r="Q271" s="686"/>
      <c r="R271" s="686"/>
      <c r="S271" s="686"/>
      <c r="T271" s="686"/>
      <c r="U271" s="686"/>
      <c r="V271" s="686"/>
      <c r="W271" s="686"/>
      <c r="X271" s="686"/>
      <c r="Y271" s="686"/>
      <c r="Z271" s="686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78">
        <v>4680115885707</v>
      </c>
      <c r="E272" s="679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95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3"/>
      <c r="B273" s="686"/>
      <c r="C273" s="686"/>
      <c r="D273" s="686"/>
      <c r="E273" s="686"/>
      <c r="F273" s="686"/>
      <c r="G273" s="686"/>
      <c r="H273" s="686"/>
      <c r="I273" s="686"/>
      <c r="J273" s="686"/>
      <c r="K273" s="686"/>
      <c r="L273" s="686"/>
      <c r="M273" s="686"/>
      <c r="N273" s="686"/>
      <c r="O273" s="694"/>
      <c r="P273" s="695" t="s">
        <v>87</v>
      </c>
      <c r="Q273" s="696"/>
      <c r="R273" s="696"/>
      <c r="S273" s="696"/>
      <c r="T273" s="696"/>
      <c r="U273" s="696"/>
      <c r="V273" s="697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86"/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6"/>
      <c r="M274" s="686"/>
      <c r="N274" s="686"/>
      <c r="O274" s="694"/>
      <c r="P274" s="695" t="s">
        <v>87</v>
      </c>
      <c r="Q274" s="696"/>
      <c r="R274" s="696"/>
      <c r="S274" s="696"/>
      <c r="T274" s="696"/>
      <c r="U274" s="696"/>
      <c r="V274" s="697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705" t="s">
        <v>456</v>
      </c>
      <c r="B275" s="686"/>
      <c r="C275" s="686"/>
      <c r="D275" s="686"/>
      <c r="E275" s="686"/>
      <c r="F275" s="686"/>
      <c r="G275" s="686"/>
      <c r="H275" s="686"/>
      <c r="I275" s="686"/>
      <c r="J275" s="686"/>
      <c r="K275" s="686"/>
      <c r="L275" s="686"/>
      <c r="M275" s="686"/>
      <c r="N275" s="686"/>
      <c r="O275" s="686"/>
      <c r="P275" s="686"/>
      <c r="Q275" s="686"/>
      <c r="R275" s="686"/>
      <c r="S275" s="686"/>
      <c r="T275" s="686"/>
      <c r="U275" s="686"/>
      <c r="V275" s="686"/>
      <c r="W275" s="686"/>
      <c r="X275" s="686"/>
      <c r="Y275" s="686"/>
      <c r="Z275" s="686"/>
      <c r="AA275" s="662"/>
      <c r="AB275" s="662"/>
      <c r="AC275" s="662"/>
    </row>
    <row r="276" spans="1:68" ht="14.25" hidden="1" customHeight="1" x14ac:dyDescent="0.25">
      <c r="A276" s="703" t="s">
        <v>97</v>
      </c>
      <c r="B276" s="686"/>
      <c r="C276" s="686"/>
      <c r="D276" s="686"/>
      <c r="E276" s="686"/>
      <c r="F276" s="686"/>
      <c r="G276" s="686"/>
      <c r="H276" s="686"/>
      <c r="I276" s="686"/>
      <c r="J276" s="686"/>
      <c r="K276" s="686"/>
      <c r="L276" s="686"/>
      <c r="M276" s="686"/>
      <c r="N276" s="686"/>
      <c r="O276" s="686"/>
      <c r="P276" s="686"/>
      <c r="Q276" s="686"/>
      <c r="R276" s="686"/>
      <c r="S276" s="686"/>
      <c r="T276" s="686"/>
      <c r="U276" s="686"/>
      <c r="V276" s="686"/>
      <c r="W276" s="686"/>
      <c r="X276" s="686"/>
      <c r="Y276" s="686"/>
      <c r="Z276" s="686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78">
        <v>4607091383423</v>
      </c>
      <c r="E277" s="679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9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2"/>
      <c r="R277" s="672"/>
      <c r="S277" s="672"/>
      <c r="T277" s="673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78">
        <v>4680115885691</v>
      </c>
      <c r="E278" s="679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77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78">
        <v>4680115885660</v>
      </c>
      <c r="E279" s="679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84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78">
        <v>4680115886773</v>
      </c>
      <c r="E280" s="679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947" t="s">
        <v>467</v>
      </c>
      <c r="Q280" s="672"/>
      <c r="R280" s="672"/>
      <c r="S280" s="672"/>
      <c r="T280" s="673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93"/>
      <c r="B281" s="686"/>
      <c r="C281" s="686"/>
      <c r="D281" s="686"/>
      <c r="E281" s="686"/>
      <c r="F281" s="686"/>
      <c r="G281" s="686"/>
      <c r="H281" s="686"/>
      <c r="I281" s="686"/>
      <c r="J281" s="686"/>
      <c r="K281" s="686"/>
      <c r="L281" s="686"/>
      <c r="M281" s="686"/>
      <c r="N281" s="686"/>
      <c r="O281" s="694"/>
      <c r="P281" s="695" t="s">
        <v>87</v>
      </c>
      <c r="Q281" s="696"/>
      <c r="R281" s="696"/>
      <c r="S281" s="696"/>
      <c r="T281" s="696"/>
      <c r="U281" s="696"/>
      <c r="V281" s="697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86"/>
      <c r="B282" s="686"/>
      <c r="C282" s="686"/>
      <c r="D282" s="686"/>
      <c r="E282" s="686"/>
      <c r="F282" s="686"/>
      <c r="G282" s="686"/>
      <c r="H282" s="686"/>
      <c r="I282" s="686"/>
      <c r="J282" s="686"/>
      <c r="K282" s="686"/>
      <c r="L282" s="686"/>
      <c r="M282" s="686"/>
      <c r="N282" s="686"/>
      <c r="O282" s="694"/>
      <c r="P282" s="695" t="s">
        <v>87</v>
      </c>
      <c r="Q282" s="696"/>
      <c r="R282" s="696"/>
      <c r="S282" s="696"/>
      <c r="T282" s="696"/>
      <c r="U282" s="696"/>
      <c r="V282" s="697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705" t="s">
        <v>469</v>
      </c>
      <c r="B283" s="686"/>
      <c r="C283" s="686"/>
      <c r="D283" s="686"/>
      <c r="E283" s="686"/>
      <c r="F283" s="686"/>
      <c r="G283" s="686"/>
      <c r="H283" s="686"/>
      <c r="I283" s="686"/>
      <c r="J283" s="686"/>
      <c r="K283" s="686"/>
      <c r="L283" s="686"/>
      <c r="M283" s="686"/>
      <c r="N283" s="686"/>
      <c r="O283" s="686"/>
      <c r="P283" s="686"/>
      <c r="Q283" s="686"/>
      <c r="R283" s="686"/>
      <c r="S283" s="686"/>
      <c r="T283" s="686"/>
      <c r="U283" s="686"/>
      <c r="V283" s="686"/>
      <c r="W283" s="686"/>
      <c r="X283" s="686"/>
      <c r="Y283" s="686"/>
      <c r="Z283" s="686"/>
      <c r="AA283" s="662"/>
      <c r="AB283" s="662"/>
      <c r="AC283" s="662"/>
    </row>
    <row r="284" spans="1:68" ht="14.25" hidden="1" customHeight="1" x14ac:dyDescent="0.25">
      <c r="A284" s="703" t="s">
        <v>63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78">
        <v>4680115881037</v>
      </c>
      <c r="E285" s="679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909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2"/>
      <c r="R285" s="672"/>
      <c r="S285" s="672"/>
      <c r="T285" s="673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78">
        <v>4680115886186</v>
      </c>
      <c r="E286" s="679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9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2"/>
      <c r="R286" s="672"/>
      <c r="S286" s="672"/>
      <c r="T286" s="673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4301051795</v>
      </c>
      <c r="D287" s="678">
        <v>4680115881228</v>
      </c>
      <c r="E287" s="679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10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2"/>
      <c r="R287" s="672"/>
      <c r="S287" s="672"/>
      <c r="T287" s="673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78">
        <v>4680115881211</v>
      </c>
      <c r="E288" s="679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2"/>
      <c r="R288" s="672"/>
      <c r="S288" s="672"/>
      <c r="T288" s="673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78">
        <v>4680115881020</v>
      </c>
      <c r="E289" s="679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93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2"/>
      <c r="R289" s="672"/>
      <c r="S289" s="672"/>
      <c r="T289" s="673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93"/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94"/>
      <c r="P290" s="695" t="s">
        <v>87</v>
      </c>
      <c r="Q290" s="696"/>
      <c r="R290" s="696"/>
      <c r="S290" s="696"/>
      <c r="T290" s="696"/>
      <c r="U290" s="696"/>
      <c r="V290" s="697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86"/>
      <c r="B291" s="686"/>
      <c r="C291" s="686"/>
      <c r="D291" s="686"/>
      <c r="E291" s="686"/>
      <c r="F291" s="686"/>
      <c r="G291" s="686"/>
      <c r="H291" s="686"/>
      <c r="I291" s="686"/>
      <c r="J291" s="686"/>
      <c r="K291" s="686"/>
      <c r="L291" s="686"/>
      <c r="M291" s="686"/>
      <c r="N291" s="686"/>
      <c r="O291" s="694"/>
      <c r="P291" s="695" t="s">
        <v>87</v>
      </c>
      <c r="Q291" s="696"/>
      <c r="R291" s="696"/>
      <c r="S291" s="696"/>
      <c r="T291" s="696"/>
      <c r="U291" s="696"/>
      <c r="V291" s="697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705" t="s">
        <v>483</v>
      </c>
      <c r="B292" s="686"/>
      <c r="C292" s="686"/>
      <c r="D292" s="686"/>
      <c r="E292" s="686"/>
      <c r="F292" s="686"/>
      <c r="G292" s="686"/>
      <c r="H292" s="686"/>
      <c r="I292" s="686"/>
      <c r="J292" s="686"/>
      <c r="K292" s="686"/>
      <c r="L292" s="686"/>
      <c r="M292" s="686"/>
      <c r="N292" s="686"/>
      <c r="O292" s="686"/>
      <c r="P292" s="686"/>
      <c r="Q292" s="686"/>
      <c r="R292" s="686"/>
      <c r="S292" s="686"/>
      <c r="T292" s="686"/>
      <c r="U292" s="686"/>
      <c r="V292" s="686"/>
      <c r="W292" s="686"/>
      <c r="X292" s="686"/>
      <c r="Y292" s="686"/>
      <c r="Z292" s="686"/>
      <c r="AA292" s="662"/>
      <c r="AB292" s="662"/>
      <c r="AC292" s="662"/>
    </row>
    <row r="293" spans="1:68" ht="14.25" hidden="1" customHeight="1" x14ac:dyDescent="0.25">
      <c r="A293" s="703" t="s">
        <v>97</v>
      </c>
      <c r="B293" s="686"/>
      <c r="C293" s="686"/>
      <c r="D293" s="686"/>
      <c r="E293" s="686"/>
      <c r="F293" s="686"/>
      <c r="G293" s="686"/>
      <c r="H293" s="686"/>
      <c r="I293" s="686"/>
      <c r="J293" s="686"/>
      <c r="K293" s="686"/>
      <c r="L293" s="686"/>
      <c r="M293" s="686"/>
      <c r="N293" s="686"/>
      <c r="O293" s="686"/>
      <c r="P293" s="686"/>
      <c r="Q293" s="686"/>
      <c r="R293" s="686"/>
      <c r="S293" s="686"/>
      <c r="T293" s="686"/>
      <c r="U293" s="686"/>
      <c r="V293" s="686"/>
      <c r="W293" s="686"/>
      <c r="X293" s="686"/>
      <c r="Y293" s="686"/>
      <c r="Z293" s="686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78">
        <v>4607091389296</v>
      </c>
      <c r="E294" s="679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16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2"/>
      <c r="R294" s="672"/>
      <c r="S294" s="672"/>
      <c r="T294" s="673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93"/>
      <c r="B295" s="686"/>
      <c r="C295" s="686"/>
      <c r="D295" s="686"/>
      <c r="E295" s="686"/>
      <c r="F295" s="686"/>
      <c r="G295" s="686"/>
      <c r="H295" s="686"/>
      <c r="I295" s="686"/>
      <c r="J295" s="686"/>
      <c r="K295" s="686"/>
      <c r="L295" s="686"/>
      <c r="M295" s="686"/>
      <c r="N295" s="686"/>
      <c r="O295" s="694"/>
      <c r="P295" s="695" t="s">
        <v>87</v>
      </c>
      <c r="Q295" s="696"/>
      <c r="R295" s="696"/>
      <c r="S295" s="696"/>
      <c r="T295" s="696"/>
      <c r="U295" s="696"/>
      <c r="V295" s="697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86"/>
      <c r="B296" s="686"/>
      <c r="C296" s="686"/>
      <c r="D296" s="686"/>
      <c r="E296" s="686"/>
      <c r="F296" s="686"/>
      <c r="G296" s="686"/>
      <c r="H296" s="686"/>
      <c r="I296" s="686"/>
      <c r="J296" s="686"/>
      <c r="K296" s="686"/>
      <c r="L296" s="686"/>
      <c r="M296" s="686"/>
      <c r="N296" s="686"/>
      <c r="O296" s="694"/>
      <c r="P296" s="695" t="s">
        <v>87</v>
      </c>
      <c r="Q296" s="696"/>
      <c r="R296" s="696"/>
      <c r="S296" s="696"/>
      <c r="T296" s="696"/>
      <c r="U296" s="696"/>
      <c r="V296" s="697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703" t="s">
        <v>144</v>
      </c>
      <c r="B297" s="686"/>
      <c r="C297" s="686"/>
      <c r="D297" s="686"/>
      <c r="E297" s="686"/>
      <c r="F297" s="686"/>
      <c r="G297" s="686"/>
      <c r="H297" s="686"/>
      <c r="I297" s="686"/>
      <c r="J297" s="686"/>
      <c r="K297" s="686"/>
      <c r="L297" s="686"/>
      <c r="M297" s="686"/>
      <c r="N297" s="686"/>
      <c r="O297" s="686"/>
      <c r="P297" s="686"/>
      <c r="Q297" s="686"/>
      <c r="R297" s="686"/>
      <c r="S297" s="686"/>
      <c r="T297" s="686"/>
      <c r="U297" s="686"/>
      <c r="V297" s="686"/>
      <c r="W297" s="686"/>
      <c r="X297" s="686"/>
      <c r="Y297" s="686"/>
      <c r="Z297" s="686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78">
        <v>4680115880344</v>
      </c>
      <c r="E298" s="679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2"/>
      <c r="R298" s="672"/>
      <c r="S298" s="672"/>
      <c r="T298" s="673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93"/>
      <c r="B299" s="686"/>
      <c r="C299" s="686"/>
      <c r="D299" s="686"/>
      <c r="E299" s="686"/>
      <c r="F299" s="686"/>
      <c r="G299" s="686"/>
      <c r="H299" s="686"/>
      <c r="I299" s="686"/>
      <c r="J299" s="686"/>
      <c r="K299" s="686"/>
      <c r="L299" s="686"/>
      <c r="M299" s="686"/>
      <c r="N299" s="686"/>
      <c r="O299" s="694"/>
      <c r="P299" s="695" t="s">
        <v>87</v>
      </c>
      <c r="Q299" s="696"/>
      <c r="R299" s="696"/>
      <c r="S299" s="696"/>
      <c r="T299" s="696"/>
      <c r="U299" s="696"/>
      <c r="V299" s="697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86"/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94"/>
      <c r="P300" s="695" t="s">
        <v>87</v>
      </c>
      <c r="Q300" s="696"/>
      <c r="R300" s="696"/>
      <c r="S300" s="696"/>
      <c r="T300" s="696"/>
      <c r="U300" s="696"/>
      <c r="V300" s="697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703" t="s">
        <v>63</v>
      </c>
      <c r="B301" s="686"/>
      <c r="C301" s="686"/>
      <c r="D301" s="686"/>
      <c r="E301" s="686"/>
      <c r="F301" s="686"/>
      <c r="G301" s="686"/>
      <c r="H301" s="686"/>
      <c r="I301" s="686"/>
      <c r="J301" s="686"/>
      <c r="K301" s="686"/>
      <c r="L301" s="686"/>
      <c r="M301" s="686"/>
      <c r="N301" s="686"/>
      <c r="O301" s="686"/>
      <c r="P301" s="686"/>
      <c r="Q301" s="686"/>
      <c r="R301" s="686"/>
      <c r="S301" s="686"/>
      <c r="T301" s="686"/>
      <c r="U301" s="686"/>
      <c r="V301" s="686"/>
      <c r="W301" s="686"/>
      <c r="X301" s="686"/>
      <c r="Y301" s="686"/>
      <c r="Z301" s="686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78">
        <v>4680115884618</v>
      </c>
      <c r="E302" s="679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104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2"/>
      <c r="R302" s="672"/>
      <c r="S302" s="672"/>
      <c r="T302" s="673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93"/>
      <c r="B303" s="686"/>
      <c r="C303" s="686"/>
      <c r="D303" s="686"/>
      <c r="E303" s="686"/>
      <c r="F303" s="686"/>
      <c r="G303" s="686"/>
      <c r="H303" s="686"/>
      <c r="I303" s="686"/>
      <c r="J303" s="686"/>
      <c r="K303" s="686"/>
      <c r="L303" s="686"/>
      <c r="M303" s="686"/>
      <c r="N303" s="686"/>
      <c r="O303" s="694"/>
      <c r="P303" s="695" t="s">
        <v>87</v>
      </c>
      <c r="Q303" s="696"/>
      <c r="R303" s="696"/>
      <c r="S303" s="696"/>
      <c r="T303" s="696"/>
      <c r="U303" s="696"/>
      <c r="V303" s="697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86"/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94"/>
      <c r="P304" s="695" t="s">
        <v>87</v>
      </c>
      <c r="Q304" s="696"/>
      <c r="R304" s="696"/>
      <c r="S304" s="696"/>
      <c r="T304" s="696"/>
      <c r="U304" s="696"/>
      <c r="V304" s="697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705" t="s">
        <v>493</v>
      </c>
      <c r="B305" s="686"/>
      <c r="C305" s="686"/>
      <c r="D305" s="686"/>
      <c r="E305" s="686"/>
      <c r="F305" s="686"/>
      <c r="G305" s="686"/>
      <c r="H305" s="686"/>
      <c r="I305" s="686"/>
      <c r="J305" s="686"/>
      <c r="K305" s="686"/>
      <c r="L305" s="686"/>
      <c r="M305" s="686"/>
      <c r="N305" s="686"/>
      <c r="O305" s="686"/>
      <c r="P305" s="686"/>
      <c r="Q305" s="686"/>
      <c r="R305" s="686"/>
      <c r="S305" s="686"/>
      <c r="T305" s="686"/>
      <c r="U305" s="686"/>
      <c r="V305" s="686"/>
      <c r="W305" s="686"/>
      <c r="X305" s="686"/>
      <c r="Y305" s="686"/>
      <c r="Z305" s="686"/>
      <c r="AA305" s="662"/>
      <c r="AB305" s="662"/>
      <c r="AC305" s="662"/>
    </row>
    <row r="306" spans="1:68" ht="14.25" hidden="1" customHeight="1" x14ac:dyDescent="0.25">
      <c r="A306" s="703" t="s">
        <v>63</v>
      </c>
      <c r="B306" s="686"/>
      <c r="C306" s="686"/>
      <c r="D306" s="686"/>
      <c r="E306" s="686"/>
      <c r="F306" s="686"/>
      <c r="G306" s="686"/>
      <c r="H306" s="686"/>
      <c r="I306" s="686"/>
      <c r="J306" s="686"/>
      <c r="K306" s="686"/>
      <c r="L306" s="686"/>
      <c r="M306" s="686"/>
      <c r="N306" s="686"/>
      <c r="O306" s="686"/>
      <c r="P306" s="686"/>
      <c r="Q306" s="686"/>
      <c r="R306" s="686"/>
      <c r="S306" s="686"/>
      <c r="T306" s="686"/>
      <c r="U306" s="686"/>
      <c r="V306" s="686"/>
      <c r="W306" s="686"/>
      <c r="X306" s="686"/>
      <c r="Y306" s="686"/>
      <c r="Z306" s="686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78">
        <v>4680115880511</v>
      </c>
      <c r="E307" s="679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68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2"/>
      <c r="R307" s="672"/>
      <c r="S307" s="672"/>
      <c r="T307" s="673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93"/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94"/>
      <c r="P308" s="695" t="s">
        <v>87</v>
      </c>
      <c r="Q308" s="696"/>
      <c r="R308" s="696"/>
      <c r="S308" s="696"/>
      <c r="T308" s="696"/>
      <c r="U308" s="696"/>
      <c r="V308" s="697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86"/>
      <c r="B309" s="686"/>
      <c r="C309" s="686"/>
      <c r="D309" s="686"/>
      <c r="E309" s="686"/>
      <c r="F309" s="686"/>
      <c r="G309" s="686"/>
      <c r="H309" s="686"/>
      <c r="I309" s="686"/>
      <c r="J309" s="686"/>
      <c r="K309" s="686"/>
      <c r="L309" s="686"/>
      <c r="M309" s="686"/>
      <c r="N309" s="686"/>
      <c r="O309" s="694"/>
      <c r="P309" s="695" t="s">
        <v>87</v>
      </c>
      <c r="Q309" s="696"/>
      <c r="R309" s="696"/>
      <c r="S309" s="696"/>
      <c r="T309" s="696"/>
      <c r="U309" s="696"/>
      <c r="V309" s="697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705" t="s">
        <v>497</v>
      </c>
      <c r="B310" s="686"/>
      <c r="C310" s="686"/>
      <c r="D310" s="686"/>
      <c r="E310" s="686"/>
      <c r="F310" s="686"/>
      <c r="G310" s="686"/>
      <c r="H310" s="686"/>
      <c r="I310" s="686"/>
      <c r="J310" s="686"/>
      <c r="K310" s="686"/>
      <c r="L310" s="686"/>
      <c r="M310" s="686"/>
      <c r="N310" s="686"/>
      <c r="O310" s="686"/>
      <c r="P310" s="686"/>
      <c r="Q310" s="686"/>
      <c r="R310" s="686"/>
      <c r="S310" s="686"/>
      <c r="T310" s="686"/>
      <c r="U310" s="686"/>
      <c r="V310" s="686"/>
      <c r="W310" s="686"/>
      <c r="X310" s="686"/>
      <c r="Y310" s="686"/>
      <c r="Z310" s="686"/>
      <c r="AA310" s="662"/>
      <c r="AB310" s="662"/>
      <c r="AC310" s="662"/>
    </row>
    <row r="311" spans="1:68" ht="14.25" hidden="1" customHeight="1" x14ac:dyDescent="0.25">
      <c r="A311" s="703" t="s">
        <v>97</v>
      </c>
      <c r="B311" s="686"/>
      <c r="C311" s="686"/>
      <c r="D311" s="686"/>
      <c r="E311" s="686"/>
      <c r="F311" s="686"/>
      <c r="G311" s="686"/>
      <c r="H311" s="686"/>
      <c r="I311" s="686"/>
      <c r="J311" s="686"/>
      <c r="K311" s="686"/>
      <c r="L311" s="686"/>
      <c r="M311" s="686"/>
      <c r="N311" s="686"/>
      <c r="O311" s="686"/>
      <c r="P311" s="686"/>
      <c r="Q311" s="686"/>
      <c r="R311" s="686"/>
      <c r="S311" s="686"/>
      <c r="T311" s="686"/>
      <c r="U311" s="686"/>
      <c r="V311" s="686"/>
      <c r="W311" s="686"/>
      <c r="X311" s="686"/>
      <c r="Y311" s="686"/>
      <c r="Z311" s="686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78">
        <v>4680115883413</v>
      </c>
      <c r="E312" s="679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94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2"/>
      <c r="R312" s="672"/>
      <c r="S312" s="672"/>
      <c r="T312" s="673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93"/>
      <c r="B313" s="686"/>
      <c r="C313" s="686"/>
      <c r="D313" s="686"/>
      <c r="E313" s="686"/>
      <c r="F313" s="686"/>
      <c r="G313" s="686"/>
      <c r="H313" s="686"/>
      <c r="I313" s="686"/>
      <c r="J313" s="686"/>
      <c r="K313" s="686"/>
      <c r="L313" s="686"/>
      <c r="M313" s="686"/>
      <c r="N313" s="686"/>
      <c r="O313" s="694"/>
      <c r="P313" s="695" t="s">
        <v>87</v>
      </c>
      <c r="Q313" s="696"/>
      <c r="R313" s="696"/>
      <c r="S313" s="696"/>
      <c r="T313" s="696"/>
      <c r="U313" s="696"/>
      <c r="V313" s="697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86"/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94"/>
      <c r="P314" s="695" t="s">
        <v>87</v>
      </c>
      <c r="Q314" s="696"/>
      <c r="R314" s="696"/>
      <c r="S314" s="696"/>
      <c r="T314" s="696"/>
      <c r="U314" s="696"/>
      <c r="V314" s="697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703" t="s">
        <v>144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78">
        <v>4607091389845</v>
      </c>
      <c r="E316" s="679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1023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2"/>
      <c r="R316" s="672"/>
      <c r="S316" s="672"/>
      <c r="T316" s="673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78">
        <v>4680115882881</v>
      </c>
      <c r="E317" s="679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73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2"/>
      <c r="R317" s="672"/>
      <c r="S317" s="672"/>
      <c r="T317" s="673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93"/>
      <c r="B318" s="686"/>
      <c r="C318" s="686"/>
      <c r="D318" s="686"/>
      <c r="E318" s="686"/>
      <c r="F318" s="686"/>
      <c r="G318" s="686"/>
      <c r="H318" s="686"/>
      <c r="I318" s="686"/>
      <c r="J318" s="686"/>
      <c r="K318" s="686"/>
      <c r="L318" s="686"/>
      <c r="M318" s="686"/>
      <c r="N318" s="686"/>
      <c r="O318" s="694"/>
      <c r="P318" s="695" t="s">
        <v>87</v>
      </c>
      <c r="Q318" s="696"/>
      <c r="R318" s="696"/>
      <c r="S318" s="696"/>
      <c r="T318" s="696"/>
      <c r="U318" s="696"/>
      <c r="V318" s="697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86"/>
      <c r="B319" s="686"/>
      <c r="C319" s="686"/>
      <c r="D319" s="686"/>
      <c r="E319" s="686"/>
      <c r="F319" s="686"/>
      <c r="G319" s="686"/>
      <c r="H319" s="686"/>
      <c r="I319" s="686"/>
      <c r="J319" s="686"/>
      <c r="K319" s="686"/>
      <c r="L319" s="686"/>
      <c r="M319" s="686"/>
      <c r="N319" s="686"/>
      <c r="O319" s="694"/>
      <c r="P319" s="695" t="s">
        <v>87</v>
      </c>
      <c r="Q319" s="696"/>
      <c r="R319" s="696"/>
      <c r="S319" s="696"/>
      <c r="T319" s="696"/>
      <c r="U319" s="696"/>
      <c r="V319" s="697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705" t="s">
        <v>505</v>
      </c>
      <c r="B320" s="686"/>
      <c r="C320" s="686"/>
      <c r="D320" s="686"/>
      <c r="E320" s="686"/>
      <c r="F320" s="686"/>
      <c r="G320" s="686"/>
      <c r="H320" s="686"/>
      <c r="I320" s="686"/>
      <c r="J320" s="686"/>
      <c r="K320" s="686"/>
      <c r="L320" s="686"/>
      <c r="M320" s="686"/>
      <c r="N320" s="686"/>
      <c r="O320" s="686"/>
      <c r="P320" s="686"/>
      <c r="Q320" s="686"/>
      <c r="R320" s="686"/>
      <c r="S320" s="686"/>
      <c r="T320" s="686"/>
      <c r="U320" s="686"/>
      <c r="V320" s="686"/>
      <c r="W320" s="686"/>
      <c r="X320" s="686"/>
      <c r="Y320" s="686"/>
      <c r="Z320" s="686"/>
      <c r="AA320" s="662"/>
      <c r="AB320" s="662"/>
      <c r="AC320" s="662"/>
    </row>
    <row r="321" spans="1:68" ht="14.25" hidden="1" customHeight="1" x14ac:dyDescent="0.25">
      <c r="A321" s="703" t="s">
        <v>97</v>
      </c>
      <c r="B321" s="686"/>
      <c r="C321" s="686"/>
      <c r="D321" s="686"/>
      <c r="E321" s="686"/>
      <c r="F321" s="686"/>
      <c r="G321" s="686"/>
      <c r="H321" s="686"/>
      <c r="I321" s="686"/>
      <c r="J321" s="686"/>
      <c r="K321" s="686"/>
      <c r="L321" s="686"/>
      <c r="M321" s="686"/>
      <c r="N321" s="686"/>
      <c r="O321" s="686"/>
      <c r="P321" s="686"/>
      <c r="Q321" s="686"/>
      <c r="R321" s="686"/>
      <c r="S321" s="686"/>
      <c r="T321" s="686"/>
      <c r="U321" s="686"/>
      <c r="V321" s="686"/>
      <c r="W321" s="686"/>
      <c r="X321" s="686"/>
      <c r="Y321" s="686"/>
      <c r="Z321" s="686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78">
        <v>4680115883703</v>
      </c>
      <c r="E322" s="679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93"/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94"/>
      <c r="P323" s="695" t="s">
        <v>87</v>
      </c>
      <c r="Q323" s="696"/>
      <c r="R323" s="696"/>
      <c r="S323" s="696"/>
      <c r="T323" s="696"/>
      <c r="U323" s="696"/>
      <c r="V323" s="697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86"/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94"/>
      <c r="P324" s="695" t="s">
        <v>87</v>
      </c>
      <c r="Q324" s="696"/>
      <c r="R324" s="696"/>
      <c r="S324" s="696"/>
      <c r="T324" s="696"/>
      <c r="U324" s="696"/>
      <c r="V324" s="697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705" t="s">
        <v>510</v>
      </c>
      <c r="B325" s="686"/>
      <c r="C325" s="686"/>
      <c r="D325" s="686"/>
      <c r="E325" s="686"/>
      <c r="F325" s="686"/>
      <c r="G325" s="686"/>
      <c r="H325" s="686"/>
      <c r="I325" s="686"/>
      <c r="J325" s="686"/>
      <c r="K325" s="686"/>
      <c r="L325" s="686"/>
      <c r="M325" s="686"/>
      <c r="N325" s="686"/>
      <c r="O325" s="686"/>
      <c r="P325" s="686"/>
      <c r="Q325" s="686"/>
      <c r="R325" s="686"/>
      <c r="S325" s="686"/>
      <c r="T325" s="686"/>
      <c r="U325" s="686"/>
      <c r="V325" s="686"/>
      <c r="W325" s="686"/>
      <c r="X325" s="686"/>
      <c r="Y325" s="686"/>
      <c r="Z325" s="686"/>
      <c r="AA325" s="662"/>
      <c r="AB325" s="662"/>
      <c r="AC325" s="662"/>
    </row>
    <row r="326" spans="1:68" ht="14.25" hidden="1" customHeight="1" x14ac:dyDescent="0.25">
      <c r="A326" s="703" t="s">
        <v>97</v>
      </c>
      <c r="B326" s="686"/>
      <c r="C326" s="686"/>
      <c r="D326" s="686"/>
      <c r="E326" s="686"/>
      <c r="F326" s="686"/>
      <c r="G326" s="686"/>
      <c r="H326" s="686"/>
      <c r="I326" s="686"/>
      <c r="J326" s="686"/>
      <c r="K326" s="686"/>
      <c r="L326" s="686"/>
      <c r="M326" s="686"/>
      <c r="N326" s="686"/>
      <c r="O326" s="686"/>
      <c r="P326" s="686"/>
      <c r="Q326" s="686"/>
      <c r="R326" s="686"/>
      <c r="S326" s="686"/>
      <c r="T326" s="686"/>
      <c r="U326" s="686"/>
      <c r="V326" s="686"/>
      <c r="W326" s="686"/>
      <c r="X326" s="686"/>
      <c r="Y326" s="686"/>
      <c r="Z326" s="686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78">
        <v>4680115885615</v>
      </c>
      <c r="E327" s="679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8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2"/>
      <c r="R327" s="672"/>
      <c r="S327" s="672"/>
      <c r="T327" s="673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78">
        <v>4680115885554</v>
      </c>
      <c r="E328" s="679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10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2"/>
      <c r="R328" s="672"/>
      <c r="S328" s="672"/>
      <c r="T328" s="673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78">
        <v>4680115885554</v>
      </c>
      <c r="E329" s="679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9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2"/>
      <c r="R329" s="672"/>
      <c r="S329" s="672"/>
      <c r="T329" s="673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78">
        <v>4680115885646</v>
      </c>
      <c r="E330" s="679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8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2"/>
      <c r="R330" s="672"/>
      <c r="S330" s="672"/>
      <c r="T330" s="673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78">
        <v>4680115885622</v>
      </c>
      <c r="E331" s="679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103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2"/>
      <c r="R331" s="672"/>
      <c r="S331" s="672"/>
      <c r="T331" s="673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78">
        <v>4680115885608</v>
      </c>
      <c r="E332" s="679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8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2"/>
      <c r="R332" s="672"/>
      <c r="S332" s="672"/>
      <c r="T332" s="673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93"/>
      <c r="B333" s="686"/>
      <c r="C333" s="686"/>
      <c r="D333" s="686"/>
      <c r="E333" s="686"/>
      <c r="F333" s="686"/>
      <c r="G333" s="686"/>
      <c r="H333" s="686"/>
      <c r="I333" s="686"/>
      <c r="J333" s="686"/>
      <c r="K333" s="686"/>
      <c r="L333" s="686"/>
      <c r="M333" s="686"/>
      <c r="N333" s="686"/>
      <c r="O333" s="694"/>
      <c r="P333" s="695" t="s">
        <v>87</v>
      </c>
      <c r="Q333" s="696"/>
      <c r="R333" s="696"/>
      <c r="S333" s="696"/>
      <c r="T333" s="696"/>
      <c r="U333" s="696"/>
      <c r="V333" s="697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86"/>
      <c r="B334" s="686"/>
      <c r="C334" s="686"/>
      <c r="D334" s="686"/>
      <c r="E334" s="686"/>
      <c r="F334" s="686"/>
      <c r="G334" s="686"/>
      <c r="H334" s="686"/>
      <c r="I334" s="686"/>
      <c r="J334" s="686"/>
      <c r="K334" s="686"/>
      <c r="L334" s="686"/>
      <c r="M334" s="686"/>
      <c r="N334" s="686"/>
      <c r="O334" s="694"/>
      <c r="P334" s="695" t="s">
        <v>87</v>
      </c>
      <c r="Q334" s="696"/>
      <c r="R334" s="696"/>
      <c r="S334" s="696"/>
      <c r="T334" s="696"/>
      <c r="U334" s="696"/>
      <c r="V334" s="697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703" t="s">
        <v>144</v>
      </c>
      <c r="B335" s="686"/>
      <c r="C335" s="686"/>
      <c r="D335" s="686"/>
      <c r="E335" s="686"/>
      <c r="F335" s="686"/>
      <c r="G335" s="686"/>
      <c r="H335" s="686"/>
      <c r="I335" s="686"/>
      <c r="J335" s="686"/>
      <c r="K335" s="686"/>
      <c r="L335" s="686"/>
      <c r="M335" s="686"/>
      <c r="N335" s="686"/>
      <c r="O335" s="686"/>
      <c r="P335" s="686"/>
      <c r="Q335" s="686"/>
      <c r="R335" s="686"/>
      <c r="S335" s="686"/>
      <c r="T335" s="686"/>
      <c r="U335" s="686"/>
      <c r="V335" s="686"/>
      <c r="W335" s="686"/>
      <c r="X335" s="686"/>
      <c r="Y335" s="686"/>
      <c r="Z335" s="686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78">
        <v>4607091387193</v>
      </c>
      <c r="E336" s="679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7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8">
        <v>4607091387230</v>
      </c>
      <c r="E337" s="679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9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7">
        <v>70</v>
      </c>
      <c r="Y337" s="668">
        <f>IFERROR(IF(X337="",0,CEILING((X337/$H337),1)*$H337),"")</f>
        <v>71.400000000000006</v>
      </c>
      <c r="Z337" s="36">
        <f>IFERROR(IF(Y337=0,"",ROUNDUP(Y337/H337,0)*0.00902),"")</f>
        <v>0.15334</v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74.499999999999986</v>
      </c>
      <c r="BN337" s="64">
        <f>IFERROR(Y337*I337/H337,"0")</f>
        <v>75.989999999999995</v>
      </c>
      <c r="BO337" s="64">
        <f>IFERROR(1/J337*(X337/H337),"0")</f>
        <v>0.12626262626262624</v>
      </c>
      <c r="BP337" s="64">
        <f>IFERROR(1/J337*(Y337/H337),"0")</f>
        <v>0.12878787878787878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78">
        <v>4607091387292</v>
      </c>
      <c r="E338" s="679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2"/>
      <c r="R338" s="672"/>
      <c r="S338" s="672"/>
      <c r="T338" s="673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78">
        <v>4607091387285</v>
      </c>
      <c r="E339" s="679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10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93"/>
      <c r="B340" s="686"/>
      <c r="C340" s="686"/>
      <c r="D340" s="686"/>
      <c r="E340" s="686"/>
      <c r="F340" s="686"/>
      <c r="G340" s="686"/>
      <c r="H340" s="686"/>
      <c r="I340" s="686"/>
      <c r="J340" s="686"/>
      <c r="K340" s="686"/>
      <c r="L340" s="686"/>
      <c r="M340" s="686"/>
      <c r="N340" s="686"/>
      <c r="O340" s="694"/>
      <c r="P340" s="695" t="s">
        <v>87</v>
      </c>
      <c r="Q340" s="696"/>
      <c r="R340" s="696"/>
      <c r="S340" s="696"/>
      <c r="T340" s="696"/>
      <c r="U340" s="696"/>
      <c r="V340" s="697"/>
      <c r="W340" s="37" t="s">
        <v>88</v>
      </c>
      <c r="X340" s="669">
        <f>IFERROR(X336/H336,"0")+IFERROR(X337/H337,"0")+IFERROR(X338/H338,"0")+IFERROR(X339/H339,"0")</f>
        <v>16.666666666666664</v>
      </c>
      <c r="Y340" s="669">
        <f>IFERROR(Y336/H336,"0")+IFERROR(Y337/H337,"0")+IFERROR(Y338/H338,"0")+IFERROR(Y339/H339,"0")</f>
        <v>17</v>
      </c>
      <c r="Z340" s="669">
        <f>IFERROR(IF(Z336="",0,Z336),"0")+IFERROR(IF(Z337="",0,Z337),"0")+IFERROR(IF(Z338="",0,Z338),"0")+IFERROR(IF(Z339="",0,Z339),"0")</f>
        <v>0.15334</v>
      </c>
      <c r="AA340" s="670"/>
      <c r="AB340" s="670"/>
      <c r="AC340" s="670"/>
    </row>
    <row r="341" spans="1:68" x14ac:dyDescent="0.2">
      <c r="A341" s="686"/>
      <c r="B341" s="686"/>
      <c r="C341" s="686"/>
      <c r="D341" s="686"/>
      <c r="E341" s="686"/>
      <c r="F341" s="686"/>
      <c r="G341" s="686"/>
      <c r="H341" s="686"/>
      <c r="I341" s="686"/>
      <c r="J341" s="686"/>
      <c r="K341" s="686"/>
      <c r="L341" s="686"/>
      <c r="M341" s="686"/>
      <c r="N341" s="686"/>
      <c r="O341" s="694"/>
      <c r="P341" s="695" t="s">
        <v>87</v>
      </c>
      <c r="Q341" s="696"/>
      <c r="R341" s="696"/>
      <c r="S341" s="696"/>
      <c r="T341" s="696"/>
      <c r="U341" s="696"/>
      <c r="V341" s="697"/>
      <c r="W341" s="37" t="s">
        <v>68</v>
      </c>
      <c r="X341" s="669">
        <f>IFERROR(SUM(X336:X339),"0")</f>
        <v>70</v>
      </c>
      <c r="Y341" s="669">
        <f>IFERROR(SUM(Y336:Y339),"0")</f>
        <v>71.400000000000006</v>
      </c>
      <c r="Z341" s="37"/>
      <c r="AA341" s="670"/>
      <c r="AB341" s="670"/>
      <c r="AC341" s="670"/>
    </row>
    <row r="342" spans="1:68" ht="14.25" hidden="1" customHeight="1" x14ac:dyDescent="0.25">
      <c r="A342" s="703" t="s">
        <v>63</v>
      </c>
      <c r="B342" s="686"/>
      <c r="C342" s="686"/>
      <c r="D342" s="686"/>
      <c r="E342" s="686"/>
      <c r="F342" s="686"/>
      <c r="G342" s="686"/>
      <c r="H342" s="686"/>
      <c r="I342" s="686"/>
      <c r="J342" s="686"/>
      <c r="K342" s="686"/>
      <c r="L342" s="686"/>
      <c r="M342" s="686"/>
      <c r="N342" s="686"/>
      <c r="O342" s="686"/>
      <c r="P342" s="686"/>
      <c r="Q342" s="686"/>
      <c r="R342" s="686"/>
      <c r="S342" s="686"/>
      <c r="T342" s="686"/>
      <c r="U342" s="686"/>
      <c r="V342" s="686"/>
      <c r="W342" s="686"/>
      <c r="X342" s="686"/>
      <c r="Y342" s="686"/>
      <c r="Z342" s="686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78">
        <v>4607091387766</v>
      </c>
      <c r="E343" s="679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85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2"/>
      <c r="R343" s="672"/>
      <c r="S343" s="672"/>
      <c r="T343" s="673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78">
        <v>4607091387957</v>
      </c>
      <c r="E344" s="679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7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2"/>
      <c r="R344" s="672"/>
      <c r="S344" s="672"/>
      <c r="T344" s="673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78">
        <v>4607091387964</v>
      </c>
      <c r="E345" s="679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8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2"/>
      <c r="R345" s="672"/>
      <c r="S345" s="672"/>
      <c r="T345" s="673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78">
        <v>4680115884588</v>
      </c>
      <c r="E346" s="679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8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2"/>
      <c r="R346" s="672"/>
      <c r="S346" s="672"/>
      <c r="T346" s="673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78">
        <v>4607091387513</v>
      </c>
      <c r="E347" s="679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2"/>
      <c r="R347" s="672"/>
      <c r="S347" s="672"/>
      <c r="T347" s="673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93"/>
      <c r="B348" s="686"/>
      <c r="C348" s="686"/>
      <c r="D348" s="686"/>
      <c r="E348" s="686"/>
      <c r="F348" s="686"/>
      <c r="G348" s="686"/>
      <c r="H348" s="686"/>
      <c r="I348" s="686"/>
      <c r="J348" s="686"/>
      <c r="K348" s="686"/>
      <c r="L348" s="686"/>
      <c r="M348" s="686"/>
      <c r="N348" s="686"/>
      <c r="O348" s="694"/>
      <c r="P348" s="695" t="s">
        <v>87</v>
      </c>
      <c r="Q348" s="696"/>
      <c r="R348" s="696"/>
      <c r="S348" s="696"/>
      <c r="T348" s="696"/>
      <c r="U348" s="696"/>
      <c r="V348" s="697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86"/>
      <c r="B349" s="686"/>
      <c r="C349" s="686"/>
      <c r="D349" s="686"/>
      <c r="E349" s="686"/>
      <c r="F349" s="686"/>
      <c r="G349" s="686"/>
      <c r="H349" s="686"/>
      <c r="I349" s="686"/>
      <c r="J349" s="686"/>
      <c r="K349" s="686"/>
      <c r="L349" s="686"/>
      <c r="M349" s="686"/>
      <c r="N349" s="686"/>
      <c r="O349" s="694"/>
      <c r="P349" s="695" t="s">
        <v>87</v>
      </c>
      <c r="Q349" s="696"/>
      <c r="R349" s="696"/>
      <c r="S349" s="696"/>
      <c r="T349" s="696"/>
      <c r="U349" s="696"/>
      <c r="V349" s="697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703" t="s">
        <v>170</v>
      </c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6"/>
      <c r="M350" s="686"/>
      <c r="N350" s="686"/>
      <c r="O350" s="686"/>
      <c r="P350" s="686"/>
      <c r="Q350" s="686"/>
      <c r="R350" s="686"/>
      <c r="S350" s="686"/>
      <c r="T350" s="686"/>
      <c r="U350" s="686"/>
      <c r="V350" s="686"/>
      <c r="W350" s="686"/>
      <c r="X350" s="686"/>
      <c r="Y350" s="686"/>
      <c r="Z350" s="686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78">
        <v>4607091380880</v>
      </c>
      <c r="E351" s="679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9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2"/>
      <c r="R351" s="672"/>
      <c r="S351" s="672"/>
      <c r="T351" s="673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8">
        <v>4607091384482</v>
      </c>
      <c r="E352" s="679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9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2"/>
      <c r="R352" s="672"/>
      <c r="S352" s="672"/>
      <c r="T352" s="673"/>
      <c r="U352" s="34"/>
      <c r="V352" s="34"/>
      <c r="W352" s="35" t="s">
        <v>68</v>
      </c>
      <c r="X352" s="667">
        <v>400</v>
      </c>
      <c r="Y352" s="668">
        <f>IFERROR(IF(X352="",0,CEILING((X352/$H352),1)*$H352),"")</f>
        <v>405.59999999999997</v>
      </c>
      <c r="Z352" s="36">
        <f>IFERROR(IF(Y352=0,"",ROUNDUP(Y352/H352,0)*0.01898),"")</f>
        <v>0.98696000000000006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426.6153846153847</v>
      </c>
      <c r="BN352" s="64">
        <f>IFERROR(Y352*I352/H352,"0")</f>
        <v>432.58800000000002</v>
      </c>
      <c r="BO352" s="64">
        <f>IFERROR(1/J352*(X352/H352),"0")</f>
        <v>0.80128205128205132</v>
      </c>
      <c r="BP352" s="64">
        <f>IFERROR(1/J352*(Y352/H352),"0")</f>
        <v>0.8125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78">
        <v>4607091380897</v>
      </c>
      <c r="E353" s="679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2"/>
      <c r="R353" s="672"/>
      <c r="S353" s="672"/>
      <c r="T353" s="673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93"/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  <c r="L354" s="686"/>
      <c r="M354" s="686"/>
      <c r="N354" s="686"/>
      <c r="O354" s="694"/>
      <c r="P354" s="695" t="s">
        <v>87</v>
      </c>
      <c r="Q354" s="696"/>
      <c r="R354" s="696"/>
      <c r="S354" s="696"/>
      <c r="T354" s="696"/>
      <c r="U354" s="696"/>
      <c r="V354" s="697"/>
      <c r="W354" s="37" t="s">
        <v>88</v>
      </c>
      <c r="X354" s="669">
        <f>IFERROR(X351/H351,"0")+IFERROR(X352/H352,"0")+IFERROR(X353/H353,"0")</f>
        <v>51.282051282051285</v>
      </c>
      <c r="Y354" s="669">
        <f>IFERROR(Y351/H351,"0")+IFERROR(Y352/H352,"0")+IFERROR(Y353/H353,"0")</f>
        <v>52</v>
      </c>
      <c r="Z354" s="669">
        <f>IFERROR(IF(Z351="",0,Z351),"0")+IFERROR(IF(Z352="",0,Z352),"0")+IFERROR(IF(Z353="",0,Z353),"0")</f>
        <v>0.98696000000000006</v>
      </c>
      <c r="AA354" s="670"/>
      <c r="AB354" s="670"/>
      <c r="AC354" s="670"/>
    </row>
    <row r="355" spans="1:68" x14ac:dyDescent="0.2">
      <c r="A355" s="686"/>
      <c r="B355" s="686"/>
      <c r="C355" s="686"/>
      <c r="D355" s="686"/>
      <c r="E355" s="686"/>
      <c r="F355" s="686"/>
      <c r="G355" s="686"/>
      <c r="H355" s="686"/>
      <c r="I355" s="686"/>
      <c r="J355" s="686"/>
      <c r="K355" s="686"/>
      <c r="L355" s="686"/>
      <c r="M355" s="686"/>
      <c r="N355" s="686"/>
      <c r="O355" s="694"/>
      <c r="P355" s="695" t="s">
        <v>87</v>
      </c>
      <c r="Q355" s="696"/>
      <c r="R355" s="696"/>
      <c r="S355" s="696"/>
      <c r="T355" s="696"/>
      <c r="U355" s="696"/>
      <c r="V355" s="697"/>
      <c r="W355" s="37" t="s">
        <v>68</v>
      </c>
      <c r="X355" s="669">
        <f>IFERROR(SUM(X351:X353),"0")</f>
        <v>400</v>
      </c>
      <c r="Y355" s="669">
        <f>IFERROR(SUM(Y351:Y353),"0")</f>
        <v>405.59999999999997</v>
      </c>
      <c r="Z355" s="37"/>
      <c r="AA355" s="670"/>
      <c r="AB355" s="670"/>
      <c r="AC355" s="670"/>
    </row>
    <row r="356" spans="1:68" ht="14.25" hidden="1" customHeight="1" x14ac:dyDescent="0.25">
      <c r="A356" s="703" t="s">
        <v>89</v>
      </c>
      <c r="B356" s="686"/>
      <c r="C356" s="686"/>
      <c r="D356" s="686"/>
      <c r="E356" s="686"/>
      <c r="F356" s="686"/>
      <c r="G356" s="686"/>
      <c r="H356" s="686"/>
      <c r="I356" s="686"/>
      <c r="J356" s="686"/>
      <c r="K356" s="686"/>
      <c r="L356" s="686"/>
      <c r="M356" s="686"/>
      <c r="N356" s="686"/>
      <c r="O356" s="686"/>
      <c r="P356" s="686"/>
      <c r="Q356" s="686"/>
      <c r="R356" s="686"/>
      <c r="S356" s="686"/>
      <c r="T356" s="686"/>
      <c r="U356" s="686"/>
      <c r="V356" s="686"/>
      <c r="W356" s="686"/>
      <c r="X356" s="686"/>
      <c r="Y356" s="686"/>
      <c r="Z356" s="686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78">
        <v>4680115886476</v>
      </c>
      <c r="E357" s="679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737" t="s">
        <v>564</v>
      </c>
      <c r="Q357" s="672"/>
      <c r="R357" s="672"/>
      <c r="S357" s="672"/>
      <c r="T357" s="673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78">
        <v>4607091388374</v>
      </c>
      <c r="E358" s="679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941" t="s">
        <v>568</v>
      </c>
      <c r="Q358" s="672"/>
      <c r="R358" s="672"/>
      <c r="S358" s="672"/>
      <c r="T358" s="673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78">
        <v>4607091383102</v>
      </c>
      <c r="E359" s="679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2"/>
      <c r="R359" s="672"/>
      <c r="S359" s="672"/>
      <c r="T359" s="673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8">
        <v>4607091388404</v>
      </c>
      <c r="E360" s="679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7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2"/>
      <c r="R360" s="672"/>
      <c r="S360" s="672"/>
      <c r="T360" s="673"/>
      <c r="U360" s="34"/>
      <c r="V360" s="34"/>
      <c r="W360" s="35" t="s">
        <v>68</v>
      </c>
      <c r="X360" s="667">
        <v>100</v>
      </c>
      <c r="Y360" s="668">
        <f>IFERROR(IF(X360="",0,CEILING((X360/$H360),1)*$H360),"")</f>
        <v>102</v>
      </c>
      <c r="Z360" s="36">
        <f>IFERROR(IF(Y360=0,"",ROUNDUP(Y360/H360,0)*0.00651),"")</f>
        <v>0.26040000000000002</v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112.94117647058825</v>
      </c>
      <c r="BN360" s="64">
        <f>IFERROR(Y360*I360/H360,"0")</f>
        <v>115.2</v>
      </c>
      <c r="BO360" s="64">
        <f>IFERROR(1/J360*(X360/H360),"0")</f>
        <v>0.21547080370609786</v>
      </c>
      <c r="BP360" s="64">
        <f>IFERROR(1/J360*(Y360/H360),"0")</f>
        <v>0.2197802197802198</v>
      </c>
    </row>
    <row r="361" spans="1:68" x14ac:dyDescent="0.2">
      <c r="A361" s="693"/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94"/>
      <c r="P361" s="695" t="s">
        <v>87</v>
      </c>
      <c r="Q361" s="696"/>
      <c r="R361" s="696"/>
      <c r="S361" s="696"/>
      <c r="T361" s="696"/>
      <c r="U361" s="696"/>
      <c r="V361" s="697"/>
      <c r="W361" s="37" t="s">
        <v>88</v>
      </c>
      <c r="X361" s="669">
        <f>IFERROR(X357/H357,"0")+IFERROR(X358/H358,"0")+IFERROR(X359/H359,"0")+IFERROR(X360/H360,"0")</f>
        <v>39.215686274509807</v>
      </c>
      <c r="Y361" s="669">
        <f>IFERROR(Y357/H357,"0")+IFERROR(Y358/H358,"0")+IFERROR(Y359/H359,"0")+IFERROR(Y360/H360,"0")</f>
        <v>40</v>
      </c>
      <c r="Z361" s="669">
        <f>IFERROR(IF(Z357="",0,Z357),"0")+IFERROR(IF(Z358="",0,Z358),"0")+IFERROR(IF(Z359="",0,Z359),"0")+IFERROR(IF(Z360="",0,Z360),"0")</f>
        <v>0.26040000000000002</v>
      </c>
      <c r="AA361" s="670"/>
      <c r="AB361" s="670"/>
      <c r="AC361" s="670"/>
    </row>
    <row r="362" spans="1:68" x14ac:dyDescent="0.2">
      <c r="A362" s="686"/>
      <c r="B362" s="686"/>
      <c r="C362" s="686"/>
      <c r="D362" s="686"/>
      <c r="E362" s="686"/>
      <c r="F362" s="686"/>
      <c r="G362" s="686"/>
      <c r="H362" s="686"/>
      <c r="I362" s="686"/>
      <c r="J362" s="686"/>
      <c r="K362" s="686"/>
      <c r="L362" s="686"/>
      <c r="M362" s="686"/>
      <c r="N362" s="686"/>
      <c r="O362" s="694"/>
      <c r="P362" s="695" t="s">
        <v>87</v>
      </c>
      <c r="Q362" s="696"/>
      <c r="R362" s="696"/>
      <c r="S362" s="696"/>
      <c r="T362" s="696"/>
      <c r="U362" s="696"/>
      <c r="V362" s="697"/>
      <c r="W362" s="37" t="s">
        <v>68</v>
      </c>
      <c r="X362" s="669">
        <f>IFERROR(SUM(X357:X360),"0")</f>
        <v>100</v>
      </c>
      <c r="Y362" s="669">
        <f>IFERROR(SUM(Y357:Y360),"0")</f>
        <v>102</v>
      </c>
      <c r="Z362" s="37"/>
      <c r="AA362" s="670"/>
      <c r="AB362" s="670"/>
      <c r="AC362" s="670"/>
    </row>
    <row r="363" spans="1:68" ht="14.25" hidden="1" customHeight="1" x14ac:dyDescent="0.25">
      <c r="A363" s="703" t="s">
        <v>575</v>
      </c>
      <c r="B363" s="686"/>
      <c r="C363" s="686"/>
      <c r="D363" s="686"/>
      <c r="E363" s="686"/>
      <c r="F363" s="686"/>
      <c r="G363" s="686"/>
      <c r="H363" s="686"/>
      <c r="I363" s="686"/>
      <c r="J363" s="686"/>
      <c r="K363" s="686"/>
      <c r="L363" s="686"/>
      <c r="M363" s="686"/>
      <c r="N363" s="686"/>
      <c r="O363" s="686"/>
      <c r="P363" s="686"/>
      <c r="Q363" s="686"/>
      <c r="R363" s="686"/>
      <c r="S363" s="686"/>
      <c r="T363" s="686"/>
      <c r="U363" s="686"/>
      <c r="V363" s="686"/>
      <c r="W363" s="686"/>
      <c r="X363" s="686"/>
      <c r="Y363" s="686"/>
      <c r="Z363" s="686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78">
        <v>4680115881808</v>
      </c>
      <c r="E364" s="679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7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2"/>
      <c r="R364" s="672"/>
      <c r="S364" s="672"/>
      <c r="T364" s="673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8">
        <v>4680115881822</v>
      </c>
      <c r="E365" s="679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2"/>
      <c r="R365" s="672"/>
      <c r="S365" s="672"/>
      <c r="T365" s="673"/>
      <c r="U365" s="34"/>
      <c r="V365" s="34"/>
      <c r="W365" s="35" t="s">
        <v>68</v>
      </c>
      <c r="X365" s="667">
        <v>20</v>
      </c>
      <c r="Y365" s="668">
        <f>IFERROR(IF(X365="",0,CEILING((X365/$H365),1)*$H365),"")</f>
        <v>20</v>
      </c>
      <c r="Z365" s="36">
        <f>IFERROR(IF(Y365=0,"",ROUNDUP(Y365/H365,0)*0.00474),"")</f>
        <v>4.7400000000000005E-2</v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22.400000000000002</v>
      </c>
      <c r="BN365" s="64">
        <f>IFERROR(Y365*I365/H365,"0")</f>
        <v>22.400000000000002</v>
      </c>
      <c r="BO365" s="64">
        <f>IFERROR(1/J365*(X365/H365),"0")</f>
        <v>4.2016806722689072E-2</v>
      </c>
      <c r="BP365" s="64">
        <f>IFERROR(1/J365*(Y365/H365),"0")</f>
        <v>4.2016806722689072E-2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8">
        <v>4680115880016</v>
      </c>
      <c r="E366" s="679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10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2"/>
      <c r="R366" s="672"/>
      <c r="S366" s="672"/>
      <c r="T366" s="673"/>
      <c r="U366" s="34"/>
      <c r="V366" s="34"/>
      <c r="W366" s="35" t="s">
        <v>68</v>
      </c>
      <c r="X366" s="667">
        <v>20</v>
      </c>
      <c r="Y366" s="668">
        <f>IFERROR(IF(X366="",0,CEILING((X366/$H366),1)*$H366),"")</f>
        <v>20</v>
      </c>
      <c r="Z366" s="36">
        <f>IFERROR(IF(Y366=0,"",ROUNDUP(Y366/H366,0)*0.00474),"")</f>
        <v>4.7400000000000005E-2</v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22.400000000000002</v>
      </c>
      <c r="BN366" s="64">
        <f>IFERROR(Y366*I366/H366,"0")</f>
        <v>22.400000000000002</v>
      </c>
      <c r="BO366" s="64">
        <f>IFERROR(1/J366*(X366/H366),"0")</f>
        <v>4.2016806722689072E-2</v>
      </c>
      <c r="BP366" s="64">
        <f>IFERROR(1/J366*(Y366/H366),"0")</f>
        <v>4.2016806722689072E-2</v>
      </c>
    </row>
    <row r="367" spans="1:68" x14ac:dyDescent="0.2">
      <c r="A367" s="693"/>
      <c r="B367" s="686"/>
      <c r="C367" s="686"/>
      <c r="D367" s="686"/>
      <c r="E367" s="686"/>
      <c r="F367" s="686"/>
      <c r="G367" s="686"/>
      <c r="H367" s="686"/>
      <c r="I367" s="686"/>
      <c r="J367" s="686"/>
      <c r="K367" s="686"/>
      <c r="L367" s="686"/>
      <c r="M367" s="686"/>
      <c r="N367" s="686"/>
      <c r="O367" s="694"/>
      <c r="P367" s="695" t="s">
        <v>87</v>
      </c>
      <c r="Q367" s="696"/>
      <c r="R367" s="696"/>
      <c r="S367" s="696"/>
      <c r="T367" s="696"/>
      <c r="U367" s="696"/>
      <c r="V367" s="697"/>
      <c r="W367" s="37" t="s">
        <v>88</v>
      </c>
      <c r="X367" s="669">
        <f>IFERROR(X364/H364,"0")+IFERROR(X365/H365,"0")+IFERROR(X366/H366,"0")</f>
        <v>20</v>
      </c>
      <c r="Y367" s="669">
        <f>IFERROR(Y364/H364,"0")+IFERROR(Y365/H365,"0")+IFERROR(Y366/H366,"0")</f>
        <v>20</v>
      </c>
      <c r="Z367" s="669">
        <f>IFERROR(IF(Z364="",0,Z364),"0")+IFERROR(IF(Z365="",0,Z365),"0")+IFERROR(IF(Z366="",0,Z366),"0")</f>
        <v>9.4800000000000009E-2</v>
      </c>
      <c r="AA367" s="670"/>
      <c r="AB367" s="670"/>
      <c r="AC367" s="670"/>
    </row>
    <row r="368" spans="1:68" x14ac:dyDescent="0.2">
      <c r="A368" s="686"/>
      <c r="B368" s="686"/>
      <c r="C368" s="686"/>
      <c r="D368" s="686"/>
      <c r="E368" s="686"/>
      <c r="F368" s="686"/>
      <c r="G368" s="686"/>
      <c r="H368" s="686"/>
      <c r="I368" s="686"/>
      <c r="J368" s="686"/>
      <c r="K368" s="686"/>
      <c r="L368" s="686"/>
      <c r="M368" s="686"/>
      <c r="N368" s="686"/>
      <c r="O368" s="694"/>
      <c r="P368" s="695" t="s">
        <v>87</v>
      </c>
      <c r="Q368" s="696"/>
      <c r="R368" s="696"/>
      <c r="S368" s="696"/>
      <c r="T368" s="696"/>
      <c r="U368" s="696"/>
      <c r="V368" s="697"/>
      <c r="W368" s="37" t="s">
        <v>68</v>
      </c>
      <c r="X368" s="669">
        <f>IFERROR(SUM(X364:X366),"0")</f>
        <v>40</v>
      </c>
      <c r="Y368" s="669">
        <f>IFERROR(SUM(Y364:Y366),"0")</f>
        <v>40</v>
      </c>
      <c r="Z368" s="37"/>
      <c r="AA368" s="670"/>
      <c r="AB368" s="670"/>
      <c r="AC368" s="670"/>
    </row>
    <row r="369" spans="1:68" ht="16.5" hidden="1" customHeight="1" x14ac:dyDescent="0.25">
      <c r="A369" s="705" t="s">
        <v>584</v>
      </c>
      <c r="B369" s="686"/>
      <c r="C369" s="686"/>
      <c r="D369" s="686"/>
      <c r="E369" s="686"/>
      <c r="F369" s="686"/>
      <c r="G369" s="686"/>
      <c r="H369" s="686"/>
      <c r="I369" s="686"/>
      <c r="J369" s="686"/>
      <c r="K369" s="686"/>
      <c r="L369" s="686"/>
      <c r="M369" s="686"/>
      <c r="N369" s="686"/>
      <c r="O369" s="686"/>
      <c r="P369" s="686"/>
      <c r="Q369" s="686"/>
      <c r="R369" s="686"/>
      <c r="S369" s="686"/>
      <c r="T369" s="686"/>
      <c r="U369" s="686"/>
      <c r="V369" s="686"/>
      <c r="W369" s="686"/>
      <c r="X369" s="686"/>
      <c r="Y369" s="686"/>
      <c r="Z369" s="686"/>
      <c r="AA369" s="662"/>
      <c r="AB369" s="662"/>
      <c r="AC369" s="662"/>
    </row>
    <row r="370" spans="1:68" ht="14.25" hidden="1" customHeight="1" x14ac:dyDescent="0.25">
      <c r="A370" s="703" t="s">
        <v>144</v>
      </c>
      <c r="B370" s="686"/>
      <c r="C370" s="686"/>
      <c r="D370" s="686"/>
      <c r="E370" s="686"/>
      <c r="F370" s="686"/>
      <c r="G370" s="686"/>
      <c r="H370" s="686"/>
      <c r="I370" s="686"/>
      <c r="J370" s="686"/>
      <c r="K370" s="686"/>
      <c r="L370" s="686"/>
      <c r="M370" s="686"/>
      <c r="N370" s="686"/>
      <c r="O370" s="686"/>
      <c r="P370" s="686"/>
      <c r="Q370" s="686"/>
      <c r="R370" s="686"/>
      <c r="S370" s="686"/>
      <c r="T370" s="686"/>
      <c r="U370" s="686"/>
      <c r="V370" s="686"/>
      <c r="W370" s="686"/>
      <c r="X370" s="686"/>
      <c r="Y370" s="686"/>
      <c r="Z370" s="686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78">
        <v>4607091383836</v>
      </c>
      <c r="E371" s="679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2"/>
      <c r="R371" s="672"/>
      <c r="S371" s="672"/>
      <c r="T371" s="673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93"/>
      <c r="B372" s="686"/>
      <c r="C372" s="686"/>
      <c r="D372" s="686"/>
      <c r="E372" s="686"/>
      <c r="F372" s="686"/>
      <c r="G372" s="686"/>
      <c r="H372" s="686"/>
      <c r="I372" s="686"/>
      <c r="J372" s="686"/>
      <c r="K372" s="686"/>
      <c r="L372" s="686"/>
      <c r="M372" s="686"/>
      <c r="N372" s="686"/>
      <c r="O372" s="694"/>
      <c r="P372" s="695" t="s">
        <v>87</v>
      </c>
      <c r="Q372" s="696"/>
      <c r="R372" s="696"/>
      <c r="S372" s="696"/>
      <c r="T372" s="696"/>
      <c r="U372" s="696"/>
      <c r="V372" s="697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86"/>
      <c r="B373" s="686"/>
      <c r="C373" s="686"/>
      <c r="D373" s="686"/>
      <c r="E373" s="686"/>
      <c r="F373" s="686"/>
      <c r="G373" s="686"/>
      <c r="H373" s="686"/>
      <c r="I373" s="686"/>
      <c r="J373" s="686"/>
      <c r="K373" s="686"/>
      <c r="L373" s="686"/>
      <c r="M373" s="686"/>
      <c r="N373" s="686"/>
      <c r="O373" s="694"/>
      <c r="P373" s="695" t="s">
        <v>87</v>
      </c>
      <c r="Q373" s="696"/>
      <c r="R373" s="696"/>
      <c r="S373" s="696"/>
      <c r="T373" s="696"/>
      <c r="U373" s="696"/>
      <c r="V373" s="697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703" t="s">
        <v>63</v>
      </c>
      <c r="B374" s="686"/>
      <c r="C374" s="686"/>
      <c r="D374" s="686"/>
      <c r="E374" s="686"/>
      <c r="F374" s="686"/>
      <c r="G374" s="686"/>
      <c r="H374" s="686"/>
      <c r="I374" s="686"/>
      <c r="J374" s="686"/>
      <c r="K374" s="686"/>
      <c r="L374" s="686"/>
      <c r="M374" s="686"/>
      <c r="N374" s="686"/>
      <c r="O374" s="686"/>
      <c r="P374" s="686"/>
      <c r="Q374" s="686"/>
      <c r="R374" s="686"/>
      <c r="S374" s="686"/>
      <c r="T374" s="686"/>
      <c r="U374" s="686"/>
      <c r="V374" s="686"/>
      <c r="W374" s="686"/>
      <c r="X374" s="686"/>
      <c r="Y374" s="686"/>
      <c r="Z374" s="686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78">
        <v>4607091387919</v>
      </c>
      <c r="E375" s="679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7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2"/>
      <c r="R375" s="672"/>
      <c r="S375" s="672"/>
      <c r="T375" s="673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8">
        <v>4680115883604</v>
      </c>
      <c r="E376" s="679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94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2"/>
      <c r="R376" s="672"/>
      <c r="S376" s="672"/>
      <c r="T376" s="673"/>
      <c r="U376" s="34"/>
      <c r="V376" s="34"/>
      <c r="W376" s="35" t="s">
        <v>68</v>
      </c>
      <c r="X376" s="667">
        <v>200</v>
      </c>
      <c r="Y376" s="668">
        <f>IFERROR(IF(X376="",0,CEILING((X376/$H376),1)*$H376),"")</f>
        <v>201.60000000000002</v>
      </c>
      <c r="Z376" s="36">
        <f>IFERROR(IF(Y376=0,"",ROUNDUP(Y376/H376,0)*0.00651),"")</f>
        <v>0.62495999999999996</v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223.99999999999997</v>
      </c>
      <c r="BN376" s="64">
        <f>IFERROR(Y376*I376/H376,"0")</f>
        <v>225.792</v>
      </c>
      <c r="BO376" s="64">
        <f>IFERROR(1/J376*(X376/H376),"0")</f>
        <v>0.52328623757195192</v>
      </c>
      <c r="BP376" s="64">
        <f>IFERROR(1/J376*(Y376/H376),"0")</f>
        <v>0.52747252747252749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8">
        <v>4680115883567</v>
      </c>
      <c r="E377" s="679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2"/>
      <c r="R377" s="672"/>
      <c r="S377" s="672"/>
      <c r="T377" s="673"/>
      <c r="U377" s="34"/>
      <c r="V377" s="34"/>
      <c r="W377" s="35" t="s">
        <v>68</v>
      </c>
      <c r="X377" s="667">
        <v>100</v>
      </c>
      <c r="Y377" s="668">
        <f>IFERROR(IF(X377="",0,CEILING((X377/$H377),1)*$H377),"")</f>
        <v>100.80000000000001</v>
      </c>
      <c r="Z377" s="36">
        <f>IFERROR(IF(Y377=0,"",ROUNDUP(Y377/H377,0)*0.00651),"")</f>
        <v>0.31247999999999998</v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111.42857142857143</v>
      </c>
      <c r="BN377" s="64">
        <f>IFERROR(Y377*I377/H377,"0")</f>
        <v>112.32000000000001</v>
      </c>
      <c r="BO377" s="64">
        <f>IFERROR(1/J377*(X377/H377),"0")</f>
        <v>0.26164311878597596</v>
      </c>
      <c r="BP377" s="64">
        <f>IFERROR(1/J377*(Y377/H377),"0")</f>
        <v>0.26373626373626374</v>
      </c>
    </row>
    <row r="378" spans="1:68" x14ac:dyDescent="0.2">
      <c r="A378" s="693"/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94"/>
      <c r="P378" s="695" t="s">
        <v>87</v>
      </c>
      <c r="Q378" s="696"/>
      <c r="R378" s="696"/>
      <c r="S378" s="696"/>
      <c r="T378" s="696"/>
      <c r="U378" s="696"/>
      <c r="V378" s="697"/>
      <c r="W378" s="37" t="s">
        <v>88</v>
      </c>
      <c r="X378" s="669">
        <f>IFERROR(X375/H375,"0")+IFERROR(X376/H376,"0")+IFERROR(X377/H377,"0")</f>
        <v>142.85714285714286</v>
      </c>
      <c r="Y378" s="669">
        <f>IFERROR(Y375/H375,"0")+IFERROR(Y376/H376,"0")+IFERROR(Y377/H377,"0")</f>
        <v>144</v>
      </c>
      <c r="Z378" s="669">
        <f>IFERROR(IF(Z375="",0,Z375),"0")+IFERROR(IF(Z376="",0,Z376),"0")+IFERROR(IF(Z377="",0,Z377),"0")</f>
        <v>0.93743999999999994</v>
      </c>
      <c r="AA378" s="670"/>
      <c r="AB378" s="670"/>
      <c r="AC378" s="670"/>
    </row>
    <row r="379" spans="1:68" x14ac:dyDescent="0.2">
      <c r="A379" s="686"/>
      <c r="B379" s="686"/>
      <c r="C379" s="686"/>
      <c r="D379" s="686"/>
      <c r="E379" s="686"/>
      <c r="F379" s="686"/>
      <c r="G379" s="686"/>
      <c r="H379" s="686"/>
      <c r="I379" s="686"/>
      <c r="J379" s="686"/>
      <c r="K379" s="686"/>
      <c r="L379" s="686"/>
      <c r="M379" s="686"/>
      <c r="N379" s="686"/>
      <c r="O379" s="694"/>
      <c r="P379" s="695" t="s">
        <v>87</v>
      </c>
      <c r="Q379" s="696"/>
      <c r="R379" s="696"/>
      <c r="S379" s="696"/>
      <c r="T379" s="696"/>
      <c r="U379" s="696"/>
      <c r="V379" s="697"/>
      <c r="W379" s="37" t="s">
        <v>68</v>
      </c>
      <c r="X379" s="669">
        <f>IFERROR(SUM(X375:X377),"0")</f>
        <v>300</v>
      </c>
      <c r="Y379" s="669">
        <f>IFERROR(SUM(Y375:Y377),"0")</f>
        <v>302.40000000000003</v>
      </c>
      <c r="Z379" s="37"/>
      <c r="AA379" s="670"/>
      <c r="AB379" s="670"/>
      <c r="AC379" s="670"/>
    </row>
    <row r="380" spans="1:68" ht="27.75" hidden="1" customHeight="1" x14ac:dyDescent="0.2">
      <c r="A380" s="843" t="s">
        <v>597</v>
      </c>
      <c r="B380" s="844"/>
      <c r="C380" s="844"/>
      <c r="D380" s="844"/>
      <c r="E380" s="844"/>
      <c r="F380" s="844"/>
      <c r="G380" s="844"/>
      <c r="H380" s="844"/>
      <c r="I380" s="844"/>
      <c r="J380" s="844"/>
      <c r="K380" s="844"/>
      <c r="L380" s="844"/>
      <c r="M380" s="844"/>
      <c r="N380" s="844"/>
      <c r="O380" s="844"/>
      <c r="P380" s="844"/>
      <c r="Q380" s="844"/>
      <c r="R380" s="844"/>
      <c r="S380" s="844"/>
      <c r="T380" s="844"/>
      <c r="U380" s="844"/>
      <c r="V380" s="844"/>
      <c r="W380" s="844"/>
      <c r="X380" s="844"/>
      <c r="Y380" s="844"/>
      <c r="Z380" s="844"/>
      <c r="AA380" s="48"/>
      <c r="AB380" s="48"/>
      <c r="AC380" s="48"/>
    </row>
    <row r="381" spans="1:68" ht="16.5" hidden="1" customHeight="1" x14ac:dyDescent="0.25">
      <c r="A381" s="705" t="s">
        <v>598</v>
      </c>
      <c r="B381" s="686"/>
      <c r="C381" s="686"/>
      <c r="D381" s="686"/>
      <c r="E381" s="686"/>
      <c r="F381" s="686"/>
      <c r="G381" s="686"/>
      <c r="H381" s="686"/>
      <c r="I381" s="686"/>
      <c r="J381" s="686"/>
      <c r="K381" s="686"/>
      <c r="L381" s="686"/>
      <c r="M381" s="686"/>
      <c r="N381" s="686"/>
      <c r="O381" s="686"/>
      <c r="P381" s="686"/>
      <c r="Q381" s="686"/>
      <c r="R381" s="686"/>
      <c r="S381" s="686"/>
      <c r="T381" s="686"/>
      <c r="U381" s="686"/>
      <c r="V381" s="686"/>
      <c r="W381" s="686"/>
      <c r="X381" s="686"/>
      <c r="Y381" s="686"/>
      <c r="Z381" s="686"/>
      <c r="AA381" s="662"/>
      <c r="AB381" s="662"/>
      <c r="AC381" s="662"/>
    </row>
    <row r="382" spans="1:68" ht="14.25" hidden="1" customHeight="1" x14ac:dyDescent="0.25">
      <c r="A382" s="703" t="s">
        <v>97</v>
      </c>
      <c r="B382" s="686"/>
      <c r="C382" s="686"/>
      <c r="D382" s="686"/>
      <c r="E382" s="686"/>
      <c r="F382" s="686"/>
      <c r="G382" s="686"/>
      <c r="H382" s="686"/>
      <c r="I382" s="686"/>
      <c r="J382" s="686"/>
      <c r="K382" s="686"/>
      <c r="L382" s="686"/>
      <c r="M382" s="686"/>
      <c r="N382" s="686"/>
      <c r="O382" s="686"/>
      <c r="P382" s="686"/>
      <c r="Q382" s="686"/>
      <c r="R382" s="686"/>
      <c r="S382" s="686"/>
      <c r="T382" s="686"/>
      <c r="U382" s="686"/>
      <c r="V382" s="686"/>
      <c r="W382" s="686"/>
      <c r="X382" s="686"/>
      <c r="Y382" s="686"/>
      <c r="Z382" s="686"/>
      <c r="AA382" s="663"/>
      <c r="AB382" s="663"/>
      <c r="AC382" s="663"/>
    </row>
    <row r="383" spans="1:68" ht="37.5" hidden="1" customHeight="1" x14ac:dyDescent="0.25">
      <c r="A383" s="54" t="s">
        <v>599</v>
      </c>
      <c r="B383" s="54" t="s">
        <v>600</v>
      </c>
      <c r="C383" s="31">
        <v>4301011869</v>
      </c>
      <c r="D383" s="678">
        <v>4680115884847</v>
      </c>
      <c r="E383" s="679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71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78">
        <v>4680115884847</v>
      </c>
      <c r="E384" s="679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1018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2"/>
      <c r="R384" s="672"/>
      <c r="S384" s="672"/>
      <c r="T384" s="673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78">
        <v>4680115884854</v>
      </c>
      <c r="E385" s="679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2"/>
      <c r="R385" s="672"/>
      <c r="S385" s="672"/>
      <c r="T385" s="673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78">
        <v>4680115884854</v>
      </c>
      <c r="E386" s="679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104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2"/>
      <c r="R386" s="672"/>
      <c r="S386" s="672"/>
      <c r="T386" s="673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78">
        <v>4607091383997</v>
      </c>
      <c r="E387" s="679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2"/>
      <c r="R387" s="672"/>
      <c r="S387" s="672"/>
      <c r="T387" s="673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8">
        <v>4680115884830</v>
      </c>
      <c r="E388" s="679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85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7">
        <v>500</v>
      </c>
      <c r="Y388" s="668">
        <f t="shared" si="57"/>
        <v>510</v>
      </c>
      <c r="Z388" s="36">
        <f>IFERROR(IF(Y388=0,"",ROUNDUP(Y388/H388,0)*0.02175),"")</f>
        <v>0.73949999999999994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516</v>
      </c>
      <c r="BN388" s="64">
        <f t="shared" si="59"/>
        <v>526.32000000000005</v>
      </c>
      <c r="BO388" s="64">
        <f t="shared" si="60"/>
        <v>0.69444444444444442</v>
      </c>
      <c r="BP388" s="64">
        <f t="shared" si="61"/>
        <v>0.70833333333333326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78">
        <v>4680115884830</v>
      </c>
      <c r="E389" s="679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105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2"/>
      <c r="R389" s="672"/>
      <c r="S389" s="672"/>
      <c r="T389" s="673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78">
        <v>4680115882638</v>
      </c>
      <c r="E390" s="679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8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2"/>
      <c r="R390" s="672"/>
      <c r="S390" s="672"/>
      <c r="T390" s="673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78">
        <v>4680115884922</v>
      </c>
      <c r="E391" s="679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10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2"/>
      <c r="R391" s="672"/>
      <c r="S391" s="672"/>
      <c r="T391" s="673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78">
        <v>4680115884861</v>
      </c>
      <c r="E392" s="679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10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2"/>
      <c r="R392" s="672"/>
      <c r="S392" s="672"/>
      <c r="T392" s="673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93"/>
      <c r="B393" s="686"/>
      <c r="C393" s="686"/>
      <c r="D393" s="686"/>
      <c r="E393" s="686"/>
      <c r="F393" s="686"/>
      <c r="G393" s="686"/>
      <c r="H393" s="686"/>
      <c r="I393" s="686"/>
      <c r="J393" s="686"/>
      <c r="K393" s="686"/>
      <c r="L393" s="686"/>
      <c r="M393" s="686"/>
      <c r="N393" s="686"/>
      <c r="O393" s="694"/>
      <c r="P393" s="695" t="s">
        <v>87</v>
      </c>
      <c r="Q393" s="696"/>
      <c r="R393" s="696"/>
      <c r="S393" s="696"/>
      <c r="T393" s="696"/>
      <c r="U393" s="696"/>
      <c r="V393" s="697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33.333333333333336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0.73949999999999994</v>
      </c>
      <c r="AA393" s="670"/>
      <c r="AB393" s="670"/>
      <c r="AC393" s="670"/>
    </row>
    <row r="394" spans="1:68" x14ac:dyDescent="0.2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  <c r="L394" s="686"/>
      <c r="M394" s="686"/>
      <c r="N394" s="686"/>
      <c r="O394" s="694"/>
      <c r="P394" s="695" t="s">
        <v>87</v>
      </c>
      <c r="Q394" s="696"/>
      <c r="R394" s="696"/>
      <c r="S394" s="696"/>
      <c r="T394" s="696"/>
      <c r="U394" s="696"/>
      <c r="V394" s="697"/>
      <c r="W394" s="37" t="s">
        <v>68</v>
      </c>
      <c r="X394" s="669">
        <f>IFERROR(SUM(X383:X392),"0")</f>
        <v>500</v>
      </c>
      <c r="Y394" s="669">
        <f>IFERROR(SUM(Y383:Y392),"0")</f>
        <v>510</v>
      </c>
      <c r="Z394" s="37"/>
      <c r="AA394" s="670"/>
      <c r="AB394" s="670"/>
      <c r="AC394" s="670"/>
    </row>
    <row r="395" spans="1:68" ht="14.25" hidden="1" customHeight="1" x14ac:dyDescent="0.25">
      <c r="A395" s="703" t="s">
        <v>133</v>
      </c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  <c r="L395" s="686"/>
      <c r="M395" s="686"/>
      <c r="N395" s="686"/>
      <c r="O395" s="686"/>
      <c r="P395" s="686"/>
      <c r="Q395" s="686"/>
      <c r="R395" s="686"/>
      <c r="S395" s="686"/>
      <c r="T395" s="686"/>
      <c r="U395" s="686"/>
      <c r="V395" s="686"/>
      <c r="W395" s="686"/>
      <c r="X395" s="686"/>
      <c r="Y395" s="686"/>
      <c r="Z395" s="686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8">
        <v>4607091383980</v>
      </c>
      <c r="E396" s="679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2"/>
      <c r="R396" s="672"/>
      <c r="S396" s="672"/>
      <c r="T396" s="673"/>
      <c r="U396" s="34"/>
      <c r="V396" s="34"/>
      <c r="W396" s="35" t="s">
        <v>68</v>
      </c>
      <c r="X396" s="667">
        <v>700</v>
      </c>
      <c r="Y396" s="668">
        <f>IFERROR(IF(X396="",0,CEILING((X396/$H396),1)*$H396),"")</f>
        <v>705</v>
      </c>
      <c r="Z396" s="36">
        <f>IFERROR(IF(Y396=0,"",ROUNDUP(Y396/H396,0)*0.02175),"")</f>
        <v>1.0222499999999999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722.4</v>
      </c>
      <c r="BN396" s="64">
        <f>IFERROR(Y396*I396/H396,"0")</f>
        <v>727.56</v>
      </c>
      <c r="BO396" s="64">
        <f>IFERROR(1/J396*(X396/H396),"0")</f>
        <v>0.9722222222222221</v>
      </c>
      <c r="BP396" s="64">
        <f>IFERROR(1/J396*(Y396/H396),"0")</f>
        <v>0.97916666666666663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78">
        <v>4607091384178</v>
      </c>
      <c r="E397" s="679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9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2"/>
      <c r="R397" s="672"/>
      <c r="S397" s="672"/>
      <c r="T397" s="673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3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94"/>
      <c r="P398" s="695" t="s">
        <v>87</v>
      </c>
      <c r="Q398" s="696"/>
      <c r="R398" s="696"/>
      <c r="S398" s="696"/>
      <c r="T398" s="696"/>
      <c r="U398" s="696"/>
      <c r="V398" s="697"/>
      <c r="W398" s="37" t="s">
        <v>88</v>
      </c>
      <c r="X398" s="669">
        <f>IFERROR(X396/H396,"0")+IFERROR(X397/H397,"0")</f>
        <v>46.666666666666664</v>
      </c>
      <c r="Y398" s="669">
        <f>IFERROR(Y396/H396,"0")+IFERROR(Y397/H397,"0")</f>
        <v>47</v>
      </c>
      <c r="Z398" s="669">
        <f>IFERROR(IF(Z396="",0,Z396),"0")+IFERROR(IF(Z397="",0,Z397),"0")</f>
        <v>1.0222499999999999</v>
      </c>
      <c r="AA398" s="670"/>
      <c r="AB398" s="670"/>
      <c r="AC398" s="670"/>
    </row>
    <row r="399" spans="1:68" x14ac:dyDescent="0.2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  <c r="L399" s="686"/>
      <c r="M399" s="686"/>
      <c r="N399" s="686"/>
      <c r="O399" s="694"/>
      <c r="P399" s="695" t="s">
        <v>87</v>
      </c>
      <c r="Q399" s="696"/>
      <c r="R399" s="696"/>
      <c r="S399" s="696"/>
      <c r="T399" s="696"/>
      <c r="U399" s="696"/>
      <c r="V399" s="697"/>
      <c r="W399" s="37" t="s">
        <v>68</v>
      </c>
      <c r="X399" s="669">
        <f>IFERROR(SUM(X396:X397),"0")</f>
        <v>700</v>
      </c>
      <c r="Y399" s="669">
        <f>IFERROR(SUM(Y396:Y397),"0")</f>
        <v>705</v>
      </c>
      <c r="Z399" s="37"/>
      <c r="AA399" s="670"/>
      <c r="AB399" s="670"/>
      <c r="AC399" s="670"/>
    </row>
    <row r="400" spans="1:68" ht="14.25" hidden="1" customHeight="1" x14ac:dyDescent="0.25">
      <c r="A400" s="703" t="s">
        <v>63</v>
      </c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  <c r="L400" s="686"/>
      <c r="M400" s="686"/>
      <c r="N400" s="686"/>
      <c r="O400" s="686"/>
      <c r="P400" s="686"/>
      <c r="Q400" s="686"/>
      <c r="R400" s="686"/>
      <c r="S400" s="686"/>
      <c r="T400" s="686"/>
      <c r="U400" s="686"/>
      <c r="V400" s="686"/>
      <c r="W400" s="686"/>
      <c r="X400" s="686"/>
      <c r="Y400" s="686"/>
      <c r="Z400" s="686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78">
        <v>4607091383928</v>
      </c>
      <c r="E401" s="679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1001" t="s">
        <v>629</v>
      </c>
      <c r="Q401" s="672"/>
      <c r="R401" s="672"/>
      <c r="S401" s="672"/>
      <c r="T401" s="673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78">
        <v>4607091384260</v>
      </c>
      <c r="E402" s="679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979" t="s">
        <v>633</v>
      </c>
      <c r="Q402" s="672"/>
      <c r="R402" s="672"/>
      <c r="S402" s="672"/>
      <c r="T402" s="673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93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  <c r="L403" s="686"/>
      <c r="M403" s="686"/>
      <c r="N403" s="686"/>
      <c r="O403" s="694"/>
      <c r="P403" s="695" t="s">
        <v>87</v>
      </c>
      <c r="Q403" s="696"/>
      <c r="R403" s="696"/>
      <c r="S403" s="696"/>
      <c r="T403" s="696"/>
      <c r="U403" s="696"/>
      <c r="V403" s="697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  <c r="L404" s="686"/>
      <c r="M404" s="686"/>
      <c r="N404" s="686"/>
      <c r="O404" s="694"/>
      <c r="P404" s="695" t="s">
        <v>87</v>
      </c>
      <c r="Q404" s="696"/>
      <c r="R404" s="696"/>
      <c r="S404" s="696"/>
      <c r="T404" s="696"/>
      <c r="U404" s="696"/>
      <c r="V404" s="697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703" t="s">
        <v>170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8">
        <v>4607091384673</v>
      </c>
      <c r="E406" s="679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927" t="s">
        <v>637</v>
      </c>
      <c r="Q406" s="672"/>
      <c r="R406" s="672"/>
      <c r="S406" s="672"/>
      <c r="T406" s="673"/>
      <c r="U406" s="34"/>
      <c r="V406" s="34"/>
      <c r="W406" s="35" t="s">
        <v>68</v>
      </c>
      <c r="X406" s="667">
        <v>200</v>
      </c>
      <c r="Y406" s="668">
        <f>IFERROR(IF(X406="",0,CEILING((X406/$H406),1)*$H406),"")</f>
        <v>207</v>
      </c>
      <c r="Z406" s="36">
        <f>IFERROR(IF(Y406=0,"",ROUNDUP(Y406/H406,0)*0.01898),"")</f>
        <v>0.43653999999999998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211.53333333333333</v>
      </c>
      <c r="BN406" s="64">
        <f>IFERROR(Y406*I406/H406,"0")</f>
        <v>218.93700000000001</v>
      </c>
      <c r="BO406" s="64">
        <f>IFERROR(1/J406*(X406/H406),"0")</f>
        <v>0.34722222222222221</v>
      </c>
      <c r="BP406" s="64">
        <f>IFERROR(1/J406*(Y406/H406),"0")</f>
        <v>0.359375</v>
      </c>
    </row>
    <row r="407" spans="1:68" x14ac:dyDescent="0.2">
      <c r="A407" s="693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  <c r="L407" s="686"/>
      <c r="M407" s="686"/>
      <c r="N407" s="686"/>
      <c r="O407" s="694"/>
      <c r="P407" s="695" t="s">
        <v>87</v>
      </c>
      <c r="Q407" s="696"/>
      <c r="R407" s="696"/>
      <c r="S407" s="696"/>
      <c r="T407" s="696"/>
      <c r="U407" s="696"/>
      <c r="V407" s="697"/>
      <c r="W407" s="37" t="s">
        <v>88</v>
      </c>
      <c r="X407" s="669">
        <f>IFERROR(X406/H406,"0")</f>
        <v>22.222222222222221</v>
      </c>
      <c r="Y407" s="669">
        <f>IFERROR(Y406/H406,"0")</f>
        <v>23</v>
      </c>
      <c r="Z407" s="669">
        <f>IFERROR(IF(Z406="",0,Z406),"0")</f>
        <v>0.43653999999999998</v>
      </c>
      <c r="AA407" s="670"/>
      <c r="AB407" s="670"/>
      <c r="AC407" s="670"/>
    </row>
    <row r="408" spans="1:68" x14ac:dyDescent="0.2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  <c r="L408" s="686"/>
      <c r="M408" s="686"/>
      <c r="N408" s="686"/>
      <c r="O408" s="694"/>
      <c r="P408" s="695" t="s">
        <v>87</v>
      </c>
      <c r="Q408" s="696"/>
      <c r="R408" s="696"/>
      <c r="S408" s="696"/>
      <c r="T408" s="696"/>
      <c r="U408" s="696"/>
      <c r="V408" s="697"/>
      <c r="W408" s="37" t="s">
        <v>68</v>
      </c>
      <c r="X408" s="669">
        <f>IFERROR(SUM(X406:X406),"0")</f>
        <v>200</v>
      </c>
      <c r="Y408" s="669">
        <f>IFERROR(SUM(Y406:Y406),"0")</f>
        <v>207</v>
      </c>
      <c r="Z408" s="37"/>
      <c r="AA408" s="670"/>
      <c r="AB408" s="670"/>
      <c r="AC408" s="670"/>
    </row>
    <row r="409" spans="1:68" ht="16.5" hidden="1" customHeight="1" x14ac:dyDescent="0.25">
      <c r="A409" s="705" t="s">
        <v>639</v>
      </c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  <c r="L409" s="686"/>
      <c r="M409" s="686"/>
      <c r="N409" s="686"/>
      <c r="O409" s="686"/>
      <c r="P409" s="686"/>
      <c r="Q409" s="686"/>
      <c r="R409" s="686"/>
      <c r="S409" s="686"/>
      <c r="T409" s="686"/>
      <c r="U409" s="686"/>
      <c r="V409" s="686"/>
      <c r="W409" s="686"/>
      <c r="X409" s="686"/>
      <c r="Y409" s="686"/>
      <c r="Z409" s="686"/>
      <c r="AA409" s="662"/>
      <c r="AB409" s="662"/>
      <c r="AC409" s="662"/>
    </row>
    <row r="410" spans="1:68" ht="14.25" hidden="1" customHeight="1" x14ac:dyDescent="0.25">
      <c r="A410" s="703" t="s">
        <v>97</v>
      </c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  <c r="L410" s="686"/>
      <c r="M410" s="686"/>
      <c r="N410" s="686"/>
      <c r="O410" s="686"/>
      <c r="P410" s="686"/>
      <c r="Q410" s="686"/>
      <c r="R410" s="686"/>
      <c r="S410" s="686"/>
      <c r="T410" s="686"/>
      <c r="U410" s="686"/>
      <c r="V410" s="686"/>
      <c r="W410" s="686"/>
      <c r="X410" s="686"/>
      <c r="Y410" s="686"/>
      <c r="Z410" s="686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78">
        <v>4680115881907</v>
      </c>
      <c r="E411" s="679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95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2"/>
      <c r="R411" s="672"/>
      <c r="S411" s="672"/>
      <c r="T411" s="673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78">
        <v>4680115881907</v>
      </c>
      <c r="E412" s="679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76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2"/>
      <c r="R412" s="672"/>
      <c r="S412" s="672"/>
      <c r="T412" s="673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78">
        <v>4680115884892</v>
      </c>
      <c r="E413" s="679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101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2"/>
      <c r="R413" s="672"/>
      <c r="S413" s="672"/>
      <c r="T413" s="673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8">
        <v>4680115884885</v>
      </c>
      <c r="E414" s="679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2"/>
      <c r="R414" s="672"/>
      <c r="S414" s="672"/>
      <c r="T414" s="673"/>
      <c r="U414" s="34"/>
      <c r="V414" s="34"/>
      <c r="W414" s="35" t="s">
        <v>68</v>
      </c>
      <c r="X414" s="667">
        <v>400</v>
      </c>
      <c r="Y414" s="668">
        <f>IFERROR(IF(X414="",0,CEILING((X414/$H414),1)*$H414),"")</f>
        <v>408</v>
      </c>
      <c r="Z414" s="36">
        <f>IFERROR(IF(Y414=0,"",ROUNDUP(Y414/H414,0)*0.01898),"")</f>
        <v>0.64532</v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414.5</v>
      </c>
      <c r="BN414" s="64">
        <f>IFERROR(Y414*I414/H414,"0")</f>
        <v>422.79</v>
      </c>
      <c r="BO414" s="64">
        <f>IFERROR(1/J414*(X414/H414),"0")</f>
        <v>0.52083333333333337</v>
      </c>
      <c r="BP414" s="64">
        <f>IFERROR(1/J414*(Y414/H414),"0")</f>
        <v>0.53125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78">
        <v>4680115884908</v>
      </c>
      <c r="E415" s="679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7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2"/>
      <c r="R415" s="672"/>
      <c r="S415" s="672"/>
      <c r="T415" s="673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93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  <c r="L416" s="686"/>
      <c r="M416" s="686"/>
      <c r="N416" s="686"/>
      <c r="O416" s="694"/>
      <c r="P416" s="695" t="s">
        <v>87</v>
      </c>
      <c r="Q416" s="696"/>
      <c r="R416" s="696"/>
      <c r="S416" s="696"/>
      <c r="T416" s="696"/>
      <c r="U416" s="696"/>
      <c r="V416" s="697"/>
      <c r="W416" s="37" t="s">
        <v>88</v>
      </c>
      <c r="X416" s="669">
        <f>IFERROR(X411/H411,"0")+IFERROR(X412/H412,"0")+IFERROR(X413/H413,"0")+IFERROR(X414/H414,"0")+IFERROR(X415/H415,"0")</f>
        <v>33.333333333333336</v>
      </c>
      <c r="Y416" s="669">
        <f>IFERROR(Y411/H411,"0")+IFERROR(Y412/H412,"0")+IFERROR(Y413/H413,"0")+IFERROR(Y414/H414,"0")+IFERROR(Y415/H415,"0")</f>
        <v>34</v>
      </c>
      <c r="Z416" s="669">
        <f>IFERROR(IF(Z411="",0,Z411),"0")+IFERROR(IF(Z412="",0,Z412),"0")+IFERROR(IF(Z413="",0,Z413),"0")+IFERROR(IF(Z414="",0,Z414),"0")+IFERROR(IF(Z415="",0,Z415),"0")</f>
        <v>0.64532</v>
      </c>
      <c r="AA416" s="670"/>
      <c r="AB416" s="670"/>
      <c r="AC416" s="670"/>
    </row>
    <row r="417" spans="1:68" x14ac:dyDescent="0.2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94"/>
      <c r="P417" s="695" t="s">
        <v>87</v>
      </c>
      <c r="Q417" s="696"/>
      <c r="R417" s="696"/>
      <c r="S417" s="696"/>
      <c r="T417" s="696"/>
      <c r="U417" s="696"/>
      <c r="V417" s="697"/>
      <c r="W417" s="37" t="s">
        <v>68</v>
      </c>
      <c r="X417" s="669">
        <f>IFERROR(SUM(X411:X415),"0")</f>
        <v>400</v>
      </c>
      <c r="Y417" s="669">
        <f>IFERROR(SUM(Y411:Y415),"0")</f>
        <v>408</v>
      </c>
      <c r="Z417" s="37"/>
      <c r="AA417" s="670"/>
      <c r="AB417" s="670"/>
      <c r="AC417" s="670"/>
    </row>
    <row r="418" spans="1:68" ht="14.25" hidden="1" customHeight="1" x14ac:dyDescent="0.25">
      <c r="A418" s="703" t="s">
        <v>144</v>
      </c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  <c r="L418" s="686"/>
      <c r="M418" s="686"/>
      <c r="N418" s="686"/>
      <c r="O418" s="686"/>
      <c r="P418" s="686"/>
      <c r="Q418" s="686"/>
      <c r="R418" s="686"/>
      <c r="S418" s="686"/>
      <c r="T418" s="686"/>
      <c r="U418" s="686"/>
      <c r="V418" s="686"/>
      <c r="W418" s="686"/>
      <c r="X418" s="686"/>
      <c r="Y418" s="686"/>
      <c r="Z418" s="686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8">
        <v>4607091384802</v>
      </c>
      <c r="E419" s="679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9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7">
        <v>50</v>
      </c>
      <c r="Y419" s="668">
        <f>IFERROR(IF(X419="",0,CEILING((X419/$H419),1)*$H419),"")</f>
        <v>52.56</v>
      </c>
      <c r="Z419" s="36">
        <f>IFERROR(IF(Y419=0,"",ROUNDUP(Y419/H419,0)*0.00902),"")</f>
        <v>0.10824</v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53.082191780821923</v>
      </c>
      <c r="BN419" s="64">
        <f>IFERROR(Y419*I419/H419,"0")</f>
        <v>55.800000000000004</v>
      </c>
      <c r="BO419" s="64">
        <f>IFERROR(1/J419*(X419/H419),"0")</f>
        <v>8.6481250864812509E-2</v>
      </c>
      <c r="BP419" s="64">
        <f>IFERROR(1/J419*(Y419/H419),"0")</f>
        <v>9.0909090909090912E-2</v>
      </c>
    </row>
    <row r="420" spans="1:68" x14ac:dyDescent="0.2">
      <c r="A420" s="693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  <c r="L420" s="686"/>
      <c r="M420" s="686"/>
      <c r="N420" s="686"/>
      <c r="O420" s="694"/>
      <c r="P420" s="695" t="s">
        <v>87</v>
      </c>
      <c r="Q420" s="696"/>
      <c r="R420" s="696"/>
      <c r="S420" s="696"/>
      <c r="T420" s="696"/>
      <c r="U420" s="696"/>
      <c r="V420" s="697"/>
      <c r="W420" s="37" t="s">
        <v>88</v>
      </c>
      <c r="X420" s="669">
        <f>IFERROR(X419/H419,"0")</f>
        <v>11.415525114155251</v>
      </c>
      <c r="Y420" s="669">
        <f>IFERROR(Y419/H419,"0")</f>
        <v>12</v>
      </c>
      <c r="Z420" s="669">
        <f>IFERROR(IF(Z419="",0,Z419),"0")</f>
        <v>0.10824</v>
      </c>
      <c r="AA420" s="670"/>
      <c r="AB420" s="670"/>
      <c r="AC420" s="670"/>
    </row>
    <row r="421" spans="1:68" x14ac:dyDescent="0.2">
      <c r="A421" s="686"/>
      <c r="B421" s="686"/>
      <c r="C421" s="686"/>
      <c r="D421" s="686"/>
      <c r="E421" s="686"/>
      <c r="F421" s="686"/>
      <c r="G421" s="686"/>
      <c r="H421" s="686"/>
      <c r="I421" s="686"/>
      <c r="J421" s="686"/>
      <c r="K421" s="686"/>
      <c r="L421" s="686"/>
      <c r="M421" s="686"/>
      <c r="N421" s="686"/>
      <c r="O421" s="694"/>
      <c r="P421" s="695" t="s">
        <v>87</v>
      </c>
      <c r="Q421" s="696"/>
      <c r="R421" s="696"/>
      <c r="S421" s="696"/>
      <c r="T421" s="696"/>
      <c r="U421" s="696"/>
      <c r="V421" s="697"/>
      <c r="W421" s="37" t="s">
        <v>68</v>
      </c>
      <c r="X421" s="669">
        <f>IFERROR(SUM(X419:X419),"0")</f>
        <v>50</v>
      </c>
      <c r="Y421" s="669">
        <f>IFERROR(SUM(Y419:Y419),"0")</f>
        <v>52.56</v>
      </c>
      <c r="Z421" s="37"/>
      <c r="AA421" s="670"/>
      <c r="AB421" s="670"/>
      <c r="AC421" s="670"/>
    </row>
    <row r="422" spans="1:68" ht="14.25" hidden="1" customHeight="1" x14ac:dyDescent="0.25">
      <c r="A422" s="703" t="s">
        <v>63</v>
      </c>
      <c r="B422" s="686"/>
      <c r="C422" s="686"/>
      <c r="D422" s="686"/>
      <c r="E422" s="686"/>
      <c r="F422" s="686"/>
      <c r="G422" s="686"/>
      <c r="H422" s="686"/>
      <c r="I422" s="686"/>
      <c r="J422" s="686"/>
      <c r="K422" s="686"/>
      <c r="L422" s="686"/>
      <c r="M422" s="686"/>
      <c r="N422" s="686"/>
      <c r="O422" s="686"/>
      <c r="P422" s="686"/>
      <c r="Q422" s="686"/>
      <c r="R422" s="686"/>
      <c r="S422" s="686"/>
      <c r="T422" s="686"/>
      <c r="U422" s="686"/>
      <c r="V422" s="686"/>
      <c r="W422" s="686"/>
      <c r="X422" s="686"/>
      <c r="Y422" s="686"/>
      <c r="Z422" s="686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8">
        <v>4607091384246</v>
      </c>
      <c r="E423" s="679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10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2"/>
      <c r="R423" s="672"/>
      <c r="S423" s="672"/>
      <c r="T423" s="673"/>
      <c r="U423" s="34"/>
      <c r="V423" s="34"/>
      <c r="W423" s="35" t="s">
        <v>68</v>
      </c>
      <c r="X423" s="667">
        <v>1200</v>
      </c>
      <c r="Y423" s="668">
        <f>IFERROR(IF(X423="",0,CEILING((X423/$H423),1)*$H423),"")</f>
        <v>1206</v>
      </c>
      <c r="Z423" s="36">
        <f>IFERROR(IF(Y423=0,"",ROUNDUP(Y423/H423,0)*0.01898),"")</f>
        <v>2.54332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1269.1999999999998</v>
      </c>
      <c r="BN423" s="64">
        <f>IFERROR(Y423*I423/H423,"0")</f>
        <v>1275.546</v>
      </c>
      <c r="BO423" s="64">
        <f>IFERROR(1/J423*(X423/H423),"0")</f>
        <v>2.0833333333333335</v>
      </c>
      <c r="BP423" s="64">
        <f>IFERROR(1/J423*(Y423/H423),"0")</f>
        <v>2.09375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78">
        <v>4607091384253</v>
      </c>
      <c r="E424" s="679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980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2"/>
      <c r="R424" s="672"/>
      <c r="S424" s="672"/>
      <c r="T424" s="673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8">
        <v>4607091384253</v>
      </c>
      <c r="E425" s="679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8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2"/>
      <c r="R425" s="672"/>
      <c r="S425" s="672"/>
      <c r="T425" s="673"/>
      <c r="U425" s="34"/>
      <c r="V425" s="34"/>
      <c r="W425" s="35" t="s">
        <v>68</v>
      </c>
      <c r="X425" s="667">
        <v>350</v>
      </c>
      <c r="Y425" s="668">
        <f>IFERROR(IF(X425="",0,CEILING((X425/$H425),1)*$H425),"")</f>
        <v>350.4</v>
      </c>
      <c r="Z425" s="36">
        <f>IFERROR(IF(Y425=0,"",ROUNDUP(Y425/H425,0)*0.00651),"")</f>
        <v>0.95045999999999997</v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388.50000000000006</v>
      </c>
      <c r="BN425" s="64">
        <f>IFERROR(Y425*I425/H425,"0")</f>
        <v>388.94400000000002</v>
      </c>
      <c r="BO425" s="64">
        <f>IFERROR(1/J425*(X425/H425),"0")</f>
        <v>0.80128205128205143</v>
      </c>
      <c r="BP425" s="64">
        <f>IFERROR(1/J425*(Y425/H425),"0")</f>
        <v>0.80219780219780223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78">
        <v>4680115881969</v>
      </c>
      <c r="E426" s="679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96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2"/>
      <c r="R426" s="672"/>
      <c r="S426" s="672"/>
      <c r="T426" s="673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93"/>
      <c r="B427" s="686"/>
      <c r="C427" s="686"/>
      <c r="D427" s="686"/>
      <c r="E427" s="686"/>
      <c r="F427" s="686"/>
      <c r="G427" s="686"/>
      <c r="H427" s="686"/>
      <c r="I427" s="686"/>
      <c r="J427" s="686"/>
      <c r="K427" s="686"/>
      <c r="L427" s="686"/>
      <c r="M427" s="686"/>
      <c r="N427" s="686"/>
      <c r="O427" s="694"/>
      <c r="P427" s="695" t="s">
        <v>87</v>
      </c>
      <c r="Q427" s="696"/>
      <c r="R427" s="696"/>
      <c r="S427" s="696"/>
      <c r="T427" s="696"/>
      <c r="U427" s="696"/>
      <c r="V427" s="697"/>
      <c r="W427" s="37" t="s">
        <v>88</v>
      </c>
      <c r="X427" s="669">
        <f>IFERROR(X423/H423,"0")+IFERROR(X424/H424,"0")+IFERROR(X425/H425,"0")+IFERROR(X426/H426,"0")</f>
        <v>279.16666666666669</v>
      </c>
      <c r="Y427" s="669">
        <f>IFERROR(Y423/H423,"0")+IFERROR(Y424/H424,"0")+IFERROR(Y425/H425,"0")+IFERROR(Y426/H426,"0")</f>
        <v>280</v>
      </c>
      <c r="Z427" s="669">
        <f>IFERROR(IF(Z423="",0,Z423),"0")+IFERROR(IF(Z424="",0,Z424),"0")+IFERROR(IF(Z425="",0,Z425),"0")+IFERROR(IF(Z426="",0,Z426),"0")</f>
        <v>3.4937800000000001</v>
      </c>
      <c r="AA427" s="670"/>
      <c r="AB427" s="670"/>
      <c r="AC427" s="670"/>
    </row>
    <row r="428" spans="1:68" x14ac:dyDescent="0.2">
      <c r="A428" s="686"/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94"/>
      <c r="P428" s="695" t="s">
        <v>87</v>
      </c>
      <c r="Q428" s="696"/>
      <c r="R428" s="696"/>
      <c r="S428" s="696"/>
      <c r="T428" s="696"/>
      <c r="U428" s="696"/>
      <c r="V428" s="697"/>
      <c r="W428" s="37" t="s">
        <v>68</v>
      </c>
      <c r="X428" s="669">
        <f>IFERROR(SUM(X423:X426),"0")</f>
        <v>1550</v>
      </c>
      <c r="Y428" s="669">
        <f>IFERROR(SUM(Y423:Y426),"0")</f>
        <v>1556.4</v>
      </c>
      <c r="Z428" s="37"/>
      <c r="AA428" s="670"/>
      <c r="AB428" s="670"/>
      <c r="AC428" s="670"/>
    </row>
    <row r="429" spans="1:68" ht="14.25" hidden="1" customHeight="1" x14ac:dyDescent="0.25">
      <c r="A429" s="703" t="s">
        <v>170</v>
      </c>
      <c r="B429" s="686"/>
      <c r="C429" s="686"/>
      <c r="D429" s="686"/>
      <c r="E429" s="686"/>
      <c r="F429" s="686"/>
      <c r="G429" s="686"/>
      <c r="H429" s="686"/>
      <c r="I429" s="686"/>
      <c r="J429" s="686"/>
      <c r="K429" s="686"/>
      <c r="L429" s="686"/>
      <c r="M429" s="686"/>
      <c r="N429" s="686"/>
      <c r="O429" s="686"/>
      <c r="P429" s="686"/>
      <c r="Q429" s="686"/>
      <c r="R429" s="686"/>
      <c r="S429" s="686"/>
      <c r="T429" s="686"/>
      <c r="U429" s="686"/>
      <c r="V429" s="686"/>
      <c r="W429" s="686"/>
      <c r="X429" s="686"/>
      <c r="Y429" s="686"/>
      <c r="Z429" s="686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78">
        <v>4607091389357</v>
      </c>
      <c r="E430" s="679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784" t="s">
        <v>667</v>
      </c>
      <c r="Q430" s="672"/>
      <c r="R430" s="672"/>
      <c r="S430" s="672"/>
      <c r="T430" s="673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93"/>
      <c r="B431" s="686"/>
      <c r="C431" s="686"/>
      <c r="D431" s="686"/>
      <c r="E431" s="686"/>
      <c r="F431" s="686"/>
      <c r="G431" s="686"/>
      <c r="H431" s="686"/>
      <c r="I431" s="686"/>
      <c r="J431" s="686"/>
      <c r="K431" s="686"/>
      <c r="L431" s="686"/>
      <c r="M431" s="686"/>
      <c r="N431" s="686"/>
      <c r="O431" s="694"/>
      <c r="P431" s="695" t="s">
        <v>87</v>
      </c>
      <c r="Q431" s="696"/>
      <c r="R431" s="696"/>
      <c r="S431" s="696"/>
      <c r="T431" s="696"/>
      <c r="U431" s="696"/>
      <c r="V431" s="697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86"/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94"/>
      <c r="P432" s="695" t="s">
        <v>87</v>
      </c>
      <c r="Q432" s="696"/>
      <c r="R432" s="696"/>
      <c r="S432" s="696"/>
      <c r="T432" s="696"/>
      <c r="U432" s="696"/>
      <c r="V432" s="697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843" t="s">
        <v>669</v>
      </c>
      <c r="B433" s="844"/>
      <c r="C433" s="844"/>
      <c r="D433" s="844"/>
      <c r="E433" s="844"/>
      <c r="F433" s="844"/>
      <c r="G433" s="844"/>
      <c r="H433" s="844"/>
      <c r="I433" s="844"/>
      <c r="J433" s="844"/>
      <c r="K433" s="844"/>
      <c r="L433" s="844"/>
      <c r="M433" s="844"/>
      <c r="N433" s="844"/>
      <c r="O433" s="844"/>
      <c r="P433" s="844"/>
      <c r="Q433" s="844"/>
      <c r="R433" s="844"/>
      <c r="S433" s="844"/>
      <c r="T433" s="844"/>
      <c r="U433" s="844"/>
      <c r="V433" s="844"/>
      <c r="W433" s="844"/>
      <c r="X433" s="844"/>
      <c r="Y433" s="844"/>
      <c r="Z433" s="844"/>
      <c r="AA433" s="48"/>
      <c r="AB433" s="48"/>
      <c r="AC433" s="48"/>
    </row>
    <row r="434" spans="1:68" ht="16.5" hidden="1" customHeight="1" x14ac:dyDescent="0.25">
      <c r="A434" s="705" t="s">
        <v>670</v>
      </c>
      <c r="B434" s="686"/>
      <c r="C434" s="686"/>
      <c r="D434" s="686"/>
      <c r="E434" s="686"/>
      <c r="F434" s="686"/>
      <c r="G434" s="686"/>
      <c r="H434" s="686"/>
      <c r="I434" s="686"/>
      <c r="J434" s="686"/>
      <c r="K434" s="686"/>
      <c r="L434" s="686"/>
      <c r="M434" s="686"/>
      <c r="N434" s="686"/>
      <c r="O434" s="686"/>
      <c r="P434" s="686"/>
      <c r="Q434" s="686"/>
      <c r="R434" s="686"/>
      <c r="S434" s="686"/>
      <c r="T434" s="686"/>
      <c r="U434" s="686"/>
      <c r="V434" s="686"/>
      <c r="W434" s="686"/>
      <c r="X434" s="686"/>
      <c r="Y434" s="686"/>
      <c r="Z434" s="686"/>
      <c r="AA434" s="662"/>
      <c r="AB434" s="662"/>
      <c r="AC434" s="662"/>
    </row>
    <row r="435" spans="1:68" ht="14.25" hidden="1" customHeight="1" x14ac:dyDescent="0.25">
      <c r="A435" s="703" t="s">
        <v>144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78">
        <v>4680115886100</v>
      </c>
      <c r="E436" s="679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714" t="s">
        <v>673</v>
      </c>
      <c r="Q436" s="672"/>
      <c r="R436" s="672"/>
      <c r="S436" s="672"/>
      <c r="T436" s="673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8">
        <v>4680115886117</v>
      </c>
      <c r="E437" s="679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1043" t="s">
        <v>677</v>
      </c>
      <c r="Q437" s="672"/>
      <c r="R437" s="672"/>
      <c r="S437" s="672"/>
      <c r="T437" s="673"/>
      <c r="U437" s="34"/>
      <c r="V437" s="34"/>
      <c r="W437" s="35" t="s">
        <v>68</v>
      </c>
      <c r="X437" s="667">
        <v>70</v>
      </c>
      <c r="Y437" s="668">
        <f t="shared" si="62"/>
        <v>70.2</v>
      </c>
      <c r="Z437" s="36">
        <f>IFERROR(IF(Y437=0,"",ROUNDUP(Y437/H437,0)*0.00902),"")</f>
        <v>0.11726</v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72.722222222222229</v>
      </c>
      <c r="BN437" s="64">
        <f t="shared" si="64"/>
        <v>72.930000000000007</v>
      </c>
      <c r="BO437" s="64">
        <f t="shared" si="65"/>
        <v>9.8204264870931535E-2</v>
      </c>
      <c r="BP437" s="64">
        <f t="shared" si="66"/>
        <v>9.8484848484848481E-2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78">
        <v>4680115886117</v>
      </c>
      <c r="E438" s="679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1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8">
        <v>4680115886124</v>
      </c>
      <c r="E439" s="679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760" t="s">
        <v>682</v>
      </c>
      <c r="Q439" s="672"/>
      <c r="R439" s="672"/>
      <c r="S439" s="672"/>
      <c r="T439" s="673"/>
      <c r="U439" s="34"/>
      <c r="V439" s="34"/>
      <c r="W439" s="35" t="s">
        <v>68</v>
      </c>
      <c r="X439" s="667">
        <v>100</v>
      </c>
      <c r="Y439" s="668">
        <f t="shared" si="62"/>
        <v>102.60000000000001</v>
      </c>
      <c r="Z439" s="36">
        <f>IFERROR(IF(Y439=0,"",ROUNDUP(Y439/H439,0)*0.00902),"")</f>
        <v>0.17138</v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103.88888888888889</v>
      </c>
      <c r="BN439" s="64">
        <f t="shared" si="64"/>
        <v>106.59000000000002</v>
      </c>
      <c r="BO439" s="64">
        <f t="shared" si="65"/>
        <v>0.14029180695847362</v>
      </c>
      <c r="BP439" s="64">
        <f t="shared" si="66"/>
        <v>0.14393939393939395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78">
        <v>4680115883147</v>
      </c>
      <c r="E440" s="679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7" t="s">
        <v>686</v>
      </c>
      <c r="Q440" s="672"/>
      <c r="R440" s="672"/>
      <c r="S440" s="672"/>
      <c r="T440" s="673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78">
        <v>4680115883147</v>
      </c>
      <c r="E441" s="679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6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2"/>
      <c r="R441" s="672"/>
      <c r="S441" s="672"/>
      <c r="T441" s="673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78">
        <v>4607091384338</v>
      </c>
      <c r="E442" s="679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9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78">
        <v>4607091389524</v>
      </c>
      <c r="E443" s="679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10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2"/>
      <c r="R443" s="672"/>
      <c r="S443" s="672"/>
      <c r="T443" s="673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78">
        <v>4680115883161</v>
      </c>
      <c r="E444" s="679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681" t="s">
        <v>695</v>
      </c>
      <c r="Q444" s="672"/>
      <c r="R444" s="672"/>
      <c r="S444" s="672"/>
      <c r="T444" s="673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78">
        <v>4680115883161</v>
      </c>
      <c r="E445" s="679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10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2"/>
      <c r="R445" s="672"/>
      <c r="S445" s="672"/>
      <c r="T445" s="673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78">
        <v>4607091389531</v>
      </c>
      <c r="E446" s="679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78">
        <v>4607091384345</v>
      </c>
      <c r="E447" s="679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7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2"/>
      <c r="R447" s="672"/>
      <c r="S447" s="672"/>
      <c r="T447" s="673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93"/>
      <c r="B448" s="686"/>
      <c r="C448" s="686"/>
      <c r="D448" s="686"/>
      <c r="E448" s="686"/>
      <c r="F448" s="686"/>
      <c r="G448" s="686"/>
      <c r="H448" s="686"/>
      <c r="I448" s="686"/>
      <c r="J448" s="686"/>
      <c r="K448" s="686"/>
      <c r="L448" s="686"/>
      <c r="M448" s="686"/>
      <c r="N448" s="686"/>
      <c r="O448" s="694"/>
      <c r="P448" s="695" t="s">
        <v>87</v>
      </c>
      <c r="Q448" s="696"/>
      <c r="R448" s="696"/>
      <c r="S448" s="696"/>
      <c r="T448" s="696"/>
      <c r="U448" s="696"/>
      <c r="V448" s="697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31.481481481481481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32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0.28864000000000001</v>
      </c>
      <c r="AA448" s="670"/>
      <c r="AB448" s="670"/>
      <c r="AC448" s="670"/>
    </row>
    <row r="449" spans="1:68" x14ac:dyDescent="0.2">
      <c r="A449" s="686"/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94"/>
      <c r="P449" s="695" t="s">
        <v>87</v>
      </c>
      <c r="Q449" s="696"/>
      <c r="R449" s="696"/>
      <c r="S449" s="696"/>
      <c r="T449" s="696"/>
      <c r="U449" s="696"/>
      <c r="V449" s="697"/>
      <c r="W449" s="37" t="s">
        <v>68</v>
      </c>
      <c r="X449" s="669">
        <f>IFERROR(SUM(X436:X447),"0")</f>
        <v>170</v>
      </c>
      <c r="Y449" s="669">
        <f>IFERROR(SUM(Y436:Y447),"0")</f>
        <v>172.8</v>
      </c>
      <c r="Z449" s="37"/>
      <c r="AA449" s="670"/>
      <c r="AB449" s="670"/>
      <c r="AC449" s="670"/>
    </row>
    <row r="450" spans="1:68" ht="14.25" hidden="1" customHeight="1" x14ac:dyDescent="0.25">
      <c r="A450" s="703" t="s">
        <v>63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78">
        <v>4607091384352</v>
      </c>
      <c r="E451" s="679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9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2"/>
      <c r="R451" s="672"/>
      <c r="S451" s="672"/>
      <c r="T451" s="673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78">
        <v>4607091389654</v>
      </c>
      <c r="E452" s="679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10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93"/>
      <c r="B453" s="686"/>
      <c r="C453" s="686"/>
      <c r="D453" s="686"/>
      <c r="E453" s="686"/>
      <c r="F453" s="686"/>
      <c r="G453" s="686"/>
      <c r="H453" s="686"/>
      <c r="I453" s="686"/>
      <c r="J453" s="686"/>
      <c r="K453" s="686"/>
      <c r="L453" s="686"/>
      <c r="M453" s="686"/>
      <c r="N453" s="686"/>
      <c r="O453" s="694"/>
      <c r="P453" s="695" t="s">
        <v>87</v>
      </c>
      <c r="Q453" s="696"/>
      <c r="R453" s="696"/>
      <c r="S453" s="696"/>
      <c r="T453" s="696"/>
      <c r="U453" s="696"/>
      <c r="V453" s="697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86"/>
      <c r="B454" s="686"/>
      <c r="C454" s="686"/>
      <c r="D454" s="686"/>
      <c r="E454" s="686"/>
      <c r="F454" s="686"/>
      <c r="G454" s="686"/>
      <c r="H454" s="686"/>
      <c r="I454" s="686"/>
      <c r="J454" s="686"/>
      <c r="K454" s="686"/>
      <c r="L454" s="686"/>
      <c r="M454" s="686"/>
      <c r="N454" s="686"/>
      <c r="O454" s="694"/>
      <c r="P454" s="695" t="s">
        <v>87</v>
      </c>
      <c r="Q454" s="696"/>
      <c r="R454" s="696"/>
      <c r="S454" s="696"/>
      <c r="T454" s="696"/>
      <c r="U454" s="696"/>
      <c r="V454" s="697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705" t="s">
        <v>709</v>
      </c>
      <c r="B455" s="686"/>
      <c r="C455" s="686"/>
      <c r="D455" s="686"/>
      <c r="E455" s="686"/>
      <c r="F455" s="686"/>
      <c r="G455" s="686"/>
      <c r="H455" s="686"/>
      <c r="I455" s="686"/>
      <c r="J455" s="686"/>
      <c r="K455" s="686"/>
      <c r="L455" s="686"/>
      <c r="M455" s="686"/>
      <c r="N455" s="686"/>
      <c r="O455" s="686"/>
      <c r="P455" s="686"/>
      <c r="Q455" s="686"/>
      <c r="R455" s="686"/>
      <c r="S455" s="686"/>
      <c r="T455" s="686"/>
      <c r="U455" s="686"/>
      <c r="V455" s="686"/>
      <c r="W455" s="686"/>
      <c r="X455" s="686"/>
      <c r="Y455" s="686"/>
      <c r="Z455" s="686"/>
      <c r="AA455" s="662"/>
      <c r="AB455" s="662"/>
      <c r="AC455" s="662"/>
    </row>
    <row r="456" spans="1:68" ht="14.25" hidden="1" customHeight="1" x14ac:dyDescent="0.25">
      <c r="A456" s="703" t="s">
        <v>133</v>
      </c>
      <c r="B456" s="686"/>
      <c r="C456" s="686"/>
      <c r="D456" s="686"/>
      <c r="E456" s="686"/>
      <c r="F456" s="686"/>
      <c r="G456" s="686"/>
      <c r="H456" s="686"/>
      <c r="I456" s="686"/>
      <c r="J456" s="686"/>
      <c r="K456" s="686"/>
      <c r="L456" s="686"/>
      <c r="M456" s="686"/>
      <c r="N456" s="686"/>
      <c r="O456" s="686"/>
      <c r="P456" s="686"/>
      <c r="Q456" s="686"/>
      <c r="R456" s="686"/>
      <c r="S456" s="686"/>
      <c r="T456" s="686"/>
      <c r="U456" s="686"/>
      <c r="V456" s="686"/>
      <c r="W456" s="686"/>
      <c r="X456" s="686"/>
      <c r="Y456" s="686"/>
      <c r="Z456" s="686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78">
        <v>4680115885240</v>
      </c>
      <c r="E457" s="679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10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78">
        <v>4607091389364</v>
      </c>
      <c r="E458" s="679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98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2"/>
      <c r="R458" s="672"/>
      <c r="S458" s="672"/>
      <c r="T458" s="673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93"/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94"/>
      <c r="P459" s="695" t="s">
        <v>87</v>
      </c>
      <c r="Q459" s="696"/>
      <c r="R459" s="696"/>
      <c r="S459" s="696"/>
      <c r="T459" s="696"/>
      <c r="U459" s="696"/>
      <c r="V459" s="697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86"/>
      <c r="B460" s="686"/>
      <c r="C460" s="686"/>
      <c r="D460" s="686"/>
      <c r="E460" s="686"/>
      <c r="F460" s="686"/>
      <c r="G460" s="686"/>
      <c r="H460" s="686"/>
      <c r="I460" s="686"/>
      <c r="J460" s="686"/>
      <c r="K460" s="686"/>
      <c r="L460" s="686"/>
      <c r="M460" s="686"/>
      <c r="N460" s="686"/>
      <c r="O460" s="694"/>
      <c r="P460" s="695" t="s">
        <v>87</v>
      </c>
      <c r="Q460" s="696"/>
      <c r="R460" s="696"/>
      <c r="S460" s="696"/>
      <c r="T460" s="696"/>
      <c r="U460" s="696"/>
      <c r="V460" s="697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703" t="s">
        <v>144</v>
      </c>
      <c r="B461" s="686"/>
      <c r="C461" s="686"/>
      <c r="D461" s="686"/>
      <c r="E461" s="686"/>
      <c r="F461" s="686"/>
      <c r="G461" s="686"/>
      <c r="H461" s="686"/>
      <c r="I461" s="686"/>
      <c r="J461" s="686"/>
      <c r="K461" s="686"/>
      <c r="L461" s="686"/>
      <c r="M461" s="686"/>
      <c r="N461" s="686"/>
      <c r="O461" s="686"/>
      <c r="P461" s="686"/>
      <c r="Q461" s="686"/>
      <c r="R461" s="686"/>
      <c r="S461" s="686"/>
      <c r="T461" s="686"/>
      <c r="U461" s="686"/>
      <c r="V461" s="686"/>
      <c r="W461" s="686"/>
      <c r="X461" s="686"/>
      <c r="Y461" s="686"/>
      <c r="Z461" s="686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78">
        <v>4680115886094</v>
      </c>
      <c r="E462" s="679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823" t="s">
        <v>718</v>
      </c>
      <c r="Q462" s="672"/>
      <c r="R462" s="672"/>
      <c r="S462" s="672"/>
      <c r="T462" s="673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78">
        <v>4607091389425</v>
      </c>
      <c r="E463" s="679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77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2"/>
      <c r="R463" s="672"/>
      <c r="S463" s="672"/>
      <c r="T463" s="673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78">
        <v>4680115880771</v>
      </c>
      <c r="E464" s="679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977" t="s">
        <v>725</v>
      </c>
      <c r="Q464" s="672"/>
      <c r="R464" s="672"/>
      <c r="S464" s="672"/>
      <c r="T464" s="673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78">
        <v>4607091389500</v>
      </c>
      <c r="E465" s="679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7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2"/>
      <c r="R465" s="672"/>
      <c r="S465" s="672"/>
      <c r="T465" s="673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3"/>
      <c r="B466" s="686"/>
      <c r="C466" s="686"/>
      <c r="D466" s="686"/>
      <c r="E466" s="686"/>
      <c r="F466" s="686"/>
      <c r="G466" s="686"/>
      <c r="H466" s="686"/>
      <c r="I466" s="686"/>
      <c r="J466" s="686"/>
      <c r="K466" s="686"/>
      <c r="L466" s="686"/>
      <c r="M466" s="686"/>
      <c r="N466" s="686"/>
      <c r="O466" s="694"/>
      <c r="P466" s="695" t="s">
        <v>87</v>
      </c>
      <c r="Q466" s="696"/>
      <c r="R466" s="696"/>
      <c r="S466" s="696"/>
      <c r="T466" s="696"/>
      <c r="U466" s="696"/>
      <c r="V466" s="697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86"/>
      <c r="B467" s="686"/>
      <c r="C467" s="686"/>
      <c r="D467" s="686"/>
      <c r="E467" s="686"/>
      <c r="F467" s="686"/>
      <c r="G467" s="686"/>
      <c r="H467" s="686"/>
      <c r="I467" s="686"/>
      <c r="J467" s="686"/>
      <c r="K467" s="686"/>
      <c r="L467" s="686"/>
      <c r="M467" s="686"/>
      <c r="N467" s="686"/>
      <c r="O467" s="694"/>
      <c r="P467" s="695" t="s">
        <v>87</v>
      </c>
      <c r="Q467" s="696"/>
      <c r="R467" s="696"/>
      <c r="S467" s="696"/>
      <c r="T467" s="696"/>
      <c r="U467" s="696"/>
      <c r="V467" s="697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705" t="s">
        <v>729</v>
      </c>
      <c r="B468" s="686"/>
      <c r="C468" s="686"/>
      <c r="D468" s="686"/>
      <c r="E468" s="686"/>
      <c r="F468" s="686"/>
      <c r="G468" s="686"/>
      <c r="H468" s="686"/>
      <c r="I468" s="686"/>
      <c r="J468" s="686"/>
      <c r="K468" s="686"/>
      <c r="L468" s="686"/>
      <c r="M468" s="686"/>
      <c r="N468" s="686"/>
      <c r="O468" s="686"/>
      <c r="P468" s="686"/>
      <c r="Q468" s="686"/>
      <c r="R468" s="686"/>
      <c r="S468" s="686"/>
      <c r="T468" s="686"/>
      <c r="U468" s="686"/>
      <c r="V468" s="686"/>
      <c r="W468" s="686"/>
      <c r="X468" s="686"/>
      <c r="Y468" s="686"/>
      <c r="Z468" s="686"/>
      <c r="AA468" s="662"/>
      <c r="AB468" s="662"/>
      <c r="AC468" s="662"/>
    </row>
    <row r="469" spans="1:68" ht="14.25" hidden="1" customHeight="1" x14ac:dyDescent="0.25">
      <c r="A469" s="703" t="s">
        <v>144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78">
        <v>4680115885189</v>
      </c>
      <c r="E470" s="679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79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2"/>
      <c r="R470" s="672"/>
      <c r="S470" s="672"/>
      <c r="T470" s="673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78">
        <v>4680115885110</v>
      </c>
      <c r="E471" s="679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1008" t="s">
        <v>735</v>
      </c>
      <c r="Q471" s="672"/>
      <c r="R471" s="672"/>
      <c r="S471" s="672"/>
      <c r="T471" s="673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93"/>
      <c r="B472" s="686"/>
      <c r="C472" s="686"/>
      <c r="D472" s="686"/>
      <c r="E472" s="686"/>
      <c r="F472" s="686"/>
      <c r="G472" s="686"/>
      <c r="H472" s="686"/>
      <c r="I472" s="686"/>
      <c r="J472" s="686"/>
      <c r="K472" s="686"/>
      <c r="L472" s="686"/>
      <c r="M472" s="686"/>
      <c r="N472" s="686"/>
      <c r="O472" s="694"/>
      <c r="P472" s="695" t="s">
        <v>87</v>
      </c>
      <c r="Q472" s="696"/>
      <c r="R472" s="696"/>
      <c r="S472" s="696"/>
      <c r="T472" s="696"/>
      <c r="U472" s="696"/>
      <c r="V472" s="697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86"/>
      <c r="B473" s="686"/>
      <c r="C473" s="686"/>
      <c r="D473" s="686"/>
      <c r="E473" s="686"/>
      <c r="F473" s="686"/>
      <c r="G473" s="686"/>
      <c r="H473" s="686"/>
      <c r="I473" s="686"/>
      <c r="J473" s="686"/>
      <c r="K473" s="686"/>
      <c r="L473" s="686"/>
      <c r="M473" s="686"/>
      <c r="N473" s="686"/>
      <c r="O473" s="694"/>
      <c r="P473" s="695" t="s">
        <v>87</v>
      </c>
      <c r="Q473" s="696"/>
      <c r="R473" s="696"/>
      <c r="S473" s="696"/>
      <c r="T473" s="696"/>
      <c r="U473" s="696"/>
      <c r="V473" s="697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705" t="s">
        <v>737</v>
      </c>
      <c r="B474" s="686"/>
      <c r="C474" s="686"/>
      <c r="D474" s="686"/>
      <c r="E474" s="686"/>
      <c r="F474" s="686"/>
      <c r="G474" s="686"/>
      <c r="H474" s="686"/>
      <c r="I474" s="686"/>
      <c r="J474" s="686"/>
      <c r="K474" s="686"/>
      <c r="L474" s="686"/>
      <c r="M474" s="686"/>
      <c r="N474" s="686"/>
      <c r="O474" s="686"/>
      <c r="P474" s="686"/>
      <c r="Q474" s="686"/>
      <c r="R474" s="686"/>
      <c r="S474" s="686"/>
      <c r="T474" s="686"/>
      <c r="U474" s="686"/>
      <c r="V474" s="686"/>
      <c r="W474" s="686"/>
      <c r="X474" s="686"/>
      <c r="Y474" s="686"/>
      <c r="Z474" s="686"/>
      <c r="AA474" s="662"/>
      <c r="AB474" s="662"/>
      <c r="AC474" s="662"/>
    </row>
    <row r="475" spans="1:68" ht="14.25" hidden="1" customHeight="1" x14ac:dyDescent="0.25">
      <c r="A475" s="703" t="s">
        <v>144</v>
      </c>
      <c r="B475" s="686"/>
      <c r="C475" s="686"/>
      <c r="D475" s="686"/>
      <c r="E475" s="686"/>
      <c r="F475" s="686"/>
      <c r="G475" s="686"/>
      <c r="H475" s="686"/>
      <c r="I475" s="686"/>
      <c r="J475" s="686"/>
      <c r="K475" s="686"/>
      <c r="L475" s="686"/>
      <c r="M475" s="686"/>
      <c r="N475" s="686"/>
      <c r="O475" s="686"/>
      <c r="P475" s="686"/>
      <c r="Q475" s="686"/>
      <c r="R475" s="686"/>
      <c r="S475" s="686"/>
      <c r="T475" s="686"/>
      <c r="U475" s="686"/>
      <c r="V475" s="686"/>
      <c r="W475" s="686"/>
      <c r="X475" s="686"/>
      <c r="Y475" s="686"/>
      <c r="Z475" s="686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78">
        <v>4680115885103</v>
      </c>
      <c r="E476" s="679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101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2"/>
      <c r="R476" s="672"/>
      <c r="S476" s="672"/>
      <c r="T476" s="673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93"/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94"/>
      <c r="P477" s="695" t="s">
        <v>87</v>
      </c>
      <c r="Q477" s="696"/>
      <c r="R477" s="696"/>
      <c r="S477" s="696"/>
      <c r="T477" s="696"/>
      <c r="U477" s="696"/>
      <c r="V477" s="697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86"/>
      <c r="B478" s="686"/>
      <c r="C478" s="686"/>
      <c r="D478" s="686"/>
      <c r="E478" s="686"/>
      <c r="F478" s="686"/>
      <c r="G478" s="686"/>
      <c r="H478" s="686"/>
      <c r="I478" s="686"/>
      <c r="J478" s="686"/>
      <c r="K478" s="686"/>
      <c r="L478" s="686"/>
      <c r="M478" s="686"/>
      <c r="N478" s="686"/>
      <c r="O478" s="694"/>
      <c r="P478" s="695" t="s">
        <v>87</v>
      </c>
      <c r="Q478" s="696"/>
      <c r="R478" s="696"/>
      <c r="S478" s="696"/>
      <c r="T478" s="696"/>
      <c r="U478" s="696"/>
      <c r="V478" s="697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703" t="s">
        <v>170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78">
        <v>4680115885509</v>
      </c>
      <c r="E480" s="679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94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2"/>
      <c r="R480" s="672"/>
      <c r="S480" s="672"/>
      <c r="T480" s="673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93"/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94"/>
      <c r="P481" s="695" t="s">
        <v>87</v>
      </c>
      <c r="Q481" s="696"/>
      <c r="R481" s="696"/>
      <c r="S481" s="696"/>
      <c r="T481" s="696"/>
      <c r="U481" s="696"/>
      <c r="V481" s="697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86"/>
      <c r="B482" s="686"/>
      <c r="C482" s="686"/>
      <c r="D482" s="686"/>
      <c r="E482" s="686"/>
      <c r="F482" s="686"/>
      <c r="G482" s="686"/>
      <c r="H482" s="686"/>
      <c r="I482" s="686"/>
      <c r="J482" s="686"/>
      <c r="K482" s="686"/>
      <c r="L482" s="686"/>
      <c r="M482" s="686"/>
      <c r="N482" s="686"/>
      <c r="O482" s="694"/>
      <c r="P482" s="695" t="s">
        <v>87</v>
      </c>
      <c r="Q482" s="696"/>
      <c r="R482" s="696"/>
      <c r="S482" s="696"/>
      <c r="T482" s="696"/>
      <c r="U482" s="696"/>
      <c r="V482" s="697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843" t="s">
        <v>744</v>
      </c>
      <c r="B483" s="844"/>
      <c r="C483" s="844"/>
      <c r="D483" s="844"/>
      <c r="E483" s="844"/>
      <c r="F483" s="844"/>
      <c r="G483" s="844"/>
      <c r="H483" s="844"/>
      <c r="I483" s="844"/>
      <c r="J483" s="844"/>
      <c r="K483" s="844"/>
      <c r="L483" s="844"/>
      <c r="M483" s="844"/>
      <c r="N483" s="844"/>
      <c r="O483" s="844"/>
      <c r="P483" s="844"/>
      <c r="Q483" s="844"/>
      <c r="R483" s="844"/>
      <c r="S483" s="844"/>
      <c r="T483" s="844"/>
      <c r="U483" s="844"/>
      <c r="V483" s="844"/>
      <c r="W483" s="844"/>
      <c r="X483" s="844"/>
      <c r="Y483" s="844"/>
      <c r="Z483" s="844"/>
      <c r="AA483" s="48"/>
      <c r="AB483" s="48"/>
      <c r="AC483" s="48"/>
    </row>
    <row r="484" spans="1:68" ht="16.5" hidden="1" customHeight="1" x14ac:dyDescent="0.25">
      <c r="A484" s="705" t="s">
        <v>744</v>
      </c>
      <c r="B484" s="686"/>
      <c r="C484" s="686"/>
      <c r="D484" s="686"/>
      <c r="E484" s="686"/>
      <c r="F484" s="686"/>
      <c r="G484" s="686"/>
      <c r="H484" s="686"/>
      <c r="I484" s="686"/>
      <c r="J484" s="686"/>
      <c r="K484" s="686"/>
      <c r="L484" s="686"/>
      <c r="M484" s="686"/>
      <c r="N484" s="686"/>
      <c r="O484" s="686"/>
      <c r="P484" s="686"/>
      <c r="Q484" s="686"/>
      <c r="R484" s="686"/>
      <c r="S484" s="686"/>
      <c r="T484" s="686"/>
      <c r="U484" s="686"/>
      <c r="V484" s="686"/>
      <c r="W484" s="686"/>
      <c r="X484" s="686"/>
      <c r="Y484" s="686"/>
      <c r="Z484" s="686"/>
      <c r="AA484" s="662"/>
      <c r="AB484" s="662"/>
      <c r="AC484" s="662"/>
    </row>
    <row r="485" spans="1:68" ht="14.25" hidden="1" customHeight="1" x14ac:dyDescent="0.25">
      <c r="A485" s="703" t="s">
        <v>97</v>
      </c>
      <c r="B485" s="686"/>
      <c r="C485" s="686"/>
      <c r="D485" s="686"/>
      <c r="E485" s="686"/>
      <c r="F485" s="686"/>
      <c r="G485" s="686"/>
      <c r="H485" s="686"/>
      <c r="I485" s="686"/>
      <c r="J485" s="686"/>
      <c r="K485" s="686"/>
      <c r="L485" s="686"/>
      <c r="M485" s="686"/>
      <c r="N485" s="686"/>
      <c r="O485" s="686"/>
      <c r="P485" s="686"/>
      <c r="Q485" s="686"/>
      <c r="R485" s="686"/>
      <c r="S485" s="686"/>
      <c r="T485" s="686"/>
      <c r="U485" s="686"/>
      <c r="V485" s="686"/>
      <c r="W485" s="686"/>
      <c r="X485" s="686"/>
      <c r="Y485" s="686"/>
      <c r="Z485" s="686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78">
        <v>4607091389067</v>
      </c>
      <c r="E486" s="679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2"/>
      <c r="R486" s="672"/>
      <c r="S486" s="672"/>
      <c r="T486" s="673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8">
        <v>4680115885271</v>
      </c>
      <c r="E487" s="679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84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7">
        <v>500</v>
      </c>
      <c r="Y487" s="668">
        <f t="shared" si="68"/>
        <v>501.6</v>
      </c>
      <c r="Z487" s="36">
        <f t="shared" si="69"/>
        <v>1.1362000000000001</v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534.09090909090912</v>
      </c>
      <c r="BN487" s="64">
        <f t="shared" si="71"/>
        <v>535.79999999999995</v>
      </c>
      <c r="BO487" s="64">
        <f t="shared" si="72"/>
        <v>0.91054778554778548</v>
      </c>
      <c r="BP487" s="64">
        <f t="shared" si="73"/>
        <v>0.91346153846153855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8">
        <v>4680115885226</v>
      </c>
      <c r="E488" s="679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8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7">
        <v>1500</v>
      </c>
      <c r="Y488" s="668">
        <f t="shared" si="68"/>
        <v>1504.8000000000002</v>
      </c>
      <c r="Z488" s="36">
        <f t="shared" si="69"/>
        <v>3.4085999999999999</v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1602.2727272727273</v>
      </c>
      <c r="BN488" s="64">
        <f t="shared" si="71"/>
        <v>1607.3999999999999</v>
      </c>
      <c r="BO488" s="64">
        <f t="shared" si="72"/>
        <v>2.7316433566433567</v>
      </c>
      <c r="BP488" s="64">
        <f t="shared" si="73"/>
        <v>2.7403846153846154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78">
        <v>4680115884502</v>
      </c>
      <c r="E489" s="679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4301011771</v>
      </c>
      <c r="D490" s="678">
        <v>4607091389104</v>
      </c>
      <c r="E490" s="679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2"/>
      <c r="R490" s="672"/>
      <c r="S490" s="672"/>
      <c r="T490" s="673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78">
        <v>4680115884519</v>
      </c>
      <c r="E491" s="679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2"/>
      <c r="R491" s="672"/>
      <c r="S491" s="672"/>
      <c r="T491" s="673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78">
        <v>4680115886391</v>
      </c>
      <c r="E492" s="679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992" t="s">
        <v>765</v>
      </c>
      <c r="Q492" s="672"/>
      <c r="R492" s="672"/>
      <c r="S492" s="672"/>
      <c r="T492" s="673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78">
        <v>4680115880603</v>
      </c>
      <c r="E493" s="679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9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78">
        <v>4680115880603</v>
      </c>
      <c r="E494" s="679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10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78">
        <v>4680115882782</v>
      </c>
      <c r="E495" s="679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9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2"/>
      <c r="R495" s="672"/>
      <c r="S495" s="672"/>
      <c r="T495" s="673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78">
        <v>4680115886469</v>
      </c>
      <c r="E496" s="679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94" t="s">
        <v>773</v>
      </c>
      <c r="Q496" s="672"/>
      <c r="R496" s="672"/>
      <c r="S496" s="672"/>
      <c r="T496" s="673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78">
        <v>4680115886483</v>
      </c>
      <c r="E497" s="679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711" t="s">
        <v>776</v>
      </c>
      <c r="Q497" s="672"/>
      <c r="R497" s="672"/>
      <c r="S497" s="672"/>
      <c r="T497" s="673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78">
        <v>4680115885479</v>
      </c>
      <c r="E498" s="679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960" t="s">
        <v>779</v>
      </c>
      <c r="Q498" s="672"/>
      <c r="R498" s="672"/>
      <c r="S498" s="672"/>
      <c r="T498" s="673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8">
        <v>4607091389982</v>
      </c>
      <c r="E499" s="679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72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2"/>
      <c r="R499" s="672"/>
      <c r="S499" s="672"/>
      <c r="T499" s="673"/>
      <c r="U499" s="34"/>
      <c r="V499" s="34"/>
      <c r="W499" s="35" t="s">
        <v>68</v>
      </c>
      <c r="X499" s="667">
        <v>400</v>
      </c>
      <c r="Y499" s="668">
        <f t="shared" si="68"/>
        <v>403.2</v>
      </c>
      <c r="Z499" s="36">
        <f>IFERROR(IF(Y499=0,"",ROUNDUP(Y499/H499,0)*0.00902),"")</f>
        <v>1.01024</v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423.33333333333331</v>
      </c>
      <c r="BN499" s="64">
        <f t="shared" si="71"/>
        <v>426.71999999999997</v>
      </c>
      <c r="BO499" s="64">
        <f t="shared" si="72"/>
        <v>0.84175084175084181</v>
      </c>
      <c r="BP499" s="64">
        <f t="shared" si="73"/>
        <v>0.84848484848484851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78">
        <v>4607091389982</v>
      </c>
      <c r="E500" s="679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2"/>
      <c r="R500" s="672"/>
      <c r="S500" s="672"/>
      <c r="T500" s="673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78">
        <v>4680115886490</v>
      </c>
      <c r="E501" s="679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91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2"/>
      <c r="R501" s="672"/>
      <c r="S501" s="672"/>
      <c r="T501" s="673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93"/>
      <c r="B502" s="686"/>
      <c r="C502" s="686"/>
      <c r="D502" s="686"/>
      <c r="E502" s="686"/>
      <c r="F502" s="686"/>
      <c r="G502" s="686"/>
      <c r="H502" s="686"/>
      <c r="I502" s="686"/>
      <c r="J502" s="686"/>
      <c r="K502" s="686"/>
      <c r="L502" s="686"/>
      <c r="M502" s="686"/>
      <c r="N502" s="686"/>
      <c r="O502" s="694"/>
      <c r="P502" s="695" t="s">
        <v>87</v>
      </c>
      <c r="Q502" s="696"/>
      <c r="R502" s="696"/>
      <c r="S502" s="696"/>
      <c r="T502" s="696"/>
      <c r="U502" s="696"/>
      <c r="V502" s="697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489.89898989898984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492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5.55504</v>
      </c>
      <c r="AA502" s="670"/>
      <c r="AB502" s="670"/>
      <c r="AC502" s="670"/>
    </row>
    <row r="503" spans="1:68" x14ac:dyDescent="0.2">
      <c r="A503" s="686"/>
      <c r="B503" s="686"/>
      <c r="C503" s="686"/>
      <c r="D503" s="686"/>
      <c r="E503" s="686"/>
      <c r="F503" s="686"/>
      <c r="G503" s="686"/>
      <c r="H503" s="686"/>
      <c r="I503" s="686"/>
      <c r="J503" s="686"/>
      <c r="K503" s="686"/>
      <c r="L503" s="686"/>
      <c r="M503" s="686"/>
      <c r="N503" s="686"/>
      <c r="O503" s="694"/>
      <c r="P503" s="695" t="s">
        <v>87</v>
      </c>
      <c r="Q503" s="696"/>
      <c r="R503" s="696"/>
      <c r="S503" s="696"/>
      <c r="T503" s="696"/>
      <c r="U503" s="696"/>
      <c r="V503" s="697"/>
      <c r="W503" s="37" t="s">
        <v>68</v>
      </c>
      <c r="X503" s="669">
        <f>IFERROR(SUM(X486:X501),"0")</f>
        <v>2400</v>
      </c>
      <c r="Y503" s="669">
        <f>IFERROR(SUM(Y486:Y501),"0")</f>
        <v>2409.6</v>
      </c>
      <c r="Z503" s="37"/>
      <c r="AA503" s="670"/>
      <c r="AB503" s="670"/>
      <c r="AC503" s="670"/>
    </row>
    <row r="504" spans="1:68" ht="14.25" hidden="1" customHeight="1" x14ac:dyDescent="0.25">
      <c r="A504" s="703" t="s">
        <v>133</v>
      </c>
      <c r="B504" s="686"/>
      <c r="C504" s="686"/>
      <c r="D504" s="686"/>
      <c r="E504" s="686"/>
      <c r="F504" s="686"/>
      <c r="G504" s="686"/>
      <c r="H504" s="686"/>
      <c r="I504" s="686"/>
      <c r="J504" s="686"/>
      <c r="K504" s="686"/>
      <c r="L504" s="686"/>
      <c r="M504" s="686"/>
      <c r="N504" s="686"/>
      <c r="O504" s="686"/>
      <c r="P504" s="686"/>
      <c r="Q504" s="686"/>
      <c r="R504" s="686"/>
      <c r="S504" s="686"/>
      <c r="T504" s="686"/>
      <c r="U504" s="686"/>
      <c r="V504" s="686"/>
      <c r="W504" s="686"/>
      <c r="X504" s="686"/>
      <c r="Y504" s="686"/>
      <c r="Z504" s="686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78">
        <v>4607091388930</v>
      </c>
      <c r="E505" s="679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70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2"/>
      <c r="R505" s="672"/>
      <c r="S505" s="672"/>
      <c r="T505" s="673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78">
        <v>4607091388930</v>
      </c>
      <c r="E506" s="679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71" t="s">
        <v>789</v>
      </c>
      <c r="Q506" s="672"/>
      <c r="R506" s="672"/>
      <c r="S506" s="672"/>
      <c r="T506" s="673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78">
        <v>4680115886407</v>
      </c>
      <c r="E507" s="679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709" t="s">
        <v>793</v>
      </c>
      <c r="Q507" s="672"/>
      <c r="R507" s="672"/>
      <c r="S507" s="672"/>
      <c r="T507" s="673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78">
        <v>4680115880054</v>
      </c>
      <c r="E508" s="679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975" t="s">
        <v>796</v>
      </c>
      <c r="Q508" s="672"/>
      <c r="R508" s="672"/>
      <c r="S508" s="672"/>
      <c r="T508" s="673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93"/>
      <c r="B509" s="686"/>
      <c r="C509" s="686"/>
      <c r="D509" s="686"/>
      <c r="E509" s="686"/>
      <c r="F509" s="686"/>
      <c r="G509" s="686"/>
      <c r="H509" s="686"/>
      <c r="I509" s="686"/>
      <c r="J509" s="686"/>
      <c r="K509" s="686"/>
      <c r="L509" s="686"/>
      <c r="M509" s="686"/>
      <c r="N509" s="686"/>
      <c r="O509" s="694"/>
      <c r="P509" s="695" t="s">
        <v>87</v>
      </c>
      <c r="Q509" s="696"/>
      <c r="R509" s="696"/>
      <c r="S509" s="696"/>
      <c r="T509" s="696"/>
      <c r="U509" s="696"/>
      <c r="V509" s="697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86"/>
      <c r="B510" s="686"/>
      <c r="C510" s="686"/>
      <c r="D510" s="686"/>
      <c r="E510" s="686"/>
      <c r="F510" s="686"/>
      <c r="G510" s="686"/>
      <c r="H510" s="686"/>
      <c r="I510" s="686"/>
      <c r="J510" s="686"/>
      <c r="K510" s="686"/>
      <c r="L510" s="686"/>
      <c r="M510" s="686"/>
      <c r="N510" s="686"/>
      <c r="O510" s="694"/>
      <c r="P510" s="695" t="s">
        <v>87</v>
      </c>
      <c r="Q510" s="696"/>
      <c r="R510" s="696"/>
      <c r="S510" s="696"/>
      <c r="T510" s="696"/>
      <c r="U510" s="696"/>
      <c r="V510" s="697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703" t="s">
        <v>144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78">
        <v>4680115883116</v>
      </c>
      <c r="E512" s="679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848" t="s">
        <v>799</v>
      </c>
      <c r="Q512" s="672"/>
      <c r="R512" s="672"/>
      <c r="S512" s="672"/>
      <c r="T512" s="673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78">
        <v>4680115883093</v>
      </c>
      <c r="E513" s="679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937" t="s">
        <v>803</v>
      </c>
      <c r="Q513" s="672"/>
      <c r="R513" s="672"/>
      <c r="S513" s="672"/>
      <c r="T513" s="673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8">
        <v>4680115883109</v>
      </c>
      <c r="E514" s="679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86" t="s">
        <v>807</v>
      </c>
      <c r="Q514" s="672"/>
      <c r="R514" s="672"/>
      <c r="S514" s="672"/>
      <c r="T514" s="673"/>
      <c r="U514" s="34"/>
      <c r="V514" s="34"/>
      <c r="W514" s="35" t="s">
        <v>68</v>
      </c>
      <c r="X514" s="667">
        <v>700</v>
      </c>
      <c r="Y514" s="668">
        <f t="shared" si="74"/>
        <v>702.24</v>
      </c>
      <c r="Z514" s="36">
        <f>IFERROR(IF(Y514=0,"",ROUNDUP(Y514/H514,0)*0.01196),"")</f>
        <v>1.5906800000000001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747.72727272727275</v>
      </c>
      <c r="BN514" s="64">
        <f t="shared" si="76"/>
        <v>750.11999999999989</v>
      </c>
      <c r="BO514" s="64">
        <f t="shared" si="77"/>
        <v>1.2747668997668997</v>
      </c>
      <c r="BP514" s="64">
        <f t="shared" si="78"/>
        <v>1.278846153846154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78">
        <v>4680115886438</v>
      </c>
      <c r="E515" s="679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744" t="s">
        <v>811</v>
      </c>
      <c r="Q515" s="672"/>
      <c r="R515" s="672"/>
      <c r="S515" s="672"/>
      <c r="T515" s="673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78">
        <v>4680115882072</v>
      </c>
      <c r="E516" s="679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6" t="s">
        <v>814</v>
      </c>
      <c r="Q516" s="672"/>
      <c r="R516" s="672"/>
      <c r="S516" s="672"/>
      <c r="T516" s="673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78">
        <v>4680115882072</v>
      </c>
      <c r="E517" s="679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874" t="s">
        <v>816</v>
      </c>
      <c r="Q517" s="672"/>
      <c r="R517" s="672"/>
      <c r="S517" s="672"/>
      <c r="T517" s="673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78">
        <v>4680115882072</v>
      </c>
      <c r="E518" s="679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2"/>
      <c r="R518" s="672"/>
      <c r="S518" s="672"/>
      <c r="T518" s="673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78">
        <v>4680115882102</v>
      </c>
      <c r="E519" s="679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906" t="s">
        <v>821</v>
      </c>
      <c r="Q519" s="672"/>
      <c r="R519" s="672"/>
      <c r="S519" s="672"/>
      <c r="T519" s="673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78">
        <v>4680115882096</v>
      </c>
      <c r="E520" s="679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102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2"/>
      <c r="R520" s="672"/>
      <c r="S520" s="672"/>
      <c r="T520" s="673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78">
        <v>4680115882096</v>
      </c>
      <c r="E521" s="679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1000" t="s">
        <v>826</v>
      </c>
      <c r="Q521" s="672"/>
      <c r="R521" s="672"/>
      <c r="S521" s="672"/>
      <c r="T521" s="673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78">
        <v>4680115882096</v>
      </c>
      <c r="E522" s="679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99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2"/>
      <c r="R522" s="672"/>
      <c r="S522" s="672"/>
      <c r="T522" s="673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93"/>
      <c r="B523" s="686"/>
      <c r="C523" s="686"/>
      <c r="D523" s="686"/>
      <c r="E523" s="686"/>
      <c r="F523" s="686"/>
      <c r="G523" s="686"/>
      <c r="H523" s="686"/>
      <c r="I523" s="686"/>
      <c r="J523" s="686"/>
      <c r="K523" s="686"/>
      <c r="L523" s="686"/>
      <c r="M523" s="686"/>
      <c r="N523" s="686"/>
      <c r="O523" s="694"/>
      <c r="P523" s="695" t="s">
        <v>87</v>
      </c>
      <c r="Q523" s="696"/>
      <c r="R523" s="696"/>
      <c r="S523" s="696"/>
      <c r="T523" s="696"/>
      <c r="U523" s="696"/>
      <c r="V523" s="697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132.57575757575756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133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1.5906800000000001</v>
      </c>
      <c r="AA523" s="670"/>
      <c r="AB523" s="670"/>
      <c r="AC523" s="670"/>
    </row>
    <row r="524" spans="1:68" x14ac:dyDescent="0.2">
      <c r="A524" s="686"/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94"/>
      <c r="P524" s="695" t="s">
        <v>87</v>
      </c>
      <c r="Q524" s="696"/>
      <c r="R524" s="696"/>
      <c r="S524" s="696"/>
      <c r="T524" s="696"/>
      <c r="U524" s="696"/>
      <c r="V524" s="697"/>
      <c r="W524" s="37" t="s">
        <v>68</v>
      </c>
      <c r="X524" s="669">
        <f>IFERROR(SUM(X512:X522),"0")</f>
        <v>700</v>
      </c>
      <c r="Y524" s="669">
        <f>IFERROR(SUM(Y512:Y522),"0")</f>
        <v>702.24</v>
      </c>
      <c r="Z524" s="37"/>
      <c r="AA524" s="670"/>
      <c r="AB524" s="670"/>
      <c r="AC524" s="670"/>
    </row>
    <row r="525" spans="1:68" ht="14.25" hidden="1" customHeight="1" x14ac:dyDescent="0.25">
      <c r="A525" s="703" t="s">
        <v>63</v>
      </c>
      <c r="B525" s="686"/>
      <c r="C525" s="686"/>
      <c r="D525" s="686"/>
      <c r="E525" s="686"/>
      <c r="F525" s="686"/>
      <c r="G525" s="686"/>
      <c r="H525" s="686"/>
      <c r="I525" s="686"/>
      <c r="J525" s="686"/>
      <c r="K525" s="686"/>
      <c r="L525" s="686"/>
      <c r="M525" s="686"/>
      <c r="N525" s="686"/>
      <c r="O525" s="686"/>
      <c r="P525" s="686"/>
      <c r="Q525" s="686"/>
      <c r="R525" s="686"/>
      <c r="S525" s="686"/>
      <c r="T525" s="686"/>
      <c r="U525" s="686"/>
      <c r="V525" s="686"/>
      <c r="W525" s="686"/>
      <c r="X525" s="686"/>
      <c r="Y525" s="686"/>
      <c r="Z525" s="686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78">
        <v>4607091383409</v>
      </c>
      <c r="E526" s="679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85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2"/>
      <c r="R526" s="672"/>
      <c r="S526" s="672"/>
      <c r="T526" s="673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78">
        <v>4607091383416</v>
      </c>
      <c r="E527" s="679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102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78">
        <v>4680115883536</v>
      </c>
      <c r="E528" s="679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2"/>
      <c r="R528" s="672"/>
      <c r="S528" s="672"/>
      <c r="T528" s="673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93"/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94"/>
      <c r="P529" s="695" t="s">
        <v>87</v>
      </c>
      <c r="Q529" s="696"/>
      <c r="R529" s="696"/>
      <c r="S529" s="696"/>
      <c r="T529" s="696"/>
      <c r="U529" s="696"/>
      <c r="V529" s="697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86"/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94"/>
      <c r="P530" s="695" t="s">
        <v>87</v>
      </c>
      <c r="Q530" s="696"/>
      <c r="R530" s="696"/>
      <c r="S530" s="696"/>
      <c r="T530" s="696"/>
      <c r="U530" s="696"/>
      <c r="V530" s="697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703" t="s">
        <v>170</v>
      </c>
      <c r="B531" s="686"/>
      <c r="C531" s="686"/>
      <c r="D531" s="686"/>
      <c r="E531" s="686"/>
      <c r="F531" s="686"/>
      <c r="G531" s="686"/>
      <c r="H531" s="686"/>
      <c r="I531" s="686"/>
      <c r="J531" s="686"/>
      <c r="K531" s="686"/>
      <c r="L531" s="686"/>
      <c r="M531" s="686"/>
      <c r="N531" s="686"/>
      <c r="O531" s="686"/>
      <c r="P531" s="686"/>
      <c r="Q531" s="686"/>
      <c r="R531" s="686"/>
      <c r="S531" s="686"/>
      <c r="T531" s="686"/>
      <c r="U531" s="686"/>
      <c r="V531" s="686"/>
      <c r="W531" s="686"/>
      <c r="X531" s="686"/>
      <c r="Y531" s="686"/>
      <c r="Z531" s="686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78">
        <v>4680115885936</v>
      </c>
      <c r="E532" s="679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793" t="s">
        <v>839</v>
      </c>
      <c r="Q532" s="672"/>
      <c r="R532" s="672"/>
      <c r="S532" s="672"/>
      <c r="T532" s="673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93"/>
      <c r="B533" s="686"/>
      <c r="C533" s="686"/>
      <c r="D533" s="686"/>
      <c r="E533" s="686"/>
      <c r="F533" s="686"/>
      <c r="G533" s="686"/>
      <c r="H533" s="686"/>
      <c r="I533" s="686"/>
      <c r="J533" s="686"/>
      <c r="K533" s="686"/>
      <c r="L533" s="686"/>
      <c r="M533" s="686"/>
      <c r="N533" s="686"/>
      <c r="O533" s="694"/>
      <c r="P533" s="695" t="s">
        <v>87</v>
      </c>
      <c r="Q533" s="696"/>
      <c r="R533" s="696"/>
      <c r="S533" s="696"/>
      <c r="T533" s="696"/>
      <c r="U533" s="696"/>
      <c r="V533" s="697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86"/>
      <c r="B534" s="686"/>
      <c r="C534" s="686"/>
      <c r="D534" s="686"/>
      <c r="E534" s="686"/>
      <c r="F534" s="686"/>
      <c r="G534" s="686"/>
      <c r="H534" s="686"/>
      <c r="I534" s="686"/>
      <c r="J534" s="686"/>
      <c r="K534" s="686"/>
      <c r="L534" s="686"/>
      <c r="M534" s="686"/>
      <c r="N534" s="686"/>
      <c r="O534" s="694"/>
      <c r="P534" s="695" t="s">
        <v>87</v>
      </c>
      <c r="Q534" s="696"/>
      <c r="R534" s="696"/>
      <c r="S534" s="696"/>
      <c r="T534" s="696"/>
      <c r="U534" s="696"/>
      <c r="V534" s="697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843" t="s">
        <v>841</v>
      </c>
      <c r="B535" s="844"/>
      <c r="C535" s="844"/>
      <c r="D535" s="844"/>
      <c r="E535" s="844"/>
      <c r="F535" s="844"/>
      <c r="G535" s="844"/>
      <c r="H535" s="844"/>
      <c r="I535" s="844"/>
      <c r="J535" s="844"/>
      <c r="K535" s="844"/>
      <c r="L535" s="844"/>
      <c r="M535" s="844"/>
      <c r="N535" s="844"/>
      <c r="O535" s="844"/>
      <c r="P535" s="844"/>
      <c r="Q535" s="844"/>
      <c r="R535" s="844"/>
      <c r="S535" s="844"/>
      <c r="T535" s="844"/>
      <c r="U535" s="844"/>
      <c r="V535" s="844"/>
      <c r="W535" s="844"/>
      <c r="X535" s="844"/>
      <c r="Y535" s="844"/>
      <c r="Z535" s="844"/>
      <c r="AA535" s="48"/>
      <c r="AB535" s="48"/>
      <c r="AC535" s="48"/>
    </row>
    <row r="536" spans="1:68" ht="16.5" hidden="1" customHeight="1" x14ac:dyDescent="0.25">
      <c r="A536" s="705" t="s">
        <v>841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662"/>
      <c r="AB536" s="662"/>
      <c r="AC536" s="662"/>
    </row>
    <row r="537" spans="1:68" ht="14.25" hidden="1" customHeight="1" x14ac:dyDescent="0.25">
      <c r="A537" s="703" t="s">
        <v>97</v>
      </c>
      <c r="B537" s="686"/>
      <c r="C537" s="686"/>
      <c r="D537" s="686"/>
      <c r="E537" s="686"/>
      <c r="F537" s="686"/>
      <c r="G537" s="686"/>
      <c r="H537" s="686"/>
      <c r="I537" s="686"/>
      <c r="J537" s="686"/>
      <c r="K537" s="686"/>
      <c r="L537" s="686"/>
      <c r="M537" s="686"/>
      <c r="N537" s="686"/>
      <c r="O537" s="686"/>
      <c r="P537" s="686"/>
      <c r="Q537" s="686"/>
      <c r="R537" s="686"/>
      <c r="S537" s="686"/>
      <c r="T537" s="686"/>
      <c r="U537" s="686"/>
      <c r="V537" s="686"/>
      <c r="W537" s="686"/>
      <c r="X537" s="686"/>
      <c r="Y537" s="686"/>
      <c r="Z537" s="686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78">
        <v>4640242181011</v>
      </c>
      <c r="E538" s="679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9" t="s">
        <v>844</v>
      </c>
      <c r="Q538" s="672"/>
      <c r="R538" s="672"/>
      <c r="S538" s="672"/>
      <c r="T538" s="673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78">
        <v>4640242180441</v>
      </c>
      <c r="E539" s="679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981" t="s">
        <v>848</v>
      </c>
      <c r="Q539" s="672"/>
      <c r="R539" s="672"/>
      <c r="S539" s="672"/>
      <c r="T539" s="673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78">
        <v>4640242180564</v>
      </c>
      <c r="E540" s="679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68" t="s">
        <v>852</v>
      </c>
      <c r="Q540" s="672"/>
      <c r="R540" s="672"/>
      <c r="S540" s="672"/>
      <c r="T540" s="673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78">
        <v>4640242180922</v>
      </c>
      <c r="E541" s="679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831" t="s">
        <v>856</v>
      </c>
      <c r="Q541" s="672"/>
      <c r="R541" s="672"/>
      <c r="S541" s="672"/>
      <c r="T541" s="673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78">
        <v>4640242180038</v>
      </c>
      <c r="E542" s="679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1010" t="s">
        <v>860</v>
      </c>
      <c r="Q542" s="672"/>
      <c r="R542" s="672"/>
      <c r="S542" s="672"/>
      <c r="T542" s="673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78">
        <v>4640242181172</v>
      </c>
      <c r="E543" s="679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7" t="s">
        <v>863</v>
      </c>
      <c r="Q543" s="672"/>
      <c r="R543" s="672"/>
      <c r="S543" s="672"/>
      <c r="T543" s="673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93"/>
      <c r="B544" s="686"/>
      <c r="C544" s="686"/>
      <c r="D544" s="686"/>
      <c r="E544" s="686"/>
      <c r="F544" s="686"/>
      <c r="G544" s="686"/>
      <c r="H544" s="686"/>
      <c r="I544" s="686"/>
      <c r="J544" s="686"/>
      <c r="K544" s="686"/>
      <c r="L544" s="686"/>
      <c r="M544" s="686"/>
      <c r="N544" s="686"/>
      <c r="O544" s="694"/>
      <c r="P544" s="695" t="s">
        <v>87</v>
      </c>
      <c r="Q544" s="696"/>
      <c r="R544" s="696"/>
      <c r="S544" s="696"/>
      <c r="T544" s="696"/>
      <c r="U544" s="696"/>
      <c r="V544" s="697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86"/>
      <c r="B545" s="686"/>
      <c r="C545" s="686"/>
      <c r="D545" s="686"/>
      <c r="E545" s="686"/>
      <c r="F545" s="686"/>
      <c r="G545" s="686"/>
      <c r="H545" s="686"/>
      <c r="I545" s="686"/>
      <c r="J545" s="686"/>
      <c r="K545" s="686"/>
      <c r="L545" s="686"/>
      <c r="M545" s="686"/>
      <c r="N545" s="686"/>
      <c r="O545" s="694"/>
      <c r="P545" s="695" t="s">
        <v>87</v>
      </c>
      <c r="Q545" s="696"/>
      <c r="R545" s="696"/>
      <c r="S545" s="696"/>
      <c r="T545" s="696"/>
      <c r="U545" s="696"/>
      <c r="V545" s="697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703" t="s">
        <v>133</v>
      </c>
      <c r="B546" s="686"/>
      <c r="C546" s="686"/>
      <c r="D546" s="686"/>
      <c r="E546" s="686"/>
      <c r="F546" s="686"/>
      <c r="G546" s="686"/>
      <c r="H546" s="686"/>
      <c r="I546" s="686"/>
      <c r="J546" s="686"/>
      <c r="K546" s="686"/>
      <c r="L546" s="686"/>
      <c r="M546" s="686"/>
      <c r="N546" s="686"/>
      <c r="O546" s="686"/>
      <c r="P546" s="686"/>
      <c r="Q546" s="686"/>
      <c r="R546" s="686"/>
      <c r="S546" s="686"/>
      <c r="T546" s="686"/>
      <c r="U546" s="686"/>
      <c r="V546" s="686"/>
      <c r="W546" s="686"/>
      <c r="X546" s="686"/>
      <c r="Y546" s="686"/>
      <c r="Z546" s="686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78">
        <v>4640242180519</v>
      </c>
      <c r="E547" s="679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807" t="s">
        <v>866</v>
      </c>
      <c r="Q547" s="672"/>
      <c r="R547" s="672"/>
      <c r="S547" s="672"/>
      <c r="T547" s="673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78">
        <v>4640242180519</v>
      </c>
      <c r="E548" s="679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959" t="s">
        <v>869</v>
      </c>
      <c r="Q548" s="672"/>
      <c r="R548" s="672"/>
      <c r="S548" s="672"/>
      <c r="T548" s="673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78">
        <v>4640242180526</v>
      </c>
      <c r="E549" s="679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1051" t="s">
        <v>873</v>
      </c>
      <c r="Q549" s="672"/>
      <c r="R549" s="672"/>
      <c r="S549" s="672"/>
      <c r="T549" s="673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78">
        <v>4640242180090</v>
      </c>
      <c r="E550" s="679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991" t="s">
        <v>876</v>
      </c>
      <c r="Q550" s="672"/>
      <c r="R550" s="672"/>
      <c r="S550" s="672"/>
      <c r="T550" s="673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78">
        <v>4640242181363</v>
      </c>
      <c r="E551" s="679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798" t="s">
        <v>880</v>
      </c>
      <c r="Q551" s="672"/>
      <c r="R551" s="672"/>
      <c r="S551" s="672"/>
      <c r="T551" s="673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93"/>
      <c r="B552" s="686"/>
      <c r="C552" s="686"/>
      <c r="D552" s="686"/>
      <c r="E552" s="686"/>
      <c r="F552" s="686"/>
      <c r="G552" s="686"/>
      <c r="H552" s="686"/>
      <c r="I552" s="686"/>
      <c r="J552" s="686"/>
      <c r="K552" s="686"/>
      <c r="L552" s="686"/>
      <c r="M552" s="686"/>
      <c r="N552" s="686"/>
      <c r="O552" s="694"/>
      <c r="P552" s="695" t="s">
        <v>87</v>
      </c>
      <c r="Q552" s="696"/>
      <c r="R552" s="696"/>
      <c r="S552" s="696"/>
      <c r="T552" s="696"/>
      <c r="U552" s="696"/>
      <c r="V552" s="697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86"/>
      <c r="B553" s="686"/>
      <c r="C553" s="686"/>
      <c r="D553" s="686"/>
      <c r="E553" s="686"/>
      <c r="F553" s="686"/>
      <c r="G553" s="686"/>
      <c r="H553" s="686"/>
      <c r="I553" s="686"/>
      <c r="J553" s="686"/>
      <c r="K553" s="686"/>
      <c r="L553" s="686"/>
      <c r="M553" s="686"/>
      <c r="N553" s="686"/>
      <c r="O553" s="694"/>
      <c r="P553" s="695" t="s">
        <v>87</v>
      </c>
      <c r="Q553" s="696"/>
      <c r="R553" s="696"/>
      <c r="S553" s="696"/>
      <c r="T553" s="696"/>
      <c r="U553" s="696"/>
      <c r="V553" s="697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703" t="s">
        <v>144</v>
      </c>
      <c r="B554" s="686"/>
      <c r="C554" s="686"/>
      <c r="D554" s="686"/>
      <c r="E554" s="686"/>
      <c r="F554" s="686"/>
      <c r="G554" s="686"/>
      <c r="H554" s="686"/>
      <c r="I554" s="686"/>
      <c r="J554" s="686"/>
      <c r="K554" s="686"/>
      <c r="L554" s="686"/>
      <c r="M554" s="686"/>
      <c r="N554" s="686"/>
      <c r="O554" s="686"/>
      <c r="P554" s="686"/>
      <c r="Q554" s="686"/>
      <c r="R554" s="686"/>
      <c r="S554" s="686"/>
      <c r="T554" s="686"/>
      <c r="U554" s="686"/>
      <c r="V554" s="686"/>
      <c r="W554" s="686"/>
      <c r="X554" s="686"/>
      <c r="Y554" s="686"/>
      <c r="Z554" s="686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78">
        <v>4640242180816</v>
      </c>
      <c r="E555" s="679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803" t="s">
        <v>883</v>
      </c>
      <c r="Q555" s="672"/>
      <c r="R555" s="672"/>
      <c r="S555" s="672"/>
      <c r="T555" s="673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78">
        <v>4640242180595</v>
      </c>
      <c r="E556" s="679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1004" t="s">
        <v>887</v>
      </c>
      <c r="Q556" s="672"/>
      <c r="R556" s="672"/>
      <c r="S556" s="672"/>
      <c r="T556" s="673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78">
        <v>4640242181615</v>
      </c>
      <c r="E557" s="679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786" t="s">
        <v>891</v>
      </c>
      <c r="Q557" s="672"/>
      <c r="R557" s="672"/>
      <c r="S557" s="672"/>
      <c r="T557" s="673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78">
        <v>4640242181639</v>
      </c>
      <c r="E558" s="679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916" t="s">
        <v>895</v>
      </c>
      <c r="Q558" s="672"/>
      <c r="R558" s="672"/>
      <c r="S558" s="672"/>
      <c r="T558" s="673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78">
        <v>4640242181622</v>
      </c>
      <c r="E559" s="679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853" t="s">
        <v>899</v>
      </c>
      <c r="Q559" s="672"/>
      <c r="R559" s="672"/>
      <c r="S559" s="672"/>
      <c r="T559" s="673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78">
        <v>4640242180908</v>
      </c>
      <c r="E560" s="679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787" t="s">
        <v>903</v>
      </c>
      <c r="Q560" s="672"/>
      <c r="R560" s="672"/>
      <c r="S560" s="672"/>
      <c r="T560" s="673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78">
        <v>4640242180489</v>
      </c>
      <c r="E561" s="679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858" t="s">
        <v>906</v>
      </c>
      <c r="Q561" s="672"/>
      <c r="R561" s="672"/>
      <c r="S561" s="672"/>
      <c r="T561" s="673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93"/>
      <c r="B562" s="686"/>
      <c r="C562" s="686"/>
      <c r="D562" s="686"/>
      <c r="E562" s="686"/>
      <c r="F562" s="686"/>
      <c r="G562" s="686"/>
      <c r="H562" s="686"/>
      <c r="I562" s="686"/>
      <c r="J562" s="686"/>
      <c r="K562" s="686"/>
      <c r="L562" s="686"/>
      <c r="M562" s="686"/>
      <c r="N562" s="686"/>
      <c r="O562" s="694"/>
      <c r="P562" s="695" t="s">
        <v>87</v>
      </c>
      <c r="Q562" s="696"/>
      <c r="R562" s="696"/>
      <c r="S562" s="696"/>
      <c r="T562" s="696"/>
      <c r="U562" s="696"/>
      <c r="V562" s="697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86"/>
      <c r="B563" s="686"/>
      <c r="C563" s="686"/>
      <c r="D563" s="686"/>
      <c r="E563" s="686"/>
      <c r="F563" s="686"/>
      <c r="G563" s="686"/>
      <c r="H563" s="686"/>
      <c r="I563" s="686"/>
      <c r="J563" s="686"/>
      <c r="K563" s="686"/>
      <c r="L563" s="686"/>
      <c r="M563" s="686"/>
      <c r="N563" s="686"/>
      <c r="O563" s="694"/>
      <c r="P563" s="695" t="s">
        <v>87</v>
      </c>
      <c r="Q563" s="696"/>
      <c r="R563" s="696"/>
      <c r="S563" s="696"/>
      <c r="T563" s="696"/>
      <c r="U563" s="696"/>
      <c r="V563" s="697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703" t="s">
        <v>63</v>
      </c>
      <c r="B564" s="686"/>
      <c r="C564" s="686"/>
      <c r="D564" s="686"/>
      <c r="E564" s="686"/>
      <c r="F564" s="686"/>
      <c r="G564" s="686"/>
      <c r="H564" s="686"/>
      <c r="I564" s="686"/>
      <c r="J564" s="686"/>
      <c r="K564" s="686"/>
      <c r="L564" s="686"/>
      <c r="M564" s="686"/>
      <c r="N564" s="686"/>
      <c r="O564" s="686"/>
      <c r="P564" s="686"/>
      <c r="Q564" s="686"/>
      <c r="R564" s="686"/>
      <c r="S564" s="686"/>
      <c r="T564" s="686"/>
      <c r="U564" s="686"/>
      <c r="V564" s="686"/>
      <c r="W564" s="686"/>
      <c r="X564" s="686"/>
      <c r="Y564" s="686"/>
      <c r="Z564" s="686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8">
        <v>4640242180533</v>
      </c>
      <c r="E565" s="679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996" t="s">
        <v>909</v>
      </c>
      <c r="Q565" s="672"/>
      <c r="R565" s="672"/>
      <c r="S565" s="672"/>
      <c r="T565" s="673"/>
      <c r="U565" s="34"/>
      <c r="V565" s="34"/>
      <c r="W565" s="35" t="s">
        <v>68</v>
      </c>
      <c r="X565" s="667">
        <v>400</v>
      </c>
      <c r="Y565" s="668">
        <f>IFERROR(IF(X565="",0,CEILING((X565/$H565),1)*$H565),"")</f>
        <v>405</v>
      </c>
      <c r="Z565" s="36">
        <f>IFERROR(IF(Y565=0,"",ROUNDUP(Y565/H565,0)*0.01898),"")</f>
        <v>0.85409999999999997</v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423.06666666666666</v>
      </c>
      <c r="BN565" s="64">
        <f>IFERROR(Y565*I565/H565,"0")</f>
        <v>428.35500000000002</v>
      </c>
      <c r="BO565" s="64">
        <f>IFERROR(1/J565*(X565/H565),"0")</f>
        <v>0.69444444444444442</v>
      </c>
      <c r="BP565" s="64">
        <f>IFERROR(1/J565*(Y565/H565),"0")</f>
        <v>0.703125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78">
        <v>4640242180533</v>
      </c>
      <c r="E566" s="679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90" t="s">
        <v>909</v>
      </c>
      <c r="Q566" s="672"/>
      <c r="R566" s="672"/>
      <c r="S566" s="672"/>
      <c r="T566" s="673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78">
        <v>4640242180540</v>
      </c>
      <c r="E567" s="679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813" t="s">
        <v>914</v>
      </c>
      <c r="Q567" s="672"/>
      <c r="R567" s="672"/>
      <c r="S567" s="672"/>
      <c r="T567" s="673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78">
        <v>4640242181233</v>
      </c>
      <c r="E568" s="679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698" t="s">
        <v>918</v>
      </c>
      <c r="Q568" s="672"/>
      <c r="R568" s="672"/>
      <c r="S568" s="672"/>
      <c r="T568" s="673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78">
        <v>4640242181226</v>
      </c>
      <c r="E569" s="679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818" t="s">
        <v>921</v>
      </c>
      <c r="Q569" s="672"/>
      <c r="R569" s="672"/>
      <c r="S569" s="672"/>
      <c r="T569" s="673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93"/>
      <c r="B570" s="686"/>
      <c r="C570" s="686"/>
      <c r="D570" s="686"/>
      <c r="E570" s="686"/>
      <c r="F570" s="686"/>
      <c r="G570" s="686"/>
      <c r="H570" s="686"/>
      <c r="I570" s="686"/>
      <c r="J570" s="686"/>
      <c r="K570" s="686"/>
      <c r="L570" s="686"/>
      <c r="M570" s="686"/>
      <c r="N570" s="686"/>
      <c r="O570" s="694"/>
      <c r="P570" s="695" t="s">
        <v>87</v>
      </c>
      <c r="Q570" s="696"/>
      <c r="R570" s="696"/>
      <c r="S570" s="696"/>
      <c r="T570" s="696"/>
      <c r="U570" s="696"/>
      <c r="V570" s="697"/>
      <c r="W570" s="37" t="s">
        <v>88</v>
      </c>
      <c r="X570" s="669">
        <f>IFERROR(X565/H565,"0")+IFERROR(X566/H566,"0")+IFERROR(X567/H567,"0")+IFERROR(X568/H568,"0")+IFERROR(X569/H569,"0")</f>
        <v>44.444444444444443</v>
      </c>
      <c r="Y570" s="669">
        <f>IFERROR(Y565/H565,"0")+IFERROR(Y566/H566,"0")+IFERROR(Y567/H567,"0")+IFERROR(Y568/H568,"0")+IFERROR(Y569/H569,"0")</f>
        <v>45</v>
      </c>
      <c r="Z570" s="669">
        <f>IFERROR(IF(Z565="",0,Z565),"0")+IFERROR(IF(Z566="",0,Z566),"0")+IFERROR(IF(Z567="",0,Z567),"0")+IFERROR(IF(Z568="",0,Z568),"0")+IFERROR(IF(Z569="",0,Z569),"0")</f>
        <v>0.85409999999999997</v>
      </c>
      <c r="AA570" s="670"/>
      <c r="AB570" s="670"/>
      <c r="AC570" s="670"/>
    </row>
    <row r="571" spans="1:68" x14ac:dyDescent="0.2">
      <c r="A571" s="686"/>
      <c r="B571" s="686"/>
      <c r="C571" s="686"/>
      <c r="D571" s="686"/>
      <c r="E571" s="686"/>
      <c r="F571" s="686"/>
      <c r="G571" s="686"/>
      <c r="H571" s="686"/>
      <c r="I571" s="686"/>
      <c r="J571" s="686"/>
      <c r="K571" s="686"/>
      <c r="L571" s="686"/>
      <c r="M571" s="686"/>
      <c r="N571" s="686"/>
      <c r="O571" s="694"/>
      <c r="P571" s="695" t="s">
        <v>87</v>
      </c>
      <c r="Q571" s="696"/>
      <c r="R571" s="696"/>
      <c r="S571" s="696"/>
      <c r="T571" s="696"/>
      <c r="U571" s="696"/>
      <c r="V571" s="697"/>
      <c r="W571" s="37" t="s">
        <v>68</v>
      </c>
      <c r="X571" s="669">
        <f>IFERROR(SUM(X565:X569),"0")</f>
        <v>400</v>
      </c>
      <c r="Y571" s="669">
        <f>IFERROR(SUM(Y565:Y569),"0")</f>
        <v>405</v>
      </c>
      <c r="Z571" s="37"/>
      <c r="AA571" s="670"/>
      <c r="AB571" s="670"/>
      <c r="AC571" s="670"/>
    </row>
    <row r="572" spans="1:68" ht="14.25" hidden="1" customHeight="1" x14ac:dyDescent="0.25">
      <c r="A572" s="703" t="s">
        <v>170</v>
      </c>
      <c r="B572" s="686"/>
      <c r="C572" s="686"/>
      <c r="D572" s="686"/>
      <c r="E572" s="686"/>
      <c r="F572" s="686"/>
      <c r="G572" s="686"/>
      <c r="H572" s="686"/>
      <c r="I572" s="686"/>
      <c r="J572" s="686"/>
      <c r="K572" s="686"/>
      <c r="L572" s="686"/>
      <c r="M572" s="686"/>
      <c r="N572" s="686"/>
      <c r="O572" s="686"/>
      <c r="P572" s="686"/>
      <c r="Q572" s="686"/>
      <c r="R572" s="686"/>
      <c r="S572" s="686"/>
      <c r="T572" s="686"/>
      <c r="U572" s="686"/>
      <c r="V572" s="686"/>
      <c r="W572" s="686"/>
      <c r="X572" s="686"/>
      <c r="Y572" s="686"/>
      <c r="Z572" s="686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78">
        <v>4640242180120</v>
      </c>
      <c r="E573" s="679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978" t="s">
        <v>924</v>
      </c>
      <c r="Q573" s="672"/>
      <c r="R573" s="672"/>
      <c r="S573" s="672"/>
      <c r="T573" s="673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78">
        <v>4640242180120</v>
      </c>
      <c r="E574" s="679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945" t="s">
        <v>927</v>
      </c>
      <c r="Q574" s="672"/>
      <c r="R574" s="672"/>
      <c r="S574" s="672"/>
      <c r="T574" s="673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78">
        <v>4640242180137</v>
      </c>
      <c r="E575" s="679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791" t="s">
        <v>930</v>
      </c>
      <c r="Q575" s="672"/>
      <c r="R575" s="672"/>
      <c r="S575" s="672"/>
      <c r="T575" s="673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78">
        <v>4640242180137</v>
      </c>
      <c r="E576" s="679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779" t="s">
        <v>933</v>
      </c>
      <c r="Q576" s="672"/>
      <c r="R576" s="672"/>
      <c r="S576" s="672"/>
      <c r="T576" s="673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93"/>
      <c r="B577" s="686"/>
      <c r="C577" s="686"/>
      <c r="D577" s="686"/>
      <c r="E577" s="686"/>
      <c r="F577" s="686"/>
      <c r="G577" s="686"/>
      <c r="H577" s="686"/>
      <c r="I577" s="686"/>
      <c r="J577" s="686"/>
      <c r="K577" s="686"/>
      <c r="L577" s="686"/>
      <c r="M577" s="686"/>
      <c r="N577" s="686"/>
      <c r="O577" s="694"/>
      <c r="P577" s="695" t="s">
        <v>87</v>
      </c>
      <c r="Q577" s="696"/>
      <c r="R577" s="696"/>
      <c r="S577" s="696"/>
      <c r="T577" s="696"/>
      <c r="U577" s="696"/>
      <c r="V577" s="697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86"/>
      <c r="B578" s="686"/>
      <c r="C578" s="686"/>
      <c r="D578" s="686"/>
      <c r="E578" s="686"/>
      <c r="F578" s="686"/>
      <c r="G578" s="686"/>
      <c r="H578" s="686"/>
      <c r="I578" s="686"/>
      <c r="J578" s="686"/>
      <c r="K578" s="686"/>
      <c r="L578" s="686"/>
      <c r="M578" s="686"/>
      <c r="N578" s="686"/>
      <c r="O578" s="694"/>
      <c r="P578" s="695" t="s">
        <v>87</v>
      </c>
      <c r="Q578" s="696"/>
      <c r="R578" s="696"/>
      <c r="S578" s="696"/>
      <c r="T578" s="696"/>
      <c r="U578" s="696"/>
      <c r="V578" s="697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705" t="s">
        <v>934</v>
      </c>
      <c r="B579" s="686"/>
      <c r="C579" s="686"/>
      <c r="D579" s="686"/>
      <c r="E579" s="686"/>
      <c r="F579" s="686"/>
      <c r="G579" s="686"/>
      <c r="H579" s="686"/>
      <c r="I579" s="686"/>
      <c r="J579" s="686"/>
      <c r="K579" s="686"/>
      <c r="L579" s="686"/>
      <c r="M579" s="686"/>
      <c r="N579" s="686"/>
      <c r="O579" s="686"/>
      <c r="P579" s="686"/>
      <c r="Q579" s="686"/>
      <c r="R579" s="686"/>
      <c r="S579" s="686"/>
      <c r="T579" s="686"/>
      <c r="U579" s="686"/>
      <c r="V579" s="686"/>
      <c r="W579" s="686"/>
      <c r="X579" s="686"/>
      <c r="Y579" s="686"/>
      <c r="Z579" s="686"/>
      <c r="AA579" s="662"/>
      <c r="AB579" s="662"/>
      <c r="AC579" s="662"/>
    </row>
    <row r="580" spans="1:68" ht="14.25" hidden="1" customHeight="1" x14ac:dyDescent="0.25">
      <c r="A580" s="703" t="s">
        <v>97</v>
      </c>
      <c r="B580" s="686"/>
      <c r="C580" s="686"/>
      <c r="D580" s="686"/>
      <c r="E580" s="686"/>
      <c r="F580" s="686"/>
      <c r="G580" s="686"/>
      <c r="H580" s="686"/>
      <c r="I580" s="686"/>
      <c r="J580" s="686"/>
      <c r="K580" s="686"/>
      <c r="L580" s="686"/>
      <c r="M580" s="686"/>
      <c r="N580" s="686"/>
      <c r="O580" s="686"/>
      <c r="P580" s="686"/>
      <c r="Q580" s="686"/>
      <c r="R580" s="686"/>
      <c r="S580" s="686"/>
      <c r="T580" s="686"/>
      <c r="U580" s="686"/>
      <c r="V580" s="686"/>
      <c r="W580" s="686"/>
      <c r="X580" s="686"/>
      <c r="Y580" s="686"/>
      <c r="Z580" s="686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78">
        <v>4640242180045</v>
      </c>
      <c r="E581" s="679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905" t="s">
        <v>937</v>
      </c>
      <c r="Q581" s="672"/>
      <c r="R581" s="672"/>
      <c r="S581" s="672"/>
      <c r="T581" s="673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93"/>
      <c r="B582" s="686"/>
      <c r="C582" s="686"/>
      <c r="D582" s="686"/>
      <c r="E582" s="686"/>
      <c r="F582" s="686"/>
      <c r="G582" s="686"/>
      <c r="H582" s="686"/>
      <c r="I582" s="686"/>
      <c r="J582" s="686"/>
      <c r="K582" s="686"/>
      <c r="L582" s="686"/>
      <c r="M582" s="686"/>
      <c r="N582" s="686"/>
      <c r="O582" s="694"/>
      <c r="P582" s="695" t="s">
        <v>87</v>
      </c>
      <c r="Q582" s="696"/>
      <c r="R582" s="696"/>
      <c r="S582" s="696"/>
      <c r="T582" s="696"/>
      <c r="U582" s="696"/>
      <c r="V582" s="697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86"/>
      <c r="B583" s="686"/>
      <c r="C583" s="686"/>
      <c r="D583" s="686"/>
      <c r="E583" s="686"/>
      <c r="F583" s="686"/>
      <c r="G583" s="686"/>
      <c r="H583" s="686"/>
      <c r="I583" s="686"/>
      <c r="J583" s="686"/>
      <c r="K583" s="686"/>
      <c r="L583" s="686"/>
      <c r="M583" s="686"/>
      <c r="N583" s="686"/>
      <c r="O583" s="694"/>
      <c r="P583" s="695" t="s">
        <v>87</v>
      </c>
      <c r="Q583" s="696"/>
      <c r="R583" s="696"/>
      <c r="S583" s="696"/>
      <c r="T583" s="696"/>
      <c r="U583" s="696"/>
      <c r="V583" s="697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703" t="s">
        <v>133</v>
      </c>
      <c r="B584" s="686"/>
      <c r="C584" s="686"/>
      <c r="D584" s="686"/>
      <c r="E584" s="686"/>
      <c r="F584" s="686"/>
      <c r="G584" s="686"/>
      <c r="H584" s="686"/>
      <c r="I584" s="686"/>
      <c r="J584" s="686"/>
      <c r="K584" s="686"/>
      <c r="L584" s="686"/>
      <c r="M584" s="686"/>
      <c r="N584" s="686"/>
      <c r="O584" s="686"/>
      <c r="P584" s="686"/>
      <c r="Q584" s="686"/>
      <c r="R584" s="686"/>
      <c r="S584" s="686"/>
      <c r="T584" s="686"/>
      <c r="U584" s="686"/>
      <c r="V584" s="686"/>
      <c r="W584" s="686"/>
      <c r="X584" s="686"/>
      <c r="Y584" s="686"/>
      <c r="Z584" s="686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78">
        <v>4640242180090</v>
      </c>
      <c r="E585" s="679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956" t="s">
        <v>941</v>
      </c>
      <c r="Q585" s="672"/>
      <c r="R585" s="672"/>
      <c r="S585" s="672"/>
      <c r="T585" s="673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93"/>
      <c r="B586" s="686"/>
      <c r="C586" s="686"/>
      <c r="D586" s="686"/>
      <c r="E586" s="686"/>
      <c r="F586" s="686"/>
      <c r="G586" s="686"/>
      <c r="H586" s="686"/>
      <c r="I586" s="686"/>
      <c r="J586" s="686"/>
      <c r="K586" s="686"/>
      <c r="L586" s="686"/>
      <c r="M586" s="686"/>
      <c r="N586" s="686"/>
      <c r="O586" s="694"/>
      <c r="P586" s="695" t="s">
        <v>87</v>
      </c>
      <c r="Q586" s="696"/>
      <c r="R586" s="696"/>
      <c r="S586" s="696"/>
      <c r="T586" s="696"/>
      <c r="U586" s="696"/>
      <c r="V586" s="697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86"/>
      <c r="B587" s="686"/>
      <c r="C587" s="686"/>
      <c r="D587" s="686"/>
      <c r="E587" s="686"/>
      <c r="F587" s="686"/>
      <c r="G587" s="686"/>
      <c r="H587" s="686"/>
      <c r="I587" s="686"/>
      <c r="J587" s="686"/>
      <c r="K587" s="686"/>
      <c r="L587" s="686"/>
      <c r="M587" s="686"/>
      <c r="N587" s="686"/>
      <c r="O587" s="694"/>
      <c r="P587" s="695" t="s">
        <v>87</v>
      </c>
      <c r="Q587" s="696"/>
      <c r="R587" s="696"/>
      <c r="S587" s="696"/>
      <c r="T587" s="696"/>
      <c r="U587" s="696"/>
      <c r="V587" s="697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703" t="s">
        <v>144</v>
      </c>
      <c r="B588" s="686"/>
      <c r="C588" s="686"/>
      <c r="D588" s="686"/>
      <c r="E588" s="686"/>
      <c r="F588" s="686"/>
      <c r="G588" s="686"/>
      <c r="H588" s="686"/>
      <c r="I588" s="686"/>
      <c r="J588" s="686"/>
      <c r="K588" s="686"/>
      <c r="L588" s="686"/>
      <c r="M588" s="686"/>
      <c r="N588" s="686"/>
      <c r="O588" s="686"/>
      <c r="P588" s="686"/>
      <c r="Q588" s="686"/>
      <c r="R588" s="686"/>
      <c r="S588" s="686"/>
      <c r="T588" s="686"/>
      <c r="U588" s="686"/>
      <c r="V588" s="686"/>
      <c r="W588" s="686"/>
      <c r="X588" s="686"/>
      <c r="Y588" s="686"/>
      <c r="Z588" s="686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78">
        <v>4640242180076</v>
      </c>
      <c r="E589" s="679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699" t="s">
        <v>945</v>
      </c>
      <c r="Q589" s="672"/>
      <c r="R589" s="672"/>
      <c r="S589" s="672"/>
      <c r="T589" s="673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93"/>
      <c r="B590" s="686"/>
      <c r="C590" s="686"/>
      <c r="D590" s="686"/>
      <c r="E590" s="686"/>
      <c r="F590" s="686"/>
      <c r="G590" s="686"/>
      <c r="H590" s="686"/>
      <c r="I590" s="686"/>
      <c r="J590" s="686"/>
      <c r="K590" s="686"/>
      <c r="L590" s="686"/>
      <c r="M590" s="686"/>
      <c r="N590" s="686"/>
      <c r="O590" s="694"/>
      <c r="P590" s="695" t="s">
        <v>87</v>
      </c>
      <c r="Q590" s="696"/>
      <c r="R590" s="696"/>
      <c r="S590" s="696"/>
      <c r="T590" s="696"/>
      <c r="U590" s="696"/>
      <c r="V590" s="697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86"/>
      <c r="B591" s="686"/>
      <c r="C591" s="686"/>
      <c r="D591" s="686"/>
      <c r="E591" s="686"/>
      <c r="F591" s="686"/>
      <c r="G591" s="686"/>
      <c r="H591" s="686"/>
      <c r="I591" s="686"/>
      <c r="J591" s="686"/>
      <c r="K591" s="686"/>
      <c r="L591" s="686"/>
      <c r="M591" s="686"/>
      <c r="N591" s="686"/>
      <c r="O591" s="694"/>
      <c r="P591" s="695" t="s">
        <v>87</v>
      </c>
      <c r="Q591" s="696"/>
      <c r="R591" s="696"/>
      <c r="S591" s="696"/>
      <c r="T591" s="696"/>
      <c r="U591" s="696"/>
      <c r="V591" s="697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703" t="s">
        <v>63</v>
      </c>
      <c r="B592" s="686"/>
      <c r="C592" s="686"/>
      <c r="D592" s="686"/>
      <c r="E592" s="686"/>
      <c r="F592" s="686"/>
      <c r="G592" s="686"/>
      <c r="H592" s="686"/>
      <c r="I592" s="686"/>
      <c r="J592" s="686"/>
      <c r="K592" s="686"/>
      <c r="L592" s="686"/>
      <c r="M592" s="686"/>
      <c r="N592" s="686"/>
      <c r="O592" s="686"/>
      <c r="P592" s="686"/>
      <c r="Q592" s="686"/>
      <c r="R592" s="686"/>
      <c r="S592" s="686"/>
      <c r="T592" s="686"/>
      <c r="U592" s="686"/>
      <c r="V592" s="686"/>
      <c r="W592" s="686"/>
      <c r="X592" s="686"/>
      <c r="Y592" s="686"/>
      <c r="Z592" s="686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78">
        <v>4640242180113</v>
      </c>
      <c r="E593" s="679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938" t="s">
        <v>949</v>
      </c>
      <c r="Q593" s="672"/>
      <c r="R593" s="672"/>
      <c r="S593" s="672"/>
      <c r="T593" s="673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93"/>
      <c r="B594" s="686"/>
      <c r="C594" s="686"/>
      <c r="D594" s="686"/>
      <c r="E594" s="686"/>
      <c r="F594" s="686"/>
      <c r="G594" s="686"/>
      <c r="H594" s="686"/>
      <c r="I594" s="686"/>
      <c r="J594" s="686"/>
      <c r="K594" s="686"/>
      <c r="L594" s="686"/>
      <c r="M594" s="686"/>
      <c r="N594" s="686"/>
      <c r="O594" s="694"/>
      <c r="P594" s="695" t="s">
        <v>87</v>
      </c>
      <c r="Q594" s="696"/>
      <c r="R594" s="696"/>
      <c r="S594" s="696"/>
      <c r="T594" s="696"/>
      <c r="U594" s="696"/>
      <c r="V594" s="697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86"/>
      <c r="B595" s="686"/>
      <c r="C595" s="686"/>
      <c r="D595" s="686"/>
      <c r="E595" s="686"/>
      <c r="F595" s="686"/>
      <c r="G595" s="686"/>
      <c r="H595" s="686"/>
      <c r="I595" s="686"/>
      <c r="J595" s="686"/>
      <c r="K595" s="686"/>
      <c r="L595" s="686"/>
      <c r="M595" s="686"/>
      <c r="N595" s="686"/>
      <c r="O595" s="694"/>
      <c r="P595" s="695" t="s">
        <v>87</v>
      </c>
      <c r="Q595" s="696"/>
      <c r="R595" s="696"/>
      <c r="S595" s="696"/>
      <c r="T595" s="696"/>
      <c r="U595" s="696"/>
      <c r="V595" s="697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685"/>
      <c r="B596" s="686"/>
      <c r="C596" s="686"/>
      <c r="D596" s="686"/>
      <c r="E596" s="686"/>
      <c r="F596" s="686"/>
      <c r="G596" s="686"/>
      <c r="H596" s="686"/>
      <c r="I596" s="686"/>
      <c r="J596" s="686"/>
      <c r="K596" s="686"/>
      <c r="L596" s="686"/>
      <c r="M596" s="686"/>
      <c r="N596" s="686"/>
      <c r="O596" s="687"/>
      <c r="P596" s="738" t="s">
        <v>951</v>
      </c>
      <c r="Q596" s="739"/>
      <c r="R596" s="739"/>
      <c r="S596" s="739"/>
      <c r="T596" s="739"/>
      <c r="U596" s="739"/>
      <c r="V596" s="692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15230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15381.199999999999</v>
      </c>
      <c r="Z596" s="37"/>
      <c r="AA596" s="670"/>
      <c r="AB596" s="670"/>
      <c r="AC596" s="670"/>
    </row>
    <row r="597" spans="1:68" x14ac:dyDescent="0.2">
      <c r="A597" s="686"/>
      <c r="B597" s="686"/>
      <c r="C597" s="686"/>
      <c r="D597" s="686"/>
      <c r="E597" s="686"/>
      <c r="F597" s="686"/>
      <c r="G597" s="686"/>
      <c r="H597" s="686"/>
      <c r="I597" s="686"/>
      <c r="J597" s="686"/>
      <c r="K597" s="686"/>
      <c r="L597" s="686"/>
      <c r="M597" s="686"/>
      <c r="N597" s="686"/>
      <c r="O597" s="687"/>
      <c r="P597" s="738" t="s">
        <v>952</v>
      </c>
      <c r="Q597" s="739"/>
      <c r="R597" s="739"/>
      <c r="S597" s="739"/>
      <c r="T597" s="739"/>
      <c r="U597" s="739"/>
      <c r="V597" s="692"/>
      <c r="W597" s="37" t="s">
        <v>68</v>
      </c>
      <c r="X597" s="669">
        <f>IFERROR(SUM(BM22:BM593),"0")</f>
        <v>16222.720005873049</v>
      </c>
      <c r="Y597" s="669">
        <f>IFERROR(SUM(BN22:BN593),"0")</f>
        <v>16382.146999999997</v>
      </c>
      <c r="Z597" s="37"/>
      <c r="AA597" s="670"/>
      <c r="AB597" s="670"/>
      <c r="AC597" s="670"/>
    </row>
    <row r="598" spans="1:68" x14ac:dyDescent="0.2">
      <c r="A598" s="686"/>
      <c r="B598" s="686"/>
      <c r="C598" s="686"/>
      <c r="D598" s="686"/>
      <c r="E598" s="686"/>
      <c r="F598" s="686"/>
      <c r="G598" s="686"/>
      <c r="H598" s="686"/>
      <c r="I598" s="686"/>
      <c r="J598" s="686"/>
      <c r="K598" s="686"/>
      <c r="L598" s="686"/>
      <c r="M598" s="686"/>
      <c r="N598" s="686"/>
      <c r="O598" s="687"/>
      <c r="P598" s="738" t="s">
        <v>953</v>
      </c>
      <c r="Q598" s="739"/>
      <c r="R598" s="739"/>
      <c r="S598" s="739"/>
      <c r="T598" s="739"/>
      <c r="U598" s="739"/>
      <c r="V598" s="692"/>
      <c r="W598" s="37" t="s">
        <v>954</v>
      </c>
      <c r="X598" s="38">
        <f>ROUNDUP(SUM(BO22:BO593),0)</f>
        <v>28</v>
      </c>
      <c r="Y598" s="38">
        <f>ROUNDUP(SUM(BP22:BP593),0)</f>
        <v>28</v>
      </c>
      <c r="Z598" s="37"/>
      <c r="AA598" s="670"/>
      <c r="AB598" s="670"/>
      <c r="AC598" s="670"/>
    </row>
    <row r="599" spans="1:68" x14ac:dyDescent="0.2">
      <c r="A599" s="686"/>
      <c r="B599" s="686"/>
      <c r="C599" s="686"/>
      <c r="D599" s="686"/>
      <c r="E599" s="686"/>
      <c r="F599" s="686"/>
      <c r="G599" s="686"/>
      <c r="H599" s="686"/>
      <c r="I599" s="686"/>
      <c r="J599" s="686"/>
      <c r="K599" s="686"/>
      <c r="L599" s="686"/>
      <c r="M599" s="686"/>
      <c r="N599" s="686"/>
      <c r="O599" s="687"/>
      <c r="P599" s="738" t="s">
        <v>955</v>
      </c>
      <c r="Q599" s="739"/>
      <c r="R599" s="739"/>
      <c r="S599" s="739"/>
      <c r="T599" s="739"/>
      <c r="U599" s="739"/>
      <c r="V599" s="692"/>
      <c r="W599" s="37" t="s">
        <v>68</v>
      </c>
      <c r="X599" s="669">
        <f>GrossWeightTotal+PalletQtyTotal*25</f>
        <v>16922.720005873049</v>
      </c>
      <c r="Y599" s="669">
        <f>GrossWeightTotalR+PalletQtyTotalR*25</f>
        <v>17082.146999999997</v>
      </c>
      <c r="Z599" s="37"/>
      <c r="AA599" s="670"/>
      <c r="AB599" s="670"/>
      <c r="AC599" s="670"/>
    </row>
    <row r="600" spans="1:68" x14ac:dyDescent="0.2">
      <c r="A600" s="686"/>
      <c r="B600" s="686"/>
      <c r="C600" s="686"/>
      <c r="D600" s="686"/>
      <c r="E600" s="686"/>
      <c r="F600" s="686"/>
      <c r="G600" s="686"/>
      <c r="H600" s="686"/>
      <c r="I600" s="686"/>
      <c r="J600" s="686"/>
      <c r="K600" s="686"/>
      <c r="L600" s="686"/>
      <c r="M600" s="686"/>
      <c r="N600" s="686"/>
      <c r="O600" s="687"/>
      <c r="P600" s="738" t="s">
        <v>956</v>
      </c>
      <c r="Q600" s="739"/>
      <c r="R600" s="739"/>
      <c r="S600" s="739"/>
      <c r="T600" s="739"/>
      <c r="U600" s="739"/>
      <c r="V600" s="692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3168.9030013271213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3194</v>
      </c>
      <c r="Z600" s="37"/>
      <c r="AA600" s="670"/>
      <c r="AB600" s="670"/>
      <c r="AC600" s="670"/>
    </row>
    <row r="601" spans="1:68" ht="14.25" hidden="1" customHeight="1" x14ac:dyDescent="0.2">
      <c r="A601" s="686"/>
      <c r="B601" s="686"/>
      <c r="C601" s="686"/>
      <c r="D601" s="686"/>
      <c r="E601" s="686"/>
      <c r="F601" s="686"/>
      <c r="G601" s="686"/>
      <c r="H601" s="686"/>
      <c r="I601" s="686"/>
      <c r="J601" s="686"/>
      <c r="K601" s="686"/>
      <c r="L601" s="686"/>
      <c r="M601" s="686"/>
      <c r="N601" s="686"/>
      <c r="O601" s="687"/>
      <c r="P601" s="738" t="s">
        <v>957</v>
      </c>
      <c r="Q601" s="739"/>
      <c r="R601" s="739"/>
      <c r="S601" s="739"/>
      <c r="T601" s="739"/>
      <c r="U601" s="739"/>
      <c r="V601" s="692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33.220610000000001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9" t="s">
        <v>95</v>
      </c>
      <c r="D603" s="730"/>
      <c r="E603" s="730"/>
      <c r="F603" s="730"/>
      <c r="G603" s="730"/>
      <c r="H603" s="731"/>
      <c r="I603" s="729" t="s">
        <v>279</v>
      </c>
      <c r="J603" s="730"/>
      <c r="K603" s="730"/>
      <c r="L603" s="730"/>
      <c r="M603" s="730"/>
      <c r="N603" s="730"/>
      <c r="O603" s="730"/>
      <c r="P603" s="730"/>
      <c r="Q603" s="730"/>
      <c r="R603" s="730"/>
      <c r="S603" s="730"/>
      <c r="T603" s="730"/>
      <c r="U603" s="730"/>
      <c r="V603" s="731"/>
      <c r="W603" s="729" t="s">
        <v>597</v>
      </c>
      <c r="X603" s="731"/>
      <c r="Y603" s="729" t="s">
        <v>669</v>
      </c>
      <c r="Z603" s="730"/>
      <c r="AA603" s="730"/>
      <c r="AB603" s="731"/>
      <c r="AC603" s="664" t="s">
        <v>744</v>
      </c>
      <c r="AD603" s="729" t="s">
        <v>841</v>
      </c>
      <c r="AE603" s="731"/>
      <c r="AF603" s="665"/>
    </row>
    <row r="604" spans="1:68" ht="14.25" customHeight="1" thickTop="1" x14ac:dyDescent="0.2">
      <c r="A604" s="811" t="s">
        <v>960</v>
      </c>
      <c r="B604" s="729" t="s">
        <v>62</v>
      </c>
      <c r="C604" s="729" t="s">
        <v>96</v>
      </c>
      <c r="D604" s="729" t="s">
        <v>115</v>
      </c>
      <c r="E604" s="729" t="s">
        <v>178</v>
      </c>
      <c r="F604" s="729" t="s">
        <v>209</v>
      </c>
      <c r="G604" s="729" t="s">
        <v>252</v>
      </c>
      <c r="H604" s="729" t="s">
        <v>95</v>
      </c>
      <c r="I604" s="729" t="s">
        <v>280</v>
      </c>
      <c r="J604" s="729" t="s">
        <v>326</v>
      </c>
      <c r="K604" s="729" t="s">
        <v>387</v>
      </c>
      <c r="L604" s="729" t="s">
        <v>434</v>
      </c>
      <c r="M604" s="729" t="s">
        <v>452</v>
      </c>
      <c r="N604" s="665"/>
      <c r="O604" s="729" t="s">
        <v>456</v>
      </c>
      <c r="P604" s="729" t="s">
        <v>469</v>
      </c>
      <c r="Q604" s="729" t="s">
        <v>483</v>
      </c>
      <c r="R604" s="729" t="s">
        <v>493</v>
      </c>
      <c r="S604" s="729" t="s">
        <v>497</v>
      </c>
      <c r="T604" s="729" t="s">
        <v>505</v>
      </c>
      <c r="U604" s="729" t="s">
        <v>510</v>
      </c>
      <c r="V604" s="729" t="s">
        <v>584</v>
      </c>
      <c r="W604" s="729" t="s">
        <v>598</v>
      </c>
      <c r="X604" s="729" t="s">
        <v>639</v>
      </c>
      <c r="Y604" s="729" t="s">
        <v>670</v>
      </c>
      <c r="Z604" s="729" t="s">
        <v>709</v>
      </c>
      <c r="AA604" s="729" t="s">
        <v>729</v>
      </c>
      <c r="AB604" s="729" t="s">
        <v>737</v>
      </c>
      <c r="AC604" s="729" t="s">
        <v>744</v>
      </c>
      <c r="AD604" s="729" t="s">
        <v>841</v>
      </c>
      <c r="AE604" s="729" t="s">
        <v>934</v>
      </c>
      <c r="AF604" s="665"/>
    </row>
    <row r="605" spans="1:68" ht="13.5" customHeight="1" thickBot="1" x14ac:dyDescent="0.25">
      <c r="A605" s="812"/>
      <c r="B605" s="745"/>
      <c r="C605" s="745"/>
      <c r="D605" s="745"/>
      <c r="E605" s="745"/>
      <c r="F605" s="745"/>
      <c r="G605" s="745"/>
      <c r="H605" s="745"/>
      <c r="I605" s="745"/>
      <c r="J605" s="745"/>
      <c r="K605" s="745"/>
      <c r="L605" s="745"/>
      <c r="M605" s="745"/>
      <c r="N605" s="665"/>
      <c r="O605" s="745"/>
      <c r="P605" s="745"/>
      <c r="Q605" s="745"/>
      <c r="R605" s="745"/>
      <c r="S605" s="745"/>
      <c r="T605" s="745"/>
      <c r="U605" s="745"/>
      <c r="V605" s="745"/>
      <c r="W605" s="745"/>
      <c r="X605" s="745"/>
      <c r="Y605" s="745"/>
      <c r="Z605" s="745"/>
      <c r="AA605" s="745"/>
      <c r="AB605" s="745"/>
      <c r="AC605" s="745"/>
      <c r="AD605" s="745"/>
      <c r="AE605" s="745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510.40000000000003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407.70000000000005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1363.5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1516.5</v>
      </c>
      <c r="G606" s="46">
        <f>IFERROR(Y135*1,"0")+IFERROR(Y136*1,"0")+IFERROR(Y140*1,"0")+IFERROR(Y141*1,"0")+IFERROR(Y145*1,"0")+IFERROR(Y146*1,"0")</f>
        <v>403.20000000000005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151.20000000000002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2676.2999999999997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302.40000000000003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619</v>
      </c>
      <c r="V606" s="46">
        <f>IFERROR(Y371*1,"0")+IFERROR(Y375*1,"0")+IFERROR(Y376*1,"0")+IFERROR(Y377*1,"0")</f>
        <v>302.40000000000003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1422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2016.96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172.8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3111.84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405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 550,00"/>
        <filter val="1 750,00"/>
        <filter val="100,00"/>
        <filter val="11,42"/>
        <filter val="132,58"/>
        <filter val="142,86"/>
        <filter val="15 230,00"/>
        <filter val="150,00"/>
        <filter val="16 222,72"/>
        <filter val="16 922,72"/>
        <filter val="16,67"/>
        <filter val="166,67"/>
        <filter val="170,00"/>
        <filter val="2 400,00"/>
        <filter val="20,00"/>
        <filter val="200,00"/>
        <filter val="201,72"/>
        <filter val="22,22"/>
        <filter val="250,00"/>
        <filter val="27,78"/>
        <filter val="279,17"/>
        <filter val="28"/>
        <filter val="3 168,90"/>
        <filter val="300,00"/>
        <filter val="31,48"/>
        <filter val="318,78"/>
        <filter val="33,33"/>
        <filter val="35,71"/>
        <filter val="350,00"/>
        <filter val="39,22"/>
        <filter val="4,63"/>
        <filter val="40,00"/>
        <filter val="400,00"/>
        <filter val="44,44"/>
        <filter val="450,00"/>
        <filter val="46,30"/>
        <filter val="46,67"/>
        <filter val="489,90"/>
        <filter val="50,00"/>
        <filter val="500,00"/>
        <filter val="51,28"/>
        <filter val="53,33"/>
        <filter val="58,33"/>
        <filter val="62,04"/>
        <filter val="62,50"/>
        <filter val="655,86"/>
        <filter val="70,00"/>
        <filter val="700,00"/>
        <filter val="71,43"/>
        <filter val="850,00"/>
        <filter val="9,26"/>
        <filter val="900,00"/>
      </filters>
    </filterColumn>
    <filterColumn colId="29" showButton="0"/>
    <filterColumn colId="30" showButton="0"/>
  </autoFilter>
  <mergeCells count="1062"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A370:Z370"/>
    <mergeCell ref="A427:O428"/>
    <mergeCell ref="P259:V259"/>
    <mergeCell ref="P155:T155"/>
    <mergeCell ref="P324:V324"/>
    <mergeCell ref="P153:V153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568:E568"/>
    <mergeCell ref="P545:V545"/>
    <mergeCell ref="P391:T391"/>
    <mergeCell ref="D312:E312"/>
    <mergeCell ref="D505:E505"/>
    <mergeCell ref="A562:O563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D124:E124"/>
    <mergeCell ref="A276:Z276"/>
    <mergeCell ref="A270:Z27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L604:L605"/>
    <mergeCell ref="P399:V399"/>
    <mergeCell ref="P333:V333"/>
    <mergeCell ref="D316:E316"/>
    <mergeCell ref="D145:E145"/>
    <mergeCell ref="D387:E387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D443:E443"/>
    <mergeCell ref="D272:E272"/>
    <mergeCell ref="D514:E514"/>
    <mergeCell ref="D210:E210"/>
    <mergeCell ref="A250:O251"/>
    <mergeCell ref="P39:T39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D401:E401"/>
    <mergeCell ref="P358:T358"/>
    <mergeCell ref="A474:Z474"/>
    <mergeCell ref="D339:E339"/>
    <mergeCell ref="P66:T66"/>
    <mergeCell ref="D9:E9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387:T387"/>
    <mergeCell ref="P314:V314"/>
    <mergeCell ref="A381:Z381"/>
    <mergeCell ref="P514:T514"/>
    <mergeCell ref="A582:O583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P84:V84"/>
    <mergeCell ref="A198:Z198"/>
    <mergeCell ref="P440:T440"/>
    <mergeCell ref="A418:Z418"/>
    <mergeCell ref="P179:T179"/>
    <mergeCell ref="A356:Z356"/>
    <mergeCell ref="D581:E581"/>
    <mergeCell ref="P538:T538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P65:T65"/>
    <mergeCell ref="P136:T136"/>
    <mergeCell ref="P263:T263"/>
    <mergeCell ref="D244:E244"/>
    <mergeCell ref="P228:T228"/>
    <mergeCell ref="P499:T499"/>
    <mergeCell ref="D171:E171"/>
    <mergeCell ref="D336:E33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