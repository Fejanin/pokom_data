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8D847CA-E7E2-4B40-BC11-4EF01C6FF68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P535" i="1" s="1"/>
  <c r="BO534" i="1"/>
  <c r="BM534" i="1"/>
  <c r="Y534" i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BP452" i="1" s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O435" i="1"/>
  <c r="BM435" i="1"/>
  <c r="Y435" i="1"/>
  <c r="BO434" i="1"/>
  <c r="BM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Z357" i="1" s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X248" i="1"/>
  <c r="X247" i="1"/>
  <c r="BO246" i="1"/>
  <c r="BM246" i="1"/>
  <c r="Y246" i="1"/>
  <c r="X244" i="1"/>
  <c r="X243" i="1"/>
  <c r="BO242" i="1"/>
  <c r="BM242" i="1"/>
  <c r="Y242" i="1"/>
  <c r="BP242" i="1" s="1"/>
  <c r="P242" i="1"/>
  <c r="BO241" i="1"/>
  <c r="BM241" i="1"/>
  <c r="Y241" i="1"/>
  <c r="X239" i="1"/>
  <c r="X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Z201" i="1"/>
  <c r="Y201" i="1"/>
  <c r="P201" i="1"/>
  <c r="X199" i="1"/>
  <c r="X198" i="1"/>
  <c r="BO197" i="1"/>
  <c r="BM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BN153" i="1" s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Y83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592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225" i="1" l="1"/>
  <c r="BN225" i="1"/>
  <c r="Z225" i="1"/>
  <c r="BP241" i="1"/>
  <c r="BN241" i="1"/>
  <c r="Z241" i="1"/>
  <c r="BP281" i="1"/>
  <c r="BN281" i="1"/>
  <c r="Z281" i="1"/>
  <c r="BP339" i="1"/>
  <c r="BN339" i="1"/>
  <c r="Z339" i="1"/>
  <c r="BP378" i="1"/>
  <c r="BN378" i="1"/>
  <c r="Z378" i="1"/>
  <c r="Y396" i="1"/>
  <c r="Y395" i="1"/>
  <c r="BP393" i="1"/>
  <c r="BN393" i="1"/>
  <c r="Z393" i="1"/>
  <c r="BP417" i="1"/>
  <c r="BN417" i="1"/>
  <c r="Z417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B602" i="1"/>
  <c r="X594" i="1"/>
  <c r="Z39" i="1"/>
  <c r="BN39" i="1"/>
  <c r="D602" i="1"/>
  <c r="Z58" i="1"/>
  <c r="BN58" i="1"/>
  <c r="Y63" i="1"/>
  <c r="Z74" i="1"/>
  <c r="BN74" i="1"/>
  <c r="Z87" i="1"/>
  <c r="BN87" i="1"/>
  <c r="Y90" i="1"/>
  <c r="Z101" i="1"/>
  <c r="BN101" i="1"/>
  <c r="Z138" i="1"/>
  <c r="BN138" i="1"/>
  <c r="Z159" i="1"/>
  <c r="BN159" i="1"/>
  <c r="BP201" i="1"/>
  <c r="BN201" i="1"/>
  <c r="BP213" i="1"/>
  <c r="BN213" i="1"/>
  <c r="Z213" i="1"/>
  <c r="BP236" i="1"/>
  <c r="BN236" i="1"/>
  <c r="Z236" i="1"/>
  <c r="Y248" i="1"/>
  <c r="Y247" i="1"/>
  <c r="BP246" i="1"/>
  <c r="BN246" i="1"/>
  <c r="Z246" i="1"/>
  <c r="Z247" i="1" s="1"/>
  <c r="M602" i="1"/>
  <c r="Y266" i="1"/>
  <c r="BP265" i="1"/>
  <c r="BN265" i="1"/>
  <c r="Z265" i="1"/>
  <c r="Z266" i="1" s="1"/>
  <c r="BP270" i="1"/>
  <c r="BN270" i="1"/>
  <c r="Z270" i="1"/>
  <c r="BP329" i="1"/>
  <c r="BN329" i="1"/>
  <c r="Z329" i="1"/>
  <c r="BP388" i="1"/>
  <c r="BN388" i="1"/>
  <c r="Z388" i="1"/>
  <c r="BP394" i="1"/>
  <c r="BN394" i="1"/>
  <c r="Z394" i="1"/>
  <c r="BP416" i="1"/>
  <c r="BN416" i="1"/>
  <c r="Z416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BP523" i="1"/>
  <c r="BN523" i="1"/>
  <c r="Z523" i="1"/>
  <c r="L602" i="1"/>
  <c r="Y391" i="1"/>
  <c r="X602" i="1"/>
  <c r="Y422" i="1"/>
  <c r="X593" i="1"/>
  <c r="X595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Y42" i="1"/>
  <c r="Z50" i="1"/>
  <c r="BN50" i="1"/>
  <c r="Z54" i="1"/>
  <c r="BN54" i="1"/>
  <c r="Y62" i="1"/>
  <c r="Z60" i="1"/>
  <c r="BN60" i="1"/>
  <c r="Y69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Y111" i="1"/>
  <c r="Z114" i="1"/>
  <c r="BN114" i="1"/>
  <c r="Y128" i="1"/>
  <c r="Z121" i="1"/>
  <c r="BN121" i="1"/>
  <c r="Z124" i="1"/>
  <c r="BN124" i="1"/>
  <c r="Z125" i="1"/>
  <c r="BN125" i="1"/>
  <c r="Z131" i="1"/>
  <c r="BN131" i="1"/>
  <c r="BP131" i="1"/>
  <c r="Y134" i="1"/>
  <c r="G602" i="1"/>
  <c r="Z142" i="1"/>
  <c r="BN142" i="1"/>
  <c r="BP142" i="1"/>
  <c r="Y145" i="1"/>
  <c r="Z153" i="1"/>
  <c r="Z154" i="1" s="1"/>
  <c r="I602" i="1"/>
  <c r="Y183" i="1"/>
  <c r="BP175" i="1"/>
  <c r="BN175" i="1"/>
  <c r="Z175" i="1"/>
  <c r="J602" i="1"/>
  <c r="BP197" i="1"/>
  <c r="BN197" i="1"/>
  <c r="Z197" i="1"/>
  <c r="BP207" i="1"/>
  <c r="BN207" i="1"/>
  <c r="Z207" i="1"/>
  <c r="BP219" i="1"/>
  <c r="BN219" i="1"/>
  <c r="Z219" i="1"/>
  <c r="BP234" i="1"/>
  <c r="BN234" i="1"/>
  <c r="Z234" i="1"/>
  <c r="BP260" i="1"/>
  <c r="BN260" i="1"/>
  <c r="Z260" i="1"/>
  <c r="BP279" i="1"/>
  <c r="BN279" i="1"/>
  <c r="Z279" i="1"/>
  <c r="BP323" i="1"/>
  <c r="BN323" i="1"/>
  <c r="Z323" i="1"/>
  <c r="BP337" i="1"/>
  <c r="BN337" i="1"/>
  <c r="Z337" i="1"/>
  <c r="BP351" i="1"/>
  <c r="BN351" i="1"/>
  <c r="Z351" i="1"/>
  <c r="Y154" i="1"/>
  <c r="BP153" i="1"/>
  <c r="Y161" i="1"/>
  <c r="BP157" i="1"/>
  <c r="BN157" i="1"/>
  <c r="Z157" i="1"/>
  <c r="BP182" i="1"/>
  <c r="BN182" i="1"/>
  <c r="Z182" i="1"/>
  <c r="BP203" i="1"/>
  <c r="BN203" i="1"/>
  <c r="Z203" i="1"/>
  <c r="BP215" i="1"/>
  <c r="BN215" i="1"/>
  <c r="Z215" i="1"/>
  <c r="BP230" i="1"/>
  <c r="BN230" i="1"/>
  <c r="Z230" i="1"/>
  <c r="BP256" i="1"/>
  <c r="BN256" i="1"/>
  <c r="Z256" i="1"/>
  <c r="BP272" i="1"/>
  <c r="BN272" i="1"/>
  <c r="Z272" i="1"/>
  <c r="BN286" i="1"/>
  <c r="Z286" i="1"/>
  <c r="Z287" i="1" s="1"/>
  <c r="BP309" i="1"/>
  <c r="BN309" i="1"/>
  <c r="Z309" i="1"/>
  <c r="T602" i="1"/>
  <c r="Y315" i="1"/>
  <c r="BP314" i="1"/>
  <c r="BN314" i="1"/>
  <c r="Z314" i="1"/>
  <c r="Z315" i="1" s="1"/>
  <c r="BP319" i="1"/>
  <c r="BN319" i="1"/>
  <c r="Z319" i="1"/>
  <c r="BP331" i="1"/>
  <c r="BN331" i="1"/>
  <c r="Z331" i="1"/>
  <c r="Y347" i="1"/>
  <c r="BP343" i="1"/>
  <c r="BN343" i="1"/>
  <c r="Z343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AA602" i="1"/>
  <c r="Y466" i="1"/>
  <c r="BP464" i="1"/>
  <c r="BN464" i="1"/>
  <c r="Z464" i="1"/>
  <c r="BP484" i="1"/>
  <c r="BN484" i="1"/>
  <c r="Z484" i="1"/>
  <c r="BP494" i="1"/>
  <c r="BN494" i="1"/>
  <c r="Z494" i="1"/>
  <c r="Y162" i="1"/>
  <c r="Y209" i="1"/>
  <c r="Y221" i="1"/>
  <c r="Y243" i="1"/>
  <c r="Y341" i="1"/>
  <c r="Y346" i="1"/>
  <c r="Y354" i="1"/>
  <c r="BP357" i="1"/>
  <c r="BN357" i="1"/>
  <c r="W602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65" i="1"/>
  <c r="BN465" i="1"/>
  <c r="Z465" i="1"/>
  <c r="AB602" i="1"/>
  <c r="Y471" i="1"/>
  <c r="BP470" i="1"/>
  <c r="BN470" i="1"/>
  <c r="Z470" i="1"/>
  <c r="Z471" i="1" s="1"/>
  <c r="Y476" i="1"/>
  <c r="Y475" i="1"/>
  <c r="BP474" i="1"/>
  <c r="BN474" i="1"/>
  <c r="Z474" i="1"/>
  <c r="Z475" i="1" s="1"/>
  <c r="Y497" i="1"/>
  <c r="BP480" i="1"/>
  <c r="BN480" i="1"/>
  <c r="Z480" i="1"/>
  <c r="BP487" i="1"/>
  <c r="BN487" i="1"/>
  <c r="Z487" i="1"/>
  <c r="Y525" i="1"/>
  <c r="BP521" i="1"/>
  <c r="BN521" i="1"/>
  <c r="Z521" i="1"/>
  <c r="BP528" i="1"/>
  <c r="BN528" i="1"/>
  <c r="Z528" i="1"/>
  <c r="Y578" i="1"/>
  <c r="BP577" i="1"/>
  <c r="BN577" i="1"/>
  <c r="Z577" i="1"/>
  <c r="Z578" i="1" s="1"/>
  <c r="Y587" i="1"/>
  <c r="Y586" i="1"/>
  <c r="BP585" i="1"/>
  <c r="BN585" i="1"/>
  <c r="Z585" i="1"/>
  <c r="Z586" i="1" s="1"/>
  <c r="Y530" i="1"/>
  <c r="Y529" i="1"/>
  <c r="BP527" i="1"/>
  <c r="BN527" i="1"/>
  <c r="Z527" i="1"/>
  <c r="Z529" i="1" s="1"/>
  <c r="V602" i="1"/>
  <c r="Y371" i="1"/>
  <c r="Y390" i="1"/>
  <c r="Y421" i="1"/>
  <c r="Y602" i="1"/>
  <c r="Y503" i="1"/>
  <c r="Y519" i="1"/>
  <c r="F9" i="1"/>
  <c r="J9" i="1"/>
  <c r="F10" i="1"/>
  <c r="Z22" i="1"/>
  <c r="BN22" i="1"/>
  <c r="BP22" i="1"/>
  <c r="Z26" i="1"/>
  <c r="BN26" i="1"/>
  <c r="X596" i="1"/>
  <c r="Y29" i="1"/>
  <c r="C602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2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2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Y198" i="1"/>
  <c r="Y210" i="1"/>
  <c r="Y222" i="1"/>
  <c r="Y226" i="1"/>
  <c r="Y239" i="1"/>
  <c r="Y244" i="1"/>
  <c r="Y252" i="1"/>
  <c r="Y261" i="1"/>
  <c r="Y273" i="1"/>
  <c r="Y282" i="1"/>
  <c r="BP320" i="1"/>
  <c r="BN320" i="1"/>
  <c r="Z320" i="1"/>
  <c r="BP324" i="1"/>
  <c r="BN324" i="1"/>
  <c r="Z324" i="1"/>
  <c r="Y326" i="1"/>
  <c r="Y332" i="1"/>
  <c r="Y333" i="1"/>
  <c r="BP328" i="1"/>
  <c r="BN328" i="1"/>
  <c r="Z328" i="1"/>
  <c r="H9" i="1"/>
  <c r="Y28" i="1"/>
  <c r="Y55" i="1"/>
  <c r="Y139" i="1"/>
  <c r="Y172" i="1"/>
  <c r="Z192" i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602" i="1"/>
  <c r="Z231" i="1"/>
  <c r="BN231" i="1"/>
  <c r="Z233" i="1"/>
  <c r="BN233" i="1"/>
  <c r="Z235" i="1"/>
  <c r="BN235" i="1"/>
  <c r="Z237" i="1"/>
  <c r="BN237" i="1"/>
  <c r="Y238" i="1"/>
  <c r="Z242" i="1"/>
  <c r="Z243" i="1" s="1"/>
  <c r="BN242" i="1"/>
  <c r="Z250" i="1"/>
  <c r="Z251" i="1" s="1"/>
  <c r="BN250" i="1"/>
  <c r="BP250" i="1"/>
  <c r="Z255" i="1"/>
  <c r="BN255" i="1"/>
  <c r="BP255" i="1"/>
  <c r="Z257" i="1"/>
  <c r="BN257" i="1"/>
  <c r="Z259" i="1"/>
  <c r="BN259" i="1"/>
  <c r="Y262" i="1"/>
  <c r="Y267" i="1"/>
  <c r="O602" i="1"/>
  <c r="Z271" i="1"/>
  <c r="BN271" i="1"/>
  <c r="Y274" i="1"/>
  <c r="P602" i="1"/>
  <c r="Z278" i="1"/>
  <c r="BN278" i="1"/>
  <c r="Z280" i="1"/>
  <c r="BN280" i="1"/>
  <c r="Y283" i="1"/>
  <c r="Q602" i="1"/>
  <c r="Y287" i="1"/>
  <c r="BP286" i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16" i="1"/>
  <c r="U602" i="1"/>
  <c r="Y325" i="1"/>
  <c r="Z336" i="1"/>
  <c r="BN336" i="1"/>
  <c r="BP336" i="1"/>
  <c r="Z338" i="1"/>
  <c r="BN338" i="1"/>
  <c r="Z344" i="1"/>
  <c r="Z346" i="1" s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BP389" i="1"/>
  <c r="Z398" i="1"/>
  <c r="Z399" i="1" s="1"/>
  <c r="BN398" i="1"/>
  <c r="BP398" i="1"/>
  <c r="Y399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Z421" i="1" s="1"/>
  <c r="BN418" i="1"/>
  <c r="BP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Y448" i="1"/>
  <c r="Z602" i="1"/>
  <c r="Y453" i="1"/>
  <c r="Z452" i="1"/>
  <c r="Z453" i="1" s="1"/>
  <c r="BN452" i="1"/>
  <c r="Y461" i="1"/>
  <c r="BP458" i="1"/>
  <c r="BN458" i="1"/>
  <c r="Z458" i="1"/>
  <c r="Y365" i="1"/>
  <c r="Y385" i="1"/>
  <c r="Y409" i="1"/>
  <c r="Y443" i="1"/>
  <c r="Y454" i="1"/>
  <c r="Z460" i="1"/>
  <c r="BP457" i="1"/>
  <c r="BN457" i="1"/>
  <c r="Z457" i="1"/>
  <c r="Y460" i="1"/>
  <c r="Y504" i="1"/>
  <c r="Y518" i="1"/>
  <c r="Y524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Y467" i="1"/>
  <c r="Y472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Z511" i="1"/>
  <c r="BN511" i="1"/>
  <c r="Z512" i="1"/>
  <c r="BN512" i="1"/>
  <c r="Z515" i="1"/>
  <c r="BN515" i="1"/>
  <c r="Z516" i="1"/>
  <c r="BN516" i="1"/>
  <c r="Z522" i="1"/>
  <c r="Z524" i="1" s="1"/>
  <c r="BN522" i="1"/>
  <c r="Z534" i="1"/>
  <c r="BN534" i="1"/>
  <c r="BP534" i="1"/>
  <c r="Z535" i="1"/>
  <c r="BN535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Z273" i="1" l="1"/>
  <c r="Z395" i="1"/>
  <c r="Z518" i="1"/>
  <c r="Z442" i="1"/>
  <c r="Z385" i="1"/>
  <c r="Z370" i="1"/>
  <c r="Z359" i="1"/>
  <c r="Z353" i="1"/>
  <c r="Z340" i="1"/>
  <c r="Z282" i="1"/>
  <c r="Z238" i="1"/>
  <c r="Z325" i="1"/>
  <c r="Z62" i="1"/>
  <c r="Z41" i="1"/>
  <c r="Z466" i="1"/>
  <c r="Z496" i="1"/>
  <c r="Z209" i="1"/>
  <c r="Z558" i="1"/>
  <c r="Y596" i="1"/>
  <c r="Z332" i="1"/>
  <c r="Y593" i="1"/>
  <c r="Z540" i="1"/>
  <c r="Z573" i="1"/>
  <c r="Z503" i="1"/>
  <c r="Z408" i="1"/>
  <c r="Z261" i="1"/>
  <c r="Z193" i="1"/>
  <c r="Z183" i="1"/>
  <c r="Z55" i="1"/>
  <c r="Y592" i="1"/>
  <c r="Y594" i="1"/>
  <c r="Z28" i="1"/>
  <c r="Y595" i="1" l="1"/>
  <c r="Z597" i="1"/>
</calcChain>
</file>

<file path=xl/sharedStrings.xml><?xml version="1.0" encoding="utf-8"?>
<sst xmlns="http://schemas.openxmlformats.org/spreadsheetml/2006/main" count="2738" uniqueCount="970">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</sst>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969</v>
      </c>
      <c r="I5" s="947"/>
      <c r="J5" s="947"/>
      <c r="K5" s="947"/>
      <c r="L5" s="947"/>
      <c r="M5" s="756"/>
      <c r="N5" s="58"/>
      <c r="P5" s="24" t="s">
        <v>10</v>
      </c>
      <c r="Q5" s="1023">
        <v>45772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Пятница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 t="s">
        <v>19</v>
      </c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20</v>
      </c>
      <c r="Q8" s="818">
        <v>0.5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21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22</v>
      </c>
      <c r="Q10" s="860"/>
      <c r="R10" s="861"/>
      <c r="U10" s="24" t="s">
        <v>23</v>
      </c>
      <c r="V10" s="708" t="s">
        <v>24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5"/>
      <c r="R11" s="806"/>
      <c r="U11" s="24" t="s">
        <v>27</v>
      </c>
      <c r="V11" s="968" t="s">
        <v>28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29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30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31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32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33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34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35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36</v>
      </c>
      <c r="B17" s="692" t="s">
        <v>37</v>
      </c>
      <c r="C17" s="831" t="s">
        <v>38</v>
      </c>
      <c r="D17" s="692" t="s">
        <v>39</v>
      </c>
      <c r="E17" s="782"/>
      <c r="F17" s="692" t="s">
        <v>40</v>
      </c>
      <c r="G17" s="692" t="s">
        <v>41</v>
      </c>
      <c r="H17" s="692" t="s">
        <v>42</v>
      </c>
      <c r="I17" s="692" t="s">
        <v>43</v>
      </c>
      <c r="J17" s="692" t="s">
        <v>44</v>
      </c>
      <c r="K17" s="692" t="s">
        <v>45</v>
      </c>
      <c r="L17" s="692" t="s">
        <v>46</v>
      </c>
      <c r="M17" s="692" t="s">
        <v>47</v>
      </c>
      <c r="N17" s="692" t="s">
        <v>48</v>
      </c>
      <c r="O17" s="692" t="s">
        <v>49</v>
      </c>
      <c r="P17" s="692" t="s">
        <v>50</v>
      </c>
      <c r="Q17" s="781"/>
      <c r="R17" s="781"/>
      <c r="S17" s="781"/>
      <c r="T17" s="782"/>
      <c r="U17" s="1040" t="s">
        <v>51</v>
      </c>
      <c r="V17" s="809"/>
      <c r="W17" s="692" t="s">
        <v>52</v>
      </c>
      <c r="X17" s="692" t="s">
        <v>53</v>
      </c>
      <c r="Y17" s="1041" t="s">
        <v>54</v>
      </c>
      <c r="Z17" s="944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63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9" t="s">
        <v>76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6" t="s">
        <v>80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88</v>
      </c>
      <c r="Q28" s="687"/>
      <c r="R28" s="687"/>
      <c r="S28" s="687"/>
      <c r="T28" s="687"/>
      <c r="U28" s="687"/>
      <c r="V28" s="688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88</v>
      </c>
      <c r="Q29" s="687"/>
      <c r="R29" s="687"/>
      <c r="S29" s="687"/>
      <c r="T29" s="687"/>
      <c r="U29" s="687"/>
      <c r="V29" s="688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88</v>
      </c>
      <c r="Q32" s="687"/>
      <c r="R32" s="687"/>
      <c r="S32" s="687"/>
      <c r="T32" s="687"/>
      <c r="U32" s="687"/>
      <c r="V32" s="688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88</v>
      </c>
      <c r="Q33" s="687"/>
      <c r="R33" s="687"/>
      <c r="S33" s="687"/>
      <c r="T33" s="687"/>
      <c r="U33" s="687"/>
      <c r="V33" s="688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96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99</v>
      </c>
      <c r="B37" s="54" t="s">
        <v>100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88</v>
      </c>
      <c r="Q41" s="687"/>
      <c r="R41" s="687"/>
      <c r="S41" s="687"/>
      <c r="T41" s="687"/>
      <c r="U41" s="687"/>
      <c r="V41" s="688"/>
      <c r="W41" s="37" t="s">
        <v>89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hidden="1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88</v>
      </c>
      <c r="Q42" s="687"/>
      <c r="R42" s="687"/>
      <c r="S42" s="687"/>
      <c r="T42" s="687"/>
      <c r="U42" s="687"/>
      <c r="V42" s="688"/>
      <c r="W42" s="37" t="s">
        <v>69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hidden="1" customHeight="1" x14ac:dyDescent="0.25">
      <c r="A43" s="683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88</v>
      </c>
      <c r="Q45" s="687"/>
      <c r="R45" s="687"/>
      <c r="S45" s="687"/>
      <c r="T45" s="687"/>
      <c r="U45" s="687"/>
      <c r="V45" s="688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88</v>
      </c>
      <c r="Q46" s="687"/>
      <c r="R46" s="687"/>
      <c r="S46" s="687"/>
      <c r="T46" s="687"/>
      <c r="U46" s="687"/>
      <c r="V46" s="688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69</v>
      </c>
      <c r="X49" s="665">
        <v>500</v>
      </c>
      <c r="Y49" s="666">
        <f t="shared" ref="Y49:Y54" si="6">IFERROR(IF(X49="",0,CEILING((X49/$H49),1)*$H49),"")</f>
        <v>503.99999999999994</v>
      </c>
      <c r="Z49" s="36">
        <f>IFERROR(IF(Y49=0,"",ROUNDUP(Y49/H49,0)*0.01898),"")</f>
        <v>0.85409999999999997</v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519.41964285714289</v>
      </c>
      <c r="BN49" s="64">
        <f t="shared" ref="BN49:BN54" si="8">IFERROR(Y49*I49/H49,"0")</f>
        <v>523.57499999999993</v>
      </c>
      <c r="BO49" s="64">
        <f t="shared" ref="BO49:BO54" si="9">IFERROR(1/J49*(X49/H49),"0")</f>
        <v>0.6975446428571429</v>
      </c>
      <c r="BP49" s="64">
        <f t="shared" ref="BP49:BP54" si="10">IFERROR(1/J49*(Y49/H49),"0")</f>
        <v>0.703125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700</v>
      </c>
      <c r="Y50" s="666">
        <f t="shared" si="6"/>
        <v>702</v>
      </c>
      <c r="Z50" s="36">
        <f>IFERROR(IF(Y50=0,"",ROUNDUP(Y50/H50,0)*0.01898),"")</f>
        <v>1.2337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728.19444444444434</v>
      </c>
      <c r="BN50" s="64">
        <f t="shared" si="8"/>
        <v>730.27499999999986</v>
      </c>
      <c r="BO50" s="64">
        <f t="shared" si="9"/>
        <v>1.0127314814814814</v>
      </c>
      <c r="BP50" s="64">
        <f t="shared" si="10"/>
        <v>1.015625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69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88</v>
      </c>
      <c r="Q55" s="687"/>
      <c r="R55" s="687"/>
      <c r="S55" s="687"/>
      <c r="T55" s="687"/>
      <c r="U55" s="687"/>
      <c r="V55" s="688"/>
      <c r="W55" s="37" t="s">
        <v>89</v>
      </c>
      <c r="X55" s="667">
        <f>IFERROR(X49/H49,"0")+IFERROR(X50/H50,"0")+IFERROR(X51/H51,"0")+IFERROR(X52/H52,"0")+IFERROR(X53/H53,"0")+IFERROR(X54/H54,"0")</f>
        <v>109.45767195767195</v>
      </c>
      <c r="Y55" s="667">
        <f>IFERROR(Y49/H49,"0")+IFERROR(Y50/H50,"0")+IFERROR(Y51/H51,"0")+IFERROR(Y52/H52,"0")+IFERROR(Y53/H53,"0")+IFERROR(Y54/H54,"0")</f>
        <v>110</v>
      </c>
      <c r="Z55" s="667">
        <f>IFERROR(IF(Z49="",0,Z49),"0")+IFERROR(IF(Z50="",0,Z50),"0")+IFERROR(IF(Z51="",0,Z51),"0")+IFERROR(IF(Z52="",0,Z52),"0")+IFERROR(IF(Z53="",0,Z53),"0")+IFERROR(IF(Z54="",0,Z54),"0")</f>
        <v>2.0878000000000001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88</v>
      </c>
      <c r="Q56" s="687"/>
      <c r="R56" s="687"/>
      <c r="S56" s="687"/>
      <c r="T56" s="687"/>
      <c r="U56" s="687"/>
      <c r="V56" s="688"/>
      <c r="W56" s="37" t="s">
        <v>69</v>
      </c>
      <c r="X56" s="667">
        <f>IFERROR(SUM(X49:X54),"0")</f>
        <v>1200</v>
      </c>
      <c r="Y56" s="667">
        <f>IFERROR(SUM(Y49:Y54),"0")</f>
        <v>1206</v>
      </c>
      <c r="Z56" s="37"/>
      <c r="AA56" s="668"/>
      <c r="AB56" s="668"/>
      <c r="AC56" s="668"/>
    </row>
    <row r="57" spans="1:68" ht="14.25" hidden="1" customHeight="1" x14ac:dyDescent="0.25">
      <c r="A57" s="683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hidden="1" customHeight="1" x14ac:dyDescent="0.25">
      <c r="A58" s="54" t="s">
        <v>139</v>
      </c>
      <c r="B58" s="54" t="s">
        <v>140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69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88</v>
      </c>
      <c r="Q62" s="687"/>
      <c r="R62" s="687"/>
      <c r="S62" s="687"/>
      <c r="T62" s="687"/>
      <c r="U62" s="687"/>
      <c r="V62" s="688"/>
      <c r="W62" s="37" t="s">
        <v>89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88</v>
      </c>
      <c r="Q63" s="687"/>
      <c r="R63" s="687"/>
      <c r="S63" s="687"/>
      <c r="T63" s="687"/>
      <c r="U63" s="687"/>
      <c r="V63" s="688"/>
      <c r="W63" s="37" t="s">
        <v>69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3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88</v>
      </c>
      <c r="Q68" s="687"/>
      <c r="R68" s="687"/>
      <c r="S68" s="687"/>
      <c r="T68" s="687"/>
      <c r="U68" s="687"/>
      <c r="V68" s="688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88</v>
      </c>
      <c r="Q69" s="687"/>
      <c r="R69" s="687"/>
      <c r="S69" s="687"/>
      <c r="T69" s="687"/>
      <c r="U69" s="687"/>
      <c r="V69" s="688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88</v>
      </c>
      <c r="Q77" s="687"/>
      <c r="R77" s="687"/>
      <c r="S77" s="687"/>
      <c r="T77" s="687"/>
      <c r="U77" s="687"/>
      <c r="V77" s="688"/>
      <c r="W77" s="37" t="s">
        <v>89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88</v>
      </c>
      <c r="Q78" s="687"/>
      <c r="R78" s="687"/>
      <c r="S78" s="687"/>
      <c r="T78" s="687"/>
      <c r="U78" s="687"/>
      <c r="V78" s="688"/>
      <c r="W78" s="37" t="s">
        <v>69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176</v>
      </c>
      <c r="B80" s="54" t="s">
        <v>177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88</v>
      </c>
      <c r="Q83" s="687"/>
      <c r="R83" s="687"/>
      <c r="S83" s="687"/>
      <c r="T83" s="687"/>
      <c r="U83" s="687"/>
      <c r="V83" s="688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88</v>
      </c>
      <c r="Q84" s="687"/>
      <c r="R84" s="687"/>
      <c r="S84" s="687"/>
      <c r="T84" s="687"/>
      <c r="U84" s="687"/>
      <c r="V84" s="688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300</v>
      </c>
      <c r="Y87" s="666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88</v>
      </c>
      <c r="Q90" s="687"/>
      <c r="R90" s="687"/>
      <c r="S90" s="687"/>
      <c r="T90" s="687"/>
      <c r="U90" s="687"/>
      <c r="V90" s="688"/>
      <c r="W90" s="37" t="s">
        <v>89</v>
      </c>
      <c r="X90" s="667">
        <f>IFERROR(X87/H87,"0")+IFERROR(X88/H88,"0")+IFERROR(X89/H89,"0")</f>
        <v>27.777777777777775</v>
      </c>
      <c r="Y90" s="667">
        <f>IFERROR(Y87/H87,"0")+IFERROR(Y88/H88,"0")+IFERROR(Y89/H89,"0")</f>
        <v>28</v>
      </c>
      <c r="Z90" s="667">
        <f>IFERROR(IF(Z87="",0,Z87),"0")+IFERROR(IF(Z88="",0,Z88),"0")+IFERROR(IF(Z89="",0,Z89),"0")</f>
        <v>0.53144000000000002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88</v>
      </c>
      <c r="Q91" s="687"/>
      <c r="R91" s="687"/>
      <c r="S91" s="687"/>
      <c r="T91" s="687"/>
      <c r="U91" s="687"/>
      <c r="V91" s="688"/>
      <c r="W91" s="37" t="s">
        <v>69</v>
      </c>
      <c r="X91" s="667">
        <f>IFERROR(SUM(X87:X89),"0")</f>
        <v>300</v>
      </c>
      <c r="Y91" s="667">
        <f>IFERROR(SUM(Y87:Y89),"0")</f>
        <v>302.40000000000003</v>
      </c>
      <c r="Z91" s="37"/>
      <c r="AA91" s="668"/>
      <c r="AB91" s="668"/>
      <c r="AC91" s="668"/>
    </row>
    <row r="92" spans="1:68" ht="14.25" hidden="1" customHeight="1" x14ac:dyDescent="0.25">
      <c r="A92" s="683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800</v>
      </c>
      <c r="Y93" s="666">
        <f t="shared" ref="Y93:Y101" si="16">IFERROR(IF(X93="",0,CEILING((X93/$H93),1)*$H93),"")</f>
        <v>806.40000000000009</v>
      </c>
      <c r="Z93" s="36">
        <f>IFERROR(IF(Y93=0,"",ROUNDUP(Y93/H93,0)*0.01898),"")</f>
        <v>1.8220800000000001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849.42857142857144</v>
      </c>
      <c r="BN93" s="64">
        <f t="shared" ref="BN93:BN101" si="18">IFERROR(Y93*I93/H93,"0")</f>
        <v>856.22400000000005</v>
      </c>
      <c r="BO93" s="64">
        <f t="shared" ref="BO93:BO101" si="19">IFERROR(1/J93*(X93/H93),"0")</f>
        <v>1.4880952380952381</v>
      </c>
      <c r="BP93" s="64">
        <f t="shared" ref="BP93:BP101" si="20">IFERROR(1/J93*(Y93/H93),"0")</f>
        <v>1.5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5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7" t="s">
        <v>197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7" t="s">
        <v>201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203</v>
      </c>
      <c r="B97" s="54" t="s">
        <v>204</v>
      </c>
      <c r="C97" s="31">
        <v>4301051718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74" t="s">
        <v>205</v>
      </c>
      <c r="Q97" s="672"/>
      <c r="R97" s="672"/>
      <c r="S97" s="672"/>
      <c r="T97" s="673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203</v>
      </c>
      <c r="B98" s="54" t="s">
        <v>206</v>
      </c>
      <c r="C98" s="31">
        <v>4301052039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8" t="s">
        <v>207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69">
        <v>4680115880214</v>
      </c>
      <c r="E101" s="670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2"/>
      <c r="R101" s="672"/>
      <c r="S101" s="672"/>
      <c r="T101" s="673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88</v>
      </c>
      <c r="Q102" s="687"/>
      <c r="R102" s="687"/>
      <c r="S102" s="687"/>
      <c r="T102" s="687"/>
      <c r="U102" s="687"/>
      <c r="V102" s="688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95.238095238095241</v>
      </c>
      <c r="Y102" s="667">
        <f>IFERROR(Y93/H93,"0")+IFERROR(Y94/H94,"0")+IFERROR(Y95/H95,"0")+IFERROR(Y96/H96,"0")+IFERROR(Y97/H97,"0")+IFERROR(Y98/H98,"0")+IFERROR(Y99/H99,"0")+IFERROR(Y100/H100,"0")+IFERROR(Y101/H101,"0")</f>
        <v>96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1.8220800000000001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88</v>
      </c>
      <c r="Q103" s="687"/>
      <c r="R103" s="687"/>
      <c r="S103" s="687"/>
      <c r="T103" s="687"/>
      <c r="U103" s="687"/>
      <c r="V103" s="688"/>
      <c r="W103" s="37" t="s">
        <v>69</v>
      </c>
      <c r="X103" s="667">
        <f>IFERROR(SUM(X93:X101),"0")</f>
        <v>800</v>
      </c>
      <c r="Y103" s="667">
        <f>IFERROR(SUM(Y93:Y101),"0")</f>
        <v>806.40000000000009</v>
      </c>
      <c r="Z103" s="37"/>
      <c r="AA103" s="668"/>
      <c r="AB103" s="668"/>
      <c r="AC103" s="668"/>
    </row>
    <row r="104" spans="1:68" ht="16.5" hidden="1" customHeight="1" x14ac:dyDescent="0.25">
      <c r="A104" s="718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88</v>
      </c>
      <c r="Q110" s="687"/>
      <c r="R110" s="687"/>
      <c r="S110" s="687"/>
      <c r="T110" s="687"/>
      <c r="U110" s="687"/>
      <c r="V110" s="688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88</v>
      </c>
      <c r="Q111" s="687"/>
      <c r="R111" s="687"/>
      <c r="S111" s="687"/>
      <c r="T111" s="687"/>
      <c r="U111" s="687"/>
      <c r="V111" s="688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88</v>
      </c>
      <c r="Q116" s="687"/>
      <c r="R116" s="687"/>
      <c r="S116" s="687"/>
      <c r="T116" s="687"/>
      <c r="U116" s="687"/>
      <c r="V116" s="688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88</v>
      </c>
      <c r="Q117" s="687"/>
      <c r="R117" s="687"/>
      <c r="S117" s="687"/>
      <c r="T117" s="687"/>
      <c r="U117" s="687"/>
      <c r="V117" s="688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2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53" t="s">
        <v>235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hidden="1" customHeight="1" x14ac:dyDescent="0.25">
      <c r="A121" s="54" t="s">
        <v>231</v>
      </c>
      <c r="B121" s="54" t="s">
        <v>237</v>
      </c>
      <c r="C121" s="31">
        <v>4301051625</v>
      </c>
      <c r="D121" s="669">
        <v>4607091385168</v>
      </c>
      <c r="E121" s="670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977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79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9" t="s">
        <v>242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7" t="s">
        <v>246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88</v>
      </c>
      <c r="Q128" s="687"/>
      <c r="R128" s="687"/>
      <c r="S128" s="687"/>
      <c r="T128" s="687"/>
      <c r="U128" s="687"/>
      <c r="V128" s="688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88</v>
      </c>
      <c r="Q129" s="687"/>
      <c r="R129" s="687"/>
      <c r="S129" s="687"/>
      <c r="T129" s="687"/>
      <c r="U129" s="687"/>
      <c r="V129" s="688"/>
      <c r="W129" s="37" t="s">
        <v>69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175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88</v>
      </c>
      <c r="Q133" s="687"/>
      <c r="R133" s="687"/>
      <c r="S133" s="687"/>
      <c r="T133" s="687"/>
      <c r="U133" s="687"/>
      <c r="V133" s="688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88</v>
      </c>
      <c r="Q134" s="687"/>
      <c r="R134" s="687"/>
      <c r="S134" s="687"/>
      <c r="T134" s="687"/>
      <c r="U134" s="687"/>
      <c r="V134" s="688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259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98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260</v>
      </c>
      <c r="B137" s="54" t="s">
        <v>261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4301011564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2"/>
      <c r="R138" s="672"/>
      <c r="S138" s="672"/>
      <c r="T138" s="673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88</v>
      </c>
      <c r="Q139" s="687"/>
      <c r="R139" s="687"/>
      <c r="S139" s="687"/>
      <c r="T139" s="687"/>
      <c r="U139" s="687"/>
      <c r="V139" s="688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88</v>
      </c>
      <c r="Q140" s="687"/>
      <c r="R140" s="687"/>
      <c r="S140" s="687"/>
      <c r="T140" s="687"/>
      <c r="U140" s="687"/>
      <c r="V140" s="688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149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264</v>
      </c>
      <c r="B142" s="54" t="s">
        <v>265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4301031234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88</v>
      </c>
      <c r="Q144" s="687"/>
      <c r="R144" s="687"/>
      <c r="S144" s="687"/>
      <c r="T144" s="687"/>
      <c r="U144" s="687"/>
      <c r="V144" s="688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88</v>
      </c>
      <c r="Q145" s="687"/>
      <c r="R145" s="687"/>
      <c r="S145" s="687"/>
      <c r="T145" s="687"/>
      <c r="U145" s="687"/>
      <c r="V145" s="688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64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88</v>
      </c>
      <c r="Q149" s="687"/>
      <c r="R149" s="687"/>
      <c r="S149" s="687"/>
      <c r="T149" s="687"/>
      <c r="U149" s="687"/>
      <c r="V149" s="688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88</v>
      </c>
      <c r="Q150" s="687"/>
      <c r="R150" s="687"/>
      <c r="S150" s="687"/>
      <c r="T150" s="687"/>
      <c r="U150" s="687"/>
      <c r="V150" s="688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96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98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88</v>
      </c>
      <c r="Q154" s="687"/>
      <c r="R154" s="687"/>
      <c r="S154" s="687"/>
      <c r="T154" s="687"/>
      <c r="U154" s="687"/>
      <c r="V154" s="688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88</v>
      </c>
      <c r="Q155" s="687"/>
      <c r="R155" s="687"/>
      <c r="S155" s="687"/>
      <c r="T155" s="687"/>
      <c r="U155" s="687"/>
      <c r="V155" s="688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149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88</v>
      </c>
      <c r="Q161" s="687"/>
      <c r="R161" s="687"/>
      <c r="S161" s="687"/>
      <c r="T161" s="687"/>
      <c r="U161" s="687"/>
      <c r="V161" s="688"/>
      <c r="W161" s="37" t="s">
        <v>89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88</v>
      </c>
      <c r="Q162" s="687"/>
      <c r="R162" s="687"/>
      <c r="S162" s="687"/>
      <c r="T162" s="687"/>
      <c r="U162" s="687"/>
      <c r="V162" s="688"/>
      <c r="W162" s="37" t="s">
        <v>69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64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88</v>
      </c>
      <c r="Q165" s="687"/>
      <c r="R165" s="687"/>
      <c r="S165" s="687"/>
      <c r="T165" s="687"/>
      <c r="U165" s="687"/>
      <c r="V165" s="688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88</v>
      </c>
      <c r="Q166" s="687"/>
      <c r="R166" s="687"/>
      <c r="S166" s="687"/>
      <c r="T166" s="687"/>
      <c r="U166" s="687"/>
      <c r="V166" s="688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288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289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138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88</v>
      </c>
      <c r="Q171" s="687"/>
      <c r="R171" s="687"/>
      <c r="S171" s="687"/>
      <c r="T171" s="687"/>
      <c r="U171" s="687"/>
      <c r="V171" s="688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88</v>
      </c>
      <c r="Q172" s="687"/>
      <c r="R172" s="687"/>
      <c r="S172" s="687"/>
      <c r="T172" s="687"/>
      <c r="U172" s="687"/>
      <c r="V172" s="688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149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50</v>
      </c>
      <c r="Y174" s="666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7" t="s">
        <v>308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88</v>
      </c>
      <c r="Q183" s="687"/>
      <c r="R183" s="687"/>
      <c r="S183" s="687"/>
      <c r="T183" s="687"/>
      <c r="U183" s="687"/>
      <c r="V183" s="688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11.904761904761905</v>
      </c>
      <c r="Y183" s="667">
        <f>IFERROR(Y174/H174,"0")+IFERROR(Y175/H175,"0")+IFERROR(Y176/H176,"0")+IFERROR(Y177/H177,"0")+IFERROR(Y178/H178,"0")+IFERROR(Y179/H179,"0")+IFERROR(Y180/H180,"0")+IFERROR(Y181/H181,"0")+IFERROR(Y182/H182,"0")</f>
        <v>12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0.10824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88</v>
      </c>
      <c r="Q184" s="687"/>
      <c r="R184" s="687"/>
      <c r="S184" s="687"/>
      <c r="T184" s="687"/>
      <c r="U184" s="687"/>
      <c r="V184" s="688"/>
      <c r="W184" s="37" t="s">
        <v>69</v>
      </c>
      <c r="X184" s="667">
        <f>IFERROR(SUM(X174:X182),"0")</f>
        <v>50</v>
      </c>
      <c r="Y184" s="667">
        <f>IFERROR(SUM(Y174:Y182),"0")</f>
        <v>50.400000000000006</v>
      </c>
      <c r="Z184" s="37"/>
      <c r="AA184" s="668"/>
      <c r="AB184" s="668"/>
      <c r="AC184" s="668"/>
    </row>
    <row r="185" spans="1:68" ht="14.25" hidden="1" customHeight="1" x14ac:dyDescent="0.25">
      <c r="A185" s="683" t="s">
        <v>90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2" t="s">
        <v>321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88</v>
      </c>
      <c r="Q187" s="687"/>
      <c r="R187" s="687"/>
      <c r="S187" s="687"/>
      <c r="T187" s="687"/>
      <c r="U187" s="687"/>
      <c r="V187" s="688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88</v>
      </c>
      <c r="Q188" s="687"/>
      <c r="R188" s="687"/>
      <c r="S188" s="687"/>
      <c r="T188" s="687"/>
      <c r="U188" s="687"/>
      <c r="V188" s="688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323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98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324</v>
      </c>
      <c r="B191" s="54" t="s">
        <v>325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327</v>
      </c>
      <c r="B192" s="54" t="s">
        <v>328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88</v>
      </c>
      <c r="Q193" s="687"/>
      <c r="R193" s="687"/>
      <c r="S193" s="687"/>
      <c r="T193" s="687"/>
      <c r="U193" s="687"/>
      <c r="V193" s="688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88</v>
      </c>
      <c r="Q194" s="687"/>
      <c r="R194" s="687"/>
      <c r="S194" s="687"/>
      <c r="T194" s="687"/>
      <c r="U194" s="687"/>
      <c r="V194" s="688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138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329</v>
      </c>
      <c r="B196" s="54" t="s">
        <v>330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332</v>
      </c>
      <c r="B197" s="54" t="s">
        <v>333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88</v>
      </c>
      <c r="Q198" s="687"/>
      <c r="R198" s="687"/>
      <c r="S198" s="687"/>
      <c r="T198" s="687"/>
      <c r="U198" s="687"/>
      <c r="V198" s="688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88</v>
      </c>
      <c r="Q199" s="687"/>
      <c r="R199" s="687"/>
      <c r="S199" s="687"/>
      <c r="T199" s="687"/>
      <c r="U199" s="687"/>
      <c r="V199" s="688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149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300</v>
      </c>
      <c r="Y201" s="666">
        <f t="shared" ref="Y201:Y208" si="32">IFERROR(IF(X201="",0,CEILING((X201/$H201),1)*$H201),"")</f>
        <v>302.40000000000003</v>
      </c>
      <c r="Z201" s="36">
        <f>IFERROR(IF(Y201=0,"",ROUNDUP(Y201/H201,0)*0.00902),"")</f>
        <v>0.50512000000000001</v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311.66666666666663</v>
      </c>
      <c r="BN201" s="64">
        <f t="shared" ref="BN201:BN208" si="34">IFERROR(Y201*I201/H201,"0")</f>
        <v>314.16000000000003</v>
      </c>
      <c r="BO201" s="64">
        <f t="shared" ref="BO201:BO208" si="35">IFERROR(1/J201*(X201/H201),"0")</f>
        <v>0.42087542087542085</v>
      </c>
      <c r="BP201" s="64">
        <f t="shared" ref="BP201:BP208" si="36">IFERROR(1/J201*(Y201/H201),"0")</f>
        <v>0.42424242424242425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150</v>
      </c>
      <c r="Y202" s="666">
        <f t="shared" si="32"/>
        <v>151.20000000000002</v>
      </c>
      <c r="Z202" s="36">
        <f>IFERROR(IF(Y202=0,"",ROUNDUP(Y202/H202,0)*0.00902),"")</f>
        <v>0.25256000000000001</v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155.83333333333331</v>
      </c>
      <c r="BN202" s="64">
        <f t="shared" si="34"/>
        <v>157.08000000000001</v>
      </c>
      <c r="BO202" s="64">
        <f t="shared" si="35"/>
        <v>0.21043771043771042</v>
      </c>
      <c r="BP202" s="64">
        <f t="shared" si="36"/>
        <v>0.21212121212121213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200</v>
      </c>
      <c r="Y203" s="666">
        <f t="shared" si="32"/>
        <v>205.20000000000002</v>
      </c>
      <c r="Z203" s="36">
        <f>IFERROR(IF(Y203=0,"",ROUNDUP(Y203/H203,0)*0.00902),"")</f>
        <v>0.34276000000000001</v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207.77777777777777</v>
      </c>
      <c r="BN203" s="64">
        <f t="shared" si="34"/>
        <v>213.18000000000004</v>
      </c>
      <c r="BO203" s="64">
        <f t="shared" si="35"/>
        <v>0.28058361391694725</v>
      </c>
      <c r="BP203" s="64">
        <f t="shared" si="36"/>
        <v>0.2878787878787879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250</v>
      </c>
      <c r="Y204" s="666">
        <f t="shared" si="32"/>
        <v>253.8</v>
      </c>
      <c r="Z204" s="36">
        <f>IFERROR(IF(Y204=0,"",ROUNDUP(Y204/H204,0)*0.00902),"")</f>
        <v>0.42393999999999998</v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259.72222222222223</v>
      </c>
      <c r="BN204" s="64">
        <f t="shared" si="34"/>
        <v>263.67</v>
      </c>
      <c r="BO204" s="64">
        <f t="shared" si="35"/>
        <v>0.35072951739618402</v>
      </c>
      <c r="BP204" s="64">
        <f t="shared" si="36"/>
        <v>0.35606060606060608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350</v>
      </c>
      <c r="B207" s="54" t="s">
        <v>351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352</v>
      </c>
      <c r="B208" s="54" t="s">
        <v>353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88</v>
      </c>
      <c r="Q209" s="687"/>
      <c r="R209" s="687"/>
      <c r="S209" s="687"/>
      <c r="T209" s="687"/>
      <c r="U209" s="687"/>
      <c r="V209" s="688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166.66666666666666</v>
      </c>
      <c r="Y209" s="667">
        <f>IFERROR(Y201/H201,"0")+IFERROR(Y202/H202,"0")+IFERROR(Y203/H203,"0")+IFERROR(Y204/H204,"0")+IFERROR(Y205/H205,"0")+IFERROR(Y206/H206,"0")+IFERROR(Y207/H207,"0")+IFERROR(Y208/H208,"0")</f>
        <v>169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1.5243800000000001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88</v>
      </c>
      <c r="Q210" s="687"/>
      <c r="R210" s="687"/>
      <c r="S210" s="687"/>
      <c r="T210" s="687"/>
      <c r="U210" s="687"/>
      <c r="V210" s="688"/>
      <c r="W210" s="37" t="s">
        <v>69</v>
      </c>
      <c r="X210" s="667">
        <f>IFERROR(SUM(X201:X208),"0")</f>
        <v>900</v>
      </c>
      <c r="Y210" s="667">
        <f>IFERROR(SUM(Y201:Y208),"0")</f>
        <v>912.60000000000014</v>
      </c>
      <c r="Z210" s="37"/>
      <c r="AA210" s="668"/>
      <c r="AB210" s="668"/>
      <c r="AC210" s="668"/>
    </row>
    <row r="211" spans="1:68" ht="14.25" hidden="1" customHeight="1" x14ac:dyDescent="0.25">
      <c r="A211" s="683" t="s">
        <v>64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354</v>
      </c>
      <c r="B212" s="54" t="s">
        <v>355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357</v>
      </c>
      <c r="B213" s="54" t="s">
        <v>358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300</v>
      </c>
      <c r="Y214" s="666">
        <f t="shared" si="37"/>
        <v>304.5</v>
      </c>
      <c r="Z214" s="36">
        <f>IFERROR(IF(Y214=0,"",ROUNDUP(Y214/H214,0)*0.01898),"")</f>
        <v>0.6643</v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317.89655172413796</v>
      </c>
      <c r="BN214" s="64">
        <f t="shared" si="39"/>
        <v>322.66500000000002</v>
      </c>
      <c r="BO214" s="64">
        <f t="shared" si="40"/>
        <v>0.53879310344827591</v>
      </c>
      <c r="BP214" s="64">
        <f t="shared" si="41"/>
        <v>0.546875</v>
      </c>
    </row>
    <row r="215" spans="1:68" ht="27" hidden="1" customHeight="1" x14ac:dyDescent="0.25">
      <c r="A215" s="54" t="s">
        <v>363</v>
      </c>
      <c r="B215" s="54" t="s">
        <v>364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370</v>
      </c>
      <c r="B218" s="54" t="s">
        <v>371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372</v>
      </c>
      <c r="B219" s="54" t="s">
        <v>373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375</v>
      </c>
      <c r="B220" s="54" t="s">
        <v>376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88</v>
      </c>
      <c r="Q221" s="687"/>
      <c r="R221" s="687"/>
      <c r="S221" s="687"/>
      <c r="T221" s="687"/>
      <c r="U221" s="687"/>
      <c r="V221" s="688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34.482758620689658</v>
      </c>
      <c r="Y221" s="667">
        <f>IFERROR(Y212/H212,"0")+IFERROR(Y213/H213,"0")+IFERROR(Y214/H214,"0")+IFERROR(Y215/H215,"0")+IFERROR(Y216/H216,"0")+IFERROR(Y217/H217,"0")+IFERROR(Y218/H218,"0")+IFERROR(Y219/H219,"0")+IFERROR(Y220/H220,"0")</f>
        <v>35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0.6643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88</v>
      </c>
      <c r="Q222" s="687"/>
      <c r="R222" s="687"/>
      <c r="S222" s="687"/>
      <c r="T222" s="687"/>
      <c r="U222" s="687"/>
      <c r="V222" s="688"/>
      <c r="W222" s="37" t="s">
        <v>69</v>
      </c>
      <c r="X222" s="667">
        <f>IFERROR(SUM(X212:X220),"0")</f>
        <v>300</v>
      </c>
      <c r="Y222" s="667">
        <f>IFERROR(SUM(Y212:Y220),"0")</f>
        <v>304.5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175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378</v>
      </c>
      <c r="B224" s="54" t="s">
        <v>379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88</v>
      </c>
      <c r="Q226" s="687"/>
      <c r="R226" s="687"/>
      <c r="S226" s="687"/>
      <c r="T226" s="687"/>
      <c r="U226" s="687"/>
      <c r="V226" s="688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88</v>
      </c>
      <c r="Q227" s="687"/>
      <c r="R227" s="687"/>
      <c r="S227" s="687"/>
      <c r="T227" s="687"/>
      <c r="U227" s="687"/>
      <c r="V227" s="688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384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98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385</v>
      </c>
      <c r="B230" s="54" t="s">
        <v>386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385</v>
      </c>
      <c r="B231" s="54" t="s">
        <v>388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391</v>
      </c>
      <c r="B232" s="54" t="s">
        <v>392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394</v>
      </c>
      <c r="B234" s="54" t="s">
        <v>397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398</v>
      </c>
      <c r="B235" s="54" t="s">
        <v>399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400</v>
      </c>
      <c r="B236" s="54" t="s">
        <v>401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402</v>
      </c>
      <c r="B237" s="54" t="s">
        <v>403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88</v>
      </c>
      <c r="Q238" s="687"/>
      <c r="R238" s="687"/>
      <c r="S238" s="687"/>
      <c r="T238" s="687"/>
      <c r="U238" s="687"/>
      <c r="V238" s="688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88</v>
      </c>
      <c r="Q239" s="687"/>
      <c r="R239" s="687"/>
      <c r="S239" s="687"/>
      <c r="T239" s="687"/>
      <c r="U239" s="687"/>
      <c r="V239" s="688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138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404</v>
      </c>
      <c r="B241" s="54" t="s">
        <v>405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2" t="s">
        <v>406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404</v>
      </c>
      <c r="B242" s="54" t="s">
        <v>408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88</v>
      </c>
      <c r="Q243" s="687"/>
      <c r="R243" s="687"/>
      <c r="S243" s="687"/>
      <c r="T243" s="687"/>
      <c r="U243" s="687"/>
      <c r="V243" s="688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88</v>
      </c>
      <c r="Q244" s="687"/>
      <c r="R244" s="687"/>
      <c r="S244" s="687"/>
      <c r="T244" s="687"/>
      <c r="U244" s="687"/>
      <c r="V244" s="688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409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410</v>
      </c>
      <c r="B246" s="54" t="s">
        <v>411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21" t="s">
        <v>412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88</v>
      </c>
      <c r="Q247" s="687"/>
      <c r="R247" s="687"/>
      <c r="S247" s="687"/>
      <c r="T247" s="687"/>
      <c r="U247" s="687"/>
      <c r="V247" s="688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88</v>
      </c>
      <c r="Q248" s="687"/>
      <c r="R248" s="687"/>
      <c r="S248" s="687"/>
      <c r="T248" s="687"/>
      <c r="U248" s="687"/>
      <c r="V248" s="688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414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415</v>
      </c>
      <c r="B250" s="54" t="s">
        <v>416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6" t="s">
        <v>417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88</v>
      </c>
      <c r="Q251" s="687"/>
      <c r="R251" s="687"/>
      <c r="S251" s="687"/>
      <c r="T251" s="687"/>
      <c r="U251" s="687"/>
      <c r="V251" s="688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88</v>
      </c>
      <c r="Q252" s="687"/>
      <c r="R252" s="687"/>
      <c r="S252" s="687"/>
      <c r="T252" s="687"/>
      <c r="U252" s="687"/>
      <c r="V252" s="688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419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98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420</v>
      </c>
      <c r="B255" s="54" t="s">
        <v>421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1400</v>
      </c>
      <c r="Y256" s="666">
        <f t="shared" si="48"/>
        <v>1404</v>
      </c>
      <c r="Z256" s="36">
        <f>IFERROR(IF(Y256=0,"",ROUNDUP(Y256/H256,0)*0.01898),"")</f>
        <v>2.4674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1456.3888888888887</v>
      </c>
      <c r="BN256" s="64">
        <f t="shared" si="50"/>
        <v>1460.5499999999997</v>
      </c>
      <c r="BO256" s="64">
        <f t="shared" si="51"/>
        <v>2.0254629629629628</v>
      </c>
      <c r="BP256" s="64">
        <f t="shared" si="52"/>
        <v>2.03125</v>
      </c>
    </row>
    <row r="257" spans="1:68" ht="27" hidden="1" customHeight="1" x14ac:dyDescent="0.25">
      <c r="A257" s="54" t="s">
        <v>423</v>
      </c>
      <c r="B257" s="54" t="s">
        <v>426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428</v>
      </c>
      <c r="B258" s="54" t="s">
        <v>429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431</v>
      </c>
      <c r="B259" s="54" t="s">
        <v>432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434</v>
      </c>
      <c r="B260" s="54" t="s">
        <v>435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88</v>
      </c>
      <c r="Q261" s="687"/>
      <c r="R261" s="687"/>
      <c r="S261" s="687"/>
      <c r="T261" s="687"/>
      <c r="U261" s="687"/>
      <c r="V261" s="688"/>
      <c r="W261" s="37" t="s">
        <v>89</v>
      </c>
      <c r="X261" s="667">
        <f>IFERROR(X255/H255,"0")+IFERROR(X256/H256,"0")+IFERROR(X257/H257,"0")+IFERROR(X258/H258,"0")+IFERROR(X259/H259,"0")+IFERROR(X260/H260,"0")</f>
        <v>129.62962962962962</v>
      </c>
      <c r="Y261" s="667">
        <f>IFERROR(Y255/H255,"0")+IFERROR(Y256/H256,"0")+IFERROR(Y257/H257,"0")+IFERROR(Y258/H258,"0")+IFERROR(Y259/H259,"0")+IFERROR(Y260/H260,"0")</f>
        <v>130</v>
      </c>
      <c r="Z261" s="667">
        <f>IFERROR(IF(Z255="",0,Z255),"0")+IFERROR(IF(Z256="",0,Z256),"0")+IFERROR(IF(Z257="",0,Z257),"0")+IFERROR(IF(Z258="",0,Z258),"0")+IFERROR(IF(Z259="",0,Z259),"0")+IFERROR(IF(Z260="",0,Z260),"0")</f>
        <v>2.4674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88</v>
      </c>
      <c r="Q262" s="687"/>
      <c r="R262" s="687"/>
      <c r="S262" s="687"/>
      <c r="T262" s="687"/>
      <c r="U262" s="687"/>
      <c r="V262" s="688"/>
      <c r="W262" s="37" t="s">
        <v>69</v>
      </c>
      <c r="X262" s="667">
        <f>IFERROR(SUM(X255:X260),"0")</f>
        <v>1400</v>
      </c>
      <c r="Y262" s="667">
        <f>IFERROR(SUM(Y255:Y260),"0")</f>
        <v>1404</v>
      </c>
      <c r="Z262" s="37"/>
      <c r="AA262" s="668"/>
      <c r="AB262" s="668"/>
      <c r="AC262" s="668"/>
    </row>
    <row r="263" spans="1:68" ht="16.5" hidden="1" customHeight="1" x14ac:dyDescent="0.25">
      <c r="A263" s="718" t="s">
        <v>437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98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438</v>
      </c>
      <c r="B265" s="54" t="s">
        <v>439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88</v>
      </c>
      <c r="Q266" s="687"/>
      <c r="R266" s="687"/>
      <c r="S266" s="687"/>
      <c r="T266" s="687"/>
      <c r="U266" s="687"/>
      <c r="V266" s="688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88</v>
      </c>
      <c r="Q267" s="687"/>
      <c r="R267" s="687"/>
      <c r="S267" s="687"/>
      <c r="T267" s="687"/>
      <c r="U267" s="687"/>
      <c r="V267" s="688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441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98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442</v>
      </c>
      <c r="B270" s="54" t="s">
        <v>443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447</v>
      </c>
      <c r="B272" s="54" t="s">
        <v>448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88</v>
      </c>
      <c r="Q273" s="687"/>
      <c r="R273" s="687"/>
      <c r="S273" s="687"/>
      <c r="T273" s="687"/>
      <c r="U273" s="687"/>
      <c r="V273" s="688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88</v>
      </c>
      <c r="Q274" s="687"/>
      <c r="R274" s="687"/>
      <c r="S274" s="687"/>
      <c r="T274" s="687"/>
      <c r="U274" s="687"/>
      <c r="V274" s="688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450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64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451</v>
      </c>
      <c r="B277" s="54" t="s">
        <v>452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457</v>
      </c>
      <c r="B279" s="54" t="s">
        <v>458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459</v>
      </c>
      <c r="B280" s="54" t="s">
        <v>460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462</v>
      </c>
      <c r="B281" s="54" t="s">
        <v>463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88</v>
      </c>
      <c r="Q282" s="687"/>
      <c r="R282" s="687"/>
      <c r="S282" s="687"/>
      <c r="T282" s="687"/>
      <c r="U282" s="687"/>
      <c r="V282" s="688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88</v>
      </c>
      <c r="Q283" s="687"/>
      <c r="R283" s="687"/>
      <c r="S283" s="687"/>
      <c r="T283" s="687"/>
      <c r="U283" s="687"/>
      <c r="V283" s="688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98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465</v>
      </c>
      <c r="B286" s="54" t="s">
        <v>466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88</v>
      </c>
      <c r="Q287" s="687"/>
      <c r="R287" s="687"/>
      <c r="S287" s="687"/>
      <c r="T287" s="687"/>
      <c r="U287" s="687"/>
      <c r="V287" s="688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88</v>
      </c>
      <c r="Q288" s="687"/>
      <c r="R288" s="687"/>
      <c r="S288" s="687"/>
      <c r="T288" s="687"/>
      <c r="U288" s="687"/>
      <c r="V288" s="688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149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468</v>
      </c>
      <c r="B290" s="54" t="s">
        <v>469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88</v>
      </c>
      <c r="Q291" s="687"/>
      <c r="R291" s="687"/>
      <c r="S291" s="687"/>
      <c r="T291" s="687"/>
      <c r="U291" s="687"/>
      <c r="V291" s="688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88</v>
      </c>
      <c r="Q292" s="687"/>
      <c r="R292" s="687"/>
      <c r="S292" s="687"/>
      <c r="T292" s="687"/>
      <c r="U292" s="687"/>
      <c r="V292" s="688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64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471</v>
      </c>
      <c r="B294" s="54" t="s">
        <v>472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88</v>
      </c>
      <c r="Q295" s="687"/>
      <c r="R295" s="687"/>
      <c r="S295" s="687"/>
      <c r="T295" s="687"/>
      <c r="U295" s="687"/>
      <c r="V295" s="688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88</v>
      </c>
      <c r="Q296" s="687"/>
      <c r="R296" s="687"/>
      <c r="S296" s="687"/>
      <c r="T296" s="687"/>
      <c r="U296" s="687"/>
      <c r="V296" s="688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474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64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475</v>
      </c>
      <c r="B299" s="54" t="s">
        <v>476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88</v>
      </c>
      <c r="Q300" s="687"/>
      <c r="R300" s="687"/>
      <c r="S300" s="687"/>
      <c r="T300" s="687"/>
      <c r="U300" s="687"/>
      <c r="V300" s="688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88</v>
      </c>
      <c r="Q301" s="687"/>
      <c r="R301" s="687"/>
      <c r="S301" s="687"/>
      <c r="T301" s="687"/>
      <c r="U301" s="687"/>
      <c r="V301" s="688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478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98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479</v>
      </c>
      <c r="B304" s="54" t="s">
        <v>480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88</v>
      </c>
      <c r="Q305" s="687"/>
      <c r="R305" s="687"/>
      <c r="S305" s="687"/>
      <c r="T305" s="687"/>
      <c r="U305" s="687"/>
      <c r="V305" s="688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88</v>
      </c>
      <c r="Q306" s="687"/>
      <c r="R306" s="687"/>
      <c r="S306" s="687"/>
      <c r="T306" s="687"/>
      <c r="U306" s="687"/>
      <c r="V306" s="688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149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481</v>
      </c>
      <c r="B308" s="54" t="s">
        <v>482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484</v>
      </c>
      <c r="B309" s="54" t="s">
        <v>485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88</v>
      </c>
      <c r="Q310" s="687"/>
      <c r="R310" s="687"/>
      <c r="S310" s="687"/>
      <c r="T310" s="687"/>
      <c r="U310" s="687"/>
      <c r="V310" s="688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88</v>
      </c>
      <c r="Q311" s="687"/>
      <c r="R311" s="687"/>
      <c r="S311" s="687"/>
      <c r="T311" s="687"/>
      <c r="U311" s="687"/>
      <c r="V311" s="688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486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98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487</v>
      </c>
      <c r="B314" s="54" t="s">
        <v>488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88</v>
      </c>
      <c r="Q315" s="687"/>
      <c r="R315" s="687"/>
      <c r="S315" s="687"/>
      <c r="T315" s="687"/>
      <c r="U315" s="687"/>
      <c r="V315" s="688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88</v>
      </c>
      <c r="Q316" s="687"/>
      <c r="R316" s="687"/>
      <c r="S316" s="687"/>
      <c r="T316" s="687"/>
      <c r="U316" s="687"/>
      <c r="V316" s="688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491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98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100</v>
      </c>
      <c r="Y319" s="666">
        <f t="shared" ref="Y319:Y324" si="53">IFERROR(IF(X319="",0,CEILING((X319/$H319),1)*$H319),"")</f>
        <v>108</v>
      </c>
      <c r="Z319" s="36">
        <f>IFERROR(IF(Y319=0,"",ROUNDUP(Y319/H319,0)*0.01898),"")</f>
        <v>0.1898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104.02777777777777</v>
      </c>
      <c r="BN319" s="64">
        <f t="shared" ref="BN319:BN324" si="55">IFERROR(Y319*I319/H319,"0")</f>
        <v>112.34999999999998</v>
      </c>
      <c r="BO319" s="64">
        <f t="shared" ref="BO319:BO324" si="56">IFERROR(1/J319*(X319/H319),"0")</f>
        <v>0.14467592592592593</v>
      </c>
      <c r="BP319" s="64">
        <f t="shared" ref="BP319:BP324" si="57">IFERROR(1/J319*(Y319/H319),"0")</f>
        <v>0.15625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1400</v>
      </c>
      <c r="Y320" s="666">
        <f t="shared" si="53"/>
        <v>1404</v>
      </c>
      <c r="Z320" s="36">
        <f>IFERROR(IF(Y320=0,"",ROUNDUP(Y320/H320,0)*0.01898),"")</f>
        <v>2.4674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1456.3888888888887</v>
      </c>
      <c r="BN320" s="64">
        <f t="shared" si="55"/>
        <v>1460.5499999999997</v>
      </c>
      <c r="BO320" s="64">
        <f t="shared" si="56"/>
        <v>2.0254629629629628</v>
      </c>
      <c r="BP320" s="64">
        <f t="shared" si="57"/>
        <v>2.03125</v>
      </c>
    </row>
    <row r="321" spans="1:68" ht="27" hidden="1" customHeight="1" x14ac:dyDescent="0.25">
      <c r="A321" s="54" t="s">
        <v>495</v>
      </c>
      <c r="B321" s="54" t="s">
        <v>498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500</v>
      </c>
      <c r="B322" s="54" t="s">
        <v>501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503</v>
      </c>
      <c r="B323" s="54" t="s">
        <v>504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506</v>
      </c>
      <c r="B324" s="54" t="s">
        <v>507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88</v>
      </c>
      <c r="Q325" s="687"/>
      <c r="R325" s="687"/>
      <c r="S325" s="687"/>
      <c r="T325" s="687"/>
      <c r="U325" s="687"/>
      <c r="V325" s="688"/>
      <c r="W325" s="37" t="s">
        <v>89</v>
      </c>
      <c r="X325" s="667">
        <f>IFERROR(X319/H319,"0")+IFERROR(X320/H320,"0")+IFERROR(X321/H321,"0")+IFERROR(X322/H322,"0")+IFERROR(X323/H323,"0")+IFERROR(X324/H324,"0")</f>
        <v>138.88888888888889</v>
      </c>
      <c r="Y325" s="667">
        <f>IFERROR(Y319/H319,"0")+IFERROR(Y320/H320,"0")+IFERROR(Y321/H321,"0")+IFERROR(Y322/H322,"0")+IFERROR(Y323/H323,"0")+IFERROR(Y324/H324,"0")</f>
        <v>140</v>
      </c>
      <c r="Z325" s="667">
        <f>IFERROR(IF(Z319="",0,Z319),"0")+IFERROR(IF(Z320="",0,Z320),"0")+IFERROR(IF(Z321="",0,Z321),"0")+IFERROR(IF(Z322="",0,Z322),"0")+IFERROR(IF(Z323="",0,Z323),"0")+IFERROR(IF(Z324="",0,Z324),"0")</f>
        <v>2.6572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88</v>
      </c>
      <c r="Q326" s="687"/>
      <c r="R326" s="687"/>
      <c r="S326" s="687"/>
      <c r="T326" s="687"/>
      <c r="U326" s="687"/>
      <c r="V326" s="688"/>
      <c r="W326" s="37" t="s">
        <v>69</v>
      </c>
      <c r="X326" s="667">
        <f>IFERROR(SUM(X319:X324),"0")</f>
        <v>1500</v>
      </c>
      <c r="Y326" s="667">
        <f>IFERROR(SUM(Y319:Y324),"0")</f>
        <v>1512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149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508</v>
      </c>
      <c r="B328" s="54" t="s">
        <v>509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511</v>
      </c>
      <c r="B329" s="54" t="s">
        <v>512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514</v>
      </c>
      <c r="B330" s="54" t="s">
        <v>515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517</v>
      </c>
      <c r="B331" s="54" t="s">
        <v>518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88</v>
      </c>
      <c r="Q332" s="687"/>
      <c r="R332" s="687"/>
      <c r="S332" s="687"/>
      <c r="T332" s="687"/>
      <c r="U332" s="687"/>
      <c r="V332" s="688"/>
      <c r="W332" s="37" t="s">
        <v>89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88</v>
      </c>
      <c r="Q333" s="687"/>
      <c r="R333" s="687"/>
      <c r="S333" s="687"/>
      <c r="T333" s="687"/>
      <c r="U333" s="687"/>
      <c r="V333" s="688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64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519</v>
      </c>
      <c r="B335" s="54" t="s">
        <v>520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522</v>
      </c>
      <c r="B336" s="54" t="s">
        <v>523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525</v>
      </c>
      <c r="B337" s="54" t="s">
        <v>526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528</v>
      </c>
      <c r="B338" s="54" t="s">
        <v>529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531</v>
      </c>
      <c r="B339" s="54" t="s">
        <v>532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88</v>
      </c>
      <c r="Q340" s="687"/>
      <c r="R340" s="687"/>
      <c r="S340" s="687"/>
      <c r="T340" s="687"/>
      <c r="U340" s="687"/>
      <c r="V340" s="688"/>
      <c r="W340" s="37" t="s">
        <v>89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88</v>
      </c>
      <c r="Q341" s="687"/>
      <c r="R341" s="687"/>
      <c r="S341" s="687"/>
      <c r="T341" s="687"/>
      <c r="U341" s="687"/>
      <c r="V341" s="688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175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534</v>
      </c>
      <c r="B343" s="54" t="s">
        <v>535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537</v>
      </c>
      <c r="B344" s="54" t="s">
        <v>538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540</v>
      </c>
      <c r="B345" s="54" t="s">
        <v>541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88</v>
      </c>
      <c r="Q346" s="687"/>
      <c r="R346" s="687"/>
      <c r="S346" s="687"/>
      <c r="T346" s="687"/>
      <c r="U346" s="687"/>
      <c r="V346" s="688"/>
      <c r="W346" s="37" t="s">
        <v>89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88</v>
      </c>
      <c r="Q347" s="687"/>
      <c r="R347" s="687"/>
      <c r="S347" s="687"/>
      <c r="T347" s="687"/>
      <c r="U347" s="687"/>
      <c r="V347" s="688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90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543</v>
      </c>
      <c r="B349" s="54" t="s">
        <v>544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545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547</v>
      </c>
      <c r="B350" s="54" t="s">
        <v>548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90" t="s">
        <v>549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551</v>
      </c>
      <c r="B351" s="54" t="s">
        <v>552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554</v>
      </c>
      <c r="B352" s="54" t="s">
        <v>555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88</v>
      </c>
      <c r="Q353" s="687"/>
      <c r="R353" s="687"/>
      <c r="S353" s="687"/>
      <c r="T353" s="687"/>
      <c r="U353" s="687"/>
      <c r="V353" s="688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88</v>
      </c>
      <c r="Q354" s="687"/>
      <c r="R354" s="687"/>
      <c r="S354" s="687"/>
      <c r="T354" s="687"/>
      <c r="U354" s="687"/>
      <c r="V354" s="688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556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557</v>
      </c>
      <c r="B356" s="54" t="s">
        <v>558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561</v>
      </c>
      <c r="B357" s="54" t="s">
        <v>562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563</v>
      </c>
      <c r="B358" s="54" t="s">
        <v>564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88</v>
      </c>
      <c r="Q359" s="687"/>
      <c r="R359" s="687"/>
      <c r="S359" s="687"/>
      <c r="T359" s="687"/>
      <c r="U359" s="687"/>
      <c r="V359" s="688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88</v>
      </c>
      <c r="Q360" s="687"/>
      <c r="R360" s="687"/>
      <c r="S360" s="687"/>
      <c r="T360" s="687"/>
      <c r="U360" s="687"/>
      <c r="V360" s="688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565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149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566</v>
      </c>
      <c r="B363" s="54" t="s">
        <v>567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88</v>
      </c>
      <c r="Q364" s="687"/>
      <c r="R364" s="687"/>
      <c r="S364" s="687"/>
      <c r="T364" s="687"/>
      <c r="U364" s="687"/>
      <c r="V364" s="688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88</v>
      </c>
      <c r="Q365" s="687"/>
      <c r="R365" s="687"/>
      <c r="S365" s="687"/>
      <c r="T365" s="687"/>
      <c r="U365" s="687"/>
      <c r="V365" s="688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64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569</v>
      </c>
      <c r="B367" s="54" t="s">
        <v>570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572</v>
      </c>
      <c r="B368" s="54" t="s">
        <v>573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575</v>
      </c>
      <c r="B369" s="54" t="s">
        <v>576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88</v>
      </c>
      <c r="Q370" s="687"/>
      <c r="R370" s="687"/>
      <c r="S370" s="687"/>
      <c r="T370" s="687"/>
      <c r="U370" s="687"/>
      <c r="V370" s="688"/>
      <c r="W370" s="37" t="s">
        <v>89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88</v>
      </c>
      <c r="Q371" s="687"/>
      <c r="R371" s="687"/>
      <c r="S371" s="687"/>
      <c r="T371" s="687"/>
      <c r="U371" s="687"/>
      <c r="V371" s="688"/>
      <c r="W371" s="37" t="s">
        <v>69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578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579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98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hidden="1" customHeight="1" x14ac:dyDescent="0.25">
      <c r="A375" s="54" t="s">
        <v>580</v>
      </c>
      <c r="B375" s="54" t="s">
        <v>581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hidden="1" customHeight="1" x14ac:dyDescent="0.25">
      <c r="A376" s="54" t="s">
        <v>580</v>
      </c>
      <c r="B376" s="54" t="s">
        <v>583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1400</v>
      </c>
      <c r="Y377" s="666">
        <f t="shared" si="58"/>
        <v>1410</v>
      </c>
      <c r="Z377" s="36">
        <f>IFERROR(IF(Y377=0,"",ROUNDUP(Y377/H377,0)*0.02175),"")</f>
        <v>2.0444999999999998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1444.8</v>
      </c>
      <c r="BN377" s="64">
        <f t="shared" si="60"/>
        <v>1455.12</v>
      </c>
      <c r="BO377" s="64">
        <f t="shared" si="61"/>
        <v>1.9444444444444442</v>
      </c>
      <c r="BP377" s="64">
        <f t="shared" si="62"/>
        <v>1.9583333333333333</v>
      </c>
    </row>
    <row r="378" spans="1:68" ht="27" hidden="1" customHeight="1" x14ac:dyDescent="0.25">
      <c r="A378" s="54" t="s">
        <v>585</v>
      </c>
      <c r="B378" s="54" t="s">
        <v>588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1400</v>
      </c>
      <c r="Y379" s="666">
        <f t="shared" si="58"/>
        <v>1410</v>
      </c>
      <c r="Z379" s="36">
        <f>IFERROR(IF(Y379=0,"",ROUNDUP(Y379/H379,0)*0.02175),"")</f>
        <v>2.0444999999999998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1444.8</v>
      </c>
      <c r="BN379" s="64">
        <f t="shared" si="60"/>
        <v>1455.12</v>
      </c>
      <c r="BO379" s="64">
        <f t="shared" si="61"/>
        <v>1.9444444444444442</v>
      </c>
      <c r="BP379" s="64">
        <f t="shared" si="62"/>
        <v>1.9583333333333333</v>
      </c>
    </row>
    <row r="380" spans="1:68" ht="37.5" hidden="1" customHeight="1" x14ac:dyDescent="0.25">
      <c r="A380" s="54" t="s">
        <v>592</v>
      </c>
      <c r="B380" s="54" t="s">
        <v>593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592</v>
      </c>
      <c r="B381" s="54" t="s">
        <v>595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596</v>
      </c>
      <c r="B382" s="54" t="s">
        <v>597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601</v>
      </c>
      <c r="B384" s="54" t="s">
        <v>602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88</v>
      </c>
      <c r="Q385" s="687"/>
      <c r="R385" s="687"/>
      <c r="S385" s="687"/>
      <c r="T385" s="687"/>
      <c r="U385" s="687"/>
      <c r="V385" s="688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186.66666666666666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188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4.0889999999999995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88</v>
      </c>
      <c r="Q386" s="687"/>
      <c r="R386" s="687"/>
      <c r="S386" s="687"/>
      <c r="T386" s="687"/>
      <c r="U386" s="687"/>
      <c r="V386" s="688"/>
      <c r="W386" s="37" t="s">
        <v>69</v>
      </c>
      <c r="X386" s="667">
        <f>IFERROR(SUM(X375:X384),"0")</f>
        <v>2800</v>
      </c>
      <c r="Y386" s="667">
        <f>IFERROR(SUM(Y375:Y384),"0")</f>
        <v>2820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138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700</v>
      </c>
      <c r="Y388" s="666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88</v>
      </c>
      <c r="Q390" s="687"/>
      <c r="R390" s="687"/>
      <c r="S390" s="687"/>
      <c r="T390" s="687"/>
      <c r="U390" s="687"/>
      <c r="V390" s="688"/>
      <c r="W390" s="37" t="s">
        <v>89</v>
      </c>
      <c r="X390" s="667">
        <f>IFERROR(X388/H388,"0")+IFERROR(X389/H389,"0")</f>
        <v>46.666666666666664</v>
      </c>
      <c r="Y390" s="667">
        <f>IFERROR(Y388/H388,"0")+IFERROR(Y389/H389,"0")</f>
        <v>47</v>
      </c>
      <c r="Z390" s="667">
        <f>IFERROR(IF(Z388="",0,Z388),"0")+IFERROR(IF(Z389="",0,Z389),"0")</f>
        <v>1.0222499999999999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88</v>
      </c>
      <c r="Q391" s="687"/>
      <c r="R391" s="687"/>
      <c r="S391" s="687"/>
      <c r="T391" s="687"/>
      <c r="U391" s="687"/>
      <c r="V391" s="688"/>
      <c r="W391" s="37" t="s">
        <v>69</v>
      </c>
      <c r="X391" s="667">
        <f>IFERROR(SUM(X388:X389),"0")</f>
        <v>700</v>
      </c>
      <c r="Y391" s="667">
        <f>IFERROR(SUM(Y388:Y389),"0")</f>
        <v>705</v>
      </c>
      <c r="Z391" s="37"/>
      <c r="AA391" s="668"/>
      <c r="AB391" s="668"/>
      <c r="AC391" s="668"/>
    </row>
    <row r="392" spans="1:68" ht="14.25" hidden="1" customHeight="1" x14ac:dyDescent="0.25">
      <c r="A392" s="683" t="s">
        <v>64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610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300</v>
      </c>
      <c r="Y393" s="666">
        <f>IFERROR(IF(X393="",0,CEILING((X393/$H393),1)*$H393),"")</f>
        <v>306</v>
      </c>
      <c r="Z393" s="36">
        <f>IFERROR(IF(Y393=0,"",ROUNDUP(Y393/H393,0)*0.01898),"")</f>
        <v>0.64532</v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317.5</v>
      </c>
      <c r="BN393" s="64">
        <f>IFERROR(Y393*I393/H393,"0")</f>
        <v>323.85000000000002</v>
      </c>
      <c r="BO393" s="64">
        <f>IFERROR(1/J393*(X393/H393),"0")</f>
        <v>0.52083333333333337</v>
      </c>
      <c r="BP393" s="64">
        <f>IFERROR(1/J393*(Y393/H393),"0")</f>
        <v>0.53125</v>
      </c>
    </row>
    <row r="394" spans="1:68" ht="27" hidden="1" customHeight="1" x14ac:dyDescent="0.25">
      <c r="A394" s="54" t="s">
        <v>612</v>
      </c>
      <c r="B394" s="54" t="s">
        <v>613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9" t="s">
        <v>614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88</v>
      </c>
      <c r="Q395" s="687"/>
      <c r="R395" s="687"/>
      <c r="S395" s="687"/>
      <c r="T395" s="687"/>
      <c r="U395" s="687"/>
      <c r="V395" s="688"/>
      <c r="W395" s="37" t="s">
        <v>89</v>
      </c>
      <c r="X395" s="667">
        <f>IFERROR(X393/H393,"0")+IFERROR(X394/H394,"0")</f>
        <v>33.333333333333336</v>
      </c>
      <c r="Y395" s="667">
        <f>IFERROR(Y393/H393,"0")+IFERROR(Y394/H394,"0")</f>
        <v>34</v>
      </c>
      <c r="Z395" s="667">
        <f>IFERROR(IF(Z393="",0,Z393),"0")+IFERROR(IF(Z394="",0,Z394),"0")</f>
        <v>0.64532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88</v>
      </c>
      <c r="Q396" s="687"/>
      <c r="R396" s="687"/>
      <c r="S396" s="687"/>
      <c r="T396" s="687"/>
      <c r="U396" s="687"/>
      <c r="V396" s="688"/>
      <c r="W396" s="37" t="s">
        <v>69</v>
      </c>
      <c r="X396" s="667">
        <f>IFERROR(SUM(X393:X394),"0")</f>
        <v>300</v>
      </c>
      <c r="Y396" s="667">
        <f>IFERROR(SUM(Y393:Y394),"0")</f>
        <v>306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175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616</v>
      </c>
      <c r="B398" s="54" t="s">
        <v>617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618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88</v>
      </c>
      <c r="Q399" s="687"/>
      <c r="R399" s="687"/>
      <c r="S399" s="687"/>
      <c r="T399" s="687"/>
      <c r="U399" s="687"/>
      <c r="V399" s="688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88</v>
      </c>
      <c r="Q400" s="687"/>
      <c r="R400" s="687"/>
      <c r="S400" s="687"/>
      <c r="T400" s="687"/>
      <c r="U400" s="687"/>
      <c r="V400" s="688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620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98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621</v>
      </c>
      <c r="B403" s="54" t="s">
        <v>622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621</v>
      </c>
      <c r="B404" s="54" t="s">
        <v>624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626</v>
      </c>
      <c r="B405" s="54" t="s">
        <v>627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629</v>
      </c>
      <c r="B406" s="54" t="s">
        <v>630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631</v>
      </c>
      <c r="B407" s="54" t="s">
        <v>632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88</v>
      </c>
      <c r="Q408" s="687"/>
      <c r="R408" s="687"/>
      <c r="S408" s="687"/>
      <c r="T408" s="687"/>
      <c r="U408" s="687"/>
      <c r="V408" s="688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88</v>
      </c>
      <c r="Q409" s="687"/>
      <c r="R409" s="687"/>
      <c r="S409" s="687"/>
      <c r="T409" s="687"/>
      <c r="U409" s="687"/>
      <c r="V409" s="688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149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633</v>
      </c>
      <c r="B411" s="54" t="s">
        <v>634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636</v>
      </c>
      <c r="B412" s="54" t="s">
        <v>637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88</v>
      </c>
      <c r="Q413" s="687"/>
      <c r="R413" s="687"/>
      <c r="S413" s="687"/>
      <c r="T413" s="687"/>
      <c r="U413" s="687"/>
      <c r="V413" s="688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88</v>
      </c>
      <c r="Q414" s="687"/>
      <c r="R414" s="687"/>
      <c r="S414" s="687"/>
      <c r="T414" s="687"/>
      <c r="U414" s="687"/>
      <c r="V414" s="688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64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638</v>
      </c>
      <c r="B416" s="54" t="s">
        <v>639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641</v>
      </c>
      <c r="B417" s="54" t="s">
        <v>642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1" t="s">
        <v>643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645</v>
      </c>
      <c r="B418" s="54" t="s">
        <v>646</v>
      </c>
      <c r="C418" s="31">
        <v>4301051297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645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649</v>
      </c>
      <c r="B420" s="54" t="s">
        <v>650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88</v>
      </c>
      <c r="Q421" s="687"/>
      <c r="R421" s="687"/>
      <c r="S421" s="687"/>
      <c r="T421" s="687"/>
      <c r="U421" s="687"/>
      <c r="V421" s="688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88</v>
      </c>
      <c r="Q422" s="687"/>
      <c r="R422" s="687"/>
      <c r="S422" s="687"/>
      <c r="T422" s="687"/>
      <c r="U422" s="687"/>
      <c r="V422" s="688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175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652</v>
      </c>
      <c r="B424" s="54" t="s">
        <v>653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9" t="s">
        <v>654</v>
      </c>
      <c r="Q424" s="672"/>
      <c r="R424" s="672"/>
      <c r="S424" s="672"/>
      <c r="T424" s="673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88</v>
      </c>
      <c r="Q425" s="687"/>
      <c r="R425" s="687"/>
      <c r="S425" s="687"/>
      <c r="T425" s="687"/>
      <c r="U425" s="687"/>
      <c r="V425" s="688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88</v>
      </c>
      <c r="Q426" s="687"/>
      <c r="R426" s="687"/>
      <c r="S426" s="687"/>
      <c r="T426" s="687"/>
      <c r="U426" s="687"/>
      <c r="V426" s="688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656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657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149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90" t="s">
        <v>660</v>
      </c>
      <c r="Q430" s="672"/>
      <c r="R430" s="672"/>
      <c r="S430" s="672"/>
      <c r="T430" s="673"/>
      <c r="U430" s="34"/>
      <c r="V430" s="34"/>
      <c r="W430" s="35" t="s">
        <v>69</v>
      </c>
      <c r="X430" s="665">
        <v>100</v>
      </c>
      <c r="Y430" s="666">
        <f t="shared" ref="Y430:Y441" si="63">IFERROR(IF(X430="",0,CEILING((X430/$H430),1)*$H430),"")</f>
        <v>102.60000000000001</v>
      </c>
      <c r="Z430" s="36">
        <f>IFERROR(IF(Y430=0,"",ROUNDUP(Y430/H430,0)*0.00902),"")</f>
        <v>0.17138</v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103.88888888888889</v>
      </c>
      <c r="BN430" s="64">
        <f t="shared" ref="BN430:BN441" si="65">IFERROR(Y430*I430/H430,"0")</f>
        <v>106.59000000000002</v>
      </c>
      <c r="BO430" s="64">
        <f t="shared" ref="BO430:BO441" si="66">IFERROR(1/J430*(X430/H430),"0")</f>
        <v>0.14029180695847362</v>
      </c>
      <c r="BP430" s="64">
        <f t="shared" ref="BP430:BP441" si="67">IFERROR(1/J430*(Y430/H430),"0")</f>
        <v>0.14393939393939395</v>
      </c>
    </row>
    <row r="431" spans="1:68" ht="27" hidden="1" customHeight="1" x14ac:dyDescent="0.25">
      <c r="A431" s="54" t="s">
        <v>662</v>
      </c>
      <c r="B431" s="54" t="s">
        <v>663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30" t="s">
        <v>664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662</v>
      </c>
      <c r="B432" s="54" t="s">
        <v>666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03" t="s">
        <v>664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1" t="s">
        <v>669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100</v>
      </c>
      <c r="Y433" s="666">
        <f t="shared" si="63"/>
        <v>102.60000000000001</v>
      </c>
      <c r="Z433" s="36">
        <f>IFERROR(IF(Y433=0,"",ROUNDUP(Y433/H433,0)*0.00902),"")</f>
        <v>0.17138</v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103.88888888888889</v>
      </c>
      <c r="BN433" s="64">
        <f t="shared" si="65"/>
        <v>106.59000000000002</v>
      </c>
      <c r="BO433" s="64">
        <f t="shared" si="66"/>
        <v>0.14029180695847362</v>
      </c>
      <c r="BP433" s="64">
        <f t="shared" si="67"/>
        <v>0.14393939393939395</v>
      </c>
    </row>
    <row r="434" spans="1:68" ht="27" hidden="1" customHeight="1" x14ac:dyDescent="0.25">
      <c r="A434" s="54" t="s">
        <v>671</v>
      </c>
      <c r="B434" s="54" t="s">
        <v>672</v>
      </c>
      <c r="C434" s="31">
        <v>4301031335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671</v>
      </c>
      <c r="B435" s="54" t="s">
        <v>673</v>
      </c>
      <c r="C435" s="31">
        <v>4301031366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4" t="s">
        <v>674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675</v>
      </c>
      <c r="B436" s="54" t="s">
        <v>676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677</v>
      </c>
      <c r="B437" s="54" t="s">
        <v>678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680</v>
      </c>
      <c r="B438" s="54" t="s">
        <v>681</v>
      </c>
      <c r="C438" s="31">
        <v>4301031337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680</v>
      </c>
      <c r="B439" s="54" t="s">
        <v>683</v>
      </c>
      <c r="C439" s="31">
        <v>4301031364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0" t="s">
        <v>684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685</v>
      </c>
      <c r="B440" s="54" t="s">
        <v>686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688</v>
      </c>
      <c r="B441" s="54" t="s">
        <v>689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88</v>
      </c>
      <c r="Q442" s="687"/>
      <c r="R442" s="687"/>
      <c r="S442" s="687"/>
      <c r="T442" s="687"/>
      <c r="U442" s="687"/>
      <c r="V442" s="688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37.037037037037038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38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0.34276000000000001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88</v>
      </c>
      <c r="Q443" s="687"/>
      <c r="R443" s="687"/>
      <c r="S443" s="687"/>
      <c r="T443" s="687"/>
      <c r="U443" s="687"/>
      <c r="V443" s="688"/>
      <c r="W443" s="37" t="s">
        <v>69</v>
      </c>
      <c r="X443" s="667">
        <f>IFERROR(SUM(X430:X441),"0")</f>
        <v>200</v>
      </c>
      <c r="Y443" s="667">
        <f>IFERROR(SUM(Y430:Y441),"0")</f>
        <v>205.20000000000002</v>
      </c>
      <c r="Z443" s="37"/>
      <c r="AA443" s="668"/>
      <c r="AB443" s="668"/>
      <c r="AC443" s="668"/>
    </row>
    <row r="444" spans="1:68" ht="14.25" hidden="1" customHeight="1" x14ac:dyDescent="0.25">
      <c r="A444" s="683" t="s">
        <v>64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690</v>
      </c>
      <c r="B445" s="54" t="s">
        <v>691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88</v>
      </c>
      <c r="Q447" s="687"/>
      <c r="R447" s="687"/>
      <c r="S447" s="687"/>
      <c r="T447" s="687"/>
      <c r="U447" s="687"/>
      <c r="V447" s="688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88</v>
      </c>
      <c r="Q448" s="687"/>
      <c r="R448" s="687"/>
      <c r="S448" s="687"/>
      <c r="T448" s="687"/>
      <c r="U448" s="687"/>
      <c r="V448" s="688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696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138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697</v>
      </c>
      <c r="B451" s="54" t="s">
        <v>698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700</v>
      </c>
      <c r="B452" s="54" t="s">
        <v>701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88</v>
      </c>
      <c r="Q453" s="687"/>
      <c r="R453" s="687"/>
      <c r="S453" s="687"/>
      <c r="T453" s="687"/>
      <c r="U453" s="687"/>
      <c r="V453" s="688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88</v>
      </c>
      <c r="Q454" s="687"/>
      <c r="R454" s="687"/>
      <c r="S454" s="687"/>
      <c r="T454" s="687"/>
      <c r="U454" s="687"/>
      <c r="V454" s="688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2" t="s">
        <v>705</v>
      </c>
      <c r="Q456" s="672"/>
      <c r="R456" s="672"/>
      <c r="S456" s="672"/>
      <c r="T456" s="673"/>
      <c r="U456" s="34"/>
      <c r="V456" s="34"/>
      <c r="W456" s="35" t="s">
        <v>69</v>
      </c>
      <c r="X456" s="665">
        <v>150</v>
      </c>
      <c r="Y456" s="666">
        <f>IFERROR(IF(X456="",0,CEILING((X456/$H456),1)*$H456),"")</f>
        <v>151.20000000000002</v>
      </c>
      <c r="Z456" s="36">
        <f>IFERROR(IF(Y456=0,"",ROUNDUP(Y456/H456,0)*0.00902),"")</f>
        <v>0.25256000000000001</v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155.83333333333331</v>
      </c>
      <c r="BN456" s="64">
        <f>IFERROR(Y456*I456/H456,"0")</f>
        <v>157.08000000000001</v>
      </c>
      <c r="BO456" s="64">
        <f>IFERROR(1/J456*(X456/H456),"0")</f>
        <v>0.21043771043771042</v>
      </c>
      <c r="BP456" s="64">
        <f>IFERROR(1/J456*(Y456/H456),"0")</f>
        <v>0.21212121212121213</v>
      </c>
    </row>
    <row r="457" spans="1:68" ht="27" hidden="1" customHeight="1" x14ac:dyDescent="0.25">
      <c r="A457" s="54" t="s">
        <v>707</v>
      </c>
      <c r="B457" s="54" t="s">
        <v>708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710</v>
      </c>
      <c r="B458" s="54" t="s">
        <v>711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6" t="s">
        <v>712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714</v>
      </c>
      <c r="B459" s="54" t="s">
        <v>715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88</v>
      </c>
      <c r="Q460" s="687"/>
      <c r="R460" s="687"/>
      <c r="S460" s="687"/>
      <c r="T460" s="687"/>
      <c r="U460" s="687"/>
      <c r="V460" s="688"/>
      <c r="W460" s="37" t="s">
        <v>89</v>
      </c>
      <c r="X460" s="667">
        <f>IFERROR(X456/H456,"0")+IFERROR(X457/H457,"0")+IFERROR(X458/H458,"0")+IFERROR(X459/H459,"0")</f>
        <v>27.777777777777775</v>
      </c>
      <c r="Y460" s="667">
        <f>IFERROR(Y456/H456,"0")+IFERROR(Y457/H457,"0")+IFERROR(Y458/H458,"0")+IFERROR(Y459/H459,"0")</f>
        <v>28</v>
      </c>
      <c r="Z460" s="667">
        <f>IFERROR(IF(Z456="",0,Z456),"0")+IFERROR(IF(Z457="",0,Z457),"0")+IFERROR(IF(Z458="",0,Z458),"0")+IFERROR(IF(Z459="",0,Z459),"0")</f>
        <v>0.25256000000000001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88</v>
      </c>
      <c r="Q461" s="687"/>
      <c r="R461" s="687"/>
      <c r="S461" s="687"/>
      <c r="T461" s="687"/>
      <c r="U461" s="687"/>
      <c r="V461" s="688"/>
      <c r="W461" s="37" t="s">
        <v>69</v>
      </c>
      <c r="X461" s="667">
        <f>IFERROR(SUM(X456:X459),"0")</f>
        <v>150</v>
      </c>
      <c r="Y461" s="667">
        <f>IFERROR(SUM(Y456:Y459),"0")</f>
        <v>151.20000000000002</v>
      </c>
      <c r="Z461" s="37"/>
      <c r="AA461" s="668"/>
      <c r="AB461" s="668"/>
      <c r="AC461" s="668"/>
    </row>
    <row r="462" spans="1:68" ht="16.5" hidden="1" customHeight="1" x14ac:dyDescent="0.25">
      <c r="A462" s="718" t="s">
        <v>716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149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717</v>
      </c>
      <c r="B464" s="54" t="s">
        <v>718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720</v>
      </c>
      <c r="B465" s="54" t="s">
        <v>721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8" t="s">
        <v>722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88</v>
      </c>
      <c r="Q466" s="687"/>
      <c r="R466" s="687"/>
      <c r="S466" s="687"/>
      <c r="T466" s="687"/>
      <c r="U466" s="687"/>
      <c r="V466" s="688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88</v>
      </c>
      <c r="Q467" s="687"/>
      <c r="R467" s="687"/>
      <c r="S467" s="687"/>
      <c r="T467" s="687"/>
      <c r="U467" s="687"/>
      <c r="V467" s="688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724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725</v>
      </c>
      <c r="B470" s="54" t="s">
        <v>726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88</v>
      </c>
      <c r="Q471" s="687"/>
      <c r="R471" s="687"/>
      <c r="S471" s="687"/>
      <c r="T471" s="687"/>
      <c r="U471" s="687"/>
      <c r="V471" s="688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88</v>
      </c>
      <c r="Q472" s="687"/>
      <c r="R472" s="687"/>
      <c r="S472" s="687"/>
      <c r="T472" s="687"/>
      <c r="U472" s="687"/>
      <c r="V472" s="688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175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728</v>
      </c>
      <c r="B474" s="54" t="s">
        <v>729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88</v>
      </c>
      <c r="Q475" s="687"/>
      <c r="R475" s="687"/>
      <c r="S475" s="687"/>
      <c r="T475" s="687"/>
      <c r="U475" s="687"/>
      <c r="V475" s="688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88</v>
      </c>
      <c r="Q476" s="687"/>
      <c r="R476" s="687"/>
      <c r="S476" s="687"/>
      <c r="T476" s="687"/>
      <c r="U476" s="687"/>
      <c r="V476" s="688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731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731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98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69</v>
      </c>
      <c r="X480" s="665">
        <v>300</v>
      </c>
      <c r="Y480" s="666">
        <f t="shared" ref="Y480:Y495" si="69">IFERROR(IF(X480="",0,CEILING((X480/$H480),1)*$H480),"")</f>
        <v>300.96000000000004</v>
      </c>
      <c r="Z480" s="36">
        <f t="shared" ref="Z480:Z485" si="70">IFERROR(IF(Y480=0,"",ROUNDUP(Y480/H480,0)*0.01196),"")</f>
        <v>0.68171999999999999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320.45454545454544</v>
      </c>
      <c r="BN480" s="64">
        <f t="shared" ref="BN480:BN495" si="72">IFERROR(Y480*I480/H480,"0")</f>
        <v>321.48</v>
      </c>
      <c r="BO480" s="64">
        <f t="shared" ref="BO480:BO495" si="73">IFERROR(1/J480*(X480/H480),"0")</f>
        <v>0.54632867132867136</v>
      </c>
      <c r="BP480" s="64">
        <f t="shared" ref="BP480:BP495" si="74">IFERROR(1/J480*(Y480/H480),"0")</f>
        <v>0.54807692307692313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1100</v>
      </c>
      <c r="Y481" s="666">
        <f t="shared" si="69"/>
        <v>1103.52</v>
      </c>
      <c r="Z481" s="36">
        <f t="shared" si="70"/>
        <v>2.4996399999999999</v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1175</v>
      </c>
      <c r="BN481" s="64">
        <f t="shared" si="72"/>
        <v>1178.76</v>
      </c>
      <c r="BO481" s="64">
        <f t="shared" si="73"/>
        <v>2.0032051282051282</v>
      </c>
      <c r="BP481" s="64">
        <f t="shared" si="74"/>
        <v>2.0096153846153846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1100</v>
      </c>
      <c r="Y482" s="666">
        <f t="shared" si="69"/>
        <v>1103.52</v>
      </c>
      <c r="Z482" s="36">
        <f t="shared" si="70"/>
        <v>2.4996399999999999</v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1175</v>
      </c>
      <c r="BN482" s="64">
        <f t="shared" si="72"/>
        <v>1178.76</v>
      </c>
      <c r="BO482" s="64">
        <f t="shared" si="73"/>
        <v>2.0032051282051282</v>
      </c>
      <c r="BP482" s="64">
        <f t="shared" si="74"/>
        <v>2.0096153846153846</v>
      </c>
    </row>
    <row r="483" spans="1:68" ht="16.5" hidden="1" customHeight="1" x14ac:dyDescent="0.25">
      <c r="A483" s="54" t="s">
        <v>741</v>
      </c>
      <c r="B483" s="54" t="s">
        <v>742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1650</v>
      </c>
      <c r="Y484" s="666">
        <f t="shared" si="69"/>
        <v>1652.64</v>
      </c>
      <c r="Z484" s="36">
        <f t="shared" si="70"/>
        <v>3.7434799999999999</v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1762.5</v>
      </c>
      <c r="BN484" s="64">
        <f t="shared" si="72"/>
        <v>1765.32</v>
      </c>
      <c r="BO484" s="64">
        <f t="shared" si="73"/>
        <v>3.0048076923076925</v>
      </c>
      <c r="BP484" s="64">
        <f t="shared" si="74"/>
        <v>3.0096153846153846</v>
      </c>
    </row>
    <row r="485" spans="1:68" ht="16.5" hidden="1" customHeight="1" x14ac:dyDescent="0.25">
      <c r="A485" s="54" t="s">
        <v>748</v>
      </c>
      <c r="B485" s="54" t="s">
        <v>749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1015" t="s">
        <v>753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754</v>
      </c>
      <c r="B487" s="54" t="s">
        <v>755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754</v>
      </c>
      <c r="B488" s="54" t="s">
        <v>756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757</v>
      </c>
      <c r="B489" s="54" t="s">
        <v>758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5" t="s">
        <v>761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762</v>
      </c>
      <c r="B491" s="54" t="s">
        <v>763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68" t="s">
        <v>764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765</v>
      </c>
      <c r="B492" s="54" t="s">
        <v>766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788" t="s">
        <v>767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88</v>
      </c>
      <c r="Q496" s="687"/>
      <c r="R496" s="687"/>
      <c r="S496" s="687"/>
      <c r="T496" s="687"/>
      <c r="U496" s="687"/>
      <c r="V496" s="688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785.9848484848485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788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9.4244799999999991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88</v>
      </c>
      <c r="Q497" s="687"/>
      <c r="R497" s="687"/>
      <c r="S497" s="687"/>
      <c r="T497" s="687"/>
      <c r="U497" s="687"/>
      <c r="V497" s="688"/>
      <c r="W497" s="37" t="s">
        <v>69</v>
      </c>
      <c r="X497" s="667">
        <f>IFERROR(SUM(X480:X495),"0")</f>
        <v>4150</v>
      </c>
      <c r="Y497" s="667">
        <f>IFERROR(SUM(Y480:Y495),"0")</f>
        <v>4160.6400000000003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138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1650</v>
      </c>
      <c r="Y499" s="666">
        <f>IFERROR(IF(X499="",0,CEILING((X499/$H499),1)*$H499),"")</f>
        <v>1652.64</v>
      </c>
      <c r="Z499" s="36">
        <f>IFERROR(IF(Y499=0,"",ROUNDUP(Y499/H499,0)*0.01196),"")</f>
        <v>3.7434799999999999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1762.5</v>
      </c>
      <c r="BN499" s="64">
        <f>IFERROR(Y499*I499/H499,"0")</f>
        <v>1765.32</v>
      </c>
      <c r="BO499" s="64">
        <f>IFERROR(1/J499*(X499/H499),"0")</f>
        <v>3.0048076923076925</v>
      </c>
      <c r="BP499" s="64">
        <f>IFERROR(1/J499*(Y499/H499),"0")</f>
        <v>3.0096153846153846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913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800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749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88</v>
      </c>
      <c r="Q503" s="687"/>
      <c r="R503" s="687"/>
      <c r="S503" s="687"/>
      <c r="T503" s="687"/>
      <c r="U503" s="687"/>
      <c r="V503" s="688"/>
      <c r="W503" s="37" t="s">
        <v>89</v>
      </c>
      <c r="X503" s="667">
        <f>IFERROR(X499/H499,"0")+IFERROR(X500/H500,"0")+IFERROR(X501/H501,"0")+IFERROR(X502/H502,"0")</f>
        <v>312.5</v>
      </c>
      <c r="Y503" s="667">
        <f>IFERROR(Y499/H499,"0")+IFERROR(Y500/H500,"0")+IFERROR(Y501/H501,"0")+IFERROR(Y502/H502,"0")</f>
        <v>313</v>
      </c>
      <c r="Z503" s="667">
        <f>IFERROR(IF(Z499="",0,Z499),"0")+IFERROR(IF(Z500="",0,Z500),"0")+IFERROR(IF(Z501="",0,Z501),"0")+IFERROR(IF(Z502="",0,Z502),"0")</f>
        <v>3.7434799999999999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88</v>
      </c>
      <c r="Q504" s="687"/>
      <c r="R504" s="687"/>
      <c r="S504" s="687"/>
      <c r="T504" s="687"/>
      <c r="U504" s="687"/>
      <c r="V504" s="688"/>
      <c r="W504" s="37" t="s">
        <v>69</v>
      </c>
      <c r="X504" s="667">
        <f>IFERROR(SUM(X499:X502),"0")</f>
        <v>1650</v>
      </c>
      <c r="Y504" s="667">
        <f>IFERROR(SUM(Y499:Y502),"0")</f>
        <v>1652.64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99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300</v>
      </c>
      <c r="Y507" s="666">
        <f t="shared" si="75"/>
        <v>300.96000000000004</v>
      </c>
      <c r="Z507" s="36">
        <f>IFERROR(IF(Y507=0,"",ROUNDUP(Y507/H507,0)*0.01196),"")</f>
        <v>0.68171999999999999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320.45454545454544</v>
      </c>
      <c r="BN507" s="64">
        <f t="shared" si="77"/>
        <v>321.48</v>
      </c>
      <c r="BO507" s="64">
        <f t="shared" si="78"/>
        <v>0.54632867132867136</v>
      </c>
      <c r="BP507" s="64">
        <f t="shared" si="79"/>
        <v>0.54807692307692313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767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1100</v>
      </c>
      <c r="Y508" s="666">
        <f t="shared" si="75"/>
        <v>1103.52</v>
      </c>
      <c r="Z508" s="36">
        <f>IFERROR(IF(Y508=0,"",ROUNDUP(Y508/H508,0)*0.01196),"")</f>
        <v>2.4996399999999999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1175</v>
      </c>
      <c r="BN508" s="64">
        <f t="shared" si="77"/>
        <v>1178.76</v>
      </c>
      <c r="BO508" s="64">
        <f t="shared" si="78"/>
        <v>2.0032051282051282</v>
      </c>
      <c r="BP508" s="64">
        <f t="shared" si="79"/>
        <v>2.0096153846153846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101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17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8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851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5" t="s">
        <v>816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812</v>
      </c>
      <c r="B517" s="54" t="s">
        <v>817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88</v>
      </c>
      <c r="Q518" s="687"/>
      <c r="R518" s="687"/>
      <c r="S518" s="687"/>
      <c r="T518" s="687"/>
      <c r="U518" s="687"/>
      <c r="V518" s="688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265.15151515151513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266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3.1813599999999997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88</v>
      </c>
      <c r="Q519" s="687"/>
      <c r="R519" s="687"/>
      <c r="S519" s="687"/>
      <c r="T519" s="687"/>
      <c r="U519" s="687"/>
      <c r="V519" s="688"/>
      <c r="W519" s="37" t="s">
        <v>69</v>
      </c>
      <c r="X519" s="667">
        <f>IFERROR(SUM(X506:X517),"0")</f>
        <v>1400</v>
      </c>
      <c r="Y519" s="667">
        <f>IFERROR(SUM(Y506:Y517),"0")</f>
        <v>1404.48</v>
      </c>
      <c r="Z519" s="37"/>
      <c r="AA519" s="668"/>
      <c r="AB519" s="668"/>
      <c r="AC519" s="668"/>
    </row>
    <row r="520" spans="1:68" ht="14.25" hidden="1" customHeight="1" x14ac:dyDescent="0.25">
      <c r="A520" s="683" t="s">
        <v>64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88</v>
      </c>
      <c r="Q524" s="687"/>
      <c r="R524" s="687"/>
      <c r="S524" s="687"/>
      <c r="T524" s="687"/>
      <c r="U524" s="687"/>
      <c r="V524" s="688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88</v>
      </c>
      <c r="Q525" s="687"/>
      <c r="R525" s="687"/>
      <c r="S525" s="687"/>
      <c r="T525" s="687"/>
      <c r="U525" s="687"/>
      <c r="V525" s="688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175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1032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88</v>
      </c>
      <c r="Q529" s="687"/>
      <c r="R529" s="687"/>
      <c r="S529" s="687"/>
      <c r="T529" s="687"/>
      <c r="U529" s="687"/>
      <c r="V529" s="688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88</v>
      </c>
      <c r="Q530" s="687"/>
      <c r="R530" s="687"/>
      <c r="S530" s="687"/>
      <c r="T530" s="687"/>
      <c r="U530" s="687"/>
      <c r="V530" s="688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833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833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98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4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1045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766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90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75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88</v>
      </c>
      <c r="Q540" s="687"/>
      <c r="R540" s="687"/>
      <c r="S540" s="687"/>
      <c r="T540" s="687"/>
      <c r="U540" s="687"/>
      <c r="V540" s="688"/>
      <c r="W540" s="37" t="s">
        <v>89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88</v>
      </c>
      <c r="Q541" s="687"/>
      <c r="R541" s="687"/>
      <c r="S541" s="687"/>
      <c r="T541" s="687"/>
      <c r="U541" s="687"/>
      <c r="V541" s="688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138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66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27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4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724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976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88</v>
      </c>
      <c r="Q548" s="687"/>
      <c r="R548" s="687"/>
      <c r="S548" s="687"/>
      <c r="T548" s="687"/>
      <c r="U548" s="687"/>
      <c r="V548" s="688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88</v>
      </c>
      <c r="Q549" s="687"/>
      <c r="R549" s="687"/>
      <c r="S549" s="687"/>
      <c r="T549" s="687"/>
      <c r="U549" s="687"/>
      <c r="V549" s="688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149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713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4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964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77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946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88</v>
      </c>
      <c r="Q558" s="687"/>
      <c r="R558" s="687"/>
      <c r="S558" s="687"/>
      <c r="T558" s="687"/>
      <c r="U558" s="687"/>
      <c r="V558" s="688"/>
      <c r="W558" s="37" t="s">
        <v>89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88</v>
      </c>
      <c r="Q559" s="687"/>
      <c r="R559" s="687"/>
      <c r="S559" s="687"/>
      <c r="T559" s="687"/>
      <c r="U559" s="687"/>
      <c r="V559" s="688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64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899</v>
      </c>
      <c r="B561" s="54" t="s">
        <v>900</v>
      </c>
      <c r="C561" s="31">
        <v>4301051887</v>
      </c>
      <c r="D561" s="669">
        <v>4640242180533</v>
      </c>
      <c r="E561" s="670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2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4301052046</v>
      </c>
      <c r="D562" s="669">
        <v>4640242180533</v>
      </c>
      <c r="E562" s="670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690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737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89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720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88</v>
      </c>
      <c r="Q566" s="687"/>
      <c r="R566" s="687"/>
      <c r="S566" s="687"/>
      <c r="T566" s="687"/>
      <c r="U566" s="687"/>
      <c r="V566" s="688"/>
      <c r="W566" s="37" t="s">
        <v>89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88</v>
      </c>
      <c r="Q567" s="687"/>
      <c r="R567" s="687"/>
      <c r="S567" s="687"/>
      <c r="T567" s="687"/>
      <c r="U567" s="687"/>
      <c r="V567" s="688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175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95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30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771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88</v>
      </c>
      <c r="Q573" s="687"/>
      <c r="R573" s="687"/>
      <c r="S573" s="687"/>
      <c r="T573" s="687"/>
      <c r="U573" s="687"/>
      <c r="V573" s="688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88</v>
      </c>
      <c r="Q574" s="687"/>
      <c r="R574" s="687"/>
      <c r="S574" s="687"/>
      <c r="T574" s="687"/>
      <c r="U574" s="687"/>
      <c r="V574" s="688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926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98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983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88</v>
      </c>
      <c r="Q578" s="687"/>
      <c r="R578" s="687"/>
      <c r="S578" s="687"/>
      <c r="T578" s="687"/>
      <c r="U578" s="687"/>
      <c r="V578" s="688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88</v>
      </c>
      <c r="Q579" s="687"/>
      <c r="R579" s="687"/>
      <c r="S579" s="687"/>
      <c r="T579" s="687"/>
      <c r="U579" s="687"/>
      <c r="V579" s="688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797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88</v>
      </c>
      <c r="Q582" s="687"/>
      <c r="R582" s="687"/>
      <c r="S582" s="687"/>
      <c r="T582" s="687"/>
      <c r="U582" s="687"/>
      <c r="V582" s="688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88</v>
      </c>
      <c r="Q583" s="687"/>
      <c r="R583" s="687"/>
      <c r="S583" s="687"/>
      <c r="T583" s="687"/>
      <c r="U583" s="687"/>
      <c r="V583" s="688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149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793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88</v>
      </c>
      <c r="Q586" s="687"/>
      <c r="R586" s="687"/>
      <c r="S586" s="687"/>
      <c r="T586" s="687"/>
      <c r="U586" s="687"/>
      <c r="V586" s="688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88</v>
      </c>
      <c r="Q587" s="687"/>
      <c r="R587" s="687"/>
      <c r="S587" s="687"/>
      <c r="T587" s="687"/>
      <c r="U587" s="687"/>
      <c r="V587" s="688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88</v>
      </c>
      <c r="Q590" s="687"/>
      <c r="R590" s="687"/>
      <c r="S590" s="687"/>
      <c r="T590" s="687"/>
      <c r="U590" s="687"/>
      <c r="V590" s="688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88</v>
      </c>
      <c r="Q591" s="687"/>
      <c r="R591" s="687"/>
      <c r="S591" s="687"/>
      <c r="T591" s="687"/>
      <c r="U591" s="687"/>
      <c r="V591" s="688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943</v>
      </c>
      <c r="Q592" s="808"/>
      <c r="R592" s="808"/>
      <c r="S592" s="808"/>
      <c r="T592" s="808"/>
      <c r="U592" s="808"/>
      <c r="V592" s="809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17800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17903.46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944</v>
      </c>
      <c r="Q593" s="808"/>
      <c r="R593" s="808"/>
      <c r="S593" s="808"/>
      <c r="T593" s="808"/>
      <c r="U593" s="808"/>
      <c r="V593" s="809"/>
      <c r="W593" s="37" t="s">
        <v>69</v>
      </c>
      <c r="X593" s="667">
        <f>IFERROR(SUM(BM22:BM589),"0")</f>
        <v>18716.062587077671</v>
      </c>
      <c r="Y593" s="667">
        <f>IFERROR(SUM(BN22:BN589),"0")</f>
        <v>18824.288999999997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945</v>
      </c>
      <c r="Q594" s="808"/>
      <c r="R594" s="808"/>
      <c r="S594" s="808"/>
      <c r="T594" s="808"/>
      <c r="U594" s="808"/>
      <c r="V594" s="809"/>
      <c r="W594" s="37" t="s">
        <v>946</v>
      </c>
      <c r="X594" s="38">
        <f>ROUNDUP(SUM(BO22:BO589),0)</f>
        <v>29</v>
      </c>
      <c r="Y594" s="38">
        <f>ROUNDUP(SUM(BP22:BP589),0)</f>
        <v>29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947</v>
      </c>
      <c r="Q595" s="808"/>
      <c r="R595" s="808"/>
      <c r="S595" s="808"/>
      <c r="T595" s="808"/>
      <c r="U595" s="808"/>
      <c r="V595" s="809"/>
      <c r="W595" s="37" t="s">
        <v>69</v>
      </c>
      <c r="X595" s="667">
        <f>GrossWeightTotal+PalletQtyTotal*25</f>
        <v>19441.062587077671</v>
      </c>
      <c r="Y595" s="667">
        <f>GrossWeightTotalR+PalletQtyTotalR*25</f>
        <v>19549.288999999997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948</v>
      </c>
      <c r="Q596" s="808"/>
      <c r="R596" s="808"/>
      <c r="S596" s="808"/>
      <c r="T596" s="808"/>
      <c r="U596" s="808"/>
      <c r="V596" s="809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2409.1640958020266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2422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949</v>
      </c>
      <c r="Q597" s="808"/>
      <c r="R597" s="808"/>
      <c r="S597" s="808"/>
      <c r="T597" s="808"/>
      <c r="U597" s="808"/>
      <c r="V597" s="809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34.564049999999995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5" t="s">
        <v>96</v>
      </c>
      <c r="D599" s="700"/>
      <c r="E599" s="700"/>
      <c r="F599" s="700"/>
      <c r="G599" s="700"/>
      <c r="H599" s="701"/>
      <c r="I599" s="675" t="s">
        <v>288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578</v>
      </c>
      <c r="X599" s="701"/>
      <c r="Y599" s="675" t="s">
        <v>656</v>
      </c>
      <c r="Z599" s="700"/>
      <c r="AA599" s="700"/>
      <c r="AB599" s="701"/>
      <c r="AC599" s="662" t="s">
        <v>731</v>
      </c>
      <c r="AD599" s="675" t="s">
        <v>833</v>
      </c>
      <c r="AE599" s="701"/>
      <c r="AF599" s="663"/>
    </row>
    <row r="600" spans="1:32" ht="14.25" customHeight="1" thickTop="1" x14ac:dyDescent="0.2">
      <c r="A600" s="992" t="s">
        <v>952</v>
      </c>
      <c r="B600" s="675" t="s">
        <v>63</v>
      </c>
      <c r="C600" s="675" t="s">
        <v>97</v>
      </c>
      <c r="D600" s="675" t="s">
        <v>118</v>
      </c>
      <c r="E600" s="675" t="s">
        <v>183</v>
      </c>
      <c r="F600" s="675" t="s">
        <v>214</v>
      </c>
      <c r="G600" s="675" t="s">
        <v>259</v>
      </c>
      <c r="H600" s="675" t="s">
        <v>96</v>
      </c>
      <c r="I600" s="675" t="s">
        <v>289</v>
      </c>
      <c r="J600" s="675" t="s">
        <v>323</v>
      </c>
      <c r="K600" s="675" t="s">
        <v>384</v>
      </c>
      <c r="L600" s="675" t="s">
        <v>419</v>
      </c>
      <c r="M600" s="675" t="s">
        <v>437</v>
      </c>
      <c r="N600" s="663"/>
      <c r="O600" s="675" t="s">
        <v>441</v>
      </c>
      <c r="P600" s="675" t="s">
        <v>450</v>
      </c>
      <c r="Q600" s="675" t="s">
        <v>464</v>
      </c>
      <c r="R600" s="675" t="s">
        <v>474</v>
      </c>
      <c r="S600" s="675" t="s">
        <v>478</v>
      </c>
      <c r="T600" s="675" t="s">
        <v>486</v>
      </c>
      <c r="U600" s="675" t="s">
        <v>491</v>
      </c>
      <c r="V600" s="675" t="s">
        <v>565</v>
      </c>
      <c r="W600" s="675" t="s">
        <v>579</v>
      </c>
      <c r="X600" s="675" t="s">
        <v>620</v>
      </c>
      <c r="Y600" s="675" t="s">
        <v>657</v>
      </c>
      <c r="Z600" s="675" t="s">
        <v>696</v>
      </c>
      <c r="AA600" s="675" t="s">
        <v>716</v>
      </c>
      <c r="AB600" s="675" t="s">
        <v>724</v>
      </c>
      <c r="AC600" s="675" t="s">
        <v>731</v>
      </c>
      <c r="AD600" s="675" t="s">
        <v>833</v>
      </c>
      <c r="AE600" s="675" t="s">
        <v>926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1206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1108.8000000000002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50.400000000000006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1217.1000000000001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1404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1512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3831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205.20000000000002</v>
      </c>
      <c r="Z602" s="46">
        <f>IFERROR(Y451*1,"0")+IFERROR(Y452*1,"0")+IFERROR(Y456*1,"0")+IFERROR(Y457*1,"0")+IFERROR(Y458*1,"0")+IFERROR(Y459*1,"0")</f>
        <v>151.20000000000002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7217.76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 400,00"/>
        <filter val="1 500,00"/>
        <filter val="1 650,00"/>
        <filter val="100,00"/>
        <filter val="109,46"/>
        <filter val="11,90"/>
        <filter val="129,63"/>
        <filter val="138,89"/>
        <filter val="150,00"/>
        <filter val="166,67"/>
        <filter val="17 800,00"/>
        <filter val="18 716,06"/>
        <filter val="186,67"/>
        <filter val="19 441,06"/>
        <filter val="2 409,16"/>
        <filter val="2 800,00"/>
        <filter val="200,00"/>
        <filter val="250,00"/>
        <filter val="265,15"/>
        <filter val="27,78"/>
        <filter val="29"/>
        <filter val="300,00"/>
        <filter val="312,50"/>
        <filter val="33,33"/>
        <filter val="34,48"/>
        <filter val="37,04"/>
        <filter val="4 150,00"/>
        <filter val="46,67"/>
        <filter val="50,00"/>
        <filter val="500,00"/>
        <filter val="700,00"/>
        <filter val="785,98"/>
        <filter val="800,00"/>
        <filter val="900,00"/>
        <filter val="95,24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2025-04-23T11:24:52Z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