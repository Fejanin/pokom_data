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34E04B8-C900-4ECF-B039-41E4E43C8C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X586" i="1"/>
  <c r="X585" i="1"/>
  <c r="BO584" i="1"/>
  <c r="BM584" i="1"/>
  <c r="Y584" i="1"/>
  <c r="X582" i="1"/>
  <c r="X581" i="1"/>
  <c r="BO580" i="1"/>
  <c r="BM580" i="1"/>
  <c r="Y580" i="1"/>
  <c r="X578" i="1"/>
  <c r="X577" i="1"/>
  <c r="BO576" i="1"/>
  <c r="BM576" i="1"/>
  <c r="Y576" i="1"/>
  <c r="X573" i="1"/>
  <c r="X572" i="1"/>
  <c r="BO571" i="1"/>
  <c r="BM571" i="1"/>
  <c r="Y571" i="1"/>
  <c r="BO570" i="1"/>
  <c r="BM570" i="1"/>
  <c r="Y570" i="1"/>
  <c r="BO569" i="1"/>
  <c r="BM569" i="1"/>
  <c r="Y569" i="1"/>
  <c r="BO568" i="1"/>
  <c r="BM568" i="1"/>
  <c r="Y568" i="1"/>
  <c r="X566" i="1"/>
  <c r="Y565" i="1"/>
  <c r="X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Y561" i="1"/>
  <c r="BP560" i="1"/>
  <c r="BO560" i="1"/>
  <c r="BN560" i="1"/>
  <c r="BM560" i="1"/>
  <c r="Z560" i="1"/>
  <c r="Z565" i="1" s="1"/>
  <c r="Y560" i="1"/>
  <c r="Y566" i="1" s="1"/>
  <c r="X558" i="1"/>
  <c r="X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O533" i="1"/>
  <c r="BM533" i="1"/>
  <c r="Y533" i="1"/>
  <c r="X529" i="1"/>
  <c r="X528" i="1"/>
  <c r="BO527" i="1"/>
  <c r="BM527" i="1"/>
  <c r="Y527" i="1"/>
  <c r="BP527" i="1" s="1"/>
  <c r="BO526" i="1"/>
  <c r="BM526" i="1"/>
  <c r="Y526" i="1"/>
  <c r="P526" i="1"/>
  <c r="X524" i="1"/>
  <c r="X523" i="1"/>
  <c r="BO522" i="1"/>
  <c r="BM522" i="1"/>
  <c r="Y522" i="1"/>
  <c r="BP522" i="1" s="1"/>
  <c r="P522" i="1"/>
  <c r="BO521" i="1"/>
  <c r="BM521" i="1"/>
  <c r="Y521" i="1"/>
  <c r="BP521" i="1" s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BO498" i="1"/>
  <c r="BM498" i="1"/>
  <c r="Y498" i="1"/>
  <c r="Y503" i="1" s="1"/>
  <c r="P498" i="1"/>
  <c r="X496" i="1"/>
  <c r="X495" i="1"/>
  <c r="BO494" i="1"/>
  <c r="BM494" i="1"/>
  <c r="Y494" i="1"/>
  <c r="BP494" i="1" s="1"/>
  <c r="P494" i="1"/>
  <c r="BP493" i="1"/>
  <c r="BO493" i="1"/>
  <c r="BN493" i="1"/>
  <c r="BM493" i="1"/>
  <c r="Z493" i="1"/>
  <c r="Y493" i="1"/>
  <c r="P493" i="1"/>
  <c r="BO492" i="1"/>
  <c r="BM492" i="1"/>
  <c r="Y492" i="1"/>
  <c r="BP492" i="1" s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BP487" i="1" s="1"/>
  <c r="P487" i="1"/>
  <c r="BP486" i="1"/>
  <c r="BO486" i="1"/>
  <c r="BN486" i="1"/>
  <c r="BM486" i="1"/>
  <c r="Z486" i="1"/>
  <c r="Y486" i="1"/>
  <c r="P486" i="1"/>
  <c r="BO485" i="1"/>
  <c r="BM485" i="1"/>
  <c r="Y485" i="1"/>
  <c r="BP485" i="1" s="1"/>
  <c r="BO484" i="1"/>
  <c r="BM484" i="1"/>
  <c r="Y484" i="1"/>
  <c r="BP484" i="1" s="1"/>
  <c r="P484" i="1"/>
  <c r="BP483" i="1"/>
  <c r="BO483" i="1"/>
  <c r="BN483" i="1"/>
  <c r="BM483" i="1"/>
  <c r="Z483" i="1"/>
  <c r="Y483" i="1"/>
  <c r="P483" i="1"/>
  <c r="BO482" i="1"/>
  <c r="BM482" i="1"/>
  <c r="Y482" i="1"/>
  <c r="BP482" i="1" s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Y476" i="1" s="1"/>
  <c r="P474" i="1"/>
  <c r="X472" i="1"/>
  <c r="X471" i="1"/>
  <c r="BO470" i="1"/>
  <c r="BM470" i="1"/>
  <c r="Y470" i="1"/>
  <c r="AB601" i="1" s="1"/>
  <c r="P470" i="1"/>
  <c r="X467" i="1"/>
  <c r="X466" i="1"/>
  <c r="BO465" i="1"/>
  <c r="BM465" i="1"/>
  <c r="Y465" i="1"/>
  <c r="BP465" i="1" s="1"/>
  <c r="BO464" i="1"/>
  <c r="BM464" i="1"/>
  <c r="Y464" i="1"/>
  <c r="P464" i="1"/>
  <c r="X461" i="1"/>
  <c r="X460" i="1"/>
  <c r="BO459" i="1"/>
  <c r="BM459" i="1"/>
  <c r="Y459" i="1"/>
  <c r="BP459" i="1" s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Z601" i="1" s="1"/>
  <c r="P451" i="1"/>
  <c r="X448" i="1"/>
  <c r="X447" i="1"/>
  <c r="BO446" i="1"/>
  <c r="BM446" i="1"/>
  <c r="Y446" i="1"/>
  <c r="Y448" i="1" s="1"/>
  <c r="P446" i="1"/>
  <c r="BP445" i="1"/>
  <c r="BO445" i="1"/>
  <c r="BN445" i="1"/>
  <c r="BM445" i="1"/>
  <c r="Z445" i="1"/>
  <c r="Y445" i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BP439" i="1" s="1"/>
  <c r="BO438" i="1"/>
  <c r="BM438" i="1"/>
  <c r="Y438" i="1"/>
  <c r="BP438" i="1" s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BP435" i="1" s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Y426" i="1" s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BP419" i="1" s="1"/>
  <c r="P419" i="1"/>
  <c r="BO418" i="1"/>
  <c r="BM418" i="1"/>
  <c r="Y418" i="1"/>
  <c r="BP418" i="1" s="1"/>
  <c r="P418" i="1"/>
  <c r="BO417" i="1"/>
  <c r="BM417" i="1"/>
  <c r="Y417" i="1"/>
  <c r="BP417" i="1" s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O405" i="1"/>
  <c r="BM405" i="1"/>
  <c r="Y405" i="1"/>
  <c r="BP405" i="1" s="1"/>
  <c r="P405" i="1"/>
  <c r="BO404" i="1"/>
  <c r="BM404" i="1"/>
  <c r="Y404" i="1"/>
  <c r="P404" i="1"/>
  <c r="BO403" i="1"/>
  <c r="BM403" i="1"/>
  <c r="Y403" i="1"/>
  <c r="BP403" i="1" s="1"/>
  <c r="P403" i="1"/>
  <c r="X400" i="1"/>
  <c r="X399" i="1"/>
  <c r="BO398" i="1"/>
  <c r="BM398" i="1"/>
  <c r="Y398" i="1"/>
  <c r="Y400" i="1" s="1"/>
  <c r="X396" i="1"/>
  <c r="X395" i="1"/>
  <c r="BO394" i="1"/>
  <c r="BM394" i="1"/>
  <c r="Y394" i="1"/>
  <c r="BP394" i="1" s="1"/>
  <c r="BO393" i="1"/>
  <c r="BM393" i="1"/>
  <c r="Y393" i="1"/>
  <c r="X391" i="1"/>
  <c r="X390" i="1"/>
  <c r="BO389" i="1"/>
  <c r="BM389" i="1"/>
  <c r="Y389" i="1"/>
  <c r="BP389" i="1" s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BP381" i="1" s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BP375" i="1" s="1"/>
  <c r="P375" i="1"/>
  <c r="X371" i="1"/>
  <c r="X370" i="1"/>
  <c r="BO369" i="1"/>
  <c r="BM369" i="1"/>
  <c r="Y369" i="1"/>
  <c r="P369" i="1"/>
  <c r="BO368" i="1"/>
  <c r="BM368" i="1"/>
  <c r="Y368" i="1"/>
  <c r="BP368" i="1" s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BP343" i="1" s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BP319" i="1" s="1"/>
  <c r="P319" i="1"/>
  <c r="X316" i="1"/>
  <c r="X315" i="1"/>
  <c r="BO314" i="1"/>
  <c r="BM314" i="1"/>
  <c r="Y314" i="1"/>
  <c r="T601" i="1" s="1"/>
  <c r="P314" i="1"/>
  <c r="X311" i="1"/>
  <c r="X310" i="1"/>
  <c r="BO309" i="1"/>
  <c r="BM309" i="1"/>
  <c r="Y309" i="1"/>
  <c r="BP309" i="1" s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X244" i="1"/>
  <c r="X243" i="1"/>
  <c r="BO242" i="1"/>
  <c r="BM242" i="1"/>
  <c r="Y242" i="1"/>
  <c r="BP242" i="1" s="1"/>
  <c r="P242" i="1"/>
  <c r="BO241" i="1"/>
  <c r="BM241" i="1"/>
  <c r="Y241" i="1"/>
  <c r="Y243" i="1" s="1"/>
  <c r="X239" i="1"/>
  <c r="X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BP224" i="1" s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BP157" i="1" s="1"/>
  <c r="P157" i="1"/>
  <c r="X155" i="1"/>
  <c r="X154" i="1"/>
  <c r="BO153" i="1"/>
  <c r="BM153" i="1"/>
  <c r="Y153" i="1"/>
  <c r="Y154" i="1" s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O123" i="1"/>
  <c r="BM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P119" i="1"/>
  <c r="BO119" i="1"/>
  <c r="BN119" i="1"/>
  <c r="BM119" i="1"/>
  <c r="Z119" i="1"/>
  <c r="Y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Y63" i="1" s="1"/>
  <c r="P59" i="1"/>
  <c r="BP58" i="1"/>
  <c r="BO58" i="1"/>
  <c r="BN58" i="1"/>
  <c r="BM58" i="1"/>
  <c r="Z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P51" i="1"/>
  <c r="BO50" i="1"/>
  <c r="BM50" i="1"/>
  <c r="Y50" i="1"/>
  <c r="BP50" i="1" s="1"/>
  <c r="P50" i="1"/>
  <c r="BO49" i="1"/>
  <c r="BM49" i="1"/>
  <c r="Y49" i="1"/>
  <c r="BN49" i="1" s="1"/>
  <c r="P49" i="1"/>
  <c r="X46" i="1"/>
  <c r="X45" i="1"/>
  <c r="BO44" i="1"/>
  <c r="BM44" i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Z26" i="1" l="1"/>
  <c r="BN26" i="1"/>
  <c r="C601" i="1"/>
  <c r="Z52" i="1"/>
  <c r="BN52" i="1"/>
  <c r="Z66" i="1"/>
  <c r="BN66" i="1"/>
  <c r="Y77" i="1"/>
  <c r="Z80" i="1"/>
  <c r="BN80" i="1"/>
  <c r="Z106" i="1"/>
  <c r="BN106" i="1"/>
  <c r="Z127" i="1"/>
  <c r="BN127" i="1"/>
  <c r="Z153" i="1"/>
  <c r="Z154" i="1" s="1"/>
  <c r="BN153" i="1"/>
  <c r="BP153" i="1"/>
  <c r="Z157" i="1"/>
  <c r="BN157" i="1"/>
  <c r="Z204" i="1"/>
  <c r="BN204" i="1"/>
  <c r="Z214" i="1"/>
  <c r="BN214" i="1"/>
  <c r="Z224" i="1"/>
  <c r="BN224" i="1"/>
  <c r="Z237" i="1"/>
  <c r="BN237" i="1"/>
  <c r="Z242" i="1"/>
  <c r="BN242" i="1"/>
  <c r="Z271" i="1"/>
  <c r="BN271" i="1"/>
  <c r="Z314" i="1"/>
  <c r="Z315" i="1" s="1"/>
  <c r="BN314" i="1"/>
  <c r="BP314" i="1"/>
  <c r="Y315" i="1"/>
  <c r="Z319" i="1"/>
  <c r="BN319" i="1"/>
  <c r="Z331" i="1"/>
  <c r="BN331" i="1"/>
  <c r="Y341" i="1"/>
  <c r="Z343" i="1"/>
  <c r="BN343" i="1"/>
  <c r="Z375" i="1"/>
  <c r="BN375" i="1"/>
  <c r="Z383" i="1"/>
  <c r="BN383" i="1"/>
  <c r="Z398" i="1"/>
  <c r="Z399" i="1" s="1"/>
  <c r="BN398" i="1"/>
  <c r="BP398" i="1"/>
  <c r="Y399" i="1"/>
  <c r="Z403" i="1"/>
  <c r="BN403" i="1"/>
  <c r="Y408" i="1"/>
  <c r="Z438" i="1"/>
  <c r="BN438" i="1"/>
  <c r="Z439" i="1"/>
  <c r="BN439" i="1"/>
  <c r="Z522" i="1"/>
  <c r="BN522" i="1"/>
  <c r="Y528" i="1"/>
  <c r="BP430" i="1"/>
  <c r="BN430" i="1"/>
  <c r="Z430" i="1"/>
  <c r="BP432" i="1"/>
  <c r="BN432" i="1"/>
  <c r="Z432" i="1"/>
  <c r="BP436" i="1"/>
  <c r="BN436" i="1"/>
  <c r="Z436" i="1"/>
  <c r="BP452" i="1"/>
  <c r="BN452" i="1"/>
  <c r="Z452" i="1"/>
  <c r="BP458" i="1"/>
  <c r="BN458" i="1"/>
  <c r="Z458" i="1"/>
  <c r="BP488" i="1"/>
  <c r="BN488" i="1"/>
  <c r="Z488" i="1"/>
  <c r="BP490" i="1"/>
  <c r="BN490" i="1"/>
  <c r="Z490" i="1"/>
  <c r="Y517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Y523" i="1"/>
  <c r="BP520" i="1"/>
  <c r="BN520" i="1"/>
  <c r="Z520" i="1"/>
  <c r="BP534" i="1"/>
  <c r="BN534" i="1"/>
  <c r="Z534" i="1"/>
  <c r="Y577" i="1"/>
  <c r="BP576" i="1"/>
  <c r="BN576" i="1"/>
  <c r="Z576" i="1"/>
  <c r="Z577" i="1" s="1"/>
  <c r="Y586" i="1"/>
  <c r="Y585" i="1"/>
  <c r="BP584" i="1"/>
  <c r="BN584" i="1"/>
  <c r="Z584" i="1"/>
  <c r="Z585" i="1" s="1"/>
  <c r="Z22" i="1"/>
  <c r="BN22" i="1"/>
  <c r="Y29" i="1"/>
  <c r="X595" i="1"/>
  <c r="Z38" i="1"/>
  <c r="BN38" i="1"/>
  <c r="Z44" i="1"/>
  <c r="Z45" i="1" s="1"/>
  <c r="BN44" i="1"/>
  <c r="BP44" i="1"/>
  <c r="Y45" i="1"/>
  <c r="Z49" i="1"/>
  <c r="Z50" i="1"/>
  <c r="BN50" i="1"/>
  <c r="Z54" i="1"/>
  <c r="BN54" i="1"/>
  <c r="Z60" i="1"/>
  <c r="BN60" i="1"/>
  <c r="Z72" i="1"/>
  <c r="BN72" i="1"/>
  <c r="Z76" i="1"/>
  <c r="BN76" i="1"/>
  <c r="Y84" i="1"/>
  <c r="Z82" i="1"/>
  <c r="BN82" i="1"/>
  <c r="Y83" i="1"/>
  <c r="Z87" i="1"/>
  <c r="BN87" i="1"/>
  <c r="Y90" i="1"/>
  <c r="Z101" i="1"/>
  <c r="BN101" i="1"/>
  <c r="Z108" i="1"/>
  <c r="BN108" i="1"/>
  <c r="Y117" i="1"/>
  <c r="Y129" i="1"/>
  <c r="Z121" i="1"/>
  <c r="BN121" i="1"/>
  <c r="Z122" i="1"/>
  <c r="BN122" i="1"/>
  <c r="Z125" i="1"/>
  <c r="BN125" i="1"/>
  <c r="Z131" i="1"/>
  <c r="BN131" i="1"/>
  <c r="BP131" i="1"/>
  <c r="Z148" i="1"/>
  <c r="BN148" i="1"/>
  <c r="Y161" i="1"/>
  <c r="Z159" i="1"/>
  <c r="BN159" i="1"/>
  <c r="Y183" i="1"/>
  <c r="Z177" i="1"/>
  <c r="BN177" i="1"/>
  <c r="Z180" i="1"/>
  <c r="BN180" i="1"/>
  <c r="Z202" i="1"/>
  <c r="BN202" i="1"/>
  <c r="Z206" i="1"/>
  <c r="BN206" i="1"/>
  <c r="Z212" i="1"/>
  <c r="BN212" i="1"/>
  <c r="Z216" i="1"/>
  <c r="BN216" i="1"/>
  <c r="Z220" i="1"/>
  <c r="BN220" i="1"/>
  <c r="Z231" i="1"/>
  <c r="BN231" i="1"/>
  <c r="Z235" i="1"/>
  <c r="BN235" i="1"/>
  <c r="Z250" i="1"/>
  <c r="Z251" i="1" s="1"/>
  <c r="BN250" i="1"/>
  <c r="BP250" i="1"/>
  <c r="Y251" i="1"/>
  <c r="Z255" i="1"/>
  <c r="BN255" i="1"/>
  <c r="Z259" i="1"/>
  <c r="BN259" i="1"/>
  <c r="Z278" i="1"/>
  <c r="BN278" i="1"/>
  <c r="Z309" i="1"/>
  <c r="BN309" i="1"/>
  <c r="Z321" i="1"/>
  <c r="BN321" i="1"/>
  <c r="Z329" i="1"/>
  <c r="BN329" i="1"/>
  <c r="Z335" i="1"/>
  <c r="BN335" i="1"/>
  <c r="BP335" i="1"/>
  <c r="Z339" i="1"/>
  <c r="BN339" i="1"/>
  <c r="Y347" i="1"/>
  <c r="Z345" i="1"/>
  <c r="BN345" i="1"/>
  <c r="Y346" i="1"/>
  <c r="Z351" i="1"/>
  <c r="BN351" i="1"/>
  <c r="Y360" i="1"/>
  <c r="Z368" i="1"/>
  <c r="BN368" i="1"/>
  <c r="Z377" i="1"/>
  <c r="BN377" i="1"/>
  <c r="Z381" i="1"/>
  <c r="BN381" i="1"/>
  <c r="Z389" i="1"/>
  <c r="BN389" i="1"/>
  <c r="Y396" i="1"/>
  <c r="Z405" i="1"/>
  <c r="BN405" i="1"/>
  <c r="Z411" i="1"/>
  <c r="BN411" i="1"/>
  <c r="BP411" i="1"/>
  <c r="Y414" i="1"/>
  <c r="Y421" i="1"/>
  <c r="Z418" i="1"/>
  <c r="BN418" i="1"/>
  <c r="BP431" i="1"/>
  <c r="BN431" i="1"/>
  <c r="Z431" i="1"/>
  <c r="BP433" i="1"/>
  <c r="BN433" i="1"/>
  <c r="Z433" i="1"/>
  <c r="BP441" i="1"/>
  <c r="BN441" i="1"/>
  <c r="Z441" i="1"/>
  <c r="Y461" i="1"/>
  <c r="BP457" i="1"/>
  <c r="BN457" i="1"/>
  <c r="Z457" i="1"/>
  <c r="AC601" i="1"/>
  <c r="BP481" i="1"/>
  <c r="BN481" i="1"/>
  <c r="Z481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33" i="1"/>
  <c r="BN533" i="1"/>
  <c r="Z533" i="1"/>
  <c r="Y442" i="1"/>
  <c r="Y447" i="1"/>
  <c r="AA601" i="1"/>
  <c r="B601" i="1"/>
  <c r="X592" i="1"/>
  <c r="X593" i="1"/>
  <c r="Z23" i="1"/>
  <c r="BN23" i="1"/>
  <c r="BP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32" i="1"/>
  <c r="Z37" i="1"/>
  <c r="BN37" i="1"/>
  <c r="BP37" i="1"/>
  <c r="Z39" i="1"/>
  <c r="BN39" i="1"/>
  <c r="Y42" i="1"/>
  <c r="D601" i="1"/>
  <c r="Y56" i="1"/>
  <c r="BP49" i="1"/>
  <c r="BP53" i="1"/>
  <c r="BN53" i="1"/>
  <c r="Z53" i="1"/>
  <c r="Y62" i="1"/>
  <c r="BP61" i="1"/>
  <c r="BN61" i="1"/>
  <c r="Z61" i="1"/>
  <c r="Y68" i="1"/>
  <c r="BP65" i="1"/>
  <c r="BN65" i="1"/>
  <c r="Z65" i="1"/>
  <c r="BP73" i="1"/>
  <c r="BN73" i="1"/>
  <c r="Z73" i="1"/>
  <c r="BP81" i="1"/>
  <c r="BN81" i="1"/>
  <c r="Z81" i="1"/>
  <c r="Z83" i="1" s="1"/>
  <c r="Y103" i="1"/>
  <c r="BP93" i="1"/>
  <c r="BN93" i="1"/>
  <c r="Z93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BP120" i="1"/>
  <c r="BN120" i="1"/>
  <c r="Z120" i="1"/>
  <c r="BP124" i="1"/>
  <c r="BN124" i="1"/>
  <c r="Z124" i="1"/>
  <c r="Y128" i="1"/>
  <c r="BP132" i="1"/>
  <c r="BN132" i="1"/>
  <c r="Z132" i="1"/>
  <c r="Z133" i="1" s="1"/>
  <c r="Y134" i="1"/>
  <c r="G601" i="1"/>
  <c r="Y140" i="1"/>
  <c r="BP137" i="1"/>
  <c r="BN137" i="1"/>
  <c r="Z137" i="1"/>
  <c r="Z139" i="1" s="1"/>
  <c r="Y144" i="1"/>
  <c r="BP158" i="1"/>
  <c r="BN158" i="1"/>
  <c r="Z158" i="1"/>
  <c r="BP176" i="1"/>
  <c r="BN176" i="1"/>
  <c r="Z176" i="1"/>
  <c r="BP179" i="1"/>
  <c r="BN179" i="1"/>
  <c r="Z179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1" i="1"/>
  <c r="Y266" i="1"/>
  <c r="BP265" i="1"/>
  <c r="BN265" i="1"/>
  <c r="Z265" i="1"/>
  <c r="Z266" i="1" s="1"/>
  <c r="Y267" i="1"/>
  <c r="O601" i="1"/>
  <c r="Y273" i="1"/>
  <c r="BP270" i="1"/>
  <c r="BN270" i="1"/>
  <c r="Z270" i="1"/>
  <c r="BP279" i="1"/>
  <c r="BN279" i="1"/>
  <c r="Z279" i="1"/>
  <c r="BP320" i="1"/>
  <c r="BN320" i="1"/>
  <c r="Z320" i="1"/>
  <c r="BP324" i="1"/>
  <c r="BN324" i="1"/>
  <c r="Z324" i="1"/>
  <c r="Z325" i="1" s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BP350" i="1"/>
  <c r="BN350" i="1"/>
  <c r="Z350" i="1"/>
  <c r="BP358" i="1"/>
  <c r="BN358" i="1"/>
  <c r="Z358" i="1"/>
  <c r="V601" i="1"/>
  <c r="Y364" i="1"/>
  <c r="BP363" i="1"/>
  <c r="BN363" i="1"/>
  <c r="Z363" i="1"/>
  <c r="Z364" i="1" s="1"/>
  <c r="Y365" i="1"/>
  <c r="Y371" i="1"/>
  <c r="Y370" i="1"/>
  <c r="BP367" i="1"/>
  <c r="BN367" i="1"/>
  <c r="Z367" i="1"/>
  <c r="H9" i="1"/>
  <c r="A10" i="1"/>
  <c r="F9" i="1"/>
  <c r="J9" i="1"/>
  <c r="Y41" i="1"/>
  <c r="BP51" i="1"/>
  <c r="BN51" i="1"/>
  <c r="Z51" i="1"/>
  <c r="Y55" i="1"/>
  <c r="BP59" i="1"/>
  <c r="BN59" i="1"/>
  <c r="Z59" i="1"/>
  <c r="BP67" i="1"/>
  <c r="BN67" i="1"/>
  <c r="Z67" i="1"/>
  <c r="Y69" i="1"/>
  <c r="Y78" i="1"/>
  <c r="BP71" i="1"/>
  <c r="BN71" i="1"/>
  <c r="Z71" i="1"/>
  <c r="BP75" i="1"/>
  <c r="BN75" i="1"/>
  <c r="Z75" i="1"/>
  <c r="BP88" i="1"/>
  <c r="BN88" i="1"/>
  <c r="Z88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BP123" i="1"/>
  <c r="BN123" i="1"/>
  <c r="Z123" i="1"/>
  <c r="BP126" i="1"/>
  <c r="BN126" i="1"/>
  <c r="Z126" i="1"/>
  <c r="BP143" i="1"/>
  <c r="BN143" i="1"/>
  <c r="Z143" i="1"/>
  <c r="Z144" i="1" s="1"/>
  <c r="Y145" i="1"/>
  <c r="Y150" i="1"/>
  <c r="BP147" i="1"/>
  <c r="BN147" i="1"/>
  <c r="Z147" i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Z221" i="1" s="1"/>
  <c r="Y221" i="1"/>
  <c r="BP225" i="1"/>
  <c r="BN225" i="1"/>
  <c r="Z225" i="1"/>
  <c r="Z226" i="1" s="1"/>
  <c r="Y227" i="1"/>
  <c r="K601" i="1"/>
  <c r="Y239" i="1"/>
  <c r="BP230" i="1"/>
  <c r="BN230" i="1"/>
  <c r="Z230" i="1"/>
  <c r="Z238" i="1" s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1" i="1"/>
  <c r="Y282" i="1"/>
  <c r="BP277" i="1"/>
  <c r="BN277" i="1"/>
  <c r="Z277" i="1"/>
  <c r="Z282" i="1" s="1"/>
  <c r="BP281" i="1"/>
  <c r="BN281" i="1"/>
  <c r="Z281" i="1"/>
  <c r="Y283" i="1"/>
  <c r="Q601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BP338" i="1"/>
  <c r="BN338" i="1"/>
  <c r="Z338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E601" i="1"/>
  <c r="Y91" i="1"/>
  <c r="F601" i="1"/>
  <c r="Y110" i="1"/>
  <c r="H601" i="1"/>
  <c r="Y155" i="1"/>
  <c r="L601" i="1"/>
  <c r="Y261" i="1"/>
  <c r="Y316" i="1"/>
  <c r="U601" i="1"/>
  <c r="Y325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BP378" i="1"/>
  <c r="BN378" i="1"/>
  <c r="Z378" i="1"/>
  <c r="BP382" i="1"/>
  <c r="BN382" i="1"/>
  <c r="Z382" i="1"/>
  <c r="Z517" i="1"/>
  <c r="W601" i="1"/>
  <c r="Y385" i="1"/>
  <c r="Z393" i="1"/>
  <c r="BN393" i="1"/>
  <c r="BP393" i="1"/>
  <c r="Z394" i="1"/>
  <c r="BN394" i="1"/>
  <c r="Y395" i="1"/>
  <c r="X601" i="1"/>
  <c r="Z404" i="1"/>
  <c r="Z408" i="1" s="1"/>
  <c r="BN404" i="1"/>
  <c r="BP404" i="1"/>
  <c r="Z406" i="1"/>
  <c r="BN406" i="1"/>
  <c r="Y409" i="1"/>
  <c r="Z412" i="1"/>
  <c r="Z413" i="1" s="1"/>
  <c r="BN412" i="1"/>
  <c r="BP412" i="1"/>
  <c r="Z416" i="1"/>
  <c r="BN416" i="1"/>
  <c r="BP416" i="1"/>
  <c r="Z417" i="1"/>
  <c r="BN417" i="1"/>
  <c r="Z419" i="1"/>
  <c r="BN419" i="1"/>
  <c r="Y422" i="1"/>
  <c r="Z424" i="1"/>
  <c r="Z425" i="1" s="1"/>
  <c r="BN424" i="1"/>
  <c r="BP424" i="1"/>
  <c r="Y425" i="1"/>
  <c r="Y601" i="1"/>
  <c r="Z434" i="1"/>
  <c r="Z442" i="1" s="1"/>
  <c r="BN434" i="1"/>
  <c r="BP434" i="1"/>
  <c r="Z435" i="1"/>
  <c r="BN435" i="1"/>
  <c r="Z437" i="1"/>
  <c r="BN437" i="1"/>
  <c r="Z440" i="1"/>
  <c r="BN440" i="1"/>
  <c r="Y443" i="1"/>
  <c r="Z446" i="1"/>
  <c r="Z447" i="1" s="1"/>
  <c r="BN446" i="1"/>
  <c r="BP446" i="1"/>
  <c r="Z451" i="1"/>
  <c r="BN451" i="1"/>
  <c r="BP451" i="1"/>
  <c r="Y454" i="1"/>
  <c r="Z456" i="1"/>
  <c r="BN456" i="1"/>
  <c r="BP456" i="1"/>
  <c r="Z459" i="1"/>
  <c r="BN459" i="1"/>
  <c r="Y460" i="1"/>
  <c r="Z464" i="1"/>
  <c r="BN464" i="1"/>
  <c r="BP464" i="1"/>
  <c r="Z465" i="1"/>
  <c r="BN465" i="1"/>
  <c r="Y466" i="1"/>
  <c r="Z470" i="1"/>
  <c r="Z471" i="1" s="1"/>
  <c r="BN470" i="1"/>
  <c r="BP470" i="1"/>
  <c r="Y471" i="1"/>
  <c r="Z474" i="1"/>
  <c r="Z475" i="1" s="1"/>
  <c r="BN474" i="1"/>
  <c r="BP474" i="1"/>
  <c r="Y475" i="1"/>
  <c r="Z480" i="1"/>
  <c r="BN480" i="1"/>
  <c r="BP480" i="1"/>
  <c r="Z482" i="1"/>
  <c r="BN482" i="1"/>
  <c r="Z484" i="1"/>
  <c r="BN484" i="1"/>
  <c r="Z485" i="1"/>
  <c r="BN485" i="1"/>
  <c r="Z487" i="1"/>
  <c r="BN487" i="1"/>
  <c r="Z492" i="1"/>
  <c r="BN492" i="1"/>
  <c r="Z494" i="1"/>
  <c r="BN494" i="1"/>
  <c r="Y495" i="1"/>
  <c r="Z498" i="1"/>
  <c r="BN498" i="1"/>
  <c r="BP498" i="1"/>
  <c r="Z499" i="1"/>
  <c r="BN499" i="1"/>
  <c r="Z500" i="1"/>
  <c r="BN500" i="1"/>
  <c r="Z501" i="1"/>
  <c r="BN501" i="1"/>
  <c r="Y502" i="1"/>
  <c r="Z511" i="1"/>
  <c r="BN511" i="1"/>
  <c r="Z512" i="1"/>
  <c r="BN512" i="1"/>
  <c r="Z515" i="1"/>
  <c r="BN515" i="1"/>
  <c r="Y518" i="1"/>
  <c r="Z521" i="1"/>
  <c r="Z523" i="1" s="1"/>
  <c r="BN521" i="1"/>
  <c r="Y524" i="1"/>
  <c r="Y529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BP555" i="1"/>
  <c r="BN555" i="1"/>
  <c r="Z555" i="1"/>
  <c r="BP569" i="1"/>
  <c r="BN569" i="1"/>
  <c r="Z569" i="1"/>
  <c r="BP571" i="1"/>
  <c r="BN571" i="1"/>
  <c r="Z571" i="1"/>
  <c r="Y573" i="1"/>
  <c r="Y581" i="1"/>
  <c r="BP580" i="1"/>
  <c r="BN580" i="1"/>
  <c r="Z580" i="1"/>
  <c r="Z581" i="1" s="1"/>
  <c r="Y582" i="1"/>
  <c r="Y589" i="1"/>
  <c r="BP588" i="1"/>
  <c r="BN588" i="1"/>
  <c r="Z588" i="1"/>
  <c r="Z589" i="1" s="1"/>
  <c r="Y590" i="1"/>
  <c r="Y453" i="1"/>
  <c r="Y467" i="1"/>
  <c r="Y472" i="1"/>
  <c r="Y496" i="1"/>
  <c r="Z526" i="1"/>
  <c r="Z528" i="1" s="1"/>
  <c r="BN526" i="1"/>
  <c r="BP526" i="1"/>
  <c r="Z527" i="1"/>
  <c r="BN527" i="1"/>
  <c r="AD601" i="1"/>
  <c r="Y539" i="1"/>
  <c r="BP536" i="1"/>
  <c r="BN536" i="1"/>
  <c r="Z536" i="1"/>
  <c r="BP538" i="1"/>
  <c r="BN538" i="1"/>
  <c r="Z538" i="1"/>
  <c r="Y540" i="1"/>
  <c r="Y557" i="1"/>
  <c r="BP550" i="1"/>
  <c r="BN550" i="1"/>
  <c r="Z550" i="1"/>
  <c r="BP552" i="1"/>
  <c r="BN552" i="1"/>
  <c r="Z552" i="1"/>
  <c r="BP554" i="1"/>
  <c r="BN554" i="1"/>
  <c r="Z554" i="1"/>
  <c r="BP556" i="1"/>
  <c r="BN556" i="1"/>
  <c r="Z556" i="1"/>
  <c r="Y558" i="1"/>
  <c r="Y572" i="1"/>
  <c r="BP568" i="1"/>
  <c r="BN568" i="1"/>
  <c r="Z568" i="1"/>
  <c r="BP570" i="1"/>
  <c r="BN570" i="1"/>
  <c r="Z570" i="1"/>
  <c r="AE601" i="1"/>
  <c r="Y578" i="1"/>
  <c r="Z90" i="1" l="1"/>
  <c r="Z346" i="1"/>
  <c r="Z539" i="1"/>
  <c r="Z385" i="1"/>
  <c r="Z128" i="1"/>
  <c r="Z453" i="1"/>
  <c r="Z390" i="1"/>
  <c r="Z359" i="1"/>
  <c r="Z149" i="1"/>
  <c r="Z77" i="1"/>
  <c r="Y592" i="1"/>
  <c r="Z62" i="1"/>
  <c r="Z55" i="1"/>
  <c r="Z340" i="1"/>
  <c r="Z68" i="1"/>
  <c r="Y591" i="1"/>
  <c r="Y593" i="1"/>
  <c r="Z28" i="1"/>
  <c r="X594" i="1"/>
  <c r="Z370" i="1"/>
  <c r="Z572" i="1"/>
  <c r="Z557" i="1"/>
  <c r="Z502" i="1"/>
  <c r="Z495" i="1"/>
  <c r="Z466" i="1"/>
  <c r="Z460" i="1"/>
  <c r="Z421" i="1"/>
  <c r="Z395" i="1"/>
  <c r="Z353" i="1"/>
  <c r="Z209" i="1"/>
  <c r="Z183" i="1"/>
  <c r="Z332" i="1"/>
  <c r="Z273" i="1"/>
  <c r="Z161" i="1"/>
  <c r="Z110" i="1"/>
  <c r="Z102" i="1"/>
  <c r="Z41" i="1"/>
  <c r="Y595" i="1"/>
  <c r="Z596" i="1" l="1"/>
  <c r="Y594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<sst xmlns="http://schemas.openxmlformats.org/spreadsheetml/2006/main" count="2721" uniqueCount="976">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</sst>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98" sqref="AA98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45760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Воскресенье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0.5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54</v>
      </c>
      <c r="Y98" s="664">
        <f t="shared" si="16"/>
        <v>54</v>
      </c>
      <c r="Z98" s="36">
        <f>IFERROR(IF(Y98=0,"",ROUNDUP(Y98/H98,0)*0.00651),"")</f>
        <v>0.13020000000000001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59.039999999999992</v>
      </c>
      <c r="BN98" s="64">
        <f t="shared" si="18"/>
        <v>59.039999999999992</v>
      </c>
      <c r="BO98" s="64">
        <f t="shared" si="19"/>
        <v>0.1098901098901099</v>
      </c>
      <c r="BP98" s="64">
        <f t="shared" si="20"/>
        <v>0.1098901098901099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20</v>
      </c>
      <c r="Y102" s="665">
        <f>IFERROR(Y93/H93,"0")+IFERROR(Y94/H94,"0")+IFERROR(Y95/H95,"0")+IFERROR(Y96/H96,"0")+IFERROR(Y97/H97,"0")+IFERROR(Y98/H98,"0")+IFERROR(Y99/H99,"0")+IFERROR(Y100/H100,"0")+IFERROR(Y101/H101,"0")</f>
        <v>20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0.13020000000000001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54</v>
      </c>
      <c r="Y103" s="665">
        <f>IFERROR(SUM(Y93:Y101),"0")</f>
        <v>54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100</v>
      </c>
      <c r="Y106" s="664">
        <f>IFERROR(IF(X106="",0,CEILING((X106/$H106),1)*$H106),"")</f>
        <v>108</v>
      </c>
      <c r="Z106" s="36">
        <f>IFERROR(IF(Y106=0,"",ROUNDUP(Y106/H106,0)*0.01898),"")</f>
        <v>0.1898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104.02777777777777</v>
      </c>
      <c r="BN106" s="64">
        <f>IFERROR(Y106*I106/H106,"0")</f>
        <v>112.34999999999998</v>
      </c>
      <c r="BO106" s="64">
        <f>IFERROR(1/J106*(X106/H106),"0")</f>
        <v>0.14467592592592593</v>
      </c>
      <c r="BP106" s="64">
        <f>IFERROR(1/J106*(Y106/H106),"0")</f>
        <v>0.15625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9.2592592592592595</v>
      </c>
      <c r="Y110" s="665">
        <f>IFERROR(Y106/H106,"0")+IFERROR(Y107/H107,"0")+IFERROR(Y108/H108,"0")+IFERROR(Y109/H109,"0")</f>
        <v>10</v>
      </c>
      <c r="Z110" s="665">
        <f>IFERROR(IF(Z106="",0,Z106),"0")+IFERROR(IF(Z107="",0,Z107),"0")+IFERROR(IF(Z108="",0,Z108),"0")+IFERROR(IF(Z109="",0,Z109),"0")</f>
        <v>0.1898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100</v>
      </c>
      <c r="Y111" s="665">
        <f>IFERROR(SUM(Y106:Y109),"0")</f>
        <v>108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81</v>
      </c>
      <c r="Y125" s="664">
        <f t="shared" si="21"/>
        <v>81</v>
      </c>
      <c r="Z125" s="36">
        <f t="shared" si="26"/>
        <v>0.1953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88.559999999999988</v>
      </c>
      <c r="BN125" s="64">
        <f t="shared" si="23"/>
        <v>88.559999999999988</v>
      </c>
      <c r="BO125" s="64">
        <f t="shared" si="24"/>
        <v>0.16483516483516483</v>
      </c>
      <c r="BP125" s="64">
        <f t="shared" si="25"/>
        <v>0.16483516483516483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29.999999999999996</v>
      </c>
      <c r="Y128" s="665">
        <f>IFERROR(Y119/H119,"0")+IFERROR(Y120/H120,"0")+IFERROR(Y121/H121,"0")+IFERROR(Y122/H122,"0")+IFERROR(Y123/H123,"0")+IFERROR(Y124/H124,"0")+IFERROR(Y125/H125,"0")+IFERROR(Y126/H126,"0")+IFERROR(Y127/H127,"0")</f>
        <v>29.999999999999996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0.1953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81</v>
      </c>
      <c r="Y129" s="665">
        <f>IFERROR(SUM(Y119:Y127),"0")</f>
        <v>81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21</v>
      </c>
      <c r="Y177" s="664">
        <f t="shared" si="27"/>
        <v>21</v>
      </c>
      <c r="Z177" s="36">
        <f>IFERROR(IF(Y177=0,"",ROUNDUP(Y177/H177,0)*0.00502),"")</f>
        <v>5.0200000000000002E-2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22.299999999999997</v>
      </c>
      <c r="BN177" s="64">
        <f t="shared" si="29"/>
        <v>22.299999999999997</v>
      </c>
      <c r="BO177" s="64">
        <f t="shared" si="30"/>
        <v>4.2735042735042736E-2</v>
      </c>
      <c r="BP177" s="64">
        <f t="shared" si="31"/>
        <v>4.2735042735042736E-2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10</v>
      </c>
      <c r="Y183" s="665">
        <f>IFERROR(Y174/H174,"0")+IFERROR(Y175/H175,"0")+IFERROR(Y176/H176,"0")+IFERROR(Y177/H177,"0")+IFERROR(Y178/H178,"0")+IFERROR(Y179/H179,"0")+IFERROR(Y180/H180,"0")+IFERROR(Y181/H181,"0")+IFERROR(Y182/H182,"0")</f>
        <v>10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5.0200000000000002E-2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21</v>
      </c>
      <c r="Y184" s="665">
        <f>IFERROR(SUM(Y174:Y182),"0")</f>
        <v>21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30</v>
      </c>
      <c r="Y201" s="664">
        <f t="shared" ref="Y201:Y208" si="32">IFERROR(IF(X201="",0,CEILING((X201/$H201),1)*$H201),"")</f>
        <v>32.400000000000006</v>
      </c>
      <c r="Z201" s="36">
        <f>IFERROR(IF(Y201=0,"",ROUNDUP(Y201/H201,0)*0.00902),"")</f>
        <v>5.4120000000000001E-2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31.166666666666668</v>
      </c>
      <c r="BN201" s="64">
        <f t="shared" ref="BN201:BN208" si="34">IFERROR(Y201*I201/H201,"0")</f>
        <v>33.660000000000004</v>
      </c>
      <c r="BO201" s="64">
        <f t="shared" ref="BO201:BO208" si="35">IFERROR(1/J201*(X201/H201),"0")</f>
        <v>4.208754208754209E-2</v>
      </c>
      <c r="BP201" s="64">
        <f t="shared" ref="BP201:BP208" si="36">IFERROR(1/J201*(Y201/H201),"0")</f>
        <v>4.5454545454545463E-2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50</v>
      </c>
      <c r="Y202" s="664">
        <f t="shared" si="32"/>
        <v>54</v>
      </c>
      <c r="Z202" s="36">
        <f>IFERROR(IF(Y202=0,"",ROUNDUP(Y202/H202,0)*0.00902),"")</f>
        <v>9.0200000000000002E-2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51.944444444444443</v>
      </c>
      <c r="BN202" s="64">
        <f t="shared" si="34"/>
        <v>56.099999999999994</v>
      </c>
      <c r="BO202" s="64">
        <f t="shared" si="35"/>
        <v>7.0145903479236812E-2</v>
      </c>
      <c r="BP202" s="64">
        <f t="shared" si="36"/>
        <v>7.575757575757576E-2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14.814814814814815</v>
      </c>
      <c r="Y209" s="665">
        <f>IFERROR(Y201/H201,"0")+IFERROR(Y202/H202,"0")+IFERROR(Y203/H203,"0")+IFERROR(Y204/H204,"0")+IFERROR(Y205/H205,"0")+IFERROR(Y206/H206,"0")+IFERROR(Y207/H207,"0")+IFERROR(Y208/H208,"0")</f>
        <v>16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0.14432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80</v>
      </c>
      <c r="Y210" s="665">
        <f>IFERROR(SUM(Y201:Y208),"0")</f>
        <v>86.4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40</v>
      </c>
      <c r="Y214" s="664">
        <f t="shared" si="37"/>
        <v>43.5</v>
      </c>
      <c r="Z214" s="36">
        <f>IFERROR(IF(Y214=0,"",ROUNDUP(Y214/H214,0)*0.01898),"")</f>
        <v>9.4899999999999998E-2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42.386206896551727</v>
      </c>
      <c r="BN214" s="64">
        <f t="shared" si="39"/>
        <v>46.095000000000006</v>
      </c>
      <c r="BO214" s="64">
        <f t="shared" si="40"/>
        <v>7.1839080459770124E-2</v>
      </c>
      <c r="BP214" s="64">
        <f t="shared" si="41"/>
        <v>7.8125E-2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36</v>
      </c>
      <c r="Y215" s="664">
        <f t="shared" si="37"/>
        <v>36</v>
      </c>
      <c r="Z215" s="36">
        <f t="shared" ref="Z215:Z220" si="42">IFERROR(IF(Y215=0,"",ROUNDUP(Y215/H215,0)*0.00651),"")</f>
        <v>9.7650000000000001E-2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40.050000000000004</v>
      </c>
      <c r="BN215" s="64">
        <f t="shared" si="39"/>
        <v>40.050000000000004</v>
      </c>
      <c r="BO215" s="64">
        <f t="shared" si="40"/>
        <v>8.241758241758243E-2</v>
      </c>
      <c r="BP215" s="64">
        <f t="shared" si="41"/>
        <v>8.241758241758243E-2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72</v>
      </c>
      <c r="Y217" s="664">
        <f t="shared" si="37"/>
        <v>72</v>
      </c>
      <c r="Z217" s="36">
        <f t="shared" si="42"/>
        <v>0.1953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79.560000000000016</v>
      </c>
      <c r="BN217" s="64">
        <f t="shared" si="39"/>
        <v>79.560000000000016</v>
      </c>
      <c r="BO217" s="64">
        <f t="shared" si="40"/>
        <v>0.16483516483516486</v>
      </c>
      <c r="BP217" s="64">
        <f t="shared" si="41"/>
        <v>0.16483516483516486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72</v>
      </c>
      <c r="Y218" s="664">
        <f t="shared" si="37"/>
        <v>72</v>
      </c>
      <c r="Z218" s="36">
        <f t="shared" si="42"/>
        <v>0.1953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79.560000000000016</v>
      </c>
      <c r="BN218" s="64">
        <f t="shared" si="39"/>
        <v>79.560000000000016</v>
      </c>
      <c r="BO218" s="64">
        <f t="shared" si="40"/>
        <v>0.16483516483516486</v>
      </c>
      <c r="BP218" s="64">
        <f t="shared" si="41"/>
        <v>0.16483516483516486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36</v>
      </c>
      <c r="Y220" s="664">
        <f t="shared" si="37"/>
        <v>36</v>
      </c>
      <c r="Z220" s="36">
        <f t="shared" si="42"/>
        <v>9.7650000000000001E-2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39.870000000000005</v>
      </c>
      <c r="BN220" s="64">
        <f t="shared" si="39"/>
        <v>39.870000000000005</v>
      </c>
      <c r="BO220" s="64">
        <f t="shared" si="40"/>
        <v>8.241758241758243E-2</v>
      </c>
      <c r="BP220" s="64">
        <f t="shared" si="41"/>
        <v>8.241758241758243E-2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94.597701149425291</v>
      </c>
      <c r="Y221" s="665">
        <f>IFERROR(Y212/H212,"0")+IFERROR(Y213/H213,"0")+IFERROR(Y214/H214,"0")+IFERROR(Y215/H215,"0")+IFERROR(Y216/H216,"0")+IFERROR(Y217/H217,"0")+IFERROR(Y218/H218,"0")+IFERROR(Y219/H219,"0")+IFERROR(Y220/H220,"0")</f>
        <v>95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0.68080000000000007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256</v>
      </c>
      <c r="Y222" s="665">
        <f>IFERROR(SUM(Y212:Y220),"0")</f>
        <v>259.5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24</v>
      </c>
      <c r="Y279" s="664">
        <f>IFERROR(IF(X279="",0,CEILING((X279/$H279),1)*$H279),"")</f>
        <v>24</v>
      </c>
      <c r="Z279" s="36">
        <f>IFERROR(IF(Y279=0,"",ROUNDUP(Y279/H279,0)*0.00651),"")</f>
        <v>6.5100000000000005E-2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26.520000000000003</v>
      </c>
      <c r="BN279" s="64">
        <f>IFERROR(Y279*I279/H279,"0")</f>
        <v>26.520000000000003</v>
      </c>
      <c r="BO279" s="64">
        <f>IFERROR(1/J279*(X279/H279),"0")</f>
        <v>5.4945054945054951E-2</v>
      </c>
      <c r="BP279" s="64">
        <f>IFERROR(1/J279*(Y279/H279),"0")</f>
        <v>5.4945054945054951E-2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24</v>
      </c>
      <c r="Y280" s="664">
        <f>IFERROR(IF(X280="",0,CEILING((X280/$H280),1)*$H280),"")</f>
        <v>24</v>
      </c>
      <c r="Z280" s="36">
        <f>IFERROR(IF(Y280=0,"",ROUNDUP(Y280/H280,0)*0.00651),"")</f>
        <v>6.5100000000000005E-2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25.8</v>
      </c>
      <c r="BN280" s="64">
        <f>IFERROR(Y280*I280/H280,"0")</f>
        <v>25.8</v>
      </c>
      <c r="BO280" s="64">
        <f>IFERROR(1/J280*(X280/H280),"0")</f>
        <v>5.4945054945054951E-2</v>
      </c>
      <c r="BP280" s="64">
        <f>IFERROR(1/J280*(Y280/H280),"0")</f>
        <v>5.4945054945054951E-2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20</v>
      </c>
      <c r="Y282" s="665">
        <f>IFERROR(Y277/H277,"0")+IFERROR(Y278/H278,"0")+IFERROR(Y279/H279,"0")+IFERROR(Y280/H280,"0")+IFERROR(Y281/H281,"0")</f>
        <v>20</v>
      </c>
      <c r="Z282" s="665">
        <f>IFERROR(IF(Z277="",0,Z277),"0")+IFERROR(IF(Z278="",0,Z278),"0")+IFERROR(IF(Z279="",0,Z279),"0")+IFERROR(IF(Z280="",0,Z280),"0")+IFERROR(IF(Z281="",0,Z281),"0")</f>
        <v>0.13020000000000001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48</v>
      </c>
      <c r="Y283" s="665">
        <f>IFERROR(SUM(Y277:Y281),"0")</f>
        <v>48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250</v>
      </c>
      <c r="Y344" s="664">
        <f>IFERROR(IF(X344="",0,CEILING((X344/$H344),1)*$H344),"")</f>
        <v>257.39999999999998</v>
      </c>
      <c r="Z344" s="36">
        <f>IFERROR(IF(Y344=0,"",ROUNDUP(Y344/H344,0)*0.01898),"")</f>
        <v>0.62634000000000001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266.63461538461542</v>
      </c>
      <c r="BN344" s="64">
        <f>IFERROR(Y344*I344/H344,"0")</f>
        <v>274.52700000000004</v>
      </c>
      <c r="BO344" s="64">
        <f>IFERROR(1/J344*(X344/H344),"0")</f>
        <v>0.50080128205128205</v>
      </c>
      <c r="BP344" s="64">
        <f>IFERROR(1/J344*(Y344/H344),"0")</f>
        <v>0.515625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32.051282051282051</v>
      </c>
      <c r="Y346" s="665">
        <f>IFERROR(Y343/H343,"0")+IFERROR(Y344/H344,"0")+IFERROR(Y345/H345,"0")</f>
        <v>33</v>
      </c>
      <c r="Z346" s="665">
        <f>IFERROR(IF(Z343="",0,Z343),"0")+IFERROR(IF(Z344="",0,Z344),"0")+IFERROR(IF(Z345="",0,Z345),"0")</f>
        <v>0.62634000000000001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250</v>
      </c>
      <c r="Y347" s="665">
        <f>IFERROR(SUM(Y343:Y345),"0")</f>
        <v>257.39999999999998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15</v>
      </c>
      <c r="Y352" s="664">
        <f>IFERROR(IF(X352="",0,CEILING((X352/$H352),1)*$H352),"")</f>
        <v>15.299999999999999</v>
      </c>
      <c r="Z352" s="36">
        <f>IFERROR(IF(Y352=0,"",ROUNDUP(Y352/H352,0)*0.00651),"")</f>
        <v>3.9059999999999997E-2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16.941176470588236</v>
      </c>
      <c r="BN352" s="64">
        <f>IFERROR(Y352*I352/H352,"0")</f>
        <v>17.279999999999998</v>
      </c>
      <c r="BO352" s="64">
        <f>IFERROR(1/J352*(X352/H352),"0")</f>
        <v>3.2320620555914677E-2</v>
      </c>
      <c r="BP352" s="64">
        <f>IFERROR(1/J352*(Y352/H352),"0")</f>
        <v>3.2967032967032968E-2</v>
      </c>
    </row>
    <row r="353" spans="1:68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5.882352941176471</v>
      </c>
      <c r="Y353" s="665">
        <f>IFERROR(Y349/H349,"0")+IFERROR(Y350/H350,"0")+IFERROR(Y351/H351,"0")+IFERROR(Y352/H352,"0")</f>
        <v>6</v>
      </c>
      <c r="Z353" s="665">
        <f>IFERROR(IF(Z349="",0,Z349),"0")+IFERROR(IF(Z350="",0,Z350),"0")+IFERROR(IF(Z351="",0,Z351),"0")+IFERROR(IF(Z352="",0,Z352),"0")</f>
        <v>3.9059999999999997E-2</v>
      </c>
      <c r="AA353" s="666"/>
      <c r="AB353" s="666"/>
      <c r="AC353" s="666"/>
    </row>
    <row r="354" spans="1:68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15</v>
      </c>
      <c r="Y354" s="665">
        <f>IFERROR(SUM(Y349:Y352),"0")</f>
        <v>15.299999999999999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750</v>
      </c>
      <c r="Y375" s="664">
        <f t="shared" ref="Y375:Y384" si="58">IFERROR(IF(X375="",0,CEILING((X375/$H375),1)*$H375),"")</f>
        <v>750</v>
      </c>
      <c r="Z375" s="36">
        <f>IFERROR(IF(Y375=0,"",ROUNDUP(Y375/H375,0)*0.02175),"")</f>
        <v>1.0874999999999999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774</v>
      </c>
      <c r="BN375" s="64">
        <f t="shared" ref="BN375:BN384" si="60">IFERROR(Y375*I375/H375,"0")</f>
        <v>774</v>
      </c>
      <c r="BO375" s="64">
        <f t="shared" ref="BO375:BO384" si="61">IFERROR(1/J375*(X375/H375),"0")</f>
        <v>1.0416666666666665</v>
      </c>
      <c r="BP375" s="64">
        <f t="shared" ref="BP375:BP384" si="62">IFERROR(1/J375*(Y375/H375),"0")</f>
        <v>1.0416666666666665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500</v>
      </c>
      <c r="Y377" s="664">
        <f t="shared" si="58"/>
        <v>510</v>
      </c>
      <c r="Z377" s="36">
        <f>IFERROR(IF(Y377=0,"",ROUNDUP(Y377/H377,0)*0.02175),"")</f>
        <v>0.73949999999999994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516</v>
      </c>
      <c r="BN377" s="64">
        <f t="shared" si="60"/>
        <v>526.32000000000005</v>
      </c>
      <c r="BO377" s="64">
        <f t="shared" si="61"/>
        <v>0.69444444444444442</v>
      </c>
      <c r="BP377" s="64">
        <f t="shared" si="62"/>
        <v>0.70833333333333326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hidden="1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1500</v>
      </c>
      <c r="Y380" s="664">
        <f t="shared" si="58"/>
        <v>1500</v>
      </c>
      <c r="Z380" s="36">
        <f>IFERROR(IF(Y380=0,"",ROUNDUP(Y380/H380,0)*0.02175),"")</f>
        <v>2.1749999999999998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1548</v>
      </c>
      <c r="BN380" s="64">
        <f t="shared" si="60"/>
        <v>1548</v>
      </c>
      <c r="BO380" s="64">
        <f t="shared" si="61"/>
        <v>2.083333333333333</v>
      </c>
      <c r="BP380" s="64">
        <f t="shared" si="62"/>
        <v>2.083333333333333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183.33333333333334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184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4.0019999999999998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2750</v>
      </c>
      <c r="Y386" s="665">
        <f>IFERROR(SUM(Y375:Y384),"0")</f>
        <v>2760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900</v>
      </c>
      <c r="Y388" s="664">
        <f>IFERROR(IF(X388="",0,CEILING((X388/$H388),1)*$H388),"")</f>
        <v>900</v>
      </c>
      <c r="Z388" s="36">
        <f>IFERROR(IF(Y388=0,"",ROUNDUP(Y388/H388,0)*0.02175),"")</f>
        <v>1.3049999999999999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928.8</v>
      </c>
      <c r="BN388" s="64">
        <f>IFERROR(Y388*I388/H388,"0")</f>
        <v>928.8</v>
      </c>
      <c r="BO388" s="64">
        <f>IFERROR(1/J388*(X388/H388),"0")</f>
        <v>1.25</v>
      </c>
      <c r="BP388" s="64">
        <f>IFERROR(1/J388*(Y388/H388),"0")</f>
        <v>1.25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60</v>
      </c>
      <c r="Y390" s="665">
        <f>IFERROR(Y388/H388,"0")+IFERROR(Y389/H389,"0")</f>
        <v>60</v>
      </c>
      <c r="Z390" s="665">
        <f>IFERROR(IF(Z388="",0,Z388),"0")+IFERROR(IF(Z389="",0,Z389),"0")</f>
        <v>1.3049999999999999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900</v>
      </c>
      <c r="Y391" s="665">
        <f>IFERROR(SUM(Y388:Y389),"0")</f>
        <v>900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600</v>
      </c>
      <c r="Y482" s="664">
        <f t="shared" si="69"/>
        <v>601.92000000000007</v>
      </c>
      <c r="Z482" s="36">
        <f>IFERROR(IF(Y482=0,"",ROUNDUP(Y482/H482,0)*0.01196),"")</f>
        <v>1.36344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640.90909090909088</v>
      </c>
      <c r="BN482" s="64">
        <f t="shared" si="71"/>
        <v>642.96</v>
      </c>
      <c r="BO482" s="64">
        <f t="shared" si="72"/>
        <v>1.0926573426573427</v>
      </c>
      <c r="BP482" s="64">
        <f t="shared" si="73"/>
        <v>1.0961538461538463</v>
      </c>
    </row>
    <row r="483" spans="1:68" ht="27" hidden="1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113.63636363636363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114.00000000000001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1.36344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600</v>
      </c>
      <c r="Y496" s="665">
        <f>IFERROR(SUM(Y480:Y494),"0")</f>
        <v>601.92000000000007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hidden="1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idden="1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5155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5192.5200000000004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5382.0699785497354</v>
      </c>
      <c r="Y592" s="665">
        <f>IFERROR(SUM(BN22:BN588),"0")</f>
        <v>5421.3519999999999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8</v>
      </c>
      <c r="Y593" s="38">
        <f>ROUNDUP(SUM(BP22:BP588),0)</f>
        <v>9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5582.0699785497354</v>
      </c>
      <c r="Y594" s="665">
        <f>GrossWeightTotalR+PalletQtyTotalR*25</f>
        <v>5646.3519999999999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593.57510718565482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598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8.8566599999999998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54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189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21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345.9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48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272.7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3660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601.92000000000007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,00"/>
        <filter val="100,00"/>
        <filter val="113,64"/>
        <filter val="14,81"/>
        <filter val="15,00"/>
        <filter val="183,33"/>
        <filter val="2 750,00"/>
        <filter val="20,00"/>
        <filter val="21,00"/>
        <filter val="24,00"/>
        <filter val="250,00"/>
        <filter val="256,00"/>
        <filter val="30,00"/>
        <filter val="32,05"/>
        <filter val="36,00"/>
        <filter val="40,00"/>
        <filter val="48,00"/>
        <filter val="5 155,00"/>
        <filter val="5 382,07"/>
        <filter val="5 582,07"/>
        <filter val="5,88"/>
        <filter val="50,00"/>
        <filter val="500,00"/>
        <filter val="54,00"/>
        <filter val="593,58"/>
        <filter val="60,00"/>
        <filter val="600,00"/>
        <filter val="72,00"/>
        <filter val="750,00"/>
        <filter val="8"/>
        <filter val="80,00"/>
        <filter val="81,00"/>
        <filter val="9,26"/>
        <filter val="900,00"/>
        <filter val="94,6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2025-04-11T12:51:40Z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