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01718D-3518-4D5F-B97F-29712C5582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Y503" i="1" s="1"/>
  <c r="P499" i="1"/>
  <c r="X497" i="1"/>
  <c r="X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P421" i="1"/>
  <c r="BO421" i="1"/>
  <c r="BN421" i="1"/>
  <c r="BM421" i="1"/>
  <c r="Z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Y365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O356" i="1"/>
  <c r="BM356" i="1"/>
  <c r="Y356" i="1"/>
  <c r="Y360" i="1" s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BO241" i="1"/>
  <c r="BM241" i="1"/>
  <c r="Y241" i="1"/>
  <c r="P241" i="1"/>
  <c r="X239" i="1"/>
  <c r="X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O225" i="1"/>
  <c r="BM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Y171" i="1" s="1"/>
  <c r="P170" i="1"/>
  <c r="X166" i="1"/>
  <c r="X165" i="1"/>
  <c r="BO164" i="1"/>
  <c r="BM164" i="1"/>
  <c r="Y164" i="1"/>
  <c r="P164" i="1"/>
  <c r="BO163" i="1"/>
  <c r="BM163" i="1"/>
  <c r="Y163" i="1"/>
  <c r="Y166" i="1" s="1"/>
  <c r="P163" i="1"/>
  <c r="X161" i="1"/>
  <c r="X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P70" i="1"/>
  <c r="X68" i="1"/>
  <c r="X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Y60" i="1"/>
  <c r="P60" i="1"/>
  <c r="BP59" i="1"/>
  <c r="BO59" i="1"/>
  <c r="BN59" i="1"/>
  <c r="BM59" i="1"/>
  <c r="Z59" i="1"/>
  <c r="Y59" i="1"/>
  <c r="P59" i="1"/>
  <c r="BO58" i="1"/>
  <c r="BM58" i="1"/>
  <c r="Y58" i="1"/>
  <c r="P58" i="1"/>
  <c r="BO57" i="1"/>
  <c r="BM57" i="1"/>
  <c r="Y57" i="1"/>
  <c r="P57" i="1"/>
  <c r="X55" i="1"/>
  <c r="X54" i="1"/>
  <c r="BO53" i="1"/>
  <c r="BM53" i="1"/>
  <c r="Y53" i="1"/>
  <c r="P53" i="1"/>
  <c r="BO52" i="1"/>
  <c r="BM52" i="1"/>
  <c r="Y52" i="1"/>
  <c r="P52" i="1"/>
  <c r="BO51" i="1"/>
  <c r="BM51" i="1"/>
  <c r="Y51" i="1"/>
  <c r="BP51" i="1" s="1"/>
  <c r="P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P37" i="1"/>
  <c r="BO36" i="1"/>
  <c r="BM36" i="1"/>
  <c r="Y36" i="1"/>
  <c r="BP36" i="1" s="1"/>
  <c r="P36" i="1"/>
  <c r="BO35" i="1"/>
  <c r="BM35" i="1"/>
  <c r="Y35" i="1"/>
  <c r="BN35" i="1" s="1"/>
  <c r="P35" i="1"/>
  <c r="X31" i="1"/>
  <c r="X30" i="1"/>
  <c r="BO29" i="1"/>
  <c r="BM29" i="1"/>
  <c r="Y29" i="1"/>
  <c r="Y31" i="1" s="1"/>
  <c r="P29" i="1"/>
  <c r="X27" i="1"/>
  <c r="X592" i="1" s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53" i="1" l="1"/>
  <c r="BN53" i="1"/>
  <c r="Z53" i="1"/>
  <c r="BP81" i="1"/>
  <c r="BN81" i="1"/>
  <c r="Z81" i="1"/>
  <c r="BP113" i="1"/>
  <c r="BN113" i="1"/>
  <c r="Z113" i="1"/>
  <c r="BP123" i="1"/>
  <c r="BN123" i="1"/>
  <c r="Z123" i="1"/>
  <c r="BP141" i="1"/>
  <c r="BN141" i="1"/>
  <c r="Z141" i="1"/>
  <c r="BP201" i="1"/>
  <c r="BN201" i="1"/>
  <c r="Z201" i="1"/>
  <c r="BP219" i="1"/>
  <c r="BN219" i="1"/>
  <c r="Z219" i="1"/>
  <c r="BP258" i="1"/>
  <c r="BN258" i="1"/>
  <c r="Z258" i="1"/>
  <c r="BP320" i="1"/>
  <c r="BN320" i="1"/>
  <c r="Z320" i="1"/>
  <c r="BP352" i="1"/>
  <c r="BN352" i="1"/>
  <c r="Z352" i="1"/>
  <c r="BP384" i="1"/>
  <c r="BN384" i="1"/>
  <c r="Z384" i="1"/>
  <c r="BP439" i="1"/>
  <c r="BN439" i="1"/>
  <c r="Z439" i="1"/>
  <c r="BP516" i="1"/>
  <c r="BN516" i="1"/>
  <c r="Z516" i="1"/>
  <c r="Z24" i="1"/>
  <c r="BN24" i="1"/>
  <c r="X596" i="1"/>
  <c r="Z38" i="1"/>
  <c r="BN38" i="1"/>
  <c r="BP71" i="1"/>
  <c r="BN71" i="1"/>
  <c r="Z71" i="1"/>
  <c r="BP98" i="1"/>
  <c r="BN98" i="1"/>
  <c r="Z98" i="1"/>
  <c r="BP120" i="1"/>
  <c r="BN120" i="1"/>
  <c r="Z120" i="1"/>
  <c r="BP124" i="1"/>
  <c r="BN124" i="1"/>
  <c r="Z124" i="1"/>
  <c r="BP164" i="1"/>
  <c r="BN164" i="1"/>
  <c r="Z164" i="1"/>
  <c r="BP213" i="1"/>
  <c r="BN213" i="1"/>
  <c r="Z213" i="1"/>
  <c r="BP234" i="1"/>
  <c r="BN234" i="1"/>
  <c r="Z234" i="1"/>
  <c r="BP277" i="1"/>
  <c r="BN277" i="1"/>
  <c r="Z277" i="1"/>
  <c r="BP330" i="1"/>
  <c r="BN330" i="1"/>
  <c r="Z330" i="1"/>
  <c r="BP376" i="1"/>
  <c r="BN376" i="1"/>
  <c r="Z376" i="1"/>
  <c r="BP404" i="1"/>
  <c r="BN404" i="1"/>
  <c r="Z404" i="1"/>
  <c r="BP440" i="1"/>
  <c r="BN440" i="1"/>
  <c r="Z440" i="1"/>
  <c r="BP517" i="1"/>
  <c r="BN517" i="1"/>
  <c r="Z517" i="1"/>
  <c r="Y61" i="1"/>
  <c r="Y128" i="1"/>
  <c r="Y183" i="1"/>
  <c r="Y340" i="1"/>
  <c r="Y354" i="1"/>
  <c r="Y462" i="1"/>
  <c r="AC602" i="1"/>
  <c r="BP232" i="1"/>
  <c r="BN232" i="1"/>
  <c r="Z232" i="1"/>
  <c r="BP256" i="1"/>
  <c r="BN256" i="1"/>
  <c r="Z256" i="1"/>
  <c r="BP272" i="1"/>
  <c r="BN272" i="1"/>
  <c r="Z272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Y310" i="1"/>
  <c r="BP308" i="1"/>
  <c r="BN308" i="1"/>
  <c r="Z308" i="1"/>
  <c r="Y332" i="1"/>
  <c r="BP328" i="1"/>
  <c r="BN328" i="1"/>
  <c r="Z328" i="1"/>
  <c r="Z22" i="1"/>
  <c r="BN22" i="1"/>
  <c r="Z36" i="1"/>
  <c r="BN36" i="1"/>
  <c r="Z42" i="1"/>
  <c r="Z43" i="1" s="1"/>
  <c r="BN42" i="1"/>
  <c r="BP42" i="1"/>
  <c r="Y43" i="1"/>
  <c r="Z47" i="1"/>
  <c r="BN47" i="1"/>
  <c r="Y54" i="1"/>
  <c r="Z51" i="1"/>
  <c r="BN51" i="1"/>
  <c r="Z57" i="1"/>
  <c r="BN57" i="1"/>
  <c r="BP57" i="1"/>
  <c r="Z65" i="1"/>
  <c r="BN65" i="1"/>
  <c r="Y77" i="1"/>
  <c r="Z73" i="1"/>
  <c r="BN73" i="1"/>
  <c r="Z79" i="1"/>
  <c r="BN79" i="1"/>
  <c r="BP79" i="1"/>
  <c r="Z86" i="1"/>
  <c r="BN86" i="1"/>
  <c r="Z92" i="1"/>
  <c r="BN92" i="1"/>
  <c r="BP92" i="1"/>
  <c r="Z100" i="1"/>
  <c r="BN100" i="1"/>
  <c r="Z107" i="1"/>
  <c r="BN107" i="1"/>
  <c r="Y115" i="1"/>
  <c r="Z126" i="1"/>
  <c r="BN126" i="1"/>
  <c r="Y132" i="1"/>
  <c r="Z137" i="1"/>
  <c r="BN137" i="1"/>
  <c r="Y143" i="1"/>
  <c r="Z147" i="1"/>
  <c r="BN147" i="1"/>
  <c r="Y160" i="1"/>
  <c r="Z158" i="1"/>
  <c r="BN158" i="1"/>
  <c r="Z170" i="1"/>
  <c r="Z171" i="1" s="1"/>
  <c r="BN170" i="1"/>
  <c r="BP170" i="1"/>
  <c r="Z174" i="1"/>
  <c r="BN174" i="1"/>
  <c r="BP174" i="1"/>
  <c r="Z178" i="1"/>
  <c r="BN178" i="1"/>
  <c r="Z179" i="1"/>
  <c r="BN179" i="1"/>
  <c r="Z197" i="1"/>
  <c r="BN197" i="1"/>
  <c r="Y209" i="1"/>
  <c r="Z203" i="1"/>
  <c r="BN203" i="1"/>
  <c r="Z207" i="1"/>
  <c r="BN207" i="1"/>
  <c r="Y221" i="1"/>
  <c r="Z215" i="1"/>
  <c r="BN215" i="1"/>
  <c r="BP217" i="1"/>
  <c r="BN217" i="1"/>
  <c r="BP225" i="1"/>
  <c r="BN225" i="1"/>
  <c r="Z225" i="1"/>
  <c r="BP236" i="1"/>
  <c r="BN236" i="1"/>
  <c r="Z236" i="1"/>
  <c r="BP260" i="1"/>
  <c r="BN260" i="1"/>
  <c r="Z260" i="1"/>
  <c r="BP279" i="1"/>
  <c r="BN279" i="1"/>
  <c r="Z279" i="1"/>
  <c r="BP322" i="1"/>
  <c r="BN322" i="1"/>
  <c r="Z322" i="1"/>
  <c r="Y243" i="1"/>
  <c r="U602" i="1"/>
  <c r="Z336" i="1"/>
  <c r="BN336" i="1"/>
  <c r="Z344" i="1"/>
  <c r="BN344" i="1"/>
  <c r="Z349" i="1"/>
  <c r="BN349" i="1"/>
  <c r="BP349" i="1"/>
  <c r="Z350" i="1"/>
  <c r="BN350" i="1"/>
  <c r="Z356" i="1"/>
  <c r="BN356" i="1"/>
  <c r="BP356" i="1"/>
  <c r="Z363" i="1"/>
  <c r="Z364" i="1" s="1"/>
  <c r="BN363" i="1"/>
  <c r="BP363" i="1"/>
  <c r="Z368" i="1"/>
  <c r="BN368" i="1"/>
  <c r="Z378" i="1"/>
  <c r="BN378" i="1"/>
  <c r="Z382" i="1"/>
  <c r="BN382" i="1"/>
  <c r="Y396" i="1"/>
  <c r="Y395" i="1"/>
  <c r="BP393" i="1"/>
  <c r="BN393" i="1"/>
  <c r="Z393" i="1"/>
  <c r="Y414" i="1"/>
  <c r="BP412" i="1"/>
  <c r="BN412" i="1"/>
  <c r="Z412" i="1"/>
  <c r="BP431" i="1"/>
  <c r="BN431" i="1"/>
  <c r="Z431" i="1"/>
  <c r="BP433" i="1"/>
  <c r="BN433" i="1"/>
  <c r="Z433" i="1"/>
  <c r="BP437" i="1"/>
  <c r="BN437" i="1"/>
  <c r="Z437" i="1"/>
  <c r="BP453" i="1"/>
  <c r="BN453" i="1"/>
  <c r="Z453" i="1"/>
  <c r="BP459" i="1"/>
  <c r="BN459" i="1"/>
  <c r="Z459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388" i="1"/>
  <c r="BN388" i="1"/>
  <c r="Z388" i="1"/>
  <c r="BP394" i="1"/>
  <c r="BN394" i="1"/>
  <c r="Z394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42" i="1"/>
  <c r="BN442" i="1"/>
  <c r="Z442" i="1"/>
  <c r="BP458" i="1"/>
  <c r="BN458" i="1"/>
  <c r="Z458" i="1"/>
  <c r="BP482" i="1"/>
  <c r="BN482" i="1"/>
  <c r="Z482" i="1"/>
  <c r="BP490" i="1"/>
  <c r="BN490" i="1"/>
  <c r="Z490" i="1"/>
  <c r="BP492" i="1"/>
  <c r="BN492" i="1"/>
  <c r="Z492" i="1"/>
  <c r="BP507" i="1"/>
  <c r="BN507" i="1"/>
  <c r="Z507" i="1"/>
  <c r="BP509" i="1"/>
  <c r="BN509" i="1"/>
  <c r="Z509" i="1"/>
  <c r="BP513" i="1"/>
  <c r="BN513" i="1"/>
  <c r="Z513" i="1"/>
  <c r="BP522" i="1"/>
  <c r="BN522" i="1"/>
  <c r="Z522" i="1"/>
  <c r="H9" i="1"/>
  <c r="A10" i="1"/>
  <c r="B602" i="1"/>
  <c r="X593" i="1"/>
  <c r="X594" i="1"/>
  <c r="Z23" i="1"/>
  <c r="BN23" i="1"/>
  <c r="Z25" i="1"/>
  <c r="BN25" i="1"/>
  <c r="Y26" i="1"/>
  <c r="Z29" i="1"/>
  <c r="Z30" i="1" s="1"/>
  <c r="BN29" i="1"/>
  <c r="BP29" i="1"/>
  <c r="Y30" i="1"/>
  <c r="Z35" i="1"/>
  <c r="BP37" i="1"/>
  <c r="BN37" i="1"/>
  <c r="Z37" i="1"/>
  <c r="BP50" i="1"/>
  <c r="BN50" i="1"/>
  <c r="Z50" i="1"/>
  <c r="BP58" i="1"/>
  <c r="BN58" i="1"/>
  <c r="Z58" i="1"/>
  <c r="BP66" i="1"/>
  <c r="BN66" i="1"/>
  <c r="Z66" i="1"/>
  <c r="F9" i="1"/>
  <c r="J9" i="1"/>
  <c r="Y27" i="1"/>
  <c r="C602" i="1"/>
  <c r="Y40" i="1"/>
  <c r="BP35" i="1"/>
  <c r="Y39" i="1"/>
  <c r="BP48" i="1"/>
  <c r="BN48" i="1"/>
  <c r="Z48" i="1"/>
  <c r="Z54" i="1" s="1"/>
  <c r="BP52" i="1"/>
  <c r="BN52" i="1"/>
  <c r="Z52" i="1"/>
  <c r="BP60" i="1"/>
  <c r="BN60" i="1"/>
  <c r="Z60" i="1"/>
  <c r="Y62" i="1"/>
  <c r="Y67" i="1"/>
  <c r="BP64" i="1"/>
  <c r="BN64" i="1"/>
  <c r="Z64" i="1"/>
  <c r="Y68" i="1"/>
  <c r="Y76" i="1"/>
  <c r="Y82" i="1"/>
  <c r="Y89" i="1"/>
  <c r="Y101" i="1"/>
  <c r="Y110" i="1"/>
  <c r="Y116" i="1"/>
  <c r="Y127" i="1"/>
  <c r="Y133" i="1"/>
  <c r="Y138" i="1"/>
  <c r="Y144" i="1"/>
  <c r="Y148" i="1"/>
  <c r="Y161" i="1"/>
  <c r="Y165" i="1"/>
  <c r="Y184" i="1"/>
  <c r="Y194" i="1"/>
  <c r="Y198" i="1"/>
  <c r="Y210" i="1"/>
  <c r="Y222" i="1"/>
  <c r="Y226" i="1"/>
  <c r="Y239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Y410" i="1"/>
  <c r="BP403" i="1"/>
  <c r="BN403" i="1"/>
  <c r="Z403" i="1"/>
  <c r="X602" i="1"/>
  <c r="BP407" i="1"/>
  <c r="BN407" i="1"/>
  <c r="Z407" i="1"/>
  <c r="BP418" i="1"/>
  <c r="BN418" i="1"/>
  <c r="Z418" i="1"/>
  <c r="Y422" i="1"/>
  <c r="Y426" i="1"/>
  <c r="BP425" i="1"/>
  <c r="BN425" i="1"/>
  <c r="Z425" i="1"/>
  <c r="Z426" i="1" s="1"/>
  <c r="Y427" i="1"/>
  <c r="BP435" i="1"/>
  <c r="BN435" i="1"/>
  <c r="Z435" i="1"/>
  <c r="BP438" i="1"/>
  <c r="BN438" i="1"/>
  <c r="Z438" i="1"/>
  <c r="Y443" i="1"/>
  <c r="BP447" i="1"/>
  <c r="BN447" i="1"/>
  <c r="Z447" i="1"/>
  <c r="Z448" i="1" s="1"/>
  <c r="Y449" i="1"/>
  <c r="Z602" i="1"/>
  <c r="Y455" i="1"/>
  <c r="BP452" i="1"/>
  <c r="BN452" i="1"/>
  <c r="Z452" i="1"/>
  <c r="Z454" i="1" s="1"/>
  <c r="BP460" i="1"/>
  <c r="BN460" i="1"/>
  <c r="Z460" i="1"/>
  <c r="AA602" i="1"/>
  <c r="Y467" i="1"/>
  <c r="BP465" i="1"/>
  <c r="BN465" i="1"/>
  <c r="Z465" i="1"/>
  <c r="D602" i="1"/>
  <c r="Y55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Z146" i="1"/>
  <c r="Z148" i="1" s="1"/>
  <c r="BN146" i="1"/>
  <c r="BP146" i="1"/>
  <c r="H602" i="1"/>
  <c r="Y154" i="1"/>
  <c r="Z157" i="1"/>
  <c r="BN157" i="1"/>
  <c r="Z159" i="1"/>
  <c r="BN159" i="1"/>
  <c r="Z163" i="1"/>
  <c r="Z165" i="1" s="1"/>
  <c r="BN163" i="1"/>
  <c r="BP163" i="1"/>
  <c r="I602" i="1"/>
  <c r="Y172" i="1"/>
  <c r="Z175" i="1"/>
  <c r="BN175" i="1"/>
  <c r="Z177" i="1"/>
  <c r="BN177" i="1"/>
  <c r="Z180" i="1"/>
  <c r="BN180" i="1"/>
  <c r="Z182" i="1"/>
  <c r="BN182" i="1"/>
  <c r="J602" i="1"/>
  <c r="Z192" i="1"/>
  <c r="Z193" i="1" s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BN231" i="1"/>
  <c r="Z233" i="1"/>
  <c r="BN233" i="1"/>
  <c r="Z235" i="1"/>
  <c r="BN235" i="1"/>
  <c r="Z237" i="1"/>
  <c r="BN237" i="1"/>
  <c r="Y238" i="1"/>
  <c r="Z241" i="1"/>
  <c r="BN241" i="1"/>
  <c r="BP241" i="1"/>
  <c r="Z242" i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BN278" i="1"/>
  <c r="Z280" i="1"/>
  <c r="BN280" i="1"/>
  <c r="Y283" i="1"/>
  <c r="Y288" i="1"/>
  <c r="Y301" i="1"/>
  <c r="S602" i="1"/>
  <c r="Y306" i="1"/>
  <c r="Z309" i="1"/>
  <c r="Z310" i="1" s="1"/>
  <c r="BN309" i="1"/>
  <c r="Z314" i="1"/>
  <c r="Z315" i="1" s="1"/>
  <c r="BN314" i="1"/>
  <c r="BP314" i="1"/>
  <c r="Y315" i="1"/>
  <c r="Z319" i="1"/>
  <c r="Z325" i="1" s="1"/>
  <c r="BN319" i="1"/>
  <c r="BP319" i="1"/>
  <c r="Z321" i="1"/>
  <c r="BN321" i="1"/>
  <c r="Z323" i="1"/>
  <c r="BN323" i="1"/>
  <c r="Y326" i="1"/>
  <c r="Z329" i="1"/>
  <c r="BN329" i="1"/>
  <c r="Z331" i="1"/>
  <c r="BN331" i="1"/>
  <c r="Z335" i="1"/>
  <c r="Z340" i="1" s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Z353" i="1" s="1"/>
  <c r="BN351" i="1"/>
  <c r="Z357" i="1"/>
  <c r="Z359" i="1" s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09" i="1"/>
  <c r="BP413" i="1"/>
  <c r="BN413" i="1"/>
  <c r="Z413" i="1"/>
  <c r="Z414" i="1" s="1"/>
  <c r="Y415" i="1"/>
  <c r="Y423" i="1"/>
  <c r="BP417" i="1"/>
  <c r="BN417" i="1"/>
  <c r="Z417" i="1"/>
  <c r="BP420" i="1"/>
  <c r="BN420" i="1"/>
  <c r="Z420" i="1"/>
  <c r="BP436" i="1"/>
  <c r="BN436" i="1"/>
  <c r="Z436" i="1"/>
  <c r="BP441" i="1"/>
  <c r="BN441" i="1"/>
  <c r="Z441" i="1"/>
  <c r="Y448" i="1"/>
  <c r="Y454" i="1"/>
  <c r="Y461" i="1"/>
  <c r="BP457" i="1"/>
  <c r="BN457" i="1"/>
  <c r="Z457" i="1"/>
  <c r="Z461" i="1" s="1"/>
  <c r="BP466" i="1"/>
  <c r="BN466" i="1"/>
  <c r="Z466" i="1"/>
  <c r="Y468" i="1"/>
  <c r="Y472" i="1"/>
  <c r="BP471" i="1"/>
  <c r="BN471" i="1"/>
  <c r="Z471" i="1"/>
  <c r="Z472" i="1" s="1"/>
  <c r="AB602" i="1"/>
  <c r="Y473" i="1"/>
  <c r="Y476" i="1"/>
  <c r="BP475" i="1"/>
  <c r="BN475" i="1"/>
  <c r="Z475" i="1"/>
  <c r="Z476" i="1" s="1"/>
  <c r="Y477" i="1"/>
  <c r="Z518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602" i="1"/>
  <c r="Y444" i="1"/>
  <c r="Z481" i="1"/>
  <c r="BN481" i="1"/>
  <c r="BP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Y518" i="1"/>
  <c r="Z511" i="1"/>
  <c r="BN511" i="1"/>
  <c r="Z512" i="1"/>
  <c r="BN512" i="1"/>
  <c r="Z515" i="1"/>
  <c r="BN515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89" i="1" l="1"/>
  <c r="Z67" i="1"/>
  <c r="Z332" i="1"/>
  <c r="Z238" i="1"/>
  <c r="Z183" i="1"/>
  <c r="Z101" i="1"/>
  <c r="Y594" i="1"/>
  <c r="Z39" i="1"/>
  <c r="Z443" i="1"/>
  <c r="Z282" i="1"/>
  <c r="Z209" i="1"/>
  <c r="Z160" i="1"/>
  <c r="Z109" i="1"/>
  <c r="Y593" i="1"/>
  <c r="Y595" i="1" s="1"/>
  <c r="Z61" i="1"/>
  <c r="Z26" i="1"/>
  <c r="Z395" i="1"/>
  <c r="Z566" i="1"/>
  <c r="Z503" i="1"/>
  <c r="Z496" i="1"/>
  <c r="Z548" i="1"/>
  <c r="Z524" i="1"/>
  <c r="Z422" i="1"/>
  <c r="Z346" i="1"/>
  <c r="Z261" i="1"/>
  <c r="Z243" i="1"/>
  <c r="Z221" i="1"/>
  <c r="Z127" i="1"/>
  <c r="Z76" i="1"/>
  <c r="Y592" i="1"/>
  <c r="Y596" i="1"/>
  <c r="X595" i="1"/>
  <c r="Z385" i="1"/>
  <c r="Z467" i="1"/>
  <c r="Z409" i="1"/>
  <c r="Z370" i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<sst xmlns="http://schemas.openxmlformats.org/spreadsheetml/2006/main" count="2738" uniqueCount="970">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</sst>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45757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Четверг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0.5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hidden="1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hidden="1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idden="1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0</v>
      </c>
      <c r="Y39" s="667">
        <f>IFERROR(Y35/H35,"0")+IFERROR(Y36/H36,"0")+IFERROR(Y37/H37,"0")+IFERROR(Y38/H38,"0")</f>
        <v>0</v>
      </c>
      <c r="Z39" s="667">
        <f>IFERROR(IF(Z35="",0,Z35),"0")+IFERROR(IF(Z36="",0,Z36),"0")+IFERROR(IF(Z37="",0,Z37),"0")+IFERROR(IF(Z38="",0,Z38),"0")</f>
        <v>0</v>
      </c>
      <c r="AA39" s="668"/>
      <c r="AB39" s="668"/>
      <c r="AC39" s="668"/>
    </row>
    <row r="40" spans="1:68" hidden="1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0</v>
      </c>
      <c r="Y40" s="667">
        <f>IFERROR(SUM(Y35:Y38),"0")</f>
        <v>0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300</v>
      </c>
      <c r="Y47" s="666">
        <f t="shared" ref="Y47:Y53" si="0">IFERROR(IF(X47="",0,CEILING((X47/$H47),1)*$H47),"")</f>
        <v>302.39999999999998</v>
      </c>
      <c r="Z47" s="36">
        <f>IFERROR(IF(Y47=0,"",ROUNDUP(Y47/H47,0)*0.01898),"")</f>
        <v>0.51246000000000003</v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311.65178571428572</v>
      </c>
      <c r="BN47" s="64">
        <f t="shared" ref="BN47:BN53" si="2">IFERROR(Y47*I47/H47,"0")</f>
        <v>314.14499999999998</v>
      </c>
      <c r="BO47" s="64">
        <f t="shared" ref="BO47:BO53" si="3">IFERROR(1/J47*(X47/H47),"0")</f>
        <v>0.41852678571428575</v>
      </c>
      <c r="BP47" s="64">
        <f t="shared" ref="BP47:BP53" si="4">IFERROR(1/J47*(Y47/H47),"0")</f>
        <v>0.421875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2100</v>
      </c>
      <c r="Y48" s="666">
        <f t="shared" si="0"/>
        <v>2106</v>
      </c>
      <c r="Z48" s="36">
        <f>IFERROR(IF(Y48=0,"",ROUNDUP(Y48/H48,0)*0.01898),"")</f>
        <v>3.7011000000000003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2184.583333333333</v>
      </c>
      <c r="BN48" s="64">
        <f t="shared" si="2"/>
        <v>2190.8249999999998</v>
      </c>
      <c r="BO48" s="64">
        <f t="shared" si="3"/>
        <v>3.0381944444444442</v>
      </c>
      <c r="BP48" s="64">
        <f t="shared" si="4"/>
        <v>3.046875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221.23015873015871</v>
      </c>
      <c r="Y54" s="667">
        <f>IFERROR(Y47/H47,"0")+IFERROR(Y48/H48,"0")+IFERROR(Y49/H49,"0")+IFERROR(Y50/H50,"0")+IFERROR(Y51/H51,"0")+IFERROR(Y52/H52,"0")+IFERROR(Y53/H53,"0")</f>
        <v>222</v>
      </c>
      <c r="Z54" s="667">
        <f>IFERROR(IF(Z47="",0,Z47),"0")+IFERROR(IF(Z48="",0,Z48),"0")+IFERROR(IF(Z49="",0,Z49),"0")+IFERROR(IF(Z50="",0,Z50),"0")+IFERROR(IF(Z51="",0,Z51),"0")+IFERROR(IF(Z52="",0,Z52),"0")+IFERROR(IF(Z53="",0,Z53),"0")</f>
        <v>4.2135600000000002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2400</v>
      </c>
      <c r="Y55" s="667">
        <f>IFERROR(SUM(Y47:Y53),"0")</f>
        <v>2408.4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100</v>
      </c>
      <c r="Y57" s="666">
        <f>IFERROR(IF(X57="",0,CEILING((X57/$H57),1)*$H57),"")</f>
        <v>108</v>
      </c>
      <c r="Z57" s="36">
        <f>IFERROR(IF(Y57=0,"",ROUNDUP(Y57/H57,0)*0.01898),"")</f>
        <v>0.1898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104.02777777777777</v>
      </c>
      <c r="BN57" s="64">
        <f>IFERROR(Y57*I57/H57,"0")</f>
        <v>112.34999999999998</v>
      </c>
      <c r="BO57" s="64">
        <f>IFERROR(1/J57*(X57/H57),"0")</f>
        <v>0.14467592592592593</v>
      </c>
      <c r="BP57" s="64">
        <f>IFERROR(1/J57*(Y57/H57),"0")</f>
        <v>0.15625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9.2592592592592595</v>
      </c>
      <c r="Y61" s="667">
        <f>IFERROR(Y57/H57,"0")+IFERROR(Y58/H58,"0")+IFERROR(Y59/H59,"0")+IFERROR(Y60/H60,"0")</f>
        <v>10</v>
      </c>
      <c r="Z61" s="667">
        <f>IFERROR(IF(Z57="",0,Z57),"0")+IFERROR(IF(Z58="",0,Z58),"0")+IFERROR(IF(Z59="",0,Z59),"0")+IFERROR(IF(Z60="",0,Z60),"0")</f>
        <v>0.1898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100</v>
      </c>
      <c r="Y62" s="667">
        <f>IFERROR(SUM(Y57:Y60),"0")</f>
        <v>108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200</v>
      </c>
      <c r="Y86" s="66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18.518518518518519</v>
      </c>
      <c r="Y89" s="667">
        <f>IFERROR(Y86/H86,"0")+IFERROR(Y87/H87,"0")+IFERROR(Y88/H88,"0")</f>
        <v>19</v>
      </c>
      <c r="Z89" s="667">
        <f>IFERROR(IF(Z86="",0,Z86),"0")+IFERROR(IF(Z87="",0,Z87),"0")+IFERROR(IF(Z88="",0,Z88),"0")</f>
        <v>0.36062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200</v>
      </c>
      <c r="Y90" s="667">
        <f>IFERROR(SUM(Y86:Y88),"0")</f>
        <v>205.20000000000002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1100</v>
      </c>
      <c r="Y93" s="666">
        <f t="shared" si="10"/>
        <v>1100.4000000000001</v>
      </c>
      <c r="Z93" s="36">
        <f>IFERROR(IF(Y93=0,"",ROUNDUP(Y93/H93,0)*0.01898),"")</f>
        <v>2.48638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1167.9642857142856</v>
      </c>
      <c r="BN93" s="64">
        <f t="shared" si="12"/>
        <v>1168.3890000000001</v>
      </c>
      <c r="BO93" s="64">
        <f t="shared" si="13"/>
        <v>2.0461309523809521</v>
      </c>
      <c r="BP93" s="64">
        <f t="shared" si="14"/>
        <v>2.046875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42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130.95238095238093</v>
      </c>
      <c r="Y101" s="667">
        <f>IFERROR(Y92/H92,"0")+IFERROR(Y93/H93,"0")+IFERROR(Y94/H94,"0")+IFERROR(Y95/H95,"0")+IFERROR(Y96/H96,"0")+IFERROR(Y97/H97,"0")+IFERROR(Y98/H98,"0")+IFERROR(Y99/H99,"0")+IFERROR(Y100/H100,"0")</f>
        <v>131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2.48638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1100</v>
      </c>
      <c r="Y102" s="667">
        <f>IFERROR(SUM(Y92:Y100),"0")</f>
        <v>1100.4000000000001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6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1100</v>
      </c>
      <c r="Y120" s="666">
        <f t="shared" si="15"/>
        <v>1100.4000000000001</v>
      </c>
      <c r="Z120" s="36">
        <f>IFERROR(IF(Y120=0,"",ROUNDUP(Y120/H120,0)*0.01898),"")</f>
        <v>2.48638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1167.1785714285716</v>
      </c>
      <c r="BN120" s="64">
        <f t="shared" si="17"/>
        <v>1167.6030000000001</v>
      </c>
      <c r="BO120" s="64">
        <f t="shared" si="18"/>
        <v>2.0461309523809521</v>
      </c>
      <c r="BP120" s="64">
        <f t="shared" si="19"/>
        <v>2.046875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79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hidden="1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130.95238095238093</v>
      </c>
      <c r="Y127" s="667">
        <f>IFERROR(Y118/H118,"0")+IFERROR(Y119/H119,"0")+IFERROR(Y120/H120,"0")+IFERROR(Y121/H121,"0")+IFERROR(Y122/H122,"0")+IFERROR(Y123/H123,"0")+IFERROR(Y124/H124,"0")+IFERROR(Y125/H125,"0")+IFERROR(Y126/H126,"0")</f>
        <v>131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2.48638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1100</v>
      </c>
      <c r="Y128" s="667">
        <f>IFERROR(SUM(Y118:Y126),"0")</f>
        <v>1100.4000000000001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100</v>
      </c>
      <c r="Y174" s="666">
        <f t="shared" ref="Y174:Y182" si="21">IFERROR(IF(X174="",0,CEILING((X174/$H174),1)*$H174),"")</f>
        <v>100.80000000000001</v>
      </c>
      <c r="Z174" s="36">
        <f>IFERROR(IF(Y174=0,"",ROUNDUP(Y174/H174,0)*0.00902),"")</f>
        <v>0.21648000000000001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106.42857142857143</v>
      </c>
      <c r="BN174" s="64">
        <f t="shared" ref="BN174:BN182" si="23">IFERROR(Y174*I174/H174,"0")</f>
        <v>107.28</v>
      </c>
      <c r="BO174" s="64">
        <f t="shared" ref="BO174:BO182" si="24">IFERROR(1/J174*(X174/H174),"0")</f>
        <v>0.18037518037518038</v>
      </c>
      <c r="BP174" s="64">
        <f t="shared" ref="BP174:BP182" si="25">IFERROR(1/J174*(Y174/H174),"0")</f>
        <v>0.18181818181818182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667">
        <f>IFERROR(Y174/H174,"0")+IFERROR(Y175/H175,"0")+IFERROR(Y176/H176,"0")+IFERROR(Y177/H177,"0")+IFERROR(Y178/H178,"0")+IFERROR(Y179/H179,"0")+IFERROR(Y180/H180,"0")+IFERROR(Y181/H181,"0")+IFERROR(Y182/H182,"0")</f>
        <v>24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100</v>
      </c>
      <c r="Y184" s="667">
        <f>IFERROR(SUM(Y174:Y182),"0")</f>
        <v>100.80000000000001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300</v>
      </c>
      <c r="Y201" s="666">
        <f t="shared" ref="Y201:Y208" si="26">IFERROR(IF(X201="",0,CEILING((X201/$H201),1)*$H201),"")</f>
        <v>302.40000000000003</v>
      </c>
      <c r="Z201" s="36">
        <f>IFERROR(IF(Y201=0,"",ROUNDUP(Y201/H201,0)*0.00902),"")</f>
        <v>0.50512000000000001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311.66666666666663</v>
      </c>
      <c r="BN201" s="64">
        <f t="shared" ref="BN201:BN208" si="28">IFERROR(Y201*I201/H201,"0")</f>
        <v>314.16000000000003</v>
      </c>
      <c r="BO201" s="64">
        <f t="shared" ref="BO201:BO208" si="29">IFERROR(1/J201*(X201/H201),"0")</f>
        <v>0.42087542087542085</v>
      </c>
      <c r="BP201" s="64">
        <f t="shared" ref="BP201:BP208" si="30">IFERROR(1/J201*(Y201/H201),"0")</f>
        <v>0.42424242424242425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200</v>
      </c>
      <c r="Y202" s="666">
        <f t="shared" si="26"/>
        <v>205.20000000000002</v>
      </c>
      <c r="Z202" s="36">
        <f>IFERROR(IF(Y202=0,"",ROUNDUP(Y202/H202,0)*0.00902),"")</f>
        <v>0.34276000000000001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207.77777777777777</v>
      </c>
      <c r="BN202" s="64">
        <f t="shared" si="28"/>
        <v>213.18000000000004</v>
      </c>
      <c r="BO202" s="64">
        <f t="shared" si="29"/>
        <v>0.28058361391694725</v>
      </c>
      <c r="BP202" s="64">
        <f t="shared" si="30"/>
        <v>0.2878787878787879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150</v>
      </c>
      <c r="Y203" s="666">
        <f t="shared" si="26"/>
        <v>151.20000000000002</v>
      </c>
      <c r="Z203" s="36">
        <f>IFERROR(IF(Y203=0,"",ROUNDUP(Y203/H203,0)*0.00902),"")</f>
        <v>0.25256000000000001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155.83333333333331</v>
      </c>
      <c r="BN203" s="64">
        <f t="shared" si="28"/>
        <v>157.08000000000001</v>
      </c>
      <c r="BO203" s="64">
        <f t="shared" si="29"/>
        <v>0.21043771043771042</v>
      </c>
      <c r="BP203" s="64">
        <f t="shared" si="30"/>
        <v>0.21212121212121213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300</v>
      </c>
      <c r="Y204" s="666">
        <f t="shared" si="26"/>
        <v>302.40000000000003</v>
      </c>
      <c r="Z204" s="36">
        <f>IFERROR(IF(Y204=0,"",ROUNDUP(Y204/H204,0)*0.00902),"")</f>
        <v>0.50512000000000001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311.66666666666663</v>
      </c>
      <c r="BN204" s="64">
        <f t="shared" si="28"/>
        <v>314.16000000000003</v>
      </c>
      <c r="BO204" s="64">
        <f t="shared" si="29"/>
        <v>0.42087542087542085</v>
      </c>
      <c r="BP204" s="64">
        <f t="shared" si="30"/>
        <v>0.42424242424242425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175.9259259259259</v>
      </c>
      <c r="Y209" s="667">
        <f>IFERROR(Y201/H201,"0")+IFERROR(Y202/H202,"0")+IFERROR(Y203/H203,"0")+IFERROR(Y204/H204,"0")+IFERROR(Y205/H205,"0")+IFERROR(Y206/H206,"0")+IFERROR(Y207/H207,"0")+IFERROR(Y208/H208,"0")</f>
        <v>178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1.6055599999999999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950</v>
      </c>
      <c r="Y210" s="667">
        <f>IFERROR(SUM(Y201:Y208),"0")</f>
        <v>961.2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550</v>
      </c>
      <c r="Y214" s="666">
        <f t="shared" si="31"/>
        <v>556.79999999999995</v>
      </c>
      <c r="Z214" s="36">
        <f>IFERROR(IF(Y214=0,"",ROUNDUP(Y214/H214,0)*0.01898),"")</f>
        <v>1.21472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582.81034482758628</v>
      </c>
      <c r="BN214" s="64">
        <f t="shared" si="33"/>
        <v>590.01599999999996</v>
      </c>
      <c r="BO214" s="64">
        <f t="shared" si="34"/>
        <v>0.98778735632183912</v>
      </c>
      <c r="BP214" s="64">
        <f t="shared" si="35"/>
        <v>1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hidden="1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63.218390804597703</v>
      </c>
      <c r="Y221" s="667">
        <f>IFERROR(Y212/H212,"0")+IFERROR(Y213/H213,"0")+IFERROR(Y214/H214,"0")+IFERROR(Y215/H215,"0")+IFERROR(Y216/H216,"0")+IFERROR(Y217/H217,"0")+IFERROR(Y218/H218,"0")+IFERROR(Y219/H219,"0")+IFERROR(Y220/H220,"0")</f>
        <v>64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1.21472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550</v>
      </c>
      <c r="Y222" s="667">
        <f>IFERROR(SUM(Y212:Y220),"0")</f>
        <v>556.79999999999995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2100</v>
      </c>
      <c r="Y257" s="666">
        <f t="shared" si="42"/>
        <v>2106</v>
      </c>
      <c r="Z257" s="36">
        <f>IFERROR(IF(Y257=0,"",ROUNDUP(Y257/H257,0)*0.01898),"")</f>
        <v>3.7011000000000003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2184.583333333333</v>
      </c>
      <c r="BN257" s="64">
        <f t="shared" si="44"/>
        <v>2190.8249999999998</v>
      </c>
      <c r="BO257" s="64">
        <f t="shared" si="45"/>
        <v>3.0381944444444442</v>
      </c>
      <c r="BP257" s="64">
        <f t="shared" si="46"/>
        <v>3.046875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194.44444444444443</v>
      </c>
      <c r="Y261" s="667">
        <f>IFERROR(Y255/H255,"0")+IFERROR(Y256/H256,"0")+IFERROR(Y257/H257,"0")+IFERROR(Y258/H258,"0")+IFERROR(Y259/H259,"0")+IFERROR(Y260/H260,"0")</f>
        <v>195</v>
      </c>
      <c r="Z261" s="667">
        <f>IFERROR(IF(Z255="",0,Z255),"0")+IFERROR(IF(Z256="",0,Z256),"0")+IFERROR(IF(Z257="",0,Z257),"0")+IFERROR(IF(Z258="",0,Z258),"0")+IFERROR(IF(Z259="",0,Z259),"0")+IFERROR(IF(Z260="",0,Z260),"0")</f>
        <v>3.7011000000000003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2100</v>
      </c>
      <c r="Y262" s="667">
        <f>IFERROR(SUM(Y255:Y260),"0")</f>
        <v>2106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4500</v>
      </c>
      <c r="Y321" s="666">
        <f t="shared" si="47"/>
        <v>4503.6000000000004</v>
      </c>
      <c r="Z321" s="36">
        <f>IFERROR(IF(Y321=0,"",ROUNDUP(Y321/H321,0)*0.01898),"")</f>
        <v>7.9146600000000005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4681.25</v>
      </c>
      <c r="BN321" s="64">
        <f t="shared" si="49"/>
        <v>4684.9949999999999</v>
      </c>
      <c r="BO321" s="64">
        <f t="shared" si="50"/>
        <v>6.5104166666666661</v>
      </c>
      <c r="BP321" s="64">
        <f t="shared" si="51"/>
        <v>6.515625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416.66666666666663</v>
      </c>
      <c r="Y325" s="667">
        <f>IFERROR(Y319/H319,"0")+IFERROR(Y320/H320,"0")+IFERROR(Y321/H321,"0")+IFERROR(Y322/H322,"0")+IFERROR(Y323/H323,"0")+IFERROR(Y324/H324,"0")</f>
        <v>417</v>
      </c>
      <c r="Z325" s="667">
        <f>IFERROR(IF(Z319="",0,Z319),"0")+IFERROR(IF(Z320="",0,Z320),"0")+IFERROR(IF(Z321="",0,Z321),"0")+IFERROR(IF(Z322="",0,Z322),"0")+IFERROR(IF(Z323="",0,Z323),"0")+IFERROR(IF(Z324="",0,Z324),"0")</f>
        <v>7.9146600000000005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4500</v>
      </c>
      <c r="Y326" s="667">
        <f>IFERROR(SUM(Y319:Y324),"0")</f>
        <v>4503.6000000000004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hidden="1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hidden="1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2"/>
        <v>0</v>
      </c>
      <c r="Z376" s="36" t="str">
        <f>IFERROR(IF(Y376=0,"",ROUNDUP(Y376/H376,0)*0.02175),"")</f>
        <v/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140</v>
      </c>
      <c r="Y378" s="666">
        <f t="shared" si="52"/>
        <v>150</v>
      </c>
      <c r="Z378" s="36">
        <f>IFERROR(IF(Y378=0,"",ROUNDUP(Y378/H378,0)*0.02175),"")</f>
        <v>0.21749999999999997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144.48000000000002</v>
      </c>
      <c r="BN378" s="64">
        <f t="shared" si="54"/>
        <v>154.80000000000001</v>
      </c>
      <c r="BO378" s="64">
        <f t="shared" si="55"/>
        <v>0.19444444444444445</v>
      </c>
      <c r="BP378" s="64">
        <f t="shared" si="56"/>
        <v>0.20833333333333331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140</v>
      </c>
      <c r="Y381" s="666">
        <f t="shared" si="52"/>
        <v>150</v>
      </c>
      <c r="Z381" s="36">
        <f>IFERROR(IF(Y381=0,"",ROUNDUP(Y381/H381,0)*0.02175),"")</f>
        <v>0.21749999999999997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144.48000000000002</v>
      </c>
      <c r="BN381" s="64">
        <f t="shared" si="54"/>
        <v>154.80000000000001</v>
      </c>
      <c r="BO381" s="64">
        <f t="shared" si="55"/>
        <v>0.19444444444444445</v>
      </c>
      <c r="BP381" s="64">
        <f t="shared" si="56"/>
        <v>0.20833333333333331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18.666666666666668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0.43499999999999994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280</v>
      </c>
      <c r="Y386" s="667">
        <f>IFERROR(SUM(Y375:Y384),"0")</f>
        <v>300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700</v>
      </c>
      <c r="Y388" s="666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46.666666666666664</v>
      </c>
      <c r="Y390" s="667">
        <f>IFERROR(Y388/H388,"0")+IFERROR(Y389/H389,"0")</f>
        <v>47</v>
      </c>
      <c r="Z390" s="667">
        <f>IFERROR(IF(Z388="",0,Z388),"0")+IFERROR(IF(Z389="",0,Z389),"0")</f>
        <v>1.0222499999999999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700</v>
      </c>
      <c r="Y391" s="667">
        <f>IFERROR(SUM(Y388:Y389),"0")</f>
        <v>705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300</v>
      </c>
      <c r="Y393" s="666">
        <f>IFERROR(IF(X393="",0,CEILING((X393/$H393),1)*$H393),"")</f>
        <v>306</v>
      </c>
      <c r="Z393" s="36">
        <f>IFERROR(IF(Y393=0,"",ROUNDUP(Y393/H393,0)*0.01898),"")</f>
        <v>0.64532</v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317.5</v>
      </c>
      <c r="BN393" s="64">
        <f>IFERROR(Y393*I393/H393,"0")</f>
        <v>323.85000000000002</v>
      </c>
      <c r="BO393" s="64">
        <f>IFERROR(1/J393*(X393/H393),"0")</f>
        <v>0.52083333333333337</v>
      </c>
      <c r="BP393" s="64">
        <f>IFERROR(1/J393*(Y393/H393),"0")</f>
        <v>0.53125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33.333333333333336</v>
      </c>
      <c r="Y395" s="667">
        <f>IFERROR(Y393/H393,"0")+IFERROR(Y394/H394,"0")</f>
        <v>34</v>
      </c>
      <c r="Z395" s="667">
        <f>IFERROR(IF(Z393="",0,Z393),"0")+IFERROR(IF(Z394="",0,Z394),"0")</f>
        <v>0.64532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300</v>
      </c>
      <c r="Y396" s="667">
        <f>IFERROR(SUM(Y393:Y394),"0")</f>
        <v>306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100</v>
      </c>
      <c r="Y431" s="666">
        <f t="shared" ref="Y431:Y442" si="62">IFERROR(IF(X431="",0,CEILING((X431/$H431),1)*$H431),"")</f>
        <v>102.60000000000001</v>
      </c>
      <c r="Z431" s="36">
        <f>IFERROR(IF(Y431=0,"",ROUNDUP(Y431/H431,0)*0.00902),"")</f>
        <v>0.17138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103.88888888888889</v>
      </c>
      <c r="BN431" s="64">
        <f t="shared" ref="BN431:BN442" si="64">IFERROR(Y431*I431/H431,"0")</f>
        <v>106.59000000000002</v>
      </c>
      <c r="BO431" s="64">
        <f t="shared" ref="BO431:BO442" si="65">IFERROR(1/J431*(X431/H431),"0")</f>
        <v>0.14029180695847362</v>
      </c>
      <c r="BP431" s="64">
        <f t="shared" ref="BP431:BP442" si="66">IFERROR(1/J431*(Y431/H431),"0")</f>
        <v>0.14393939393939395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18.518518518518519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19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0.17138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100</v>
      </c>
      <c r="Y444" s="667">
        <f>IFERROR(SUM(Y431:Y442),"0")</f>
        <v>102.60000000000001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200</v>
      </c>
      <c r="Y457" s="666">
        <f>IFERROR(IF(X457="",0,CEILING((X457/$H457),1)*$H457),"")</f>
        <v>205.20000000000002</v>
      </c>
      <c r="Z457" s="36">
        <f>IFERROR(IF(Y457=0,"",ROUNDUP(Y457/H457,0)*0.00902),"")</f>
        <v>0.34276000000000001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207.77777777777777</v>
      </c>
      <c r="BN457" s="64">
        <f>IFERROR(Y457*I457/H457,"0")</f>
        <v>213.18000000000004</v>
      </c>
      <c r="BO457" s="64">
        <f>IFERROR(1/J457*(X457/H457),"0")</f>
        <v>0.28058361391694725</v>
      </c>
      <c r="BP457" s="64">
        <f>IFERROR(1/J457*(Y457/H457),"0")</f>
        <v>0.2878787878787879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37.037037037037038</v>
      </c>
      <c r="Y461" s="667">
        <f>IFERROR(Y457/H457,"0")+IFERROR(Y458/H458,"0")+IFERROR(Y459/H459,"0")+IFERROR(Y460/H460,"0")</f>
        <v>38</v>
      </c>
      <c r="Z461" s="667">
        <f>IFERROR(IF(Z457="",0,Z457),"0")+IFERROR(IF(Z458="",0,Z458),"0")+IFERROR(IF(Z459="",0,Z459),"0")+IFERROR(IF(Z460="",0,Z460),"0")</f>
        <v>0.34276000000000001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200</v>
      </c>
      <c r="Y462" s="667">
        <f>IFERROR(SUM(Y457:Y460),"0")</f>
        <v>205.20000000000002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hidden="1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550</v>
      </c>
      <c r="Y482" s="666">
        <f t="shared" si="68"/>
        <v>554.4</v>
      </c>
      <c r="Z482" s="36">
        <f>IFERROR(IF(Y482=0,"",ROUNDUP(Y482/H482,0)*0.01196),"")</f>
        <v>1.2558</v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587.5</v>
      </c>
      <c r="BN482" s="64">
        <f t="shared" si="70"/>
        <v>592.19999999999993</v>
      </c>
      <c r="BO482" s="64">
        <f t="shared" si="71"/>
        <v>1.0016025641025641</v>
      </c>
      <c r="BP482" s="64">
        <f t="shared" si="72"/>
        <v>1.0096153846153846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550</v>
      </c>
      <c r="Y483" s="666">
        <f t="shared" si="68"/>
        <v>554.4</v>
      </c>
      <c r="Z483" s="36">
        <f>IFERROR(IF(Y483=0,"",ROUNDUP(Y483/H483,0)*0.01196),"")</f>
        <v>1.2558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587.5</v>
      </c>
      <c r="BN483" s="64">
        <f t="shared" si="70"/>
        <v>592.19999999999993</v>
      </c>
      <c r="BO483" s="64">
        <f t="shared" si="71"/>
        <v>1.0016025641025641</v>
      </c>
      <c r="BP483" s="64">
        <f t="shared" si="72"/>
        <v>1.0096153846153846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550</v>
      </c>
      <c r="Y484" s="666">
        <f t="shared" si="68"/>
        <v>554.4</v>
      </c>
      <c r="Z484" s="36">
        <f>IFERROR(IF(Y484=0,"",ROUNDUP(Y484/H484,0)*0.01196),"")</f>
        <v>1.2558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587.5</v>
      </c>
      <c r="BN484" s="64">
        <f t="shared" si="70"/>
        <v>592.19999999999993</v>
      </c>
      <c r="BO484" s="64">
        <f t="shared" si="71"/>
        <v>1.0016025641025641</v>
      </c>
      <c r="BP484" s="64">
        <f t="shared" si="72"/>
        <v>1.0096153846153846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312.5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314.99999999999994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3.7674000000000003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1650</v>
      </c>
      <c r="Y497" s="667">
        <f>IFERROR(SUM(Y481:Y495),"0")</f>
        <v>1663.1999999999998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550</v>
      </c>
      <c r="Y506" s="666">
        <f t="shared" ref="Y506:Y517" si="73">IFERROR(IF(X506="",0,CEILING((X506/$H506),1)*$H506),"")</f>
        <v>554.4</v>
      </c>
      <c r="Z506" s="36">
        <f>IFERROR(IF(Y506=0,"",ROUNDUP(Y506/H506,0)*0.01196),"")</f>
        <v>1.2558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587.5</v>
      </c>
      <c r="BN506" s="64">
        <f t="shared" ref="BN506:BN517" si="75">IFERROR(Y506*I506/H506,"0")</f>
        <v>592.19999999999993</v>
      </c>
      <c r="BO506" s="64">
        <f t="shared" ref="BO506:BO517" si="76">IFERROR(1/J506*(X506/H506),"0")</f>
        <v>1.0016025641025641</v>
      </c>
      <c r="BP506" s="64">
        <f t="shared" ref="BP506:BP517" si="77">IFERROR(1/J506*(Y506/H506),"0")</f>
        <v>1.0096153846153846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300</v>
      </c>
      <c r="Y507" s="666">
        <f t="shared" si="73"/>
        <v>300.96000000000004</v>
      </c>
      <c r="Z507" s="36">
        <f>IFERROR(IF(Y507=0,"",ROUNDUP(Y507/H507,0)*0.01196),"")</f>
        <v>0.68171999999999999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320.45454545454544</v>
      </c>
      <c r="BN507" s="64">
        <f t="shared" si="75"/>
        <v>321.48</v>
      </c>
      <c r="BO507" s="64">
        <f t="shared" si="76"/>
        <v>0.54632867132867136</v>
      </c>
      <c r="BP507" s="64">
        <f t="shared" si="77"/>
        <v>0.54807692307692313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550</v>
      </c>
      <c r="Y508" s="666">
        <f t="shared" si="73"/>
        <v>554.4</v>
      </c>
      <c r="Z508" s="36">
        <f>IFERROR(IF(Y508=0,"",ROUNDUP(Y508/H508,0)*0.01196),"")</f>
        <v>1.2558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587.5</v>
      </c>
      <c r="BN508" s="64">
        <f t="shared" si="75"/>
        <v>592.19999999999993</v>
      </c>
      <c r="BO508" s="64">
        <f t="shared" si="76"/>
        <v>1.0016025641025641</v>
      </c>
      <c r="BP508" s="64">
        <f t="shared" si="77"/>
        <v>1.0096153846153846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265.15151515151513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267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3.1933199999999999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1400</v>
      </c>
      <c r="Y519" s="667">
        <f>IFERROR(SUM(Y506:Y517),"0")</f>
        <v>1409.76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17730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17842.560000000001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18583.959215678951</v>
      </c>
      <c r="Y593" s="667">
        <f>IFERROR(SUM(BN22:BN589),"0")</f>
        <v>18701.733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28</v>
      </c>
      <c r="Y594" s="38">
        <f>ROUNDUP(SUM(BP22:BP589),0)</f>
        <v>29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19283.959215678951</v>
      </c>
      <c r="Y595" s="667">
        <f>GrossWeightTotalR+PalletQtyTotalR*25</f>
        <v>19426.733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2116.851387437594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2131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33.96669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0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2516.4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1305.6000000000001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1100.4000000000001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1518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2106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4503.6000000000004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1311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102.60000000000001</v>
      </c>
      <c r="Z602" s="46">
        <f>IFERROR(Y452*1,"0")+IFERROR(Y453*1,"0")+IFERROR(Y457*1,"0")+IFERROR(Y458*1,"0")+IFERROR(Y459*1,"0")+IFERROR(Y460*1,"0")</f>
        <v>205.20000000000002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3072.96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400,00"/>
        <filter val="1 650,00"/>
        <filter val="100,00"/>
        <filter val="130,95"/>
        <filter val="140,00"/>
        <filter val="150,00"/>
        <filter val="17 730,00"/>
        <filter val="175,93"/>
        <filter val="18 583,96"/>
        <filter val="18,52"/>
        <filter val="18,67"/>
        <filter val="19 283,96"/>
        <filter val="194,44"/>
        <filter val="2 100,00"/>
        <filter val="2 116,85"/>
        <filter val="2 400,00"/>
        <filter val="200,00"/>
        <filter val="221,23"/>
        <filter val="23,81"/>
        <filter val="265,15"/>
        <filter val="28"/>
        <filter val="280,00"/>
        <filter val="300,00"/>
        <filter val="312,50"/>
        <filter val="33,33"/>
        <filter val="37,04"/>
        <filter val="4 500,00"/>
        <filter val="416,67"/>
        <filter val="46,67"/>
        <filter val="550,00"/>
        <filter val="63,22"/>
        <filter val="700,00"/>
        <filter val="9,26"/>
        <filter val="950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