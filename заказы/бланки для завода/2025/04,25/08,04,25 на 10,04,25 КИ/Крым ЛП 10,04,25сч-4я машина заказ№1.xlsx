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BE43D2-DE3C-4678-844F-822618B5F0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X566" i="1"/>
  <c r="BO565" i="1"/>
  <c r="BM565" i="1"/>
  <c r="Y565" i="1"/>
  <c r="BP565" i="1" s="1"/>
  <c r="BO564" i="1"/>
  <c r="BM564" i="1"/>
  <c r="Y564" i="1"/>
  <c r="BP564" i="1" s="1"/>
  <c r="BO563" i="1"/>
  <c r="BM563" i="1"/>
  <c r="Y563" i="1"/>
  <c r="BP563" i="1" s="1"/>
  <c r="BO562" i="1"/>
  <c r="BM562" i="1"/>
  <c r="Y562" i="1"/>
  <c r="BP562" i="1" s="1"/>
  <c r="BO561" i="1"/>
  <c r="BM561" i="1"/>
  <c r="Y561" i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X548" i="1"/>
  <c r="BO547" i="1"/>
  <c r="BM547" i="1"/>
  <c r="Y547" i="1"/>
  <c r="BP547" i="1" s="1"/>
  <c r="BO546" i="1"/>
  <c r="BM546" i="1"/>
  <c r="Y546" i="1"/>
  <c r="BP546" i="1" s="1"/>
  <c r="BO545" i="1"/>
  <c r="BM545" i="1"/>
  <c r="Y545" i="1"/>
  <c r="BP545" i="1" s="1"/>
  <c r="BO544" i="1"/>
  <c r="BM544" i="1"/>
  <c r="Y544" i="1"/>
  <c r="BP544" i="1" s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P528" i="1" s="1"/>
  <c r="BO527" i="1"/>
  <c r="BM527" i="1"/>
  <c r="Y527" i="1"/>
  <c r="P527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P517" i="1" s="1"/>
  <c r="BO516" i="1"/>
  <c r="BM516" i="1"/>
  <c r="Y516" i="1"/>
  <c r="BP516" i="1" s="1"/>
  <c r="P516" i="1"/>
  <c r="BO515" i="1"/>
  <c r="BM515" i="1"/>
  <c r="Y515" i="1"/>
  <c r="P515" i="1"/>
  <c r="BO514" i="1"/>
  <c r="BM514" i="1"/>
  <c r="Y514" i="1"/>
  <c r="BP514" i="1" s="1"/>
  <c r="BO513" i="1"/>
  <c r="BM513" i="1"/>
  <c r="Y513" i="1"/>
  <c r="BP513" i="1" s="1"/>
  <c r="P513" i="1"/>
  <c r="BO512" i="1"/>
  <c r="BM512" i="1"/>
  <c r="Y512" i="1"/>
  <c r="BO511" i="1"/>
  <c r="BM511" i="1"/>
  <c r="Y511" i="1"/>
  <c r="P511" i="1"/>
  <c r="BO510" i="1"/>
  <c r="BM510" i="1"/>
  <c r="Y510" i="1"/>
  <c r="BP510" i="1" s="1"/>
  <c r="BO509" i="1"/>
  <c r="BM509" i="1"/>
  <c r="Y509" i="1"/>
  <c r="BP509" i="1" s="1"/>
  <c r="BO508" i="1"/>
  <c r="BM508" i="1"/>
  <c r="Y508" i="1"/>
  <c r="BP508" i="1" s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4" i="1" s="1"/>
  <c r="P412" i="1"/>
  <c r="X410" i="1"/>
  <c r="X409" i="1"/>
  <c r="BO408" i="1"/>
  <c r="BM408" i="1"/>
  <c r="Y408" i="1"/>
  <c r="P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Z384" i="1" s="1"/>
  <c r="P384" i="1"/>
  <c r="BO383" i="1"/>
  <c r="BM383" i="1"/>
  <c r="Y383" i="1"/>
  <c r="BP383" i="1" s="1"/>
  <c r="P383" i="1"/>
  <c r="BO382" i="1"/>
  <c r="BM382" i="1"/>
  <c r="Y382" i="1"/>
  <c r="BP382" i="1" s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X371" i="1"/>
  <c r="X370" i="1"/>
  <c r="BO369" i="1"/>
  <c r="BM369" i="1"/>
  <c r="Y369" i="1"/>
  <c r="BP369" i="1" s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BP343" i="1" s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Y341" i="1" s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O309" i="1"/>
  <c r="BM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602" i="1" s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Y209" i="1" s="1"/>
  <c r="P201" i="1"/>
  <c r="X199" i="1"/>
  <c r="X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BO163" i="1"/>
  <c r="BM163" i="1"/>
  <c r="Y163" i="1"/>
  <c r="BP163" i="1" s="1"/>
  <c r="P163" i="1"/>
  <c r="X161" i="1"/>
  <c r="X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P119" i="1" s="1"/>
  <c r="BO118" i="1"/>
  <c r="BM118" i="1"/>
  <c r="Y118" i="1"/>
  <c r="BP118" i="1" s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P105" i="1"/>
  <c r="X102" i="1"/>
  <c r="X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22" i="1" l="1"/>
  <c r="BN22" i="1"/>
  <c r="Y549" i="1"/>
  <c r="Y567" i="1"/>
  <c r="Y44" i="1"/>
  <c r="Y43" i="1"/>
  <c r="Z42" i="1"/>
  <c r="Z43" i="1" s="1"/>
  <c r="BN42" i="1"/>
  <c r="BP42" i="1"/>
  <c r="Z47" i="1"/>
  <c r="BN47" i="1"/>
  <c r="Z72" i="1"/>
  <c r="BN72" i="1"/>
  <c r="Z112" i="1"/>
  <c r="BN112" i="1"/>
  <c r="Y115" i="1"/>
  <c r="Z131" i="1"/>
  <c r="BN131" i="1"/>
  <c r="Z177" i="1"/>
  <c r="BN177" i="1"/>
  <c r="Z180" i="1"/>
  <c r="BN180" i="1"/>
  <c r="Z196" i="1"/>
  <c r="BN196" i="1"/>
  <c r="Y199" i="1"/>
  <c r="Z218" i="1"/>
  <c r="BN218" i="1"/>
  <c r="Y326" i="1"/>
  <c r="Z343" i="1"/>
  <c r="BN343" i="1"/>
  <c r="Y346" i="1"/>
  <c r="Z382" i="1"/>
  <c r="BN382" i="1"/>
  <c r="Z407" i="1"/>
  <c r="BN407" i="1"/>
  <c r="Z438" i="1"/>
  <c r="BN438" i="1"/>
  <c r="Z441" i="1"/>
  <c r="BN441" i="1"/>
  <c r="Z485" i="1"/>
  <c r="BN485" i="1"/>
  <c r="Z486" i="1"/>
  <c r="BN486" i="1"/>
  <c r="Z495" i="1"/>
  <c r="BN495" i="1"/>
  <c r="Z543" i="1"/>
  <c r="Z548" i="1" s="1"/>
  <c r="BN543" i="1"/>
  <c r="BP543" i="1"/>
  <c r="Z544" i="1"/>
  <c r="BN544" i="1"/>
  <c r="Z545" i="1"/>
  <c r="BN545" i="1"/>
  <c r="Z546" i="1"/>
  <c r="BN546" i="1"/>
  <c r="Z547" i="1"/>
  <c r="BN547" i="1"/>
  <c r="Y548" i="1"/>
  <c r="Z561" i="1"/>
  <c r="Z566" i="1" s="1"/>
  <c r="BN561" i="1"/>
  <c r="BP561" i="1"/>
  <c r="Z562" i="1"/>
  <c r="BN562" i="1"/>
  <c r="Z563" i="1"/>
  <c r="BN563" i="1"/>
  <c r="Z564" i="1"/>
  <c r="BN564" i="1"/>
  <c r="Z565" i="1"/>
  <c r="BN565" i="1"/>
  <c r="Y566" i="1"/>
  <c r="Z57" i="1"/>
  <c r="BN57" i="1"/>
  <c r="Z93" i="1"/>
  <c r="BN93" i="1"/>
  <c r="Z94" i="1"/>
  <c r="BN94" i="1"/>
  <c r="Z95" i="1"/>
  <c r="BN95" i="1"/>
  <c r="Z96" i="1"/>
  <c r="BN96" i="1"/>
  <c r="Z97" i="1"/>
  <c r="BN97" i="1"/>
  <c r="Z157" i="1"/>
  <c r="BN157" i="1"/>
  <c r="Z208" i="1"/>
  <c r="BN208" i="1"/>
  <c r="Z233" i="1"/>
  <c r="BN233" i="1"/>
  <c r="Z271" i="1"/>
  <c r="BN271" i="1"/>
  <c r="Z331" i="1"/>
  <c r="BN331" i="1"/>
  <c r="Z368" i="1"/>
  <c r="BN368" i="1"/>
  <c r="BP204" i="1"/>
  <c r="BN204" i="1"/>
  <c r="Z204" i="1"/>
  <c r="BP224" i="1"/>
  <c r="BN224" i="1"/>
  <c r="Z224" i="1"/>
  <c r="BP257" i="1"/>
  <c r="BN257" i="1"/>
  <c r="Z257" i="1"/>
  <c r="BP323" i="1"/>
  <c r="BN323" i="1"/>
  <c r="Z323" i="1"/>
  <c r="BP351" i="1"/>
  <c r="BN351" i="1"/>
  <c r="Z351" i="1"/>
  <c r="BP389" i="1"/>
  <c r="BN389" i="1"/>
  <c r="Z389" i="1"/>
  <c r="BP417" i="1"/>
  <c r="BN417" i="1"/>
  <c r="Z417" i="1"/>
  <c r="AA602" i="1"/>
  <c r="Y467" i="1"/>
  <c r="BP465" i="1"/>
  <c r="BN465" i="1"/>
  <c r="Z465" i="1"/>
  <c r="BP511" i="1"/>
  <c r="BN511" i="1"/>
  <c r="Z511" i="1"/>
  <c r="BP515" i="1"/>
  <c r="BN515" i="1"/>
  <c r="Z515" i="1"/>
  <c r="X596" i="1"/>
  <c r="Z36" i="1"/>
  <c r="BN36" i="1"/>
  <c r="Z51" i="1"/>
  <c r="BN51" i="1"/>
  <c r="Z65" i="1"/>
  <c r="BN65" i="1"/>
  <c r="Y76" i="1"/>
  <c r="Z80" i="1"/>
  <c r="BN80" i="1"/>
  <c r="Z106" i="1"/>
  <c r="BN106" i="1"/>
  <c r="Z118" i="1"/>
  <c r="BN118" i="1"/>
  <c r="Z119" i="1"/>
  <c r="BN119" i="1"/>
  <c r="Y128" i="1"/>
  <c r="Z142" i="1"/>
  <c r="BN142" i="1"/>
  <c r="Z163" i="1"/>
  <c r="BN163" i="1"/>
  <c r="Y222" i="1"/>
  <c r="BP214" i="1"/>
  <c r="BN214" i="1"/>
  <c r="Z214" i="1"/>
  <c r="BP237" i="1"/>
  <c r="BN237" i="1"/>
  <c r="Z237" i="1"/>
  <c r="BP280" i="1"/>
  <c r="BN280" i="1"/>
  <c r="Z280" i="1"/>
  <c r="BP337" i="1"/>
  <c r="BN337" i="1"/>
  <c r="Z337" i="1"/>
  <c r="BP378" i="1"/>
  <c r="BN378" i="1"/>
  <c r="Z378" i="1"/>
  <c r="Y400" i="1"/>
  <c r="Y399" i="1"/>
  <c r="BP398" i="1"/>
  <c r="BN398" i="1"/>
  <c r="Z398" i="1"/>
  <c r="Z399" i="1" s="1"/>
  <c r="BP403" i="1"/>
  <c r="BN403" i="1"/>
  <c r="Z403" i="1"/>
  <c r="BP418" i="1"/>
  <c r="BN418" i="1"/>
  <c r="Z418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512" i="1"/>
  <c r="BN512" i="1"/>
  <c r="Z512" i="1"/>
  <c r="BP522" i="1"/>
  <c r="BN522" i="1"/>
  <c r="Z522" i="1"/>
  <c r="Y166" i="1"/>
  <c r="I602" i="1"/>
  <c r="Y183" i="1"/>
  <c r="J602" i="1"/>
  <c r="Y227" i="1"/>
  <c r="K602" i="1"/>
  <c r="Y244" i="1"/>
  <c r="Y354" i="1"/>
  <c r="Y530" i="1"/>
  <c r="BP345" i="1"/>
  <c r="BN345" i="1"/>
  <c r="Z345" i="1"/>
  <c r="BP376" i="1"/>
  <c r="BN376" i="1"/>
  <c r="Z376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35" i="1"/>
  <c r="BN535" i="1"/>
  <c r="Z535" i="1"/>
  <c r="Y578" i="1"/>
  <c r="BP577" i="1"/>
  <c r="BN577" i="1"/>
  <c r="Z577" i="1"/>
  <c r="Z578" i="1" s="1"/>
  <c r="Y587" i="1"/>
  <c r="Y586" i="1"/>
  <c r="BP585" i="1"/>
  <c r="BN585" i="1"/>
  <c r="Z585" i="1"/>
  <c r="Z586" i="1" s="1"/>
  <c r="Z24" i="1"/>
  <c r="BN24" i="1"/>
  <c r="C602" i="1"/>
  <c r="Z38" i="1"/>
  <c r="BN38" i="1"/>
  <c r="Y54" i="1"/>
  <c r="Z49" i="1"/>
  <c r="BN49" i="1"/>
  <c r="Z53" i="1"/>
  <c r="BN53" i="1"/>
  <c r="Y61" i="1"/>
  <c r="Z59" i="1"/>
  <c r="BN59" i="1"/>
  <c r="Y68" i="1"/>
  <c r="Z70" i="1"/>
  <c r="BN70" i="1"/>
  <c r="BP70" i="1"/>
  <c r="Z74" i="1"/>
  <c r="BN74" i="1"/>
  <c r="Z87" i="1"/>
  <c r="BN87" i="1"/>
  <c r="Z99" i="1"/>
  <c r="BN99" i="1"/>
  <c r="F602" i="1"/>
  <c r="Z108" i="1"/>
  <c r="BN108" i="1"/>
  <c r="Y116" i="1"/>
  <c r="Z114" i="1"/>
  <c r="BN114" i="1"/>
  <c r="Y127" i="1"/>
  <c r="Z121" i="1"/>
  <c r="BN121" i="1"/>
  <c r="Z122" i="1"/>
  <c r="BN122" i="1"/>
  <c r="Z125" i="1"/>
  <c r="BN125" i="1"/>
  <c r="Z136" i="1"/>
  <c r="BN136" i="1"/>
  <c r="Y139" i="1"/>
  <c r="Z146" i="1"/>
  <c r="BN146" i="1"/>
  <c r="BP146" i="1"/>
  <c r="Y149" i="1"/>
  <c r="H602" i="1"/>
  <c r="Y160" i="1"/>
  <c r="Z159" i="1"/>
  <c r="BN159" i="1"/>
  <c r="Y165" i="1"/>
  <c r="Z175" i="1"/>
  <c r="BN175" i="1"/>
  <c r="Z182" i="1"/>
  <c r="BN182" i="1"/>
  <c r="Z192" i="1"/>
  <c r="BN192" i="1"/>
  <c r="Y198" i="1"/>
  <c r="Z202" i="1"/>
  <c r="BN202" i="1"/>
  <c r="Z206" i="1"/>
  <c r="BN206" i="1"/>
  <c r="Z212" i="1"/>
  <c r="BN212" i="1"/>
  <c r="BP212" i="1"/>
  <c r="Y221" i="1"/>
  <c r="Z216" i="1"/>
  <c r="BN216" i="1"/>
  <c r="Z220" i="1"/>
  <c r="BN220" i="1"/>
  <c r="Y226" i="1"/>
  <c r="Z231" i="1"/>
  <c r="BN231" i="1"/>
  <c r="Z235" i="1"/>
  <c r="BN235" i="1"/>
  <c r="Z241" i="1"/>
  <c r="BN241" i="1"/>
  <c r="BP241" i="1"/>
  <c r="Z242" i="1"/>
  <c r="BN242" i="1"/>
  <c r="Y243" i="1"/>
  <c r="Z250" i="1"/>
  <c r="Z251" i="1" s="1"/>
  <c r="BN250" i="1"/>
  <c r="BP250" i="1"/>
  <c r="Y251" i="1"/>
  <c r="Z255" i="1"/>
  <c r="BN255" i="1"/>
  <c r="Y262" i="1"/>
  <c r="Z259" i="1"/>
  <c r="BN259" i="1"/>
  <c r="O602" i="1"/>
  <c r="Z278" i="1"/>
  <c r="BN278" i="1"/>
  <c r="Z309" i="1"/>
  <c r="BN309" i="1"/>
  <c r="Z321" i="1"/>
  <c r="BN321" i="1"/>
  <c r="Z329" i="1"/>
  <c r="BN329" i="1"/>
  <c r="Z335" i="1"/>
  <c r="BN335" i="1"/>
  <c r="BP335" i="1"/>
  <c r="Y340" i="1"/>
  <c r="Z339" i="1"/>
  <c r="BN339" i="1"/>
  <c r="Y347" i="1"/>
  <c r="BP357" i="1"/>
  <c r="BN357" i="1"/>
  <c r="Z357" i="1"/>
  <c r="BP380" i="1"/>
  <c r="BN380" i="1"/>
  <c r="Z380" i="1"/>
  <c r="BP405" i="1"/>
  <c r="BN405" i="1"/>
  <c r="Z405" i="1"/>
  <c r="BP420" i="1"/>
  <c r="BN420" i="1"/>
  <c r="Z420" i="1"/>
  <c r="BP436" i="1"/>
  <c r="BN436" i="1"/>
  <c r="Z436" i="1"/>
  <c r="Y462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34" i="1"/>
  <c r="BN534" i="1"/>
  <c r="Z534" i="1"/>
  <c r="V602" i="1"/>
  <c r="Y371" i="1"/>
  <c r="Y422" i="1"/>
  <c r="Y444" i="1"/>
  <c r="Y525" i="1"/>
  <c r="F9" i="1"/>
  <c r="J9" i="1"/>
  <c r="F10" i="1"/>
  <c r="Y27" i="1"/>
  <c r="Y31" i="1"/>
  <c r="Y39" i="1"/>
  <c r="Y62" i="1"/>
  <c r="BP73" i="1"/>
  <c r="BN73" i="1"/>
  <c r="Z73" i="1"/>
  <c r="BP81" i="1"/>
  <c r="BN81" i="1"/>
  <c r="Z81" i="1"/>
  <c r="Y83" i="1"/>
  <c r="E602" i="1"/>
  <c r="Y89" i="1"/>
  <c r="BP86" i="1"/>
  <c r="BN86" i="1"/>
  <c r="Z86" i="1"/>
  <c r="BP98" i="1"/>
  <c r="BN98" i="1"/>
  <c r="Z98" i="1"/>
  <c r="H9" i="1"/>
  <c r="B602" i="1"/>
  <c r="X593" i="1"/>
  <c r="X594" i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Y67" i="1"/>
  <c r="BP71" i="1"/>
  <c r="BN71" i="1"/>
  <c r="Z71" i="1"/>
  <c r="BP75" i="1"/>
  <c r="BN75" i="1"/>
  <c r="Z75" i="1"/>
  <c r="Y77" i="1"/>
  <c r="Y82" i="1"/>
  <c r="BP79" i="1"/>
  <c r="BN79" i="1"/>
  <c r="Z79" i="1"/>
  <c r="BP88" i="1"/>
  <c r="BN88" i="1"/>
  <c r="Z88" i="1"/>
  <c r="Y90" i="1"/>
  <c r="Y102" i="1"/>
  <c r="Y101" i="1"/>
  <c r="BP92" i="1"/>
  <c r="BN92" i="1"/>
  <c r="Z92" i="1"/>
  <c r="BP100" i="1"/>
  <c r="BN100" i="1"/>
  <c r="Z100" i="1"/>
  <c r="Z105" i="1"/>
  <c r="BN105" i="1"/>
  <c r="BP105" i="1"/>
  <c r="Z107" i="1"/>
  <c r="BN107" i="1"/>
  <c r="Y110" i="1"/>
  <c r="Z113" i="1"/>
  <c r="BN113" i="1"/>
  <c r="BP113" i="1"/>
  <c r="Z120" i="1"/>
  <c r="BN120" i="1"/>
  <c r="BP120" i="1"/>
  <c r="Z123" i="1"/>
  <c r="BN123" i="1"/>
  <c r="Z124" i="1"/>
  <c r="BN124" i="1"/>
  <c r="Z126" i="1"/>
  <c r="BN126" i="1"/>
  <c r="Z130" i="1"/>
  <c r="Z132" i="1" s="1"/>
  <c r="BN130" i="1"/>
  <c r="BP130" i="1"/>
  <c r="Y133" i="1"/>
  <c r="G602" i="1"/>
  <c r="Z137" i="1"/>
  <c r="BN137" i="1"/>
  <c r="BP137" i="1"/>
  <c r="Y138" i="1"/>
  <c r="Z141" i="1"/>
  <c r="Z143" i="1" s="1"/>
  <c r="BN141" i="1"/>
  <c r="BP141" i="1"/>
  <c r="Y144" i="1"/>
  <c r="Z147" i="1"/>
  <c r="Z148" i="1" s="1"/>
  <c r="BN147" i="1"/>
  <c r="BP147" i="1"/>
  <c r="Z152" i="1"/>
  <c r="Z153" i="1" s="1"/>
  <c r="BN152" i="1"/>
  <c r="BP152" i="1"/>
  <c r="Y153" i="1"/>
  <c r="Z156" i="1"/>
  <c r="BN156" i="1"/>
  <c r="BP156" i="1"/>
  <c r="Z158" i="1"/>
  <c r="BN158" i="1"/>
  <c r="Y161" i="1"/>
  <c r="Z164" i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BN308" i="1"/>
  <c r="BP308" i="1"/>
  <c r="Y311" i="1"/>
  <c r="Y316" i="1"/>
  <c r="U602" i="1"/>
  <c r="Z320" i="1"/>
  <c r="BN320" i="1"/>
  <c r="BP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BP336" i="1"/>
  <c r="Z338" i="1"/>
  <c r="BN338" i="1"/>
  <c r="Z344" i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Z377" i="1"/>
  <c r="BN377" i="1"/>
  <c r="Z379" i="1"/>
  <c r="BN379" i="1"/>
  <c r="Z381" i="1"/>
  <c r="BN381" i="1"/>
  <c r="Z383" i="1"/>
  <c r="BN383" i="1"/>
  <c r="BP384" i="1"/>
  <c r="BN384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BP459" i="1"/>
  <c r="BN459" i="1"/>
  <c r="Z459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Y109" i="1"/>
  <c r="Y154" i="1"/>
  <c r="Y172" i="1"/>
  <c r="Y193" i="1"/>
  <c r="Y238" i="1"/>
  <c r="Y267" i="1"/>
  <c r="Y274" i="1"/>
  <c r="Y283" i="1"/>
  <c r="Y288" i="1"/>
  <c r="Y301" i="1"/>
  <c r="Y306" i="1"/>
  <c r="Y365" i="1"/>
  <c r="W602" i="1"/>
  <c r="Y385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BP421" i="1"/>
  <c r="BN421" i="1"/>
  <c r="Z421" i="1"/>
  <c r="Y423" i="1"/>
  <c r="Y602" i="1"/>
  <c r="Y443" i="1"/>
  <c r="BP431" i="1"/>
  <c r="BN431" i="1"/>
  <c r="Z431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9" i="1"/>
  <c r="Y518" i="1"/>
  <c r="BP506" i="1"/>
  <c r="BN506" i="1"/>
  <c r="Z506" i="1"/>
  <c r="X602" i="1"/>
  <c r="Y409" i="1"/>
  <c r="Z602" i="1"/>
  <c r="Y454" i="1"/>
  <c r="Y468" i="1"/>
  <c r="Y473" i="1"/>
  <c r="AC602" i="1"/>
  <c r="Y497" i="1"/>
  <c r="Z508" i="1"/>
  <c r="BN508" i="1"/>
  <c r="Z509" i="1"/>
  <c r="BN509" i="1"/>
  <c r="Z510" i="1"/>
  <c r="BN510" i="1"/>
  <c r="Z513" i="1"/>
  <c r="BN513" i="1"/>
  <c r="Z514" i="1"/>
  <c r="BN514" i="1"/>
  <c r="Z516" i="1"/>
  <c r="BN516" i="1"/>
  <c r="Z517" i="1"/>
  <c r="BN517" i="1"/>
  <c r="Z521" i="1"/>
  <c r="BN521" i="1"/>
  <c r="BP521" i="1"/>
  <c r="Z523" i="1"/>
  <c r="BN523" i="1"/>
  <c r="Y524" i="1"/>
  <c r="Z527" i="1"/>
  <c r="BN527" i="1"/>
  <c r="BP527" i="1"/>
  <c r="Z528" i="1"/>
  <c r="BN528" i="1"/>
  <c r="Y529" i="1"/>
  <c r="AD602" i="1"/>
  <c r="Y540" i="1"/>
  <c r="BP537" i="1"/>
  <c r="BN537" i="1"/>
  <c r="Z537" i="1"/>
  <c r="BP539" i="1"/>
  <c r="BN539" i="1"/>
  <c r="Z539" i="1"/>
  <c r="Y541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59" i="1"/>
  <c r="Y573" i="1"/>
  <c r="BP569" i="1"/>
  <c r="BN569" i="1"/>
  <c r="Z569" i="1"/>
  <c r="BP571" i="1"/>
  <c r="BN571" i="1"/>
  <c r="Z571" i="1"/>
  <c r="AE602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74" i="1"/>
  <c r="Y582" i="1"/>
  <c r="BP581" i="1"/>
  <c r="BN581" i="1"/>
  <c r="Z581" i="1"/>
  <c r="Z582" i="1" s="1"/>
  <c r="Y583" i="1"/>
  <c r="Y579" i="1"/>
  <c r="Z589" i="1"/>
  <c r="Z590" i="1" s="1"/>
  <c r="BN589" i="1"/>
  <c r="BP589" i="1"/>
  <c r="Y590" i="1"/>
  <c r="Z461" i="1" l="1"/>
  <c r="Z467" i="1"/>
  <c r="Z414" i="1"/>
  <c r="Z409" i="1"/>
  <c r="Z346" i="1"/>
  <c r="Z221" i="1"/>
  <c r="Z165" i="1"/>
  <c r="Z115" i="1"/>
  <c r="Z243" i="1"/>
  <c r="Z496" i="1"/>
  <c r="Z54" i="1"/>
  <c r="Y594" i="1"/>
  <c r="Z26" i="1"/>
  <c r="Z503" i="1"/>
  <c r="Z540" i="1"/>
  <c r="Z370" i="1"/>
  <c r="Z359" i="1"/>
  <c r="Z353" i="1"/>
  <c r="Z340" i="1"/>
  <c r="Z332" i="1"/>
  <c r="Z325" i="1"/>
  <c r="Z310" i="1"/>
  <c r="Z282" i="1"/>
  <c r="Z273" i="1"/>
  <c r="Z261" i="1"/>
  <c r="Z193" i="1"/>
  <c r="Z183" i="1"/>
  <c r="Z138" i="1"/>
  <c r="Z127" i="1"/>
  <c r="Z82" i="1"/>
  <c r="Z76" i="1"/>
  <c r="Z67" i="1"/>
  <c r="Z61" i="1"/>
  <c r="Z39" i="1"/>
  <c r="Y593" i="1"/>
  <c r="Z443" i="1"/>
  <c r="Z385" i="1"/>
  <c r="Y592" i="1"/>
  <c r="Z573" i="1"/>
  <c r="Z558" i="1"/>
  <c r="Z529" i="1"/>
  <c r="Z524" i="1"/>
  <c r="Z518" i="1"/>
  <c r="Z422" i="1"/>
  <c r="Z395" i="1"/>
  <c r="Z238" i="1"/>
  <c r="Z209" i="1"/>
  <c r="Z160" i="1"/>
  <c r="Z109" i="1"/>
  <c r="Z101" i="1"/>
  <c r="Y596" i="1"/>
  <c r="X595" i="1"/>
  <c r="Z89" i="1"/>
  <c r="Y595" i="1" l="1"/>
  <c r="Z597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<sst xmlns="http://schemas.openxmlformats.org/spreadsheetml/2006/main" count="2738" uniqueCount="970">
  <si>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</si>
  <si>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</si>
  <si>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</si>
  <si>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</si>
  <si>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</si>
  <si>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</si>
  <si>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</si>
  <si>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</si>
  <si>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</si>
  <si>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</si>
  <si>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</si>
  <si>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</si>
  <si>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</si>
  <si>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</si>
  <si>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</si>
  <si>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</si>
  <si>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</si>
  <si>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</si>
  <si>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</si>
  <si>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</si>
  <si>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</si>
  <si>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</si>
  <si>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</si>
  <si>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</si>
  <si>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</si>
  <si>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</si>
  <si>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</si>
  <si>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</si>
  <si>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</si>
  <si>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</si>
  <si>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</si>
  <si>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</si>
  <si>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</si>
  <si>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</si>
  <si>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</si>
  <si>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</si>
  <si>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</si>
  <si>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</si>
  <si>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</si>
  <si>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</si>
  <si>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</si>
  <si>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</si>
  <si>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</si>
  <si>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</si>
  <si>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</si>
  <si>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</si>
  <si>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</si>
  <si>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</si>
  <si>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</si>
  <si>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</si>
  <si>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</si>
  <si>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</si>
  <si>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</si>
  <si>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</si>
  <si>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</si>
  <si>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</si>
  <si>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</si>
  <si>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</si>
  <si>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</si>
  <si>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</si>
  <si>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</si>
  <si>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</si>
  <si>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</si>
  <si>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</si>
  <si>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</si>
  <si>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</si>
  <si>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</si>
  <si>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</si>
  <si>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</si>
  <si>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</si>
  <si>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</si>
  <si>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</si>
  <si>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</si>
  <si>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</si>
  <si>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</si>
  <si>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</si>
  <si>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</si>
  <si>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</si>
  <si>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</si>
  <si>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</si>
  <si>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</si>
  <si>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</si>
  <si>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</si>
  <si>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</si>
  <si>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</si>
  <si>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</si>
  <si>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</si>
  <si>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</si>
  <si>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</si>
  <si>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</si>
  <si>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</si>
  <si>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</si>
  <si>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</si>
  <si>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</si>
  <si>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</si>
  <si>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</si>
  <si>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</si>
  <si>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</si>
  <si>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</si>
  <si>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</si>
  <si>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</si>
  <si>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</si>
  <si>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</si>
  <si>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</si>
  <si>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</si>
  <si>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</si>
  <si>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</si>
  <si>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</si>
  <si>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</si>
  <si>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</si>
  <si>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</si>
  <si>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</si>
  <si>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</si>
  <si>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</si>
  <si>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</si>
  <si>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</si>
  <si>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</si>
  <si>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</si>
  <si>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</si>
  <si>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</si>
  <si>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</si>
  <si>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</si>
  <si>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</si>
  <si>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</si>
  <si>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</si>
  <si>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</si>
  <si>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</si>
  <si>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</si>
  <si>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</si>
  <si>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</si>
  <si>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</si>
  <si>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</si>
  <si>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</si>
  <si>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</si>
  <si>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</si>
  <si>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</si>
  <si>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</si>
  <si>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</si>
  <si>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</si>
  <si>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</si>
  <si>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</si>
  <si>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</si>
  <si>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</si>
  <si>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</si>
  <si>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</si>
  <si>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</si>
  <si>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</si>
  <si>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</si>
  <si>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</si>
  <si>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</si>
  <si>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</si>
  <si>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</si>
  <si>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</si>
  <si>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</si>
  <si>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</si>
  <si>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</si>
  <si>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</si>
  <si>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</si>
  <si>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</si>
  <si>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</si>
  <si>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</si>
  <si>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</si>
  <si>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</si>
  <si>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</si>
  <si>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</si>
  <si>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</si>
  <si>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</si>
  <si>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</si>
  <si>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</si>
  <si>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</si>
  <si>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</si>
  <si>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</si>
  <si>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</si>
  <si>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</si>
  <si>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</si>
  <si>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</si>
  <si>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</si>
  <si>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</si>
  <si>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</si>
  <si>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</si>
  <si>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</si>
  <si>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</si>
  <si>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</si>
  <si>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</si>
  <si>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</si>
  <si>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</si>
  <si>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</si>
  <si>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</si>
  <si>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</si>
  <si>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</si>
  <si>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</si>
  <si>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</si>
  <si>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</si>
  <si>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</si>
  <si>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</si>
  <si>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</si>
  <si>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</si>
  <si>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</si>
  <si>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</si>
  <si>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</si>
  <si>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</si>
  <si>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</si>
  <si>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</si>
  <si>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</si>
  <si>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</si>
  <si>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</si>
  <si>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</si>
  <si>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</si>
  <si>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</si>
  <si>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</si>
  <si>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</si>
  <si>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</si>
  <si>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</si>
  <si>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</si>
  <si>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</si>
  <si>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</si>
  <si>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</si>
  <si>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</si>
  <si>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</si>
  <si>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</si>
  <si>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</si>
  <si>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</si>
  <si>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</si>
  <si>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</si>
  <si>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</si>
  <si>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</si>
  <si>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</si>
  <si>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</si>
  <si>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</si>
  <si>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</si>
  <si>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</si>
  <si>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</si>
  <si>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</si>
  <si>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</si>
  <si>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</si>
  <si>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</si>
  <si>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</si>
  <si>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</si>
  <si>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</si>
  <si>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</si>
  <si>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</si>
  <si>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</si>
  <si>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</si>
  <si>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</si>
  <si>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</si>
  <si>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</si>
  <si>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</si>
  <si>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</si>
  <si>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</si>
  <si>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</si>
  <si>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</si>
  <si>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</si>
  <si>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</si>
  <si>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</si>
  <si>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</si>
  <si>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</si>
  <si>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</si>
  <si>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</si>
  <si>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</si>
  <si>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</si>
  <si>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</si>
  <si>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</si>
  <si>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</si>
  <si>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</si>
  <si>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</si>
  <si>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</si>
  <si>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</si>
  <si>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</si>
  <si>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</si>
  <si>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</si>
  <si>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</si>
  <si>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</si>
  <si>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</si>
  <si>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</si>
  <si>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</si>
  <si>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</si>
  <si>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</si>
  <si>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</si>
  <si>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</si>
  <si>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</si>
  <si>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</si>
  <si>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</si>
  <si>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</si>
  <si>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</si>
  <si>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</si>
  <si>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</si>
  <si>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</si>
  <si>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</si>
  <si>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</si>
  <si>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</si>
  <si>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</si>
  <si>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</si>
  <si>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</si>
  <si>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</si>
  <si>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</si>
  <si>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</si>
  <si>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</si>
  <si>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</si>
  <si>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</si>
  <si>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</si>
  <si>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</si>
  <si>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</si>
  <si>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</si>
  <si>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</si>
  <si>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</si>
  <si>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</si>
  <si>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</si>
  <si>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</si>
  <si>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</si>
  <si>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</si>
  <si>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</si>
  <si>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</si>
  <si>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</si>
  <si>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</si>
  <si>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</si>
  <si>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</si>
  <si>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</si>
  <si>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</si>
  <si>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</si>
  <si>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</si>
  <si>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</si>
  <si>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</si>
  <si>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</si>
  <si>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</si>
  <si>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</si>
  <si>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</si>
  <si>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</si>
  <si>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</si>
  <si>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</si>
  <si>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</si>
  <si>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</si>
  <si>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</si>
  <si>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</si>
  <si>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</si>
  <si>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</si>
  <si>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</si>
  <si>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</si>
  <si>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</si>
  <si>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</si>
  <si>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</si>
  <si>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</si>
  <si>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</si>
  <si>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</si>
  <si>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</si>
  <si>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</si>
  <si>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</si>
  <si>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</si>
  <si>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</si>
  <si>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</si>
  <si>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</si>
  <si>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</si>
  <si>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</si>
  <si>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</si>
  <si>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</si>
  <si>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</si>
  <si>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</si>
  <si>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</si>
  <si>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</si>
  <si>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</si>
  <si>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</si>
  <si>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</si>
  <si>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</si>
  <si>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</si>
  <si>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</si>
  <si>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</si>
  <si>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</si>
  <si>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</si>
  <si>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</si>
  <si>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</si>
  <si>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</si>
  <si>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</si>
  <si>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</si>
  <si>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</si>
  <si>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</si>
  <si>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</si>
  <si>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</si>
  <si>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</si>
  <si>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</si>
  <si>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</si>
  <si>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</si>
  <si>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</si>
  <si>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</si>
  <si>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</si>
  <si>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</si>
  <si>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</si>
  <si>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</si>
  <si>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</si>
  <si>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</si>
  <si>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</si>
  <si>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</si>
  <si>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</si>
  <si>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</si>
  <si>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</si>
  <si>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</si>
  <si>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</si>
  <si>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</si>
  <si>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</si>
  <si>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</si>
  <si>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</si>
  <si>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</si>
  <si>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</si>
  <si>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</si>
  <si>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</si>
  <si>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</si>
  <si>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</si>
  <si>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</si>
  <si>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</si>
  <si>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</si>
  <si>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</si>
  <si>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</si>
  <si>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</si>
  <si>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</si>
  <si>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</si>
  <si>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</si>
  <si>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</si>
  <si>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</si>
  <si>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</si>
  <si>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</si>
  <si>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</si>
  <si>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</si>
  <si>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</si>
  <si>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</si>
  <si>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</si>
  <si>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</si>
  <si>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</si>
  <si>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</si>
  <si>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</si>
  <si>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</si>
  <si>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</si>
  <si>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</si>
  <si>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</si>
  <si>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</si>
  <si>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</si>
  <si>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</si>
  <si>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</si>
  <si>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</si>
  <si>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</si>
  <si>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</si>
  <si>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</si>
  <si>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</si>
  <si>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</si>
  <si>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</si>
  <si>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</si>
  <si>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</si>
  <si>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</si>
  <si>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</si>
  <si>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</si>
  <si>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</si>
  <si>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</si>
  <si>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</si>
  <si>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</si>
  <si>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</si>
  <si>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</si>
  <si>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</si>
  <si>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</si>
  <si>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</si>
  <si>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</si>
  <si>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</si>
  <si>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</si>
  <si>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</si>
  <si>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</si>
  <si>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</si>
  <si>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</si>
  <si>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</si>
  <si>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</si>
  <si>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</si>
  <si>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</si>
  <si>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</si>
  <si>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</si>
  <si>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</si>
  <si>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</si>
  <si>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</si>
  <si>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</si>
  <si>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</si>
  <si>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</si>
  <si>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</si>
  <si>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</si>
  <si>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</si>
  <si>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</si>
  <si>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</si>
  <si>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</si>
  <si>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</si>
  <si>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</si>
  <si>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</si>
  <si>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</si>
  <si>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</si>
  <si>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</si>
  <si>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</si>
  <si>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</si>
  <si>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</si>
  <si>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</si>
  <si>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</si>
  <si>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</si>
  <si>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</si>
  <si>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</si>
  <si>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</si>
  <si>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</si>
  <si>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</si>
  <si>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</si>
  <si>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</si>
  <si>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</si>
  <si>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</si>
  <si>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</si>
  <si>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</si>
  <si>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</si>
  <si>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</si>
  <si>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</si>
  <si>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</si>
  <si>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</si>
  <si>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</si>
  <si>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</si>
  <si>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</si>
  <si>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</si>
  <si>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</si>
  <si>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</si>
  <si>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</si>
  <si>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</si>
  <si>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</si>
  <si>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</si>
  <si>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</si>
  <si>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</si>
  <si>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</si>
  <si>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</si>
  <si>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</si>
  <si>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</si>
  <si>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</si>
  <si>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</si>
  <si>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</si>
  <si>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</si>
  <si>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</si>
  <si>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</si>
  <si>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</si>
  <si>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</si>
  <si>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</si>
  <si>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</si>
  <si>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</si>
  <si>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</si>
  <si>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</si>
  <si>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</si>
  <si>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</si>
  <si>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</si>
  <si>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</si>
  <si>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</si>
  <si>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</si>
  <si>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</si>
  <si>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</si>
  <si>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</si>
  <si>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</si>
  <si>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</si>
  <si>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</si>
  <si>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</si>
  <si>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</si>
  <si>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</si>
  <si>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</si>
  <si>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</si>
  <si>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</si>
  <si>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</si>
  <si>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</si>
  <si>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</si>
  <si>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</si>
  <si>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</si>
  <si>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</si>
  <si>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</si>
  <si>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</si>
  <si>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</si>
  <si>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</si>
  <si>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</si>
  <si>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</si>
  <si>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</si>
  <si>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</si>
  <si>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</si>
  <si>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</si>
  <si>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</si>
  <si>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</si>
  <si>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</si>
  <si>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</si>
  <si>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</si>
  <si>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</si>
  <si>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</si>
  <si>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</si>
  <si>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</si>
  <si>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</si>
  <si>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</si>
  <si>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</si>
  <si>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</si>
  <si>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</si>
  <si>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</si>
  <si>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</si>
  <si>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</si>
  <si>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</si>
  <si>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</si>
  <si>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</si>
  <si>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</si>
  <si>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</si>
  <si>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</si>
  <si>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</si>
  <si>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</si>
  <si>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</si>
  <si>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</si>
  <si>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</si>
  <si>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</si>
  <si>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</si>
  <si>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</si>
  <si>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</si>
  <si>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</si>
  <si>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</si>
  <si>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</si>
  <si>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</si>
  <si>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</si>
  <si>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</si>
  <si>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</si>
  <si>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</si>
  <si>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</si>
  <si>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</si>
  <si>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</si>
  <si>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</si>
  <si>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</si>
  <si>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</si>
  <si>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</si>
  <si>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</si>
  <si>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</si>
  <si>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</si>
  <si>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</si>
  <si>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</si>
  <si>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</si>
  <si>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</si>
  <si>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</si>
  <si>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</si>
  <si>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</si>
  <si>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</si>
  <si>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</si>
  <si>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</si>
  <si>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</si>
  <si>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</si>
  <si>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</si>
  <si>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</si>
  <si>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</si>
  <si>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</si>
  <si>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</si>
  <si>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</si>
  <si>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</si>
  <si>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</si>
  <si>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</si>
  <si>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</si>
  <si>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</si>
  <si>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</si>
  <si>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</si>
  <si>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</si>
  <si>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</si>
  <si>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</si>
  <si>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</si>
  <si>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</si>
  <si>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</si>
  <si>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</si>
  <si>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</si>
  <si>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</si>
  <si>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</si>
  <si>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</si>
  <si>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</si>
  <si>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</si>
  <si>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</si>
  <si>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</si>
  <si>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</si>
  <si>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</si>
  <si>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</si>
  <si>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</si>
  <si>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</si>
  <si>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</si>
  <si>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</si>
  <si>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</si>
  <si>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</si>
  <si>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</si>
  <si>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</si>
  <si>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</si>
  <si>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</si>
  <si>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</si>
  <si>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</si>
  <si>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</si>
  <si>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</si>
  <si>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</si>
  <si>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</si>
  <si>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</si>
  <si>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</si>
  <si>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</si>
  <si>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</si>
  <si>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</si>
  <si>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</si>
  <si>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</si>
  <si>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</si>
  <si>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</si>
  <si>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</si>
  <si>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</si>
  <si>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</si>
  <si>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</si>
  <si>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</si>
  <si>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</si>
  <si>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</si>
  <si>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</si>
  <si>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</si>
  <si>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</si>
  <si>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</si>
  <si>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</si>
  <si>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</si>
  <si>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</si>
  <si>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</si>
  <si>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</si>
  <si>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</si>
  <si>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</si>
  <si>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</si>
  <si>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</si>
  <si>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</si>
  <si>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</si>
  <si>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</si>
  <si>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</si>
  <si>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</si>
  <si>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</si>
  <si>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</si>
  <si>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</si>
  <si>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</si>
  <si>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</si>
  <si>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</si>
  <si>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</si>
  <si>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</si>
  <si>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</si>
  <si>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</si>
  <si>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</si>
  <si>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</si>
  <si>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</si>
  <si>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</si>
  <si>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</si>
  <si>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</si>
  <si>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</si>
  <si>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</si>
  <si>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</si>
  <si>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</si>
  <si>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</si>
  <si>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</si>
  <si>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</si>
  <si>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</si>
  <si>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</si>
  <si>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</si>
  <si>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</si>
  <si>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</si>
  <si>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</si>
  <si>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</si>
  <si>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</si>
  <si>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</si>
  <si>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</si>
  <si>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</si>
  <si>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</si>
  <si>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</si>
  <si>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</si>
  <si>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</si>
  <si>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</si>
  <si>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</si>
  <si>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</si>
  <si>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</si>
  <si>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</si>
  <si>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</si>
  <si>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</si>
  <si>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</si>
  <si>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</si>
  <si>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</si>
  <si>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</si>
  <si>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</si>
  <si>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</si>
  <si>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</si>
  <si>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</si>
  <si>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</si>
  <si>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</si>
  <si>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</si>
  <si>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</si>
  <si>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</si>
  <si>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</si>
  <si>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</si>
  <si>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</si>
  <si>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</si>
  <si>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</si>
  <si>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</si>
  <si>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</si>
  <si>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</si>
  <si>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</si>
  <si>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</si>
  <si>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</si>
  <si>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</si>
  <si>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</si>
  <si>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</si>
  <si>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</si>
  <si>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</si>
  <si>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</si>
  <si>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</si>
  <si>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</si>
  <si>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</si>
  <si>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</si>
  <si>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</si>
  <si>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</si>
  <si>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</si>
  <si>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</si>
  <si>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</si>
  <si>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</si>
  <si>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</si>
  <si>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</si>
  <si>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</si>
  <si>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</si>
  <si>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</si>
  <si>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</si>
  <si>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</si>
  <si>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</si>
  <si>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</si>
  <si>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</si>
  <si>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</si>
  <si>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</si>
  <si>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</si>
  <si>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</si>
  <si>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</si>
  <si>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</si>
  <si>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</si>
  <si>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</si>
  <si>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</si>
  <si>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</si>
  <si>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</si>
  <si>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</si>
  <si>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</si>
  <si>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</si>
  <si>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</si>
  <si>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</si>
  <si>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</si>
  <si>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</si>
  <si>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</si>
  <si>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</si>
  <si>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</si>
  <si>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</si>
  <si>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</si>
  <si>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</si>
  <si>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</si>
  <si>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</si>
  <si>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</si>
  <si>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</si>
  <si>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</si>
  <si>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</si>
  <si>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</si>
  <si>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</si>
  <si>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</si>
  <si>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</si>
  <si>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</si>
  <si>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</si>
  <si>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</si>
  <si>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</si>
  <si>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</si>
  <si>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</si>
  <si>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</si>
  <si>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</si>
  <si>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</si>
  <si>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</si>
  <si>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</si>
  <si>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</si>
  <si>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</si>
  <si>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</si>
  <si>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</si>
  <si>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</si>
  <si>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</si>
  <si>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</si>
  <si>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</si>
  <si>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</si>
  <si>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</si>
  <si>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</si>
  <si>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</si>
  <si>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</si>
  <si>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</si>
  <si>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</si>
  <si>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</si>
  <si>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</si>
  <si>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</si>
  <si>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</si>
  <si>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</si>
  <si>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</si>
  <si>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</si>
  <si>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</si>
  <si>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</si>
  <si>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</si>
  <si>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</si>
  <si>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</si>
  <si>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</si>
  <si>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</si>
  <si>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</si>
  <si>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</si>
  <si>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</si>
  <si>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</si>
  <si>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</si>
  <si>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</si>
  <si>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</si>
  <si>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</si>
  <si>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</si>
  <si>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</si>
  <si>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</si>
  <si>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</si>
  <si>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</si>
  <si>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</si>
  <si>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</si>
  <si>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</si>
  <si>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</si>
  <si>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</si>
  <si>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</si>
  <si>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</si>
  <si>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</si>
  <si>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</si>
  <si>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</si>
  <si>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</si>
  <si>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</si>
  <si>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</si>
  <si>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</si>
  <si>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</si>
  <si>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</si>
  <si>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</si>
  <si>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</si>
  <si>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</si>
  <si>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</si>
  <si>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</si>
  <si>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</si>
  <si>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</si>
  <si>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</si>
  <si>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</si>
  <si>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</si>
  <si>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</si>
  <si>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</si>
  <si>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</si>
  <si>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</si>
  <si>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</si>
  <si>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</si>
  <si>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</si>
  <si>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</si>
  <si>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</si>
  <si>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</si>
  <si>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</si>
  <si>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</si>
  <si>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</si>
  <si>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</si>
  <si>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</si>
  <si>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</si>
  <si>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</si>
  <si>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</si>
  <si>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</si>
  <si>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</si>
  <si>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</si>
  <si>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</si>
  <si>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</si>
  <si>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</si>
  <si>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</si>
  <si>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</si>
  <si>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</si>
  <si>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</si>
  <si>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</si>
  <si>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</si>
  <si>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</si>
  <si>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</si>
  <si>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</si>
  <si>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</si>
  <si>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</si>
  <si>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</si>
  <si>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</si>
  <si>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</si>
  <si>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</si>
  <si>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</si>
  <si>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</si>
  <si>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</si>
  <si>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</si>
  <si>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</si>
  <si>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</si>
  <si>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</si>
  <si>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Сочи,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</si>
</sst>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6" sqref="AA36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45757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Четверг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0.54166666666666663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hidden="1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56</v>
      </c>
      <c r="Y36" s="666">
        <f>IFERROR(IF(X36="",0,CEILING((X36/$H36),1)*$H36),"")</f>
        <v>56</v>
      </c>
      <c r="Z36" s="36">
        <f>IFERROR(IF(Y36=0,"",ROUNDUP(Y36/H36,0)*0.00902),"")</f>
        <v>0.12628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58.94</v>
      </c>
      <c r="BN36" s="64">
        <f>IFERROR(Y36*I36/H36,"0")</f>
        <v>58.94</v>
      </c>
      <c r="BO36" s="64">
        <f>IFERROR(1/J36*(X36/H36),"0")</f>
        <v>0.10606060606060606</v>
      </c>
      <c r="BP36" s="64">
        <f>IFERROR(1/J36*(Y36/H36),"0")</f>
        <v>0.10606060606060606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14</v>
      </c>
      <c r="Y39" s="667">
        <f>IFERROR(Y35/H35,"0")+IFERROR(Y36/H36,"0")+IFERROR(Y37/H37,"0")+IFERROR(Y38/H38,"0")</f>
        <v>14</v>
      </c>
      <c r="Z39" s="667">
        <f>IFERROR(IF(Z35="",0,Z35),"0")+IFERROR(IF(Z36="",0,Z36),"0")+IFERROR(IF(Z37="",0,Z37),"0")+IFERROR(IF(Z38="",0,Z38),"0")</f>
        <v>0.12628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56</v>
      </c>
      <c r="Y40" s="667">
        <f>IFERROR(SUM(Y35:Y38),"0")</f>
        <v>56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hidden="1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135</v>
      </c>
      <c r="Y53" s="666">
        <f t="shared" si="0"/>
        <v>135</v>
      </c>
      <c r="Z53" s="36">
        <f>IFERROR(IF(Y53=0,"",ROUNDUP(Y53/H53,0)*0.00902),"")</f>
        <v>0.27060000000000001</v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141.30000000000001</v>
      </c>
      <c r="BN53" s="64">
        <f t="shared" si="2"/>
        <v>141.30000000000001</v>
      </c>
      <c r="BO53" s="64">
        <f t="shared" si="3"/>
        <v>0.22727272727272729</v>
      </c>
      <c r="BP53" s="64">
        <f t="shared" si="4"/>
        <v>0.22727272727272729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30</v>
      </c>
      <c r="Y54" s="667">
        <f>IFERROR(Y47/H47,"0")+IFERROR(Y48/H48,"0")+IFERROR(Y49/H49,"0")+IFERROR(Y50/H50,"0")+IFERROR(Y51/H51,"0")+IFERROR(Y52/H52,"0")+IFERROR(Y53/H53,"0")</f>
        <v>30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0.27060000000000001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135</v>
      </c>
      <c r="Y55" s="667">
        <f>IFERROR(SUM(Y47:Y53),"0")</f>
        <v>135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70</v>
      </c>
      <c r="Y57" s="666">
        <f>IFERROR(IF(X57="",0,CEILING((X57/$H57),1)*$H57),"")</f>
        <v>75.600000000000009</v>
      </c>
      <c r="Z57" s="36">
        <f>IFERROR(IF(Y57=0,"",ROUNDUP(Y57/H57,0)*0.01898),"")</f>
        <v>0.13286000000000001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72.819444444444429</v>
      </c>
      <c r="BN57" s="64">
        <f>IFERROR(Y57*I57/H57,"0")</f>
        <v>78.64500000000001</v>
      </c>
      <c r="BO57" s="64">
        <f>IFERROR(1/J57*(X57/H57),"0")</f>
        <v>0.10127314814814814</v>
      </c>
      <c r="BP57" s="64">
        <f>IFERROR(1/J57*(Y57/H57),"0")</f>
        <v>0.109375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6.481481481481481</v>
      </c>
      <c r="Y61" s="667">
        <f>IFERROR(Y57/H57,"0")+IFERROR(Y58/H58,"0")+IFERROR(Y59/H59,"0")+IFERROR(Y60/H60,"0")</f>
        <v>7</v>
      </c>
      <c r="Z61" s="667">
        <f>IFERROR(IF(Z57="",0,Z57),"0")+IFERROR(IF(Z58="",0,Z58),"0")+IFERROR(IF(Z59="",0,Z59),"0")+IFERROR(IF(Z60="",0,Z60),"0")</f>
        <v>0.13286000000000001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70</v>
      </c>
      <c r="Y62" s="667">
        <f>IFERROR(SUM(Y57:Y60),"0")</f>
        <v>75.600000000000009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4</v>
      </c>
      <c r="Y86" s="666">
        <f>IFERROR(IF(X86="",0,CEILING((X86/$H86),1)*$H86),"")</f>
        <v>10.8</v>
      </c>
      <c r="Z86" s="36">
        <f>IFERROR(IF(Y86=0,"",ROUNDUP(Y86/H86,0)*0.01898),"")</f>
        <v>1.898E-2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4.1611111111111105</v>
      </c>
      <c r="BN86" s="64">
        <f>IFERROR(Y86*I86/H86,"0")</f>
        <v>11.234999999999999</v>
      </c>
      <c r="BO86" s="64">
        <f>IFERROR(1/J86*(X86/H86),"0")</f>
        <v>5.7870370370370367E-3</v>
      </c>
      <c r="BP86" s="64">
        <f>IFERROR(1/J86*(Y86/H86),"0")</f>
        <v>1.5625E-2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51</v>
      </c>
      <c r="Y88" s="666">
        <f>IFERROR(IF(X88="",0,CEILING((X88/$H88),1)*$H88),"")</f>
        <v>54</v>
      </c>
      <c r="Z88" s="36">
        <f>IFERROR(IF(Y88=0,"",ROUNDUP(Y88/H88,0)*0.00902),"")</f>
        <v>0.10824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53.38</v>
      </c>
      <c r="BN88" s="64">
        <f>IFERROR(Y88*I88/H88,"0")</f>
        <v>56.52</v>
      </c>
      <c r="BO88" s="64">
        <f>IFERROR(1/J88*(X88/H88),"0")</f>
        <v>8.585858585858587E-2</v>
      </c>
      <c r="BP88" s="64">
        <f>IFERROR(1/J88*(Y88/H88),"0")</f>
        <v>9.0909090909090912E-2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11.703703703703704</v>
      </c>
      <c r="Y89" s="667">
        <f>IFERROR(Y86/H86,"0")+IFERROR(Y87/H87,"0")+IFERROR(Y88/H88,"0")</f>
        <v>13</v>
      </c>
      <c r="Z89" s="667">
        <f>IFERROR(IF(Z86="",0,Z86),"0")+IFERROR(IF(Z87="",0,Z87),"0")+IFERROR(IF(Z88="",0,Z88),"0")</f>
        <v>0.12722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55</v>
      </c>
      <c r="Y90" s="667">
        <f>IFERROR(SUM(Y86:Y88),"0")</f>
        <v>64.8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41</v>
      </c>
      <c r="Y97" s="666">
        <f t="shared" si="10"/>
        <v>43.2</v>
      </c>
      <c r="Z97" s="36">
        <f>IFERROR(IF(Y97=0,"",ROUNDUP(Y97/H97,0)*0.00651),"")</f>
        <v>0.10416</v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44.826666666666661</v>
      </c>
      <c r="BN97" s="64">
        <f t="shared" si="12"/>
        <v>47.231999999999999</v>
      </c>
      <c r="BO97" s="64">
        <f t="shared" si="13"/>
        <v>8.3435083435083435E-2</v>
      </c>
      <c r="BP97" s="64">
        <f t="shared" si="14"/>
        <v>8.7912087912087919E-2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15.185185185185183</v>
      </c>
      <c r="Y101" s="667">
        <f>IFERROR(Y92/H92,"0")+IFERROR(Y93/H93,"0")+IFERROR(Y94/H94,"0")+IFERROR(Y95/H95,"0")+IFERROR(Y96/H96,"0")+IFERROR(Y97/H97,"0")+IFERROR(Y98/H98,"0")+IFERROR(Y99/H99,"0")+IFERROR(Y100/H100,"0")</f>
        <v>16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0.10416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41</v>
      </c>
      <c r="Y102" s="667">
        <f>IFERROR(SUM(Y92:Y100),"0")</f>
        <v>43.2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45</v>
      </c>
      <c r="Y107" s="666">
        <f>IFERROR(IF(X107="",0,CEILING((X107/$H107),1)*$H107),"")</f>
        <v>45</v>
      </c>
      <c r="Z107" s="36">
        <f>IFERROR(IF(Y107=0,"",ROUNDUP(Y107/H107,0)*0.00902),"")</f>
        <v>9.0200000000000002E-2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47.099999999999994</v>
      </c>
      <c r="BN107" s="64">
        <f>IFERROR(Y107*I107/H107,"0")</f>
        <v>47.099999999999994</v>
      </c>
      <c r="BO107" s="64">
        <f>IFERROR(1/J107*(X107/H107),"0")</f>
        <v>7.575757575757576E-2</v>
      </c>
      <c r="BP107" s="64">
        <f>IFERROR(1/J107*(Y107/H107),"0")</f>
        <v>7.575757575757576E-2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10</v>
      </c>
      <c r="Y109" s="667">
        <f>IFERROR(Y105/H105,"0")+IFERROR(Y106/H106,"0")+IFERROR(Y107/H107,"0")+IFERROR(Y108/H108,"0")</f>
        <v>10</v>
      </c>
      <c r="Z109" s="667">
        <f>IFERROR(IF(Z105="",0,Z105),"0")+IFERROR(IF(Z106="",0,Z106),"0")+IFERROR(IF(Z107="",0,Z107),"0")+IFERROR(IF(Z108="",0,Z108),"0")</f>
        <v>9.0200000000000002E-2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45</v>
      </c>
      <c r="Y110" s="667">
        <f>IFERROR(SUM(Y105:Y108),"0")</f>
        <v>45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hidden="1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41</v>
      </c>
      <c r="Y123" s="666">
        <f t="shared" si="15"/>
        <v>43.2</v>
      </c>
      <c r="Z123" s="36">
        <f t="shared" si="20"/>
        <v>0.10416</v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44.826666666666661</v>
      </c>
      <c r="BN123" s="64">
        <f t="shared" si="17"/>
        <v>47.231999999999999</v>
      </c>
      <c r="BO123" s="64">
        <f t="shared" si="18"/>
        <v>8.3435083435083435E-2</v>
      </c>
      <c r="BP123" s="64">
        <f t="shared" si="19"/>
        <v>8.7912087912087919E-2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15.185185185185183</v>
      </c>
      <c r="Y127" s="667">
        <f>IFERROR(Y118/H118,"0")+IFERROR(Y119/H119,"0")+IFERROR(Y120/H120,"0")+IFERROR(Y121/H121,"0")+IFERROR(Y122/H122,"0")+IFERROR(Y123/H123,"0")+IFERROR(Y124/H124,"0")+IFERROR(Y125/H125,"0")+IFERROR(Y126/H126,"0")</f>
        <v>16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0.10416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41</v>
      </c>
      <c r="Y128" s="667">
        <f>IFERROR(SUM(Y118:Y126),"0")</f>
        <v>43.2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5</v>
      </c>
      <c r="Y137" s="666">
        <f>IFERROR(IF(X137="",0,CEILING((X137/$H137),1)*$H137),"")</f>
        <v>6.4</v>
      </c>
      <c r="Z137" s="36">
        <f>IFERROR(IF(Y137=0,"",ROUNDUP(Y137/H137,0)*0.00651),"")</f>
        <v>1.302E-2</v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5.2812499999999991</v>
      </c>
      <c r="BN137" s="64">
        <f>IFERROR(Y137*I137/H137,"0")</f>
        <v>6.76</v>
      </c>
      <c r="BO137" s="64">
        <f>IFERROR(1/J137*(X137/H137),"0")</f>
        <v>8.5851648351648359E-3</v>
      </c>
      <c r="BP137" s="64">
        <f>IFERROR(1/J137*(Y137/H137),"0")</f>
        <v>1.098901098901099E-2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1.5625</v>
      </c>
      <c r="Y138" s="667">
        <f>IFERROR(Y136/H136,"0")+IFERROR(Y137/H137,"0")</f>
        <v>2</v>
      </c>
      <c r="Z138" s="667">
        <f>IFERROR(IF(Z136="",0,Z136),"0")+IFERROR(IF(Z137="",0,Z137),"0")</f>
        <v>1.302E-2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5</v>
      </c>
      <c r="Y139" s="667">
        <f>IFERROR(SUM(Y136:Y137),"0")</f>
        <v>6.4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4</v>
      </c>
      <c r="Y147" s="666">
        <f>IFERROR(IF(X147="",0,CEILING((X147/$H147),1)*$H147),"")</f>
        <v>5.28</v>
      </c>
      <c r="Z147" s="36">
        <f>IFERROR(IF(Y147=0,"",ROUNDUP(Y147/H147,0)*0.00651),"")</f>
        <v>1.302E-2</v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4.4060606060606053</v>
      </c>
      <c r="BN147" s="64">
        <f>IFERROR(Y147*I147/H147,"0")</f>
        <v>5.8159999999999998</v>
      </c>
      <c r="BO147" s="64">
        <f>IFERROR(1/J147*(X147/H147),"0")</f>
        <v>8.3250083250083259E-3</v>
      </c>
      <c r="BP147" s="64">
        <f>IFERROR(1/J147*(Y147/H147),"0")</f>
        <v>1.098901098901099E-2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1.5151515151515151</v>
      </c>
      <c r="Y148" s="667">
        <f>IFERROR(Y146/H146,"0")+IFERROR(Y147/H147,"0")</f>
        <v>2</v>
      </c>
      <c r="Z148" s="667">
        <f>IFERROR(IF(Z146="",0,Z146),"0")+IFERROR(IF(Z147="",0,Z147),"0")</f>
        <v>1.302E-2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4</v>
      </c>
      <c r="Y149" s="667">
        <f>IFERROR(SUM(Y146:Y147),"0")</f>
        <v>5.28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18</v>
      </c>
      <c r="Y177" s="666">
        <f t="shared" si="21"/>
        <v>18.900000000000002</v>
      </c>
      <c r="Z177" s="36">
        <f>IFERROR(IF(Y177=0,"",ROUNDUP(Y177/H177,0)*0.00502),"")</f>
        <v>4.5179999999999998E-2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19.114285714285714</v>
      </c>
      <c r="BN177" s="64">
        <f t="shared" si="23"/>
        <v>20.07</v>
      </c>
      <c r="BO177" s="64">
        <f t="shared" si="24"/>
        <v>3.6630036630036632E-2</v>
      </c>
      <c r="BP177" s="64">
        <f t="shared" si="25"/>
        <v>3.8461538461538464E-2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18</v>
      </c>
      <c r="Y180" s="666">
        <f t="shared" si="21"/>
        <v>18.900000000000002</v>
      </c>
      <c r="Z180" s="36">
        <f>IFERROR(IF(Y180=0,"",ROUNDUP(Y180/H180,0)*0.00502),"")</f>
        <v>4.5179999999999998E-2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18.857142857142858</v>
      </c>
      <c r="BN180" s="64">
        <f t="shared" si="23"/>
        <v>19.8</v>
      </c>
      <c r="BO180" s="64">
        <f t="shared" si="24"/>
        <v>3.6630036630036632E-2</v>
      </c>
      <c r="BP180" s="64">
        <f t="shared" si="25"/>
        <v>3.8461538461538464E-2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17.142857142857142</v>
      </c>
      <c r="Y183" s="667">
        <f>IFERROR(Y174/H174,"0")+IFERROR(Y175/H175,"0")+IFERROR(Y176/H176,"0")+IFERROR(Y177/H177,"0")+IFERROR(Y178/H178,"0")+IFERROR(Y179/H179,"0")+IFERROR(Y180/H180,"0")+IFERROR(Y181/H181,"0")+IFERROR(Y182/H182,"0")</f>
        <v>18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9.0359999999999996E-2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36</v>
      </c>
      <c r="Y184" s="667">
        <f>IFERROR(SUM(Y174:Y182),"0")</f>
        <v>37.800000000000004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53</v>
      </c>
      <c r="Y201" s="666">
        <f t="shared" ref="Y201:Y208" si="26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55.061111111111117</v>
      </c>
      <c r="BN201" s="64">
        <f t="shared" ref="BN201:BN208" si="28">IFERROR(Y201*I201/H201,"0")</f>
        <v>56.099999999999994</v>
      </c>
      <c r="BO201" s="64">
        <f t="shared" ref="BO201:BO208" si="29">IFERROR(1/J201*(X201/H201),"0")</f>
        <v>7.435465768799103E-2</v>
      </c>
      <c r="BP201" s="64">
        <f t="shared" ref="BP201:BP208" si="30">IFERROR(1/J201*(Y201/H201),"0")</f>
        <v>7.575757575757576E-2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62</v>
      </c>
      <c r="Y202" s="666">
        <f t="shared" si="26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64.411111111111111</v>
      </c>
      <c r="BN202" s="64">
        <f t="shared" si="28"/>
        <v>67.320000000000007</v>
      </c>
      <c r="BO202" s="64">
        <f t="shared" si="29"/>
        <v>8.698092031425364E-2</v>
      </c>
      <c r="BP202" s="64">
        <f t="shared" si="30"/>
        <v>9.0909090909090925E-2</v>
      </c>
    </row>
    <row r="203" spans="1:68" ht="27" hidden="1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21.296296296296298</v>
      </c>
      <c r="Y209" s="667">
        <f>IFERROR(Y201/H201,"0")+IFERROR(Y202/H202,"0")+IFERROR(Y203/H203,"0")+IFERROR(Y204/H204,"0")+IFERROR(Y205/H205,"0")+IFERROR(Y206/H206,"0")+IFERROR(Y207/H207,"0")+IFERROR(Y208/H208,"0")</f>
        <v>22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0.19844000000000001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115</v>
      </c>
      <c r="Y210" s="667">
        <f>IFERROR(SUM(Y201:Y208),"0")</f>
        <v>118.80000000000001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50</v>
      </c>
      <c r="Y217" s="666">
        <f t="shared" si="31"/>
        <v>50.4</v>
      </c>
      <c r="Z217" s="36">
        <f t="shared" si="36"/>
        <v>0.13671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55.25</v>
      </c>
      <c r="BN217" s="64">
        <f t="shared" si="33"/>
        <v>55.692</v>
      </c>
      <c r="BO217" s="64">
        <f t="shared" si="34"/>
        <v>0.11446886446886449</v>
      </c>
      <c r="BP217" s="64">
        <f t="shared" si="35"/>
        <v>0.11538461538461539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59</v>
      </c>
      <c r="Y218" s="666">
        <f t="shared" si="31"/>
        <v>60</v>
      </c>
      <c r="Z218" s="36">
        <f t="shared" si="36"/>
        <v>0.16275000000000001</v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65.195000000000007</v>
      </c>
      <c r="BN218" s="64">
        <f t="shared" si="33"/>
        <v>66.300000000000011</v>
      </c>
      <c r="BO218" s="64">
        <f t="shared" si="34"/>
        <v>0.13507326007326009</v>
      </c>
      <c r="BP218" s="64">
        <f t="shared" si="35"/>
        <v>0.13736263736263737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45.416666666666671</v>
      </c>
      <c r="Y221" s="667">
        <f>IFERROR(Y212/H212,"0")+IFERROR(Y213/H213,"0")+IFERROR(Y214/H214,"0")+IFERROR(Y215/H215,"0")+IFERROR(Y216/H216,"0")+IFERROR(Y217/H217,"0")+IFERROR(Y218/H218,"0")+IFERROR(Y219/H219,"0")+IFERROR(Y220/H220,"0")</f>
        <v>46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0.29946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109</v>
      </c>
      <c r="Y222" s="667">
        <f>IFERROR(SUM(Y212:Y220),"0")</f>
        <v>110.4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4</v>
      </c>
      <c r="Y279" s="666">
        <f>IFERROR(IF(X279="",0,CEILING((X279/$H279),1)*$H279),"")</f>
        <v>4.8</v>
      </c>
      <c r="Z279" s="36">
        <f>IFERROR(IF(Y279=0,"",ROUNDUP(Y279/H279,0)*0.00651),"")</f>
        <v>1.302E-2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4.4200000000000008</v>
      </c>
      <c r="BN279" s="64">
        <f>IFERROR(Y279*I279/H279,"0")</f>
        <v>5.3040000000000003</v>
      </c>
      <c r="BO279" s="64">
        <f>IFERROR(1/J279*(X279/H279),"0")</f>
        <v>9.1575091575091579E-3</v>
      </c>
      <c r="BP279" s="64">
        <f>IFERROR(1/J279*(Y279/H279),"0")</f>
        <v>1.098901098901099E-2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8</v>
      </c>
      <c r="Y280" s="666">
        <f>IFERROR(IF(X280="",0,CEILING((X280/$H280),1)*$H280),"")</f>
        <v>9.6</v>
      </c>
      <c r="Z280" s="36">
        <f>IFERROR(IF(Y280=0,"",ROUNDUP(Y280/H280,0)*0.00651),"")</f>
        <v>2.6040000000000001E-2</v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8.6000000000000014</v>
      </c>
      <c r="BN280" s="64">
        <f>IFERROR(Y280*I280/H280,"0")</f>
        <v>10.32</v>
      </c>
      <c r="BO280" s="64">
        <f>IFERROR(1/J280*(X280/H280),"0")</f>
        <v>1.8315018315018316E-2</v>
      </c>
      <c r="BP280" s="64">
        <f>IFERROR(1/J280*(Y280/H280),"0")</f>
        <v>2.197802197802198E-2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5</v>
      </c>
      <c r="Y282" s="667">
        <f>IFERROR(Y277/H277,"0")+IFERROR(Y278/H278,"0")+IFERROR(Y279/H279,"0")+IFERROR(Y280/H280,"0")+IFERROR(Y281/H281,"0")</f>
        <v>6</v>
      </c>
      <c r="Z282" s="667">
        <f>IFERROR(IF(Z277="",0,Z277),"0")+IFERROR(IF(Z278="",0,Z278),"0")+IFERROR(IF(Z279="",0,Z279),"0")+IFERROR(IF(Z280="",0,Z280),"0")+IFERROR(IF(Z281="",0,Z281),"0")</f>
        <v>3.9059999999999997E-2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12</v>
      </c>
      <c r="Y283" s="667">
        <f>IFERROR(SUM(Y277:Y281),"0")</f>
        <v>14.399999999999999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140</v>
      </c>
      <c r="Y329" s="666">
        <f>IFERROR(IF(X329="",0,CEILING((X329/$H329),1)*$H329),"")</f>
        <v>142.80000000000001</v>
      </c>
      <c r="Z329" s="36">
        <f>IFERROR(IF(Y329=0,"",ROUNDUP(Y329/H329,0)*0.00902),"")</f>
        <v>0.30668000000000001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148.99999999999997</v>
      </c>
      <c r="BN329" s="64">
        <f>IFERROR(Y329*I329/H329,"0")</f>
        <v>151.97999999999999</v>
      </c>
      <c r="BO329" s="64">
        <f>IFERROR(1/J329*(X329/H329),"0")</f>
        <v>0.25252525252525249</v>
      </c>
      <c r="BP329" s="64">
        <f>IFERROR(1/J329*(Y329/H329),"0")</f>
        <v>0.25757575757575757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33.333333333333329</v>
      </c>
      <c r="Y332" s="667">
        <f>IFERROR(Y328/H328,"0")+IFERROR(Y329/H329,"0")+IFERROR(Y330/H330,"0")+IFERROR(Y331/H331,"0")</f>
        <v>34</v>
      </c>
      <c r="Z332" s="667">
        <f>IFERROR(IF(Z328="",0,Z328),"0")+IFERROR(IF(Z329="",0,Z329),"0")+IFERROR(IF(Z330="",0,Z330),"0")+IFERROR(IF(Z331="",0,Z331),"0")</f>
        <v>0.30668000000000001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140</v>
      </c>
      <c r="Y333" s="667">
        <f>IFERROR(SUM(Y328:Y331),"0")</f>
        <v>142.80000000000001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250</v>
      </c>
      <c r="Y335" s="666">
        <f>IFERROR(IF(X335="",0,CEILING((X335/$H335),1)*$H335),"")</f>
        <v>257.39999999999998</v>
      </c>
      <c r="Z335" s="36">
        <f>IFERROR(IF(Y335=0,"",ROUNDUP(Y335/H335,0)*0.01898),"")</f>
        <v>0.62634000000000001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266.44230769230768</v>
      </c>
      <c r="BN335" s="64">
        <f>IFERROR(Y335*I335/H335,"0")</f>
        <v>274.32900000000001</v>
      </c>
      <c r="BO335" s="64">
        <f>IFERROR(1/J335*(X335/H335),"0")</f>
        <v>0.50080128205128205</v>
      </c>
      <c r="BP335" s="64">
        <f>IFERROR(1/J335*(Y335/H335),"0")</f>
        <v>0.515625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25</v>
      </c>
      <c r="Y338" s="666">
        <f>IFERROR(IF(X338="",0,CEILING((X338/$H338),1)*$H338),"")</f>
        <v>27</v>
      </c>
      <c r="Z338" s="36">
        <f>IFERROR(IF(Y338=0,"",ROUNDUP(Y338/H338,0)*0.00651),"")</f>
        <v>5.8590000000000003E-2</v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27.05</v>
      </c>
      <c r="BN338" s="64">
        <f>IFERROR(Y338*I338/H338,"0")</f>
        <v>29.213999999999999</v>
      </c>
      <c r="BO338" s="64">
        <f>IFERROR(1/J338*(X338/H338),"0")</f>
        <v>4.5787545787545791E-2</v>
      </c>
      <c r="BP338" s="64">
        <f>IFERROR(1/J338*(Y338/H338),"0")</f>
        <v>4.9450549450549455E-2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40.384615384615387</v>
      </c>
      <c r="Y340" s="667">
        <f>IFERROR(Y335/H335,"0")+IFERROR(Y336/H336,"0")+IFERROR(Y337/H337,"0")+IFERROR(Y338/H338,"0")+IFERROR(Y339/H339,"0")</f>
        <v>42</v>
      </c>
      <c r="Z340" s="667">
        <f>IFERROR(IF(Z335="",0,Z335),"0")+IFERROR(IF(Z336="",0,Z336),"0")+IFERROR(IF(Z337="",0,Z337),"0")+IFERROR(IF(Z338="",0,Z338),"0")+IFERROR(IF(Z339="",0,Z339),"0")</f>
        <v>0.68493000000000004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275</v>
      </c>
      <c r="Y341" s="667">
        <f>IFERROR(SUM(Y335:Y339),"0")</f>
        <v>284.39999999999998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20</v>
      </c>
      <c r="Y344" s="666">
        <f>IFERROR(IF(X344="",0,CEILING((X344/$H344),1)*$H344),"")</f>
        <v>23.4</v>
      </c>
      <c r="Z344" s="36">
        <f>IFERROR(IF(Y344=0,"",ROUNDUP(Y344/H344,0)*0.01898),"")</f>
        <v>5.6940000000000004E-2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21.330769230769235</v>
      </c>
      <c r="BN344" s="64">
        <f>IFERROR(Y344*I344/H344,"0")</f>
        <v>24.957000000000001</v>
      </c>
      <c r="BO344" s="64">
        <f>IFERROR(1/J344*(X344/H344),"0")</f>
        <v>4.0064102564102567E-2</v>
      </c>
      <c r="BP344" s="64">
        <f>IFERROR(1/J344*(Y344/H344),"0")</f>
        <v>4.6875E-2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2.5641025641025643</v>
      </c>
      <c r="Y346" s="667">
        <f>IFERROR(Y343/H343,"0")+IFERROR(Y344/H344,"0")+IFERROR(Y345/H345,"0")</f>
        <v>3</v>
      </c>
      <c r="Z346" s="667">
        <f>IFERROR(IF(Z343="",0,Z343),"0")+IFERROR(IF(Z344="",0,Z344),"0")+IFERROR(IF(Z345="",0,Z345),"0")</f>
        <v>5.6940000000000004E-2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20</v>
      </c>
      <c r="Y347" s="667">
        <f>IFERROR(SUM(Y343:Y345),"0")</f>
        <v>23.4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2</v>
      </c>
      <c r="Y352" s="666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2.2588235294117647</v>
      </c>
      <c r="BN352" s="64">
        <f>IFERROR(Y352*I352/H352,"0")</f>
        <v>2.88</v>
      </c>
      <c r="BO352" s="64">
        <f>IFERROR(1/J352*(X352/H352),"0")</f>
        <v>4.3094160741219576E-3</v>
      </c>
      <c r="BP352" s="64">
        <f>IFERROR(1/J352*(Y352/H352),"0")</f>
        <v>5.4945054945054949E-3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0.78431372549019618</v>
      </c>
      <c r="Y353" s="667">
        <f>IFERROR(Y349/H349,"0")+IFERROR(Y350/H350,"0")+IFERROR(Y351/H351,"0")+IFERROR(Y352/H352,"0")</f>
        <v>1</v>
      </c>
      <c r="Z353" s="667">
        <f>IFERROR(IF(Z349="",0,Z349),"0")+IFERROR(IF(Z350="",0,Z350),"0")+IFERROR(IF(Z351="",0,Z351),"0")+IFERROR(IF(Z352="",0,Z352),"0")</f>
        <v>6.5100000000000002E-3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2</v>
      </c>
      <c r="Y354" s="667">
        <f>IFERROR(SUM(Y349:Y352),"0")</f>
        <v>2.5499999999999998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10</v>
      </c>
      <c r="Y358" s="666">
        <f>IFERROR(IF(X358="",0,CEILING((X358/$H358),1)*$H358),"")</f>
        <v>10</v>
      </c>
      <c r="Z358" s="36">
        <f>IFERROR(IF(Y358=0,"",ROUNDUP(Y358/H358,0)*0.00474),"")</f>
        <v>2.3700000000000002E-2</v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11.200000000000001</v>
      </c>
      <c r="BN358" s="64">
        <f>IFERROR(Y358*I358/H358,"0")</f>
        <v>11.200000000000001</v>
      </c>
      <c r="BO358" s="64">
        <f>IFERROR(1/J358*(X358/H358),"0")</f>
        <v>2.1008403361344536E-2</v>
      </c>
      <c r="BP358" s="64">
        <f>IFERROR(1/J358*(Y358/H358),"0")</f>
        <v>2.1008403361344536E-2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5</v>
      </c>
      <c r="Y359" s="667">
        <f>IFERROR(Y356/H356,"0")+IFERROR(Y357/H357,"0")+IFERROR(Y358/H358,"0")</f>
        <v>5</v>
      </c>
      <c r="Z359" s="667">
        <f>IFERROR(IF(Z356="",0,Z356),"0")+IFERROR(IF(Z357="",0,Z357),"0")+IFERROR(IF(Z358="",0,Z358),"0")</f>
        <v>2.3700000000000002E-2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10</v>
      </c>
      <c r="Y360" s="667">
        <f>IFERROR(SUM(Y356:Y358),"0")</f>
        <v>10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3</v>
      </c>
      <c r="Y363" s="666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3.38</v>
      </c>
      <c r="BN363" s="64">
        <f>IFERROR(Y363*I363/H363,"0")</f>
        <v>4.056</v>
      </c>
      <c r="BO363" s="64">
        <f>IFERROR(1/J363*(X363/H363),"0")</f>
        <v>9.1575091575091579E-3</v>
      </c>
      <c r="BP363" s="64">
        <f>IFERROR(1/J363*(Y363/H363),"0")</f>
        <v>1.098901098901099E-2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1.6666666666666665</v>
      </c>
      <c r="Y364" s="667">
        <f>IFERROR(Y363/H363,"0")</f>
        <v>2</v>
      </c>
      <c r="Z364" s="667">
        <f>IFERROR(IF(Z363="",0,Z363),"0")</f>
        <v>1.302E-2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3</v>
      </c>
      <c r="Y365" s="667">
        <f>IFERROR(SUM(Y363:Y363),"0")</f>
        <v>3.6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7</v>
      </c>
      <c r="Y369" s="666">
        <f>IFERROR(IF(X369="",0,CEILING((X369/$H369),1)*$H369),"")</f>
        <v>8.4</v>
      </c>
      <c r="Z369" s="36">
        <f>IFERROR(IF(Y369=0,"",ROUNDUP(Y369/H369,0)*0.00651),"")</f>
        <v>2.6040000000000001E-2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7.7999999999999989</v>
      </c>
      <c r="BN369" s="64">
        <f>IFERROR(Y369*I369/H369,"0")</f>
        <v>9.36</v>
      </c>
      <c r="BO369" s="64">
        <f>IFERROR(1/J369*(X369/H369),"0")</f>
        <v>1.8315018315018316E-2</v>
      </c>
      <c r="BP369" s="64">
        <f>IFERROR(1/J369*(Y369/H369),"0")</f>
        <v>2.197802197802198E-2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3.333333333333333</v>
      </c>
      <c r="Y370" s="667">
        <f>IFERROR(Y367/H367,"0")+IFERROR(Y368/H368,"0")+IFERROR(Y369/H369,"0")</f>
        <v>4</v>
      </c>
      <c r="Z370" s="667">
        <f>IFERROR(IF(Z367="",0,Z367),"0")+IFERROR(IF(Z368="",0,Z368),"0")+IFERROR(IF(Z369="",0,Z369),"0")</f>
        <v>2.6040000000000001E-2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7</v>
      </c>
      <c r="Y371" s="667">
        <f>IFERROR(SUM(Y367:Y369),"0")</f>
        <v>8.4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44</v>
      </c>
      <c r="Y376" s="666">
        <f t="shared" si="52"/>
        <v>45</v>
      </c>
      <c r="Z376" s="36">
        <f>IFERROR(IF(Y376=0,"",ROUNDUP(Y376/H376,0)*0.02175),"")</f>
        <v>6.5250000000000002E-2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45.408000000000001</v>
      </c>
      <c r="BN376" s="64">
        <f t="shared" si="54"/>
        <v>46.440000000000005</v>
      </c>
      <c r="BO376" s="64">
        <f t="shared" si="55"/>
        <v>6.1111111111111102E-2</v>
      </c>
      <c r="BP376" s="64">
        <f t="shared" si="56"/>
        <v>6.25E-2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40</v>
      </c>
      <c r="Y378" s="666">
        <f t="shared" si="52"/>
        <v>45</v>
      </c>
      <c r="Z378" s="36">
        <f>IFERROR(IF(Y378=0,"",ROUNDUP(Y378/H378,0)*0.02175),"")</f>
        <v>6.5250000000000002E-2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41.28</v>
      </c>
      <c r="BN378" s="64">
        <f t="shared" si="54"/>
        <v>46.440000000000005</v>
      </c>
      <c r="BO378" s="64">
        <f t="shared" si="55"/>
        <v>5.5555555555555552E-2</v>
      </c>
      <c r="BP378" s="64">
        <f t="shared" si="56"/>
        <v>6.25E-2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500</v>
      </c>
      <c r="Y381" s="666">
        <f t="shared" si="52"/>
        <v>510</v>
      </c>
      <c r="Z381" s="36">
        <f>IFERROR(IF(Y381=0,"",ROUNDUP(Y381/H381,0)*0.02175),"")</f>
        <v>0.73949999999999994</v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516</v>
      </c>
      <c r="BN381" s="64">
        <f t="shared" si="54"/>
        <v>526.32000000000005</v>
      </c>
      <c r="BO381" s="64">
        <f t="shared" si="55"/>
        <v>0.69444444444444442</v>
      </c>
      <c r="BP381" s="64">
        <f t="shared" si="56"/>
        <v>0.70833333333333326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38.933333333333337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0.86999999999999988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584</v>
      </c>
      <c r="Y386" s="667">
        <f>IFERROR(SUM(Y375:Y384),"0")</f>
        <v>600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556</v>
      </c>
      <c r="Y388" s="666">
        <f>IFERROR(IF(X388="",0,CEILING((X388/$H388),1)*$H388),"")</f>
        <v>570</v>
      </c>
      <c r="Z388" s="36">
        <f>IFERROR(IF(Y388=0,"",ROUNDUP(Y388/H388,0)*0.02175),"")</f>
        <v>0.8264999999999999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573.79200000000003</v>
      </c>
      <c r="BN388" s="64">
        <f>IFERROR(Y388*I388/H388,"0")</f>
        <v>588.24</v>
      </c>
      <c r="BO388" s="64">
        <f>IFERROR(1/J388*(X388/H388),"0")</f>
        <v>0.77222222222222225</v>
      </c>
      <c r="BP388" s="64">
        <f>IFERROR(1/J388*(Y388/H388),"0")</f>
        <v>0.79166666666666663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37.06666666666667</v>
      </c>
      <c r="Y390" s="667">
        <f>IFERROR(Y388/H388,"0")+IFERROR(Y389/H389,"0")</f>
        <v>38</v>
      </c>
      <c r="Z390" s="667">
        <f>IFERROR(IF(Z388="",0,Z388),"0")+IFERROR(IF(Z389="",0,Z389),"0")</f>
        <v>0.8264999999999999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556</v>
      </c>
      <c r="Y391" s="667">
        <f>IFERROR(SUM(Y388:Y389),"0")</f>
        <v>570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4</v>
      </c>
      <c r="Y441" s="666">
        <f t="shared" si="62"/>
        <v>4.2</v>
      </c>
      <c r="Z441" s="36">
        <f t="shared" si="67"/>
        <v>1.004E-2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4.2476190476190476</v>
      </c>
      <c r="BN441" s="64">
        <f t="shared" si="64"/>
        <v>4.46</v>
      </c>
      <c r="BO441" s="64">
        <f t="shared" si="65"/>
        <v>8.1400081400081412E-3</v>
      </c>
      <c r="BP441" s="64">
        <f t="shared" si="66"/>
        <v>8.5470085470085479E-3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1.9047619047619047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2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1.004E-2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4</v>
      </c>
      <c r="Y444" s="667">
        <f>IFERROR(SUM(Y431:Y442),"0")</f>
        <v>4.2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hidden="1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hidden="1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14</v>
      </c>
      <c r="Y488" s="666">
        <f t="shared" si="68"/>
        <v>14.4</v>
      </c>
      <c r="Z488" s="36">
        <f>IFERROR(IF(Y488=0,"",ROUNDUP(Y488/H488,0)*0.00902),"")</f>
        <v>3.6080000000000001E-2</v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14.816666666666666</v>
      </c>
      <c r="BN488" s="64">
        <f t="shared" si="70"/>
        <v>15.24</v>
      </c>
      <c r="BO488" s="64">
        <f t="shared" si="71"/>
        <v>2.9461279461279462E-2</v>
      </c>
      <c r="BP488" s="64">
        <f t="shared" si="72"/>
        <v>3.0303030303030304E-2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3.8888888888888888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3.6080000000000001E-2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14</v>
      </c>
      <c r="Y497" s="667">
        <f>IFERROR(SUM(Y481:Y495),"0")</f>
        <v>14.4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hidden="1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2339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2419.6299999999997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2451.9560364553745</v>
      </c>
      <c r="Y593" s="667">
        <f>IFERROR(SUM(BN22:BN589),"0")</f>
        <v>2536.8019999999997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4</v>
      </c>
      <c r="Y594" s="38">
        <f>ROUNDUP(SUM(BP22:BP589),0)</f>
        <v>4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2551.9560364553745</v>
      </c>
      <c r="Y595" s="667">
        <f>GrossWeightTotalR+PalletQtyTotalR*25</f>
        <v>2636.8019999999997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363.34904297771942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377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4.4692800000000004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56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210.60000000000002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108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88.2</v>
      </c>
      <c r="G602" s="46">
        <f>IFERROR(Y136*1,"0")+IFERROR(Y137*1,"0")+IFERROR(Y141*1,"0")+IFERROR(Y142*1,"0")+IFERROR(Y146*1,"0")+IFERROR(Y147*1,"0")</f>
        <v>11.68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37.800000000000004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229.20000000000002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14.399999999999999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463.15</v>
      </c>
      <c r="V602" s="46">
        <f>IFERROR(Y363*1,"0")+IFERROR(Y367*1,"0")+IFERROR(Y368*1,"0")+IFERROR(Y369*1,"0")</f>
        <v>12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1170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4.2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14.4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8"/>
        <filter val="1,52"/>
        <filter val="1,56"/>
        <filter val="1,67"/>
        <filter val="1,90"/>
        <filter val="10,00"/>
        <filter val="109,00"/>
        <filter val="11,70"/>
        <filter val="115,00"/>
        <filter val="12,00"/>
        <filter val="135,00"/>
        <filter val="14,00"/>
        <filter val="140,00"/>
        <filter val="15,19"/>
        <filter val="17,14"/>
        <filter val="18,00"/>
        <filter val="2 339,00"/>
        <filter val="2 451,96"/>
        <filter val="2 551,96"/>
        <filter val="2,00"/>
        <filter val="2,56"/>
        <filter val="20,00"/>
        <filter val="21,30"/>
        <filter val="25,00"/>
        <filter val="250,00"/>
        <filter val="275,00"/>
        <filter val="3,00"/>
        <filter val="3,33"/>
        <filter val="3,89"/>
        <filter val="30,00"/>
        <filter val="33,33"/>
        <filter val="36,00"/>
        <filter val="363,35"/>
        <filter val="37,07"/>
        <filter val="38,93"/>
        <filter val="4"/>
        <filter val="4,00"/>
        <filter val="40,00"/>
        <filter val="40,38"/>
        <filter val="41,00"/>
        <filter val="44,00"/>
        <filter val="45,00"/>
        <filter val="45,42"/>
        <filter val="5,00"/>
        <filter val="50,00"/>
        <filter val="500,00"/>
        <filter val="51,00"/>
        <filter val="53,00"/>
        <filter val="55,00"/>
        <filter val="556,00"/>
        <filter val="56,00"/>
        <filter val="584,00"/>
        <filter val="59,00"/>
        <filter val="6,48"/>
        <filter val="62,00"/>
        <filter val="7,00"/>
        <filter val="70,00"/>
        <filter val="8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