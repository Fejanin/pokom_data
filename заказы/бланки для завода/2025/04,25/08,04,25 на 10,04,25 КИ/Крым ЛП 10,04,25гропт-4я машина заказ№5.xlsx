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C49B165-D0A7-4741-8DDD-7EEB31E09B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BP460" i="1" s="1"/>
  <c r="P460" i="1"/>
  <c r="BO459" i="1"/>
  <c r="BM459" i="1"/>
  <c r="Y459" i="1"/>
  <c r="BO458" i="1"/>
  <c r="BM458" i="1"/>
  <c r="Y458" i="1"/>
  <c r="P458" i="1"/>
  <c r="BO457" i="1"/>
  <c r="BM457" i="1"/>
  <c r="Y457" i="1"/>
  <c r="BP457" i="1" s="1"/>
  <c r="X455" i="1"/>
  <c r="X454" i="1"/>
  <c r="BO453" i="1"/>
  <c r="BM453" i="1"/>
  <c r="Y453" i="1"/>
  <c r="P453" i="1"/>
  <c r="BO452" i="1"/>
  <c r="BM452" i="1"/>
  <c r="Y452" i="1"/>
  <c r="BP452" i="1" s="1"/>
  <c r="P452" i="1"/>
  <c r="X449" i="1"/>
  <c r="X448" i="1"/>
  <c r="BO447" i="1"/>
  <c r="BM447" i="1"/>
  <c r="Y447" i="1"/>
  <c r="BP447" i="1" s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P436" i="1" s="1"/>
  <c r="BO435" i="1"/>
  <c r="BM435" i="1"/>
  <c r="Y435" i="1"/>
  <c r="BP435" i="1" s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Y427" i="1" s="1"/>
  <c r="X423" i="1"/>
  <c r="X422" i="1"/>
  <c r="BO421" i="1"/>
  <c r="BM421" i="1"/>
  <c r="Y421" i="1"/>
  <c r="P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BP413" i="1" s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BP349" i="1" s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Z170" i="1"/>
  <c r="Z171" i="1" s="1"/>
  <c r="Y170" i="1"/>
  <c r="P170" i="1"/>
  <c r="X166" i="1"/>
  <c r="X165" i="1"/>
  <c r="BO164" i="1"/>
  <c r="BM164" i="1"/>
  <c r="Y164" i="1"/>
  <c r="BP164" i="1" s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Y160" i="1" s="1"/>
  <c r="P156" i="1"/>
  <c r="X154" i="1"/>
  <c r="X153" i="1"/>
  <c r="BO152" i="1"/>
  <c r="BM152" i="1"/>
  <c r="Y152" i="1"/>
  <c r="Y153" i="1" s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7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P35" i="1"/>
  <c r="X31" i="1"/>
  <c r="X30" i="1"/>
  <c r="BO29" i="1"/>
  <c r="BM29" i="1"/>
  <c r="Y29" i="1"/>
  <c r="Y30" i="1" s="1"/>
  <c r="P29" i="1"/>
  <c r="X27" i="1"/>
  <c r="X26" i="1"/>
  <c r="X596" i="1" s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74" i="1" l="1"/>
  <c r="BN174" i="1"/>
  <c r="Z174" i="1"/>
  <c r="BP215" i="1"/>
  <c r="BN215" i="1"/>
  <c r="Z215" i="1"/>
  <c r="Y248" i="1"/>
  <c r="Y247" i="1"/>
  <c r="BP246" i="1"/>
  <c r="BN246" i="1"/>
  <c r="Z246" i="1"/>
  <c r="Z247" i="1" s="1"/>
  <c r="M602" i="1"/>
  <c r="Y266" i="1"/>
  <c r="BP265" i="1"/>
  <c r="BN265" i="1"/>
  <c r="Z265" i="1"/>
  <c r="Z266" i="1" s="1"/>
  <c r="BP270" i="1"/>
  <c r="BN270" i="1"/>
  <c r="Z270" i="1"/>
  <c r="BP324" i="1"/>
  <c r="BN324" i="1"/>
  <c r="Z324" i="1"/>
  <c r="Z22" i="1"/>
  <c r="BN22" i="1"/>
  <c r="Z42" i="1"/>
  <c r="Z43" i="1" s="1"/>
  <c r="BN42" i="1"/>
  <c r="BP42" i="1"/>
  <c r="Y43" i="1"/>
  <c r="Z47" i="1"/>
  <c r="BN47" i="1"/>
  <c r="Z57" i="1"/>
  <c r="BN57" i="1"/>
  <c r="Z73" i="1"/>
  <c r="BN73" i="1"/>
  <c r="Z86" i="1"/>
  <c r="BN86" i="1"/>
  <c r="Z100" i="1"/>
  <c r="BN100" i="1"/>
  <c r="Z137" i="1"/>
  <c r="BN137" i="1"/>
  <c r="Z158" i="1"/>
  <c r="BN158" i="1"/>
  <c r="Y172" i="1"/>
  <c r="Y171" i="1"/>
  <c r="BP170" i="1"/>
  <c r="BN170" i="1"/>
  <c r="BP203" i="1"/>
  <c r="BN203" i="1"/>
  <c r="Z203" i="1"/>
  <c r="BP230" i="1"/>
  <c r="BN230" i="1"/>
  <c r="Z230" i="1"/>
  <c r="BP281" i="1"/>
  <c r="BN281" i="1"/>
  <c r="Z281" i="1"/>
  <c r="BP338" i="1"/>
  <c r="BN338" i="1"/>
  <c r="Z338" i="1"/>
  <c r="Z349" i="1"/>
  <c r="BN349" i="1"/>
  <c r="Z350" i="1"/>
  <c r="BN350" i="1"/>
  <c r="Z369" i="1"/>
  <c r="BN369" i="1"/>
  <c r="Z379" i="1"/>
  <c r="BN379" i="1"/>
  <c r="Z413" i="1"/>
  <c r="BN413" i="1"/>
  <c r="Z420" i="1"/>
  <c r="BN420" i="1"/>
  <c r="Z425" i="1"/>
  <c r="Z426" i="1" s="1"/>
  <c r="BN425" i="1"/>
  <c r="BP425" i="1"/>
  <c r="Y426" i="1"/>
  <c r="Z435" i="1"/>
  <c r="BN435" i="1"/>
  <c r="Z436" i="1"/>
  <c r="BN436" i="1"/>
  <c r="Z447" i="1"/>
  <c r="BN447" i="1"/>
  <c r="Z452" i="1"/>
  <c r="BN452" i="1"/>
  <c r="Z457" i="1"/>
  <c r="BN457" i="1"/>
  <c r="Z460" i="1"/>
  <c r="BN460" i="1"/>
  <c r="Z483" i="1"/>
  <c r="BN483" i="1"/>
  <c r="Z488" i="1"/>
  <c r="BN488" i="1"/>
  <c r="Z493" i="1"/>
  <c r="BN493" i="1"/>
  <c r="J9" i="1"/>
  <c r="X593" i="1"/>
  <c r="Z24" i="1"/>
  <c r="BN24" i="1"/>
  <c r="C602" i="1"/>
  <c r="Z38" i="1"/>
  <c r="BN38" i="1"/>
  <c r="Z49" i="1"/>
  <c r="BN49" i="1"/>
  <c r="Z53" i="1"/>
  <c r="BN53" i="1"/>
  <c r="Y61" i="1"/>
  <c r="Z59" i="1"/>
  <c r="BN59" i="1"/>
  <c r="Y67" i="1"/>
  <c r="Z71" i="1"/>
  <c r="BN71" i="1"/>
  <c r="Z75" i="1"/>
  <c r="BN75" i="1"/>
  <c r="Y83" i="1"/>
  <c r="Z81" i="1"/>
  <c r="BN81" i="1"/>
  <c r="Z88" i="1"/>
  <c r="BN88" i="1"/>
  <c r="Y102" i="1"/>
  <c r="Z98" i="1"/>
  <c r="BN98" i="1"/>
  <c r="Z105" i="1"/>
  <c r="BN105" i="1"/>
  <c r="Z113" i="1"/>
  <c r="BN113" i="1"/>
  <c r="Y128" i="1"/>
  <c r="Z120" i="1"/>
  <c r="BN120" i="1"/>
  <c r="Z123" i="1"/>
  <c r="BN123" i="1"/>
  <c r="Z124" i="1"/>
  <c r="BN124" i="1"/>
  <c r="Z130" i="1"/>
  <c r="BN130" i="1"/>
  <c r="BP130" i="1"/>
  <c r="G602" i="1"/>
  <c r="Z141" i="1"/>
  <c r="BN141" i="1"/>
  <c r="BP141" i="1"/>
  <c r="Z152" i="1"/>
  <c r="Z153" i="1" s="1"/>
  <c r="BN152" i="1"/>
  <c r="BP152" i="1"/>
  <c r="Z156" i="1"/>
  <c r="BN156" i="1"/>
  <c r="BP156" i="1"/>
  <c r="Z164" i="1"/>
  <c r="BN164" i="1"/>
  <c r="Y183" i="1"/>
  <c r="Z176" i="1"/>
  <c r="BN176" i="1"/>
  <c r="BP181" i="1"/>
  <c r="BN181" i="1"/>
  <c r="Z181" i="1"/>
  <c r="Y209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BP260" i="1"/>
  <c r="BN260" i="1"/>
  <c r="Z260" i="1"/>
  <c r="BP279" i="1"/>
  <c r="BN279" i="1"/>
  <c r="Z279" i="1"/>
  <c r="BP322" i="1"/>
  <c r="BN322" i="1"/>
  <c r="Z322" i="1"/>
  <c r="BP336" i="1"/>
  <c r="BN336" i="1"/>
  <c r="Z336" i="1"/>
  <c r="V602" i="1"/>
  <c r="Y364" i="1"/>
  <c r="BP363" i="1"/>
  <c r="BN363" i="1"/>
  <c r="Z363" i="1"/>
  <c r="Z364" i="1" s="1"/>
  <c r="Y371" i="1"/>
  <c r="BP367" i="1"/>
  <c r="BN367" i="1"/>
  <c r="Z367" i="1"/>
  <c r="Y370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BP256" i="1"/>
  <c r="BN256" i="1"/>
  <c r="Z256" i="1"/>
  <c r="BP272" i="1"/>
  <c r="BN272" i="1"/>
  <c r="Z272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Y332" i="1"/>
  <c r="BP328" i="1"/>
  <c r="BN328" i="1"/>
  <c r="Z328" i="1"/>
  <c r="BP344" i="1"/>
  <c r="BN344" i="1"/>
  <c r="Z344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Y422" i="1"/>
  <c r="BP417" i="1"/>
  <c r="BN417" i="1"/>
  <c r="Z417" i="1"/>
  <c r="BP438" i="1"/>
  <c r="BN438" i="1"/>
  <c r="Z438" i="1"/>
  <c r="AA602" i="1"/>
  <c r="Y467" i="1"/>
  <c r="BP465" i="1"/>
  <c r="BN465" i="1"/>
  <c r="Z465" i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BP352" i="1"/>
  <c r="BN352" i="1"/>
  <c r="Z352" i="1"/>
  <c r="BP356" i="1"/>
  <c r="BN356" i="1"/>
  <c r="Z356" i="1"/>
  <c r="BP377" i="1"/>
  <c r="BN377" i="1"/>
  <c r="Z377" i="1"/>
  <c r="BP389" i="1"/>
  <c r="BN389" i="1"/>
  <c r="Z389" i="1"/>
  <c r="BP407" i="1"/>
  <c r="BN407" i="1"/>
  <c r="Z407" i="1"/>
  <c r="BP418" i="1"/>
  <c r="BN418" i="1"/>
  <c r="Z418" i="1"/>
  <c r="BP441" i="1"/>
  <c r="BN441" i="1"/>
  <c r="Z441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Y354" i="1"/>
  <c r="Y353" i="1"/>
  <c r="Y31" i="1"/>
  <c r="Y39" i="1"/>
  <c r="Y54" i="1"/>
  <c r="Y62" i="1"/>
  <c r="Y68" i="1"/>
  <c r="Y27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Z148" i="1" s="1"/>
  <c r="BP159" i="1"/>
  <c r="BN159" i="1"/>
  <c r="Z159" i="1"/>
  <c r="Y161" i="1"/>
  <c r="Y166" i="1"/>
  <c r="BP163" i="1"/>
  <c r="BN163" i="1"/>
  <c r="Z16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Z273" i="1" s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BN23" i="1"/>
  <c r="Z25" i="1"/>
  <c r="BN25" i="1"/>
  <c r="Y26" i="1"/>
  <c r="X592" i="1"/>
  <c r="Z29" i="1"/>
  <c r="Z30" i="1" s="1"/>
  <c r="BN29" i="1"/>
  <c r="BP29" i="1"/>
  <c r="Z35" i="1"/>
  <c r="Z39" i="1" s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Z67" i="1" s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Y148" i="1"/>
  <c r="BP157" i="1"/>
  <c r="BN157" i="1"/>
  <c r="Z157" i="1"/>
  <c r="Y165" i="1"/>
  <c r="BP175" i="1"/>
  <c r="BN175" i="1"/>
  <c r="Z175" i="1"/>
  <c r="BP180" i="1"/>
  <c r="BN180" i="1"/>
  <c r="Z180" i="1"/>
  <c r="Y198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Y282" i="1"/>
  <c r="BP309" i="1"/>
  <c r="BN309" i="1"/>
  <c r="Z309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BP351" i="1"/>
  <c r="BN351" i="1"/>
  <c r="Z351" i="1"/>
  <c r="Z353" i="1" s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22" i="1" l="1"/>
  <c r="Z390" i="1"/>
  <c r="Z310" i="1"/>
  <c r="Z282" i="1"/>
  <c r="Z160" i="1"/>
  <c r="Z359" i="1"/>
  <c r="Z193" i="1"/>
  <c r="Z165" i="1"/>
  <c r="Z109" i="1"/>
  <c r="Z54" i="1"/>
  <c r="Y594" i="1"/>
  <c r="Z26" i="1"/>
  <c r="Z409" i="1"/>
  <c r="Z467" i="1"/>
  <c r="Z496" i="1"/>
  <c r="Z461" i="1"/>
  <c r="Z385" i="1"/>
  <c r="Z101" i="1"/>
  <c r="Z61" i="1"/>
  <c r="Y593" i="1"/>
  <c r="Y595" i="1" s="1"/>
  <c r="Z548" i="1"/>
  <c r="Z518" i="1"/>
  <c r="Z443" i="1"/>
  <c r="Z325" i="1"/>
  <c r="Z346" i="1"/>
  <c r="Z340" i="1"/>
  <c r="Z566" i="1"/>
  <c r="Z524" i="1"/>
  <c r="Z529" i="1"/>
  <c r="Z238" i="1"/>
  <c r="Z183" i="1"/>
  <c r="Z127" i="1"/>
  <c r="Z76" i="1"/>
  <c r="Y596" i="1"/>
  <c r="Z243" i="1"/>
  <c r="Z221" i="1"/>
  <c r="Y592" i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<sst xmlns="http://schemas.openxmlformats.org/spreadsheetml/2006/main" count="2738" uniqueCount="970">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</sst>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45757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Четверг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0.54166666666666663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20</v>
      </c>
      <c r="Y35" s="666">
        <f>IFERROR(IF(X35="",0,CEILING((X35/$H35),1)*$H35),"")</f>
        <v>21.6</v>
      </c>
      <c r="Z35" s="36">
        <f>IFERROR(IF(Y35=0,"",ROUNDUP(Y35/H35,0)*0.01898),"")</f>
        <v>3.7960000000000001E-2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20.805555555555554</v>
      </c>
      <c r="BN35" s="64">
        <f>IFERROR(Y35*I35/H35,"0")</f>
        <v>22.47</v>
      </c>
      <c r="BO35" s="64">
        <f>IFERROR(1/J35*(X35/H35),"0")</f>
        <v>2.8935185185185182E-2</v>
      </c>
      <c r="BP35" s="64">
        <f>IFERROR(1/J35*(Y35/H35),"0")</f>
        <v>3.125E-2</v>
      </c>
    </row>
    <row r="36" spans="1:68" ht="27" hidden="1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1.8518518518518516</v>
      </c>
      <c r="Y39" s="667">
        <f>IFERROR(Y35/H35,"0")+IFERROR(Y36/H36,"0")+IFERROR(Y37/H37,"0")+IFERROR(Y38/H38,"0")</f>
        <v>2</v>
      </c>
      <c r="Z39" s="667">
        <f>IFERROR(IF(Z35="",0,Z35),"0")+IFERROR(IF(Z36="",0,Z36),"0")+IFERROR(IF(Z37="",0,Z37),"0")+IFERROR(IF(Z38="",0,Z38),"0")</f>
        <v>3.7960000000000001E-2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20</v>
      </c>
      <c r="Y40" s="667">
        <f>IFERROR(SUM(Y35:Y38),"0")</f>
        <v>21.6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60</v>
      </c>
      <c r="Y48" s="666">
        <f t="shared" si="0"/>
        <v>64.800000000000011</v>
      </c>
      <c r="Z48" s="36">
        <f>IFERROR(IF(Y48=0,"",ROUNDUP(Y48/H48,0)*0.01898),"")</f>
        <v>0.11388000000000001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62.416666666666657</v>
      </c>
      <c r="BN48" s="64">
        <f t="shared" si="2"/>
        <v>67.410000000000011</v>
      </c>
      <c r="BO48" s="64">
        <f t="shared" si="3"/>
        <v>8.6805555555555552E-2</v>
      </c>
      <c r="BP48" s="64">
        <f t="shared" si="4"/>
        <v>9.3750000000000014E-2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5.5555555555555554</v>
      </c>
      <c r="Y54" s="667">
        <f>IFERROR(Y47/H47,"0")+IFERROR(Y48/H48,"0")+IFERROR(Y49/H49,"0")+IFERROR(Y50/H50,"0")+IFERROR(Y51/H51,"0")+IFERROR(Y52/H52,"0")+IFERROR(Y53/H53,"0")</f>
        <v>6.0000000000000009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0.11388000000000001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60</v>
      </c>
      <c r="Y55" s="667">
        <f>IFERROR(SUM(Y47:Y53),"0")</f>
        <v>64.800000000000011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40</v>
      </c>
      <c r="Y57" s="666">
        <f>IFERROR(IF(X57="",0,CEILING((X57/$H57),1)*$H57),"")</f>
        <v>43.2</v>
      </c>
      <c r="Z57" s="36">
        <f>IFERROR(IF(Y57=0,"",ROUNDUP(Y57/H57,0)*0.01898),"")</f>
        <v>7.5920000000000001E-2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41.611111111111107</v>
      </c>
      <c r="BN57" s="64">
        <f>IFERROR(Y57*I57/H57,"0")</f>
        <v>44.94</v>
      </c>
      <c r="BO57" s="64">
        <f>IFERROR(1/J57*(X57/H57),"0")</f>
        <v>5.7870370370370364E-2</v>
      </c>
      <c r="BP57" s="64">
        <f>IFERROR(1/J57*(Y57/H57),"0")</f>
        <v>6.25E-2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3.7037037037037033</v>
      </c>
      <c r="Y61" s="667">
        <f>IFERROR(Y57/H57,"0")+IFERROR(Y58/H58,"0")+IFERROR(Y59/H59,"0")+IFERROR(Y60/H60,"0")</f>
        <v>4</v>
      </c>
      <c r="Z61" s="667">
        <f>IFERROR(IF(Z57="",0,Z57),"0")+IFERROR(IF(Z58="",0,Z58),"0")+IFERROR(IF(Z59="",0,Z59),"0")+IFERROR(IF(Z60="",0,Z60),"0")</f>
        <v>7.5920000000000001E-2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40</v>
      </c>
      <c r="Y62" s="667">
        <f>IFERROR(SUM(Y57:Y60),"0")</f>
        <v>43.2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10</v>
      </c>
      <c r="Y72" s="666">
        <f t="shared" si="5"/>
        <v>16.8</v>
      </c>
      <c r="Z72" s="36">
        <f>IFERROR(IF(Y72=0,"",ROUNDUP(Y72/H72,0)*0.01898),"")</f>
        <v>3.7960000000000001E-2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10.603571428571428</v>
      </c>
      <c r="BN72" s="64">
        <f t="shared" si="7"/>
        <v>17.814</v>
      </c>
      <c r="BO72" s="64">
        <f t="shared" si="8"/>
        <v>1.8601190476190476E-2</v>
      </c>
      <c r="BP72" s="64">
        <f t="shared" si="9"/>
        <v>3.125E-2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1.1904761904761905</v>
      </c>
      <c r="Y76" s="667">
        <f>IFERROR(Y70/H70,"0")+IFERROR(Y71/H71,"0")+IFERROR(Y72/H72,"0")+IFERROR(Y73/H73,"0")+IFERROR(Y74/H74,"0")+IFERROR(Y75/H75,"0")</f>
        <v>2</v>
      </c>
      <c r="Z76" s="667">
        <f>IFERROR(IF(Z70="",0,Z70),"0")+IFERROR(IF(Z71="",0,Z71),"0")+IFERROR(IF(Z72="",0,Z72),"0")+IFERROR(IF(Z73="",0,Z73),"0")+IFERROR(IF(Z74="",0,Z74),"0")+IFERROR(IF(Z75="",0,Z75),"0")</f>
        <v>3.7960000000000001E-2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10</v>
      </c>
      <c r="Y77" s="667">
        <f>IFERROR(SUM(Y70:Y75),"0")</f>
        <v>16.8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hidden="1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0</v>
      </c>
      <c r="Y89" s="667">
        <f>IFERROR(Y86/H86,"0")+IFERROR(Y87/H87,"0")+IFERROR(Y88/H88,"0")</f>
        <v>0</v>
      </c>
      <c r="Z89" s="667">
        <f>IFERROR(IF(Z86="",0,Z86),"0")+IFERROR(IF(Z87="",0,Z87),"0")+IFERROR(IF(Z88="",0,Z88),"0")</f>
        <v>0</v>
      </c>
      <c r="AA89" s="668"/>
      <c r="AB89" s="668"/>
      <c r="AC89" s="668"/>
    </row>
    <row r="90" spans="1:68" hidden="1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0</v>
      </c>
      <c r="Y90" s="667">
        <f>IFERROR(SUM(Y86:Y88),"0")</f>
        <v>0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10</v>
      </c>
      <c r="Y93" s="666">
        <f t="shared" si="10"/>
        <v>16.8</v>
      </c>
      <c r="Z93" s="36">
        <f>IFERROR(IF(Y93=0,"",ROUNDUP(Y93/H93,0)*0.01898),"")</f>
        <v>3.7960000000000001E-2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10.617857142857142</v>
      </c>
      <c r="BN93" s="64">
        <f t="shared" si="12"/>
        <v>17.838000000000001</v>
      </c>
      <c r="BO93" s="64">
        <f t="shared" si="13"/>
        <v>1.8601190476190476E-2</v>
      </c>
      <c r="BP93" s="64">
        <f t="shared" si="14"/>
        <v>3.125E-2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42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1.1904761904761905</v>
      </c>
      <c r="Y101" s="667">
        <f>IFERROR(Y92/H92,"0")+IFERROR(Y93/H93,"0")+IFERROR(Y94/H94,"0")+IFERROR(Y95/H95,"0")+IFERROR(Y96/H96,"0")+IFERROR(Y97/H97,"0")+IFERROR(Y98/H98,"0")+IFERROR(Y99/H99,"0")+IFERROR(Y100/H100,"0")</f>
        <v>2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3.7960000000000001E-2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10</v>
      </c>
      <c r="Y102" s="667">
        <f>IFERROR(SUM(Y92:Y100),"0")</f>
        <v>16.8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6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25</v>
      </c>
      <c r="Y120" s="666">
        <f t="shared" si="15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26.526785714285715</v>
      </c>
      <c r="BN120" s="64">
        <f t="shared" si="17"/>
        <v>26.739000000000001</v>
      </c>
      <c r="BO120" s="64">
        <f t="shared" si="18"/>
        <v>4.6502976190476192E-2</v>
      </c>
      <c r="BP120" s="64">
        <f t="shared" si="19"/>
        <v>4.6875E-2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79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hidden="1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2.9761904761904763</v>
      </c>
      <c r="Y127" s="667">
        <f>IFERROR(Y118/H118,"0")+IFERROR(Y119/H119,"0")+IFERROR(Y120/H120,"0")+IFERROR(Y121/H121,"0")+IFERROR(Y122/H122,"0")+IFERROR(Y123/H123,"0")+IFERROR(Y124/H124,"0")+IFERROR(Y125/H125,"0")+IFERROR(Y126/H126,"0")</f>
        <v>3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5.6940000000000004E-2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25</v>
      </c>
      <c r="Y128" s="667">
        <f>IFERROR(SUM(Y118:Y126),"0")</f>
        <v>25.200000000000003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idden="1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hidden="1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hidden="1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hidden="1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hidden="1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hidden="1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20</v>
      </c>
      <c r="Y257" s="666">
        <f t="shared" si="42"/>
        <v>21.6</v>
      </c>
      <c r="Z257" s="36">
        <f>IFERROR(IF(Y257=0,"",ROUNDUP(Y257/H257,0)*0.01898),"")</f>
        <v>3.7960000000000001E-2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20.805555555555554</v>
      </c>
      <c r="BN257" s="64">
        <f t="shared" si="44"/>
        <v>22.47</v>
      </c>
      <c r="BO257" s="64">
        <f t="shared" si="45"/>
        <v>2.8935185185185182E-2</v>
      </c>
      <c r="BP257" s="64">
        <f t="shared" si="46"/>
        <v>3.125E-2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1.8518518518518516</v>
      </c>
      <c r="Y261" s="667">
        <f>IFERROR(Y255/H255,"0")+IFERROR(Y256/H256,"0")+IFERROR(Y257/H257,"0")+IFERROR(Y258/H258,"0")+IFERROR(Y259/H259,"0")+IFERROR(Y260/H260,"0")</f>
        <v>2</v>
      </c>
      <c r="Z261" s="667">
        <f>IFERROR(IF(Z255="",0,Z255),"0")+IFERROR(IF(Z256="",0,Z256),"0")+IFERROR(IF(Z257="",0,Z257),"0")+IFERROR(IF(Z258="",0,Z258),"0")+IFERROR(IF(Z259="",0,Z259),"0")+IFERROR(IF(Z260="",0,Z260),"0")</f>
        <v>3.7960000000000001E-2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20</v>
      </c>
      <c r="Y262" s="667">
        <f>IFERROR(SUM(Y255:Y260),"0")</f>
        <v>21.6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3.6</v>
      </c>
      <c r="Y294" s="666">
        <f>IFERROR(IF(X294="",0,CEILING((X294/$H294),1)*$H294),"")</f>
        <v>3.6</v>
      </c>
      <c r="Z294" s="36">
        <f>IFERROR(IF(Y294=0,"",ROUNDUP(Y294/H294,0)*0.00902),"")</f>
        <v>9.0200000000000002E-3</v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3.81</v>
      </c>
      <c r="BN294" s="64">
        <f>IFERROR(Y294*I294/H294,"0")</f>
        <v>3.81</v>
      </c>
      <c r="BO294" s="64">
        <f>IFERROR(1/J294*(X294/H294),"0")</f>
        <v>7.575757575757576E-3</v>
      </c>
      <c r="BP294" s="64">
        <f>IFERROR(1/J294*(Y294/H294),"0")</f>
        <v>7.575757575757576E-3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1</v>
      </c>
      <c r="Y295" s="667">
        <f>IFERROR(Y294/H294,"0")</f>
        <v>1</v>
      </c>
      <c r="Z295" s="667">
        <f>IFERROR(IF(Z294="",0,Z294),"0")</f>
        <v>9.0200000000000002E-3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3.6</v>
      </c>
      <c r="Y296" s="667">
        <f>IFERROR(SUM(Y294:Y294),"0")</f>
        <v>3.6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20</v>
      </c>
      <c r="Y319" s="666">
        <f t="shared" ref="Y319:Y324" si="47">IFERROR(IF(X319="",0,CEILING((X319/$H319),1)*$H319),"")</f>
        <v>21.6</v>
      </c>
      <c r="Z319" s="36">
        <f>IFERROR(IF(Y319=0,"",ROUNDUP(Y319/H319,0)*0.01898),"")</f>
        <v>3.7960000000000001E-2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20.805555555555554</v>
      </c>
      <c r="BN319" s="64">
        <f t="shared" ref="BN319:BN324" si="49">IFERROR(Y319*I319/H319,"0")</f>
        <v>22.47</v>
      </c>
      <c r="BO319" s="64">
        <f t="shared" ref="BO319:BO324" si="50">IFERROR(1/J319*(X319/H319),"0")</f>
        <v>2.8935185185185182E-2</v>
      </c>
      <c r="BP319" s="64">
        <f t="shared" ref="BP319:BP324" si="51">IFERROR(1/J319*(Y319/H319),"0")</f>
        <v>3.125E-2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60</v>
      </c>
      <c r="Y321" s="666">
        <f t="shared" si="47"/>
        <v>64.800000000000011</v>
      </c>
      <c r="Z321" s="36">
        <f>IFERROR(IF(Y321=0,"",ROUNDUP(Y321/H321,0)*0.01898),"")</f>
        <v>0.11388000000000001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62.416666666666657</v>
      </c>
      <c r="BN321" s="64">
        <f t="shared" si="49"/>
        <v>67.410000000000011</v>
      </c>
      <c r="BO321" s="64">
        <f t="shared" si="50"/>
        <v>8.6805555555555552E-2</v>
      </c>
      <c r="BP321" s="64">
        <f t="shared" si="51"/>
        <v>9.3750000000000014E-2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7.4074074074074066</v>
      </c>
      <c r="Y325" s="667">
        <f>IFERROR(Y319/H319,"0")+IFERROR(Y320/H320,"0")+IFERROR(Y321/H321,"0")+IFERROR(Y322/H322,"0")+IFERROR(Y323/H323,"0")+IFERROR(Y324/H324,"0")</f>
        <v>8</v>
      </c>
      <c r="Z325" s="667">
        <f>IFERROR(IF(Z319="",0,Z319),"0")+IFERROR(IF(Z320="",0,Z320),"0")+IFERROR(IF(Z321="",0,Z321),"0")+IFERROR(IF(Z322="",0,Z322),"0")+IFERROR(IF(Z323="",0,Z323),"0")+IFERROR(IF(Z324="",0,Z324),"0")</f>
        <v>0.15184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80</v>
      </c>
      <c r="Y326" s="667">
        <f>IFERROR(SUM(Y319:Y324),"0")</f>
        <v>86.4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15</v>
      </c>
      <c r="Y328" s="666">
        <f>IFERROR(IF(X328="",0,CEILING((X328/$H328),1)*$H328),"")</f>
        <v>16.8</v>
      </c>
      <c r="Z328" s="36">
        <f>IFERROR(IF(Y328=0,"",ROUNDUP(Y328/H328,0)*0.00902),"")</f>
        <v>3.6080000000000001E-2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15.964285714285714</v>
      </c>
      <c r="BN328" s="64">
        <f>IFERROR(Y328*I328/H328,"0")</f>
        <v>17.88</v>
      </c>
      <c r="BO328" s="64">
        <f>IFERROR(1/J328*(X328/H328),"0")</f>
        <v>2.7056277056277056E-2</v>
      </c>
      <c r="BP328" s="64">
        <f>IFERROR(1/J328*(Y328/H328),"0")</f>
        <v>3.0303030303030304E-2</v>
      </c>
    </row>
    <row r="329" spans="1:68" ht="27" hidden="1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3.5714285714285712</v>
      </c>
      <c r="Y332" s="667">
        <f>IFERROR(Y328/H328,"0")+IFERROR(Y329/H329,"0")+IFERROR(Y330/H330,"0")+IFERROR(Y331/H331,"0")</f>
        <v>4</v>
      </c>
      <c r="Z332" s="667">
        <f>IFERROR(IF(Z328="",0,Z328),"0")+IFERROR(IF(Z329="",0,Z329),"0")+IFERROR(IF(Z330="",0,Z330),"0")+IFERROR(IF(Z331="",0,Z331),"0")</f>
        <v>3.6080000000000001E-2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15</v>
      </c>
      <c r="Y333" s="667">
        <f>IFERROR(SUM(Y328:Y331),"0")</f>
        <v>16.8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100</v>
      </c>
      <c r="Y335" s="666">
        <f>IFERROR(IF(X335="",0,CEILING((X335/$H335),1)*$H335),"")</f>
        <v>101.39999999999999</v>
      </c>
      <c r="Z335" s="36">
        <f>IFERROR(IF(Y335=0,"",ROUNDUP(Y335/H335,0)*0.01898),"")</f>
        <v>0.24674000000000001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106.57692307692309</v>
      </c>
      <c r="BN335" s="64">
        <f>IFERROR(Y335*I335/H335,"0")</f>
        <v>108.06899999999999</v>
      </c>
      <c r="BO335" s="64">
        <f>IFERROR(1/J335*(X335/H335),"0")</f>
        <v>0.20032051282051283</v>
      </c>
      <c r="BP335" s="64">
        <f>IFERROR(1/J335*(Y335/H335),"0")</f>
        <v>0.203125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12.820512820512821</v>
      </c>
      <c r="Y340" s="667">
        <f>IFERROR(Y335/H335,"0")+IFERROR(Y336/H336,"0")+IFERROR(Y337/H337,"0")+IFERROR(Y338/H338,"0")+IFERROR(Y339/H339,"0")</f>
        <v>13</v>
      </c>
      <c r="Z340" s="667">
        <f>IFERROR(IF(Z335="",0,Z335),"0")+IFERROR(IF(Z336="",0,Z336),"0")+IFERROR(IF(Z337="",0,Z337),"0")+IFERROR(IF(Z338="",0,Z338),"0")+IFERROR(IF(Z339="",0,Z339),"0")</f>
        <v>0.24674000000000001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100</v>
      </c>
      <c r="Y341" s="667">
        <f>IFERROR(SUM(Y335:Y339),"0")</f>
        <v>101.39999999999999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50</v>
      </c>
      <c r="Y344" s="666">
        <f>IFERROR(IF(X344="",0,CEILING((X344/$H344),1)*$H344),"")</f>
        <v>54.6</v>
      </c>
      <c r="Z344" s="36">
        <f>IFERROR(IF(Y344=0,"",ROUNDUP(Y344/H344,0)*0.01898),"")</f>
        <v>0.13286000000000001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53.326923076923087</v>
      </c>
      <c r="BN344" s="64">
        <f>IFERROR(Y344*I344/H344,"0")</f>
        <v>58.233000000000011</v>
      </c>
      <c r="BO344" s="64">
        <f>IFERROR(1/J344*(X344/H344),"0")</f>
        <v>0.10016025641025642</v>
      </c>
      <c r="BP344" s="64">
        <f>IFERROR(1/J344*(Y344/H344),"0")</f>
        <v>0.109375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6.4102564102564106</v>
      </c>
      <c r="Y346" s="667">
        <f>IFERROR(Y343/H343,"0")+IFERROR(Y344/H344,"0")+IFERROR(Y345/H345,"0")</f>
        <v>7</v>
      </c>
      <c r="Z346" s="667">
        <f>IFERROR(IF(Z343="",0,Z343),"0")+IFERROR(IF(Z344="",0,Z344),"0")+IFERROR(IF(Z345="",0,Z345),"0")</f>
        <v>0.13286000000000001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50</v>
      </c>
      <c r="Y347" s="667">
        <f>IFERROR(SUM(Y343:Y345),"0")</f>
        <v>54.6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hidden="1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2"/>
        <v>0</v>
      </c>
      <c r="Z376" s="36" t="str">
        <f>IFERROR(IF(Y376=0,"",ROUNDUP(Y376/H376,0)*0.02175),"")</f>
        <v/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15</v>
      </c>
      <c r="Y378" s="666">
        <f t="shared" si="52"/>
        <v>15</v>
      </c>
      <c r="Z378" s="36">
        <f>IFERROR(IF(Y378=0,"",ROUNDUP(Y378/H378,0)*0.02175),"")</f>
        <v>2.1749999999999999E-2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15.48</v>
      </c>
      <c r="BN378" s="64">
        <f t="shared" si="54"/>
        <v>15.48</v>
      </c>
      <c r="BO378" s="64">
        <f t="shared" si="55"/>
        <v>2.0833333333333332E-2</v>
      </c>
      <c r="BP378" s="64">
        <f t="shared" si="56"/>
        <v>2.0833333333333332E-2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75</v>
      </c>
      <c r="Y379" s="666">
        <f t="shared" si="52"/>
        <v>75</v>
      </c>
      <c r="Z379" s="36">
        <f>IFERROR(IF(Y379=0,"",ROUNDUP(Y379/H379,0)*0.02175),"")</f>
        <v>0.10874999999999999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77.400000000000006</v>
      </c>
      <c r="BN379" s="64">
        <f t="shared" si="54"/>
        <v>77.400000000000006</v>
      </c>
      <c r="BO379" s="64">
        <f t="shared" si="55"/>
        <v>0.10416666666666666</v>
      </c>
      <c r="BP379" s="64">
        <f t="shared" si="56"/>
        <v>0.10416666666666666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hidden="1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6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0.13049999999999998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90</v>
      </c>
      <c r="Y386" s="667">
        <f>IFERROR(SUM(Y375:Y384),"0")</f>
        <v>90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hidden="1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hidden="1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idden="1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hidden="1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hidden="1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hidden="1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hidden="1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idden="1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hidden="1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0</v>
      </c>
      <c r="Y497" s="667">
        <f>IFERROR(SUM(Y481:Y495),"0")</f>
        <v>0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hidden="1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523.6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562.79999999999995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549.16745726495731</v>
      </c>
      <c r="Y593" s="667">
        <f>IFERROR(SUM(BN22:BN589),"0")</f>
        <v>590.43299999999988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1</v>
      </c>
      <c r="Y594" s="38">
        <f>ROUNDUP(SUM(BP22:BP589),0)</f>
        <v>1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574.16745726495731</v>
      </c>
      <c r="Y595" s="667">
        <f>GrossWeightTotalR+PalletQtyTotalR*25</f>
        <v>615.43299999999988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55.529711029711024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60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1.10562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21.6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124.80000000000001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16.8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25.200000000000003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21.6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3.6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259.2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,00"/>
        <filter val="1,19"/>
        <filter val="1,85"/>
        <filter val="10,00"/>
        <filter val="100,00"/>
        <filter val="12,82"/>
        <filter val="15,00"/>
        <filter val="2,98"/>
        <filter val="20,00"/>
        <filter val="25,00"/>
        <filter val="3,57"/>
        <filter val="3,60"/>
        <filter val="3,70"/>
        <filter val="40,00"/>
        <filter val="5,56"/>
        <filter val="50,00"/>
        <filter val="523,60"/>
        <filter val="549,17"/>
        <filter val="55,53"/>
        <filter val="574,17"/>
        <filter val="6,00"/>
        <filter val="6,41"/>
        <filter val="60,00"/>
        <filter val="7,41"/>
        <filter val="75,00"/>
        <filter val="80,00"/>
        <filter val="90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