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C5DE320-C38C-4B41-9BA3-FBDE4A6B9C8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BO485" i="1"/>
  <c r="BM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8" i="1"/>
  <c r="X467" i="1"/>
  <c r="BO466" i="1"/>
  <c r="BM466" i="1"/>
  <c r="Y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BO458" i="1"/>
  <c r="BM458" i="1"/>
  <c r="Y458" i="1"/>
  <c r="P458" i="1"/>
  <c r="BO457" i="1"/>
  <c r="BM457" i="1"/>
  <c r="Y457" i="1"/>
  <c r="X455" i="1"/>
  <c r="X454" i="1"/>
  <c r="BO453" i="1"/>
  <c r="BM453" i="1"/>
  <c r="Y453" i="1"/>
  <c r="P453" i="1"/>
  <c r="BO452" i="1"/>
  <c r="BM452" i="1"/>
  <c r="Y452" i="1"/>
  <c r="P452" i="1"/>
  <c r="X449" i="1"/>
  <c r="X448" i="1"/>
  <c r="BO447" i="1"/>
  <c r="BM447" i="1"/>
  <c r="Y447" i="1"/>
  <c r="P447" i="1"/>
  <c r="BO446" i="1"/>
  <c r="BM446" i="1"/>
  <c r="Y446" i="1"/>
  <c r="Y448" i="1" s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BO435" i="1"/>
  <c r="BM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X426" i="1"/>
  <c r="BO425" i="1"/>
  <c r="BM425" i="1"/>
  <c r="Y425" i="1"/>
  <c r="X423" i="1"/>
  <c r="X422" i="1"/>
  <c r="BO421" i="1"/>
  <c r="BM421" i="1"/>
  <c r="Y421" i="1"/>
  <c r="P421" i="1"/>
  <c r="BO420" i="1"/>
  <c r="BM420" i="1"/>
  <c r="Y420" i="1"/>
  <c r="P420" i="1"/>
  <c r="BO419" i="1"/>
  <c r="BM419" i="1"/>
  <c r="Y419" i="1"/>
  <c r="P419" i="1"/>
  <c r="BO418" i="1"/>
  <c r="BM418" i="1"/>
  <c r="Y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BO407" i="1"/>
  <c r="BM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BO241" i="1"/>
  <c r="BM241" i="1"/>
  <c r="Y241" i="1"/>
  <c r="P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O179" i="1"/>
  <c r="BM179" i="1"/>
  <c r="Y179" i="1"/>
  <c r="BO178" i="1"/>
  <c r="BM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BO156" i="1"/>
  <c r="BM156" i="1"/>
  <c r="Y156" i="1"/>
  <c r="BP156" i="1" s="1"/>
  <c r="P156" i="1"/>
  <c r="X154" i="1"/>
  <c r="X153" i="1"/>
  <c r="BO152" i="1"/>
  <c r="BM152" i="1"/>
  <c r="Y152" i="1"/>
  <c r="Y153" i="1" s="1"/>
  <c r="P152" i="1"/>
  <c r="X149" i="1"/>
  <c r="X148" i="1"/>
  <c r="BO147" i="1"/>
  <c r="BM147" i="1"/>
  <c r="Y147" i="1"/>
  <c r="BP147" i="1" s="1"/>
  <c r="P147" i="1"/>
  <c r="BO146" i="1"/>
  <c r="BM146" i="1"/>
  <c r="Y146" i="1"/>
  <c r="Y148" i="1" s="1"/>
  <c r="P146" i="1"/>
  <c r="X144" i="1"/>
  <c r="X143" i="1"/>
  <c r="BO142" i="1"/>
  <c r="BM142" i="1"/>
  <c r="Y142" i="1"/>
  <c r="BP142" i="1" s="1"/>
  <c r="P142" i="1"/>
  <c r="BO141" i="1"/>
  <c r="BM141" i="1"/>
  <c r="Y141" i="1"/>
  <c r="Y143" i="1" s="1"/>
  <c r="P141" i="1"/>
  <c r="X139" i="1"/>
  <c r="X138" i="1"/>
  <c r="BO137" i="1"/>
  <c r="BM137" i="1"/>
  <c r="Y137" i="1"/>
  <c r="Y139" i="1" s="1"/>
  <c r="P137" i="1"/>
  <c r="BP136" i="1"/>
  <c r="BO136" i="1"/>
  <c r="BN136" i="1"/>
  <c r="BM136" i="1"/>
  <c r="Z136" i="1"/>
  <c r="Y136" i="1"/>
  <c r="P136" i="1"/>
  <c r="X133" i="1"/>
  <c r="X132" i="1"/>
  <c r="BO131" i="1"/>
  <c r="BM131" i="1"/>
  <c r="Y131" i="1"/>
  <c r="BP131" i="1" s="1"/>
  <c r="P131" i="1"/>
  <c r="BO130" i="1"/>
  <c r="BM130" i="1"/>
  <c r="Y130" i="1"/>
  <c r="Y132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BP119" i="1" s="1"/>
  <c r="BO118" i="1"/>
  <c r="BM118" i="1"/>
  <c r="Y118" i="1"/>
  <c r="P118" i="1"/>
  <c r="X116" i="1"/>
  <c r="X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P105" i="1"/>
  <c r="X102" i="1"/>
  <c r="X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P98" i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BO93" i="1"/>
  <c r="BM93" i="1"/>
  <c r="Y93" i="1"/>
  <c r="BP93" i="1" s="1"/>
  <c r="P93" i="1"/>
  <c r="BO92" i="1"/>
  <c r="BM92" i="1"/>
  <c r="Y92" i="1"/>
  <c r="Y102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BP81" i="1" s="1"/>
  <c r="P81" i="1"/>
  <c r="BO80" i="1"/>
  <c r="BM80" i="1"/>
  <c r="Y80" i="1"/>
  <c r="BP80" i="1" s="1"/>
  <c r="P80" i="1"/>
  <c r="BO79" i="1"/>
  <c r="BM79" i="1"/>
  <c r="Y79" i="1"/>
  <c r="Y83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7" i="1" s="1"/>
  <c r="P71" i="1"/>
  <c r="BP70" i="1"/>
  <c r="BO70" i="1"/>
  <c r="BN70" i="1"/>
  <c r="BM70" i="1"/>
  <c r="Z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P65" i="1"/>
  <c r="BO64" i="1"/>
  <c r="BM64" i="1"/>
  <c r="Y64" i="1"/>
  <c r="BP64" i="1" s="1"/>
  <c r="P64" i="1"/>
  <c r="X62" i="1"/>
  <c r="X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P57" i="1"/>
  <c r="X55" i="1"/>
  <c r="X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D602" i="1" s="1"/>
  <c r="P47" i="1"/>
  <c r="X44" i="1"/>
  <c r="X43" i="1"/>
  <c r="BO42" i="1"/>
  <c r="BM42" i="1"/>
  <c r="Y42" i="1"/>
  <c r="Y44" i="1" s="1"/>
  <c r="P42" i="1"/>
  <c r="X40" i="1"/>
  <c r="X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BO36" i="1"/>
  <c r="BM36" i="1"/>
  <c r="Y36" i="1"/>
  <c r="P36" i="1"/>
  <c r="BO35" i="1"/>
  <c r="BM35" i="1"/>
  <c r="Y35" i="1"/>
  <c r="BP35" i="1" s="1"/>
  <c r="P35" i="1"/>
  <c r="X31" i="1"/>
  <c r="X30" i="1"/>
  <c r="BO29" i="1"/>
  <c r="BM29" i="1"/>
  <c r="Y29" i="1"/>
  <c r="Y31" i="1" s="1"/>
  <c r="P29" i="1"/>
  <c r="X27" i="1"/>
  <c r="X26" i="1"/>
  <c r="BO25" i="1"/>
  <c r="BM25" i="1"/>
  <c r="Y25" i="1"/>
  <c r="BP25" i="1" s="1"/>
  <c r="P25" i="1"/>
  <c r="BO24" i="1"/>
  <c r="BM24" i="1"/>
  <c r="Y24" i="1"/>
  <c r="BP24" i="1" s="1"/>
  <c r="P24" i="1"/>
  <c r="BO23" i="1"/>
  <c r="BM23" i="1"/>
  <c r="Y23" i="1"/>
  <c r="BP23" i="1" s="1"/>
  <c r="P23" i="1"/>
  <c r="BO22" i="1"/>
  <c r="X594" i="1" s="1"/>
  <c r="BM22" i="1"/>
  <c r="Y22" i="1"/>
  <c r="B602" i="1" s="1"/>
  <c r="P22" i="1"/>
  <c r="H10" i="1"/>
  <c r="A9" i="1"/>
  <c r="A10" i="1" s="1"/>
  <c r="D7" i="1"/>
  <c r="Q6" i="1"/>
  <c r="P2" i="1"/>
  <c r="BP213" i="1" l="1"/>
  <c r="BN213" i="1"/>
  <c r="Z213" i="1"/>
  <c r="Y248" i="1"/>
  <c r="Y247" i="1"/>
  <c r="BP246" i="1"/>
  <c r="BN246" i="1"/>
  <c r="Z246" i="1"/>
  <c r="Z247" i="1" s="1"/>
  <c r="M602" i="1"/>
  <c r="Y266" i="1"/>
  <c r="BP265" i="1"/>
  <c r="BN265" i="1"/>
  <c r="Z265" i="1"/>
  <c r="Z266" i="1" s="1"/>
  <c r="BP270" i="1"/>
  <c r="BN270" i="1"/>
  <c r="Z270" i="1"/>
  <c r="BP324" i="1"/>
  <c r="BN324" i="1"/>
  <c r="Z324" i="1"/>
  <c r="BP349" i="1"/>
  <c r="BN349" i="1"/>
  <c r="Z349" i="1"/>
  <c r="BP369" i="1"/>
  <c r="BN369" i="1"/>
  <c r="Z369" i="1"/>
  <c r="BP413" i="1"/>
  <c r="BN413" i="1"/>
  <c r="Z413" i="1"/>
  <c r="Y427" i="1"/>
  <c r="Y426" i="1"/>
  <c r="BP425" i="1"/>
  <c r="BN425" i="1"/>
  <c r="Z425" i="1"/>
  <c r="Z426" i="1" s="1"/>
  <c r="BP435" i="1"/>
  <c r="BN435" i="1"/>
  <c r="Z435" i="1"/>
  <c r="BP447" i="1"/>
  <c r="BN447" i="1"/>
  <c r="Z447" i="1"/>
  <c r="BP452" i="1"/>
  <c r="BN452" i="1"/>
  <c r="Z452" i="1"/>
  <c r="BP460" i="1"/>
  <c r="BN460" i="1"/>
  <c r="Z460" i="1"/>
  <c r="BP488" i="1"/>
  <c r="BN488" i="1"/>
  <c r="Z488" i="1"/>
  <c r="Z25" i="1"/>
  <c r="BN25" i="1"/>
  <c r="X592" i="1"/>
  <c r="Z50" i="1"/>
  <c r="BN50" i="1"/>
  <c r="Z64" i="1"/>
  <c r="BN64" i="1"/>
  <c r="Y67" i="1"/>
  <c r="Z74" i="1"/>
  <c r="BN74" i="1"/>
  <c r="Z99" i="1"/>
  <c r="BN99" i="1"/>
  <c r="F602" i="1"/>
  <c r="Z114" i="1"/>
  <c r="BN114" i="1"/>
  <c r="Y128" i="1"/>
  <c r="Z121" i="1"/>
  <c r="BN121" i="1"/>
  <c r="Z122" i="1"/>
  <c r="BN122" i="1"/>
  <c r="Z125" i="1"/>
  <c r="BN125" i="1"/>
  <c r="Z147" i="1"/>
  <c r="BN147" i="1"/>
  <c r="Z152" i="1"/>
  <c r="Z153" i="1" s="1"/>
  <c r="BN152" i="1"/>
  <c r="BP152" i="1"/>
  <c r="Z156" i="1"/>
  <c r="BN156" i="1"/>
  <c r="BP201" i="1"/>
  <c r="BN201" i="1"/>
  <c r="Z201" i="1"/>
  <c r="BP225" i="1"/>
  <c r="BN225" i="1"/>
  <c r="Z225" i="1"/>
  <c r="BP230" i="1"/>
  <c r="BN230" i="1"/>
  <c r="Z230" i="1"/>
  <c r="BP281" i="1"/>
  <c r="BN281" i="1"/>
  <c r="Z281" i="1"/>
  <c r="BP338" i="1"/>
  <c r="BN338" i="1"/>
  <c r="Z338" i="1"/>
  <c r="BP350" i="1"/>
  <c r="BN350" i="1"/>
  <c r="Z350" i="1"/>
  <c r="BP379" i="1"/>
  <c r="BN379" i="1"/>
  <c r="Z379" i="1"/>
  <c r="BP420" i="1"/>
  <c r="BN420" i="1"/>
  <c r="Z420" i="1"/>
  <c r="BP436" i="1"/>
  <c r="BN436" i="1"/>
  <c r="Z436" i="1"/>
  <c r="BP457" i="1"/>
  <c r="BN457" i="1"/>
  <c r="Z457" i="1"/>
  <c r="BP483" i="1"/>
  <c r="BN483" i="1"/>
  <c r="Z483" i="1"/>
  <c r="BP493" i="1"/>
  <c r="BN493" i="1"/>
  <c r="Z493" i="1"/>
  <c r="Y161" i="1"/>
  <c r="BP178" i="1"/>
  <c r="BN178" i="1"/>
  <c r="Z178" i="1"/>
  <c r="BP197" i="1"/>
  <c r="BN197" i="1"/>
  <c r="Z197" i="1"/>
  <c r="BP207" i="1"/>
  <c r="BN207" i="1"/>
  <c r="Z207" i="1"/>
  <c r="BP219" i="1"/>
  <c r="BN219" i="1"/>
  <c r="Z219" i="1"/>
  <c r="BP236" i="1"/>
  <c r="BN236" i="1"/>
  <c r="Z236" i="1"/>
  <c r="BP260" i="1"/>
  <c r="BN260" i="1"/>
  <c r="Z260" i="1"/>
  <c r="BP279" i="1"/>
  <c r="BN279" i="1"/>
  <c r="Z279" i="1"/>
  <c r="BP322" i="1"/>
  <c r="BN322" i="1"/>
  <c r="Z322" i="1"/>
  <c r="BP336" i="1"/>
  <c r="BN336" i="1"/>
  <c r="Z336" i="1"/>
  <c r="V602" i="1"/>
  <c r="Y364" i="1"/>
  <c r="BP363" i="1"/>
  <c r="BN363" i="1"/>
  <c r="Z363" i="1"/>
  <c r="Z364" i="1" s="1"/>
  <c r="Y371" i="1"/>
  <c r="BP367" i="1"/>
  <c r="BN367" i="1"/>
  <c r="Z367" i="1"/>
  <c r="Y370" i="1"/>
  <c r="X593" i="1"/>
  <c r="X595" i="1" s="1"/>
  <c r="Z23" i="1"/>
  <c r="BN23" i="1"/>
  <c r="Z29" i="1"/>
  <c r="Z30" i="1" s="1"/>
  <c r="BN29" i="1"/>
  <c r="BP29" i="1"/>
  <c r="Y30" i="1"/>
  <c r="Z35" i="1"/>
  <c r="BN35" i="1"/>
  <c r="Y40" i="1"/>
  <c r="Z48" i="1"/>
  <c r="BN48" i="1"/>
  <c r="Z52" i="1"/>
  <c r="BN52" i="1"/>
  <c r="Y61" i="1"/>
  <c r="Z60" i="1"/>
  <c r="BN60" i="1"/>
  <c r="Y68" i="1"/>
  <c r="Z66" i="1"/>
  <c r="BN66" i="1"/>
  <c r="Y76" i="1"/>
  <c r="Z72" i="1"/>
  <c r="BN72" i="1"/>
  <c r="Z80" i="1"/>
  <c r="BN80" i="1"/>
  <c r="E602" i="1"/>
  <c r="Z93" i="1"/>
  <c r="BN93" i="1"/>
  <c r="Z94" i="1"/>
  <c r="BN94" i="1"/>
  <c r="Z95" i="1"/>
  <c r="BN95" i="1"/>
  <c r="Z96" i="1"/>
  <c r="BN96" i="1"/>
  <c r="Z97" i="1"/>
  <c r="BN97" i="1"/>
  <c r="Z106" i="1"/>
  <c r="BN106" i="1"/>
  <c r="Z112" i="1"/>
  <c r="BN112" i="1"/>
  <c r="BP112" i="1"/>
  <c r="Y115" i="1"/>
  <c r="Z118" i="1"/>
  <c r="BN118" i="1"/>
  <c r="BP118" i="1"/>
  <c r="Z119" i="1"/>
  <c r="BN119" i="1"/>
  <c r="Z131" i="1"/>
  <c r="BN131" i="1"/>
  <c r="Z142" i="1"/>
  <c r="BN142" i="1"/>
  <c r="Z158" i="1"/>
  <c r="BN158" i="1"/>
  <c r="Y183" i="1"/>
  <c r="BP174" i="1"/>
  <c r="BN174" i="1"/>
  <c r="Z174" i="1"/>
  <c r="BP179" i="1"/>
  <c r="BN179" i="1"/>
  <c r="Z179" i="1"/>
  <c r="Y210" i="1"/>
  <c r="BP203" i="1"/>
  <c r="BN203" i="1"/>
  <c r="Z203" i="1"/>
  <c r="BP215" i="1"/>
  <c r="BN215" i="1"/>
  <c r="Z215" i="1"/>
  <c r="Y239" i="1"/>
  <c r="BP232" i="1"/>
  <c r="BN232" i="1"/>
  <c r="Z232" i="1"/>
  <c r="Y261" i="1"/>
  <c r="BP256" i="1"/>
  <c r="BN256" i="1"/>
  <c r="Z256" i="1"/>
  <c r="BP272" i="1"/>
  <c r="BN272" i="1"/>
  <c r="Z272" i="1"/>
  <c r="Q602" i="1"/>
  <c r="Y287" i="1"/>
  <c r="BP286" i="1"/>
  <c r="BN286" i="1"/>
  <c r="Z286" i="1"/>
  <c r="Z287" i="1" s="1"/>
  <c r="Y292" i="1"/>
  <c r="Y291" i="1"/>
  <c r="BP290" i="1"/>
  <c r="BN290" i="1"/>
  <c r="Z290" i="1"/>
  <c r="Z291" i="1" s="1"/>
  <c r="Y296" i="1"/>
  <c r="Y295" i="1"/>
  <c r="BP294" i="1"/>
  <c r="BN294" i="1"/>
  <c r="Z294" i="1"/>
  <c r="Z295" i="1" s="1"/>
  <c r="R602" i="1"/>
  <c r="Y300" i="1"/>
  <c r="BP299" i="1"/>
  <c r="BN299" i="1"/>
  <c r="Z299" i="1"/>
  <c r="Z300" i="1" s="1"/>
  <c r="Y305" i="1"/>
  <c r="BP304" i="1"/>
  <c r="BN304" i="1"/>
  <c r="Z304" i="1"/>
  <c r="Z305" i="1" s="1"/>
  <c r="BP308" i="1"/>
  <c r="BN308" i="1"/>
  <c r="Z308" i="1"/>
  <c r="Y332" i="1"/>
  <c r="BP328" i="1"/>
  <c r="BN328" i="1"/>
  <c r="Z328" i="1"/>
  <c r="BP344" i="1"/>
  <c r="BN344" i="1"/>
  <c r="Z344" i="1"/>
  <c r="BP381" i="1"/>
  <c r="BN381" i="1"/>
  <c r="Z381" i="1"/>
  <c r="Y400" i="1"/>
  <c r="Y399" i="1"/>
  <c r="BP398" i="1"/>
  <c r="BN398" i="1"/>
  <c r="Z398" i="1"/>
  <c r="Z399" i="1" s="1"/>
  <c r="BP403" i="1"/>
  <c r="BN403" i="1"/>
  <c r="Z403" i="1"/>
  <c r="Y422" i="1"/>
  <c r="BP417" i="1"/>
  <c r="BN417" i="1"/>
  <c r="Z417" i="1"/>
  <c r="BP438" i="1"/>
  <c r="BN438" i="1"/>
  <c r="Z438" i="1"/>
  <c r="AA602" i="1"/>
  <c r="Y467" i="1"/>
  <c r="BP465" i="1"/>
  <c r="BN465" i="1"/>
  <c r="Z465" i="1"/>
  <c r="BP485" i="1"/>
  <c r="BN485" i="1"/>
  <c r="Z485" i="1"/>
  <c r="BP495" i="1"/>
  <c r="BN495" i="1"/>
  <c r="Z495" i="1"/>
  <c r="BP512" i="1"/>
  <c r="BN512" i="1"/>
  <c r="Z512" i="1"/>
  <c r="BP522" i="1"/>
  <c r="BN522" i="1"/>
  <c r="Z522" i="1"/>
  <c r="I602" i="1"/>
  <c r="Y209" i="1"/>
  <c r="BP352" i="1"/>
  <c r="BN352" i="1"/>
  <c r="Z352" i="1"/>
  <c r="BP356" i="1"/>
  <c r="BN356" i="1"/>
  <c r="Z356" i="1"/>
  <c r="BP377" i="1"/>
  <c r="BN377" i="1"/>
  <c r="Z377" i="1"/>
  <c r="BP389" i="1"/>
  <c r="BN389" i="1"/>
  <c r="Z389" i="1"/>
  <c r="BP407" i="1"/>
  <c r="BN407" i="1"/>
  <c r="Z407" i="1"/>
  <c r="BP418" i="1"/>
  <c r="BN418" i="1"/>
  <c r="Z418" i="1"/>
  <c r="BP441" i="1"/>
  <c r="BN441" i="1"/>
  <c r="Z441" i="1"/>
  <c r="BP466" i="1"/>
  <c r="BN466" i="1"/>
  <c r="Z466" i="1"/>
  <c r="Y472" i="1"/>
  <c r="BP471" i="1"/>
  <c r="BN471" i="1"/>
  <c r="Z471" i="1"/>
  <c r="Z472" i="1" s="1"/>
  <c r="Y477" i="1"/>
  <c r="Y476" i="1"/>
  <c r="BP475" i="1"/>
  <c r="BN475" i="1"/>
  <c r="Z475" i="1"/>
  <c r="Z476" i="1" s="1"/>
  <c r="BP481" i="1"/>
  <c r="BN481" i="1"/>
  <c r="Z481" i="1"/>
  <c r="BP486" i="1"/>
  <c r="BN486" i="1"/>
  <c r="Z486" i="1"/>
  <c r="BP511" i="1"/>
  <c r="BN511" i="1"/>
  <c r="Z511" i="1"/>
  <c r="BP515" i="1"/>
  <c r="BN515" i="1"/>
  <c r="Z515" i="1"/>
  <c r="Y354" i="1"/>
  <c r="Y353" i="1"/>
  <c r="F9" i="1"/>
  <c r="J9" i="1"/>
  <c r="F10" i="1"/>
  <c r="Z22" i="1"/>
  <c r="BN22" i="1"/>
  <c r="BP22" i="1"/>
  <c r="Z24" i="1"/>
  <c r="BN24" i="1"/>
  <c r="X596" i="1"/>
  <c r="Y27" i="1"/>
  <c r="C602" i="1"/>
  <c r="Z36" i="1"/>
  <c r="BN36" i="1"/>
  <c r="BP36" i="1"/>
  <c r="Z38" i="1"/>
  <c r="BN38" i="1"/>
  <c r="Y39" i="1"/>
  <c r="Z42" i="1"/>
  <c r="Z43" i="1" s="1"/>
  <c r="BN42" i="1"/>
  <c r="BP42" i="1"/>
  <c r="Y43" i="1"/>
  <c r="Z47" i="1"/>
  <c r="BN47" i="1"/>
  <c r="BP47" i="1"/>
  <c r="Z49" i="1"/>
  <c r="BN49" i="1"/>
  <c r="Z51" i="1"/>
  <c r="BN51" i="1"/>
  <c r="Z53" i="1"/>
  <c r="BN53" i="1"/>
  <c r="Y54" i="1"/>
  <c r="Z57" i="1"/>
  <c r="BN57" i="1"/>
  <c r="BP57" i="1"/>
  <c r="Z59" i="1"/>
  <c r="BN59" i="1"/>
  <c r="Y62" i="1"/>
  <c r="Z65" i="1"/>
  <c r="BN65" i="1"/>
  <c r="BP65" i="1"/>
  <c r="Z71" i="1"/>
  <c r="Z76" i="1" s="1"/>
  <c r="BN71" i="1"/>
  <c r="BP71" i="1"/>
  <c r="Z73" i="1"/>
  <c r="BN73" i="1"/>
  <c r="Z75" i="1"/>
  <c r="BN75" i="1"/>
  <c r="Z79" i="1"/>
  <c r="BN79" i="1"/>
  <c r="BP79" i="1"/>
  <c r="Z81" i="1"/>
  <c r="BN81" i="1"/>
  <c r="Y82" i="1"/>
  <c r="Z86" i="1"/>
  <c r="BN86" i="1"/>
  <c r="BP86" i="1"/>
  <c r="Z88" i="1"/>
  <c r="BN88" i="1"/>
  <c r="Y89" i="1"/>
  <c r="Z92" i="1"/>
  <c r="BN92" i="1"/>
  <c r="BP92" i="1"/>
  <c r="Z98" i="1"/>
  <c r="BN98" i="1"/>
  <c r="Z100" i="1"/>
  <c r="BN100" i="1"/>
  <c r="Y101" i="1"/>
  <c r="Z105" i="1"/>
  <c r="BN105" i="1"/>
  <c r="BP105" i="1"/>
  <c r="Z107" i="1"/>
  <c r="BN107" i="1"/>
  <c r="Y110" i="1"/>
  <c r="Z113" i="1"/>
  <c r="BN113" i="1"/>
  <c r="BP113" i="1"/>
  <c r="Z120" i="1"/>
  <c r="BN120" i="1"/>
  <c r="Z123" i="1"/>
  <c r="BN123" i="1"/>
  <c r="Z124" i="1"/>
  <c r="BN124" i="1"/>
  <c r="Z126" i="1"/>
  <c r="BN126" i="1"/>
  <c r="Y127" i="1"/>
  <c r="Z130" i="1"/>
  <c r="Z132" i="1" s="1"/>
  <c r="BN130" i="1"/>
  <c r="BP130" i="1"/>
  <c r="Y133" i="1"/>
  <c r="G602" i="1"/>
  <c r="Z137" i="1"/>
  <c r="Z138" i="1" s="1"/>
  <c r="BN137" i="1"/>
  <c r="BP137" i="1"/>
  <c r="Y138" i="1"/>
  <c r="Z141" i="1"/>
  <c r="Z143" i="1" s="1"/>
  <c r="BN141" i="1"/>
  <c r="BP141" i="1"/>
  <c r="Y144" i="1"/>
  <c r="Y149" i="1"/>
  <c r="BP146" i="1"/>
  <c r="BN146" i="1"/>
  <c r="Z146" i="1"/>
  <c r="Z148" i="1" s="1"/>
  <c r="Y160" i="1"/>
  <c r="BP159" i="1"/>
  <c r="BN159" i="1"/>
  <c r="Z159" i="1"/>
  <c r="Y166" i="1"/>
  <c r="BP163" i="1"/>
  <c r="BN163" i="1"/>
  <c r="Z163" i="1"/>
  <c r="Z165" i="1" s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43" i="1"/>
  <c r="BP241" i="1"/>
  <c r="BN241" i="1"/>
  <c r="Z241" i="1"/>
  <c r="BP257" i="1"/>
  <c r="BN257" i="1"/>
  <c r="Z257" i="1"/>
  <c r="BP271" i="1"/>
  <c r="BN271" i="1"/>
  <c r="Z271" i="1"/>
  <c r="BP280" i="1"/>
  <c r="BN280" i="1"/>
  <c r="Z280" i="1"/>
  <c r="BP331" i="1"/>
  <c r="BN331" i="1"/>
  <c r="Z331" i="1"/>
  <c r="Y333" i="1"/>
  <c r="Y340" i="1"/>
  <c r="BP335" i="1"/>
  <c r="BN335" i="1"/>
  <c r="Z335" i="1"/>
  <c r="BP339" i="1"/>
  <c r="BN339" i="1"/>
  <c r="Z339" i="1"/>
  <c r="Y341" i="1"/>
  <c r="Y346" i="1"/>
  <c r="BP343" i="1"/>
  <c r="BN343" i="1"/>
  <c r="Z343" i="1"/>
  <c r="Y347" i="1"/>
  <c r="BP357" i="1"/>
  <c r="BN357" i="1"/>
  <c r="Z357" i="1"/>
  <c r="Z359" i="1" s="1"/>
  <c r="Y359" i="1"/>
  <c r="BP394" i="1"/>
  <c r="BN394" i="1"/>
  <c r="Z394" i="1"/>
  <c r="Y396" i="1"/>
  <c r="BP404" i="1"/>
  <c r="BN404" i="1"/>
  <c r="Z404" i="1"/>
  <c r="BP408" i="1"/>
  <c r="BN408" i="1"/>
  <c r="Z408" i="1"/>
  <c r="Y410" i="1"/>
  <c r="Y415" i="1"/>
  <c r="BP412" i="1"/>
  <c r="BN412" i="1"/>
  <c r="Z412" i="1"/>
  <c r="Z414" i="1" s="1"/>
  <c r="Y414" i="1"/>
  <c r="H9" i="1"/>
  <c r="Y26" i="1"/>
  <c r="Y55" i="1"/>
  <c r="Y90" i="1"/>
  <c r="Y109" i="1"/>
  <c r="BP157" i="1"/>
  <c r="BN157" i="1"/>
  <c r="Z157" i="1"/>
  <c r="BP175" i="1"/>
  <c r="BN175" i="1"/>
  <c r="Z175" i="1"/>
  <c r="Z183" i="1" s="1"/>
  <c r="BP180" i="1"/>
  <c r="BN180" i="1"/>
  <c r="Z180" i="1"/>
  <c r="Y198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42" i="1"/>
  <c r="BN242" i="1"/>
  <c r="Z242" i="1"/>
  <c r="Y244" i="1"/>
  <c r="Y251" i="1"/>
  <c r="BP250" i="1"/>
  <c r="BN250" i="1"/>
  <c r="Z250" i="1"/>
  <c r="Z251" i="1" s="1"/>
  <c r="Y252" i="1"/>
  <c r="L602" i="1"/>
  <c r="Y262" i="1"/>
  <c r="BP255" i="1"/>
  <c r="BN255" i="1"/>
  <c r="Z255" i="1"/>
  <c r="Z261" i="1" s="1"/>
  <c r="BP259" i="1"/>
  <c r="BN259" i="1"/>
  <c r="Z259" i="1"/>
  <c r="Y273" i="1"/>
  <c r="BP278" i="1"/>
  <c r="BN278" i="1"/>
  <c r="Z278" i="1"/>
  <c r="Y282" i="1"/>
  <c r="BP309" i="1"/>
  <c r="BN309" i="1"/>
  <c r="Z309" i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Y325" i="1"/>
  <c r="BP323" i="1"/>
  <c r="BN323" i="1"/>
  <c r="Z323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Y390" i="1"/>
  <c r="BP421" i="1"/>
  <c r="BN421" i="1"/>
  <c r="Z421" i="1"/>
  <c r="Y423" i="1"/>
  <c r="Y602" i="1"/>
  <c r="Y443" i="1"/>
  <c r="BP431" i="1"/>
  <c r="BN431" i="1"/>
  <c r="Z431" i="1"/>
  <c r="Y444" i="1"/>
  <c r="BP433" i="1"/>
  <c r="BN433" i="1"/>
  <c r="Z433" i="1"/>
  <c r="BP437" i="1"/>
  <c r="BN437" i="1"/>
  <c r="Z437" i="1"/>
  <c r="BP440" i="1"/>
  <c r="BN440" i="1"/>
  <c r="Z440" i="1"/>
  <c r="BP453" i="1"/>
  <c r="BN453" i="1"/>
  <c r="Z453" i="1"/>
  <c r="Z454" i="1" s="1"/>
  <c r="Y455" i="1"/>
  <c r="BP458" i="1"/>
  <c r="BN458" i="1"/>
  <c r="Z458" i="1"/>
  <c r="Y46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H602" i="1"/>
  <c r="Y154" i="1"/>
  <c r="J602" i="1"/>
  <c r="Y193" i="1"/>
  <c r="K602" i="1"/>
  <c r="Y238" i="1"/>
  <c r="Y267" i="1"/>
  <c r="O602" i="1"/>
  <c r="Y274" i="1"/>
  <c r="P602" i="1"/>
  <c r="Y283" i="1"/>
  <c r="Y288" i="1"/>
  <c r="Y301" i="1"/>
  <c r="S602" i="1"/>
  <c r="Y306" i="1"/>
  <c r="Y310" i="1"/>
  <c r="BP321" i="1"/>
  <c r="BN321" i="1"/>
  <c r="Z321" i="1"/>
  <c r="BP329" i="1"/>
  <c r="BN329" i="1"/>
  <c r="Z329" i="1"/>
  <c r="Z332" i="1" s="1"/>
  <c r="BP337" i="1"/>
  <c r="BN337" i="1"/>
  <c r="Z337" i="1"/>
  <c r="BP345" i="1"/>
  <c r="BN345" i="1"/>
  <c r="Z345" i="1"/>
  <c r="BP351" i="1"/>
  <c r="BN351" i="1"/>
  <c r="Z351" i="1"/>
  <c r="Y360" i="1"/>
  <c r="BP368" i="1"/>
  <c r="BN368" i="1"/>
  <c r="Z368" i="1"/>
  <c r="BP378" i="1"/>
  <c r="BN378" i="1"/>
  <c r="Z378" i="1"/>
  <c r="BP382" i="1"/>
  <c r="BN382" i="1"/>
  <c r="Z382" i="1"/>
  <c r="Y395" i="1"/>
  <c r="BP393" i="1"/>
  <c r="BN393" i="1"/>
  <c r="Z393" i="1"/>
  <c r="BP406" i="1"/>
  <c r="BN406" i="1"/>
  <c r="Z406" i="1"/>
  <c r="BP419" i="1"/>
  <c r="BN419" i="1"/>
  <c r="Z419" i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9" i="1"/>
  <c r="BP446" i="1"/>
  <c r="BN446" i="1"/>
  <c r="Z446" i="1"/>
  <c r="Z448" i="1" s="1"/>
  <c r="Y454" i="1"/>
  <c r="Y462" i="1"/>
  <c r="BP459" i="1"/>
  <c r="BN459" i="1"/>
  <c r="Z459" i="1"/>
  <c r="Y365" i="1"/>
  <c r="W602" i="1"/>
  <c r="Y385" i="1"/>
  <c r="X602" i="1"/>
  <c r="Y409" i="1"/>
  <c r="Y468" i="1"/>
  <c r="AB602" i="1"/>
  <c r="Y473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AC602" i="1"/>
  <c r="Y497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461" i="1" l="1"/>
  <c r="Z409" i="1"/>
  <c r="Z422" i="1"/>
  <c r="Z395" i="1"/>
  <c r="Z370" i="1"/>
  <c r="Z353" i="1"/>
  <c r="Z160" i="1"/>
  <c r="Z273" i="1"/>
  <c r="Z496" i="1"/>
  <c r="Z385" i="1"/>
  <c r="Z127" i="1"/>
  <c r="Z467" i="1"/>
  <c r="Z524" i="1"/>
  <c r="Z390" i="1"/>
  <c r="Z310" i="1"/>
  <c r="Z282" i="1"/>
  <c r="Z238" i="1"/>
  <c r="Z209" i="1"/>
  <c r="Z115" i="1"/>
  <c r="Z67" i="1"/>
  <c r="Z39" i="1"/>
  <c r="Z26" i="1"/>
  <c r="Z548" i="1"/>
  <c r="Z518" i="1"/>
  <c r="Z443" i="1"/>
  <c r="Z325" i="1"/>
  <c r="Z221" i="1"/>
  <c r="Y593" i="1"/>
  <c r="Z566" i="1"/>
  <c r="Z529" i="1"/>
  <c r="Y596" i="1"/>
  <c r="Z346" i="1"/>
  <c r="Z340" i="1"/>
  <c r="Z243" i="1"/>
  <c r="Z109" i="1"/>
  <c r="Z101" i="1"/>
  <c r="Z89" i="1"/>
  <c r="Z82" i="1"/>
  <c r="Z61" i="1"/>
  <c r="Z54" i="1"/>
  <c r="Z597" i="1" s="1"/>
  <c r="Y592" i="1"/>
  <c r="Y594" i="1"/>
  <c r="Y595" i="1" l="1"/>
</calcChain>
</file>

<file path=xl/sharedStrings.xml><?xml version="1.0" encoding="utf-8"?>
<sst xmlns="http://schemas.openxmlformats.org/spreadsheetml/2006/main" count="2738" uniqueCount="970">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</sst>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85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5" sqref="AA35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61" t="s">
        <v>0</v>
      </c>
      <c r="E1" s="697"/>
      <c r="F1" s="697"/>
      <c r="G1" s="12" t="s">
        <v>1</v>
      </c>
      <c r="H1" s="761" t="s">
        <v>2</v>
      </c>
      <c r="I1" s="697"/>
      <c r="J1" s="697"/>
      <c r="K1" s="697"/>
      <c r="L1" s="697"/>
      <c r="M1" s="697"/>
      <c r="N1" s="697"/>
      <c r="O1" s="697"/>
      <c r="P1" s="697"/>
      <c r="Q1" s="697"/>
      <c r="R1" s="696" t="s">
        <v>3</v>
      </c>
      <c r="S1" s="697"/>
      <c r="T1" s="6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16" t="s">
        <v>8</v>
      </c>
      <c r="B5" s="817"/>
      <c r="C5" s="818"/>
      <c r="D5" s="768"/>
      <c r="E5" s="769"/>
      <c r="F5" s="994" t="s">
        <v>9</v>
      </c>
      <c r="G5" s="818"/>
      <c r="H5" s="768" t="s">
        <v>969</v>
      </c>
      <c r="I5" s="942"/>
      <c r="J5" s="942"/>
      <c r="K5" s="942"/>
      <c r="L5" s="942"/>
      <c r="M5" s="769"/>
      <c r="N5" s="58"/>
      <c r="P5" s="24" t="s">
        <v>10</v>
      </c>
      <c r="Q5" s="1023">
        <v>45757</v>
      </c>
      <c r="R5" s="807"/>
      <c r="T5" s="855" t="s">
        <v>11</v>
      </c>
      <c r="U5" s="772"/>
      <c r="V5" s="856" t="s">
        <v>12</v>
      </c>
      <c r="W5" s="807"/>
      <c r="AB5" s="51"/>
      <c r="AC5" s="51"/>
      <c r="AD5" s="51"/>
      <c r="AE5" s="51"/>
    </row>
    <row r="6" spans="1:32" s="659" customFormat="1" ht="24" customHeight="1" x14ac:dyDescent="0.2">
      <c r="A6" s="816" t="s">
        <v>13</v>
      </c>
      <c r="B6" s="817"/>
      <c r="C6" s="818"/>
      <c r="D6" s="944" t="s">
        <v>14</v>
      </c>
      <c r="E6" s="945"/>
      <c r="F6" s="945"/>
      <c r="G6" s="945"/>
      <c r="H6" s="945"/>
      <c r="I6" s="945"/>
      <c r="J6" s="945"/>
      <c r="K6" s="945"/>
      <c r="L6" s="945"/>
      <c r="M6" s="807"/>
      <c r="N6" s="59"/>
      <c r="P6" s="24" t="s">
        <v>15</v>
      </c>
      <c r="Q6" s="1032" t="str">
        <f>IF(Q5=0," ",CHOOSE(WEEKDAY(Q5,2),"Понедельник","Вторник","Среда","Четверг","Пятница","Суббота","Воскресенье"))</f>
        <v>Четверг</v>
      </c>
      <c r="R6" s="670"/>
      <c r="T6" s="860" t="s">
        <v>16</v>
      </c>
      <c r="U6" s="772"/>
      <c r="V6" s="928" t="s">
        <v>17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30" t="str">
        <f>IFERROR(VLOOKUP(DeliveryAddress,Table,3,0),1)</f>
        <v>1</v>
      </c>
      <c r="E7" s="731"/>
      <c r="F7" s="731"/>
      <c r="G7" s="731"/>
      <c r="H7" s="731"/>
      <c r="I7" s="731"/>
      <c r="J7" s="731"/>
      <c r="K7" s="731"/>
      <c r="L7" s="731"/>
      <c r="M7" s="732"/>
      <c r="N7" s="60"/>
      <c r="P7" s="24"/>
      <c r="Q7" s="42"/>
      <c r="R7" s="42"/>
      <c r="T7" s="680"/>
      <c r="U7" s="772"/>
      <c r="V7" s="929"/>
      <c r="W7" s="930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6"/>
      <c r="C8" s="687"/>
      <c r="D8" s="745" t="s">
        <v>19</v>
      </c>
      <c r="E8" s="746"/>
      <c r="F8" s="746"/>
      <c r="G8" s="746"/>
      <c r="H8" s="746"/>
      <c r="I8" s="746"/>
      <c r="J8" s="746"/>
      <c r="K8" s="746"/>
      <c r="L8" s="746"/>
      <c r="M8" s="747"/>
      <c r="N8" s="61"/>
      <c r="P8" s="24" t="s">
        <v>20</v>
      </c>
      <c r="Q8" s="824">
        <v>0.54166666666666663</v>
      </c>
      <c r="R8" s="732"/>
      <c r="T8" s="680"/>
      <c r="U8" s="772"/>
      <c r="V8" s="929"/>
      <c r="W8" s="930"/>
      <c r="AB8" s="51"/>
      <c r="AC8" s="51"/>
      <c r="AD8" s="51"/>
      <c r="AE8" s="51"/>
    </row>
    <row r="9" spans="1:32" s="659" customFormat="1" ht="39.950000000000003" customHeight="1" x14ac:dyDescent="0.2">
      <c r="A9" s="8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839"/>
      <c r="E9" s="684"/>
      <c r="F9" s="8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57"/>
      <c r="P9" s="26" t="s">
        <v>21</v>
      </c>
      <c r="Q9" s="800"/>
      <c r="R9" s="801"/>
      <c r="T9" s="680"/>
      <c r="U9" s="772"/>
      <c r="V9" s="931"/>
      <c r="W9" s="932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839"/>
      <c r="E10" s="684"/>
      <c r="F10" s="8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921" t="str">
        <f>IFERROR(VLOOKUP($D$10,Proxy,2,FALSE),"")</f>
        <v/>
      </c>
      <c r="I10" s="680"/>
      <c r="J10" s="680"/>
      <c r="K10" s="680"/>
      <c r="L10" s="680"/>
      <c r="M10" s="680"/>
      <c r="N10" s="658"/>
      <c r="P10" s="26" t="s">
        <v>22</v>
      </c>
      <c r="Q10" s="861"/>
      <c r="R10" s="862"/>
      <c r="U10" s="24" t="s">
        <v>23</v>
      </c>
      <c r="V10" s="709" t="s">
        <v>24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6"/>
      <c r="R11" s="807"/>
      <c r="U11" s="24" t="s">
        <v>27</v>
      </c>
      <c r="V11" s="964" t="s">
        <v>28</v>
      </c>
      <c r="W11" s="801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29</v>
      </c>
      <c r="B12" s="817"/>
      <c r="C12" s="817"/>
      <c r="D12" s="817"/>
      <c r="E12" s="817"/>
      <c r="F12" s="817"/>
      <c r="G12" s="817"/>
      <c r="H12" s="817"/>
      <c r="I12" s="817"/>
      <c r="J12" s="817"/>
      <c r="K12" s="817"/>
      <c r="L12" s="817"/>
      <c r="M12" s="818"/>
      <c r="N12" s="62"/>
      <c r="P12" s="24" t="s">
        <v>30</v>
      </c>
      <c r="Q12" s="824"/>
      <c r="R12" s="732"/>
      <c r="S12" s="23"/>
      <c r="U12" s="24"/>
      <c r="V12" s="697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31</v>
      </c>
      <c r="B13" s="817"/>
      <c r="C13" s="817"/>
      <c r="D13" s="817"/>
      <c r="E13" s="817"/>
      <c r="F13" s="817"/>
      <c r="G13" s="817"/>
      <c r="H13" s="817"/>
      <c r="I13" s="817"/>
      <c r="J13" s="817"/>
      <c r="K13" s="817"/>
      <c r="L13" s="817"/>
      <c r="M13" s="818"/>
      <c r="N13" s="62"/>
      <c r="O13" s="26"/>
      <c r="P13" s="26" t="s">
        <v>32</v>
      </c>
      <c r="Q13" s="964"/>
      <c r="R13" s="80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33</v>
      </c>
      <c r="B14" s="817"/>
      <c r="C14" s="817"/>
      <c r="D14" s="817"/>
      <c r="E14" s="817"/>
      <c r="F14" s="817"/>
      <c r="G14" s="817"/>
      <c r="H14" s="817"/>
      <c r="I14" s="817"/>
      <c r="J14" s="817"/>
      <c r="K14" s="817"/>
      <c r="L14" s="817"/>
      <c r="M14" s="81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9" t="s">
        <v>34</v>
      </c>
      <c r="B15" s="817"/>
      <c r="C15" s="817"/>
      <c r="D15" s="817"/>
      <c r="E15" s="817"/>
      <c r="F15" s="817"/>
      <c r="G15" s="817"/>
      <c r="H15" s="817"/>
      <c r="I15" s="817"/>
      <c r="J15" s="817"/>
      <c r="K15" s="817"/>
      <c r="L15" s="817"/>
      <c r="M15" s="818"/>
      <c r="N15" s="63"/>
      <c r="P15" s="810" t="s">
        <v>35</v>
      </c>
      <c r="Q15" s="697"/>
      <c r="R15" s="697"/>
      <c r="S15" s="697"/>
      <c r="T15" s="6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1"/>
      <c r="Q16" s="811"/>
      <c r="R16" s="811"/>
      <c r="S16" s="811"/>
      <c r="T16" s="81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36</v>
      </c>
      <c r="B17" s="705" t="s">
        <v>37</v>
      </c>
      <c r="C17" s="830" t="s">
        <v>38</v>
      </c>
      <c r="D17" s="705" t="s">
        <v>39</v>
      </c>
      <c r="E17" s="783"/>
      <c r="F17" s="705" t="s">
        <v>40</v>
      </c>
      <c r="G17" s="705" t="s">
        <v>41</v>
      </c>
      <c r="H17" s="705" t="s">
        <v>42</v>
      </c>
      <c r="I17" s="705" t="s">
        <v>43</v>
      </c>
      <c r="J17" s="705" t="s">
        <v>44</v>
      </c>
      <c r="K17" s="705" t="s">
        <v>45</v>
      </c>
      <c r="L17" s="705" t="s">
        <v>46</v>
      </c>
      <c r="M17" s="705" t="s">
        <v>47</v>
      </c>
      <c r="N17" s="705" t="s">
        <v>48</v>
      </c>
      <c r="O17" s="705" t="s">
        <v>49</v>
      </c>
      <c r="P17" s="705" t="s">
        <v>50</v>
      </c>
      <c r="Q17" s="782"/>
      <c r="R17" s="782"/>
      <c r="S17" s="782"/>
      <c r="T17" s="783"/>
      <c r="U17" s="1046" t="s">
        <v>51</v>
      </c>
      <c r="V17" s="818"/>
      <c r="W17" s="705" t="s">
        <v>52</v>
      </c>
      <c r="X17" s="705" t="s">
        <v>53</v>
      </c>
      <c r="Y17" s="1044" t="s">
        <v>54</v>
      </c>
      <c r="Z17" s="915" t="s">
        <v>55</v>
      </c>
      <c r="AA17" s="913" t="s">
        <v>56</v>
      </c>
      <c r="AB17" s="913" t="s">
        <v>57</v>
      </c>
      <c r="AC17" s="913" t="s">
        <v>58</v>
      </c>
      <c r="AD17" s="913" t="s">
        <v>59</v>
      </c>
      <c r="AE17" s="1004"/>
      <c r="AF17" s="1005"/>
      <c r="AG17" s="66"/>
      <c r="BD17" s="65" t="s">
        <v>60</v>
      </c>
    </row>
    <row r="18" spans="1:68" ht="14.25" customHeight="1" x14ac:dyDescent="0.2">
      <c r="A18" s="706"/>
      <c r="B18" s="706"/>
      <c r="C18" s="706"/>
      <c r="D18" s="784"/>
      <c r="E18" s="786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84"/>
      <c r="Q18" s="785"/>
      <c r="R18" s="785"/>
      <c r="S18" s="785"/>
      <c r="T18" s="786"/>
      <c r="U18" s="67" t="s">
        <v>61</v>
      </c>
      <c r="V18" s="67" t="s">
        <v>62</v>
      </c>
      <c r="W18" s="706"/>
      <c r="X18" s="706"/>
      <c r="Y18" s="1045"/>
      <c r="Z18" s="916"/>
      <c r="AA18" s="914"/>
      <c r="AB18" s="914"/>
      <c r="AC18" s="914"/>
      <c r="AD18" s="1006"/>
      <c r="AE18" s="1007"/>
      <c r="AF18" s="1008"/>
      <c r="AG18" s="66"/>
      <c r="BD18" s="65"/>
    </row>
    <row r="19" spans="1:68" ht="27.75" hidden="1" customHeight="1" x14ac:dyDescent="0.2">
      <c r="A19" s="802" t="s">
        <v>63</v>
      </c>
      <c r="B19" s="803"/>
      <c r="C19" s="803"/>
      <c r="D19" s="803"/>
      <c r="E19" s="803"/>
      <c r="F19" s="803"/>
      <c r="G19" s="803"/>
      <c r="H19" s="803"/>
      <c r="I19" s="803"/>
      <c r="J19" s="803"/>
      <c r="K19" s="803"/>
      <c r="L19" s="803"/>
      <c r="M19" s="803"/>
      <c r="N19" s="803"/>
      <c r="O19" s="803"/>
      <c r="P19" s="803"/>
      <c r="Q19" s="803"/>
      <c r="R19" s="803"/>
      <c r="S19" s="803"/>
      <c r="T19" s="803"/>
      <c r="U19" s="803"/>
      <c r="V19" s="803"/>
      <c r="W19" s="803"/>
      <c r="X19" s="803"/>
      <c r="Y19" s="803"/>
      <c r="Z19" s="803"/>
      <c r="AA19" s="48"/>
      <c r="AB19" s="48"/>
      <c r="AC19" s="48"/>
    </row>
    <row r="20" spans="1:68" ht="16.5" hidden="1" customHeight="1" x14ac:dyDescent="0.25">
      <c r="A20" s="723" t="s">
        <v>63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hidden="1" customHeight="1" x14ac:dyDescent="0.25">
      <c r="A21" s="682" t="s">
        <v>64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1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hidden="1" customHeight="1" x14ac:dyDescent="0.25">
      <c r="A25" s="54" t="s">
        <v>77</v>
      </c>
      <c r="B25" s="54" t="s">
        <v>78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idden="1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80</v>
      </c>
      <c r="Q26" s="686"/>
      <c r="R26" s="686"/>
      <c r="S26" s="686"/>
      <c r="T26" s="686"/>
      <c r="U26" s="686"/>
      <c r="V26" s="687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hidden="1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80</v>
      </c>
      <c r="Q27" s="686"/>
      <c r="R27" s="686"/>
      <c r="S27" s="686"/>
      <c r="T27" s="686"/>
      <c r="U27" s="686"/>
      <c r="V27" s="687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hidden="1" customHeight="1" x14ac:dyDescent="0.25">
      <c r="A28" s="682" t="s">
        <v>82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hidden="1" customHeight="1" x14ac:dyDescent="0.25">
      <c r="A29" s="54" t="s">
        <v>83</v>
      </c>
      <c r="B29" s="54" t="s">
        <v>84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idden="1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80</v>
      </c>
      <c r="Q30" s="686"/>
      <c r="R30" s="686"/>
      <c r="S30" s="686"/>
      <c r="T30" s="686"/>
      <c r="U30" s="686"/>
      <c r="V30" s="687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hidden="1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80</v>
      </c>
      <c r="Q31" s="686"/>
      <c r="R31" s="686"/>
      <c r="S31" s="686"/>
      <c r="T31" s="686"/>
      <c r="U31" s="686"/>
      <c r="V31" s="687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hidden="1" customHeight="1" x14ac:dyDescent="0.2">
      <c r="A32" s="802" t="s">
        <v>88</v>
      </c>
      <c r="B32" s="803"/>
      <c r="C32" s="803"/>
      <c r="D32" s="803"/>
      <c r="E32" s="803"/>
      <c r="F32" s="803"/>
      <c r="G32" s="803"/>
      <c r="H32" s="803"/>
      <c r="I32" s="803"/>
      <c r="J32" s="803"/>
      <c r="K32" s="803"/>
      <c r="L32" s="803"/>
      <c r="M32" s="803"/>
      <c r="N32" s="803"/>
      <c r="O32" s="803"/>
      <c r="P32" s="803"/>
      <c r="Q32" s="803"/>
      <c r="R32" s="803"/>
      <c r="S32" s="803"/>
      <c r="T32" s="803"/>
      <c r="U32" s="803"/>
      <c r="V32" s="803"/>
      <c r="W32" s="803"/>
      <c r="X32" s="803"/>
      <c r="Y32" s="803"/>
      <c r="Z32" s="803"/>
      <c r="AA32" s="48"/>
      <c r="AB32" s="48"/>
      <c r="AC32" s="48"/>
    </row>
    <row r="33" spans="1:68" ht="16.5" hidden="1" customHeight="1" x14ac:dyDescent="0.25">
      <c r="A33" s="723" t="s">
        <v>89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hidden="1" customHeight="1" x14ac:dyDescent="0.25">
      <c r="A34" s="682" t="s">
        <v>90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customHeight="1" x14ac:dyDescent="0.25">
      <c r="A35" s="54" t="s">
        <v>91</v>
      </c>
      <c r="B35" s="54" t="s">
        <v>92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9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69</v>
      </c>
      <c r="X35" s="665">
        <v>500</v>
      </c>
      <c r="Y35" s="666">
        <f>IFERROR(IF(X35="",0,CEILING((X35/$H35),1)*$H35),"")</f>
        <v>507.6</v>
      </c>
      <c r="Z35" s="36">
        <f>IFERROR(IF(Y35=0,"",ROUNDUP(Y35/H35,0)*0.01898),"")</f>
        <v>0.89205999999999996</v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520.1388888888888</v>
      </c>
      <c r="BN35" s="64">
        <f>IFERROR(Y35*I35/H35,"0")</f>
        <v>528.04499999999996</v>
      </c>
      <c r="BO35" s="64">
        <f>IFERROR(1/J35*(X35/H35),"0")</f>
        <v>0.72337962962962954</v>
      </c>
      <c r="BP35" s="64">
        <f>IFERROR(1/J35*(Y35/H35),"0")</f>
        <v>0.734375</v>
      </c>
    </row>
    <row r="36" spans="1:68" ht="27" customHeight="1" x14ac:dyDescent="0.25">
      <c r="A36" s="54" t="s">
        <v>96</v>
      </c>
      <c r="B36" s="54" t="s">
        <v>97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10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69</v>
      </c>
      <c r="X36" s="665">
        <v>120</v>
      </c>
      <c r="Y36" s="666">
        <f>IFERROR(IF(X36="",0,CEILING((X36/$H36),1)*$H36),"")</f>
        <v>120</v>
      </c>
      <c r="Z36" s="36">
        <f>IFERROR(IF(Y36=0,"",ROUNDUP(Y36/H36,0)*0.00902),"")</f>
        <v>0.27060000000000001</v>
      </c>
      <c r="AA36" s="56"/>
      <c r="AB36" s="57"/>
      <c r="AC36" s="81" t="s">
        <v>95</v>
      </c>
      <c r="AG36" s="64"/>
      <c r="AJ36" s="68" t="s">
        <v>101</v>
      </c>
      <c r="AK36" s="68">
        <v>48</v>
      </c>
      <c r="BB36" s="82" t="s">
        <v>1</v>
      </c>
      <c r="BM36" s="64">
        <f>IFERROR(X36*I36/H36,"0")</f>
        <v>126.3</v>
      </c>
      <c r="BN36" s="64">
        <f>IFERROR(Y36*I36/H36,"0")</f>
        <v>126.3</v>
      </c>
      <c r="BO36" s="64">
        <f>IFERROR(1/J36*(X36/H36),"0")</f>
        <v>0.22727272727272729</v>
      </c>
      <c r="BP36" s="64">
        <f>IFERROR(1/J36*(Y36/H36),"0")</f>
        <v>0.22727272727272729</v>
      </c>
    </row>
    <row r="37" spans="1:68" ht="27" hidden="1" customHeight="1" x14ac:dyDescent="0.25">
      <c r="A37" s="54" t="s">
        <v>102</v>
      </c>
      <c r="B37" s="54" t="s">
        <v>103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9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80</v>
      </c>
      <c r="Q39" s="686"/>
      <c r="R39" s="686"/>
      <c r="S39" s="686"/>
      <c r="T39" s="686"/>
      <c r="U39" s="686"/>
      <c r="V39" s="687"/>
      <c r="W39" s="37" t="s">
        <v>81</v>
      </c>
      <c r="X39" s="667">
        <f>IFERROR(X35/H35,"0")+IFERROR(X36/H36,"0")+IFERROR(X37/H37,"0")+IFERROR(X38/H38,"0")</f>
        <v>76.296296296296291</v>
      </c>
      <c r="Y39" s="667">
        <f>IFERROR(Y35/H35,"0")+IFERROR(Y36/H36,"0")+IFERROR(Y37/H37,"0")+IFERROR(Y38/H38,"0")</f>
        <v>77</v>
      </c>
      <c r="Z39" s="667">
        <f>IFERROR(IF(Z35="",0,Z35),"0")+IFERROR(IF(Z36="",0,Z36),"0")+IFERROR(IF(Z37="",0,Z37),"0")+IFERROR(IF(Z38="",0,Z38),"0")</f>
        <v>1.16266</v>
      </c>
      <c r="AA39" s="668"/>
      <c r="AB39" s="668"/>
      <c r="AC39" s="668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80</v>
      </c>
      <c r="Q40" s="686"/>
      <c r="R40" s="686"/>
      <c r="S40" s="686"/>
      <c r="T40" s="686"/>
      <c r="U40" s="686"/>
      <c r="V40" s="687"/>
      <c r="W40" s="37" t="s">
        <v>69</v>
      </c>
      <c r="X40" s="667">
        <f>IFERROR(SUM(X35:X38),"0")</f>
        <v>620</v>
      </c>
      <c r="Y40" s="667">
        <f>IFERROR(SUM(Y35:Y38),"0")</f>
        <v>627.6</v>
      </c>
      <c r="Z40" s="37"/>
      <c r="AA40" s="668"/>
      <c r="AB40" s="668"/>
      <c r="AC40" s="668"/>
    </row>
    <row r="41" spans="1:68" ht="14.25" hidden="1" customHeight="1" x14ac:dyDescent="0.25">
      <c r="A41" s="682" t="s">
        <v>64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hidden="1" customHeight="1" x14ac:dyDescent="0.25">
      <c r="A42" s="54" t="s">
        <v>107</v>
      </c>
      <c r="B42" s="54" t="s">
        <v>108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75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80</v>
      </c>
      <c r="Q43" s="686"/>
      <c r="R43" s="686"/>
      <c r="S43" s="686"/>
      <c r="T43" s="686"/>
      <c r="U43" s="686"/>
      <c r="V43" s="687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hidden="1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80</v>
      </c>
      <c r="Q44" s="686"/>
      <c r="R44" s="686"/>
      <c r="S44" s="686"/>
      <c r="T44" s="686"/>
      <c r="U44" s="686"/>
      <c r="V44" s="687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hidden="1" customHeight="1" x14ac:dyDescent="0.25">
      <c r="A45" s="723" t="s">
        <v>110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hidden="1" customHeight="1" x14ac:dyDescent="0.25">
      <c r="A46" s="682" t="s">
        <v>90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customHeight="1" x14ac:dyDescent="0.25">
      <c r="A47" s="54" t="s">
        <v>111</v>
      </c>
      <c r="B47" s="54" t="s">
        <v>112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7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69</v>
      </c>
      <c r="X47" s="665">
        <v>50</v>
      </c>
      <c r="Y47" s="666">
        <f t="shared" ref="Y47:Y53" si="0">IFERROR(IF(X47="",0,CEILING((X47/$H47),1)*$H47),"")</f>
        <v>56</v>
      </c>
      <c r="Z47" s="36">
        <f>IFERROR(IF(Y47=0,"",ROUNDUP(Y47/H47,0)*0.01898),"")</f>
        <v>9.4899999999999998E-2</v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51.941964285714292</v>
      </c>
      <c r="BN47" s="64">
        <f t="shared" ref="BN47:BN53" si="2">IFERROR(Y47*I47/H47,"0")</f>
        <v>58.174999999999997</v>
      </c>
      <c r="BO47" s="64">
        <f t="shared" ref="BO47:BO53" si="3">IFERROR(1/J47*(X47/H47),"0")</f>
        <v>6.9754464285714288E-2</v>
      </c>
      <c r="BP47" s="64">
        <f t="shared" ref="BP47:BP53" si="4">IFERROR(1/J47*(Y47/H47),"0")</f>
        <v>7.8125E-2</v>
      </c>
    </row>
    <row r="48" spans="1:68" ht="27" customHeight="1" x14ac:dyDescent="0.25">
      <c r="A48" s="54" t="s">
        <v>114</v>
      </c>
      <c r="B48" s="54" t="s">
        <v>115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116</v>
      </c>
      <c r="M48" s="33" t="s">
        <v>94</v>
      </c>
      <c r="N48" s="33"/>
      <c r="O48" s="32">
        <v>50</v>
      </c>
      <c r="P48" s="90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69</v>
      </c>
      <c r="X48" s="665">
        <v>400</v>
      </c>
      <c r="Y48" s="666">
        <f t="shared" si="0"/>
        <v>410.40000000000003</v>
      </c>
      <c r="Z48" s="36">
        <f>IFERROR(IF(Y48=0,"",ROUNDUP(Y48/H48,0)*0.01898),"")</f>
        <v>0.72123999999999999</v>
      </c>
      <c r="AA48" s="56"/>
      <c r="AB48" s="57"/>
      <c r="AC48" s="91" t="s">
        <v>117</v>
      </c>
      <c r="AG48" s="64"/>
      <c r="AJ48" s="68" t="s">
        <v>118</v>
      </c>
      <c r="AK48" s="68">
        <v>691.2</v>
      </c>
      <c r="BB48" s="92" t="s">
        <v>1</v>
      </c>
      <c r="BM48" s="64">
        <f t="shared" si="1"/>
        <v>416.11111111111109</v>
      </c>
      <c r="BN48" s="64">
        <f t="shared" si="2"/>
        <v>426.92999999999995</v>
      </c>
      <c r="BO48" s="64">
        <f t="shared" si="3"/>
        <v>0.57870370370370372</v>
      </c>
      <c r="BP48" s="64">
        <f t="shared" si="4"/>
        <v>0.59375</v>
      </c>
    </row>
    <row r="49" spans="1:68" ht="27" hidden="1" customHeight="1" x14ac:dyDescent="0.25">
      <c r="A49" s="54" t="s">
        <v>119</v>
      </c>
      <c r="B49" s="54" t="s">
        <v>120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101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788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124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hidden="1" customHeight="1" x14ac:dyDescent="0.25">
      <c r="A51" s="54" t="s">
        <v>125</v>
      </c>
      <c r="B51" s="54" t="s">
        <v>126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117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hidden="1" customHeight="1" x14ac:dyDescent="0.25">
      <c r="A52" s="54" t="s">
        <v>127</v>
      </c>
      <c r="B52" s="54" t="s">
        <v>128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129</v>
      </c>
      <c r="N52" s="33"/>
      <c r="O52" s="32">
        <v>50</v>
      </c>
      <c r="P52" s="79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130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131</v>
      </c>
      <c r="B53" s="54" t="s">
        <v>132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116</v>
      </c>
      <c r="M53" s="33" t="s">
        <v>94</v>
      </c>
      <c r="N53" s="33"/>
      <c r="O53" s="32">
        <v>50</v>
      </c>
      <c r="P53" s="83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45</v>
      </c>
      <c r="Y53" s="666">
        <f t="shared" si="0"/>
        <v>45</v>
      </c>
      <c r="Z53" s="36">
        <f>IFERROR(IF(Y53=0,"",ROUNDUP(Y53/H53,0)*0.00902),"")</f>
        <v>9.0200000000000002E-2</v>
      </c>
      <c r="AA53" s="56"/>
      <c r="AB53" s="57"/>
      <c r="AC53" s="101" t="s">
        <v>117</v>
      </c>
      <c r="AG53" s="64"/>
      <c r="AJ53" s="68" t="s">
        <v>118</v>
      </c>
      <c r="AK53" s="68">
        <v>594</v>
      </c>
      <c r="BB53" s="102" t="s">
        <v>1</v>
      </c>
      <c r="BM53" s="64">
        <f t="shared" si="1"/>
        <v>47.099999999999994</v>
      </c>
      <c r="BN53" s="64">
        <f t="shared" si="2"/>
        <v>47.099999999999994</v>
      </c>
      <c r="BO53" s="64">
        <f t="shared" si="3"/>
        <v>7.575757575757576E-2</v>
      </c>
      <c r="BP53" s="64">
        <f t="shared" si="4"/>
        <v>7.575757575757576E-2</v>
      </c>
    </row>
    <row r="54" spans="1:68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80</v>
      </c>
      <c r="Q54" s="686"/>
      <c r="R54" s="686"/>
      <c r="S54" s="686"/>
      <c r="T54" s="686"/>
      <c r="U54" s="686"/>
      <c r="V54" s="687"/>
      <c r="W54" s="37" t="s">
        <v>81</v>
      </c>
      <c r="X54" s="667">
        <f>IFERROR(X47/H47,"0")+IFERROR(X48/H48,"0")+IFERROR(X49/H49,"0")+IFERROR(X50/H50,"0")+IFERROR(X51/H51,"0")+IFERROR(X52/H52,"0")+IFERROR(X53/H53,"0")</f>
        <v>51.501322751322753</v>
      </c>
      <c r="Y54" s="667">
        <f>IFERROR(Y47/H47,"0")+IFERROR(Y48/H48,"0")+IFERROR(Y49/H49,"0")+IFERROR(Y50/H50,"0")+IFERROR(Y51/H51,"0")+IFERROR(Y52/H52,"0")+IFERROR(Y53/H53,"0")</f>
        <v>53</v>
      </c>
      <c r="Z54" s="667">
        <f>IFERROR(IF(Z47="",0,Z47),"0")+IFERROR(IF(Z48="",0,Z48),"0")+IFERROR(IF(Z49="",0,Z49),"0")+IFERROR(IF(Z50="",0,Z50),"0")+IFERROR(IF(Z51="",0,Z51),"0")+IFERROR(IF(Z52="",0,Z52),"0")+IFERROR(IF(Z53="",0,Z53),"0")</f>
        <v>0.90633999999999992</v>
      </c>
      <c r="AA54" s="668"/>
      <c r="AB54" s="668"/>
      <c r="AC54" s="668"/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80</v>
      </c>
      <c r="Q55" s="686"/>
      <c r="R55" s="686"/>
      <c r="S55" s="686"/>
      <c r="T55" s="686"/>
      <c r="U55" s="686"/>
      <c r="V55" s="687"/>
      <c r="W55" s="37" t="s">
        <v>69</v>
      </c>
      <c r="X55" s="667">
        <f>IFERROR(SUM(X47:X53),"0")</f>
        <v>495</v>
      </c>
      <c r="Y55" s="667">
        <f>IFERROR(SUM(Y47:Y53),"0")</f>
        <v>511.40000000000003</v>
      </c>
      <c r="Z55" s="37"/>
      <c r="AA55" s="668"/>
      <c r="AB55" s="668"/>
      <c r="AC55" s="668"/>
    </row>
    <row r="56" spans="1:68" ht="14.25" hidden="1" customHeight="1" x14ac:dyDescent="0.25">
      <c r="A56" s="682" t="s">
        <v>133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customHeight="1" x14ac:dyDescent="0.25">
      <c r="A57" s="54" t="s">
        <v>134</v>
      </c>
      <c r="B57" s="54" t="s">
        <v>135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9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69</v>
      </c>
      <c r="X57" s="665">
        <v>300</v>
      </c>
      <c r="Y57" s="666">
        <f>IFERROR(IF(X57="",0,CEILING((X57/$H57),1)*$H57),"")</f>
        <v>302.40000000000003</v>
      </c>
      <c r="Z57" s="36">
        <f>IFERROR(IF(Y57=0,"",ROUNDUP(Y57/H57,0)*0.01898),"")</f>
        <v>0.53144000000000002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>IFERROR(X57*I57/H57,"0")</f>
        <v>312.08333333333331</v>
      </c>
      <c r="BN57" s="64">
        <f>IFERROR(Y57*I57/H57,"0")</f>
        <v>314.58000000000004</v>
      </c>
      <c r="BO57" s="64">
        <f>IFERROR(1/J57*(X57/H57),"0")</f>
        <v>0.43402777777777773</v>
      </c>
      <c r="BP57" s="64">
        <f>IFERROR(1/J57*(Y57/H57),"0")</f>
        <v>0.4375</v>
      </c>
    </row>
    <row r="58" spans="1:68" ht="27" hidden="1" customHeight="1" x14ac:dyDescent="0.25">
      <c r="A58" s="54" t="s">
        <v>137</v>
      </c>
      <c r="B58" s="54" t="s">
        <v>138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1003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hidden="1" customHeight="1" x14ac:dyDescent="0.25">
      <c r="A59" s="54" t="s">
        <v>140</v>
      </c>
      <c r="B59" s="54" t="s">
        <v>141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9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136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customHeight="1" x14ac:dyDescent="0.25">
      <c r="A60" s="54" t="s">
        <v>142</v>
      </c>
      <c r="B60" s="54" t="s">
        <v>143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116</v>
      </c>
      <c r="M60" s="33" t="s">
        <v>94</v>
      </c>
      <c r="N60" s="33"/>
      <c r="O60" s="32">
        <v>50</v>
      </c>
      <c r="P60" s="10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67.5</v>
      </c>
      <c r="Y60" s="666">
        <f>IFERROR(IF(X60="",0,CEILING((X60/$H60),1)*$H60),"")</f>
        <v>67.5</v>
      </c>
      <c r="Z60" s="36">
        <f>IFERROR(IF(Y60=0,"",ROUNDUP(Y60/H60,0)*0.00651),"")</f>
        <v>0.16275000000000001</v>
      </c>
      <c r="AA60" s="56"/>
      <c r="AB60" s="57"/>
      <c r="AC60" s="109" t="s">
        <v>136</v>
      </c>
      <c r="AG60" s="64"/>
      <c r="AJ60" s="68" t="s">
        <v>118</v>
      </c>
      <c r="AK60" s="68">
        <v>491.4</v>
      </c>
      <c r="BB60" s="110" t="s">
        <v>1</v>
      </c>
      <c r="BM60" s="64">
        <f>IFERROR(X60*I60/H60,"0")</f>
        <v>72</v>
      </c>
      <c r="BN60" s="64">
        <f>IFERROR(Y60*I60/H60,"0")</f>
        <v>72</v>
      </c>
      <c r="BO60" s="64">
        <f>IFERROR(1/J60*(X60/H60),"0")</f>
        <v>0.13736263736263737</v>
      </c>
      <c r="BP60" s="64">
        <f>IFERROR(1/J60*(Y60/H60),"0")</f>
        <v>0.13736263736263737</v>
      </c>
    </row>
    <row r="61" spans="1:68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80</v>
      </c>
      <c r="Q61" s="686"/>
      <c r="R61" s="686"/>
      <c r="S61" s="686"/>
      <c r="T61" s="686"/>
      <c r="U61" s="686"/>
      <c r="V61" s="687"/>
      <c r="W61" s="37" t="s">
        <v>81</v>
      </c>
      <c r="X61" s="667">
        <f>IFERROR(X57/H57,"0")+IFERROR(X58/H58,"0")+IFERROR(X59/H59,"0")+IFERROR(X60/H60,"0")</f>
        <v>52.777777777777771</v>
      </c>
      <c r="Y61" s="667">
        <f>IFERROR(Y57/H57,"0")+IFERROR(Y58/H58,"0")+IFERROR(Y59/H59,"0")+IFERROR(Y60/H60,"0")</f>
        <v>53</v>
      </c>
      <c r="Z61" s="667">
        <f>IFERROR(IF(Z57="",0,Z57),"0")+IFERROR(IF(Z58="",0,Z58),"0")+IFERROR(IF(Z59="",0,Z59),"0")+IFERROR(IF(Z60="",0,Z60),"0")</f>
        <v>0.69419000000000008</v>
      </c>
      <c r="AA61" s="668"/>
      <c r="AB61" s="668"/>
      <c r="AC61" s="668"/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80</v>
      </c>
      <c r="Q62" s="686"/>
      <c r="R62" s="686"/>
      <c r="S62" s="686"/>
      <c r="T62" s="686"/>
      <c r="U62" s="686"/>
      <c r="V62" s="687"/>
      <c r="W62" s="37" t="s">
        <v>69</v>
      </c>
      <c r="X62" s="667">
        <f>IFERROR(SUM(X57:X60),"0")</f>
        <v>367.5</v>
      </c>
      <c r="Y62" s="667">
        <f>IFERROR(SUM(Y57:Y60),"0")</f>
        <v>369.90000000000003</v>
      </c>
      <c r="Z62" s="37"/>
      <c r="AA62" s="668"/>
      <c r="AB62" s="668"/>
      <c r="AC62" s="668"/>
    </row>
    <row r="63" spans="1:68" ht="14.25" hidden="1" customHeight="1" x14ac:dyDescent="0.25">
      <c r="A63" s="682" t="s">
        <v>144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hidden="1" customHeight="1" x14ac:dyDescent="0.25">
      <c r="A64" s="54" t="s">
        <v>145</v>
      </c>
      <c r="B64" s="54" t="s">
        <v>146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147</v>
      </c>
      <c r="L64" s="32"/>
      <c r="M64" s="33" t="s">
        <v>68</v>
      </c>
      <c r="N64" s="33"/>
      <c r="O64" s="32">
        <v>40</v>
      </c>
      <c r="P64" s="9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148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hidden="1" customHeight="1" x14ac:dyDescent="0.25">
      <c r="A65" s="54" t="s">
        <v>149</v>
      </c>
      <c r="B65" s="54" t="s">
        <v>150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68</v>
      </c>
      <c r="N65" s="33"/>
      <c r="O65" s="32">
        <v>40</v>
      </c>
      <c r="P65" s="10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68</v>
      </c>
      <c r="N66" s="33"/>
      <c r="O66" s="32">
        <v>40</v>
      </c>
      <c r="P66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idden="1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80</v>
      </c>
      <c r="Q67" s="686"/>
      <c r="R67" s="686"/>
      <c r="S67" s="686"/>
      <c r="T67" s="686"/>
      <c r="U67" s="686"/>
      <c r="V67" s="687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hidden="1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80</v>
      </c>
      <c r="Q68" s="686"/>
      <c r="R68" s="686"/>
      <c r="S68" s="686"/>
      <c r="T68" s="686"/>
      <c r="U68" s="686"/>
      <c r="V68" s="687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hidden="1" customHeight="1" x14ac:dyDescent="0.25">
      <c r="A69" s="682" t="s">
        <v>64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hidden="1" customHeight="1" x14ac:dyDescent="0.25">
      <c r="A70" s="54" t="s">
        <v>155</v>
      </c>
      <c r="B70" s="54" t="s">
        <v>156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1029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157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10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hidden="1" customHeight="1" x14ac:dyDescent="0.25">
      <c r="A72" s="54" t="s">
        <v>161</v>
      </c>
      <c r="B72" s="54" t="s">
        <v>162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101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5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t="16.5" hidden="1" customHeight="1" x14ac:dyDescent="0.25">
      <c r="A73" s="54" t="s">
        <v>164</v>
      </c>
      <c r="B73" s="54" t="s">
        <v>165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157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hidden="1" customHeight="1" x14ac:dyDescent="0.25">
      <c r="A74" s="54" t="s">
        <v>166</v>
      </c>
      <c r="B74" s="54" t="s">
        <v>167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hidden="1" customHeight="1" x14ac:dyDescent="0.25">
      <c r="A75" s="54" t="s">
        <v>168</v>
      </c>
      <c r="B75" s="54" t="s">
        <v>169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10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hidden="1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80</v>
      </c>
      <c r="Q76" s="686"/>
      <c r="R76" s="686"/>
      <c r="S76" s="686"/>
      <c r="T76" s="686"/>
      <c r="U76" s="686"/>
      <c r="V76" s="687"/>
      <c r="W76" s="37" t="s">
        <v>81</v>
      </c>
      <c r="X76" s="667">
        <f>IFERROR(X70/H70,"0")+IFERROR(X71/H71,"0")+IFERROR(X72/H72,"0")+IFERROR(X73/H73,"0")+IFERROR(X74/H74,"0")+IFERROR(X75/H75,"0")</f>
        <v>0</v>
      </c>
      <c r="Y76" s="667">
        <f>IFERROR(Y70/H70,"0")+IFERROR(Y71/H71,"0")+IFERROR(Y72/H72,"0")+IFERROR(Y73/H73,"0")+IFERROR(Y74/H74,"0")+IFERROR(Y75/H75,"0")</f>
        <v>0</v>
      </c>
      <c r="Z76" s="667">
        <f>IFERROR(IF(Z70="",0,Z70),"0")+IFERROR(IF(Z71="",0,Z71),"0")+IFERROR(IF(Z72="",0,Z72),"0")+IFERROR(IF(Z73="",0,Z73),"0")+IFERROR(IF(Z74="",0,Z74),"0")+IFERROR(IF(Z75="",0,Z75),"0")</f>
        <v>0</v>
      </c>
      <c r="AA76" s="668"/>
      <c r="AB76" s="668"/>
      <c r="AC76" s="668"/>
    </row>
    <row r="77" spans="1:68" hidden="1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80</v>
      </c>
      <c r="Q77" s="686"/>
      <c r="R77" s="686"/>
      <c r="S77" s="686"/>
      <c r="T77" s="686"/>
      <c r="U77" s="686"/>
      <c r="V77" s="687"/>
      <c r="W77" s="37" t="s">
        <v>69</v>
      </c>
      <c r="X77" s="667">
        <f>IFERROR(SUM(X70:X75),"0")</f>
        <v>0</v>
      </c>
      <c r="Y77" s="667">
        <f>IFERROR(SUM(Y70:Y75),"0")</f>
        <v>0</v>
      </c>
      <c r="Z77" s="37"/>
      <c r="AA77" s="668"/>
      <c r="AB77" s="668"/>
      <c r="AC77" s="668"/>
    </row>
    <row r="78" spans="1:68" ht="14.25" hidden="1" customHeight="1" x14ac:dyDescent="0.25">
      <c r="A78" s="682" t="s">
        <v>170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hidden="1" customHeight="1" x14ac:dyDescent="0.25">
      <c r="A79" s="54" t="s">
        <v>171</v>
      </c>
      <c r="B79" s="54" t="s">
        <v>172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173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hidden="1" customHeight="1" x14ac:dyDescent="0.25">
      <c r="A80" s="54" t="s">
        <v>171</v>
      </c>
      <c r="B80" s="54" t="s">
        <v>174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175</v>
      </c>
      <c r="B81" s="54" t="s">
        <v>176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7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177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80</v>
      </c>
      <c r="Q82" s="686"/>
      <c r="R82" s="686"/>
      <c r="S82" s="686"/>
      <c r="T82" s="686"/>
      <c r="U82" s="686"/>
      <c r="V82" s="687"/>
      <c r="W82" s="37" t="s">
        <v>81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hidden="1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80</v>
      </c>
      <c r="Q83" s="686"/>
      <c r="R83" s="686"/>
      <c r="S83" s="686"/>
      <c r="T83" s="686"/>
      <c r="U83" s="686"/>
      <c r="V83" s="687"/>
      <c r="W83" s="37" t="s">
        <v>69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hidden="1" customHeight="1" x14ac:dyDescent="0.25">
      <c r="A84" s="723" t="s">
        <v>178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hidden="1" customHeight="1" x14ac:dyDescent="0.25">
      <c r="A85" s="682" t="s">
        <v>90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customHeight="1" x14ac:dyDescent="0.25">
      <c r="A86" s="54" t="s">
        <v>179</v>
      </c>
      <c r="B86" s="54" t="s">
        <v>180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129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69</v>
      </c>
      <c r="X86" s="665">
        <v>150</v>
      </c>
      <c r="Y86" s="666">
        <f>IFERROR(IF(X86="",0,CEILING((X86/$H86),1)*$H86),"")</f>
        <v>151.20000000000002</v>
      </c>
      <c r="Z86" s="36">
        <f>IFERROR(IF(Y86=0,"",ROUNDUP(Y86/H86,0)*0.01898),"")</f>
        <v>0.26572000000000001</v>
      </c>
      <c r="AA86" s="56"/>
      <c r="AB86" s="57"/>
      <c r="AC86" s="135" t="s">
        <v>181</v>
      </c>
      <c r="AG86" s="64"/>
      <c r="AJ86" s="68"/>
      <c r="AK86" s="68">
        <v>0</v>
      </c>
      <c r="BB86" s="136" t="s">
        <v>1</v>
      </c>
      <c r="BM86" s="64">
        <f>IFERROR(X86*I86/H86,"0")</f>
        <v>156.04166666666666</v>
      </c>
      <c r="BN86" s="64">
        <f>IFERROR(Y86*I86/H86,"0")</f>
        <v>157.29000000000002</v>
      </c>
      <c r="BO86" s="64">
        <f>IFERROR(1/J86*(X86/H86),"0")</f>
        <v>0.21701388888888887</v>
      </c>
      <c r="BP86" s="64">
        <f>IFERROR(1/J86*(Y86/H86),"0")</f>
        <v>0.21875</v>
      </c>
    </row>
    <row r="87" spans="1:68" ht="16.5" hidden="1" customHeight="1" x14ac:dyDescent="0.25">
      <c r="A87" s="54" t="s">
        <v>182</v>
      </c>
      <c r="B87" s="54" t="s">
        <v>183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85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184</v>
      </c>
      <c r="B88" s="54" t="s">
        <v>185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129</v>
      </c>
      <c r="N88" s="33"/>
      <c r="O88" s="32">
        <v>50</v>
      </c>
      <c r="P88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60</v>
      </c>
      <c r="Y88" s="666">
        <f>IFERROR(IF(X88="",0,CEILING((X88/$H88),1)*$H88),"")</f>
        <v>63</v>
      </c>
      <c r="Z88" s="36">
        <f>IFERROR(IF(Y88=0,"",ROUNDUP(Y88/H88,0)*0.00902),"")</f>
        <v>0.12628</v>
      </c>
      <c r="AA88" s="56"/>
      <c r="AB88" s="57"/>
      <c r="AC88" s="139" t="s">
        <v>186</v>
      </c>
      <c r="AG88" s="64"/>
      <c r="AJ88" s="68" t="s">
        <v>101</v>
      </c>
      <c r="AK88" s="68">
        <v>54</v>
      </c>
      <c r="BB88" s="140" t="s">
        <v>1</v>
      </c>
      <c r="BM88" s="64">
        <f>IFERROR(X88*I88/H88,"0")</f>
        <v>62.800000000000004</v>
      </c>
      <c r="BN88" s="64">
        <f>IFERROR(Y88*I88/H88,"0")</f>
        <v>65.94</v>
      </c>
      <c r="BO88" s="64">
        <f>IFERROR(1/J88*(X88/H88),"0")</f>
        <v>0.10101010101010102</v>
      </c>
      <c r="BP88" s="64">
        <f>IFERROR(1/J88*(Y88/H88),"0")</f>
        <v>0.10606060606060606</v>
      </c>
    </row>
    <row r="89" spans="1:68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80</v>
      </c>
      <c r="Q89" s="686"/>
      <c r="R89" s="686"/>
      <c r="S89" s="686"/>
      <c r="T89" s="686"/>
      <c r="U89" s="686"/>
      <c r="V89" s="687"/>
      <c r="W89" s="37" t="s">
        <v>81</v>
      </c>
      <c r="X89" s="667">
        <f>IFERROR(X86/H86,"0")+IFERROR(X87/H87,"0")+IFERROR(X88/H88,"0")</f>
        <v>27.222222222222221</v>
      </c>
      <c r="Y89" s="667">
        <f>IFERROR(Y86/H86,"0")+IFERROR(Y87/H87,"0")+IFERROR(Y88/H88,"0")</f>
        <v>28</v>
      </c>
      <c r="Z89" s="667">
        <f>IFERROR(IF(Z86="",0,Z86),"0")+IFERROR(IF(Z87="",0,Z87),"0")+IFERROR(IF(Z88="",0,Z88),"0")</f>
        <v>0.39200000000000002</v>
      </c>
      <c r="AA89" s="668"/>
      <c r="AB89" s="668"/>
      <c r="AC89" s="668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80</v>
      </c>
      <c r="Q90" s="686"/>
      <c r="R90" s="686"/>
      <c r="S90" s="686"/>
      <c r="T90" s="686"/>
      <c r="U90" s="686"/>
      <c r="V90" s="687"/>
      <c r="W90" s="37" t="s">
        <v>69</v>
      </c>
      <c r="X90" s="667">
        <f>IFERROR(SUM(X86:X88),"0")</f>
        <v>210</v>
      </c>
      <c r="Y90" s="667">
        <f>IFERROR(SUM(Y86:Y88),"0")</f>
        <v>214.20000000000002</v>
      </c>
      <c r="Z90" s="37"/>
      <c r="AA90" s="668"/>
      <c r="AB90" s="668"/>
      <c r="AC90" s="668"/>
    </row>
    <row r="91" spans="1:68" ht="14.25" hidden="1" customHeight="1" x14ac:dyDescent="0.25">
      <c r="A91" s="682" t="s">
        <v>64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27" hidden="1" customHeight="1" x14ac:dyDescent="0.25">
      <c r="A92" s="54" t="s">
        <v>187</v>
      </c>
      <c r="B92" s="54" t="s">
        <v>188</v>
      </c>
      <c r="C92" s="31">
        <v>4301051437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73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2"/>
      <c r="R92" s="672"/>
      <c r="S92" s="672"/>
      <c r="T92" s="673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189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customHeight="1" x14ac:dyDescent="0.25">
      <c r="A93" s="54" t="s">
        <v>187</v>
      </c>
      <c r="B93" s="54" t="s">
        <v>190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9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150</v>
      </c>
      <c r="Y93" s="666">
        <f t="shared" si="10"/>
        <v>151.20000000000002</v>
      </c>
      <c r="Z93" s="36">
        <f>IFERROR(IF(Y93=0,"",ROUNDUP(Y93/H93,0)*0.01898),"")</f>
        <v>0.34164</v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si="11"/>
        <v>159.26785714285714</v>
      </c>
      <c r="BN93" s="64">
        <f t="shared" si="12"/>
        <v>160.542</v>
      </c>
      <c r="BO93" s="64">
        <f t="shared" si="13"/>
        <v>0.27901785714285715</v>
      </c>
      <c r="BP93" s="64">
        <f t="shared" si="14"/>
        <v>0.28125</v>
      </c>
    </row>
    <row r="94" spans="1:68" ht="16.5" hidden="1" customHeight="1" x14ac:dyDescent="0.25">
      <c r="A94" s="54" t="s">
        <v>187</v>
      </c>
      <c r="B94" s="54" t="s">
        <v>191</v>
      </c>
      <c r="C94" s="31">
        <v>4301051712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129</v>
      </c>
      <c r="N94" s="33"/>
      <c r="O94" s="32">
        <v>45</v>
      </c>
      <c r="P94" s="742" t="s">
        <v>192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193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hidden="1" customHeight="1" x14ac:dyDescent="0.25">
      <c r="A95" s="54" t="s">
        <v>194</v>
      </c>
      <c r="B95" s="54" t="s">
        <v>195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753" t="s">
        <v>196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hidden="1" customHeight="1" x14ac:dyDescent="0.25">
      <c r="A96" s="54" t="s">
        <v>198</v>
      </c>
      <c r="B96" s="54" t="s">
        <v>199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129</v>
      </c>
      <c r="N96" s="33"/>
      <c r="O96" s="32">
        <v>45</v>
      </c>
      <c r="P96" s="902" t="s">
        <v>200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193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customHeight="1" x14ac:dyDescent="0.25">
      <c r="A97" s="54" t="s">
        <v>198</v>
      </c>
      <c r="B97" s="54" t="s">
        <v>201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714" t="s">
        <v>202</v>
      </c>
      <c r="Q97" s="672"/>
      <c r="R97" s="672"/>
      <c r="S97" s="672"/>
      <c r="T97" s="673"/>
      <c r="U97" s="34"/>
      <c r="V97" s="34"/>
      <c r="W97" s="35" t="s">
        <v>69</v>
      </c>
      <c r="X97" s="665">
        <v>9</v>
      </c>
      <c r="Y97" s="666">
        <f t="shared" si="10"/>
        <v>10.8</v>
      </c>
      <c r="Z97" s="36">
        <f>IFERROR(IF(Y97=0,"",ROUNDUP(Y97/H97,0)*0.00651),"")</f>
        <v>2.6040000000000001E-2</v>
      </c>
      <c r="AA97" s="56"/>
      <c r="AB97" s="57"/>
      <c r="AC97" s="151" t="s">
        <v>189</v>
      </c>
      <c r="AG97" s="64"/>
      <c r="AJ97" s="68"/>
      <c r="AK97" s="68">
        <v>0</v>
      </c>
      <c r="BB97" s="152" t="s">
        <v>1</v>
      </c>
      <c r="BM97" s="64">
        <f t="shared" si="11"/>
        <v>9.8399999999999981</v>
      </c>
      <c r="BN97" s="64">
        <f t="shared" si="12"/>
        <v>11.808</v>
      </c>
      <c r="BO97" s="64">
        <f t="shared" si="13"/>
        <v>1.8315018315018316E-2</v>
      </c>
      <c r="BP97" s="64">
        <f t="shared" si="14"/>
        <v>2.197802197802198E-2</v>
      </c>
    </row>
    <row r="98" spans="1:68" ht="16.5" hidden="1" customHeight="1" x14ac:dyDescent="0.25">
      <c r="A98" s="54" t="s">
        <v>203</v>
      </c>
      <c r="B98" s="54" t="s">
        <v>204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94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205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hidden="1" customHeight="1" x14ac:dyDescent="0.25">
      <c r="A99" s="54" t="s">
        <v>206</v>
      </c>
      <c r="B99" s="54" t="s">
        <v>207</v>
      </c>
      <c r="C99" s="31">
        <v>4301051439</v>
      </c>
      <c r="D99" s="669">
        <v>4680115880214</v>
      </c>
      <c r="E99" s="670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71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hidden="1" customHeight="1" x14ac:dyDescent="0.25">
      <c r="A100" s="54" t="s">
        <v>206</v>
      </c>
      <c r="B100" s="54" t="s">
        <v>208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74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80</v>
      </c>
      <c r="Q101" s="686"/>
      <c r="R101" s="686"/>
      <c r="S101" s="686"/>
      <c r="T101" s="686"/>
      <c r="U101" s="686"/>
      <c r="V101" s="687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21.19047619047619</v>
      </c>
      <c r="Y101" s="667">
        <f>IFERROR(Y92/H92,"0")+IFERROR(Y93/H93,"0")+IFERROR(Y94/H94,"0")+IFERROR(Y95/H95,"0")+IFERROR(Y96/H96,"0")+IFERROR(Y97/H97,"0")+IFERROR(Y98/H98,"0")+IFERROR(Y99/H99,"0")+IFERROR(Y100/H100,"0")</f>
        <v>22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0.36768000000000001</v>
      </c>
      <c r="AA101" s="668"/>
      <c r="AB101" s="668"/>
      <c r="AC101" s="668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80</v>
      </c>
      <c r="Q102" s="686"/>
      <c r="R102" s="686"/>
      <c r="S102" s="686"/>
      <c r="T102" s="686"/>
      <c r="U102" s="686"/>
      <c r="V102" s="687"/>
      <c r="W102" s="37" t="s">
        <v>69</v>
      </c>
      <c r="X102" s="667">
        <f>IFERROR(SUM(X92:X100),"0")</f>
        <v>159</v>
      </c>
      <c r="Y102" s="667">
        <f>IFERROR(SUM(Y92:Y100),"0")</f>
        <v>162.00000000000003</v>
      </c>
      <c r="Z102" s="37"/>
      <c r="AA102" s="668"/>
      <c r="AB102" s="668"/>
      <c r="AC102" s="668"/>
    </row>
    <row r="103" spans="1:68" ht="16.5" hidden="1" customHeight="1" x14ac:dyDescent="0.25">
      <c r="A103" s="723" t="s">
        <v>209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hidden="1" customHeight="1" x14ac:dyDescent="0.25">
      <c r="A104" s="682" t="s">
        <v>90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customHeight="1" x14ac:dyDescent="0.25">
      <c r="A105" s="54" t="s">
        <v>210</v>
      </c>
      <c r="B105" s="54" t="s">
        <v>211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10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69</v>
      </c>
      <c r="X105" s="665">
        <v>50</v>
      </c>
      <c r="Y105" s="666">
        <f>IFERROR(IF(X105="",0,CEILING((X105/$H105),1)*$H105),"")</f>
        <v>54</v>
      </c>
      <c r="Z105" s="36">
        <f>IFERROR(IF(Y105=0,"",ROUNDUP(Y105/H105,0)*0.01898),"")</f>
        <v>9.4899999999999998E-2</v>
      </c>
      <c r="AA105" s="56"/>
      <c r="AB105" s="57"/>
      <c r="AC105" s="159" t="s">
        <v>212</v>
      </c>
      <c r="AG105" s="64"/>
      <c r="AJ105" s="68"/>
      <c r="AK105" s="68">
        <v>0</v>
      </c>
      <c r="BB105" s="160" t="s">
        <v>1</v>
      </c>
      <c r="BM105" s="64">
        <f>IFERROR(X105*I105/H105,"0")</f>
        <v>52.013888888888886</v>
      </c>
      <c r="BN105" s="64">
        <f>IFERROR(Y105*I105/H105,"0")</f>
        <v>56.17499999999999</v>
      </c>
      <c r="BO105" s="64">
        <f>IFERROR(1/J105*(X105/H105),"0")</f>
        <v>7.2337962962962965E-2</v>
      </c>
      <c r="BP105" s="64">
        <f>IFERROR(1/J105*(Y105/H105),"0")</f>
        <v>7.8125E-2</v>
      </c>
    </row>
    <row r="106" spans="1:68" ht="16.5" hidden="1" customHeight="1" x14ac:dyDescent="0.25">
      <c r="A106" s="54" t="s">
        <v>213</v>
      </c>
      <c r="B106" s="54" t="s">
        <v>214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 t="s">
        <v>99</v>
      </c>
      <c r="M106" s="33" t="s">
        <v>100</v>
      </c>
      <c r="N106" s="33"/>
      <c r="O106" s="32">
        <v>50</v>
      </c>
      <c r="P106" s="95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212</v>
      </c>
      <c r="AG106" s="64"/>
      <c r="AJ106" s="68" t="s">
        <v>101</v>
      </c>
      <c r="AK106" s="68">
        <v>45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215</v>
      </c>
      <c r="B107" s="54" t="s">
        <v>216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101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217</v>
      </c>
      <c r="B108" s="54" t="s">
        <v>218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92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80</v>
      </c>
      <c r="Q109" s="686"/>
      <c r="R109" s="686"/>
      <c r="S109" s="686"/>
      <c r="T109" s="686"/>
      <c r="U109" s="686"/>
      <c r="V109" s="687"/>
      <c r="W109" s="37" t="s">
        <v>81</v>
      </c>
      <c r="X109" s="667">
        <f>IFERROR(X105/H105,"0")+IFERROR(X106/H106,"0")+IFERROR(X107/H107,"0")+IFERROR(X108/H108,"0")</f>
        <v>4.6296296296296298</v>
      </c>
      <c r="Y109" s="667">
        <f>IFERROR(Y105/H105,"0")+IFERROR(Y106/H106,"0")+IFERROR(Y107/H107,"0")+IFERROR(Y108/H108,"0")</f>
        <v>5</v>
      </c>
      <c r="Z109" s="667">
        <f>IFERROR(IF(Z105="",0,Z105),"0")+IFERROR(IF(Z106="",0,Z106),"0")+IFERROR(IF(Z107="",0,Z107),"0")+IFERROR(IF(Z108="",0,Z108),"0")</f>
        <v>9.4899999999999998E-2</v>
      </c>
      <c r="AA109" s="668"/>
      <c r="AB109" s="668"/>
      <c r="AC109" s="668"/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80</v>
      </c>
      <c r="Q110" s="686"/>
      <c r="R110" s="686"/>
      <c r="S110" s="686"/>
      <c r="T110" s="686"/>
      <c r="U110" s="686"/>
      <c r="V110" s="687"/>
      <c r="W110" s="37" t="s">
        <v>69</v>
      </c>
      <c r="X110" s="667">
        <f>IFERROR(SUM(X105:X108),"0")</f>
        <v>50</v>
      </c>
      <c r="Y110" s="667">
        <f>IFERROR(SUM(Y105:Y108),"0")</f>
        <v>54</v>
      </c>
      <c r="Z110" s="37"/>
      <c r="AA110" s="668"/>
      <c r="AB110" s="668"/>
      <c r="AC110" s="668"/>
    </row>
    <row r="111" spans="1:68" ht="14.25" hidden="1" customHeight="1" x14ac:dyDescent="0.25">
      <c r="A111" s="682" t="s">
        <v>133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hidden="1" customHeight="1" x14ac:dyDescent="0.25">
      <c r="A112" s="54" t="s">
        <v>219</v>
      </c>
      <c r="B112" s="54" t="s">
        <v>220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9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221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hidden="1" customHeight="1" x14ac:dyDescent="0.25">
      <c r="A113" s="54" t="s">
        <v>222</v>
      </c>
      <c r="B113" s="54" t="s">
        <v>223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147</v>
      </c>
      <c r="L113" s="32"/>
      <c r="M113" s="33" t="s">
        <v>94</v>
      </c>
      <c r="N113" s="33"/>
      <c r="O113" s="32">
        <v>55</v>
      </c>
      <c r="P113" s="78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224</v>
      </c>
      <c r="B114" s="54" t="s">
        <v>225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9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idden="1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80</v>
      </c>
      <c r="Q115" s="686"/>
      <c r="R115" s="686"/>
      <c r="S115" s="686"/>
      <c r="T115" s="686"/>
      <c r="U115" s="686"/>
      <c r="V115" s="687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hidden="1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80</v>
      </c>
      <c r="Q116" s="686"/>
      <c r="R116" s="686"/>
      <c r="S116" s="686"/>
      <c r="T116" s="686"/>
      <c r="U116" s="686"/>
      <c r="V116" s="687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hidden="1" customHeight="1" x14ac:dyDescent="0.25">
      <c r="A117" s="682" t="s">
        <v>64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37.5" hidden="1" customHeight="1" x14ac:dyDescent="0.25">
      <c r="A118" s="54" t="s">
        <v>226</v>
      </c>
      <c r="B118" s="54" t="s">
        <v>227</v>
      </c>
      <c r="C118" s="31">
        <v>4301051360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8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2"/>
      <c r="R118" s="672"/>
      <c r="S118" s="672"/>
      <c r="T118" s="673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228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hidden="1" customHeight="1" x14ac:dyDescent="0.25">
      <c r="A119" s="54" t="s">
        <v>226</v>
      </c>
      <c r="B119" s="54" t="s">
        <v>229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129</v>
      </c>
      <c r="N119" s="33"/>
      <c r="O119" s="32">
        <v>45</v>
      </c>
      <c r="P119" s="826" t="s">
        <v>230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customHeight="1" x14ac:dyDescent="0.25">
      <c r="A120" s="54" t="s">
        <v>226</v>
      </c>
      <c r="B120" s="54" t="s">
        <v>232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76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250</v>
      </c>
      <c r="Y120" s="666">
        <f t="shared" si="15"/>
        <v>252</v>
      </c>
      <c r="Z120" s="36">
        <f>IFERROR(IF(Y120=0,"",ROUNDUP(Y120/H120,0)*0.01898),"")</f>
        <v>0.56940000000000002</v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16"/>
        <v>265.26785714285711</v>
      </c>
      <c r="BN120" s="64">
        <f t="shared" si="17"/>
        <v>267.39</v>
      </c>
      <c r="BO120" s="64">
        <f t="shared" si="18"/>
        <v>0.46502976190476186</v>
      </c>
      <c r="BP120" s="64">
        <f t="shared" si="19"/>
        <v>0.46875</v>
      </c>
    </row>
    <row r="121" spans="1:68" ht="37.5" hidden="1" customHeight="1" x14ac:dyDescent="0.25">
      <c r="A121" s="54" t="s">
        <v>234</v>
      </c>
      <c r="B121" s="54" t="s">
        <v>235</v>
      </c>
      <c r="C121" s="31">
        <v>4301051362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98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228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27" hidden="1" customHeight="1" x14ac:dyDescent="0.25">
      <c r="A122" s="54" t="s">
        <v>234</v>
      </c>
      <c r="B122" s="54" t="s">
        <v>236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129</v>
      </c>
      <c r="N122" s="33"/>
      <c r="O122" s="32">
        <v>45</v>
      </c>
      <c r="P122" s="798" t="s">
        <v>237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customHeight="1" x14ac:dyDescent="0.25">
      <c r="A123" s="54" t="s">
        <v>238</v>
      </c>
      <c r="B123" s="54" t="s">
        <v>239</v>
      </c>
      <c r="C123" s="31">
        <v>4301051358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116</v>
      </c>
      <c r="M123" s="33" t="s">
        <v>100</v>
      </c>
      <c r="N123" s="33"/>
      <c r="O123" s="32">
        <v>45</v>
      </c>
      <c r="P123" s="97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9</v>
      </c>
      <c r="Y123" s="666">
        <f t="shared" si="15"/>
        <v>10.8</v>
      </c>
      <c r="Z123" s="36">
        <f t="shared" si="20"/>
        <v>2.6040000000000001E-2</v>
      </c>
      <c r="AA123" s="56"/>
      <c r="AB123" s="57"/>
      <c r="AC123" s="183" t="s">
        <v>228</v>
      </c>
      <c r="AG123" s="64"/>
      <c r="AJ123" s="68" t="s">
        <v>118</v>
      </c>
      <c r="AK123" s="68">
        <v>491.4</v>
      </c>
      <c r="BB123" s="184" t="s">
        <v>1</v>
      </c>
      <c r="BM123" s="64">
        <f t="shared" si="16"/>
        <v>9.8399999999999981</v>
      </c>
      <c r="BN123" s="64">
        <f t="shared" si="17"/>
        <v>11.808</v>
      </c>
      <c r="BO123" s="64">
        <f t="shared" si="18"/>
        <v>1.8315018315018316E-2</v>
      </c>
      <c r="BP123" s="64">
        <f t="shared" si="19"/>
        <v>2.197802197802198E-2</v>
      </c>
    </row>
    <row r="124" spans="1:68" ht="27" hidden="1" customHeight="1" x14ac:dyDescent="0.25">
      <c r="A124" s="54" t="s">
        <v>238</v>
      </c>
      <c r="B124" s="54" t="s">
        <v>240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129</v>
      </c>
      <c r="N124" s="33"/>
      <c r="O124" s="32">
        <v>45</v>
      </c>
      <c r="P124" s="1043" t="s">
        <v>241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231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242</v>
      </c>
      <c r="B125" s="54" t="s">
        <v>243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244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hidden="1" customHeight="1" x14ac:dyDescent="0.25">
      <c r="A126" s="54" t="s">
        <v>245</v>
      </c>
      <c r="B126" s="54" t="s">
        <v>246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1049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80</v>
      </c>
      <c r="Q127" s="686"/>
      <c r="R127" s="686"/>
      <c r="S127" s="686"/>
      <c r="T127" s="686"/>
      <c r="U127" s="686"/>
      <c r="V127" s="687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33.095238095238095</v>
      </c>
      <c r="Y127" s="667">
        <f>IFERROR(Y118/H118,"0")+IFERROR(Y119/H119,"0")+IFERROR(Y120/H120,"0")+IFERROR(Y121/H121,"0")+IFERROR(Y122/H122,"0")+IFERROR(Y123/H123,"0")+IFERROR(Y124/H124,"0")+IFERROR(Y125/H125,"0")+IFERROR(Y126/H126,"0")</f>
        <v>34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0.59543999999999997</v>
      </c>
      <c r="AA127" s="668"/>
      <c r="AB127" s="668"/>
      <c r="AC127" s="668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80</v>
      </c>
      <c r="Q128" s="686"/>
      <c r="R128" s="686"/>
      <c r="S128" s="686"/>
      <c r="T128" s="686"/>
      <c r="U128" s="686"/>
      <c r="V128" s="687"/>
      <c r="W128" s="37" t="s">
        <v>69</v>
      </c>
      <c r="X128" s="667">
        <f>IFERROR(SUM(X118:X126),"0")</f>
        <v>259</v>
      </c>
      <c r="Y128" s="667">
        <f>IFERROR(SUM(Y118:Y126),"0")</f>
        <v>262.8</v>
      </c>
      <c r="Z128" s="37"/>
      <c r="AA128" s="668"/>
      <c r="AB128" s="668"/>
      <c r="AC128" s="668"/>
    </row>
    <row r="129" spans="1:68" ht="14.25" hidden="1" customHeight="1" x14ac:dyDescent="0.25">
      <c r="A129" s="682" t="s">
        <v>170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hidden="1" customHeight="1" x14ac:dyDescent="0.25">
      <c r="A130" s="54" t="s">
        <v>248</v>
      </c>
      <c r="B130" s="54" t="s">
        <v>249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95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250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251</v>
      </c>
      <c r="B131" s="54" t="s">
        <v>252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7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80</v>
      </c>
      <c r="Q132" s="686"/>
      <c r="R132" s="686"/>
      <c r="S132" s="686"/>
      <c r="T132" s="686"/>
      <c r="U132" s="686"/>
      <c r="V132" s="687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hidden="1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80</v>
      </c>
      <c r="Q133" s="686"/>
      <c r="R133" s="686"/>
      <c r="S133" s="686"/>
      <c r="T133" s="686"/>
      <c r="U133" s="686"/>
      <c r="V133" s="687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hidden="1" customHeight="1" x14ac:dyDescent="0.25">
      <c r="A134" s="723" t="s">
        <v>254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hidden="1" customHeight="1" x14ac:dyDescent="0.25">
      <c r="A135" s="682" t="s">
        <v>90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hidden="1" customHeight="1" x14ac:dyDescent="0.25">
      <c r="A136" s="54" t="s">
        <v>255</v>
      </c>
      <c r="B136" s="54" t="s">
        <v>256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10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257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255</v>
      </c>
      <c r="B137" s="54" t="s">
        <v>258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8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80</v>
      </c>
      <c r="Q138" s="686"/>
      <c r="R138" s="686"/>
      <c r="S138" s="686"/>
      <c r="T138" s="686"/>
      <c r="U138" s="686"/>
      <c r="V138" s="687"/>
      <c r="W138" s="37" t="s">
        <v>81</v>
      </c>
      <c r="X138" s="667">
        <f>IFERROR(X136/H136,"0")+IFERROR(X137/H137,"0")</f>
        <v>0</v>
      </c>
      <c r="Y138" s="667">
        <f>IFERROR(Y136/H136,"0")+IFERROR(Y137/H137,"0")</f>
        <v>0</v>
      </c>
      <c r="Z138" s="667">
        <f>IFERROR(IF(Z136="",0,Z136),"0")+IFERROR(IF(Z137="",0,Z137),"0")</f>
        <v>0</v>
      </c>
      <c r="AA138" s="668"/>
      <c r="AB138" s="668"/>
      <c r="AC138" s="668"/>
    </row>
    <row r="139" spans="1:68" hidden="1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80</v>
      </c>
      <c r="Q139" s="686"/>
      <c r="R139" s="686"/>
      <c r="S139" s="686"/>
      <c r="T139" s="686"/>
      <c r="U139" s="686"/>
      <c r="V139" s="687"/>
      <c r="W139" s="37" t="s">
        <v>69</v>
      </c>
      <c r="X139" s="667">
        <f>IFERROR(SUM(X136:X137),"0")</f>
        <v>0</v>
      </c>
      <c r="Y139" s="667">
        <f>IFERROR(SUM(Y136:Y137),"0")</f>
        <v>0</v>
      </c>
      <c r="Z139" s="37"/>
      <c r="AA139" s="668"/>
      <c r="AB139" s="668"/>
      <c r="AC139" s="668"/>
    </row>
    <row r="140" spans="1:68" ht="14.25" hidden="1" customHeight="1" x14ac:dyDescent="0.25">
      <c r="A140" s="682" t="s">
        <v>144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customHeight="1" x14ac:dyDescent="0.25">
      <c r="A141" s="54" t="s">
        <v>259</v>
      </c>
      <c r="B141" s="54" t="s">
        <v>260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5">
        <v>7</v>
      </c>
      <c r="Y141" s="666">
        <f>IFERROR(IF(X141="",0,CEILING((X141/$H141),1)*$H141),"")</f>
        <v>8.3999999999999986</v>
      </c>
      <c r="Z141" s="36">
        <f>IFERROR(IF(Y141=0,"",ROUNDUP(Y141/H141,0)*0.00651),"")</f>
        <v>1.9529999999999999E-2</v>
      </c>
      <c r="AA141" s="56"/>
      <c r="AB141" s="57"/>
      <c r="AC141" s="199" t="s">
        <v>261</v>
      </c>
      <c r="AG141" s="64"/>
      <c r="AJ141" s="68"/>
      <c r="AK141" s="68">
        <v>0</v>
      </c>
      <c r="BB141" s="200" t="s">
        <v>1</v>
      </c>
      <c r="BM141" s="64">
        <f>IFERROR(X141*I141/H141,"0")</f>
        <v>7.67</v>
      </c>
      <c r="BN141" s="64">
        <f>IFERROR(Y141*I141/H141,"0")</f>
        <v>9.2039999999999988</v>
      </c>
      <c r="BO141" s="64">
        <f>IFERROR(1/J141*(X141/H141),"0")</f>
        <v>1.3736263736263738E-2</v>
      </c>
      <c r="BP141" s="64">
        <f>IFERROR(1/J141*(Y141/H141),"0")</f>
        <v>1.6483516483516484E-2</v>
      </c>
    </row>
    <row r="142" spans="1:68" ht="27" hidden="1" customHeight="1" x14ac:dyDescent="0.25">
      <c r="A142" s="54" t="s">
        <v>259</v>
      </c>
      <c r="B142" s="54" t="s">
        <v>262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80</v>
      </c>
      <c r="Q143" s="686"/>
      <c r="R143" s="686"/>
      <c r="S143" s="686"/>
      <c r="T143" s="686"/>
      <c r="U143" s="686"/>
      <c r="V143" s="687"/>
      <c r="W143" s="37" t="s">
        <v>81</v>
      </c>
      <c r="X143" s="667">
        <f>IFERROR(X141/H141,"0")+IFERROR(X142/H142,"0")</f>
        <v>2.5</v>
      </c>
      <c r="Y143" s="667">
        <f>IFERROR(Y141/H141,"0")+IFERROR(Y142/H142,"0")</f>
        <v>2.9999999999999996</v>
      </c>
      <c r="Z143" s="667">
        <f>IFERROR(IF(Z141="",0,Z141),"0")+IFERROR(IF(Z142="",0,Z142),"0")</f>
        <v>1.9529999999999999E-2</v>
      </c>
      <c r="AA143" s="668"/>
      <c r="AB143" s="668"/>
      <c r="AC143" s="668"/>
    </row>
    <row r="144" spans="1:68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80</v>
      </c>
      <c r="Q144" s="686"/>
      <c r="R144" s="686"/>
      <c r="S144" s="686"/>
      <c r="T144" s="686"/>
      <c r="U144" s="686"/>
      <c r="V144" s="687"/>
      <c r="W144" s="37" t="s">
        <v>69</v>
      </c>
      <c r="X144" s="667">
        <f>IFERROR(SUM(X141:X142),"0")</f>
        <v>7</v>
      </c>
      <c r="Y144" s="667">
        <f>IFERROR(SUM(Y141:Y142),"0")</f>
        <v>8.3999999999999986</v>
      </c>
      <c r="Z144" s="37"/>
      <c r="AA144" s="668"/>
      <c r="AB144" s="668"/>
      <c r="AC144" s="668"/>
    </row>
    <row r="145" spans="1:68" ht="14.25" hidden="1" customHeight="1" x14ac:dyDescent="0.25">
      <c r="A145" s="682" t="s">
        <v>64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hidden="1" customHeight="1" x14ac:dyDescent="0.25">
      <c r="A146" s="54" t="s">
        <v>263</v>
      </c>
      <c r="B146" s="54" t="s">
        <v>264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100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257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263</v>
      </c>
      <c r="B147" s="54" t="s">
        <v>265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72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80</v>
      </c>
      <c r="Q148" s="686"/>
      <c r="R148" s="686"/>
      <c r="S148" s="686"/>
      <c r="T148" s="686"/>
      <c r="U148" s="686"/>
      <c r="V148" s="687"/>
      <c r="W148" s="37" t="s">
        <v>81</v>
      </c>
      <c r="X148" s="667">
        <f>IFERROR(X146/H146,"0")+IFERROR(X147/H147,"0")</f>
        <v>0</v>
      </c>
      <c r="Y148" s="667">
        <f>IFERROR(Y146/H146,"0")+IFERROR(Y147/H147,"0")</f>
        <v>0</v>
      </c>
      <c r="Z148" s="667">
        <f>IFERROR(IF(Z146="",0,Z146),"0")+IFERROR(IF(Z147="",0,Z147),"0")</f>
        <v>0</v>
      </c>
      <c r="AA148" s="668"/>
      <c r="AB148" s="668"/>
      <c r="AC148" s="668"/>
    </row>
    <row r="149" spans="1:68" hidden="1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80</v>
      </c>
      <c r="Q149" s="686"/>
      <c r="R149" s="686"/>
      <c r="S149" s="686"/>
      <c r="T149" s="686"/>
      <c r="U149" s="686"/>
      <c r="V149" s="687"/>
      <c r="W149" s="37" t="s">
        <v>69</v>
      </c>
      <c r="X149" s="667">
        <f>IFERROR(SUM(X146:X147),"0")</f>
        <v>0</v>
      </c>
      <c r="Y149" s="667">
        <f>IFERROR(SUM(Y146:Y147),"0")</f>
        <v>0</v>
      </c>
      <c r="Z149" s="37"/>
      <c r="AA149" s="668"/>
      <c r="AB149" s="668"/>
      <c r="AC149" s="668"/>
    </row>
    <row r="150" spans="1:68" ht="16.5" hidden="1" customHeight="1" x14ac:dyDescent="0.25">
      <c r="A150" s="723" t="s">
        <v>88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hidden="1" customHeight="1" x14ac:dyDescent="0.25">
      <c r="A151" s="682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hidden="1" customHeight="1" x14ac:dyDescent="0.25">
      <c r="A152" s="54" t="s">
        <v>266</v>
      </c>
      <c r="B152" s="54" t="s">
        <v>267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70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268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80</v>
      </c>
      <c r="Q153" s="686"/>
      <c r="R153" s="686"/>
      <c r="S153" s="686"/>
      <c r="T153" s="686"/>
      <c r="U153" s="686"/>
      <c r="V153" s="687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hidden="1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80</v>
      </c>
      <c r="Q154" s="686"/>
      <c r="R154" s="686"/>
      <c r="S154" s="686"/>
      <c r="T154" s="686"/>
      <c r="U154" s="686"/>
      <c r="V154" s="687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hidden="1" customHeight="1" x14ac:dyDescent="0.25">
      <c r="A155" s="682" t="s">
        <v>144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hidden="1" customHeight="1" x14ac:dyDescent="0.25">
      <c r="A156" s="54" t="s">
        <v>269</v>
      </c>
      <c r="B156" s="54" t="s">
        <v>270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9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271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272</v>
      </c>
      <c r="B157" s="54" t="s">
        <v>273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97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70</v>
      </c>
      <c r="Y157" s="666">
        <f>IFERROR(IF(X157="",0,CEILING((X157/$H157),1)*$H157),"")</f>
        <v>71.400000000000006</v>
      </c>
      <c r="Z157" s="36">
        <f>IFERROR(IF(Y157=0,"",ROUNDUP(Y157/H157,0)*0.00902),"")</f>
        <v>0.15334</v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75</v>
      </c>
      <c r="BN157" s="64">
        <f>IFERROR(Y157*I157/H157,"0")</f>
        <v>76.5</v>
      </c>
      <c r="BO157" s="64">
        <f>IFERROR(1/J157*(X157/H157),"0")</f>
        <v>0.12626262626262624</v>
      </c>
      <c r="BP157" s="64">
        <f>IFERROR(1/J157*(Y157/H157),"0")</f>
        <v>0.12878787878787878</v>
      </c>
    </row>
    <row r="158" spans="1:68" ht="16.5" customHeight="1" x14ac:dyDescent="0.25">
      <c r="A158" s="54" t="s">
        <v>275</v>
      </c>
      <c r="B158" s="54" t="s">
        <v>276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75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80</v>
      </c>
      <c r="Y158" s="666">
        <f>IFERROR(IF(X158="",0,CEILING((X158/$H158),1)*$H158),"")</f>
        <v>81</v>
      </c>
      <c r="Z158" s="36">
        <f>IFERROR(IF(Y158=0,"",ROUNDUP(Y158/H158,0)*0.01898),"")</f>
        <v>0.17082</v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85.2</v>
      </c>
      <c r="BN158" s="64">
        <f>IFERROR(Y158*I158/H158,"0")</f>
        <v>86.265000000000015</v>
      </c>
      <c r="BO158" s="64">
        <f>IFERROR(1/J158*(X158/H158),"0")</f>
        <v>0.1388888888888889</v>
      </c>
      <c r="BP158" s="64">
        <f>IFERROR(1/J158*(Y158/H158),"0")</f>
        <v>0.140625</v>
      </c>
    </row>
    <row r="159" spans="1:68" ht="27" hidden="1" customHeight="1" x14ac:dyDescent="0.25">
      <c r="A159" s="54" t="s">
        <v>278</v>
      </c>
      <c r="B159" s="54" t="s">
        <v>279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147</v>
      </c>
      <c r="L159" s="32"/>
      <c r="M159" s="33" t="s">
        <v>68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274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80</v>
      </c>
      <c r="Q160" s="686"/>
      <c r="R160" s="686"/>
      <c r="S160" s="686"/>
      <c r="T160" s="686"/>
      <c r="U160" s="686"/>
      <c r="V160" s="687"/>
      <c r="W160" s="37" t="s">
        <v>81</v>
      </c>
      <c r="X160" s="667">
        <f>IFERROR(X156/H156,"0")+IFERROR(X157/H157,"0")+IFERROR(X158/H158,"0")+IFERROR(X159/H159,"0")</f>
        <v>25.555555555555554</v>
      </c>
      <c r="Y160" s="667">
        <f>IFERROR(Y156/H156,"0")+IFERROR(Y157/H157,"0")+IFERROR(Y158/H158,"0")+IFERROR(Y159/H159,"0")</f>
        <v>26</v>
      </c>
      <c r="Z160" s="667">
        <f>IFERROR(IF(Z156="",0,Z156),"0")+IFERROR(IF(Z157="",0,Z157),"0")+IFERROR(IF(Z158="",0,Z158),"0")+IFERROR(IF(Z159="",0,Z159),"0")</f>
        <v>0.32416</v>
      </c>
      <c r="AA160" s="668"/>
      <c r="AB160" s="668"/>
      <c r="AC160" s="668"/>
    </row>
    <row r="161" spans="1:68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80</v>
      </c>
      <c r="Q161" s="686"/>
      <c r="R161" s="686"/>
      <c r="S161" s="686"/>
      <c r="T161" s="686"/>
      <c r="U161" s="686"/>
      <c r="V161" s="687"/>
      <c r="W161" s="37" t="s">
        <v>69</v>
      </c>
      <c r="X161" s="667">
        <f>IFERROR(SUM(X156:X159),"0")</f>
        <v>150</v>
      </c>
      <c r="Y161" s="667">
        <f>IFERROR(SUM(Y156:Y159),"0")</f>
        <v>152.4</v>
      </c>
      <c r="Z161" s="37"/>
      <c r="AA161" s="668"/>
      <c r="AB161" s="668"/>
      <c r="AC161" s="668"/>
    </row>
    <row r="162" spans="1:68" ht="14.25" hidden="1" customHeight="1" x14ac:dyDescent="0.25">
      <c r="A162" s="682" t="s">
        <v>64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hidden="1" customHeight="1" x14ac:dyDescent="0.25">
      <c r="A163" s="54" t="s">
        <v>280</v>
      </c>
      <c r="B163" s="54" t="s">
        <v>281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282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283</v>
      </c>
      <c r="B164" s="54" t="s">
        <v>284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919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80</v>
      </c>
      <c r="Q165" s="686"/>
      <c r="R165" s="686"/>
      <c r="S165" s="686"/>
      <c r="T165" s="686"/>
      <c r="U165" s="686"/>
      <c r="V165" s="687"/>
      <c r="W165" s="37" t="s">
        <v>81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hidden="1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80</v>
      </c>
      <c r="Q166" s="686"/>
      <c r="R166" s="686"/>
      <c r="S166" s="686"/>
      <c r="T166" s="686"/>
      <c r="U166" s="686"/>
      <c r="V166" s="687"/>
      <c r="W166" s="37" t="s">
        <v>69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802" t="s">
        <v>286</v>
      </c>
      <c r="B167" s="803"/>
      <c r="C167" s="803"/>
      <c r="D167" s="803"/>
      <c r="E167" s="803"/>
      <c r="F167" s="803"/>
      <c r="G167" s="803"/>
      <c r="H167" s="803"/>
      <c r="I167" s="803"/>
      <c r="J167" s="803"/>
      <c r="K167" s="803"/>
      <c r="L167" s="803"/>
      <c r="M167" s="803"/>
      <c r="N167" s="803"/>
      <c r="O167" s="803"/>
      <c r="P167" s="803"/>
      <c r="Q167" s="803"/>
      <c r="R167" s="803"/>
      <c r="S167" s="803"/>
      <c r="T167" s="803"/>
      <c r="U167" s="803"/>
      <c r="V167" s="803"/>
      <c r="W167" s="803"/>
      <c r="X167" s="803"/>
      <c r="Y167" s="803"/>
      <c r="Z167" s="803"/>
      <c r="AA167" s="48"/>
      <c r="AB167" s="48"/>
      <c r="AC167" s="48"/>
    </row>
    <row r="168" spans="1:68" ht="16.5" hidden="1" customHeight="1" x14ac:dyDescent="0.25">
      <c r="A168" s="723" t="s">
        <v>287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hidden="1" customHeight="1" x14ac:dyDescent="0.25">
      <c r="A169" s="682" t="s">
        <v>133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hidden="1" customHeight="1" x14ac:dyDescent="0.25">
      <c r="A170" s="54" t="s">
        <v>288</v>
      </c>
      <c r="B170" s="54" t="s">
        <v>289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68</v>
      </c>
      <c r="N170" s="33"/>
      <c r="O170" s="32">
        <v>40</v>
      </c>
      <c r="P170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80</v>
      </c>
      <c r="Q171" s="686"/>
      <c r="R171" s="686"/>
      <c r="S171" s="686"/>
      <c r="T171" s="686"/>
      <c r="U171" s="686"/>
      <c r="V171" s="687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80</v>
      </c>
      <c r="Q172" s="686"/>
      <c r="R172" s="686"/>
      <c r="S172" s="686"/>
      <c r="T172" s="686"/>
      <c r="U172" s="686"/>
      <c r="V172" s="687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2" t="s">
        <v>144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hidden="1" customHeight="1" x14ac:dyDescent="0.25">
      <c r="A174" s="54" t="s">
        <v>291</v>
      </c>
      <c r="B174" s="54" t="s">
        <v>292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10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1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0</v>
      </c>
      <c r="BN174" s="64">
        <f t="shared" ref="BN174:BN182" si="23">IFERROR(Y174*I174/H174,"0")</f>
        <v>0</v>
      </c>
      <c r="BO174" s="64">
        <f t="shared" ref="BO174:BO182" si="24">IFERROR(1/J174*(X174/H174),"0")</f>
        <v>0</v>
      </c>
      <c r="BP174" s="64">
        <f t="shared" ref="BP174:BP182" si="25">IFERROR(1/J174*(Y174/H174),"0")</f>
        <v>0</v>
      </c>
    </row>
    <row r="175" spans="1:68" ht="27" hidden="1" customHeight="1" x14ac:dyDescent="0.25">
      <c r="A175" s="54" t="s">
        <v>294</v>
      </c>
      <c r="B175" s="54" t="s">
        <v>295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9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1"/>
        <v>0</v>
      </c>
      <c r="Z176" s="36" t="str">
        <f>IFERROR(IF(Y176=0,"",ROUNDUP(Y176/H176,0)*0.00902),"")</f>
        <v/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10.5</v>
      </c>
      <c r="Y177" s="666">
        <f t="shared" si="21"/>
        <v>10.5</v>
      </c>
      <c r="Z177" s="36">
        <f>IFERROR(IF(Y177=0,"",ROUNDUP(Y177/H177,0)*0.00502),"")</f>
        <v>2.5100000000000001E-2</v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2"/>
        <v>11.149999999999999</v>
      </c>
      <c r="BN177" s="64">
        <f t="shared" si="23"/>
        <v>11.149999999999999</v>
      </c>
      <c r="BO177" s="64">
        <f t="shared" si="24"/>
        <v>2.1367521367521368E-2</v>
      </c>
      <c r="BP177" s="64">
        <f t="shared" si="25"/>
        <v>2.1367521367521368E-2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68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68</v>
      </c>
      <c r="N179" s="33"/>
      <c r="O179" s="32">
        <v>40</v>
      </c>
      <c r="P179" s="883" t="s">
        <v>306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hidden="1" customHeight="1" x14ac:dyDescent="0.25">
      <c r="A180" s="54" t="s">
        <v>308</v>
      </c>
      <c r="B180" s="54" t="s">
        <v>309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68</v>
      </c>
      <c r="N180" s="33"/>
      <c r="O180" s="32">
        <v>40</v>
      </c>
      <c r="P180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9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68</v>
      </c>
      <c r="N182" s="33"/>
      <c r="O182" s="32">
        <v>40</v>
      </c>
      <c r="P182" s="8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80</v>
      </c>
      <c r="Q183" s="686"/>
      <c r="R183" s="686"/>
      <c r="S183" s="686"/>
      <c r="T183" s="686"/>
      <c r="U183" s="686"/>
      <c r="V183" s="687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5</v>
      </c>
      <c r="Y183" s="667">
        <f>IFERROR(Y174/H174,"0")+IFERROR(Y175/H175,"0")+IFERROR(Y176/H176,"0")+IFERROR(Y177/H177,"0")+IFERROR(Y178/H178,"0")+IFERROR(Y179/H179,"0")+IFERROR(Y180/H180,"0")+IFERROR(Y181/H181,"0")+IFERROR(Y182/H182,"0")</f>
        <v>5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2.5100000000000001E-2</v>
      </c>
      <c r="AA183" s="668"/>
      <c r="AB183" s="668"/>
      <c r="AC183" s="668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80</v>
      </c>
      <c r="Q184" s="686"/>
      <c r="R184" s="686"/>
      <c r="S184" s="686"/>
      <c r="T184" s="686"/>
      <c r="U184" s="686"/>
      <c r="V184" s="687"/>
      <c r="W184" s="37" t="s">
        <v>69</v>
      </c>
      <c r="X184" s="667">
        <f>IFERROR(SUM(X174:X182),"0")</f>
        <v>10.5</v>
      </c>
      <c r="Y184" s="667">
        <f>IFERROR(SUM(Y174:Y182),"0")</f>
        <v>10.5</v>
      </c>
      <c r="Z184" s="37"/>
      <c r="AA184" s="668"/>
      <c r="AB184" s="668"/>
      <c r="AC184" s="668"/>
    </row>
    <row r="185" spans="1:68" ht="14.25" hidden="1" customHeight="1" x14ac:dyDescent="0.25">
      <c r="A185" s="682" t="s">
        <v>82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hidden="1" customHeight="1" x14ac:dyDescent="0.25">
      <c r="A186" s="54" t="s">
        <v>315</v>
      </c>
      <c r="B186" s="54" t="s">
        <v>316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996" t="s">
        <v>319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80</v>
      </c>
      <c r="Q187" s="686"/>
      <c r="R187" s="686"/>
      <c r="S187" s="686"/>
      <c r="T187" s="686"/>
      <c r="U187" s="686"/>
      <c r="V187" s="687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80</v>
      </c>
      <c r="Q188" s="686"/>
      <c r="R188" s="686"/>
      <c r="S188" s="686"/>
      <c r="T188" s="686"/>
      <c r="U188" s="686"/>
      <c r="V188" s="687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23" t="s">
        <v>322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hidden="1" customHeight="1" x14ac:dyDescent="0.25">
      <c r="A190" s="682" t="s">
        <v>90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hidden="1" customHeight="1" x14ac:dyDescent="0.25">
      <c r="A191" s="54" t="s">
        <v>323</v>
      </c>
      <c r="B191" s="54" t="s">
        <v>324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98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326</v>
      </c>
      <c r="B192" s="54" t="s">
        <v>327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7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80</v>
      </c>
      <c r="Q193" s="686"/>
      <c r="R193" s="686"/>
      <c r="S193" s="686"/>
      <c r="T193" s="686"/>
      <c r="U193" s="686"/>
      <c r="V193" s="687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80</v>
      </c>
      <c r="Q194" s="686"/>
      <c r="R194" s="686"/>
      <c r="S194" s="686"/>
      <c r="T194" s="686"/>
      <c r="U194" s="686"/>
      <c r="V194" s="687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2" t="s">
        <v>133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hidden="1" customHeight="1" x14ac:dyDescent="0.25">
      <c r="A196" s="54" t="s">
        <v>328</v>
      </c>
      <c r="B196" s="54" t="s">
        <v>329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97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331</v>
      </c>
      <c r="B197" s="54" t="s">
        <v>332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80</v>
      </c>
      <c r="Q198" s="686"/>
      <c r="R198" s="686"/>
      <c r="S198" s="686"/>
      <c r="T198" s="686"/>
      <c r="U198" s="686"/>
      <c r="V198" s="687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80</v>
      </c>
      <c r="Q199" s="686"/>
      <c r="R199" s="686"/>
      <c r="S199" s="686"/>
      <c r="T199" s="686"/>
      <c r="U199" s="686"/>
      <c r="V199" s="687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2" t="s">
        <v>144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40</v>
      </c>
      <c r="Y201" s="666">
        <f t="shared" ref="Y201:Y208" si="26">IFERROR(IF(X201="",0,CEILING((X201/$H201),1)*$H201),"")</f>
        <v>43.2</v>
      </c>
      <c r="Z201" s="36">
        <f>IFERROR(IF(Y201=0,"",ROUNDUP(Y201/H201,0)*0.00902),"")</f>
        <v>7.2160000000000002E-2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41.555555555555557</v>
      </c>
      <c r="BN201" s="64">
        <f t="shared" ref="BN201:BN208" si="28">IFERROR(Y201*I201/H201,"0")</f>
        <v>44.88</v>
      </c>
      <c r="BO201" s="64">
        <f t="shared" ref="BO201:BO208" si="29">IFERROR(1/J201*(X201/H201),"0")</f>
        <v>5.6116722783389444E-2</v>
      </c>
      <c r="BP201" s="64">
        <f t="shared" ref="BP201:BP208" si="30">IFERROR(1/J201*(Y201/H201),"0")</f>
        <v>6.0606060606060608E-2</v>
      </c>
    </row>
    <row r="202" spans="1:68" ht="27" hidden="1" customHeight="1" x14ac:dyDescent="0.25">
      <c r="A202" s="54" t="s">
        <v>336</v>
      </c>
      <c r="B202" s="54" t="s">
        <v>337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102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26"/>
        <v>0</v>
      </c>
      <c r="Z202" s="36" t="str">
        <f>IFERROR(IF(Y202=0,"",ROUNDUP(Y202/H202,0)*0.00902),"")</f>
        <v/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27"/>
        <v>0</v>
      </c>
      <c r="BN202" s="64">
        <f t="shared" si="28"/>
        <v>0</v>
      </c>
      <c r="BO202" s="64">
        <f t="shared" si="29"/>
        <v>0</v>
      </c>
      <c r="BP202" s="64">
        <f t="shared" si="30"/>
        <v>0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22.5</v>
      </c>
      <c r="Y203" s="666">
        <f t="shared" si="26"/>
        <v>27</v>
      </c>
      <c r="Z203" s="36">
        <f>IFERROR(IF(Y203=0,"",ROUNDUP(Y203/H203,0)*0.00902),"")</f>
        <v>4.5100000000000001E-2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27"/>
        <v>23.375</v>
      </c>
      <c r="BN203" s="64">
        <f t="shared" si="28"/>
        <v>28.049999999999997</v>
      </c>
      <c r="BO203" s="64">
        <f t="shared" si="29"/>
        <v>3.1565656565656561E-2</v>
      </c>
      <c r="BP203" s="64">
        <f t="shared" si="30"/>
        <v>3.787878787878788E-2</v>
      </c>
    </row>
    <row r="204" spans="1:68" ht="27" hidden="1" customHeight="1" x14ac:dyDescent="0.25">
      <c r="A204" s="54" t="s">
        <v>342</v>
      </c>
      <c r="B204" s="54" t="s">
        <v>343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8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26"/>
        <v>0</v>
      </c>
      <c r="Z204" s="36" t="str">
        <f>IFERROR(IF(Y204=0,"",ROUNDUP(Y204/H204,0)*0.00902),"")</f>
        <v/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27"/>
        <v>0</v>
      </c>
      <c r="BN204" s="64">
        <f t="shared" si="28"/>
        <v>0</v>
      </c>
      <c r="BO204" s="64">
        <f t="shared" si="29"/>
        <v>0</v>
      </c>
      <c r="BP204" s="64">
        <f t="shared" si="30"/>
        <v>0</v>
      </c>
    </row>
    <row r="205" spans="1:68" ht="27" hidden="1" customHeight="1" x14ac:dyDescent="0.25">
      <c r="A205" s="54" t="s">
        <v>345</v>
      </c>
      <c r="B205" s="54" t="s">
        <v>346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68</v>
      </c>
      <c r="N205" s="33"/>
      <c r="O205" s="32">
        <v>40</v>
      </c>
      <c r="P205" s="8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hidden="1" customHeight="1" x14ac:dyDescent="0.25">
      <c r="A206" s="54" t="s">
        <v>347</v>
      </c>
      <c r="B206" s="54" t="s">
        <v>348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68</v>
      </c>
      <c r="N206" s="33"/>
      <c r="O206" s="32">
        <v>40</v>
      </c>
      <c r="P206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hidden="1" customHeight="1" x14ac:dyDescent="0.25">
      <c r="A207" s="54" t="s">
        <v>349</v>
      </c>
      <c r="B207" s="54" t="s">
        <v>350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68</v>
      </c>
      <c r="N207" s="33"/>
      <c r="O207" s="32">
        <v>40</v>
      </c>
      <c r="P207" s="89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hidden="1" customHeight="1" x14ac:dyDescent="0.25">
      <c r="A208" s="54" t="s">
        <v>351</v>
      </c>
      <c r="B208" s="54" t="s">
        <v>352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68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80</v>
      </c>
      <c r="Q209" s="686"/>
      <c r="R209" s="686"/>
      <c r="S209" s="686"/>
      <c r="T209" s="686"/>
      <c r="U209" s="686"/>
      <c r="V209" s="687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11.574074074074073</v>
      </c>
      <c r="Y209" s="667">
        <f>IFERROR(Y201/H201,"0")+IFERROR(Y202/H202,"0")+IFERROR(Y203/H203,"0")+IFERROR(Y204/H204,"0")+IFERROR(Y205/H205,"0")+IFERROR(Y206/H206,"0")+IFERROR(Y207/H207,"0")+IFERROR(Y208/H208,"0")</f>
        <v>13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0.11726</v>
      </c>
      <c r="AA209" s="668"/>
      <c r="AB209" s="668"/>
      <c r="AC209" s="668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80</v>
      </c>
      <c r="Q210" s="686"/>
      <c r="R210" s="686"/>
      <c r="S210" s="686"/>
      <c r="T210" s="686"/>
      <c r="U210" s="686"/>
      <c r="V210" s="687"/>
      <c r="W210" s="37" t="s">
        <v>69</v>
      </c>
      <c r="X210" s="667">
        <f>IFERROR(SUM(X201:X208),"0")</f>
        <v>62.5</v>
      </c>
      <c r="Y210" s="667">
        <f>IFERROR(SUM(Y201:Y208),"0")</f>
        <v>70.2</v>
      </c>
      <c r="Z210" s="37"/>
      <c r="AA210" s="668"/>
      <c r="AB210" s="668"/>
      <c r="AC210" s="668"/>
    </row>
    <row r="211" spans="1:68" ht="14.25" hidden="1" customHeight="1" x14ac:dyDescent="0.25">
      <c r="A211" s="682" t="s">
        <v>64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hidden="1" customHeight="1" x14ac:dyDescent="0.25">
      <c r="A212" s="54" t="s">
        <v>353</v>
      </c>
      <c r="B212" s="54" t="s">
        <v>354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9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hidden="1" customHeight="1" x14ac:dyDescent="0.25">
      <c r="A214" s="54" t="s">
        <v>359</v>
      </c>
      <c r="B214" s="54" t="s">
        <v>360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97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hidden="1" customHeight="1" x14ac:dyDescent="0.25">
      <c r="A215" s="54" t="s">
        <v>362</v>
      </c>
      <c r="B215" s="54" t="s">
        <v>363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1"/>
        <v>0</v>
      </c>
      <c r="Z215" s="36" t="str">
        <f t="shared" ref="Z215:Z220" si="36">IFERROR(IF(Y215=0,"",ROUNDUP(Y215/H215,0)*0.00651),"")</f>
        <v/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2"/>
        <v>0</v>
      </c>
      <c r="BN215" s="64">
        <f t="shared" si="33"/>
        <v>0</v>
      </c>
      <c r="BO215" s="64">
        <f t="shared" si="34"/>
        <v>0</v>
      </c>
      <c r="BP215" s="64">
        <f t="shared" si="35"/>
        <v>0</v>
      </c>
    </row>
    <row r="216" spans="1:68" ht="27" hidden="1" customHeight="1" x14ac:dyDescent="0.25">
      <c r="A216" s="54" t="s">
        <v>364</v>
      </c>
      <c r="B216" s="54" t="s">
        <v>365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129</v>
      </c>
      <c r="N216" s="33"/>
      <c r="O216" s="32">
        <v>45</v>
      </c>
      <c r="P216" s="85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hidden="1" customHeight="1" x14ac:dyDescent="0.25">
      <c r="A217" s="54" t="s">
        <v>367</v>
      </c>
      <c r="B217" s="54" t="s">
        <v>368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0</v>
      </c>
      <c r="Y217" s="666">
        <f t="shared" si="31"/>
        <v>0</v>
      </c>
      <c r="Z217" s="36" t="str">
        <f t="shared" si="36"/>
        <v/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2"/>
        <v>0</v>
      </c>
      <c r="BN217" s="64">
        <f t="shared" si="33"/>
        <v>0</v>
      </c>
      <c r="BO217" s="64">
        <f t="shared" si="34"/>
        <v>0</v>
      </c>
      <c r="BP217" s="64">
        <f t="shared" si="35"/>
        <v>0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1"/>
        <v>0</v>
      </c>
      <c r="Z218" s="36" t="str">
        <f t="shared" si="36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2"/>
        <v>0</v>
      </c>
      <c r="BN218" s="64">
        <f t="shared" si="33"/>
        <v>0</v>
      </c>
      <c r="BO218" s="64">
        <f t="shared" si="34"/>
        <v>0</v>
      </c>
      <c r="BP218" s="64">
        <f t="shared" si="35"/>
        <v>0</v>
      </c>
    </row>
    <row r="219" spans="1:68" ht="27" hidden="1" customHeight="1" x14ac:dyDescent="0.25">
      <c r="A219" s="54" t="s">
        <v>371</v>
      </c>
      <c r="B219" s="54" t="s">
        <v>372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129</v>
      </c>
      <c r="N219" s="33"/>
      <c r="O219" s="32">
        <v>40</v>
      </c>
      <c r="P219" s="84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hidden="1" customHeight="1" x14ac:dyDescent="0.25">
      <c r="A220" s="54" t="s">
        <v>374</v>
      </c>
      <c r="B220" s="54" t="s">
        <v>375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1"/>
        <v>0</v>
      </c>
      <c r="Z220" s="36" t="str">
        <f t="shared" si="36"/>
        <v/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2"/>
        <v>0</v>
      </c>
      <c r="BN220" s="64">
        <f t="shared" si="33"/>
        <v>0</v>
      </c>
      <c r="BO220" s="64">
        <f t="shared" si="34"/>
        <v>0</v>
      </c>
      <c r="BP220" s="64">
        <f t="shared" si="35"/>
        <v>0</v>
      </c>
    </row>
    <row r="221" spans="1:68" hidden="1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80</v>
      </c>
      <c r="Q221" s="686"/>
      <c r="R221" s="686"/>
      <c r="S221" s="686"/>
      <c r="T221" s="686"/>
      <c r="U221" s="686"/>
      <c r="V221" s="687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hidden="1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80</v>
      </c>
      <c r="Q222" s="686"/>
      <c r="R222" s="686"/>
      <c r="S222" s="686"/>
      <c r="T222" s="686"/>
      <c r="U222" s="686"/>
      <c r="V222" s="687"/>
      <c r="W222" s="37" t="s">
        <v>69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hidden="1" customHeight="1" x14ac:dyDescent="0.25">
      <c r="A223" s="682" t="s">
        <v>170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hidden="1" customHeight="1" x14ac:dyDescent="0.25">
      <c r="A224" s="54" t="s">
        <v>377</v>
      </c>
      <c r="B224" s="54" t="s">
        <v>378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129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380</v>
      </c>
      <c r="B225" s="54" t="s">
        <v>381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94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80</v>
      </c>
      <c r="Q226" s="686"/>
      <c r="R226" s="686"/>
      <c r="S226" s="686"/>
      <c r="T226" s="686"/>
      <c r="U226" s="686"/>
      <c r="V226" s="687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80</v>
      </c>
      <c r="Q227" s="686"/>
      <c r="R227" s="686"/>
      <c r="S227" s="686"/>
      <c r="T227" s="686"/>
      <c r="U227" s="686"/>
      <c r="V227" s="687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23" t="s">
        <v>383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hidden="1" customHeight="1" x14ac:dyDescent="0.25">
      <c r="A229" s="682" t="s">
        <v>90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hidden="1" customHeight="1" x14ac:dyDescent="0.25">
      <c r="A230" s="54" t="s">
        <v>384</v>
      </c>
      <c r="B230" s="54" t="s">
        <v>385</v>
      </c>
      <c r="C230" s="31">
        <v>4301011942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93</v>
      </c>
      <c r="L230" s="32"/>
      <c r="M230" s="33" t="s">
        <v>386</v>
      </c>
      <c r="N230" s="33"/>
      <c r="O230" s="32">
        <v>55</v>
      </c>
      <c r="P230" s="72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hidden="1" customHeight="1" x14ac:dyDescent="0.25">
      <c r="A231" s="54" t="s">
        <v>384</v>
      </c>
      <c r="B231" s="54" t="s">
        <v>388</v>
      </c>
      <c r="C231" s="31">
        <v>4301011826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93</v>
      </c>
      <c r="L231" s="32"/>
      <c r="M231" s="33" t="s">
        <v>94</v>
      </c>
      <c r="N231" s="33"/>
      <c r="O231" s="32">
        <v>55</v>
      </c>
      <c r="P231" s="6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393</v>
      </c>
      <c r="B233" s="54" t="s">
        <v>394</v>
      </c>
      <c r="C233" s="31">
        <v>4301011941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93</v>
      </c>
      <c r="L233" s="32"/>
      <c r="M233" s="33" t="s">
        <v>386</v>
      </c>
      <c r="N233" s="33"/>
      <c r="O233" s="32">
        <v>55</v>
      </c>
      <c r="P233" s="88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393</v>
      </c>
      <c r="B234" s="54" t="s">
        <v>395</v>
      </c>
      <c r="C234" s="31">
        <v>4301011721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93</v>
      </c>
      <c r="L234" s="32"/>
      <c r="M234" s="33" t="s">
        <v>94</v>
      </c>
      <c r="N234" s="33"/>
      <c r="O234" s="32">
        <v>55</v>
      </c>
      <c r="P234" s="7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hidden="1" customHeight="1" x14ac:dyDescent="0.25">
      <c r="A236" s="54" t="s">
        <v>399</v>
      </c>
      <c r="B236" s="54" t="s">
        <v>400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73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hidden="1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80</v>
      </c>
      <c r="Q238" s="686"/>
      <c r="R238" s="686"/>
      <c r="S238" s="686"/>
      <c r="T238" s="686"/>
      <c r="U238" s="686"/>
      <c r="V238" s="687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80</v>
      </c>
      <c r="Q239" s="686"/>
      <c r="R239" s="686"/>
      <c r="S239" s="686"/>
      <c r="T239" s="686"/>
      <c r="U239" s="686"/>
      <c r="V239" s="687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2" t="s">
        <v>133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hidden="1" customHeight="1" x14ac:dyDescent="0.25">
      <c r="A241" s="54" t="s">
        <v>403</v>
      </c>
      <c r="B241" s="54" t="s">
        <v>404</v>
      </c>
      <c r="C241" s="31">
        <v>4301020340</v>
      </c>
      <c r="D241" s="669">
        <v>4680115885721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100</v>
      </c>
      <c r="N241" s="33"/>
      <c r="O241" s="32">
        <v>50</v>
      </c>
      <c r="P241" s="968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403</v>
      </c>
      <c r="B242" s="54" t="s">
        <v>406</v>
      </c>
      <c r="C242" s="31">
        <v>4301020377</v>
      </c>
      <c r="D242" s="669">
        <v>4680115885981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100</v>
      </c>
      <c r="N242" s="33"/>
      <c r="O242" s="32">
        <v>50</v>
      </c>
      <c r="P242" s="766" t="s">
        <v>407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80</v>
      </c>
      <c r="Q243" s="686"/>
      <c r="R243" s="686"/>
      <c r="S243" s="686"/>
      <c r="T243" s="686"/>
      <c r="U243" s="686"/>
      <c r="V243" s="687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80</v>
      </c>
      <c r="Q244" s="686"/>
      <c r="R244" s="686"/>
      <c r="S244" s="686"/>
      <c r="T244" s="686"/>
      <c r="U244" s="686"/>
      <c r="V244" s="687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2" t="s">
        <v>408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hidden="1" customHeight="1" x14ac:dyDescent="0.25">
      <c r="A246" s="54" t="s">
        <v>409</v>
      </c>
      <c r="B246" s="54" t="s">
        <v>410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27" t="s">
        <v>411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80</v>
      </c>
      <c r="Q247" s="686"/>
      <c r="R247" s="686"/>
      <c r="S247" s="686"/>
      <c r="T247" s="686"/>
      <c r="U247" s="686"/>
      <c r="V247" s="687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80</v>
      </c>
      <c r="Q248" s="686"/>
      <c r="R248" s="686"/>
      <c r="S248" s="686"/>
      <c r="T248" s="686"/>
      <c r="U248" s="686"/>
      <c r="V248" s="687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2" t="s">
        <v>413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hidden="1" customHeight="1" x14ac:dyDescent="0.25">
      <c r="A250" s="54" t="s">
        <v>414</v>
      </c>
      <c r="B250" s="54" t="s">
        <v>415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7" t="s">
        <v>416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80</v>
      </c>
      <c r="Q251" s="686"/>
      <c r="R251" s="686"/>
      <c r="S251" s="686"/>
      <c r="T251" s="686"/>
      <c r="U251" s="686"/>
      <c r="V251" s="687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80</v>
      </c>
      <c r="Q252" s="686"/>
      <c r="R252" s="686"/>
      <c r="S252" s="686"/>
      <c r="T252" s="686"/>
      <c r="U252" s="686"/>
      <c r="V252" s="687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23" t="s">
        <v>418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hidden="1" customHeight="1" x14ac:dyDescent="0.25">
      <c r="A254" s="682" t="s">
        <v>90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hidden="1" customHeight="1" x14ac:dyDescent="0.25">
      <c r="A255" s="54" t="s">
        <v>419</v>
      </c>
      <c r="B255" s="54" t="s">
        <v>420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4301011910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93</v>
      </c>
      <c r="L256" s="32"/>
      <c r="M256" s="33" t="s">
        <v>386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hidden="1" customHeight="1" x14ac:dyDescent="0.25">
      <c r="A257" s="54" t="s">
        <v>422</v>
      </c>
      <c r="B257" s="54" t="s">
        <v>425</v>
      </c>
      <c r="C257" s="31">
        <v>4301011850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93</v>
      </c>
      <c r="L257" s="32"/>
      <c r="M257" s="33" t="s">
        <v>94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2"/>
        <v>0</v>
      </c>
      <c r="Z257" s="36" t="str">
        <f>IFERROR(IF(Y257=0,"",ROUNDUP(Y257/H257,0)*0.01898),"")</f>
        <v/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3"/>
        <v>0</v>
      </c>
      <c r="BN257" s="64">
        <f t="shared" si="44"/>
        <v>0</v>
      </c>
      <c r="BO257" s="64">
        <f t="shared" si="45"/>
        <v>0</v>
      </c>
      <c r="BP257" s="64">
        <f t="shared" si="46"/>
        <v>0</v>
      </c>
    </row>
    <row r="258" spans="1:68" ht="37.5" hidden="1" customHeight="1" x14ac:dyDescent="0.25">
      <c r="A258" s="54" t="s">
        <v>427</v>
      </c>
      <c r="B258" s="54" t="s">
        <v>428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71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hidden="1" customHeight="1" x14ac:dyDescent="0.25">
      <c r="A259" s="54" t="s">
        <v>430</v>
      </c>
      <c r="B259" s="54" t="s">
        <v>431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7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hidden="1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80</v>
      </c>
      <c r="Q261" s="686"/>
      <c r="R261" s="686"/>
      <c r="S261" s="686"/>
      <c r="T261" s="686"/>
      <c r="U261" s="686"/>
      <c r="V261" s="687"/>
      <c r="W261" s="37" t="s">
        <v>81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80</v>
      </c>
      <c r="Q262" s="686"/>
      <c r="R262" s="686"/>
      <c r="S262" s="686"/>
      <c r="T262" s="686"/>
      <c r="U262" s="686"/>
      <c r="V262" s="687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hidden="1" customHeight="1" x14ac:dyDescent="0.25">
      <c r="A263" s="723" t="s">
        <v>436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hidden="1" customHeight="1" x14ac:dyDescent="0.25">
      <c r="A264" s="682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hidden="1" customHeight="1" x14ac:dyDescent="0.25">
      <c r="A265" s="54" t="s">
        <v>437</v>
      </c>
      <c r="B265" s="54" t="s">
        <v>438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74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80</v>
      </c>
      <c r="Q266" s="686"/>
      <c r="R266" s="686"/>
      <c r="S266" s="686"/>
      <c r="T266" s="686"/>
      <c r="U266" s="686"/>
      <c r="V266" s="687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80</v>
      </c>
      <c r="Q267" s="686"/>
      <c r="R267" s="686"/>
      <c r="S267" s="686"/>
      <c r="T267" s="686"/>
      <c r="U267" s="686"/>
      <c r="V267" s="687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23" t="s">
        <v>440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hidden="1" customHeight="1" x14ac:dyDescent="0.25">
      <c r="A269" s="682" t="s">
        <v>90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hidden="1" customHeight="1" x14ac:dyDescent="0.25">
      <c r="A270" s="54" t="s">
        <v>441</v>
      </c>
      <c r="B270" s="54" t="s">
        <v>442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97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443</v>
      </c>
      <c r="B271" s="54" t="s">
        <v>444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73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446</v>
      </c>
      <c r="B272" s="54" t="s">
        <v>447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84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80</v>
      </c>
      <c r="Q273" s="686"/>
      <c r="R273" s="686"/>
      <c r="S273" s="686"/>
      <c r="T273" s="686"/>
      <c r="U273" s="686"/>
      <c r="V273" s="687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80</v>
      </c>
      <c r="Q274" s="686"/>
      <c r="R274" s="686"/>
      <c r="S274" s="686"/>
      <c r="T274" s="686"/>
      <c r="U274" s="686"/>
      <c r="V274" s="687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23" t="s">
        <v>449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hidden="1" customHeight="1" x14ac:dyDescent="0.25">
      <c r="A276" s="682" t="s">
        <v>64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hidden="1" customHeight="1" x14ac:dyDescent="0.25">
      <c r="A277" s="54" t="s">
        <v>450</v>
      </c>
      <c r="B277" s="54" t="s">
        <v>451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129</v>
      </c>
      <c r="N277" s="33"/>
      <c r="O277" s="32">
        <v>40</v>
      </c>
      <c r="P277" s="81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453</v>
      </c>
      <c r="B278" s="54" t="s">
        <v>454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9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456</v>
      </c>
      <c r="B279" s="54" t="s">
        <v>457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458</v>
      </c>
      <c r="B280" s="54" t="s">
        <v>459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8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460</v>
      </c>
      <c r="AG280" s="64"/>
      <c r="AJ280" s="68" t="s">
        <v>101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461</v>
      </c>
      <c r="B281" s="54" t="s">
        <v>462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80</v>
      </c>
      <c r="Q282" s="686"/>
      <c r="R282" s="686"/>
      <c r="S282" s="686"/>
      <c r="T282" s="686"/>
      <c r="U282" s="686"/>
      <c r="V282" s="687"/>
      <c r="W282" s="37" t="s">
        <v>81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80</v>
      </c>
      <c r="Q283" s="686"/>
      <c r="R283" s="686"/>
      <c r="S283" s="686"/>
      <c r="T283" s="686"/>
      <c r="U283" s="686"/>
      <c r="V283" s="687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723" t="s">
        <v>463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hidden="1" customHeight="1" x14ac:dyDescent="0.25">
      <c r="A285" s="682" t="s">
        <v>90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hidden="1" customHeight="1" x14ac:dyDescent="0.25">
      <c r="A286" s="54" t="s">
        <v>464</v>
      </c>
      <c r="B286" s="54" t="s">
        <v>465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79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80</v>
      </c>
      <c r="Q287" s="686"/>
      <c r="R287" s="686"/>
      <c r="S287" s="686"/>
      <c r="T287" s="686"/>
      <c r="U287" s="686"/>
      <c r="V287" s="687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80</v>
      </c>
      <c r="Q288" s="686"/>
      <c r="R288" s="686"/>
      <c r="S288" s="686"/>
      <c r="T288" s="686"/>
      <c r="U288" s="686"/>
      <c r="V288" s="687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2" t="s">
        <v>144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hidden="1" customHeight="1" x14ac:dyDescent="0.25">
      <c r="A290" s="54" t="s">
        <v>467</v>
      </c>
      <c r="B290" s="54" t="s">
        <v>468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80</v>
      </c>
      <c r="Q291" s="686"/>
      <c r="R291" s="686"/>
      <c r="S291" s="686"/>
      <c r="T291" s="686"/>
      <c r="U291" s="686"/>
      <c r="V291" s="687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80</v>
      </c>
      <c r="Q292" s="686"/>
      <c r="R292" s="686"/>
      <c r="S292" s="686"/>
      <c r="T292" s="686"/>
      <c r="U292" s="686"/>
      <c r="V292" s="687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2" t="s">
        <v>64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hidden="1" customHeight="1" x14ac:dyDescent="0.25">
      <c r="A294" s="54" t="s">
        <v>470</v>
      </c>
      <c r="B294" s="54" t="s">
        <v>471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101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80</v>
      </c>
      <c r="Q295" s="686"/>
      <c r="R295" s="686"/>
      <c r="S295" s="686"/>
      <c r="T295" s="686"/>
      <c r="U295" s="686"/>
      <c r="V295" s="687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80</v>
      </c>
      <c r="Q296" s="686"/>
      <c r="R296" s="686"/>
      <c r="S296" s="686"/>
      <c r="T296" s="686"/>
      <c r="U296" s="686"/>
      <c r="V296" s="687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23" t="s">
        <v>473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hidden="1" customHeight="1" x14ac:dyDescent="0.25">
      <c r="A298" s="682" t="s">
        <v>64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hidden="1" customHeight="1" x14ac:dyDescent="0.25">
      <c r="A299" s="54" t="s">
        <v>474</v>
      </c>
      <c r="B299" s="54" t="s">
        <v>475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96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80</v>
      </c>
      <c r="Q300" s="686"/>
      <c r="R300" s="686"/>
      <c r="S300" s="686"/>
      <c r="T300" s="686"/>
      <c r="U300" s="686"/>
      <c r="V300" s="687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80</v>
      </c>
      <c r="Q301" s="686"/>
      <c r="R301" s="686"/>
      <c r="S301" s="686"/>
      <c r="T301" s="686"/>
      <c r="U301" s="686"/>
      <c r="V301" s="687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23" t="s">
        <v>477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hidden="1" customHeight="1" x14ac:dyDescent="0.25">
      <c r="A303" s="682" t="s">
        <v>90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hidden="1" customHeight="1" x14ac:dyDescent="0.25">
      <c r="A304" s="54" t="s">
        <v>478</v>
      </c>
      <c r="B304" s="54" t="s">
        <v>479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90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80</v>
      </c>
      <c r="Q305" s="686"/>
      <c r="R305" s="686"/>
      <c r="S305" s="686"/>
      <c r="T305" s="686"/>
      <c r="U305" s="686"/>
      <c r="V305" s="687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80</v>
      </c>
      <c r="Q306" s="686"/>
      <c r="R306" s="686"/>
      <c r="S306" s="686"/>
      <c r="T306" s="686"/>
      <c r="U306" s="686"/>
      <c r="V306" s="687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2" t="s">
        <v>144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68</v>
      </c>
      <c r="N308" s="33"/>
      <c r="O308" s="32">
        <v>40</v>
      </c>
      <c r="P308" s="847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21</v>
      </c>
      <c r="Y308" s="666">
        <f>IFERROR(IF(X308="",0,CEILING((X308/$H308),1)*$H308),"")</f>
        <v>21</v>
      </c>
      <c r="Z308" s="36">
        <f>IFERROR(IF(Y308=0,"",ROUNDUP(Y308/H308,0)*0.00502),"")</f>
        <v>5.0200000000000002E-2</v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22</v>
      </c>
      <c r="BN308" s="64">
        <f>IFERROR(Y308*I308/H308,"0")</f>
        <v>22</v>
      </c>
      <c r="BO308" s="64">
        <f>IFERROR(1/J308*(X308/H308),"0")</f>
        <v>4.2735042735042736E-2</v>
      </c>
      <c r="BP308" s="64">
        <f>IFERROR(1/J308*(Y308/H308),"0")</f>
        <v>4.2735042735042736E-2</v>
      </c>
    </row>
    <row r="309" spans="1:68" ht="27" hidden="1" customHeight="1" x14ac:dyDescent="0.25">
      <c r="A309" s="54" t="s">
        <v>483</v>
      </c>
      <c r="B309" s="54" t="s">
        <v>484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80</v>
      </c>
      <c r="Q310" s="686"/>
      <c r="R310" s="686"/>
      <c r="S310" s="686"/>
      <c r="T310" s="686"/>
      <c r="U310" s="686"/>
      <c r="V310" s="687"/>
      <c r="W310" s="37" t="s">
        <v>81</v>
      </c>
      <c r="X310" s="667">
        <f>IFERROR(X308/H308,"0")+IFERROR(X309/H309,"0")</f>
        <v>10</v>
      </c>
      <c r="Y310" s="667">
        <f>IFERROR(Y308/H308,"0")+IFERROR(Y309/H309,"0")</f>
        <v>10</v>
      </c>
      <c r="Z310" s="667">
        <f>IFERROR(IF(Z308="",0,Z308),"0")+IFERROR(IF(Z309="",0,Z309),"0")</f>
        <v>5.0200000000000002E-2</v>
      </c>
      <c r="AA310" s="668"/>
      <c r="AB310" s="668"/>
      <c r="AC310" s="668"/>
    </row>
    <row r="311" spans="1:68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80</v>
      </c>
      <c r="Q311" s="686"/>
      <c r="R311" s="686"/>
      <c r="S311" s="686"/>
      <c r="T311" s="686"/>
      <c r="U311" s="686"/>
      <c r="V311" s="687"/>
      <c r="W311" s="37" t="s">
        <v>69</v>
      </c>
      <c r="X311" s="667">
        <f>IFERROR(SUM(X308:X309),"0")</f>
        <v>21</v>
      </c>
      <c r="Y311" s="667">
        <f>IFERROR(SUM(Y308:Y309),"0")</f>
        <v>21</v>
      </c>
      <c r="Z311" s="37"/>
      <c r="AA311" s="668"/>
      <c r="AB311" s="668"/>
      <c r="AC311" s="668"/>
    </row>
    <row r="312" spans="1:68" ht="16.5" hidden="1" customHeight="1" x14ac:dyDescent="0.25">
      <c r="A312" s="723" t="s">
        <v>485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hidden="1" customHeight="1" x14ac:dyDescent="0.25">
      <c r="A313" s="682" t="s">
        <v>90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hidden="1" customHeight="1" x14ac:dyDescent="0.25">
      <c r="A314" s="54" t="s">
        <v>486</v>
      </c>
      <c r="B314" s="54" t="s">
        <v>487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93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80</v>
      </c>
      <c r="Q315" s="686"/>
      <c r="R315" s="686"/>
      <c r="S315" s="686"/>
      <c r="T315" s="686"/>
      <c r="U315" s="686"/>
      <c r="V315" s="687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80</v>
      </c>
      <c r="Q316" s="686"/>
      <c r="R316" s="686"/>
      <c r="S316" s="686"/>
      <c r="T316" s="686"/>
      <c r="U316" s="686"/>
      <c r="V316" s="687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23" t="s">
        <v>490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hidden="1" customHeight="1" x14ac:dyDescent="0.25">
      <c r="A318" s="682" t="s">
        <v>90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hidden="1" customHeight="1" x14ac:dyDescent="0.25">
      <c r="A319" s="54" t="s">
        <v>491</v>
      </c>
      <c r="B319" s="54" t="s">
        <v>492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103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47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0</v>
      </c>
      <c r="BN319" s="64">
        <f t="shared" ref="BN319:BN324" si="49">IFERROR(Y319*I319/H319,"0")</f>
        <v>0</v>
      </c>
      <c r="BO319" s="64">
        <f t="shared" ref="BO319:BO324" si="50">IFERROR(1/J319*(X319/H319),"0")</f>
        <v>0</v>
      </c>
      <c r="BP319" s="64">
        <f t="shared" ref="BP319:BP324" si="51">IFERROR(1/J319*(Y319/H319),"0")</f>
        <v>0</v>
      </c>
    </row>
    <row r="320" spans="1:68" ht="27" hidden="1" customHeight="1" x14ac:dyDescent="0.25">
      <c r="A320" s="54" t="s">
        <v>494</v>
      </c>
      <c r="B320" s="54" t="s">
        <v>495</v>
      </c>
      <c r="C320" s="31">
        <v>4301011911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93</v>
      </c>
      <c r="L320" s="32"/>
      <c r="M320" s="33" t="s">
        <v>386</v>
      </c>
      <c r="N320" s="33"/>
      <c r="O320" s="32">
        <v>55</v>
      </c>
      <c r="P320" s="93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494</v>
      </c>
      <c r="B321" s="54" t="s">
        <v>497</v>
      </c>
      <c r="C321" s="31">
        <v>4301012016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93</v>
      </c>
      <c r="L321" s="32" t="s">
        <v>116</v>
      </c>
      <c r="M321" s="33" t="s">
        <v>100</v>
      </c>
      <c r="N321" s="33"/>
      <c r="O321" s="32">
        <v>55</v>
      </c>
      <c r="P321" s="9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47"/>
        <v>0</v>
      </c>
      <c r="Z321" s="36" t="str">
        <f>IFERROR(IF(Y321=0,"",ROUNDUP(Y321/H321,0)*0.01898),"")</f>
        <v/>
      </c>
      <c r="AA321" s="56"/>
      <c r="AB321" s="57"/>
      <c r="AC321" s="363" t="s">
        <v>498</v>
      </c>
      <c r="AG321" s="64"/>
      <c r="AJ321" s="68" t="s">
        <v>118</v>
      </c>
      <c r="AK321" s="68">
        <v>691.2</v>
      </c>
      <c r="BB321" s="364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499</v>
      </c>
      <c r="B322" s="54" t="s">
        <v>500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47"/>
        <v>0</v>
      </c>
      <c r="Z322" s="36" t="str">
        <f>IFERROR(IF(Y322=0,"",ROUNDUP(Y322/H322,0)*0.01898),"")</f>
        <v/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502</v>
      </c>
      <c r="B323" s="54" t="s">
        <v>503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9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505</v>
      </c>
      <c r="B324" s="54" t="s">
        <v>506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idden="1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80</v>
      </c>
      <c r="Q325" s="686"/>
      <c r="R325" s="686"/>
      <c r="S325" s="686"/>
      <c r="T325" s="686"/>
      <c r="U325" s="686"/>
      <c r="V325" s="687"/>
      <c r="W325" s="37" t="s">
        <v>81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hidden="1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80</v>
      </c>
      <c r="Q326" s="686"/>
      <c r="R326" s="686"/>
      <c r="S326" s="686"/>
      <c r="T326" s="686"/>
      <c r="U326" s="686"/>
      <c r="V326" s="687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hidden="1" customHeight="1" x14ac:dyDescent="0.25">
      <c r="A327" s="682" t="s">
        <v>144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hidden="1" customHeight="1" x14ac:dyDescent="0.25">
      <c r="A328" s="54" t="s">
        <v>507</v>
      </c>
      <c r="B328" s="54" t="s">
        <v>508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510</v>
      </c>
      <c r="B329" s="54" t="s">
        <v>511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50</v>
      </c>
      <c r="Y329" s="666">
        <f>IFERROR(IF(X329="",0,CEILING((X329/$H329),1)*$H329),"")</f>
        <v>50.400000000000006</v>
      </c>
      <c r="Z329" s="36">
        <f>IFERROR(IF(Y329=0,"",ROUNDUP(Y329/H329,0)*0.00902),"")</f>
        <v>0.10824</v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53.214285714285715</v>
      </c>
      <c r="BN329" s="64">
        <f>IFERROR(Y329*I329/H329,"0")</f>
        <v>53.64</v>
      </c>
      <c r="BO329" s="64">
        <f>IFERROR(1/J329*(X329/H329),"0")</f>
        <v>9.0187590187590191E-2</v>
      </c>
      <c r="BP329" s="64">
        <f>IFERROR(1/J329*(Y329/H329),"0")</f>
        <v>9.0909090909090912E-2</v>
      </c>
    </row>
    <row r="330" spans="1:68" ht="27" hidden="1" customHeight="1" x14ac:dyDescent="0.25">
      <c r="A330" s="54" t="s">
        <v>513</v>
      </c>
      <c r="B330" s="54" t="s">
        <v>514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516</v>
      </c>
      <c r="B331" s="54" t="s">
        <v>517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68</v>
      </c>
      <c r="N331" s="33"/>
      <c r="O331" s="32">
        <v>40</v>
      </c>
      <c r="P331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21</v>
      </c>
      <c r="Y331" s="666">
        <f>IFERROR(IF(X331="",0,CEILING((X331/$H331),1)*$H331),"")</f>
        <v>21</v>
      </c>
      <c r="Z331" s="36">
        <f>IFERROR(IF(Y331=0,"",ROUNDUP(Y331/H331,0)*0.00502),"")</f>
        <v>5.0200000000000002E-2</v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22.299999999999997</v>
      </c>
      <c r="BN331" s="64">
        <f>IFERROR(Y331*I331/H331,"0")</f>
        <v>22.299999999999997</v>
      </c>
      <c r="BO331" s="64">
        <f>IFERROR(1/J331*(X331/H331),"0")</f>
        <v>4.2735042735042736E-2</v>
      </c>
      <c r="BP331" s="64">
        <f>IFERROR(1/J331*(Y331/H331),"0")</f>
        <v>4.2735042735042736E-2</v>
      </c>
    </row>
    <row r="332" spans="1:68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80</v>
      </c>
      <c r="Q332" s="686"/>
      <c r="R332" s="686"/>
      <c r="S332" s="686"/>
      <c r="T332" s="686"/>
      <c r="U332" s="686"/>
      <c r="V332" s="687"/>
      <c r="W332" s="37" t="s">
        <v>81</v>
      </c>
      <c r="X332" s="667">
        <f>IFERROR(X328/H328,"0")+IFERROR(X329/H329,"0")+IFERROR(X330/H330,"0")+IFERROR(X331/H331,"0")</f>
        <v>21.904761904761905</v>
      </c>
      <c r="Y332" s="667">
        <f>IFERROR(Y328/H328,"0")+IFERROR(Y329/H329,"0")+IFERROR(Y330/H330,"0")+IFERROR(Y331/H331,"0")</f>
        <v>22</v>
      </c>
      <c r="Z332" s="667">
        <f>IFERROR(IF(Z328="",0,Z328),"0")+IFERROR(IF(Z329="",0,Z329),"0")+IFERROR(IF(Z330="",0,Z330),"0")+IFERROR(IF(Z331="",0,Z331),"0")</f>
        <v>0.15844</v>
      </c>
      <c r="AA332" s="668"/>
      <c r="AB332" s="668"/>
      <c r="AC332" s="668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80</v>
      </c>
      <c r="Q333" s="686"/>
      <c r="R333" s="686"/>
      <c r="S333" s="686"/>
      <c r="T333" s="686"/>
      <c r="U333" s="686"/>
      <c r="V333" s="687"/>
      <c r="W333" s="37" t="s">
        <v>69</v>
      </c>
      <c r="X333" s="667">
        <f>IFERROR(SUM(X328:X331),"0")</f>
        <v>71</v>
      </c>
      <c r="Y333" s="667">
        <f>IFERROR(SUM(Y328:Y331),"0")</f>
        <v>71.400000000000006</v>
      </c>
      <c r="Z333" s="37"/>
      <c r="AA333" s="668"/>
      <c r="AB333" s="668"/>
      <c r="AC333" s="668"/>
    </row>
    <row r="334" spans="1:68" ht="14.25" hidden="1" customHeight="1" x14ac:dyDescent="0.25">
      <c r="A334" s="682" t="s">
        <v>64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customHeight="1" x14ac:dyDescent="0.25">
      <c r="A335" s="54" t="s">
        <v>518</v>
      </c>
      <c r="B335" s="54" t="s">
        <v>519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400</v>
      </c>
      <c r="Y335" s="666">
        <f>IFERROR(IF(X335="",0,CEILING((X335/$H335),1)*$H335),"")</f>
        <v>405.59999999999997</v>
      </c>
      <c r="Z335" s="36">
        <f>IFERROR(IF(Y335=0,"",ROUNDUP(Y335/H335,0)*0.01898),"")</f>
        <v>0.98696000000000006</v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426.30769230769238</v>
      </c>
      <c r="BN335" s="64">
        <f>IFERROR(Y335*I335/H335,"0")</f>
        <v>432.27599999999995</v>
      </c>
      <c r="BO335" s="64">
        <f>IFERROR(1/J335*(X335/H335),"0")</f>
        <v>0.80128205128205132</v>
      </c>
      <c r="BP335" s="64">
        <f>IFERROR(1/J335*(Y335/H335),"0")</f>
        <v>0.8125</v>
      </c>
    </row>
    <row r="336" spans="1:68" ht="27" hidden="1" customHeight="1" x14ac:dyDescent="0.25">
      <c r="A336" s="54" t="s">
        <v>521</v>
      </c>
      <c r="B336" s="54" t="s">
        <v>522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10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524</v>
      </c>
      <c r="B337" s="54" t="s">
        <v>525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77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527</v>
      </c>
      <c r="B338" s="54" t="s">
        <v>528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hidden="1" customHeight="1" x14ac:dyDescent="0.25">
      <c r="A339" s="54" t="s">
        <v>530</v>
      </c>
      <c r="B339" s="54" t="s">
        <v>531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129</v>
      </c>
      <c r="N339" s="33"/>
      <c r="O339" s="32">
        <v>40</v>
      </c>
      <c r="P339" s="72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80</v>
      </c>
      <c r="Q340" s="686"/>
      <c r="R340" s="686"/>
      <c r="S340" s="686"/>
      <c r="T340" s="686"/>
      <c r="U340" s="686"/>
      <c r="V340" s="687"/>
      <c r="W340" s="37" t="s">
        <v>81</v>
      </c>
      <c r="X340" s="667">
        <f>IFERROR(X335/H335,"0")+IFERROR(X336/H336,"0")+IFERROR(X337/H337,"0")+IFERROR(X338/H338,"0")+IFERROR(X339/H339,"0")</f>
        <v>51.282051282051285</v>
      </c>
      <c r="Y340" s="667">
        <f>IFERROR(Y335/H335,"0")+IFERROR(Y336/H336,"0")+IFERROR(Y337/H337,"0")+IFERROR(Y338/H338,"0")+IFERROR(Y339/H339,"0")</f>
        <v>52</v>
      </c>
      <c r="Z340" s="667">
        <f>IFERROR(IF(Z335="",0,Z335),"0")+IFERROR(IF(Z336="",0,Z336),"0")+IFERROR(IF(Z337="",0,Z337),"0")+IFERROR(IF(Z338="",0,Z338),"0")+IFERROR(IF(Z339="",0,Z339),"0")</f>
        <v>0.98696000000000006</v>
      </c>
      <c r="AA340" s="668"/>
      <c r="AB340" s="668"/>
      <c r="AC340" s="668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80</v>
      </c>
      <c r="Q341" s="686"/>
      <c r="R341" s="686"/>
      <c r="S341" s="686"/>
      <c r="T341" s="686"/>
      <c r="U341" s="686"/>
      <c r="V341" s="687"/>
      <c r="W341" s="37" t="s">
        <v>69</v>
      </c>
      <c r="X341" s="667">
        <f>IFERROR(SUM(X335:X339),"0")</f>
        <v>400</v>
      </c>
      <c r="Y341" s="667">
        <f>IFERROR(SUM(Y335:Y339),"0")</f>
        <v>405.59999999999997</v>
      </c>
      <c r="Z341" s="37"/>
      <c r="AA341" s="668"/>
      <c r="AB341" s="668"/>
      <c r="AC341" s="668"/>
    </row>
    <row r="342" spans="1:68" ht="14.25" hidden="1" customHeight="1" x14ac:dyDescent="0.25">
      <c r="A342" s="682" t="s">
        <v>170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hidden="1" customHeight="1" x14ac:dyDescent="0.25">
      <c r="A343" s="54" t="s">
        <v>533</v>
      </c>
      <c r="B343" s="54" t="s">
        <v>534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536</v>
      </c>
      <c r="B344" s="54" t="s">
        <v>537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99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539</v>
      </c>
      <c r="B345" s="54" t="s">
        <v>540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129</v>
      </c>
      <c r="N345" s="33"/>
      <c r="O345" s="32">
        <v>30</v>
      </c>
      <c r="P345" s="9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80</v>
      </c>
      <c r="Q346" s="686"/>
      <c r="R346" s="686"/>
      <c r="S346" s="686"/>
      <c r="T346" s="686"/>
      <c r="U346" s="686"/>
      <c r="V346" s="687"/>
      <c r="W346" s="37" t="s">
        <v>81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hidden="1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80</v>
      </c>
      <c r="Q347" s="686"/>
      <c r="R347" s="686"/>
      <c r="S347" s="686"/>
      <c r="T347" s="686"/>
      <c r="U347" s="686"/>
      <c r="V347" s="687"/>
      <c r="W347" s="37" t="s">
        <v>69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hidden="1" customHeight="1" x14ac:dyDescent="0.25">
      <c r="A348" s="682" t="s">
        <v>82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hidden="1" customHeight="1" x14ac:dyDescent="0.25">
      <c r="A349" s="54" t="s">
        <v>542</v>
      </c>
      <c r="B349" s="54" t="s">
        <v>543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987" t="s">
        <v>544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546</v>
      </c>
      <c r="B350" s="54" t="s">
        <v>547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791" t="s">
        <v>548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550</v>
      </c>
      <c r="B351" s="54" t="s">
        <v>551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553</v>
      </c>
      <c r="B352" s="54" t="s">
        <v>554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5.3999999999999986</v>
      </c>
      <c r="Y352" s="666">
        <f>IFERROR(IF(X352="",0,CEILING((X352/$H352),1)*$H352),"")</f>
        <v>7.6499999999999995</v>
      </c>
      <c r="Z352" s="36">
        <f>IFERROR(IF(Y352=0,"",ROUNDUP(Y352/H352,0)*0.00651),"")</f>
        <v>1.9529999999999999E-2</v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6.0988235294117636</v>
      </c>
      <c r="BN352" s="64">
        <f>IFERROR(Y352*I352/H352,"0")</f>
        <v>8.6399999999999988</v>
      </c>
      <c r="BO352" s="64">
        <f>IFERROR(1/J352*(X352/H352),"0")</f>
        <v>1.1635423400129281E-2</v>
      </c>
      <c r="BP352" s="64">
        <f>IFERROR(1/J352*(Y352/H352),"0")</f>
        <v>1.6483516483516484E-2</v>
      </c>
    </row>
    <row r="353" spans="1:68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80</v>
      </c>
      <c r="Q353" s="686"/>
      <c r="R353" s="686"/>
      <c r="S353" s="686"/>
      <c r="T353" s="686"/>
      <c r="U353" s="686"/>
      <c r="V353" s="687"/>
      <c r="W353" s="37" t="s">
        <v>81</v>
      </c>
      <c r="X353" s="667">
        <f>IFERROR(X349/H349,"0")+IFERROR(X350/H350,"0")+IFERROR(X351/H351,"0")+IFERROR(X352/H352,"0")</f>
        <v>2.117647058823529</v>
      </c>
      <c r="Y353" s="667">
        <f>IFERROR(Y349/H349,"0")+IFERROR(Y350/H350,"0")+IFERROR(Y351/H351,"0")+IFERROR(Y352/H352,"0")</f>
        <v>3</v>
      </c>
      <c r="Z353" s="667">
        <f>IFERROR(IF(Z349="",0,Z349),"0")+IFERROR(IF(Z350="",0,Z350),"0")+IFERROR(IF(Z351="",0,Z351),"0")+IFERROR(IF(Z352="",0,Z352),"0")</f>
        <v>1.9529999999999999E-2</v>
      </c>
      <c r="AA353" s="668"/>
      <c r="AB353" s="668"/>
      <c r="AC353" s="668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80</v>
      </c>
      <c r="Q354" s="686"/>
      <c r="R354" s="686"/>
      <c r="S354" s="686"/>
      <c r="T354" s="686"/>
      <c r="U354" s="686"/>
      <c r="V354" s="687"/>
      <c r="W354" s="37" t="s">
        <v>69</v>
      </c>
      <c r="X354" s="667">
        <f>IFERROR(SUM(X349:X352),"0")</f>
        <v>5.3999999999999986</v>
      </c>
      <c r="Y354" s="667">
        <f>IFERROR(SUM(Y349:Y352),"0")</f>
        <v>7.6499999999999995</v>
      </c>
      <c r="Z354" s="37"/>
      <c r="AA354" s="668"/>
      <c r="AB354" s="668"/>
      <c r="AC354" s="668"/>
    </row>
    <row r="355" spans="1:68" ht="14.25" hidden="1" customHeight="1" x14ac:dyDescent="0.25">
      <c r="A355" s="682" t="s">
        <v>555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hidden="1" customHeight="1" x14ac:dyDescent="0.25">
      <c r="A356" s="54" t="s">
        <v>556</v>
      </c>
      <c r="B356" s="54" t="s">
        <v>557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8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560</v>
      </c>
      <c r="B357" s="54" t="s">
        <v>561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9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562</v>
      </c>
      <c r="B358" s="54" t="s">
        <v>563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80</v>
      </c>
      <c r="Q359" s="686"/>
      <c r="R359" s="686"/>
      <c r="S359" s="686"/>
      <c r="T359" s="686"/>
      <c r="U359" s="686"/>
      <c r="V359" s="687"/>
      <c r="W359" s="37" t="s">
        <v>81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80</v>
      </c>
      <c r="Q360" s="686"/>
      <c r="R360" s="686"/>
      <c r="S360" s="686"/>
      <c r="T360" s="686"/>
      <c r="U360" s="686"/>
      <c r="V360" s="687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23" t="s">
        <v>564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hidden="1" customHeight="1" x14ac:dyDescent="0.25">
      <c r="A362" s="682" t="s">
        <v>144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hidden="1" customHeight="1" x14ac:dyDescent="0.25">
      <c r="A363" s="54" t="s">
        <v>565</v>
      </c>
      <c r="B363" s="54" t="s">
        <v>566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80</v>
      </c>
      <c r="Q364" s="686"/>
      <c r="R364" s="686"/>
      <c r="S364" s="686"/>
      <c r="T364" s="686"/>
      <c r="U364" s="686"/>
      <c r="V364" s="687"/>
      <c r="W364" s="37" t="s">
        <v>81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80</v>
      </c>
      <c r="Q365" s="686"/>
      <c r="R365" s="686"/>
      <c r="S365" s="686"/>
      <c r="T365" s="686"/>
      <c r="U365" s="686"/>
      <c r="V365" s="687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2" t="s">
        <v>64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hidden="1" customHeight="1" x14ac:dyDescent="0.25">
      <c r="A367" s="54" t="s">
        <v>568</v>
      </c>
      <c r="B367" s="54" t="s">
        <v>569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129</v>
      </c>
      <c r="N367" s="33"/>
      <c r="O367" s="32">
        <v>45</v>
      </c>
      <c r="P367" s="9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571</v>
      </c>
      <c r="B368" s="54" t="s">
        <v>572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103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574</v>
      </c>
      <c r="B369" s="54" t="s">
        <v>575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129</v>
      </c>
      <c r="N369" s="33"/>
      <c r="O369" s="32">
        <v>40</v>
      </c>
      <c r="P369" s="9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10.5</v>
      </c>
      <c r="Y369" s="666">
        <f>IFERROR(IF(X369="",0,CEILING((X369/$H369),1)*$H369),"")</f>
        <v>10.5</v>
      </c>
      <c r="Z369" s="36">
        <f>IFERROR(IF(Y369=0,"",ROUNDUP(Y369/H369,0)*0.00651),"")</f>
        <v>3.2550000000000003E-2</v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11.7</v>
      </c>
      <c r="BN369" s="64">
        <f>IFERROR(Y369*I369/H369,"0")</f>
        <v>11.7</v>
      </c>
      <c r="BO369" s="64">
        <f>IFERROR(1/J369*(X369/H369),"0")</f>
        <v>2.7472527472527476E-2</v>
      </c>
      <c r="BP369" s="64">
        <f>IFERROR(1/J369*(Y369/H369),"0")</f>
        <v>2.7472527472527476E-2</v>
      </c>
    </row>
    <row r="370" spans="1:68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80</v>
      </c>
      <c r="Q370" s="686"/>
      <c r="R370" s="686"/>
      <c r="S370" s="686"/>
      <c r="T370" s="686"/>
      <c r="U370" s="686"/>
      <c r="V370" s="687"/>
      <c r="W370" s="37" t="s">
        <v>81</v>
      </c>
      <c r="X370" s="667">
        <f>IFERROR(X367/H367,"0")+IFERROR(X368/H368,"0")+IFERROR(X369/H369,"0")</f>
        <v>5</v>
      </c>
      <c r="Y370" s="667">
        <f>IFERROR(Y367/H367,"0")+IFERROR(Y368/H368,"0")+IFERROR(Y369/H369,"0")</f>
        <v>5</v>
      </c>
      <c r="Z370" s="667">
        <f>IFERROR(IF(Z367="",0,Z367),"0")+IFERROR(IF(Z368="",0,Z368),"0")+IFERROR(IF(Z369="",0,Z369),"0")</f>
        <v>3.2550000000000003E-2</v>
      </c>
      <c r="AA370" s="668"/>
      <c r="AB370" s="668"/>
      <c r="AC370" s="668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80</v>
      </c>
      <c r="Q371" s="686"/>
      <c r="R371" s="686"/>
      <c r="S371" s="686"/>
      <c r="T371" s="686"/>
      <c r="U371" s="686"/>
      <c r="V371" s="687"/>
      <c r="W371" s="37" t="s">
        <v>69</v>
      </c>
      <c r="X371" s="667">
        <f>IFERROR(SUM(X367:X369),"0")</f>
        <v>10.5</v>
      </c>
      <c r="Y371" s="667">
        <f>IFERROR(SUM(Y367:Y369),"0")</f>
        <v>10.5</v>
      </c>
      <c r="Z371" s="37"/>
      <c r="AA371" s="668"/>
      <c r="AB371" s="668"/>
      <c r="AC371" s="668"/>
    </row>
    <row r="372" spans="1:68" ht="27.75" hidden="1" customHeight="1" x14ac:dyDescent="0.2">
      <c r="A372" s="802" t="s">
        <v>577</v>
      </c>
      <c r="B372" s="803"/>
      <c r="C372" s="803"/>
      <c r="D372" s="803"/>
      <c r="E372" s="803"/>
      <c r="F372" s="803"/>
      <c r="G372" s="803"/>
      <c r="H372" s="803"/>
      <c r="I372" s="803"/>
      <c r="J372" s="803"/>
      <c r="K372" s="803"/>
      <c r="L372" s="803"/>
      <c r="M372" s="803"/>
      <c r="N372" s="803"/>
      <c r="O372" s="803"/>
      <c r="P372" s="803"/>
      <c r="Q372" s="803"/>
      <c r="R372" s="803"/>
      <c r="S372" s="803"/>
      <c r="T372" s="803"/>
      <c r="U372" s="803"/>
      <c r="V372" s="803"/>
      <c r="W372" s="803"/>
      <c r="X372" s="803"/>
      <c r="Y372" s="803"/>
      <c r="Z372" s="803"/>
      <c r="AA372" s="48"/>
      <c r="AB372" s="48"/>
      <c r="AC372" s="48"/>
    </row>
    <row r="373" spans="1:68" ht="16.5" hidden="1" customHeight="1" x14ac:dyDescent="0.25">
      <c r="A373" s="723" t="s">
        <v>578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hidden="1" customHeight="1" x14ac:dyDescent="0.25">
      <c r="A374" s="682" t="s">
        <v>90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27" hidden="1" customHeight="1" x14ac:dyDescent="0.25">
      <c r="A375" s="54" t="s">
        <v>579</v>
      </c>
      <c r="B375" s="54" t="s">
        <v>580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8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customHeight="1" x14ac:dyDescent="0.25">
      <c r="A376" s="54" t="s">
        <v>579</v>
      </c>
      <c r="B376" s="54" t="s">
        <v>582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116</v>
      </c>
      <c r="M376" s="33" t="s">
        <v>68</v>
      </c>
      <c r="N376" s="33"/>
      <c r="O376" s="32">
        <v>60</v>
      </c>
      <c r="P376" s="80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150</v>
      </c>
      <c r="Y376" s="666">
        <f t="shared" si="52"/>
        <v>150</v>
      </c>
      <c r="Z376" s="36">
        <f>IFERROR(IF(Y376=0,"",ROUNDUP(Y376/H376,0)*0.02175),"")</f>
        <v>0.21749999999999997</v>
      </c>
      <c r="AA376" s="56"/>
      <c r="AB376" s="57"/>
      <c r="AC376" s="419" t="s">
        <v>583</v>
      </c>
      <c r="AG376" s="64"/>
      <c r="AJ376" s="68" t="s">
        <v>118</v>
      </c>
      <c r="AK376" s="68">
        <v>720</v>
      </c>
      <c r="BB376" s="420" t="s">
        <v>1</v>
      </c>
      <c r="BM376" s="64">
        <f t="shared" si="53"/>
        <v>154.80000000000001</v>
      </c>
      <c r="BN376" s="64">
        <f t="shared" si="54"/>
        <v>154.80000000000001</v>
      </c>
      <c r="BO376" s="64">
        <f t="shared" si="55"/>
        <v>0.20833333333333331</v>
      </c>
      <c r="BP376" s="64">
        <f t="shared" si="56"/>
        <v>0.20833333333333331</v>
      </c>
    </row>
    <row r="377" spans="1:68" ht="27" hidden="1" customHeight="1" x14ac:dyDescent="0.25">
      <c r="A377" s="54" t="s">
        <v>584</v>
      </c>
      <c r="B377" s="54" t="s">
        <v>585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8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116</v>
      </c>
      <c r="M378" s="33" t="s">
        <v>68</v>
      </c>
      <c r="N378" s="33"/>
      <c r="O378" s="32">
        <v>60</v>
      </c>
      <c r="P378" s="8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300</v>
      </c>
      <c r="Y378" s="666">
        <f t="shared" si="52"/>
        <v>300</v>
      </c>
      <c r="Z378" s="36">
        <f>IFERROR(IF(Y378=0,"",ROUNDUP(Y378/H378,0)*0.02175),"")</f>
        <v>0.43499999999999994</v>
      </c>
      <c r="AA378" s="56"/>
      <c r="AB378" s="57"/>
      <c r="AC378" s="423" t="s">
        <v>587</v>
      </c>
      <c r="AG378" s="64"/>
      <c r="AJ378" s="68" t="s">
        <v>118</v>
      </c>
      <c r="AK378" s="68">
        <v>720</v>
      </c>
      <c r="BB378" s="424" t="s">
        <v>1</v>
      </c>
      <c r="BM378" s="64">
        <f t="shared" si="53"/>
        <v>309.60000000000002</v>
      </c>
      <c r="BN378" s="64">
        <f t="shared" si="54"/>
        <v>309.60000000000002</v>
      </c>
      <c r="BO378" s="64">
        <f t="shared" si="55"/>
        <v>0.41666666666666663</v>
      </c>
      <c r="BP378" s="64">
        <f t="shared" si="56"/>
        <v>0.41666666666666663</v>
      </c>
    </row>
    <row r="379" spans="1:68" ht="27" hidden="1" customHeight="1" x14ac:dyDescent="0.25">
      <c r="A379" s="54" t="s">
        <v>588</v>
      </c>
      <c r="B379" s="54" t="s">
        <v>589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129</v>
      </c>
      <c r="N379" s="33"/>
      <c r="O379" s="32">
        <v>60</v>
      </c>
      <c r="P379" s="71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0</v>
      </c>
      <c r="Y379" s="666">
        <f t="shared" si="52"/>
        <v>0</v>
      </c>
      <c r="Z379" s="36" t="str">
        <f>IFERROR(IF(Y379=0,"",ROUNDUP(Y379/H379,0)*0.02175),"")</f>
        <v/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0</v>
      </c>
      <c r="BN379" s="64">
        <f t="shared" si="54"/>
        <v>0</v>
      </c>
      <c r="BO379" s="64">
        <f t="shared" si="55"/>
        <v>0</v>
      </c>
      <c r="BP379" s="64">
        <f t="shared" si="56"/>
        <v>0</v>
      </c>
    </row>
    <row r="380" spans="1:68" ht="27" hidden="1" customHeight="1" x14ac:dyDescent="0.25">
      <c r="A380" s="54" t="s">
        <v>591</v>
      </c>
      <c r="B380" s="54" t="s">
        <v>592</v>
      </c>
      <c r="C380" s="31">
        <v>4301011943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/>
      <c r="M380" s="33" t="s">
        <v>386</v>
      </c>
      <c r="N380" s="33"/>
      <c r="O380" s="32">
        <v>60</v>
      </c>
      <c r="P380" s="87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IFERROR(IF(Y380=0,"",ROUNDUP(Y380/H380,0)*0.02039),"")</f>
        <v/>
      </c>
      <c r="AA380" s="56"/>
      <c r="AB380" s="57"/>
      <c r="AC380" s="427" t="s">
        <v>581</v>
      </c>
      <c r="AG380" s="64"/>
      <c r="AJ380" s="68"/>
      <c r="AK380" s="68">
        <v>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37.5" customHeight="1" x14ac:dyDescent="0.25">
      <c r="A381" s="54" t="s">
        <v>591</v>
      </c>
      <c r="B381" s="54" t="s">
        <v>593</v>
      </c>
      <c r="C381" s="31">
        <v>4301011867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 t="s">
        <v>116</v>
      </c>
      <c r="M381" s="33" t="s">
        <v>68</v>
      </c>
      <c r="N381" s="33"/>
      <c r="O381" s="32">
        <v>60</v>
      </c>
      <c r="P381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500</v>
      </c>
      <c r="Y381" s="666">
        <f t="shared" si="52"/>
        <v>510</v>
      </c>
      <c r="Z381" s="36">
        <f>IFERROR(IF(Y381=0,"",ROUNDUP(Y381/H381,0)*0.02175),"")</f>
        <v>0.73949999999999994</v>
      </c>
      <c r="AA381" s="56"/>
      <c r="AB381" s="57"/>
      <c r="AC381" s="429" t="s">
        <v>594</v>
      </c>
      <c r="AG381" s="64"/>
      <c r="AJ381" s="68" t="s">
        <v>118</v>
      </c>
      <c r="AK381" s="68">
        <v>720</v>
      </c>
      <c r="BB381" s="430" t="s">
        <v>1</v>
      </c>
      <c r="BM381" s="64">
        <f t="shared" si="53"/>
        <v>516</v>
      </c>
      <c r="BN381" s="64">
        <f t="shared" si="54"/>
        <v>526.32000000000005</v>
      </c>
      <c r="BO381" s="64">
        <f t="shared" si="55"/>
        <v>0.69444444444444442</v>
      </c>
      <c r="BP381" s="64">
        <f t="shared" si="56"/>
        <v>0.70833333333333326</v>
      </c>
    </row>
    <row r="382" spans="1:68" ht="27" hidden="1" customHeight="1" x14ac:dyDescent="0.25">
      <c r="A382" s="54" t="s">
        <v>595</v>
      </c>
      <c r="B382" s="54" t="s">
        <v>596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7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hidden="1" customHeight="1" x14ac:dyDescent="0.25">
      <c r="A383" s="54" t="s">
        <v>598</v>
      </c>
      <c r="B383" s="54" t="s">
        <v>599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10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hidden="1" customHeight="1" x14ac:dyDescent="0.25">
      <c r="A384" s="54" t="s">
        <v>600</v>
      </c>
      <c r="B384" s="54" t="s">
        <v>601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6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80</v>
      </c>
      <c r="Q385" s="686"/>
      <c r="R385" s="686"/>
      <c r="S385" s="686"/>
      <c r="T385" s="686"/>
      <c r="U385" s="686"/>
      <c r="V385" s="687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63.333333333333336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64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1.3919999999999999</v>
      </c>
      <c r="AA385" s="668"/>
      <c r="AB385" s="668"/>
      <c r="AC385" s="668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80</v>
      </c>
      <c r="Q386" s="686"/>
      <c r="R386" s="686"/>
      <c r="S386" s="686"/>
      <c r="T386" s="686"/>
      <c r="U386" s="686"/>
      <c r="V386" s="687"/>
      <c r="W386" s="37" t="s">
        <v>69</v>
      </c>
      <c r="X386" s="667">
        <f>IFERROR(SUM(X375:X384),"0")</f>
        <v>950</v>
      </c>
      <c r="Y386" s="667">
        <f>IFERROR(SUM(Y375:Y384),"0")</f>
        <v>960</v>
      </c>
      <c r="Z386" s="37"/>
      <c r="AA386" s="668"/>
      <c r="AB386" s="668"/>
      <c r="AC386" s="668"/>
    </row>
    <row r="387" spans="1:68" ht="14.25" hidden="1" customHeight="1" x14ac:dyDescent="0.25">
      <c r="A387" s="682" t="s">
        <v>133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116</v>
      </c>
      <c r="M388" s="33" t="s">
        <v>94</v>
      </c>
      <c r="N388" s="33"/>
      <c r="O388" s="32">
        <v>50</v>
      </c>
      <c r="P388" s="9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400</v>
      </c>
      <c r="Y388" s="666">
        <f>IFERROR(IF(X388="",0,CEILING((X388/$H388),1)*$H388),"")</f>
        <v>405</v>
      </c>
      <c r="Z388" s="36">
        <f>IFERROR(IF(Y388=0,"",ROUNDUP(Y388/H388,0)*0.02175),"")</f>
        <v>0.58724999999999994</v>
      </c>
      <c r="AA388" s="56"/>
      <c r="AB388" s="57"/>
      <c r="AC388" s="437" t="s">
        <v>604</v>
      </c>
      <c r="AG388" s="64"/>
      <c r="AJ388" s="68" t="s">
        <v>118</v>
      </c>
      <c r="AK388" s="68">
        <v>720</v>
      </c>
      <c r="BB388" s="438" t="s">
        <v>1</v>
      </c>
      <c r="BM388" s="64">
        <f>IFERROR(X388*I388/H388,"0")</f>
        <v>412.8</v>
      </c>
      <c r="BN388" s="64">
        <f>IFERROR(Y388*I388/H388,"0")</f>
        <v>417.96000000000004</v>
      </c>
      <c r="BO388" s="64">
        <f>IFERROR(1/J388*(X388/H388),"0")</f>
        <v>0.55555555555555558</v>
      </c>
      <c r="BP388" s="64">
        <f>IFERROR(1/J388*(Y388/H388),"0")</f>
        <v>0.5625</v>
      </c>
    </row>
    <row r="389" spans="1:68" ht="27" hidden="1" customHeight="1" x14ac:dyDescent="0.25">
      <c r="A389" s="54" t="s">
        <v>605</v>
      </c>
      <c r="B389" s="54" t="s">
        <v>606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80</v>
      </c>
      <c r="Q390" s="686"/>
      <c r="R390" s="686"/>
      <c r="S390" s="686"/>
      <c r="T390" s="686"/>
      <c r="U390" s="686"/>
      <c r="V390" s="687"/>
      <c r="W390" s="37" t="s">
        <v>81</v>
      </c>
      <c r="X390" s="667">
        <f>IFERROR(X388/H388,"0")+IFERROR(X389/H389,"0")</f>
        <v>26.666666666666668</v>
      </c>
      <c r="Y390" s="667">
        <f>IFERROR(Y388/H388,"0")+IFERROR(Y389/H389,"0")</f>
        <v>27</v>
      </c>
      <c r="Z390" s="667">
        <f>IFERROR(IF(Z388="",0,Z388),"0")+IFERROR(IF(Z389="",0,Z389),"0")</f>
        <v>0.58724999999999994</v>
      </c>
      <c r="AA390" s="668"/>
      <c r="AB390" s="668"/>
      <c r="AC390" s="668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80</v>
      </c>
      <c r="Q391" s="686"/>
      <c r="R391" s="686"/>
      <c r="S391" s="686"/>
      <c r="T391" s="686"/>
      <c r="U391" s="686"/>
      <c r="V391" s="687"/>
      <c r="W391" s="37" t="s">
        <v>69</v>
      </c>
      <c r="X391" s="667">
        <f>IFERROR(SUM(X388:X389),"0")</f>
        <v>400</v>
      </c>
      <c r="Y391" s="667">
        <f>IFERROR(SUM(Y388:Y389),"0")</f>
        <v>405</v>
      </c>
      <c r="Z391" s="37"/>
      <c r="AA391" s="668"/>
      <c r="AB391" s="668"/>
      <c r="AC391" s="668"/>
    </row>
    <row r="392" spans="1:68" ht="14.25" hidden="1" customHeight="1" x14ac:dyDescent="0.25">
      <c r="A392" s="682" t="s">
        <v>64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hidden="1" customHeight="1" x14ac:dyDescent="0.25">
      <c r="A393" s="54" t="s">
        <v>607</v>
      </c>
      <c r="B393" s="54" t="s">
        <v>608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97" t="s">
        <v>609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611</v>
      </c>
      <c r="B394" s="54" t="s">
        <v>612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735" t="s">
        <v>613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80</v>
      </c>
      <c r="Q395" s="686"/>
      <c r="R395" s="686"/>
      <c r="S395" s="686"/>
      <c r="T395" s="686"/>
      <c r="U395" s="686"/>
      <c r="V395" s="687"/>
      <c r="W395" s="37" t="s">
        <v>81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80</v>
      </c>
      <c r="Q396" s="686"/>
      <c r="R396" s="686"/>
      <c r="S396" s="686"/>
      <c r="T396" s="686"/>
      <c r="U396" s="686"/>
      <c r="V396" s="687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2" t="s">
        <v>170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hidden="1" customHeight="1" x14ac:dyDescent="0.25">
      <c r="A398" s="54" t="s">
        <v>615</v>
      </c>
      <c r="B398" s="54" t="s">
        <v>616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949" t="s">
        <v>617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80</v>
      </c>
      <c r="Q399" s="686"/>
      <c r="R399" s="686"/>
      <c r="S399" s="686"/>
      <c r="T399" s="686"/>
      <c r="U399" s="686"/>
      <c r="V399" s="687"/>
      <c r="W399" s="37" t="s">
        <v>81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80</v>
      </c>
      <c r="Q400" s="686"/>
      <c r="R400" s="686"/>
      <c r="S400" s="686"/>
      <c r="T400" s="686"/>
      <c r="U400" s="686"/>
      <c r="V400" s="687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23" t="s">
        <v>619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hidden="1" customHeight="1" x14ac:dyDescent="0.25">
      <c r="A402" s="682" t="s">
        <v>90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27" hidden="1" customHeight="1" x14ac:dyDescent="0.25">
      <c r="A403" s="54" t="s">
        <v>620</v>
      </c>
      <c r="B403" s="54" t="s">
        <v>621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820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hidden="1" customHeight="1" x14ac:dyDescent="0.25">
      <c r="A404" s="54" t="s">
        <v>620</v>
      </c>
      <c r="B404" s="54" t="s">
        <v>623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70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hidden="1" customHeight="1" x14ac:dyDescent="0.25">
      <c r="A405" s="54" t="s">
        <v>625</v>
      </c>
      <c r="B405" s="54" t="s">
        <v>626</v>
      </c>
      <c r="C405" s="31">
        <v>4301011312</v>
      </c>
      <c r="D405" s="669">
        <v>4607091384192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764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customHeight="1" x14ac:dyDescent="0.25">
      <c r="A406" s="54" t="s">
        <v>628</v>
      </c>
      <c r="B406" s="54" t="s">
        <v>629</v>
      </c>
      <c r="C406" s="31">
        <v>4301011874</v>
      </c>
      <c r="D406" s="669">
        <v>4680115884892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50</v>
      </c>
      <c r="Y406" s="666">
        <f t="shared" si="57"/>
        <v>54</v>
      </c>
      <c r="Z406" s="36">
        <f>IFERROR(IF(Y406=0,"",ROUNDUP(Y406/H406,0)*0.01898),"")</f>
        <v>9.4899999999999998E-2</v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52.013888888888886</v>
      </c>
      <c r="BN406" s="64">
        <f t="shared" si="59"/>
        <v>56.17499999999999</v>
      </c>
      <c r="BO406" s="64">
        <f t="shared" si="60"/>
        <v>7.2337962962962965E-2</v>
      </c>
      <c r="BP406" s="64">
        <f t="shared" si="61"/>
        <v>7.8125E-2</v>
      </c>
    </row>
    <row r="407" spans="1:68" ht="37.5" customHeight="1" x14ac:dyDescent="0.25">
      <c r="A407" s="54" t="s">
        <v>631</v>
      </c>
      <c r="B407" s="54" t="s">
        <v>632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76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500</v>
      </c>
      <c r="Y407" s="666">
        <f t="shared" si="57"/>
        <v>504</v>
      </c>
      <c r="Z407" s="36">
        <f>IFERROR(IF(Y407=0,"",ROUNDUP(Y407/H407,0)*0.01898),"")</f>
        <v>0.79715999999999998</v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518.125</v>
      </c>
      <c r="BN407" s="64">
        <f t="shared" si="59"/>
        <v>522.2700000000001</v>
      </c>
      <c r="BO407" s="64">
        <f t="shared" si="60"/>
        <v>0.65104166666666663</v>
      </c>
      <c r="BP407" s="64">
        <f t="shared" si="61"/>
        <v>0.65625</v>
      </c>
    </row>
    <row r="408" spans="1:68" ht="37.5" customHeight="1" x14ac:dyDescent="0.25">
      <c r="A408" s="54" t="s">
        <v>633</v>
      </c>
      <c r="B408" s="54" t="s">
        <v>634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10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69</v>
      </c>
      <c r="X408" s="665">
        <v>120</v>
      </c>
      <c r="Y408" s="666">
        <f t="shared" si="57"/>
        <v>120</v>
      </c>
      <c r="Z408" s="36">
        <f>IFERROR(IF(Y408=0,"",ROUNDUP(Y408/H408,0)*0.00902),"")</f>
        <v>0.27060000000000001</v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126.3</v>
      </c>
      <c r="BN408" s="64">
        <f t="shared" si="59"/>
        <v>126.3</v>
      </c>
      <c r="BO408" s="64">
        <f t="shared" si="60"/>
        <v>0.22727272727272729</v>
      </c>
      <c r="BP408" s="64">
        <f t="shared" si="61"/>
        <v>0.22727272727272729</v>
      </c>
    </row>
    <row r="409" spans="1:68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80</v>
      </c>
      <c r="Q409" s="686"/>
      <c r="R409" s="686"/>
      <c r="S409" s="686"/>
      <c r="T409" s="686"/>
      <c r="U409" s="686"/>
      <c r="V409" s="687"/>
      <c r="W409" s="37" t="s">
        <v>81</v>
      </c>
      <c r="X409" s="667">
        <f>IFERROR(X403/H403,"0")+IFERROR(X404/H404,"0")+IFERROR(X405/H405,"0")+IFERROR(X406/H406,"0")+IFERROR(X407/H407,"0")+IFERROR(X408/H408,"0")</f>
        <v>76.296296296296291</v>
      </c>
      <c r="Y409" s="667">
        <f>IFERROR(Y403/H403,"0")+IFERROR(Y404/H404,"0")+IFERROR(Y405/H405,"0")+IFERROR(Y406/H406,"0")+IFERROR(Y407/H407,"0")+IFERROR(Y408/H408,"0")</f>
        <v>77</v>
      </c>
      <c r="Z409" s="667">
        <f>IFERROR(IF(Z403="",0,Z403),"0")+IFERROR(IF(Z404="",0,Z404),"0")+IFERROR(IF(Z405="",0,Z405),"0")+IFERROR(IF(Z406="",0,Z406),"0")+IFERROR(IF(Z407="",0,Z407),"0")+IFERROR(IF(Z408="",0,Z408),"0")</f>
        <v>1.16266</v>
      </c>
      <c r="AA409" s="668"/>
      <c r="AB409" s="668"/>
      <c r="AC409" s="668"/>
    </row>
    <row r="410" spans="1:68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80</v>
      </c>
      <c r="Q410" s="686"/>
      <c r="R410" s="686"/>
      <c r="S410" s="686"/>
      <c r="T410" s="686"/>
      <c r="U410" s="686"/>
      <c r="V410" s="687"/>
      <c r="W410" s="37" t="s">
        <v>69</v>
      </c>
      <c r="X410" s="667">
        <f>IFERROR(SUM(X403:X408),"0")</f>
        <v>670</v>
      </c>
      <c r="Y410" s="667">
        <f>IFERROR(SUM(Y403:Y408),"0")</f>
        <v>678</v>
      </c>
      <c r="Z410" s="37"/>
      <c r="AA410" s="668"/>
      <c r="AB410" s="668"/>
      <c r="AC410" s="668"/>
    </row>
    <row r="411" spans="1:68" ht="14.25" hidden="1" customHeight="1" x14ac:dyDescent="0.25">
      <c r="A411" s="682" t="s">
        <v>144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customHeight="1" x14ac:dyDescent="0.25">
      <c r="A412" s="54" t="s">
        <v>635</v>
      </c>
      <c r="B412" s="54" t="s">
        <v>636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98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60</v>
      </c>
      <c r="Y412" s="666">
        <f>IFERROR(IF(X412="",0,CEILING((X412/$H412),1)*$H412),"")</f>
        <v>61.32</v>
      </c>
      <c r="Z412" s="36">
        <f>IFERROR(IF(Y412=0,"",ROUNDUP(Y412/H412,0)*0.00902),"")</f>
        <v>0.12628</v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63.698630136986303</v>
      </c>
      <c r="BN412" s="64">
        <f>IFERROR(Y412*I412/H412,"0")</f>
        <v>65.100000000000009</v>
      </c>
      <c r="BO412" s="64">
        <f>IFERROR(1/J412*(X412/H412),"0")</f>
        <v>0.10377750103777501</v>
      </c>
      <c r="BP412" s="64">
        <f>IFERROR(1/J412*(Y412/H412),"0")</f>
        <v>0.10606060606060606</v>
      </c>
    </row>
    <row r="413" spans="1:68" ht="27" hidden="1" customHeight="1" x14ac:dyDescent="0.25">
      <c r="A413" s="54" t="s">
        <v>638</v>
      </c>
      <c r="B413" s="54" t="s">
        <v>639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147</v>
      </c>
      <c r="L413" s="32"/>
      <c r="M413" s="33" t="s">
        <v>68</v>
      </c>
      <c r="N413" s="33"/>
      <c r="O413" s="32">
        <v>35</v>
      </c>
      <c r="P413" s="76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80</v>
      </c>
      <c r="Q414" s="686"/>
      <c r="R414" s="686"/>
      <c r="S414" s="686"/>
      <c r="T414" s="686"/>
      <c r="U414" s="686"/>
      <c r="V414" s="687"/>
      <c r="W414" s="37" t="s">
        <v>81</v>
      </c>
      <c r="X414" s="667">
        <f>IFERROR(X412/H412,"0")+IFERROR(X413/H413,"0")</f>
        <v>13.698630136986301</v>
      </c>
      <c r="Y414" s="667">
        <f>IFERROR(Y412/H412,"0")+IFERROR(Y413/H413,"0")</f>
        <v>14</v>
      </c>
      <c r="Z414" s="667">
        <f>IFERROR(IF(Z412="",0,Z412),"0")+IFERROR(IF(Z413="",0,Z413),"0")</f>
        <v>0.12628</v>
      </c>
      <c r="AA414" s="668"/>
      <c r="AB414" s="668"/>
      <c r="AC414" s="668"/>
    </row>
    <row r="415" spans="1:68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80</v>
      </c>
      <c r="Q415" s="686"/>
      <c r="R415" s="686"/>
      <c r="S415" s="686"/>
      <c r="T415" s="686"/>
      <c r="U415" s="686"/>
      <c r="V415" s="687"/>
      <c r="W415" s="37" t="s">
        <v>69</v>
      </c>
      <c r="X415" s="667">
        <f>IFERROR(SUM(X412:X413),"0")</f>
        <v>60</v>
      </c>
      <c r="Y415" s="667">
        <f>IFERROR(SUM(Y412:Y413),"0")</f>
        <v>61.32</v>
      </c>
      <c r="Z415" s="37"/>
      <c r="AA415" s="668"/>
      <c r="AB415" s="668"/>
      <c r="AC415" s="668"/>
    </row>
    <row r="416" spans="1:68" ht="14.25" hidden="1" customHeight="1" x14ac:dyDescent="0.25">
      <c r="A416" s="682" t="s">
        <v>64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customHeight="1" x14ac:dyDescent="0.25">
      <c r="A417" s="54" t="s">
        <v>640</v>
      </c>
      <c r="B417" s="54" t="s">
        <v>641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101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800</v>
      </c>
      <c r="Y417" s="666">
        <f>IFERROR(IF(X417="",0,CEILING((X417/$H417),1)*$H417),"")</f>
        <v>801</v>
      </c>
      <c r="Z417" s="36">
        <f>IFERROR(IF(Y417=0,"",ROUNDUP(Y417/H417,0)*0.01898),"")</f>
        <v>1.6892199999999999</v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846.13333333333333</v>
      </c>
      <c r="BN417" s="64">
        <f>IFERROR(Y417*I417/H417,"0")</f>
        <v>847.19100000000003</v>
      </c>
      <c r="BO417" s="64">
        <f>IFERROR(1/J417*(X417/H417),"0")</f>
        <v>1.3888888888888888</v>
      </c>
      <c r="BP417" s="64">
        <f>IFERROR(1/J417*(Y417/H417),"0")</f>
        <v>1.390625</v>
      </c>
    </row>
    <row r="418" spans="1:68" ht="37.5" hidden="1" customHeight="1" x14ac:dyDescent="0.25">
      <c r="A418" s="54" t="s">
        <v>643</v>
      </c>
      <c r="B418" s="54" t="s">
        <v>644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983" t="s">
        <v>645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647</v>
      </c>
      <c r="B419" s="54" t="s">
        <v>648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844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120</v>
      </c>
      <c r="Y419" s="666">
        <f>IFERROR(IF(X419="",0,CEILING((X419/$H419),1)*$H419),"")</f>
        <v>120</v>
      </c>
      <c r="Z419" s="36">
        <f>IFERROR(IF(Y419=0,"",ROUNDUP(Y419/H419,0)*0.00651),"")</f>
        <v>0.32550000000000001</v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133.20000000000002</v>
      </c>
      <c r="BN419" s="64">
        <f>IFERROR(Y419*I419/H419,"0")</f>
        <v>133.20000000000002</v>
      </c>
      <c r="BO419" s="64">
        <f>IFERROR(1/J419*(X419/H419),"0")</f>
        <v>0.27472527472527475</v>
      </c>
      <c r="BP419" s="64">
        <f>IFERROR(1/J419*(Y419/H419),"0")</f>
        <v>0.27472527472527475</v>
      </c>
    </row>
    <row r="420" spans="1:68" ht="27" hidden="1" customHeight="1" x14ac:dyDescent="0.25">
      <c r="A420" s="54" t="s">
        <v>647</v>
      </c>
      <c r="B420" s="54" t="s">
        <v>650</v>
      </c>
      <c r="C420" s="31">
        <v>4301051660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9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hidden="1" customHeight="1" x14ac:dyDescent="0.25">
      <c r="A421" s="54" t="s">
        <v>651</v>
      </c>
      <c r="B421" s="54" t="s">
        <v>652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102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80</v>
      </c>
      <c r="Q422" s="686"/>
      <c r="R422" s="686"/>
      <c r="S422" s="686"/>
      <c r="T422" s="686"/>
      <c r="U422" s="686"/>
      <c r="V422" s="687"/>
      <c r="W422" s="37" t="s">
        <v>81</v>
      </c>
      <c r="X422" s="667">
        <f>IFERROR(X417/H417,"0")+IFERROR(X418/H418,"0")+IFERROR(X419/H419,"0")+IFERROR(X420/H420,"0")+IFERROR(X421/H421,"0")</f>
        <v>138.88888888888889</v>
      </c>
      <c r="Y422" s="667">
        <f>IFERROR(Y417/H417,"0")+IFERROR(Y418/H418,"0")+IFERROR(Y419/H419,"0")+IFERROR(Y420/H420,"0")+IFERROR(Y421/H421,"0")</f>
        <v>139</v>
      </c>
      <c r="Z422" s="667">
        <f>IFERROR(IF(Z417="",0,Z417),"0")+IFERROR(IF(Z418="",0,Z418),"0")+IFERROR(IF(Z419="",0,Z419),"0")+IFERROR(IF(Z420="",0,Z420),"0")+IFERROR(IF(Z421="",0,Z421),"0")</f>
        <v>2.0147200000000001</v>
      </c>
      <c r="AA422" s="668"/>
      <c r="AB422" s="668"/>
      <c r="AC422" s="668"/>
    </row>
    <row r="423" spans="1:68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80</v>
      </c>
      <c r="Q423" s="686"/>
      <c r="R423" s="686"/>
      <c r="S423" s="686"/>
      <c r="T423" s="686"/>
      <c r="U423" s="686"/>
      <c r="V423" s="687"/>
      <c r="W423" s="37" t="s">
        <v>69</v>
      </c>
      <c r="X423" s="667">
        <f>IFERROR(SUM(X417:X421),"0")</f>
        <v>920</v>
      </c>
      <c r="Y423" s="667">
        <f>IFERROR(SUM(Y417:Y421),"0")</f>
        <v>921</v>
      </c>
      <c r="Z423" s="37"/>
      <c r="AA423" s="668"/>
      <c r="AB423" s="668"/>
      <c r="AC423" s="668"/>
    </row>
    <row r="424" spans="1:68" ht="14.25" hidden="1" customHeight="1" x14ac:dyDescent="0.25">
      <c r="A424" s="682" t="s">
        <v>170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hidden="1" customHeight="1" x14ac:dyDescent="0.25">
      <c r="A425" s="54" t="s">
        <v>654</v>
      </c>
      <c r="B425" s="54" t="s">
        <v>655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859" t="s">
        <v>656</v>
      </c>
      <c r="Q425" s="672"/>
      <c r="R425" s="672"/>
      <c r="S425" s="672"/>
      <c r="T425" s="673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80</v>
      </c>
      <c r="Q426" s="686"/>
      <c r="R426" s="686"/>
      <c r="S426" s="686"/>
      <c r="T426" s="686"/>
      <c r="U426" s="686"/>
      <c r="V426" s="687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hidden="1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80</v>
      </c>
      <c r="Q427" s="686"/>
      <c r="R427" s="686"/>
      <c r="S427" s="686"/>
      <c r="T427" s="686"/>
      <c r="U427" s="686"/>
      <c r="V427" s="687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hidden="1" customHeight="1" x14ac:dyDescent="0.2">
      <c r="A428" s="802" t="s">
        <v>658</v>
      </c>
      <c r="B428" s="803"/>
      <c r="C428" s="803"/>
      <c r="D428" s="803"/>
      <c r="E428" s="803"/>
      <c r="F428" s="803"/>
      <c r="G428" s="803"/>
      <c r="H428" s="803"/>
      <c r="I428" s="803"/>
      <c r="J428" s="803"/>
      <c r="K428" s="803"/>
      <c r="L428" s="803"/>
      <c r="M428" s="803"/>
      <c r="N428" s="803"/>
      <c r="O428" s="803"/>
      <c r="P428" s="803"/>
      <c r="Q428" s="803"/>
      <c r="R428" s="803"/>
      <c r="S428" s="803"/>
      <c r="T428" s="803"/>
      <c r="U428" s="803"/>
      <c r="V428" s="803"/>
      <c r="W428" s="803"/>
      <c r="X428" s="803"/>
      <c r="Y428" s="803"/>
      <c r="Z428" s="803"/>
      <c r="AA428" s="48"/>
      <c r="AB428" s="48"/>
      <c r="AC428" s="48"/>
    </row>
    <row r="429" spans="1:68" ht="16.5" hidden="1" customHeight="1" x14ac:dyDescent="0.25">
      <c r="A429" s="723" t="s">
        <v>659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hidden="1" customHeight="1" x14ac:dyDescent="0.25">
      <c r="A430" s="682" t="s">
        <v>144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customHeight="1" x14ac:dyDescent="0.25">
      <c r="A431" s="54" t="s">
        <v>660</v>
      </c>
      <c r="B431" s="54" t="s">
        <v>661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831" t="s">
        <v>662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20</v>
      </c>
      <c r="Y431" s="666">
        <f t="shared" ref="Y431:Y442" si="62">IFERROR(IF(X431="",0,CEILING((X431/$H431),1)*$H431),"")</f>
        <v>21.6</v>
      </c>
      <c r="Z431" s="36">
        <f>IFERROR(IF(Y431=0,"",ROUNDUP(Y431/H431,0)*0.00902),"")</f>
        <v>3.6080000000000001E-2</v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20.777777777777779</v>
      </c>
      <c r="BN431" s="64">
        <f t="shared" ref="BN431:BN442" si="64">IFERROR(Y431*I431/H431,"0")</f>
        <v>22.44</v>
      </c>
      <c r="BO431" s="64">
        <f t="shared" ref="BO431:BO442" si="65">IFERROR(1/J431*(X431/H431),"0")</f>
        <v>2.8058361391694722E-2</v>
      </c>
      <c r="BP431" s="64">
        <f t="shared" ref="BP431:BP442" si="66">IFERROR(1/J431*(Y431/H431),"0")</f>
        <v>3.0303030303030304E-2</v>
      </c>
    </row>
    <row r="432" spans="1:68" ht="27" hidden="1" customHeight="1" x14ac:dyDescent="0.25">
      <c r="A432" s="54" t="s">
        <v>664</v>
      </c>
      <c r="B432" s="54" t="s">
        <v>665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702" t="s">
        <v>666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hidden="1" customHeight="1" x14ac:dyDescent="0.25">
      <c r="A433" s="54" t="s">
        <v>664</v>
      </c>
      <c r="B433" s="54" t="s">
        <v>668</v>
      </c>
      <c r="C433" s="31">
        <v>4301031406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1017" t="s">
        <v>666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customHeight="1" x14ac:dyDescent="0.25">
      <c r="A434" s="54" t="s">
        <v>669</v>
      </c>
      <c r="B434" s="54" t="s">
        <v>670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1030" t="s">
        <v>671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15</v>
      </c>
      <c r="Y434" s="666">
        <f t="shared" si="62"/>
        <v>16.200000000000003</v>
      </c>
      <c r="Z434" s="36">
        <f>IFERROR(IF(Y434=0,"",ROUNDUP(Y434/H434,0)*0.00902),"")</f>
        <v>2.7060000000000001E-2</v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15.583333333333334</v>
      </c>
      <c r="BN434" s="64">
        <f t="shared" si="64"/>
        <v>16.830000000000002</v>
      </c>
      <c r="BO434" s="64">
        <f t="shared" si="65"/>
        <v>2.1043771043771045E-2</v>
      </c>
      <c r="BP434" s="64">
        <f t="shared" si="66"/>
        <v>2.2727272727272731E-2</v>
      </c>
    </row>
    <row r="435" spans="1:68" ht="27" hidden="1" customHeight="1" x14ac:dyDescent="0.25">
      <c r="A435" s="54" t="s">
        <v>673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68</v>
      </c>
      <c r="N435" s="33"/>
      <c r="O435" s="32">
        <v>50</v>
      </c>
      <c r="P435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hidden="1" customHeight="1" x14ac:dyDescent="0.25">
      <c r="A436" s="54" t="s">
        <v>673</v>
      </c>
      <c r="B436" s="54" t="s">
        <v>675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147</v>
      </c>
      <c r="L436" s="32"/>
      <c r="M436" s="33" t="s">
        <v>68</v>
      </c>
      <c r="N436" s="33"/>
      <c r="O436" s="32">
        <v>50</v>
      </c>
      <c r="P436" s="1033" t="s">
        <v>676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customHeight="1" x14ac:dyDescent="0.25">
      <c r="A437" s="54" t="s">
        <v>677</v>
      </c>
      <c r="B437" s="54" t="s">
        <v>678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68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14</v>
      </c>
      <c r="Y437" s="666">
        <f t="shared" si="62"/>
        <v>14.700000000000001</v>
      </c>
      <c r="Z437" s="36">
        <f t="shared" si="67"/>
        <v>3.5140000000000005E-2</v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14.866666666666665</v>
      </c>
      <c r="BN437" s="64">
        <f t="shared" si="64"/>
        <v>15.61</v>
      </c>
      <c r="BO437" s="64">
        <f t="shared" si="65"/>
        <v>2.8490028490028491E-2</v>
      </c>
      <c r="BP437" s="64">
        <f t="shared" si="66"/>
        <v>2.9914529914529919E-2</v>
      </c>
    </row>
    <row r="438" spans="1:68" ht="37.5" hidden="1" customHeight="1" x14ac:dyDescent="0.25">
      <c r="A438" s="54" t="s">
        <v>679</v>
      </c>
      <c r="B438" s="54" t="s">
        <v>680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147</v>
      </c>
      <c r="L438" s="32"/>
      <c r="M438" s="33" t="s">
        <v>68</v>
      </c>
      <c r="N438" s="33"/>
      <c r="O438" s="32">
        <v>50</v>
      </c>
      <c r="P438" s="85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682</v>
      </c>
      <c r="B439" s="54" t="s">
        <v>683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68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682</v>
      </c>
      <c r="B440" s="54" t="s">
        <v>685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147</v>
      </c>
      <c r="L440" s="32"/>
      <c r="M440" s="33" t="s">
        <v>68</v>
      </c>
      <c r="N440" s="33"/>
      <c r="O440" s="32">
        <v>50</v>
      </c>
      <c r="P440" s="884" t="s">
        <v>686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687</v>
      </c>
      <c r="B441" s="54" t="s">
        <v>688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68</v>
      </c>
      <c r="N441" s="33"/>
      <c r="O441" s="32">
        <v>50</v>
      </c>
      <c r="P441" s="8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2"/>
        <v>0</v>
      </c>
      <c r="Z441" s="36" t="str">
        <f t="shared" si="67"/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37.5" hidden="1" customHeight="1" x14ac:dyDescent="0.25">
      <c r="A442" s="54" t="s">
        <v>690</v>
      </c>
      <c r="B442" s="54" t="s">
        <v>691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147</v>
      </c>
      <c r="L442" s="32"/>
      <c r="M442" s="33" t="s">
        <v>68</v>
      </c>
      <c r="N442" s="33"/>
      <c r="O442" s="32">
        <v>50</v>
      </c>
      <c r="P442" s="82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80</v>
      </c>
      <c r="Q443" s="686"/>
      <c r="R443" s="686"/>
      <c r="S443" s="686"/>
      <c r="T443" s="686"/>
      <c r="U443" s="686"/>
      <c r="V443" s="687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13.148148148148147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14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9.8280000000000006E-2</v>
      </c>
      <c r="AA443" s="668"/>
      <c r="AB443" s="668"/>
      <c r="AC443" s="668"/>
    </row>
    <row r="444" spans="1:68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80</v>
      </c>
      <c r="Q444" s="686"/>
      <c r="R444" s="686"/>
      <c r="S444" s="686"/>
      <c r="T444" s="686"/>
      <c r="U444" s="686"/>
      <c r="V444" s="687"/>
      <c r="W444" s="37" t="s">
        <v>69</v>
      </c>
      <c r="X444" s="667">
        <f>IFERROR(SUM(X431:X442),"0")</f>
        <v>49</v>
      </c>
      <c r="Y444" s="667">
        <f>IFERROR(SUM(Y431:Y442),"0")</f>
        <v>52.500000000000007</v>
      </c>
      <c r="Z444" s="37"/>
      <c r="AA444" s="668"/>
      <c r="AB444" s="668"/>
      <c r="AC444" s="668"/>
    </row>
    <row r="445" spans="1:68" ht="14.25" hidden="1" customHeight="1" x14ac:dyDescent="0.25">
      <c r="A445" s="682" t="s">
        <v>64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hidden="1" customHeight="1" x14ac:dyDescent="0.25">
      <c r="A446" s="54" t="s">
        <v>692</v>
      </c>
      <c r="B446" s="54" t="s">
        <v>693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695</v>
      </c>
      <c r="B447" s="54" t="s">
        <v>696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104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80</v>
      </c>
      <c r="Q448" s="686"/>
      <c r="R448" s="686"/>
      <c r="S448" s="686"/>
      <c r="T448" s="686"/>
      <c r="U448" s="686"/>
      <c r="V448" s="687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hidden="1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80</v>
      </c>
      <c r="Q449" s="686"/>
      <c r="R449" s="686"/>
      <c r="S449" s="686"/>
      <c r="T449" s="686"/>
      <c r="U449" s="686"/>
      <c r="V449" s="687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hidden="1" customHeight="1" x14ac:dyDescent="0.25">
      <c r="A450" s="723" t="s">
        <v>698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hidden="1" customHeight="1" x14ac:dyDescent="0.25">
      <c r="A451" s="682" t="s">
        <v>133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hidden="1" customHeight="1" x14ac:dyDescent="0.25">
      <c r="A452" s="54" t="s">
        <v>699</v>
      </c>
      <c r="B452" s="54" t="s">
        <v>700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702</v>
      </c>
      <c r="B453" s="54" t="s">
        <v>703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758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80</v>
      </c>
      <c r="Q454" s="686"/>
      <c r="R454" s="686"/>
      <c r="S454" s="686"/>
      <c r="T454" s="686"/>
      <c r="U454" s="686"/>
      <c r="V454" s="687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hidden="1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80</v>
      </c>
      <c r="Q455" s="686"/>
      <c r="R455" s="686"/>
      <c r="S455" s="686"/>
      <c r="T455" s="686"/>
      <c r="U455" s="686"/>
      <c r="V455" s="687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hidden="1" customHeight="1" x14ac:dyDescent="0.25">
      <c r="A456" s="682" t="s">
        <v>144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customHeight="1" x14ac:dyDescent="0.25">
      <c r="A457" s="54" t="s">
        <v>705</v>
      </c>
      <c r="B457" s="54" t="s">
        <v>706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701" t="s">
        <v>707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10</v>
      </c>
      <c r="Y457" s="666">
        <f>IFERROR(IF(X457="",0,CEILING((X457/$H457),1)*$H457),"")</f>
        <v>10.8</v>
      </c>
      <c r="Z457" s="36">
        <f>IFERROR(IF(Y457=0,"",ROUNDUP(Y457/H457,0)*0.00902),"")</f>
        <v>1.804E-2</v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10.388888888888889</v>
      </c>
      <c r="BN457" s="64">
        <f>IFERROR(Y457*I457/H457,"0")</f>
        <v>11.22</v>
      </c>
      <c r="BO457" s="64">
        <f>IFERROR(1/J457*(X457/H457),"0")</f>
        <v>1.4029180695847361E-2</v>
      </c>
      <c r="BP457" s="64">
        <f>IFERROR(1/J457*(Y457/H457),"0")</f>
        <v>1.5151515151515152E-2</v>
      </c>
    </row>
    <row r="458" spans="1:68" ht="27" hidden="1" customHeight="1" x14ac:dyDescent="0.25">
      <c r="A458" s="54" t="s">
        <v>709</v>
      </c>
      <c r="B458" s="54" t="s">
        <v>710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147</v>
      </c>
      <c r="L458" s="32"/>
      <c r="M458" s="33" t="s">
        <v>68</v>
      </c>
      <c r="N458" s="33"/>
      <c r="O458" s="32">
        <v>50</v>
      </c>
      <c r="P458" s="74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712</v>
      </c>
      <c r="B459" s="54" t="s">
        <v>713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147</v>
      </c>
      <c r="L459" s="32"/>
      <c r="M459" s="33" t="s">
        <v>68</v>
      </c>
      <c r="N459" s="33"/>
      <c r="O459" s="32">
        <v>50</v>
      </c>
      <c r="P459" s="905" t="s">
        <v>714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716</v>
      </c>
      <c r="B460" s="54" t="s">
        <v>717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147</v>
      </c>
      <c r="L460" s="32"/>
      <c r="M460" s="33" t="s">
        <v>68</v>
      </c>
      <c r="N460" s="33"/>
      <c r="O460" s="32">
        <v>50</v>
      </c>
      <c r="P46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69</v>
      </c>
      <c r="X460" s="665">
        <v>0</v>
      </c>
      <c r="Y460" s="666">
        <f>IFERROR(IF(X460="",0,CEILING((X460/$H460),1)*$H460),"")</f>
        <v>0</v>
      </c>
      <c r="Z460" s="36" t="str">
        <f>IFERROR(IF(Y460=0,"",ROUNDUP(Y460/H460,0)*0.00502),"")</f>
        <v/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80</v>
      </c>
      <c r="Q461" s="686"/>
      <c r="R461" s="686"/>
      <c r="S461" s="686"/>
      <c r="T461" s="686"/>
      <c r="U461" s="686"/>
      <c r="V461" s="687"/>
      <c r="W461" s="37" t="s">
        <v>81</v>
      </c>
      <c r="X461" s="667">
        <f>IFERROR(X457/H457,"0")+IFERROR(X458/H458,"0")+IFERROR(X459/H459,"0")+IFERROR(X460/H460,"0")</f>
        <v>1.8518518518518516</v>
      </c>
      <c r="Y461" s="667">
        <f>IFERROR(Y457/H457,"0")+IFERROR(Y458/H458,"0")+IFERROR(Y459/H459,"0")+IFERROR(Y460/H460,"0")</f>
        <v>2</v>
      </c>
      <c r="Z461" s="667">
        <f>IFERROR(IF(Z457="",0,Z457),"0")+IFERROR(IF(Z458="",0,Z458),"0")+IFERROR(IF(Z459="",0,Z459),"0")+IFERROR(IF(Z460="",0,Z460),"0")</f>
        <v>1.804E-2</v>
      </c>
      <c r="AA461" s="668"/>
      <c r="AB461" s="668"/>
      <c r="AC461" s="668"/>
    </row>
    <row r="462" spans="1:68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80</v>
      </c>
      <c r="Q462" s="686"/>
      <c r="R462" s="686"/>
      <c r="S462" s="686"/>
      <c r="T462" s="686"/>
      <c r="U462" s="686"/>
      <c r="V462" s="687"/>
      <c r="W462" s="37" t="s">
        <v>69</v>
      </c>
      <c r="X462" s="667">
        <f>IFERROR(SUM(X457:X460),"0")</f>
        <v>10</v>
      </c>
      <c r="Y462" s="667">
        <f>IFERROR(SUM(Y457:Y460),"0")</f>
        <v>10.8</v>
      </c>
      <c r="Z462" s="37"/>
      <c r="AA462" s="668"/>
      <c r="AB462" s="668"/>
      <c r="AC462" s="668"/>
    </row>
    <row r="463" spans="1:68" ht="16.5" hidden="1" customHeight="1" x14ac:dyDescent="0.25">
      <c r="A463" s="723" t="s">
        <v>718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hidden="1" customHeight="1" x14ac:dyDescent="0.25">
      <c r="A464" s="682" t="s">
        <v>144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hidden="1" customHeight="1" x14ac:dyDescent="0.25">
      <c r="A465" s="54" t="s">
        <v>719</v>
      </c>
      <c r="B465" s="54" t="s">
        <v>720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147</v>
      </c>
      <c r="L465" s="32"/>
      <c r="M465" s="33" t="s">
        <v>68</v>
      </c>
      <c r="N465" s="33"/>
      <c r="O465" s="32">
        <v>40</v>
      </c>
      <c r="P465" s="101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722</v>
      </c>
      <c r="B466" s="54" t="s">
        <v>723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715" t="s">
        <v>724</v>
      </c>
      <c r="Q466" s="672"/>
      <c r="R466" s="672"/>
      <c r="S466" s="672"/>
      <c r="T466" s="673"/>
      <c r="U466" s="34"/>
      <c r="V466" s="34"/>
      <c r="W466" s="35" t="s">
        <v>69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80</v>
      </c>
      <c r="Q467" s="686"/>
      <c r="R467" s="686"/>
      <c r="S467" s="686"/>
      <c r="T467" s="686"/>
      <c r="U467" s="686"/>
      <c r="V467" s="687"/>
      <c r="W467" s="37" t="s">
        <v>81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hidden="1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80</v>
      </c>
      <c r="Q468" s="686"/>
      <c r="R468" s="686"/>
      <c r="S468" s="686"/>
      <c r="T468" s="686"/>
      <c r="U468" s="686"/>
      <c r="V468" s="687"/>
      <c r="W468" s="37" t="s">
        <v>69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hidden="1" customHeight="1" x14ac:dyDescent="0.25">
      <c r="A469" s="723" t="s">
        <v>726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hidden="1" customHeight="1" x14ac:dyDescent="0.25">
      <c r="A470" s="682" t="s">
        <v>144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hidden="1" customHeight="1" x14ac:dyDescent="0.25">
      <c r="A471" s="54" t="s">
        <v>727</v>
      </c>
      <c r="B471" s="54" t="s">
        <v>728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76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80</v>
      </c>
      <c r="Q472" s="686"/>
      <c r="R472" s="686"/>
      <c r="S472" s="686"/>
      <c r="T472" s="686"/>
      <c r="U472" s="686"/>
      <c r="V472" s="687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hidden="1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80</v>
      </c>
      <c r="Q473" s="686"/>
      <c r="R473" s="686"/>
      <c r="S473" s="686"/>
      <c r="T473" s="686"/>
      <c r="U473" s="686"/>
      <c r="V473" s="687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hidden="1" customHeight="1" x14ac:dyDescent="0.25">
      <c r="A474" s="682" t="s">
        <v>170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hidden="1" customHeight="1" x14ac:dyDescent="0.25">
      <c r="A475" s="54" t="s">
        <v>730</v>
      </c>
      <c r="B475" s="54" t="s">
        <v>731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952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80</v>
      </c>
      <c r="Q476" s="686"/>
      <c r="R476" s="686"/>
      <c r="S476" s="686"/>
      <c r="T476" s="686"/>
      <c r="U476" s="686"/>
      <c r="V476" s="687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hidden="1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80</v>
      </c>
      <c r="Q477" s="686"/>
      <c r="R477" s="686"/>
      <c r="S477" s="686"/>
      <c r="T477" s="686"/>
      <c r="U477" s="686"/>
      <c r="V477" s="687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hidden="1" customHeight="1" x14ac:dyDescent="0.2">
      <c r="A478" s="802" t="s">
        <v>733</v>
      </c>
      <c r="B478" s="803"/>
      <c r="C478" s="803"/>
      <c r="D478" s="803"/>
      <c r="E478" s="803"/>
      <c r="F478" s="803"/>
      <c r="G478" s="803"/>
      <c r="H478" s="803"/>
      <c r="I478" s="803"/>
      <c r="J478" s="803"/>
      <c r="K478" s="803"/>
      <c r="L478" s="803"/>
      <c r="M478" s="803"/>
      <c r="N478" s="803"/>
      <c r="O478" s="803"/>
      <c r="P478" s="803"/>
      <c r="Q478" s="803"/>
      <c r="R478" s="803"/>
      <c r="S478" s="803"/>
      <c r="T478" s="803"/>
      <c r="U478" s="803"/>
      <c r="V478" s="803"/>
      <c r="W478" s="803"/>
      <c r="X478" s="803"/>
      <c r="Y478" s="803"/>
      <c r="Z478" s="803"/>
      <c r="AA478" s="48"/>
      <c r="AB478" s="48"/>
      <c r="AC478" s="48"/>
    </row>
    <row r="479" spans="1:68" ht="16.5" hidden="1" customHeight="1" x14ac:dyDescent="0.25">
      <c r="A479" s="723" t="s">
        <v>733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hidden="1" customHeight="1" x14ac:dyDescent="0.25">
      <c r="A480" s="682" t="s">
        <v>90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customHeight="1" x14ac:dyDescent="0.25">
      <c r="A481" s="54" t="s">
        <v>734</v>
      </c>
      <c r="B481" s="54" t="s">
        <v>735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60</v>
      </c>
      <c r="Y481" s="666">
        <f t="shared" ref="Y481:Y495" si="68">IFERROR(IF(X481="",0,CEILING((X481/$H481),1)*$H481),"")</f>
        <v>63.36</v>
      </c>
      <c r="Z481" s="36">
        <f>IFERROR(IF(Y481=0,"",ROUNDUP(Y481/H481,0)*0.01196),"")</f>
        <v>0.14352000000000001</v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64.090909090909079</v>
      </c>
      <c r="BN481" s="64">
        <f t="shared" ref="BN481:BN495" si="70">IFERROR(Y481*I481/H481,"0")</f>
        <v>67.679999999999993</v>
      </c>
      <c r="BO481" s="64">
        <f t="shared" ref="BO481:BO495" si="71">IFERROR(1/J481*(X481/H481),"0")</f>
        <v>0.10926573426573427</v>
      </c>
      <c r="BP481" s="64">
        <f t="shared" ref="BP481:BP495" si="72">IFERROR(1/J481*(Y481/H481),"0")</f>
        <v>0.11538461538461539</v>
      </c>
    </row>
    <row r="482" spans="1:68" ht="27" customHeight="1" x14ac:dyDescent="0.25">
      <c r="A482" s="54" t="s">
        <v>737</v>
      </c>
      <c r="B482" s="54" t="s">
        <v>738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7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30</v>
      </c>
      <c r="Y482" s="666">
        <f t="shared" si="68"/>
        <v>31.68</v>
      </c>
      <c r="Z482" s="36">
        <f>IFERROR(IF(Y482=0,"",ROUNDUP(Y482/H482,0)*0.01196),"")</f>
        <v>7.1760000000000004E-2</v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32.04545454545454</v>
      </c>
      <c r="BN482" s="64">
        <f t="shared" si="70"/>
        <v>33.839999999999996</v>
      </c>
      <c r="BO482" s="64">
        <f t="shared" si="71"/>
        <v>5.4632867132867136E-2</v>
      </c>
      <c r="BP482" s="64">
        <f t="shared" si="72"/>
        <v>5.7692307692307696E-2</v>
      </c>
    </row>
    <row r="483" spans="1:68" ht="27" customHeight="1" x14ac:dyDescent="0.25">
      <c r="A483" s="54" t="s">
        <v>740</v>
      </c>
      <c r="B483" s="54" t="s">
        <v>741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69</v>
      </c>
      <c r="X483" s="665">
        <v>60</v>
      </c>
      <c r="Y483" s="666">
        <f t="shared" si="68"/>
        <v>63.36</v>
      </c>
      <c r="Z483" s="36">
        <f>IFERROR(IF(Y483=0,"",ROUNDUP(Y483/H483,0)*0.01196),"")</f>
        <v>0.14352000000000001</v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64.090909090909079</v>
      </c>
      <c r="BN483" s="64">
        <f t="shared" si="70"/>
        <v>67.679999999999993</v>
      </c>
      <c r="BO483" s="64">
        <f t="shared" si="71"/>
        <v>0.10926573426573427</v>
      </c>
      <c r="BP483" s="64">
        <f t="shared" si="72"/>
        <v>0.11538461538461539</v>
      </c>
    </row>
    <row r="484" spans="1:68" ht="27" customHeight="1" x14ac:dyDescent="0.25">
      <c r="A484" s="54" t="s">
        <v>743</v>
      </c>
      <c r="B484" s="54" t="s">
        <v>744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40</v>
      </c>
      <c r="Y484" s="666">
        <f t="shared" si="68"/>
        <v>42.24</v>
      </c>
      <c r="Z484" s="36">
        <f>IFERROR(IF(Y484=0,"",ROUNDUP(Y484/H484,0)*0.01196),"")</f>
        <v>9.5680000000000001E-2</v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42.727272727272727</v>
      </c>
      <c r="BN484" s="64">
        <f t="shared" si="70"/>
        <v>45.12</v>
      </c>
      <c r="BO484" s="64">
        <f t="shared" si="71"/>
        <v>7.2843822843822847E-2</v>
      </c>
      <c r="BP484" s="64">
        <f t="shared" si="72"/>
        <v>7.6923076923076927E-2</v>
      </c>
    </row>
    <row r="485" spans="1:68" ht="16.5" hidden="1" customHeight="1" x14ac:dyDescent="0.25">
      <c r="A485" s="54" t="s">
        <v>746</v>
      </c>
      <c r="B485" s="54" t="s">
        <v>747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hidden="1" customHeight="1" x14ac:dyDescent="0.25">
      <c r="A486" s="54" t="s">
        <v>749</v>
      </c>
      <c r="B486" s="54" t="s">
        <v>750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999" t="s">
        <v>751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hidden="1" customHeight="1" x14ac:dyDescent="0.25">
      <c r="A487" s="54" t="s">
        <v>752</v>
      </c>
      <c r="B487" s="54" t="s">
        <v>753</v>
      </c>
      <c r="C487" s="31">
        <v>4301012035</v>
      </c>
      <c r="D487" s="669">
        <v>4680115880603</v>
      </c>
      <c r="E487" s="670"/>
      <c r="F487" s="664">
        <v>0.6</v>
      </c>
      <c r="G487" s="32">
        <v>8</v>
      </c>
      <c r="H487" s="664">
        <v>4.8</v>
      </c>
      <c r="I487" s="664">
        <v>6.96</v>
      </c>
      <c r="J487" s="32">
        <v>120</v>
      </c>
      <c r="K487" s="32" t="s">
        <v>98</v>
      </c>
      <c r="L487" s="32"/>
      <c r="M487" s="33" t="s">
        <v>94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8"/>
        <v>0</v>
      </c>
      <c r="Z487" s="36" t="str">
        <f>IFERROR(IF(Y487=0,"",ROUNDUP(Y487/H487,0)*0.00937),"")</f>
        <v/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hidden="1" customHeight="1" x14ac:dyDescent="0.25">
      <c r="A488" s="54" t="s">
        <v>752</v>
      </c>
      <c r="B488" s="54" t="s">
        <v>754</v>
      </c>
      <c r="C488" s="31">
        <v>4301011778</v>
      </c>
      <c r="D488" s="669">
        <v>4680115880603</v>
      </c>
      <c r="E488" s="670"/>
      <c r="F488" s="664">
        <v>0.6</v>
      </c>
      <c r="G488" s="32">
        <v>6</v>
      </c>
      <c r="H488" s="664">
        <v>3.6</v>
      </c>
      <c r="I488" s="664">
        <v>3.81</v>
      </c>
      <c r="J488" s="32">
        <v>132</v>
      </c>
      <c r="K488" s="32" t="s">
        <v>98</v>
      </c>
      <c r="L488" s="32"/>
      <c r="M488" s="33" t="s">
        <v>94</v>
      </c>
      <c r="N488" s="33"/>
      <c r="O488" s="32">
        <v>60</v>
      </c>
      <c r="P488" s="956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IFERROR(IF(Y488=0,"",ROUNDUP(Y488/H488,0)*0.00902),"")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hidden="1" customHeight="1" x14ac:dyDescent="0.25">
      <c r="A489" s="54" t="s">
        <v>755</v>
      </c>
      <c r="B489" s="54" t="s">
        <v>756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hidden="1" customHeight="1" x14ac:dyDescent="0.25">
      <c r="A490" s="54" t="s">
        <v>757</v>
      </c>
      <c r="B490" s="54" t="s">
        <v>758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958" t="s">
        <v>759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hidden="1" customHeight="1" x14ac:dyDescent="0.25">
      <c r="A491" s="54" t="s">
        <v>760</v>
      </c>
      <c r="B491" s="54" t="s">
        <v>761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67" t="s">
        <v>762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hidden="1" customHeight="1" x14ac:dyDescent="0.25">
      <c r="A492" s="54" t="s">
        <v>764</v>
      </c>
      <c r="B492" s="54" t="s">
        <v>765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789" t="s">
        <v>766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hidden="1" customHeight="1" x14ac:dyDescent="0.25">
      <c r="A493" s="54" t="s">
        <v>768</v>
      </c>
      <c r="B493" s="54" t="s">
        <v>769</v>
      </c>
      <c r="C493" s="31">
        <v>4301012034</v>
      </c>
      <c r="D493" s="669">
        <v>4607091389982</v>
      </c>
      <c r="E493" s="670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98</v>
      </c>
      <c r="L493" s="32"/>
      <c r="M493" s="33" t="s">
        <v>94</v>
      </c>
      <c r="N493" s="33"/>
      <c r="O493" s="32">
        <v>60</v>
      </c>
      <c r="P493" s="8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8"/>
        <v>0</v>
      </c>
      <c r="Z493" s="36" t="str">
        <f>IFERROR(IF(Y493=0,"",ROUNDUP(Y493/H493,0)*0.00937),"")</f>
        <v/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4301011784</v>
      </c>
      <c r="D494" s="669">
        <v>4607091389982</v>
      </c>
      <c r="E494" s="670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98</v>
      </c>
      <c r="L494" s="32"/>
      <c r="M494" s="33" t="s">
        <v>94</v>
      </c>
      <c r="N494" s="33"/>
      <c r="O494" s="32">
        <v>60</v>
      </c>
      <c r="P494" s="7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IFERROR(IF(Y494=0,"",ROUNDUP(Y494/H494,0)*0.00902),"")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83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80</v>
      </c>
      <c r="Q496" s="686"/>
      <c r="R496" s="686"/>
      <c r="S496" s="686"/>
      <c r="T496" s="686"/>
      <c r="U496" s="686"/>
      <c r="V496" s="687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35.984848484848484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38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0.45448</v>
      </c>
      <c r="AA496" s="668"/>
      <c r="AB496" s="668"/>
      <c r="AC496" s="668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80</v>
      </c>
      <c r="Q497" s="686"/>
      <c r="R497" s="686"/>
      <c r="S497" s="686"/>
      <c r="T497" s="686"/>
      <c r="U497" s="686"/>
      <c r="V497" s="687"/>
      <c r="W497" s="37" t="s">
        <v>69</v>
      </c>
      <c r="X497" s="667">
        <f>IFERROR(SUM(X481:X495),"0")</f>
        <v>190</v>
      </c>
      <c r="Y497" s="667">
        <f>IFERROR(SUM(Y481:Y495),"0")</f>
        <v>200.64</v>
      </c>
      <c r="Z497" s="37"/>
      <c r="AA497" s="668"/>
      <c r="AB497" s="668"/>
      <c r="AC497" s="668"/>
    </row>
    <row r="498" spans="1:68" ht="14.25" hidden="1" customHeight="1" x14ac:dyDescent="0.25">
      <c r="A498" s="682" t="s">
        <v>133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103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80</v>
      </c>
      <c r="Y499" s="666">
        <f>IFERROR(IF(X499="",0,CEILING((X499/$H499),1)*$H499),"")</f>
        <v>84.48</v>
      </c>
      <c r="Z499" s="36">
        <f>IFERROR(IF(Y499=0,"",ROUNDUP(Y499/H499,0)*0.01196),"")</f>
        <v>0.19136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85.454545454545453</v>
      </c>
      <c r="BN499" s="64">
        <f>IFERROR(Y499*I499/H499,"0")</f>
        <v>90.24</v>
      </c>
      <c r="BO499" s="64">
        <f>IFERROR(1/J499*(X499/H499),"0")</f>
        <v>0.14568764568764569</v>
      </c>
      <c r="BP499" s="64">
        <f>IFERROR(1/J499*(Y499/H499),"0")</f>
        <v>0.15384615384615385</v>
      </c>
    </row>
    <row r="500" spans="1:68" ht="16.5" hidden="1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910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799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755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80</v>
      </c>
      <c r="Q503" s="686"/>
      <c r="R503" s="686"/>
      <c r="S503" s="686"/>
      <c r="T503" s="686"/>
      <c r="U503" s="686"/>
      <c r="V503" s="687"/>
      <c r="W503" s="37" t="s">
        <v>81</v>
      </c>
      <c r="X503" s="667">
        <f>IFERROR(X499/H499,"0")+IFERROR(X500/H500,"0")+IFERROR(X501/H501,"0")+IFERROR(X502/H502,"0")</f>
        <v>15.15151515151515</v>
      </c>
      <c r="Y503" s="667">
        <f>IFERROR(Y499/H499,"0")+IFERROR(Y500/H500,"0")+IFERROR(Y501/H501,"0")+IFERROR(Y502/H502,"0")</f>
        <v>16</v>
      </c>
      <c r="Z503" s="667">
        <f>IFERROR(IF(Z499="",0,Z499),"0")+IFERROR(IF(Z500="",0,Z500),"0")+IFERROR(IF(Z501="",0,Z501),"0")+IFERROR(IF(Z502="",0,Z502),"0")</f>
        <v>0.19136</v>
      </c>
      <c r="AA503" s="668"/>
      <c r="AB503" s="668"/>
      <c r="AC503" s="668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80</v>
      </c>
      <c r="Q504" s="686"/>
      <c r="R504" s="686"/>
      <c r="S504" s="686"/>
      <c r="T504" s="686"/>
      <c r="U504" s="686"/>
      <c r="V504" s="687"/>
      <c r="W504" s="37" t="s">
        <v>69</v>
      </c>
      <c r="X504" s="667">
        <f>IFERROR(SUM(X499:X502),"0")</f>
        <v>80</v>
      </c>
      <c r="Y504" s="667">
        <f>IFERROR(SUM(Y499:Y502),"0")</f>
        <v>84.48</v>
      </c>
      <c r="Z504" s="37"/>
      <c r="AA504" s="668"/>
      <c r="AB504" s="668"/>
      <c r="AC504" s="668"/>
    </row>
    <row r="505" spans="1:68" ht="14.25" hidden="1" customHeight="1" x14ac:dyDescent="0.25">
      <c r="A505" s="682" t="s">
        <v>144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94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20</v>
      </c>
      <c r="Y506" s="666">
        <f t="shared" ref="Y506:Y517" si="73">IFERROR(IF(X506="",0,CEILING((X506/$H506),1)*$H506),"")</f>
        <v>21.12</v>
      </c>
      <c r="Z506" s="36">
        <f>IFERROR(IF(Y506=0,"",ROUNDUP(Y506/H506,0)*0.01196),"")</f>
        <v>4.7840000000000001E-2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21.363636363636363</v>
      </c>
      <c r="BN506" s="64">
        <f t="shared" ref="BN506:BN517" si="75">IFERROR(Y506*I506/H506,"0")</f>
        <v>22.56</v>
      </c>
      <c r="BO506" s="64">
        <f t="shared" ref="BO506:BO517" si="76">IFERROR(1/J506*(X506/H506),"0")</f>
        <v>3.6421911421911424E-2</v>
      </c>
      <c r="BP506" s="64">
        <f t="shared" ref="BP506:BP517" si="77">IFERROR(1/J506*(Y506/H506),"0")</f>
        <v>3.8461538461538464E-2</v>
      </c>
    </row>
    <row r="507" spans="1:68" ht="27" hidden="1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1051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3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0</v>
      </c>
      <c r="BN507" s="64">
        <f t="shared" si="75"/>
        <v>0</v>
      </c>
      <c r="BO507" s="64">
        <f t="shared" si="76"/>
        <v>0</v>
      </c>
      <c r="BP507" s="64">
        <f t="shared" si="77"/>
        <v>0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776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50</v>
      </c>
      <c r="Y508" s="666">
        <f t="shared" si="73"/>
        <v>52.800000000000004</v>
      </c>
      <c r="Z508" s="36">
        <f>IFERROR(IF(Y508=0,"",ROUNDUP(Y508/H508,0)*0.01196),"")</f>
        <v>0.1196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53.409090909090907</v>
      </c>
      <c r="BN508" s="64">
        <f t="shared" si="75"/>
        <v>56.400000000000006</v>
      </c>
      <c r="BO508" s="64">
        <f t="shared" si="76"/>
        <v>9.1054778554778545E-2</v>
      </c>
      <c r="BP508" s="64">
        <f t="shared" si="77"/>
        <v>9.6153846153846159E-2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995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hidden="1" customHeight="1" x14ac:dyDescent="0.25">
      <c r="A510" s="54" t="s">
        <v>800</v>
      </c>
      <c r="B510" s="54" t="s">
        <v>801</v>
      </c>
      <c r="C510" s="31">
        <v>4301031351</v>
      </c>
      <c r="D510" s="669">
        <v>4680115882072</v>
      </c>
      <c r="E510" s="670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98</v>
      </c>
      <c r="L510" s="32"/>
      <c r="M510" s="33" t="s">
        <v>94</v>
      </c>
      <c r="N510" s="33"/>
      <c r="O510" s="32">
        <v>70</v>
      </c>
      <c r="P510" s="1002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hidden="1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98</v>
      </c>
      <c r="L511" s="32"/>
      <c r="M511" s="33" t="s">
        <v>94</v>
      </c>
      <c r="N511" s="33"/>
      <c r="O511" s="32">
        <v>60</v>
      </c>
      <c r="P511" s="87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3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4301031419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924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hidden="1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84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852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hidden="1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99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3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hidden="1" customHeight="1" x14ac:dyDescent="0.25">
      <c r="A516" s="54" t="s">
        <v>812</v>
      </c>
      <c r="B516" s="54" t="s">
        <v>815</v>
      </c>
      <c r="C516" s="31">
        <v>4301031384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6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hidden="1" customHeight="1" x14ac:dyDescent="0.25">
      <c r="A517" s="54" t="s">
        <v>812</v>
      </c>
      <c r="B517" s="54" t="s">
        <v>816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901" t="s">
        <v>817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80</v>
      </c>
      <c r="Q518" s="686"/>
      <c r="R518" s="686"/>
      <c r="S518" s="686"/>
      <c r="T518" s="686"/>
      <c r="U518" s="686"/>
      <c r="V518" s="687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13.257575757575756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14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0.16744000000000001</v>
      </c>
      <c r="AA518" s="668"/>
      <c r="AB518" s="668"/>
      <c r="AC518" s="668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80</v>
      </c>
      <c r="Q519" s="686"/>
      <c r="R519" s="686"/>
      <c r="S519" s="686"/>
      <c r="T519" s="686"/>
      <c r="U519" s="686"/>
      <c r="V519" s="687"/>
      <c r="W519" s="37" t="s">
        <v>69</v>
      </c>
      <c r="X519" s="667">
        <f>IFERROR(SUM(X506:X517),"0")</f>
        <v>70</v>
      </c>
      <c r="Y519" s="667">
        <f>IFERROR(SUM(Y506:Y517),"0")</f>
        <v>73.92</v>
      </c>
      <c r="Z519" s="37"/>
      <c r="AA519" s="668"/>
      <c r="AB519" s="668"/>
      <c r="AC519" s="668"/>
    </row>
    <row r="520" spans="1:68" ht="14.25" hidden="1" customHeight="1" x14ac:dyDescent="0.25">
      <c r="A520" s="682" t="s">
        <v>64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73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75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79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80</v>
      </c>
      <c r="Q524" s="686"/>
      <c r="R524" s="686"/>
      <c r="S524" s="686"/>
      <c r="T524" s="686"/>
      <c r="U524" s="686"/>
      <c r="V524" s="687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80</v>
      </c>
      <c r="Q525" s="686"/>
      <c r="R525" s="686"/>
      <c r="S525" s="686"/>
      <c r="T525" s="686"/>
      <c r="U525" s="686"/>
      <c r="V525" s="687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2" t="s">
        <v>170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7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1034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80</v>
      </c>
      <c r="Q529" s="686"/>
      <c r="R529" s="686"/>
      <c r="S529" s="686"/>
      <c r="T529" s="686"/>
      <c r="U529" s="686"/>
      <c r="V529" s="687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80</v>
      </c>
      <c r="Q530" s="686"/>
      <c r="R530" s="686"/>
      <c r="S530" s="686"/>
      <c r="T530" s="686"/>
      <c r="U530" s="686"/>
      <c r="V530" s="687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802" t="s">
        <v>833</v>
      </c>
      <c r="B531" s="803"/>
      <c r="C531" s="803"/>
      <c r="D531" s="803"/>
      <c r="E531" s="803"/>
      <c r="F531" s="803"/>
      <c r="G531" s="803"/>
      <c r="H531" s="803"/>
      <c r="I531" s="803"/>
      <c r="J531" s="803"/>
      <c r="K531" s="803"/>
      <c r="L531" s="803"/>
      <c r="M531" s="803"/>
      <c r="N531" s="803"/>
      <c r="O531" s="803"/>
      <c r="P531" s="803"/>
      <c r="Q531" s="803"/>
      <c r="R531" s="803"/>
      <c r="S531" s="803"/>
      <c r="T531" s="803"/>
      <c r="U531" s="803"/>
      <c r="V531" s="803"/>
      <c r="W531" s="803"/>
      <c r="X531" s="803"/>
      <c r="Y531" s="803"/>
      <c r="Z531" s="803"/>
      <c r="AA531" s="48"/>
      <c r="AB531" s="48"/>
      <c r="AC531" s="48"/>
    </row>
    <row r="532" spans="1:68" ht="16.5" hidden="1" customHeight="1" x14ac:dyDescent="0.25">
      <c r="A532" s="723" t="s">
        <v>833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hidden="1" customHeight="1" x14ac:dyDescent="0.25">
      <c r="A533" s="682" t="s">
        <v>90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1052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911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hidden="1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1047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775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5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762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hidden="1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80</v>
      </c>
      <c r="Q540" s="686"/>
      <c r="R540" s="686"/>
      <c r="S540" s="686"/>
      <c r="T540" s="686"/>
      <c r="U540" s="686"/>
      <c r="V540" s="687"/>
      <c r="W540" s="37" t="s">
        <v>81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80</v>
      </c>
      <c r="Q541" s="686"/>
      <c r="R541" s="686"/>
      <c r="S541" s="686"/>
      <c r="T541" s="686"/>
      <c r="U541" s="686"/>
      <c r="V541" s="687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2" t="s">
        <v>133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65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813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72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720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975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80</v>
      </c>
      <c r="Q548" s="686"/>
      <c r="R548" s="686"/>
      <c r="S548" s="686"/>
      <c r="T548" s="686"/>
      <c r="U548" s="686"/>
      <c r="V548" s="687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80</v>
      </c>
      <c r="Q549" s="686"/>
      <c r="R549" s="686"/>
      <c r="S549" s="686"/>
      <c r="T549" s="686"/>
      <c r="U549" s="686"/>
      <c r="V549" s="687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2" t="s">
        <v>144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hidden="1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953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hidden="1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721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3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0</v>
      </c>
      <c r="BN552" s="64">
        <f t="shared" si="85"/>
        <v>0</v>
      </c>
      <c r="BO552" s="64">
        <f t="shared" si="86"/>
        <v>0</v>
      </c>
      <c r="BP552" s="64">
        <f t="shared" si="87"/>
        <v>0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757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933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957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68</v>
      </c>
      <c r="N556" s="33"/>
      <c r="O556" s="32">
        <v>40</v>
      </c>
      <c r="P556" s="718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68</v>
      </c>
      <c r="N557" s="33"/>
      <c r="O557" s="32">
        <v>40</v>
      </c>
      <c r="P557" s="961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hidden="1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80</v>
      </c>
      <c r="Q558" s="686"/>
      <c r="R558" s="686"/>
      <c r="S558" s="686"/>
      <c r="T558" s="686"/>
      <c r="U558" s="686"/>
      <c r="V558" s="687"/>
      <c r="W558" s="37" t="s">
        <v>81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80</v>
      </c>
      <c r="Q559" s="686"/>
      <c r="R559" s="686"/>
      <c r="S559" s="686"/>
      <c r="T559" s="686"/>
      <c r="U559" s="686"/>
      <c r="V559" s="687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2" t="s">
        <v>64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hidden="1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129</v>
      </c>
      <c r="N561" s="33"/>
      <c r="O561" s="32">
        <v>45</v>
      </c>
      <c r="P561" s="908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689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744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129</v>
      </c>
      <c r="N564" s="33"/>
      <c r="O564" s="32">
        <v>45</v>
      </c>
      <c r="P564" s="878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129</v>
      </c>
      <c r="N565" s="33"/>
      <c r="O565" s="32">
        <v>45</v>
      </c>
      <c r="P565" s="752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80</v>
      </c>
      <c r="Q566" s="686"/>
      <c r="R566" s="686"/>
      <c r="S566" s="686"/>
      <c r="T566" s="686"/>
      <c r="U566" s="686"/>
      <c r="V566" s="687"/>
      <c r="W566" s="37" t="s">
        <v>81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80</v>
      </c>
      <c r="Q567" s="686"/>
      <c r="R567" s="686"/>
      <c r="S567" s="686"/>
      <c r="T567" s="686"/>
      <c r="U567" s="686"/>
      <c r="V567" s="687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82" t="s">
        <v>170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hidden="1" customHeight="1" x14ac:dyDescent="0.25">
      <c r="A569" s="54" t="s">
        <v>914</v>
      </c>
      <c r="B569" s="54" t="s">
        <v>915</v>
      </c>
      <c r="C569" s="31">
        <v>4301060485</v>
      </c>
      <c r="D569" s="669">
        <v>4640242180120</v>
      </c>
      <c r="E569" s="670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93</v>
      </c>
      <c r="L569" s="32"/>
      <c r="M569" s="33" t="s">
        <v>100</v>
      </c>
      <c r="N569" s="33"/>
      <c r="O569" s="32">
        <v>40</v>
      </c>
      <c r="P569" s="948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4301060496</v>
      </c>
      <c r="D570" s="669">
        <v>4640242180120</v>
      </c>
      <c r="E570" s="670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93</v>
      </c>
      <c r="L570" s="32"/>
      <c r="M570" s="33" t="s">
        <v>129</v>
      </c>
      <c r="N570" s="33"/>
      <c r="O570" s="32">
        <v>40</v>
      </c>
      <c r="P570" s="736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4301060486</v>
      </c>
      <c r="D571" s="669">
        <v>4640242180137</v>
      </c>
      <c r="E571" s="670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93</v>
      </c>
      <c r="L571" s="32"/>
      <c r="M571" s="33" t="s">
        <v>100</v>
      </c>
      <c r="N571" s="33"/>
      <c r="O571" s="32">
        <v>40</v>
      </c>
      <c r="P571" s="77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4301060498</v>
      </c>
      <c r="D572" s="669">
        <v>4640242180137</v>
      </c>
      <c r="E572" s="670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93</v>
      </c>
      <c r="L572" s="32"/>
      <c r="M572" s="33" t="s">
        <v>129</v>
      </c>
      <c r="N572" s="33"/>
      <c r="O572" s="32">
        <v>40</v>
      </c>
      <c r="P572" s="726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80</v>
      </c>
      <c r="Q573" s="686"/>
      <c r="R573" s="686"/>
      <c r="S573" s="686"/>
      <c r="T573" s="686"/>
      <c r="U573" s="686"/>
      <c r="V573" s="687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80</v>
      </c>
      <c r="Q574" s="686"/>
      <c r="R574" s="686"/>
      <c r="S574" s="686"/>
      <c r="T574" s="686"/>
      <c r="U574" s="686"/>
      <c r="V574" s="687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23" t="s">
        <v>926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hidden="1" customHeight="1" x14ac:dyDescent="0.25">
      <c r="A576" s="682" t="s">
        <v>90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979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80</v>
      </c>
      <c r="Q578" s="686"/>
      <c r="R578" s="686"/>
      <c r="S578" s="686"/>
      <c r="T578" s="686"/>
      <c r="U578" s="686"/>
      <c r="V578" s="687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80</v>
      </c>
      <c r="Q579" s="686"/>
      <c r="R579" s="686"/>
      <c r="S579" s="686"/>
      <c r="T579" s="686"/>
      <c r="U579" s="686"/>
      <c r="V579" s="687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2" t="s">
        <v>133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814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80</v>
      </c>
      <c r="Q582" s="686"/>
      <c r="R582" s="686"/>
      <c r="S582" s="686"/>
      <c r="T582" s="686"/>
      <c r="U582" s="686"/>
      <c r="V582" s="687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80</v>
      </c>
      <c r="Q583" s="686"/>
      <c r="R583" s="686"/>
      <c r="S583" s="686"/>
      <c r="T583" s="686"/>
      <c r="U583" s="686"/>
      <c r="V583" s="687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2" t="s">
        <v>144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794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80</v>
      </c>
      <c r="Q586" s="686"/>
      <c r="R586" s="686"/>
      <c r="S586" s="686"/>
      <c r="T586" s="686"/>
      <c r="U586" s="686"/>
      <c r="V586" s="687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80</v>
      </c>
      <c r="Q587" s="686"/>
      <c r="R587" s="686"/>
      <c r="S587" s="686"/>
      <c r="T587" s="686"/>
      <c r="U587" s="686"/>
      <c r="V587" s="687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2" t="s">
        <v>64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129</v>
      </c>
      <c r="N589" s="33"/>
      <c r="O589" s="32">
        <v>45</v>
      </c>
      <c r="P589" s="1026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80</v>
      </c>
      <c r="Q590" s="686"/>
      <c r="R590" s="686"/>
      <c r="S590" s="686"/>
      <c r="T590" s="686"/>
      <c r="U590" s="686"/>
      <c r="V590" s="687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80</v>
      </c>
      <c r="Q591" s="686"/>
      <c r="R591" s="686"/>
      <c r="S591" s="686"/>
      <c r="T591" s="686"/>
      <c r="U591" s="686"/>
      <c r="V591" s="687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7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72"/>
      <c r="P592" s="841" t="s">
        <v>943</v>
      </c>
      <c r="Q592" s="817"/>
      <c r="R592" s="817"/>
      <c r="S592" s="817"/>
      <c r="T592" s="817"/>
      <c r="U592" s="817"/>
      <c r="V592" s="818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6297.4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6407.21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72"/>
      <c r="P593" s="841" t="s">
        <v>944</v>
      </c>
      <c r="Q593" s="817"/>
      <c r="R593" s="817"/>
      <c r="S593" s="817"/>
      <c r="T593" s="817"/>
      <c r="U593" s="817"/>
      <c r="V593" s="818"/>
      <c r="W593" s="37" t="s">
        <v>69</v>
      </c>
      <c r="X593" s="667">
        <f>IFERROR(SUM(BM22:BM589),"0")</f>
        <v>6603.7872617749545</v>
      </c>
      <c r="Y593" s="667">
        <f>IFERROR(SUM(BN22:BN589),"0")</f>
        <v>6719.2240000000002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72"/>
      <c r="P594" s="841" t="s">
        <v>945</v>
      </c>
      <c r="Q594" s="817"/>
      <c r="R594" s="817"/>
      <c r="S594" s="817"/>
      <c r="T594" s="817"/>
      <c r="U594" s="817"/>
      <c r="V594" s="818"/>
      <c r="W594" s="37" t="s">
        <v>946</v>
      </c>
      <c r="X594" s="38">
        <f>ROUNDUP(SUM(BO22:BO589),0)</f>
        <v>11</v>
      </c>
      <c r="Y594" s="38">
        <f>ROUNDUP(SUM(BP22:BP589),0)</f>
        <v>11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72"/>
      <c r="P595" s="841" t="s">
        <v>947</v>
      </c>
      <c r="Q595" s="817"/>
      <c r="R595" s="817"/>
      <c r="S595" s="817"/>
      <c r="T595" s="817"/>
      <c r="U595" s="817"/>
      <c r="V595" s="818"/>
      <c r="W595" s="37" t="s">
        <v>69</v>
      </c>
      <c r="X595" s="667">
        <f>GrossWeightTotal+PalletQtyTotal*25</f>
        <v>6878.7872617749545</v>
      </c>
      <c r="Y595" s="667">
        <f>GrossWeightTotalR+PalletQtyTotalR*25</f>
        <v>6994.2240000000002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72"/>
      <c r="P596" s="841" t="s">
        <v>948</v>
      </c>
      <c r="Q596" s="817"/>
      <c r="R596" s="817"/>
      <c r="S596" s="817"/>
      <c r="T596" s="817"/>
      <c r="U596" s="817"/>
      <c r="V596" s="818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799.92480755434008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816</v>
      </c>
      <c r="Z596" s="37"/>
      <c r="AA596" s="668"/>
      <c r="AB596" s="668"/>
      <c r="AC596" s="668"/>
    </row>
    <row r="597" spans="1:32" ht="14.25" hidden="1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72"/>
      <c r="P597" s="841" t="s">
        <v>949</v>
      </c>
      <c r="Q597" s="817"/>
      <c r="R597" s="817"/>
      <c r="S597" s="817"/>
      <c r="T597" s="817"/>
      <c r="U597" s="817"/>
      <c r="V597" s="818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12.159449999999998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6" t="s">
        <v>88</v>
      </c>
      <c r="D599" s="699"/>
      <c r="E599" s="699"/>
      <c r="F599" s="699"/>
      <c r="G599" s="699"/>
      <c r="H599" s="700"/>
      <c r="I599" s="676" t="s">
        <v>286</v>
      </c>
      <c r="J599" s="699"/>
      <c r="K599" s="699"/>
      <c r="L599" s="699"/>
      <c r="M599" s="699"/>
      <c r="N599" s="699"/>
      <c r="O599" s="699"/>
      <c r="P599" s="699"/>
      <c r="Q599" s="699"/>
      <c r="R599" s="699"/>
      <c r="S599" s="699"/>
      <c r="T599" s="699"/>
      <c r="U599" s="699"/>
      <c r="V599" s="700"/>
      <c r="W599" s="676" t="s">
        <v>577</v>
      </c>
      <c r="X599" s="700"/>
      <c r="Y599" s="676" t="s">
        <v>658</v>
      </c>
      <c r="Z599" s="699"/>
      <c r="AA599" s="699"/>
      <c r="AB599" s="700"/>
      <c r="AC599" s="662" t="s">
        <v>733</v>
      </c>
      <c r="AD599" s="676" t="s">
        <v>833</v>
      </c>
      <c r="AE599" s="700"/>
      <c r="AF599" s="663"/>
    </row>
    <row r="600" spans="1:32" ht="14.25" customHeight="1" thickTop="1" x14ac:dyDescent="0.2">
      <c r="A600" s="970" t="s">
        <v>952</v>
      </c>
      <c r="B600" s="676" t="s">
        <v>63</v>
      </c>
      <c r="C600" s="676" t="s">
        <v>89</v>
      </c>
      <c r="D600" s="676" t="s">
        <v>110</v>
      </c>
      <c r="E600" s="676" t="s">
        <v>178</v>
      </c>
      <c r="F600" s="676" t="s">
        <v>209</v>
      </c>
      <c r="G600" s="676" t="s">
        <v>254</v>
      </c>
      <c r="H600" s="676" t="s">
        <v>88</v>
      </c>
      <c r="I600" s="676" t="s">
        <v>287</v>
      </c>
      <c r="J600" s="676" t="s">
        <v>322</v>
      </c>
      <c r="K600" s="676" t="s">
        <v>383</v>
      </c>
      <c r="L600" s="676" t="s">
        <v>418</v>
      </c>
      <c r="M600" s="676" t="s">
        <v>436</v>
      </c>
      <c r="N600" s="663"/>
      <c r="O600" s="676" t="s">
        <v>440</v>
      </c>
      <c r="P600" s="676" t="s">
        <v>449</v>
      </c>
      <c r="Q600" s="676" t="s">
        <v>463</v>
      </c>
      <c r="R600" s="676" t="s">
        <v>473</v>
      </c>
      <c r="S600" s="676" t="s">
        <v>477</v>
      </c>
      <c r="T600" s="676" t="s">
        <v>485</v>
      </c>
      <c r="U600" s="676" t="s">
        <v>490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63"/>
    </row>
    <row r="601" spans="1:32" ht="13.5" customHeight="1" thickBot="1" x14ac:dyDescent="0.25">
      <c r="A601" s="971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627.6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881.30000000000007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376.20000000000005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316.8</v>
      </c>
      <c r="G602" s="46">
        <f>IFERROR(Y136*1,"0")+IFERROR(Y137*1,"0")+IFERROR(Y141*1,"0")+IFERROR(Y142*1,"0")+IFERROR(Y146*1,"0")+IFERROR(Y147*1,"0")</f>
        <v>8.3999999999999986</v>
      </c>
      <c r="H602" s="46">
        <f>IFERROR(Y152*1,"0")+IFERROR(Y156*1,"0")+IFERROR(Y157*1,"0")+IFERROR(Y158*1,"0")+IFERROR(Y159*1,"0")+IFERROR(Y163*1,"0")+IFERROR(Y164*1,"0")</f>
        <v>152.4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10.5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70.2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21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484.65</v>
      </c>
      <c r="V602" s="46">
        <f>IFERROR(Y363*1,"0")+IFERROR(Y367*1,"0")+IFERROR(Y368*1,"0")+IFERROR(Y369*1,"0")</f>
        <v>10.5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1365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1660.3200000000002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52.500000000000007</v>
      </c>
      <c r="Z602" s="46">
        <f>IFERROR(Y452*1,"0")+IFERROR(Y453*1,"0")+IFERROR(Y457*1,"0")+IFERROR(Y458*1,"0")+IFERROR(Y459*1,"0")+IFERROR(Y460*1,"0")</f>
        <v>10.8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359.04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85"/>
        <filter val="10,00"/>
        <filter val="10,50"/>
        <filter val="11"/>
        <filter val="11,57"/>
        <filter val="120,00"/>
        <filter val="13,15"/>
        <filter val="13,26"/>
        <filter val="13,70"/>
        <filter val="138,89"/>
        <filter val="14,00"/>
        <filter val="15,00"/>
        <filter val="15,15"/>
        <filter val="150,00"/>
        <filter val="159,00"/>
        <filter val="190,00"/>
        <filter val="2,12"/>
        <filter val="2,50"/>
        <filter val="20,00"/>
        <filter val="21,00"/>
        <filter val="21,19"/>
        <filter val="21,90"/>
        <filter val="210,00"/>
        <filter val="22,50"/>
        <filter val="25,56"/>
        <filter val="250,00"/>
        <filter val="259,00"/>
        <filter val="26,67"/>
        <filter val="27,22"/>
        <filter val="30,00"/>
        <filter val="300,00"/>
        <filter val="33,10"/>
        <filter val="35,98"/>
        <filter val="367,50"/>
        <filter val="4,63"/>
        <filter val="40,00"/>
        <filter val="400,00"/>
        <filter val="45,00"/>
        <filter val="49,00"/>
        <filter val="495,00"/>
        <filter val="5,00"/>
        <filter val="5,40"/>
        <filter val="50,00"/>
        <filter val="500,00"/>
        <filter val="51,28"/>
        <filter val="51,50"/>
        <filter val="52,78"/>
        <filter val="6 297,40"/>
        <filter val="6 603,79"/>
        <filter val="6 878,79"/>
        <filter val="60,00"/>
        <filter val="62,50"/>
        <filter val="620,00"/>
        <filter val="63,33"/>
        <filter val="67,50"/>
        <filter val="670,00"/>
        <filter val="7,00"/>
        <filter val="70,00"/>
        <filter val="71,00"/>
        <filter val="76,30"/>
        <filter val="799,92"/>
        <filter val="80,00"/>
        <filter val="800,00"/>
        <filter val="9,00"/>
        <filter val="920,00"/>
        <filter val="950,00"/>
      </filters>
    </filterColumn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A533:Z533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26:O27"/>
    <mergeCell ref="A20:Z20"/>
    <mergeCell ref="P105:T105"/>
    <mergeCell ref="D86:E86"/>
    <mergeCell ref="P49:T49"/>
    <mergeCell ref="P36:T36"/>
    <mergeCell ref="P107:T107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M17:M18"/>
    <mergeCell ref="A531:Z531"/>
    <mergeCell ref="A469:Z469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P529:V529"/>
    <mergeCell ref="P426:V426"/>
    <mergeCell ref="P178:T178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321:E321"/>
    <mergeCell ref="P278:T278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88 X106 X280" xr:uid="{00000000-0002-0000-0000-000011000000}">
      <formula1>IF(AK36&gt;0,OR(X36=0,AND(IF(X36-AK36&gt;=0,TRUE,FALSE),X36&gt;0,IF(X36/(H36*K36)=ROUND(X36/(H36*K36),0),TRUE,FALSE))),FALSE)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53 X60 X123 X321 X376 X378 X381 X388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2025-04-08T12:31:12Z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