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4C63AD8-F3CD-4B77-988E-A0C841049B8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Y172" i="1" s="1"/>
  <c r="P170" i="1"/>
  <c r="X166" i="1"/>
  <c r="X165" i="1"/>
  <c r="BP164" i="1"/>
  <c r="BO164" i="1"/>
  <c r="BN164" i="1"/>
  <c r="BM164" i="1"/>
  <c r="Z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G602" i="1" s="1"/>
  <c r="P136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BP119" i="1" s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O22" i="1"/>
  <c r="BM22" i="1"/>
  <c r="X593" i="1" s="1"/>
  <c r="Y22" i="1"/>
  <c r="BP22" i="1" s="1"/>
  <c r="P22" i="1"/>
  <c r="H10" i="1"/>
  <c r="A9" i="1"/>
  <c r="A10" i="1" s="1"/>
  <c r="D7" i="1"/>
  <c r="Q6" i="1"/>
  <c r="P2" i="1"/>
  <c r="BP176" i="1" l="1"/>
  <c r="BN176" i="1"/>
  <c r="Z176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BP260" i="1"/>
  <c r="BN260" i="1"/>
  <c r="Z260" i="1"/>
  <c r="BP322" i="1"/>
  <c r="BN322" i="1"/>
  <c r="Z322" i="1"/>
  <c r="BP358" i="1"/>
  <c r="BN358" i="1"/>
  <c r="Z358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52" i="1"/>
  <c r="BN452" i="1"/>
  <c r="Z452" i="1"/>
  <c r="BP460" i="1"/>
  <c r="BN460" i="1"/>
  <c r="Z460" i="1"/>
  <c r="BP488" i="1"/>
  <c r="BN488" i="1"/>
  <c r="Z488" i="1"/>
  <c r="Z38" i="1"/>
  <c r="BN38" i="1"/>
  <c r="Z53" i="1"/>
  <c r="BN53" i="1"/>
  <c r="Y61" i="1"/>
  <c r="Z71" i="1"/>
  <c r="BN71" i="1"/>
  <c r="Z81" i="1"/>
  <c r="BN81" i="1"/>
  <c r="Z98" i="1"/>
  <c r="BN98" i="1"/>
  <c r="Z113" i="1"/>
  <c r="BN113" i="1"/>
  <c r="Y128" i="1"/>
  <c r="Z120" i="1"/>
  <c r="BN120" i="1"/>
  <c r="Z123" i="1"/>
  <c r="BN123" i="1"/>
  <c r="Z124" i="1"/>
  <c r="BN124" i="1"/>
  <c r="Z141" i="1"/>
  <c r="BN141" i="1"/>
  <c r="Y153" i="1"/>
  <c r="BP152" i="1"/>
  <c r="BN152" i="1"/>
  <c r="Z152" i="1"/>
  <c r="Z153" i="1" s="1"/>
  <c r="BP156" i="1"/>
  <c r="BN156" i="1"/>
  <c r="Z156" i="1"/>
  <c r="BP181" i="1"/>
  <c r="BN181" i="1"/>
  <c r="Z181" i="1"/>
  <c r="BP205" i="1"/>
  <c r="BN205" i="1"/>
  <c r="Z205" i="1"/>
  <c r="BP232" i="1"/>
  <c r="BN232" i="1"/>
  <c r="Z232" i="1"/>
  <c r="BP279" i="1"/>
  <c r="BN279" i="1"/>
  <c r="Z279" i="1"/>
  <c r="BP336" i="1"/>
  <c r="BN336" i="1"/>
  <c r="Z336" i="1"/>
  <c r="BP379" i="1"/>
  <c r="BN379" i="1"/>
  <c r="Z379" i="1"/>
  <c r="BP420" i="1"/>
  <c r="BN420" i="1"/>
  <c r="Z420" i="1"/>
  <c r="BP436" i="1"/>
  <c r="BN436" i="1"/>
  <c r="Z436" i="1"/>
  <c r="BP457" i="1"/>
  <c r="BN457" i="1"/>
  <c r="Z457" i="1"/>
  <c r="BP483" i="1"/>
  <c r="BN483" i="1"/>
  <c r="Z483" i="1"/>
  <c r="BP493" i="1"/>
  <c r="BN493" i="1"/>
  <c r="Z493" i="1"/>
  <c r="J9" i="1"/>
  <c r="BP352" i="1"/>
  <c r="BN352" i="1"/>
  <c r="Z352" i="1"/>
  <c r="BP356" i="1"/>
  <c r="BN356" i="1"/>
  <c r="Z356" i="1"/>
  <c r="BP377" i="1"/>
  <c r="BN377" i="1"/>
  <c r="Z377" i="1"/>
  <c r="BP389" i="1"/>
  <c r="BN389" i="1"/>
  <c r="Z389" i="1"/>
  <c r="BP407" i="1"/>
  <c r="BN407" i="1"/>
  <c r="Z407" i="1"/>
  <c r="BP418" i="1"/>
  <c r="BN418" i="1"/>
  <c r="Z418" i="1"/>
  <c r="BP441" i="1"/>
  <c r="BN441" i="1"/>
  <c r="Z441" i="1"/>
  <c r="BP466" i="1"/>
  <c r="BN466" i="1"/>
  <c r="Z466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486" i="1"/>
  <c r="BN486" i="1"/>
  <c r="Z486" i="1"/>
  <c r="BP511" i="1"/>
  <c r="BN511" i="1"/>
  <c r="Z511" i="1"/>
  <c r="BP515" i="1"/>
  <c r="BN515" i="1"/>
  <c r="Z515" i="1"/>
  <c r="F9" i="1"/>
  <c r="F10" i="1"/>
  <c r="Z22" i="1"/>
  <c r="BN22" i="1"/>
  <c r="X596" i="1"/>
  <c r="Z36" i="1"/>
  <c r="BN36" i="1"/>
  <c r="Z42" i="1"/>
  <c r="Z43" i="1" s="1"/>
  <c r="BN42" i="1"/>
  <c r="BP42" i="1"/>
  <c r="Y43" i="1"/>
  <c r="Z47" i="1"/>
  <c r="BN47" i="1"/>
  <c r="Z51" i="1"/>
  <c r="BN51" i="1"/>
  <c r="Z57" i="1"/>
  <c r="BN57" i="1"/>
  <c r="BP57" i="1"/>
  <c r="Z65" i="1"/>
  <c r="BN65" i="1"/>
  <c r="Y77" i="1"/>
  <c r="Z73" i="1"/>
  <c r="BN73" i="1"/>
  <c r="Z79" i="1"/>
  <c r="BN79" i="1"/>
  <c r="BP79" i="1"/>
  <c r="Z86" i="1"/>
  <c r="BN86" i="1"/>
  <c r="Z92" i="1"/>
  <c r="BN92" i="1"/>
  <c r="BP92" i="1"/>
  <c r="Z100" i="1"/>
  <c r="BN100" i="1"/>
  <c r="Z107" i="1"/>
  <c r="BN107" i="1"/>
  <c r="Y115" i="1"/>
  <c r="Z126" i="1"/>
  <c r="BN126" i="1"/>
  <c r="Y132" i="1"/>
  <c r="Z137" i="1"/>
  <c r="BN137" i="1"/>
  <c r="Y143" i="1"/>
  <c r="Z147" i="1"/>
  <c r="BN147" i="1"/>
  <c r="Y160" i="1"/>
  <c r="Z158" i="1"/>
  <c r="BN158" i="1"/>
  <c r="Z170" i="1"/>
  <c r="Z171" i="1" s="1"/>
  <c r="BN170" i="1"/>
  <c r="BP170" i="1"/>
  <c r="Y171" i="1"/>
  <c r="Z174" i="1"/>
  <c r="BN174" i="1"/>
  <c r="BP174" i="1"/>
  <c r="Z178" i="1"/>
  <c r="BN178" i="1"/>
  <c r="Z179" i="1"/>
  <c r="BN179" i="1"/>
  <c r="Z197" i="1"/>
  <c r="BN197" i="1"/>
  <c r="Y209" i="1"/>
  <c r="Z203" i="1"/>
  <c r="BN203" i="1"/>
  <c r="Z207" i="1"/>
  <c r="BN207" i="1"/>
  <c r="Z215" i="1"/>
  <c r="BN215" i="1"/>
  <c r="Z219" i="1"/>
  <c r="BN219" i="1"/>
  <c r="Z230" i="1"/>
  <c r="BN230" i="1"/>
  <c r="Z234" i="1"/>
  <c r="BN234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Z273" i="1" s="1"/>
  <c r="BN270" i="1"/>
  <c r="Z277" i="1"/>
  <c r="BN277" i="1"/>
  <c r="Z281" i="1"/>
  <c r="BN281" i="1"/>
  <c r="Z320" i="1"/>
  <c r="BN320" i="1"/>
  <c r="Z324" i="1"/>
  <c r="BN324" i="1"/>
  <c r="Y332" i="1"/>
  <c r="Z330" i="1"/>
  <c r="BN330" i="1"/>
  <c r="Z338" i="1"/>
  <c r="BN338" i="1"/>
  <c r="V602" i="1"/>
  <c r="Y364" i="1"/>
  <c r="BP363" i="1"/>
  <c r="BN363" i="1"/>
  <c r="Z363" i="1"/>
  <c r="Z364" i="1" s="1"/>
  <c r="Y371" i="1"/>
  <c r="BP367" i="1"/>
  <c r="BN367" i="1"/>
  <c r="Z367" i="1"/>
  <c r="BP381" i="1"/>
  <c r="BN381" i="1"/>
  <c r="Z381" i="1"/>
  <c r="Y400" i="1"/>
  <c r="Y399" i="1"/>
  <c r="BP398" i="1"/>
  <c r="BN398" i="1"/>
  <c r="Z398" i="1"/>
  <c r="Z399" i="1" s="1"/>
  <c r="BP403" i="1"/>
  <c r="BN403" i="1"/>
  <c r="Z403" i="1"/>
  <c r="Y422" i="1"/>
  <c r="BP417" i="1"/>
  <c r="BN417" i="1"/>
  <c r="Z417" i="1"/>
  <c r="BP438" i="1"/>
  <c r="BN438" i="1"/>
  <c r="Z438" i="1"/>
  <c r="AA602" i="1"/>
  <c r="Y467" i="1"/>
  <c r="BP465" i="1"/>
  <c r="BN465" i="1"/>
  <c r="Z465" i="1"/>
  <c r="Z467" i="1" s="1"/>
  <c r="BP485" i="1"/>
  <c r="BN485" i="1"/>
  <c r="Z485" i="1"/>
  <c r="BP495" i="1"/>
  <c r="BN495" i="1"/>
  <c r="Z495" i="1"/>
  <c r="BP512" i="1"/>
  <c r="BN512" i="1"/>
  <c r="Z512" i="1"/>
  <c r="BP522" i="1"/>
  <c r="BN522" i="1"/>
  <c r="Z522" i="1"/>
  <c r="Y354" i="1"/>
  <c r="Y353" i="1"/>
  <c r="Y27" i="1"/>
  <c r="Y31" i="1"/>
  <c r="Y39" i="1"/>
  <c r="Y54" i="1"/>
  <c r="Y62" i="1"/>
  <c r="Y68" i="1"/>
  <c r="Y76" i="1"/>
  <c r="Y82" i="1"/>
  <c r="Y89" i="1"/>
  <c r="Y101" i="1"/>
  <c r="Y110" i="1"/>
  <c r="Y116" i="1"/>
  <c r="Y127" i="1"/>
  <c r="Y133" i="1"/>
  <c r="Y138" i="1"/>
  <c r="Y144" i="1"/>
  <c r="Y149" i="1"/>
  <c r="BP146" i="1"/>
  <c r="BN146" i="1"/>
  <c r="Z146" i="1"/>
  <c r="Z148" i="1" s="1"/>
  <c r="BP159" i="1"/>
  <c r="BN159" i="1"/>
  <c r="Z159" i="1"/>
  <c r="Y161" i="1"/>
  <c r="Y166" i="1"/>
  <c r="BP163" i="1"/>
  <c r="BN163" i="1"/>
  <c r="Z163" i="1"/>
  <c r="Z165" i="1" s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BP271" i="1"/>
  <c r="BN271" i="1"/>
  <c r="Z271" i="1"/>
  <c r="BP280" i="1"/>
  <c r="BN280" i="1"/>
  <c r="Z280" i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BP357" i="1"/>
  <c r="BN357" i="1"/>
  <c r="Z357" i="1"/>
  <c r="Z359" i="1" s="1"/>
  <c r="Y359" i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Z414" i="1" s="1"/>
  <c r="Y414" i="1"/>
  <c r="I602" i="1"/>
  <c r="H9" i="1"/>
  <c r="B602" i="1"/>
  <c r="X594" i="1"/>
  <c r="X595" i="1" s="1"/>
  <c r="Z23" i="1"/>
  <c r="BN23" i="1"/>
  <c r="Z25" i="1"/>
  <c r="BN25" i="1"/>
  <c r="Y26" i="1"/>
  <c r="X592" i="1"/>
  <c r="Z29" i="1"/>
  <c r="Z30" i="1" s="1"/>
  <c r="BN29" i="1"/>
  <c r="BP29" i="1"/>
  <c r="Z35" i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BN58" i="1"/>
  <c r="Z60" i="1"/>
  <c r="BN60" i="1"/>
  <c r="Z64" i="1"/>
  <c r="BN64" i="1"/>
  <c r="BP64" i="1"/>
  <c r="Z66" i="1"/>
  <c r="BN66" i="1"/>
  <c r="Z70" i="1"/>
  <c r="BN70" i="1"/>
  <c r="BP70" i="1"/>
  <c r="Z72" i="1"/>
  <c r="BN72" i="1"/>
  <c r="Z74" i="1"/>
  <c r="BN74" i="1"/>
  <c r="Z80" i="1"/>
  <c r="BN80" i="1"/>
  <c r="E602" i="1"/>
  <c r="Z87" i="1"/>
  <c r="Z89" i="1" s="1"/>
  <c r="BN87" i="1"/>
  <c r="Y90" i="1"/>
  <c r="Z93" i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BN106" i="1"/>
  <c r="Z108" i="1"/>
  <c r="BN108" i="1"/>
  <c r="Y109" i="1"/>
  <c r="Z112" i="1"/>
  <c r="BN112" i="1"/>
  <c r="BP112" i="1"/>
  <c r="Z114" i="1"/>
  <c r="BN114" i="1"/>
  <c r="Z118" i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BN136" i="1"/>
  <c r="BP136" i="1"/>
  <c r="Y139" i="1"/>
  <c r="Z142" i="1"/>
  <c r="Z143" i="1" s="1"/>
  <c r="BN142" i="1"/>
  <c r="Y148" i="1"/>
  <c r="BP157" i="1"/>
  <c r="BN157" i="1"/>
  <c r="Z157" i="1"/>
  <c r="Y165" i="1"/>
  <c r="BP175" i="1"/>
  <c r="BN175" i="1"/>
  <c r="Z175" i="1"/>
  <c r="BP180" i="1"/>
  <c r="BN180" i="1"/>
  <c r="Z180" i="1"/>
  <c r="Y198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2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Y455" i="1"/>
  <c r="BP458" i="1"/>
  <c r="BN458" i="1"/>
  <c r="Z458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H602" i="1"/>
  <c r="Y154" i="1"/>
  <c r="J602" i="1"/>
  <c r="Y193" i="1"/>
  <c r="K602" i="1"/>
  <c r="Y238" i="1"/>
  <c r="Y267" i="1"/>
  <c r="O602" i="1"/>
  <c r="Y274" i="1"/>
  <c r="P602" i="1"/>
  <c r="Y283" i="1"/>
  <c r="Y288" i="1"/>
  <c r="Y301" i="1"/>
  <c r="S602" i="1"/>
  <c r="Y306" i="1"/>
  <c r="Y310" i="1"/>
  <c r="BP321" i="1"/>
  <c r="BN321" i="1"/>
  <c r="Z321" i="1"/>
  <c r="BP329" i="1"/>
  <c r="BN329" i="1"/>
  <c r="Z329" i="1"/>
  <c r="BP337" i="1"/>
  <c r="BN337" i="1"/>
  <c r="Z337" i="1"/>
  <c r="BP345" i="1"/>
  <c r="BN345" i="1"/>
  <c r="Z345" i="1"/>
  <c r="Z353" i="1"/>
  <c r="BP351" i="1"/>
  <c r="BN351" i="1"/>
  <c r="Z351" i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Y462" i="1"/>
  <c r="BP459" i="1"/>
  <c r="BN459" i="1"/>
  <c r="Z459" i="1"/>
  <c r="Y365" i="1"/>
  <c r="W602" i="1"/>
  <c r="Y385" i="1"/>
  <c r="X602" i="1"/>
  <c r="Y409" i="1"/>
  <c r="Y468" i="1"/>
  <c r="AB602" i="1"/>
  <c r="Y473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4" i="1" l="1"/>
  <c r="Z454" i="1"/>
  <c r="Z385" i="1"/>
  <c r="Z109" i="1"/>
  <c r="Y594" i="1"/>
  <c r="Z26" i="1"/>
  <c r="Z409" i="1"/>
  <c r="Z496" i="1"/>
  <c r="Z422" i="1"/>
  <c r="Z395" i="1"/>
  <c r="Z332" i="1"/>
  <c r="Z461" i="1"/>
  <c r="Z261" i="1"/>
  <c r="Z209" i="1"/>
  <c r="Z138" i="1"/>
  <c r="Z115" i="1"/>
  <c r="Z101" i="1"/>
  <c r="Z82" i="1"/>
  <c r="Z67" i="1"/>
  <c r="Z61" i="1"/>
  <c r="Z39" i="1"/>
  <c r="Y593" i="1"/>
  <c r="Z346" i="1"/>
  <c r="Y595" i="1"/>
  <c r="Z548" i="1"/>
  <c r="Z518" i="1"/>
  <c r="Z443" i="1"/>
  <c r="Z325" i="1"/>
  <c r="Z340" i="1"/>
  <c r="Y592" i="1"/>
  <c r="Z566" i="1"/>
  <c r="Z524" i="1"/>
  <c r="Z529" i="1"/>
  <c r="Z238" i="1"/>
  <c r="Z183" i="1"/>
  <c r="Z160" i="1"/>
  <c r="Z127" i="1"/>
  <c r="Z76" i="1"/>
  <c r="Y596" i="1"/>
  <c r="Z243" i="1"/>
  <c r="Z221" i="1"/>
  <c r="Z597" i="1" l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<sst xmlns="http://schemas.openxmlformats.org/spreadsheetml/2006/main" count="2738" uniqueCount="970">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</sst>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969</v>
      </c>
      <c r="I5" s="942"/>
      <c r="J5" s="942"/>
      <c r="K5" s="942"/>
      <c r="L5" s="942"/>
      <c r="M5" s="769"/>
      <c r="N5" s="58"/>
      <c r="P5" s="24" t="s">
        <v>10</v>
      </c>
      <c r="Q5" s="1023">
        <v>45757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Четверг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1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 t="s">
        <v>19</v>
      </c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20</v>
      </c>
      <c r="Q8" s="824">
        <v>0.54166666666666663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61"/>
      <c r="R10" s="862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6"/>
      <c r="R11" s="807"/>
      <c r="U11" s="24" t="s">
        <v>27</v>
      </c>
      <c r="V11" s="964" t="s">
        <v>28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30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32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30" t="s">
        <v>38</v>
      </c>
      <c r="D17" s="705" t="s">
        <v>39</v>
      </c>
      <c r="E17" s="783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82"/>
      <c r="R17" s="782"/>
      <c r="S17" s="782"/>
      <c r="T17" s="783"/>
      <c r="U17" s="1046" t="s">
        <v>51</v>
      </c>
      <c r="V17" s="818"/>
      <c r="W17" s="705" t="s">
        <v>52</v>
      </c>
      <c r="X17" s="705" t="s">
        <v>53</v>
      </c>
      <c r="Y17" s="1044" t="s">
        <v>54</v>
      </c>
      <c r="Z17" s="915" t="s">
        <v>55</v>
      </c>
      <c r="AA17" s="913" t="s">
        <v>56</v>
      </c>
      <c r="AB17" s="913" t="s">
        <v>57</v>
      </c>
      <c r="AC17" s="913" t="s">
        <v>58</v>
      </c>
      <c r="AD17" s="913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63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88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120</v>
      </c>
      <c r="Y35" s="666">
        <f>IFERROR(IF(X35="",0,CEILING((X35/$H35),1)*$H35),"")</f>
        <v>129.60000000000002</v>
      </c>
      <c r="Z35" s="36">
        <f>IFERROR(IF(Y35=0,"",ROUNDUP(Y35/H35,0)*0.01898),"")</f>
        <v>0.22776000000000002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124.83333333333331</v>
      </c>
      <c r="BN35" s="64">
        <f>IFERROR(Y35*I35/H35,"0")</f>
        <v>134.82000000000002</v>
      </c>
      <c r="BO35" s="64">
        <f>IFERROR(1/J35*(X35/H35),"0")</f>
        <v>0.1736111111111111</v>
      </c>
      <c r="BP35" s="64">
        <f>IFERROR(1/J35*(Y35/H35),"0")</f>
        <v>0.18750000000000003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8</v>
      </c>
      <c r="Y36" s="666">
        <f>IFERROR(IF(X36="",0,CEILING((X36/$H36),1)*$H36),"")</f>
        <v>8</v>
      </c>
      <c r="Z36" s="36">
        <f>IFERROR(IF(Y36=0,"",ROUNDUP(Y36/H36,0)*0.00902),"")</f>
        <v>1.804E-2</v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8.42</v>
      </c>
      <c r="BN36" s="64">
        <f>IFERROR(Y36*I36/H36,"0")</f>
        <v>8.42</v>
      </c>
      <c r="BO36" s="64">
        <f>IFERROR(1/J36*(X36/H36),"0")</f>
        <v>1.5151515151515152E-2</v>
      </c>
      <c r="BP36" s="64">
        <f>IFERROR(1/J36*(Y36/H36),"0")</f>
        <v>1.5151515151515152E-2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13.111111111111111</v>
      </c>
      <c r="Y39" s="667">
        <f>IFERROR(Y35/H35,"0")+IFERROR(Y36/H36,"0")+IFERROR(Y37/H37,"0")+IFERROR(Y38/H38,"0")</f>
        <v>14.000000000000002</v>
      </c>
      <c r="Z39" s="667">
        <f>IFERROR(IF(Z35="",0,Z35),"0")+IFERROR(IF(Z36="",0,Z36),"0")+IFERROR(IF(Z37="",0,Z37),"0")+IFERROR(IF(Z38="",0,Z38),"0")</f>
        <v>0.24580000000000002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128</v>
      </c>
      <c r="Y40" s="667">
        <f>IFERROR(SUM(Y35:Y38),"0")</f>
        <v>137.60000000000002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hidden="1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idden="1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0</v>
      </c>
      <c r="Y54" s="667">
        <f>IFERROR(Y47/H47,"0")+IFERROR(Y48/H48,"0")+IFERROR(Y49/H49,"0")+IFERROR(Y50/H50,"0")+IFERROR(Y51/H51,"0")+IFERROR(Y52/H52,"0")+IFERROR(Y53/H53,"0")</f>
        <v>0</v>
      </c>
      <c r="Z54" s="667">
        <f>IFERROR(IF(Z47="",0,Z47),"0")+IFERROR(IF(Z48="",0,Z48),"0")+IFERROR(IF(Z49="",0,Z49),"0")+IFERROR(IF(Z50="",0,Z50),"0")+IFERROR(IF(Z51="",0,Z51),"0")+IFERROR(IF(Z52="",0,Z52),"0")+IFERROR(IF(Z53="",0,Z53),"0")</f>
        <v>0</v>
      </c>
      <c r="AA54" s="668"/>
      <c r="AB54" s="668"/>
      <c r="AC54" s="668"/>
    </row>
    <row r="55" spans="1:68" hidden="1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0</v>
      </c>
      <c r="Y55" s="667">
        <f>IFERROR(SUM(Y47:Y53),"0")</f>
        <v>0</v>
      </c>
      <c r="Z55" s="37"/>
      <c r="AA55" s="668"/>
      <c r="AB55" s="668"/>
      <c r="AC55" s="668"/>
    </row>
    <row r="56" spans="1:68" ht="14.25" hidden="1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110</v>
      </c>
      <c r="Y57" s="666">
        <f>IFERROR(IF(X57="",0,CEILING((X57/$H57),1)*$H57),"")</f>
        <v>118.80000000000001</v>
      </c>
      <c r="Z57" s="36">
        <f>IFERROR(IF(Y57=0,"",ROUNDUP(Y57/H57,0)*0.01898),"")</f>
        <v>0.20877999999999999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114.43055555555554</v>
      </c>
      <c r="BN57" s="64">
        <f>IFERROR(Y57*I57/H57,"0")</f>
        <v>123.58499999999999</v>
      </c>
      <c r="BO57" s="64">
        <f>IFERROR(1/J57*(X57/H57),"0")</f>
        <v>0.15914351851851852</v>
      </c>
      <c r="BP57" s="64">
        <f>IFERROR(1/J57*(Y57/H57),"0")</f>
        <v>0.171875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hidden="1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10.185185185185185</v>
      </c>
      <c r="Y61" s="667">
        <f>IFERROR(Y57/H57,"0")+IFERROR(Y58/H58,"0")+IFERROR(Y59/H59,"0")+IFERROR(Y60/H60,"0")</f>
        <v>11</v>
      </c>
      <c r="Z61" s="667">
        <f>IFERROR(IF(Z57="",0,Z57),"0")+IFERROR(IF(Z58="",0,Z58),"0")+IFERROR(IF(Z59="",0,Z59),"0")+IFERROR(IF(Z60="",0,Z60),"0")</f>
        <v>0.20877999999999999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110</v>
      </c>
      <c r="Y62" s="667">
        <f>IFERROR(SUM(Y57:Y60),"0")</f>
        <v>118.80000000000001</v>
      </c>
      <c r="Z62" s="37"/>
      <c r="AA62" s="668"/>
      <c r="AB62" s="668"/>
      <c r="AC62" s="668"/>
    </row>
    <row r="63" spans="1:68" ht="14.25" hidden="1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723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80</v>
      </c>
      <c r="Y86" s="666">
        <f>IFERROR(IF(X86="",0,CEILING((X86/$H86),1)*$H86),"")</f>
        <v>86.4</v>
      </c>
      <c r="Z86" s="36">
        <f>IFERROR(IF(Y86=0,"",ROUNDUP(Y86/H86,0)*0.01898),"")</f>
        <v>0.15184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83.222222222222214</v>
      </c>
      <c r="BN86" s="64">
        <f>IFERROR(Y86*I86/H86,"0")</f>
        <v>89.88</v>
      </c>
      <c r="BO86" s="64">
        <f>IFERROR(1/J86*(X86/H86),"0")</f>
        <v>0.11574074074074073</v>
      </c>
      <c r="BP86" s="64">
        <f>IFERROR(1/J86*(Y86/H86),"0")</f>
        <v>0.125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7.4074074074074066</v>
      </c>
      <c r="Y89" s="667">
        <f>IFERROR(Y86/H86,"0")+IFERROR(Y87/H87,"0")+IFERROR(Y88/H88,"0")</f>
        <v>8</v>
      </c>
      <c r="Z89" s="667">
        <f>IFERROR(IF(Z86="",0,Z86),"0")+IFERROR(IF(Z87="",0,Z87),"0")+IFERROR(IF(Z88="",0,Z88),"0")</f>
        <v>0.15184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80</v>
      </c>
      <c r="Y90" s="667">
        <f>IFERROR(SUM(Y86:Y88),"0")</f>
        <v>86.4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hidden="1" customHeight="1" x14ac:dyDescent="0.25">
      <c r="A92" s="54" t="s">
        <v>187</v>
      </c>
      <c r="B92" s="54" t="s">
        <v>188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hidden="1" customHeight="1" x14ac:dyDescent="0.25">
      <c r="A93" s="54" t="s">
        <v>187</v>
      </c>
      <c r="B93" s="54" t="s">
        <v>190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16.5" hidden="1" customHeight="1" x14ac:dyDescent="0.25">
      <c r="A94" s="54" t="s">
        <v>187</v>
      </c>
      <c r="B94" s="54" t="s">
        <v>191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742" t="s">
        <v>192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53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hidden="1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14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hidden="1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hidden="1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0</v>
      </c>
      <c r="Y101" s="667">
        <f>IFERROR(Y92/H92,"0")+IFERROR(Y93/H93,"0")+IFERROR(Y94/H94,"0")+IFERROR(Y95/H95,"0")+IFERROR(Y96/H96,"0")+IFERROR(Y97/H97,"0")+IFERROR(Y98/H98,"0")+IFERROR(Y99/H99,"0")+IFERROR(Y100/H100,"0")</f>
        <v>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68"/>
      <c r="AB101" s="668"/>
      <c r="AC101" s="668"/>
    </row>
    <row r="102" spans="1:68" hidden="1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0</v>
      </c>
      <c r="Y102" s="667">
        <f>IFERROR(SUM(Y92:Y100),"0")</f>
        <v>0</v>
      </c>
      <c r="Z102" s="37"/>
      <c r="AA102" s="668"/>
      <c r="AB102" s="668"/>
      <c r="AC102" s="668"/>
    </row>
    <row r="103" spans="1:68" ht="16.5" hidden="1" customHeight="1" x14ac:dyDescent="0.25">
      <c r="A103" s="723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hidden="1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hidden="1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hidden="1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hidden="1" customHeight="1" x14ac:dyDescent="0.25">
      <c r="A118" s="54" t="s">
        <v>226</v>
      </c>
      <c r="B118" s="54" t="s">
        <v>227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226</v>
      </c>
      <c r="B119" s="54" t="s">
        <v>229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826" t="s">
        <v>230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226</v>
      </c>
      <c r="B120" s="54" t="s">
        <v>232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6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40</v>
      </c>
      <c r="Y120" s="666">
        <f t="shared" si="15"/>
        <v>42</v>
      </c>
      <c r="Z120" s="36">
        <f>IFERROR(IF(Y120=0,"",ROUNDUP(Y120/H120,0)*0.01898),"")</f>
        <v>9.4899999999999998E-2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42.442857142857136</v>
      </c>
      <c r="BN120" s="64">
        <f t="shared" si="17"/>
        <v>44.564999999999998</v>
      </c>
      <c r="BO120" s="64">
        <f t="shared" si="18"/>
        <v>7.4404761904761904E-2</v>
      </c>
      <c r="BP120" s="64">
        <f t="shared" si="19"/>
        <v>7.8125E-2</v>
      </c>
    </row>
    <row r="121" spans="1:68" ht="37.5" hidden="1" customHeight="1" x14ac:dyDescent="0.25">
      <c r="A121" s="54" t="s">
        <v>234</v>
      </c>
      <c r="B121" s="54" t="s">
        <v>235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98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234</v>
      </c>
      <c r="B122" s="54" t="s">
        <v>236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798" t="s">
        <v>237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hidden="1" customHeight="1" x14ac:dyDescent="0.25">
      <c r="A123" s="54" t="s">
        <v>238</v>
      </c>
      <c r="B123" s="54" t="s">
        <v>239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97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238</v>
      </c>
      <c r="B124" s="54" t="s">
        <v>240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1043" t="s">
        <v>241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4.7619047619047619</v>
      </c>
      <c r="Y127" s="667">
        <f>IFERROR(Y118/H118,"0")+IFERROR(Y119/H119,"0")+IFERROR(Y120/H120,"0")+IFERROR(Y121/H121,"0")+IFERROR(Y122/H122,"0")+IFERROR(Y123/H123,"0")+IFERROR(Y124/H124,"0")+IFERROR(Y125/H125,"0")+IFERROR(Y126/H126,"0")</f>
        <v>5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9.4899999999999998E-2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40</v>
      </c>
      <c r="Y128" s="667">
        <f>IFERROR(SUM(Y118:Y126),"0")</f>
        <v>42</v>
      </c>
      <c r="Z128" s="37"/>
      <c r="AA128" s="668"/>
      <c r="AB128" s="668"/>
      <c r="AC128" s="668"/>
    </row>
    <row r="129" spans="1:68" ht="14.25" hidden="1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hidden="1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hidden="1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hidden="1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723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hidden="1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hidden="1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02" t="s">
        <v>286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hidden="1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3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idden="1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996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hidden="1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hidden="1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hidden="1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hidden="1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hidden="1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hidden="1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hidden="1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hidden="1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23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66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27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7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hidden="1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23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23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23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hidden="1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23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150</v>
      </c>
      <c r="Y321" s="666">
        <f t="shared" si="47"/>
        <v>151.20000000000002</v>
      </c>
      <c r="Z321" s="36">
        <f>IFERROR(IF(Y321=0,"",ROUNDUP(Y321/H321,0)*0.01898),"")</f>
        <v>0.26572000000000001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156.04166666666666</v>
      </c>
      <c r="BN321" s="64">
        <f t="shared" si="49"/>
        <v>157.29000000000002</v>
      </c>
      <c r="BO321" s="64">
        <f t="shared" si="50"/>
        <v>0.21701388888888887</v>
      </c>
      <c r="BP321" s="64">
        <f t="shared" si="51"/>
        <v>0.21875</v>
      </c>
    </row>
    <row r="322" spans="1:68" ht="37.5" hidden="1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13.888888888888888</v>
      </c>
      <c r="Y325" s="667">
        <f>IFERROR(Y319/H319,"0")+IFERROR(Y320/H320,"0")+IFERROR(Y321/H321,"0")+IFERROR(Y322/H322,"0")+IFERROR(Y323/H323,"0")+IFERROR(Y324/H324,"0")</f>
        <v>14</v>
      </c>
      <c r="Z325" s="667">
        <f>IFERROR(IF(Z319="",0,Z319),"0")+IFERROR(IF(Z320="",0,Z320),"0")+IFERROR(IF(Z321="",0,Z321),"0")+IFERROR(IF(Z322="",0,Z322),"0")+IFERROR(IF(Z323="",0,Z323),"0")+IFERROR(IF(Z324="",0,Z324),"0")</f>
        <v>0.26572000000000001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150</v>
      </c>
      <c r="Y326" s="667">
        <f>IFERROR(SUM(Y319:Y324),"0")</f>
        <v>151.20000000000002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60</v>
      </c>
      <c r="Y328" s="666">
        <f>IFERROR(IF(X328="",0,CEILING((X328/$H328),1)*$H328),"")</f>
        <v>63</v>
      </c>
      <c r="Z328" s="36">
        <f>IFERROR(IF(Y328=0,"",ROUNDUP(Y328/H328,0)*0.00902),"")</f>
        <v>0.1353</v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63.857142857142854</v>
      </c>
      <c r="BN328" s="64">
        <f>IFERROR(Y328*I328/H328,"0")</f>
        <v>67.049999999999983</v>
      </c>
      <c r="BO328" s="64">
        <f>IFERROR(1/J328*(X328/H328),"0")</f>
        <v>0.10822510822510822</v>
      </c>
      <c r="BP328" s="64">
        <f>IFERROR(1/J328*(Y328/H328),"0")</f>
        <v>0.11363636363636365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60</v>
      </c>
      <c r="Y329" s="666">
        <f>IFERROR(IF(X329="",0,CEILING((X329/$H329),1)*$H329),"")</f>
        <v>63</v>
      </c>
      <c r="Z329" s="36">
        <f>IFERROR(IF(Y329=0,"",ROUNDUP(Y329/H329,0)*0.00902),"")</f>
        <v>0.1353</v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63.857142857142854</v>
      </c>
      <c r="BN329" s="64">
        <f>IFERROR(Y329*I329/H329,"0")</f>
        <v>67.049999999999983</v>
      </c>
      <c r="BO329" s="64">
        <f>IFERROR(1/J329*(X329/H329),"0")</f>
        <v>0.10822510822510822</v>
      </c>
      <c r="BP329" s="64">
        <f>IFERROR(1/J329*(Y329/H329),"0")</f>
        <v>0.11363636363636365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28.571428571428569</v>
      </c>
      <c r="Y332" s="667">
        <f>IFERROR(Y328/H328,"0")+IFERROR(Y329/H329,"0")+IFERROR(Y330/H330,"0")+IFERROR(Y331/H331,"0")</f>
        <v>30</v>
      </c>
      <c r="Z332" s="667">
        <f>IFERROR(IF(Z328="",0,Z328),"0")+IFERROR(IF(Z329="",0,Z329),"0")+IFERROR(IF(Z330="",0,Z330),"0")+IFERROR(IF(Z331="",0,Z331),"0")</f>
        <v>0.27060000000000001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120</v>
      </c>
      <c r="Y333" s="667">
        <f>IFERROR(SUM(Y328:Y331),"0")</f>
        <v>126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670</v>
      </c>
      <c r="Y335" s="666">
        <f>IFERROR(IF(X335="",0,CEILING((X335/$H335),1)*$H335),"")</f>
        <v>670.8</v>
      </c>
      <c r="Z335" s="36">
        <f>IFERROR(IF(Y335=0,"",ROUNDUP(Y335/H335,0)*0.01898),"")</f>
        <v>1.63228</v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714.06538461538469</v>
      </c>
      <c r="BN335" s="64">
        <f>IFERROR(Y335*I335/H335,"0")</f>
        <v>714.91800000000012</v>
      </c>
      <c r="BO335" s="64">
        <f>IFERROR(1/J335*(X335/H335),"0")</f>
        <v>1.3421474358974359</v>
      </c>
      <c r="BP335" s="64">
        <f>IFERROR(1/J335*(Y335/H335),"0")</f>
        <v>1.34375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85.897435897435898</v>
      </c>
      <c r="Y340" s="667">
        <f>IFERROR(Y335/H335,"0")+IFERROR(Y336/H336,"0")+IFERROR(Y337/H337,"0")+IFERROR(Y338/H338,"0")+IFERROR(Y339/H339,"0")</f>
        <v>86</v>
      </c>
      <c r="Z340" s="667">
        <f>IFERROR(IF(Z335="",0,Z335),"0")+IFERROR(IF(Z336="",0,Z336),"0")+IFERROR(IF(Z337="",0,Z337),"0")+IFERROR(IF(Z338="",0,Z338),"0")+IFERROR(IF(Z339="",0,Z339),"0")</f>
        <v>1.63228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670</v>
      </c>
      <c r="Y341" s="667">
        <f>IFERROR(SUM(Y335:Y339),"0")</f>
        <v>670.8</v>
      </c>
      <c r="Z341" s="37"/>
      <c r="AA341" s="668"/>
      <c r="AB341" s="668"/>
      <c r="AC341" s="668"/>
    </row>
    <row r="342" spans="1:68" ht="14.25" hidden="1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8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23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hidden="1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120</v>
      </c>
      <c r="Y367" s="666">
        <f>IFERROR(IF(X367="",0,CEILING((X367/$H367),1)*$H367),"")</f>
        <v>121.5</v>
      </c>
      <c r="Z367" s="36">
        <f>IFERROR(IF(Y367=0,"",ROUNDUP(Y367/H367,0)*0.01898),"")</f>
        <v>0.28470000000000001</v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127.6888888888889</v>
      </c>
      <c r="BN367" s="64">
        <f>IFERROR(Y367*I367/H367,"0")</f>
        <v>129.285</v>
      </c>
      <c r="BO367" s="64">
        <f>IFERROR(1/J367*(X367/H367),"0")</f>
        <v>0.23148148148148148</v>
      </c>
      <c r="BP367" s="64">
        <f>IFERROR(1/J367*(Y367/H367),"0")</f>
        <v>0.234375</v>
      </c>
    </row>
    <row r="368" spans="1:68" ht="27" hidden="1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14.814814814814815</v>
      </c>
      <c r="Y370" s="667">
        <f>IFERROR(Y367/H367,"0")+IFERROR(Y368/H368,"0")+IFERROR(Y369/H369,"0")</f>
        <v>15</v>
      </c>
      <c r="Z370" s="667">
        <f>IFERROR(IF(Z367="",0,Z367),"0")+IFERROR(IF(Z368="",0,Z368),"0")+IFERROR(IF(Z369="",0,Z369),"0")</f>
        <v>0.28470000000000001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120</v>
      </c>
      <c r="Y371" s="667">
        <f>IFERROR(SUM(Y367:Y369),"0")</f>
        <v>121.5</v>
      </c>
      <c r="Z371" s="37"/>
      <c r="AA371" s="668"/>
      <c r="AB371" s="668"/>
      <c r="AC371" s="668"/>
    </row>
    <row r="372" spans="1:68" ht="27.75" hidden="1" customHeight="1" x14ac:dyDescent="0.2">
      <c r="A372" s="802" t="s">
        <v>577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150</v>
      </c>
      <c r="Y376" s="666">
        <f t="shared" si="52"/>
        <v>150</v>
      </c>
      <c r="Z376" s="36">
        <f>IFERROR(IF(Y376=0,"",ROUNDUP(Y376/H376,0)*0.02175),"")</f>
        <v>0.21749999999999997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154.80000000000001</v>
      </c>
      <c r="BN376" s="64">
        <f t="shared" si="54"/>
        <v>154.80000000000001</v>
      </c>
      <c r="BO376" s="64">
        <f t="shared" si="55"/>
        <v>0.20833333333333331</v>
      </c>
      <c r="BP376" s="64">
        <f t="shared" si="56"/>
        <v>0.20833333333333331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150</v>
      </c>
      <c r="Y378" s="666">
        <f t="shared" si="52"/>
        <v>150</v>
      </c>
      <c r="Z378" s="36">
        <f>IFERROR(IF(Y378=0,"",ROUNDUP(Y378/H378,0)*0.02175),"")</f>
        <v>0.21749999999999997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154.80000000000001</v>
      </c>
      <c r="BN378" s="64">
        <f t="shared" si="54"/>
        <v>154.80000000000001</v>
      </c>
      <c r="BO378" s="64">
        <f t="shared" si="55"/>
        <v>0.20833333333333331</v>
      </c>
      <c r="BP378" s="64">
        <f t="shared" si="56"/>
        <v>0.20833333333333331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300</v>
      </c>
      <c r="Y379" s="666">
        <f t="shared" si="52"/>
        <v>300</v>
      </c>
      <c r="Z379" s="36">
        <f>IFERROR(IF(Y379=0,"",ROUNDUP(Y379/H379,0)*0.02175),"")</f>
        <v>0.43499999999999994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309.60000000000002</v>
      </c>
      <c r="BN379" s="64">
        <f t="shared" si="54"/>
        <v>309.60000000000002</v>
      </c>
      <c r="BO379" s="64">
        <f t="shared" si="55"/>
        <v>0.41666666666666663</v>
      </c>
      <c r="BP379" s="64">
        <f t="shared" si="56"/>
        <v>0.41666666666666663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4301011943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7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hidden="1" customHeight="1" x14ac:dyDescent="0.25">
      <c r="A381" s="54" t="s">
        <v>591</v>
      </c>
      <c r="B381" s="54" t="s">
        <v>593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40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40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0.86999999999999988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600</v>
      </c>
      <c r="Y386" s="667">
        <f>IFERROR(SUM(Y375:Y384),"0")</f>
        <v>600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860</v>
      </c>
      <c r="Y388" s="666">
        <f>IFERROR(IF(X388="",0,CEILING((X388/$H388),1)*$H388),"")</f>
        <v>870</v>
      </c>
      <c r="Z388" s="36">
        <f>IFERROR(IF(Y388=0,"",ROUNDUP(Y388/H388,0)*0.02175),"")</f>
        <v>1.2614999999999998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887.5200000000001</v>
      </c>
      <c r="BN388" s="64">
        <f>IFERROR(Y388*I388/H388,"0")</f>
        <v>897.84</v>
      </c>
      <c r="BO388" s="64">
        <f>IFERROR(1/J388*(X388/H388),"0")</f>
        <v>1.1944444444444444</v>
      </c>
      <c r="BP388" s="64">
        <f>IFERROR(1/J388*(Y388/H388),"0")</f>
        <v>1.2083333333333333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57.333333333333336</v>
      </c>
      <c r="Y390" s="667">
        <f>IFERROR(Y388/H388,"0")+IFERROR(Y389/H389,"0")</f>
        <v>58</v>
      </c>
      <c r="Z390" s="667">
        <f>IFERROR(IF(Z388="",0,Z388),"0")+IFERROR(IF(Z389="",0,Z389),"0")</f>
        <v>1.2614999999999998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860</v>
      </c>
      <c r="Y391" s="667">
        <f>IFERROR(SUM(Y388:Y389),"0")</f>
        <v>870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9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23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40</v>
      </c>
      <c r="Y417" s="666">
        <f>IFERROR(IF(X417="",0,CEILING((X417/$H417),1)*$H417),"")</f>
        <v>45</v>
      </c>
      <c r="Z417" s="36">
        <f>IFERROR(IF(Y417=0,"",ROUNDUP(Y417/H417,0)*0.01898),"")</f>
        <v>9.4899999999999998E-2</v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42.306666666666665</v>
      </c>
      <c r="BN417" s="64">
        <f>IFERROR(Y417*I417/H417,"0")</f>
        <v>47.594999999999999</v>
      </c>
      <c r="BO417" s="64">
        <f>IFERROR(1/J417*(X417/H417),"0")</f>
        <v>6.9444444444444448E-2</v>
      </c>
      <c r="BP417" s="64">
        <f>IFERROR(1/J417*(Y417/H417),"0")</f>
        <v>7.8125E-2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4.4444444444444446</v>
      </c>
      <c r="Y422" s="667">
        <f>IFERROR(Y417/H417,"0")+IFERROR(Y418/H418,"0")+IFERROR(Y419/H419,"0")+IFERROR(Y420/H420,"0")+IFERROR(Y421/H421,"0")</f>
        <v>5</v>
      </c>
      <c r="Z422" s="667">
        <f>IFERROR(IF(Z417="",0,Z417),"0")+IFERROR(IF(Z418="",0,Z418),"0")+IFERROR(IF(Z419="",0,Z419),"0")+IFERROR(IF(Z420="",0,Z420),"0")+IFERROR(IF(Z421="",0,Z421),"0")</f>
        <v>9.4899999999999998E-2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40</v>
      </c>
      <c r="Y423" s="667">
        <f>IFERROR(SUM(Y417:Y421),"0")</f>
        <v>45</v>
      </c>
      <c r="Z423" s="37"/>
      <c r="AA423" s="668"/>
      <c r="AB423" s="668"/>
      <c r="AC423" s="668"/>
    </row>
    <row r="424" spans="1:68" ht="14.25" hidden="1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02" t="s">
        <v>658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hidden="1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31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hidden="1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30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33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4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idden="1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hidden="1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25</v>
      </c>
      <c r="Y457" s="666">
        <f>IFERROR(IF(X457="",0,CEILING((X457/$H457),1)*$H457),"")</f>
        <v>27</v>
      </c>
      <c r="Z457" s="36">
        <f>IFERROR(IF(Y457=0,"",ROUNDUP(Y457/H457,0)*0.00902),"")</f>
        <v>4.5100000000000001E-2</v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25.972222222222221</v>
      </c>
      <c r="BN457" s="64">
        <f>IFERROR(Y457*I457/H457,"0")</f>
        <v>28.049999999999997</v>
      </c>
      <c r="BO457" s="64">
        <f>IFERROR(1/J457*(X457/H457),"0")</f>
        <v>3.5072951739618406E-2</v>
      </c>
      <c r="BP457" s="64">
        <f>IFERROR(1/J457*(Y457/H457),"0")</f>
        <v>3.787878787878788E-2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4.6296296296296298</v>
      </c>
      <c r="Y461" s="667">
        <f>IFERROR(Y457/H457,"0")+IFERROR(Y458/H458,"0")+IFERROR(Y459/H459,"0")+IFERROR(Y460/H460,"0")</f>
        <v>5</v>
      </c>
      <c r="Z461" s="667">
        <f>IFERROR(IF(Z457="",0,Z457),"0")+IFERROR(IF(Z458="",0,Z458),"0")+IFERROR(IF(Z459="",0,Z459),"0")+IFERROR(IF(Z460="",0,Z460),"0")</f>
        <v>4.5100000000000001E-2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25</v>
      </c>
      <c r="Y462" s="667">
        <f>IFERROR(SUM(Y457:Y460),"0")</f>
        <v>27</v>
      </c>
      <c r="Z462" s="37"/>
      <c r="AA462" s="668"/>
      <c r="AB462" s="668"/>
      <c r="AC462" s="668"/>
    </row>
    <row r="463" spans="1:68" ht="16.5" hidden="1" customHeight="1" x14ac:dyDescent="0.25">
      <c r="A463" s="723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15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723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733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hidden="1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150</v>
      </c>
      <c r="Y483" s="666">
        <f t="shared" si="68"/>
        <v>153.12</v>
      </c>
      <c r="Z483" s="36">
        <f>IFERROR(IF(Y483=0,"",ROUNDUP(Y483/H483,0)*0.01196),"")</f>
        <v>0.34683999999999998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160.22727272727272</v>
      </c>
      <c r="BN483" s="64">
        <f t="shared" si="70"/>
        <v>163.56</v>
      </c>
      <c r="BO483" s="64">
        <f t="shared" si="71"/>
        <v>0.27316433566433568</v>
      </c>
      <c r="BP483" s="64">
        <f t="shared" si="72"/>
        <v>0.27884615384615385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70</v>
      </c>
      <c r="Y484" s="666">
        <f t="shared" si="68"/>
        <v>73.92</v>
      </c>
      <c r="Z484" s="36">
        <f>IFERROR(IF(Y484=0,"",ROUNDUP(Y484/H484,0)*0.01196),"")</f>
        <v>0.16744000000000001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74.772727272727266</v>
      </c>
      <c r="BN484" s="64">
        <f t="shared" si="70"/>
        <v>78.959999999999994</v>
      </c>
      <c r="BO484" s="64">
        <f t="shared" si="71"/>
        <v>0.12747668997668998</v>
      </c>
      <c r="BP484" s="64">
        <f t="shared" si="72"/>
        <v>0.13461538461538464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999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4301012035</v>
      </c>
      <c r="D487" s="669">
        <v>4680115880603</v>
      </c>
      <c r="E487" s="670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4301011778</v>
      </c>
      <c r="D488" s="669">
        <v>4680115880603</v>
      </c>
      <c r="E488" s="670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8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41.666666666666664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43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0.51427999999999996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220</v>
      </c>
      <c r="Y497" s="667">
        <f>IFERROR(SUM(Y481:Y495),"0")</f>
        <v>227.04000000000002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3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200</v>
      </c>
      <c r="Y499" s="666">
        <f>IFERROR(IF(X499="",0,CEILING((X499/$H499),1)*$H499),"")</f>
        <v>200.64000000000001</v>
      </c>
      <c r="Z499" s="36">
        <f>IFERROR(IF(Y499=0,"",ROUNDUP(Y499/H499,0)*0.01196),"")</f>
        <v>0.45448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213.63636363636363</v>
      </c>
      <c r="BN499" s="64">
        <f>IFERROR(Y499*I499/H499,"0")</f>
        <v>214.32</v>
      </c>
      <c r="BO499" s="64">
        <f>IFERROR(1/J499*(X499/H499),"0")</f>
        <v>0.36421911421911418</v>
      </c>
      <c r="BP499" s="64">
        <f>IFERROR(1/J499*(Y499/H499),"0")</f>
        <v>0.36538461538461542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10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79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5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37.878787878787875</v>
      </c>
      <c r="Y503" s="667">
        <f>IFERROR(Y499/H499,"0")+IFERROR(Y500/H500,"0")+IFERROR(Y501/H501,"0")+IFERROR(Y502/H502,"0")</f>
        <v>38</v>
      </c>
      <c r="Z503" s="667">
        <f>IFERROR(IF(Z499="",0,Z499),"0")+IFERROR(IF(Z500="",0,Z500),"0")+IFERROR(IF(Z501="",0,Z501),"0")+IFERROR(IF(Z502="",0,Z502),"0")</f>
        <v>0.45448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200</v>
      </c>
      <c r="Y504" s="667">
        <f>IFERROR(SUM(Y499:Y502),"0")</f>
        <v>200.64000000000001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70</v>
      </c>
      <c r="Y506" s="666">
        <f t="shared" ref="Y506:Y517" si="73">IFERROR(IF(X506="",0,CEILING((X506/$H506),1)*$H506),"")</f>
        <v>73.92</v>
      </c>
      <c r="Z506" s="36">
        <f>IFERROR(IF(Y506=0,"",ROUNDUP(Y506/H506,0)*0.01196),"")</f>
        <v>0.16744000000000001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74.772727272727266</v>
      </c>
      <c r="BN506" s="64">
        <f t="shared" ref="BN506:BN517" si="75">IFERROR(Y506*I506/H506,"0")</f>
        <v>78.959999999999994</v>
      </c>
      <c r="BO506" s="64">
        <f t="shared" ref="BO506:BO517" si="76">IFERROR(1/J506*(X506/H506),"0")</f>
        <v>0.12747668997668998</v>
      </c>
      <c r="BP506" s="64">
        <f t="shared" ref="BP506:BP517" si="77">IFERROR(1/J506*(Y506/H506),"0")</f>
        <v>0.13461538461538464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60</v>
      </c>
      <c r="Y507" s="666">
        <f t="shared" si="73"/>
        <v>63.36</v>
      </c>
      <c r="Z507" s="36">
        <f>IFERROR(IF(Y507=0,"",ROUNDUP(Y507/H507,0)*0.01196),"")</f>
        <v>0.14352000000000001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64.090909090909079</v>
      </c>
      <c r="BN507" s="64">
        <f t="shared" si="75"/>
        <v>67.679999999999993</v>
      </c>
      <c r="BO507" s="64">
        <f t="shared" si="76"/>
        <v>0.10926573426573427</v>
      </c>
      <c r="BP507" s="64">
        <f t="shared" si="77"/>
        <v>0.11538461538461539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90</v>
      </c>
      <c r="Y508" s="666">
        <f t="shared" si="73"/>
        <v>95.04</v>
      </c>
      <c r="Z508" s="36">
        <f>IFERROR(IF(Y508=0,"",ROUNDUP(Y508/H508,0)*0.01196),"")</f>
        <v>0.21528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96.136363636363626</v>
      </c>
      <c r="BN508" s="64">
        <f t="shared" si="75"/>
        <v>101.52000000000001</v>
      </c>
      <c r="BO508" s="64">
        <f t="shared" si="76"/>
        <v>0.16389860139860138</v>
      </c>
      <c r="BP508" s="64">
        <f t="shared" si="77"/>
        <v>0.17307692307692307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995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0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52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99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41.666666666666664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44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0.52624000000000004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220</v>
      </c>
      <c r="Y519" s="667">
        <f>IFERROR(SUM(Y506:Y517),"0")</f>
        <v>232.32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4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833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1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7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6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1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2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1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50</v>
      </c>
      <c r="Y552" s="666">
        <f t="shared" si="83"/>
        <v>50.400000000000006</v>
      </c>
      <c r="Z552" s="36">
        <f>IFERROR(IF(Y552=0,"",ROUNDUP(Y552/H552,0)*0.00902),"")</f>
        <v>0.10824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53.214285714285715</v>
      </c>
      <c r="BN552" s="64">
        <f t="shared" si="85"/>
        <v>53.64</v>
      </c>
      <c r="BO552" s="64">
        <f t="shared" si="86"/>
        <v>9.0187590187590191E-2</v>
      </c>
      <c r="BP552" s="64">
        <f t="shared" si="87"/>
        <v>9.0909090909090912E-2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33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1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11.904761904761905</v>
      </c>
      <c r="Y558" s="667">
        <f>IFERROR(Y551/H551,"0")+IFERROR(Y552/H552,"0")+IFERROR(Y553/H553,"0")+IFERROR(Y554/H554,"0")+IFERROR(Y555/H555,"0")+IFERROR(Y556/H556,"0")+IFERROR(Y557/H557,"0")</f>
        <v>12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0.10824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50</v>
      </c>
      <c r="Y559" s="667">
        <f>IFERROR(SUM(Y551:Y557),"0")</f>
        <v>50.400000000000006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8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20</v>
      </c>
      <c r="Y561" s="666">
        <f>IFERROR(IF(X561="",0,CEILING((X561/$H561),1)*$H561),"")</f>
        <v>27</v>
      </c>
      <c r="Z561" s="36">
        <f>IFERROR(IF(Y561=0,"",ROUNDUP(Y561/H561,0)*0.01898),"")</f>
        <v>5.6940000000000004E-2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21.153333333333332</v>
      </c>
      <c r="BN561" s="64">
        <f>IFERROR(Y561*I561/H561,"0")</f>
        <v>28.556999999999999</v>
      </c>
      <c r="BO561" s="64">
        <f>IFERROR(1/J561*(X561/H561),"0")</f>
        <v>3.4722222222222224E-2</v>
      </c>
      <c r="BP561" s="64">
        <f>IFERROR(1/J561*(Y561/H561),"0")</f>
        <v>4.6875E-2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44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7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5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2.2222222222222223</v>
      </c>
      <c r="Y566" s="667">
        <f>IFERROR(Y561/H561,"0")+IFERROR(Y562/H562,"0")+IFERROR(Y563/H563,"0")+IFERROR(Y564/H564,"0")+IFERROR(Y565/H565,"0")</f>
        <v>3</v>
      </c>
      <c r="Z566" s="667">
        <f>IFERROR(IF(Z561="",0,Z561),"0")+IFERROR(IF(Z562="",0,Z562),"0")+IFERROR(IF(Z563="",0,Z563),"0")+IFERROR(IF(Z564="",0,Z564),"0")+IFERROR(IF(Z565="",0,Z565),"0")</f>
        <v>5.6940000000000004E-2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20</v>
      </c>
      <c r="Y567" s="667">
        <f>IFERROR(SUM(Y561:Y565),"0")</f>
        <v>27</v>
      </c>
      <c r="Z567" s="37"/>
      <c r="AA567" s="668"/>
      <c r="AB567" s="668"/>
      <c r="AC567" s="668"/>
    </row>
    <row r="568" spans="1:68" ht="14.25" hidden="1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36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7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26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23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9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1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943</v>
      </c>
      <c r="Q592" s="817"/>
      <c r="R592" s="817"/>
      <c r="S592" s="817"/>
      <c r="T592" s="817"/>
      <c r="U592" s="817"/>
      <c r="V592" s="81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3653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3733.7000000000003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944</v>
      </c>
      <c r="Q593" s="817"/>
      <c r="R593" s="817"/>
      <c r="S593" s="817"/>
      <c r="T593" s="817"/>
      <c r="U593" s="817"/>
      <c r="V593" s="818"/>
      <c r="W593" s="37" t="s">
        <v>69</v>
      </c>
      <c r="X593" s="667">
        <f>IFERROR(SUM(BM22:BM589),"0")</f>
        <v>3831.8620657120655</v>
      </c>
      <c r="Y593" s="667">
        <f>IFERROR(SUM(BN22:BN589),"0")</f>
        <v>3916.7449999999999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945</v>
      </c>
      <c r="Q594" s="817"/>
      <c r="R594" s="817"/>
      <c r="S594" s="817"/>
      <c r="T594" s="817"/>
      <c r="U594" s="817"/>
      <c r="V594" s="818"/>
      <c r="W594" s="37" t="s">
        <v>946</v>
      </c>
      <c r="X594" s="38">
        <f>ROUNDUP(SUM(BO22:BO589),0)</f>
        <v>6</v>
      </c>
      <c r="Y594" s="38">
        <f>ROUNDUP(SUM(BP22:BP589),0)</f>
        <v>7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947</v>
      </c>
      <c r="Q595" s="817"/>
      <c r="R595" s="817"/>
      <c r="S595" s="817"/>
      <c r="T595" s="817"/>
      <c r="U595" s="817"/>
      <c r="V595" s="818"/>
      <c r="W595" s="37" t="s">
        <v>69</v>
      </c>
      <c r="X595" s="667">
        <f>GrossWeightTotal+PalletQtyTotal*25</f>
        <v>3981.8620657120655</v>
      </c>
      <c r="Y595" s="667">
        <f>GrossWeightTotalR+PalletQtyTotalR*25</f>
        <v>4091.7449999999999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948</v>
      </c>
      <c r="Q596" s="817"/>
      <c r="R596" s="817"/>
      <c r="S596" s="817"/>
      <c r="T596" s="817"/>
      <c r="U596" s="817"/>
      <c r="V596" s="81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420.38468938468947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431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949</v>
      </c>
      <c r="Q597" s="817"/>
      <c r="R597" s="817"/>
      <c r="S597" s="817"/>
      <c r="T597" s="817"/>
      <c r="U597" s="817"/>
      <c r="V597" s="81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7.0863000000000005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286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62" t="s">
        <v>733</v>
      </c>
      <c r="AD599" s="676" t="s">
        <v>833</v>
      </c>
      <c r="AE599" s="700"/>
      <c r="AF599" s="663"/>
    </row>
    <row r="600" spans="1:32" ht="14.25" customHeight="1" thickTop="1" x14ac:dyDescent="0.2">
      <c r="A600" s="970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137.60000000000002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118.80000000000001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86.4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42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948</v>
      </c>
      <c r="V602" s="46">
        <f>IFERROR(Y363*1,"0")+IFERROR(Y367*1,"0")+IFERROR(Y368*1,"0")+IFERROR(Y369*1,"0")</f>
        <v>121.5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1470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45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27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660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77.400000000000006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19"/>
        <filter val="11,90"/>
        <filter val="110,00"/>
        <filter val="120,00"/>
        <filter val="128,00"/>
        <filter val="13,11"/>
        <filter val="13,89"/>
        <filter val="14,81"/>
        <filter val="150,00"/>
        <filter val="2,22"/>
        <filter val="20,00"/>
        <filter val="200,00"/>
        <filter val="220,00"/>
        <filter val="25,00"/>
        <filter val="28,57"/>
        <filter val="3 653,00"/>
        <filter val="3 831,86"/>
        <filter val="3 981,86"/>
        <filter val="300,00"/>
        <filter val="37,88"/>
        <filter val="4,44"/>
        <filter val="4,63"/>
        <filter val="4,76"/>
        <filter val="40,00"/>
        <filter val="41,67"/>
        <filter val="420,38"/>
        <filter val="50,00"/>
        <filter val="57,33"/>
        <filter val="6"/>
        <filter val="60,00"/>
        <filter val="600,00"/>
        <filter val="670,00"/>
        <filter val="7,41"/>
        <filter val="70,00"/>
        <filter val="8,00"/>
        <filter val="80,00"/>
        <filter val="85,90"/>
        <filter val="860,00"/>
        <filter val="90,00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2025-04-08T12:30:14Z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