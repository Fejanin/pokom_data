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9FB827-44E9-4C38-B0A3-D05CAF7223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Y248" i="1" l="1"/>
  <c r="Y247" i="1"/>
  <c r="BP246" i="1"/>
  <c r="BN246" i="1"/>
  <c r="Z246" i="1"/>
  <c r="Z247" i="1" s="1"/>
  <c r="M601" i="1"/>
  <c r="Y266" i="1"/>
  <c r="BP265" i="1"/>
  <c r="BN265" i="1"/>
  <c r="Z265" i="1"/>
  <c r="Z266" i="1" s="1"/>
  <c r="Y273" i="1"/>
  <c r="BP270" i="1"/>
  <c r="BN270" i="1"/>
  <c r="Z270" i="1"/>
  <c r="BP323" i="1"/>
  <c r="BN323" i="1"/>
  <c r="Z323" i="1"/>
  <c r="BP351" i="1"/>
  <c r="BN351" i="1"/>
  <c r="Z351" i="1"/>
  <c r="BP388" i="1"/>
  <c r="BN388" i="1"/>
  <c r="Z388" i="1"/>
  <c r="BP394" i="1"/>
  <c r="BN394" i="1"/>
  <c r="Z394" i="1"/>
  <c r="BP416" i="1"/>
  <c r="BN416" i="1"/>
  <c r="Z416" i="1"/>
  <c r="AA601" i="1"/>
  <c r="Y466" i="1"/>
  <c r="BP464" i="1"/>
  <c r="BN464" i="1"/>
  <c r="Z464" i="1"/>
  <c r="Z22" i="1"/>
  <c r="BN22" i="1"/>
  <c r="Z44" i="1"/>
  <c r="Z45" i="1" s="1"/>
  <c r="BN44" i="1"/>
  <c r="BP44" i="1"/>
  <c r="Y45" i="1"/>
  <c r="Z49" i="1"/>
  <c r="BN49" i="1"/>
  <c r="Z61" i="1"/>
  <c r="BN61" i="1"/>
  <c r="Z88" i="1"/>
  <c r="Z107" i="1"/>
  <c r="BN107" i="1"/>
  <c r="Z119" i="1"/>
  <c r="BN119" i="1"/>
  <c r="Z120" i="1"/>
  <c r="BN120" i="1"/>
  <c r="Z143" i="1"/>
  <c r="BN143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205" i="1"/>
  <c r="BN205" i="1"/>
  <c r="BP213" i="1"/>
  <c r="BN213" i="1"/>
  <c r="BP225" i="1"/>
  <c r="BN225" i="1"/>
  <c r="Z225" i="1"/>
  <c r="BP230" i="1"/>
  <c r="BN230" i="1"/>
  <c r="Z230" i="1"/>
  <c r="Q601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1" i="1"/>
  <c r="Y300" i="1"/>
  <c r="BP299" i="1"/>
  <c r="BN299" i="1"/>
  <c r="Z299" i="1"/>
  <c r="Z300" i="1" s="1"/>
  <c r="Y305" i="1"/>
  <c r="BP304" i="1"/>
  <c r="BN304" i="1"/>
  <c r="Z304" i="1"/>
  <c r="Z305" i="1" s="1"/>
  <c r="BP337" i="1"/>
  <c r="BN337" i="1"/>
  <c r="Z337" i="1"/>
  <c r="BP378" i="1"/>
  <c r="BN378" i="1"/>
  <c r="Z378" i="1"/>
  <c r="Y396" i="1"/>
  <c r="Y395" i="1"/>
  <c r="BP393" i="1"/>
  <c r="BN393" i="1"/>
  <c r="Z393" i="1"/>
  <c r="Z395" i="1" s="1"/>
  <c r="BP417" i="1"/>
  <c r="BN417" i="1"/>
  <c r="Z417" i="1"/>
  <c r="BP465" i="1"/>
  <c r="BN465" i="1"/>
  <c r="Z465" i="1"/>
  <c r="AB601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Z73" i="1"/>
  <c r="BN73" i="1"/>
  <c r="Z81" i="1"/>
  <c r="BN81" i="1"/>
  <c r="BP109" i="1"/>
  <c r="BN109" i="1"/>
  <c r="Z10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BN88" i="1"/>
  <c r="BP100" i="1"/>
  <c r="BN100" i="1"/>
  <c r="Z100" i="1"/>
  <c r="Y102" i="1"/>
  <c r="F601" i="1"/>
  <c r="Y117" i="1"/>
  <c r="Z115" i="1"/>
  <c r="BN115" i="1"/>
  <c r="Y128" i="1"/>
  <c r="Z122" i="1"/>
  <c r="BN122" i="1"/>
  <c r="Z123" i="1"/>
  <c r="BN123" i="1"/>
  <c r="Z126" i="1"/>
  <c r="BN126" i="1"/>
  <c r="Z137" i="1"/>
  <c r="BN137" i="1"/>
  <c r="Z147" i="1"/>
  <c r="BN147" i="1"/>
  <c r="BP147" i="1"/>
  <c r="H601" i="1"/>
  <c r="Z160" i="1"/>
  <c r="BN160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56" i="1"/>
  <c r="BN256" i="1"/>
  <c r="Z260" i="1"/>
  <c r="BN260" i="1"/>
  <c r="Z272" i="1"/>
  <c r="BN272" i="1"/>
  <c r="Z277" i="1"/>
  <c r="BN277" i="1"/>
  <c r="Z281" i="1"/>
  <c r="BN281" i="1"/>
  <c r="BP321" i="1"/>
  <c r="BN321" i="1"/>
  <c r="Z32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7" i="1"/>
  <c r="BN487" i="1"/>
  <c r="Z487" i="1"/>
  <c r="BP510" i="1"/>
  <c r="BN510" i="1"/>
  <c r="Z510" i="1"/>
  <c r="BP514" i="1"/>
  <c r="BN514" i="1"/>
  <c r="Z514" i="1"/>
  <c r="BP308" i="1"/>
  <c r="BN308" i="1"/>
  <c r="Z308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2" i="1"/>
  <c r="BN492" i="1"/>
  <c r="Z492" i="1"/>
  <c r="BP511" i="1"/>
  <c r="BN511" i="1"/>
  <c r="Z511" i="1"/>
  <c r="BP521" i="1"/>
  <c r="BN521" i="1"/>
  <c r="Z521" i="1"/>
  <c r="Y421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Z273" i="1"/>
  <c r="BP271" i="1"/>
  <c r="BN271" i="1"/>
  <c r="Z271" i="1"/>
  <c r="BP280" i="1"/>
  <c r="BN280" i="1"/>
  <c r="Z280" i="1"/>
  <c r="Y31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Y467" i="1"/>
  <c r="Y472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66" i="1" l="1"/>
  <c r="Z460" i="1"/>
  <c r="Z359" i="1"/>
  <c r="Z353" i="1"/>
  <c r="Z128" i="1"/>
  <c r="Z116" i="1"/>
  <c r="Z77" i="1"/>
  <c r="Z55" i="1"/>
  <c r="Z413" i="1"/>
  <c r="Z523" i="1"/>
  <c r="Z528" i="1"/>
  <c r="Z495" i="1"/>
  <c r="Z340" i="1"/>
  <c r="Z28" i="1"/>
  <c r="Z238" i="1"/>
  <c r="Z209" i="1"/>
  <c r="Z183" i="1"/>
  <c r="Z161" i="1"/>
  <c r="Y593" i="1"/>
  <c r="Y592" i="1"/>
  <c r="Z282" i="1"/>
  <c r="Y594" i="1"/>
  <c r="Z565" i="1"/>
  <c r="Z385" i="1"/>
  <c r="Z325" i="1"/>
  <c r="Z547" i="1"/>
  <c r="Z517" i="1"/>
  <c r="Z442" i="1"/>
  <c r="Z332" i="1"/>
  <c r="Z243" i="1"/>
  <c r="Z221" i="1"/>
  <c r="Z110" i="1"/>
  <c r="Z83" i="1"/>
  <c r="Y595" i="1"/>
  <c r="Z408" i="1"/>
  <c r="Z370" i="1"/>
  <c r="Z261" i="1"/>
  <c r="Y591" i="1"/>
  <c r="Z596" i="1" l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<sst xmlns="http://schemas.openxmlformats.org/spreadsheetml/2006/main" count="2731" uniqueCount="968">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</sst>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45762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Вторник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0.375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18</v>
      </c>
      <c r="Y22" s="664">
        <f t="shared" ref="Y22:Y27" si="0">IFERROR(IF(X22="",0,CEILING((X22/$H22),1)*$H22),"")</f>
        <v>18</v>
      </c>
      <c r="Z22" s="36">
        <f t="shared" ref="Z22:Z27" si="1">IFERROR(IF(Y22=0,"",ROUNDUP(Y22/H22,0)*0.00651),"")</f>
        <v>6.5100000000000005E-2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31.8</v>
      </c>
      <c r="BN22" s="64">
        <f t="shared" ref="BN22:BN27" si="3">IFERROR(Y22*I22/H22,"0")</f>
        <v>31.8</v>
      </c>
      <c r="BO22" s="64">
        <f t="shared" ref="BO22:BO27" si="4">IFERROR(1/J22*(X22/H22),"0")</f>
        <v>5.4945054945054951E-2</v>
      </c>
      <c r="BP22" s="64">
        <f t="shared" ref="BP22:BP27" si="5">IFERROR(1/J22*(Y22/H22),"0")</f>
        <v>5.4945054945054951E-2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10</v>
      </c>
      <c r="Y28" s="665">
        <f>IFERROR(Y22/H22,"0")+IFERROR(Y23/H23,"0")+IFERROR(Y24/H24,"0")+IFERROR(Y25/H25,"0")+IFERROR(Y26/H26,"0")+IFERROR(Y27/H27,"0")</f>
        <v>10</v>
      </c>
      <c r="Z28" s="665">
        <f>IFERROR(IF(Z22="",0,Z22),"0")+IFERROR(IF(Z23="",0,Z23),"0")+IFERROR(IF(Z24="",0,Z24),"0")+IFERROR(IF(Z25="",0,Z25),"0")+IFERROR(IF(Z26="",0,Z26),"0")+IFERROR(IF(Z27="",0,Z27),"0")</f>
        <v>6.5100000000000005E-2</v>
      </c>
      <c r="AA28" s="666"/>
      <c r="AB28" s="666"/>
      <c r="AC28" s="666"/>
    </row>
    <row r="29" spans="1:68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18</v>
      </c>
      <c r="Y29" s="665">
        <f>IFERROR(SUM(Y22:Y27),"0")</f>
        <v>18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160</v>
      </c>
      <c r="Y37" s="664">
        <f>IFERROR(IF(X37="",0,CEILING((X37/$H37),1)*$H37),"")</f>
        <v>162</v>
      </c>
      <c r="Z37" s="36">
        <f>IFERROR(IF(Y37=0,"",ROUNDUP(Y37/H37,0)*0.01898),"")</f>
        <v>0.28470000000000001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166.44444444444443</v>
      </c>
      <c r="BN37" s="64">
        <f>IFERROR(Y37*I37/H37,"0")</f>
        <v>168.52499999999998</v>
      </c>
      <c r="BO37" s="64">
        <f>IFERROR(1/J37*(X37/H37),"0")</f>
        <v>0.23148148148148145</v>
      </c>
      <c r="BP37" s="64">
        <f>IFERROR(1/J37*(Y37/H37),"0")</f>
        <v>0.23437499999999997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320</v>
      </c>
      <c r="Y38" s="664">
        <f>IFERROR(IF(X38="",0,CEILING((X38/$H38),1)*$H38),"")</f>
        <v>320</v>
      </c>
      <c r="Z38" s="36">
        <f>IFERROR(IF(Y38=0,"",ROUNDUP(Y38/H38,0)*0.00902),"")</f>
        <v>0.72160000000000002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336.8</v>
      </c>
      <c r="BN38" s="64">
        <f>IFERROR(Y38*I38/H38,"0")</f>
        <v>336.8</v>
      </c>
      <c r="BO38" s="64">
        <f>IFERROR(1/J38*(X38/H38),"0")</f>
        <v>0.60606060606060608</v>
      </c>
      <c r="BP38" s="64">
        <f>IFERROR(1/J38*(Y38/H38),"0")</f>
        <v>0.60606060606060608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94.81481481481481</v>
      </c>
      <c r="Y41" s="665">
        <f>IFERROR(Y37/H37,"0")+IFERROR(Y38/H38,"0")+IFERROR(Y39/H39,"0")+IFERROR(Y40/H40,"0")</f>
        <v>95</v>
      </c>
      <c r="Z41" s="665">
        <f>IFERROR(IF(Z37="",0,Z37),"0")+IFERROR(IF(Z38="",0,Z38),"0")+IFERROR(IF(Z39="",0,Z39),"0")+IFERROR(IF(Z40="",0,Z40),"0")</f>
        <v>1.0063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480</v>
      </c>
      <c r="Y42" s="665">
        <f>IFERROR(SUM(Y37:Y40),"0")</f>
        <v>482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320</v>
      </c>
      <c r="Y50" s="664">
        <f t="shared" si="6"/>
        <v>324</v>
      </c>
      <c r="Z50" s="36">
        <f>IFERROR(IF(Y50=0,"",ROUNDUP(Y50/H50,0)*0.01898),"")</f>
        <v>0.56940000000000002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332.88888888888886</v>
      </c>
      <c r="BN50" s="64">
        <f t="shared" si="8"/>
        <v>337.04999999999995</v>
      </c>
      <c r="BO50" s="64">
        <f t="shared" si="9"/>
        <v>0.46296296296296291</v>
      </c>
      <c r="BP50" s="64">
        <f t="shared" si="10"/>
        <v>0.46874999999999994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450</v>
      </c>
      <c r="Y54" s="664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129.62962962962962</v>
      </c>
      <c r="Y55" s="665">
        <f>IFERROR(Y49/H49,"0")+IFERROR(Y50/H50,"0")+IFERROR(Y51/H51,"0")+IFERROR(Y52/H52,"0")+IFERROR(Y53/H53,"0")+IFERROR(Y54/H54,"0")</f>
        <v>130</v>
      </c>
      <c r="Z55" s="665">
        <f>IFERROR(IF(Z49="",0,Z49),"0")+IFERROR(IF(Z50="",0,Z50),"0")+IFERROR(IF(Z51="",0,Z51),"0")+IFERROR(IF(Z52="",0,Z52),"0")+IFERROR(IF(Z53="",0,Z53),"0")+IFERROR(IF(Z54="",0,Z54),"0")</f>
        <v>1.4714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770</v>
      </c>
      <c r="Y56" s="665">
        <f>IFERROR(SUM(Y49:Y54),"0")</f>
        <v>774</v>
      </c>
      <c r="Z56" s="37"/>
      <c r="AA56" s="666"/>
      <c r="AB56" s="666"/>
      <c r="AC56" s="666"/>
    </row>
    <row r="57" spans="1:68" ht="14.25" hidden="1" customHeight="1" x14ac:dyDescent="0.25">
      <c r="A57" s="679" t="s">
        <v>136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70</v>
      </c>
      <c r="Y58" s="664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135</v>
      </c>
      <c r="Y61" s="664">
        <f>IFERROR(IF(X61="",0,CEILING((X61/$H61),1)*$H61),"")</f>
        <v>135</v>
      </c>
      <c r="Z61" s="36">
        <f>IFERROR(IF(Y61=0,"",ROUNDUP(Y61/H61,0)*0.00651),"")</f>
        <v>0.32550000000000001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144</v>
      </c>
      <c r="BN61" s="64">
        <f>IFERROR(Y61*I61/H61,"0")</f>
        <v>144</v>
      </c>
      <c r="BO61" s="64">
        <f>IFERROR(1/J61*(X61/H61),"0")</f>
        <v>0.27472527472527475</v>
      </c>
      <c r="BP61" s="64">
        <f>IFERROR(1/J61*(Y61/H61),"0")</f>
        <v>0.27472527472527475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56.481481481481481</v>
      </c>
      <c r="Y62" s="665">
        <f>IFERROR(Y58/H58,"0")+IFERROR(Y59/H59,"0")+IFERROR(Y60/H60,"0")+IFERROR(Y61/H61,"0")</f>
        <v>57</v>
      </c>
      <c r="Z62" s="665">
        <f>IFERROR(IF(Z58="",0,Z58),"0")+IFERROR(IF(Z59="",0,Z59),"0")+IFERROR(IF(Z60="",0,Z60),"0")+IFERROR(IF(Z61="",0,Z61),"0")</f>
        <v>0.45835999999999999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205</v>
      </c>
      <c r="Y63" s="665">
        <f>IFERROR(SUM(Y58:Y61),"0")</f>
        <v>210.60000000000002</v>
      </c>
      <c r="Z63" s="37"/>
      <c r="AA63" s="666"/>
      <c r="AB63" s="666"/>
      <c r="AC63" s="666"/>
    </row>
    <row r="64" spans="1:68" ht="14.25" hidden="1" customHeight="1" x14ac:dyDescent="0.25">
      <c r="A64" s="679" t="s">
        <v>147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173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20</v>
      </c>
      <c r="Y81" s="664">
        <f>IFERROR(IF(X81="",0,CEILING((X81/$H81),1)*$H81),"")</f>
        <v>25.200000000000003</v>
      </c>
      <c r="Z81" s="36">
        <f>IFERROR(IF(Y81=0,"",ROUNDUP(Y81/H81,0)*0.01898),"")</f>
        <v>5.6940000000000004E-2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21.235714285714284</v>
      </c>
      <c r="BN81" s="64">
        <f>IFERROR(Y81*I81/H81,"0")</f>
        <v>26.757000000000001</v>
      </c>
      <c r="BO81" s="64">
        <f>IFERROR(1/J81*(X81/H81),"0")</f>
        <v>3.7202380952380952E-2</v>
      </c>
      <c r="BP81" s="64">
        <f>IFERROR(1/J81*(Y81/H81),"0")</f>
        <v>4.6875E-2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2.3809523809523809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20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hidden="1" customHeight="1" x14ac:dyDescent="0.25">
      <c r="A85" s="716" t="s">
        <v>181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200</v>
      </c>
      <c r="Y87" s="664">
        <f>IFERROR(IF(X87="",0,CEILING((X87/$H87),1)*$H87),"")</f>
        <v>205.20000000000002</v>
      </c>
      <c r="Z87" s="36">
        <f>IFERROR(IF(Y87=0,"",ROUNDUP(Y87/H87,0)*0.01898),"")</f>
        <v>0.36062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208.05555555555554</v>
      </c>
      <c r="BN87" s="64">
        <f>IFERROR(Y87*I87/H87,"0")</f>
        <v>213.46499999999997</v>
      </c>
      <c r="BO87" s="64">
        <f>IFERROR(1/J87*(X87/H87),"0")</f>
        <v>0.28935185185185186</v>
      </c>
      <c r="BP87" s="64">
        <f>IFERROR(1/J87*(Y87/H87),"0")</f>
        <v>0.296875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450</v>
      </c>
      <c r="Y89" s="664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118.51851851851852</v>
      </c>
      <c r="Y90" s="665">
        <f>IFERROR(Y87/H87,"0")+IFERROR(Y88/H88,"0")+IFERROR(Y89/H89,"0")</f>
        <v>119</v>
      </c>
      <c r="Z90" s="665">
        <f>IFERROR(IF(Z87="",0,Z87),"0")+IFERROR(IF(Z88="",0,Z88),"0")+IFERROR(IF(Z89="",0,Z89),"0")</f>
        <v>1.2626200000000001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650</v>
      </c>
      <c r="Y91" s="665">
        <f>IFERROR(SUM(Y87:Y89),"0")</f>
        <v>655.20000000000005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110</v>
      </c>
      <c r="Y93" s="664">
        <f t="shared" ref="Y93:Y101" si="16">IFERROR(IF(X93="",0,CEILING((X93/$H93),1)*$H93),"")</f>
        <v>117.60000000000001</v>
      </c>
      <c r="Z93" s="36">
        <f>IFERROR(IF(Y93=0,"",ROUNDUP(Y93/H93,0)*0.01898),"")</f>
        <v>0.26572000000000001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116.79642857142856</v>
      </c>
      <c r="BN93" s="64">
        <f t="shared" ref="BN93:BN101" si="18">IFERROR(Y93*I93/H93,"0")</f>
        <v>124.86600000000001</v>
      </c>
      <c r="BO93" s="64">
        <f t="shared" ref="BO93:BO101" si="19">IFERROR(1/J93*(X93/H93),"0")</f>
        <v>0.20461309523809523</v>
      </c>
      <c r="BP93" s="64">
        <f t="shared" ref="BP93:BP101" si="20">IFERROR(1/J93*(Y93/H93),"0")</f>
        <v>0.21875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19" t="s">
        <v>195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199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203</v>
      </c>
      <c r="Q97" s="668"/>
      <c r="R97" s="668"/>
      <c r="S97" s="668"/>
      <c r="T97" s="669"/>
      <c r="U97" s="34"/>
      <c r="V97" s="34"/>
      <c r="W97" s="35" t="s">
        <v>69</v>
      </c>
      <c r="X97" s="663">
        <v>630</v>
      </c>
      <c r="Y97" s="664">
        <f t="shared" si="16"/>
        <v>631.80000000000007</v>
      </c>
      <c r="Z97" s="36">
        <f>IFERROR(IF(Y97=0,"",ROUNDUP(Y97/H97,0)*0.00651),"")</f>
        <v>1.5233400000000001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688.8</v>
      </c>
      <c r="BN97" s="64">
        <f t="shared" si="18"/>
        <v>690.76800000000003</v>
      </c>
      <c r="BO97" s="64">
        <f t="shared" si="19"/>
        <v>1.2820512820512819</v>
      </c>
      <c r="BP97" s="64">
        <f t="shared" si="20"/>
        <v>1.2857142857142858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8" t="s">
        <v>205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246.42857142857142</v>
      </c>
      <c r="Y102" s="665">
        <f>IFERROR(Y93/H93,"0")+IFERROR(Y94/H94,"0")+IFERROR(Y95/H95,"0")+IFERROR(Y96/H96,"0")+IFERROR(Y97/H97,"0")+IFERROR(Y98/H98,"0")+IFERROR(Y99/H99,"0")+IFERROR(Y100/H100,"0")+IFERROR(Y101/H101,"0")</f>
        <v>248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1.7890600000000001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740</v>
      </c>
      <c r="Y103" s="665">
        <f>IFERROR(SUM(Y93:Y101),"0")</f>
        <v>749.40000000000009</v>
      </c>
      <c r="Z103" s="37"/>
      <c r="AA103" s="666"/>
      <c r="AB103" s="666"/>
      <c r="AC103" s="666"/>
    </row>
    <row r="104" spans="1:68" ht="16.5" hidden="1" customHeight="1" x14ac:dyDescent="0.25">
      <c r="A104" s="716" t="s">
        <v>212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60</v>
      </c>
      <c r="Y106" s="664">
        <f>IFERROR(IF(X106="",0,CEILING((X106/$H106),1)*$H106),"")</f>
        <v>64.800000000000011</v>
      </c>
      <c r="Z106" s="36">
        <f>IFERROR(IF(Y106=0,"",ROUNDUP(Y106/H106,0)*0.01898),"")</f>
        <v>0.11388000000000001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62.416666666666657</v>
      </c>
      <c r="BN106" s="64">
        <f>IFERROR(Y106*I106/H106,"0")</f>
        <v>67.410000000000011</v>
      </c>
      <c r="BO106" s="64">
        <f>IFERROR(1/J106*(X106/H106),"0")</f>
        <v>8.6805555555555552E-2</v>
      </c>
      <c r="BP106" s="64">
        <f>IFERROR(1/J106*(Y106/H106),"0")</f>
        <v>9.3750000000000014E-2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382.5</v>
      </c>
      <c r="Y108" s="664">
        <f>IFERROR(IF(X108="",0,CEILING((X108/$H108),1)*$H108),"")</f>
        <v>382.5</v>
      </c>
      <c r="Z108" s="36">
        <f>IFERROR(IF(Y108=0,"",ROUNDUP(Y108/H108,0)*0.00902),"")</f>
        <v>0.76670000000000005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400.35</v>
      </c>
      <c r="BN108" s="64">
        <f>IFERROR(Y108*I108/H108,"0")</f>
        <v>400.35</v>
      </c>
      <c r="BO108" s="64">
        <f>IFERROR(1/J108*(X108/H108),"0")</f>
        <v>0.64393939393939392</v>
      </c>
      <c r="BP108" s="64">
        <f>IFERROR(1/J108*(Y108/H108),"0")</f>
        <v>0.64393939393939392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90.555555555555557</v>
      </c>
      <c r="Y110" s="665">
        <f>IFERROR(Y106/H106,"0")+IFERROR(Y107/H107,"0")+IFERROR(Y108/H108,"0")+IFERROR(Y109/H109,"0")</f>
        <v>91</v>
      </c>
      <c r="Z110" s="665">
        <f>IFERROR(IF(Z106="",0,Z106),"0")+IFERROR(IF(Z107="",0,Z107),"0")+IFERROR(IF(Z108="",0,Z108),"0")+IFERROR(IF(Z109="",0,Z109),"0")</f>
        <v>0.88058000000000003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442.5</v>
      </c>
      <c r="Y111" s="665">
        <f>IFERROR(SUM(Y106:Y109),"0")</f>
        <v>447.3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136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750</v>
      </c>
      <c r="Y121" s="664">
        <f t="shared" si="21"/>
        <v>756</v>
      </c>
      <c r="Z121" s="36">
        <f>IFERROR(IF(Y121=0,"",ROUNDUP(Y121/H121,0)*0.01898),"")</f>
        <v>1.7081999999999999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795.80357142857144</v>
      </c>
      <c r="BN121" s="64">
        <f t="shared" si="23"/>
        <v>802.17</v>
      </c>
      <c r="BO121" s="64">
        <f t="shared" si="24"/>
        <v>1.3950892857142856</v>
      </c>
      <c r="BP121" s="64">
        <f t="shared" si="25"/>
        <v>1.40625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21" t="s">
        <v>240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540</v>
      </c>
      <c r="Y124" s="664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8" t="s">
        <v>244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30</v>
      </c>
      <c r="Y126" s="664">
        <f t="shared" si="21"/>
        <v>30.6</v>
      </c>
      <c r="Z126" s="36">
        <f t="shared" si="26"/>
        <v>0.11067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33</v>
      </c>
      <c r="BN126" s="64">
        <f t="shared" si="23"/>
        <v>33.659999999999997</v>
      </c>
      <c r="BO126" s="64">
        <f t="shared" si="24"/>
        <v>9.1575091575091583E-2</v>
      </c>
      <c r="BP126" s="64">
        <f t="shared" si="25"/>
        <v>9.3406593406593408E-2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305.95238095238096</v>
      </c>
      <c r="Y128" s="665">
        <f>IFERROR(Y119/H119,"0")+IFERROR(Y120/H120,"0")+IFERROR(Y121/H121,"0")+IFERROR(Y122/H122,"0")+IFERROR(Y123/H123,"0")+IFERROR(Y124/H124,"0")+IFERROR(Y125/H125,"0")+IFERROR(Y126/H126,"0")+IFERROR(Y127/H127,"0")</f>
        <v>307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3.12087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1320</v>
      </c>
      <c r="Y129" s="665">
        <f>IFERROR(SUM(Y119:Y127),"0")</f>
        <v>1326.6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173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23.1</v>
      </c>
      <c r="Y132" s="664">
        <f>IFERROR(IF(X132="",0,CEILING((X132/$H132),1)*$H132),"")</f>
        <v>23.759999999999998</v>
      </c>
      <c r="Z132" s="36">
        <f>IFERROR(IF(Y132=0,"",ROUNDUP(Y132/H132,0)*0.00651),"")</f>
        <v>7.8119999999999995E-2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26.11</v>
      </c>
      <c r="BN132" s="64">
        <f>IFERROR(Y132*I132/H132,"0")</f>
        <v>26.855999999999998</v>
      </c>
      <c r="BO132" s="64">
        <f>IFERROR(1/J132*(X132/H132),"0")</f>
        <v>6.4102564102564111E-2</v>
      </c>
      <c r="BP132" s="64">
        <f>IFERROR(1/J132*(Y132/H132),"0")</f>
        <v>6.5934065934065936E-2</v>
      </c>
    </row>
    <row r="133" spans="1:68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11.666666666666668</v>
      </c>
      <c r="Y133" s="665">
        <f>IFERROR(Y131/H131,"0")+IFERROR(Y132/H132,"0")</f>
        <v>11.999999999999998</v>
      </c>
      <c r="Z133" s="665">
        <f>IFERROR(IF(Z131="",0,Z131),"0")+IFERROR(IF(Z132="",0,Z132),"0")</f>
        <v>7.8119999999999995E-2</v>
      </c>
      <c r="AA133" s="666"/>
      <c r="AB133" s="666"/>
      <c r="AC133" s="666"/>
    </row>
    <row r="134" spans="1:68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23.1</v>
      </c>
      <c r="Y134" s="665">
        <f>IFERROR(SUM(Y131:Y132),"0")</f>
        <v>23.759999999999998</v>
      </c>
      <c r="Z134" s="37"/>
      <c r="AA134" s="666"/>
      <c r="AB134" s="666"/>
      <c r="AC134" s="666"/>
    </row>
    <row r="135" spans="1:68" ht="16.5" hidden="1" customHeight="1" x14ac:dyDescent="0.25">
      <c r="A135" s="716" t="s">
        <v>257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84</v>
      </c>
      <c r="Y138" s="664">
        <f>IFERROR(IF(X138="",0,CEILING((X138/$H138),1)*$H138),"")</f>
        <v>86.4</v>
      </c>
      <c r="Z138" s="36">
        <f>IFERROR(IF(Y138=0,"",ROUNDUP(Y138/H138,0)*0.00651),"")</f>
        <v>0.17577000000000001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88.724999999999994</v>
      </c>
      <c r="BN138" s="64">
        <f>IFERROR(Y138*I138/H138,"0")</f>
        <v>91.259999999999991</v>
      </c>
      <c r="BO138" s="64">
        <f>IFERROR(1/J138*(X138/H138),"0")</f>
        <v>0.14423076923076925</v>
      </c>
      <c r="BP138" s="64">
        <f>IFERROR(1/J138*(Y138/H138),"0")</f>
        <v>0.14835164835164835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26.25</v>
      </c>
      <c r="Y139" s="665">
        <f>IFERROR(Y137/H137,"0")+IFERROR(Y138/H138,"0")</f>
        <v>27</v>
      </c>
      <c r="Z139" s="665">
        <f>IFERROR(IF(Z137="",0,Z137),"0")+IFERROR(IF(Z138="",0,Z138),"0")</f>
        <v>0.17577000000000001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84</v>
      </c>
      <c r="Y140" s="665">
        <f>IFERROR(SUM(Y137:Y138),"0")</f>
        <v>86.4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147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56</v>
      </c>
      <c r="Y142" s="664">
        <f>IFERROR(IF(X142="",0,CEILING((X142/$H142),1)*$H142),"")</f>
        <v>56</v>
      </c>
      <c r="Z142" s="36">
        <f>IFERROR(IF(Y142=0,"",ROUNDUP(Y142/H142,0)*0.00651),"")</f>
        <v>0.13020000000000001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61.36</v>
      </c>
      <c r="BN142" s="64">
        <f>IFERROR(Y142*I142/H142,"0")</f>
        <v>61.36</v>
      </c>
      <c r="BO142" s="64">
        <f>IFERROR(1/J142*(X142/H142),"0")</f>
        <v>0.1098901098901099</v>
      </c>
      <c r="BP142" s="64">
        <f>IFERROR(1/J142*(Y142/H142),"0")</f>
        <v>0.1098901098901099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20</v>
      </c>
      <c r="Y144" s="665">
        <f>IFERROR(Y142/H142,"0")+IFERROR(Y143/H143,"0")</f>
        <v>20</v>
      </c>
      <c r="Z144" s="665">
        <f>IFERROR(IF(Z142="",0,Z142),"0")+IFERROR(IF(Z143="",0,Z143),"0")</f>
        <v>0.13020000000000001</v>
      </c>
      <c r="AA144" s="666"/>
      <c r="AB144" s="666"/>
      <c r="AC144" s="666"/>
    </row>
    <row r="145" spans="1:68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56</v>
      </c>
      <c r="Y145" s="665">
        <f>IFERROR(SUM(Y142:Y143),"0")</f>
        <v>56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72.600000000000009</v>
      </c>
      <c r="Y148" s="664">
        <f>IFERROR(IF(X148="",0,CEILING((X148/$H148),1)*$H148),"")</f>
        <v>73.92</v>
      </c>
      <c r="Z148" s="36">
        <f>IFERROR(IF(Y148=0,"",ROUNDUP(Y148/H148,0)*0.00651),"")</f>
        <v>0.18228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79.970000000000013</v>
      </c>
      <c r="BN148" s="64">
        <f>IFERROR(Y148*I148/H148,"0")</f>
        <v>81.423999999999992</v>
      </c>
      <c r="BO148" s="64">
        <f>IFERROR(1/J148*(X148/H148),"0")</f>
        <v>0.15109890109890112</v>
      </c>
      <c r="BP148" s="64">
        <f>IFERROR(1/J148*(Y148/H148),"0")</f>
        <v>0.15384615384615385</v>
      </c>
    </row>
    <row r="149" spans="1:68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27.500000000000004</v>
      </c>
      <c r="Y149" s="665">
        <f>IFERROR(Y147/H147,"0")+IFERROR(Y148/H148,"0")</f>
        <v>28</v>
      </c>
      <c r="Z149" s="665">
        <f>IFERROR(IF(Z147="",0,Z147),"0")+IFERROR(IF(Z148="",0,Z148),"0")</f>
        <v>0.18228</v>
      </c>
      <c r="AA149" s="666"/>
      <c r="AB149" s="666"/>
      <c r="AC149" s="666"/>
    </row>
    <row r="150" spans="1:68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72.600000000000009</v>
      </c>
      <c r="Y150" s="665">
        <f>IFERROR(SUM(Y147:Y148),"0")</f>
        <v>73.92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147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287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136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147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40</v>
      </c>
      <c r="Y175" s="664">
        <f t="shared" si="27"/>
        <v>42</v>
      </c>
      <c r="Z175" s="36">
        <f>IFERROR(IF(Y175=0,"",ROUNDUP(Y175/H175,0)*0.00902),"")</f>
        <v>9.0200000000000002E-2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42.571428571428562</v>
      </c>
      <c r="BN175" s="64">
        <f t="shared" si="29"/>
        <v>44.699999999999996</v>
      </c>
      <c r="BO175" s="64">
        <f t="shared" si="30"/>
        <v>7.2150072150072145E-2</v>
      </c>
      <c r="BP175" s="64">
        <f t="shared" si="31"/>
        <v>7.575757575757576E-2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80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105</v>
      </c>
      <c r="Y177" s="664">
        <f t="shared" si="27"/>
        <v>105</v>
      </c>
      <c r="Z177" s="36">
        <f>IFERROR(IF(Y177=0,"",ROUNDUP(Y177/H177,0)*0.00502),"")</f>
        <v>0.251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111.5</v>
      </c>
      <c r="BN177" s="64">
        <f t="shared" si="29"/>
        <v>111.5</v>
      </c>
      <c r="BO177" s="64">
        <f t="shared" si="30"/>
        <v>0.21367521367521369</v>
      </c>
      <c r="BP177" s="64">
        <f t="shared" si="31"/>
        <v>0.21367521367521369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122.5</v>
      </c>
      <c r="Y178" s="664">
        <f t="shared" si="27"/>
        <v>123.9</v>
      </c>
      <c r="Z178" s="36">
        <f>IFERROR(IF(Y178=0,"",ROUNDUP(Y178/H178,0)*0.00502),"")</f>
        <v>0.29618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130.08333333333334</v>
      </c>
      <c r="BN178" s="64">
        <f t="shared" si="29"/>
        <v>131.57</v>
      </c>
      <c r="BO178" s="64">
        <f t="shared" si="30"/>
        <v>0.2492877492877493</v>
      </c>
      <c r="BP178" s="64">
        <f t="shared" si="31"/>
        <v>0.25213675213675218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">
        <v>306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192.5</v>
      </c>
      <c r="Y180" s="664">
        <f t="shared" si="27"/>
        <v>193.20000000000002</v>
      </c>
      <c r="Z180" s="36">
        <f>IFERROR(IF(Y180=0,"",ROUNDUP(Y180/H180,0)*0.00502),"")</f>
        <v>0.46184000000000003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201.66666666666669</v>
      </c>
      <c r="BN180" s="64">
        <f t="shared" si="29"/>
        <v>202.40000000000003</v>
      </c>
      <c r="BO180" s="64">
        <f t="shared" si="30"/>
        <v>0.39173789173789175</v>
      </c>
      <c r="BP180" s="64">
        <f t="shared" si="31"/>
        <v>0.39316239316239321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242.14285714285711</v>
      </c>
      <c r="Y183" s="665">
        <f>IFERROR(Y174/H174,"0")+IFERROR(Y175/H175,"0")+IFERROR(Y176/H176,"0")+IFERROR(Y177/H177,"0")+IFERROR(Y178/H178,"0")+IFERROR(Y179/H179,"0")+IFERROR(Y180/H180,"0")+IFERROR(Y181/H181,"0")+IFERROR(Y182/H182,"0")</f>
        <v>245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1.3978999999999999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593</v>
      </c>
      <c r="Y184" s="665">
        <f>IFERROR(SUM(Y174:Y182),"0")</f>
        <v>602.1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1" t="s">
        <v>319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322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136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147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160</v>
      </c>
      <c r="Y201" s="664">
        <f t="shared" ref="Y201:Y208" si="32">IFERROR(IF(X201="",0,CEILING((X201/$H201),1)*$H201),"")</f>
        <v>162</v>
      </c>
      <c r="Z201" s="36">
        <f>IFERROR(IF(Y201=0,"",ROUNDUP(Y201/H201,0)*0.00902),"")</f>
        <v>0.27060000000000001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166.22222222222223</v>
      </c>
      <c r="BN201" s="64">
        <f t="shared" ref="BN201:BN208" si="34">IFERROR(Y201*I201/H201,"0")</f>
        <v>168.3</v>
      </c>
      <c r="BO201" s="64">
        <f t="shared" ref="BO201:BO208" si="35">IFERROR(1/J201*(X201/H201),"0")</f>
        <v>0.22446689113355778</v>
      </c>
      <c r="BP201" s="64">
        <f t="shared" ref="BP201:BP208" si="36">IFERROR(1/J201*(Y201/H201),"0")</f>
        <v>0.22727272727272727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80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83.111111111111114</v>
      </c>
      <c r="BN202" s="64">
        <f t="shared" si="34"/>
        <v>84.15</v>
      </c>
      <c r="BO202" s="64">
        <f t="shared" si="35"/>
        <v>0.11223344556677889</v>
      </c>
      <c r="BP202" s="64">
        <f t="shared" si="36"/>
        <v>0.11363636363636363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190</v>
      </c>
      <c r="Y203" s="664">
        <f t="shared" si="32"/>
        <v>194.4</v>
      </c>
      <c r="Z203" s="36">
        <f>IFERROR(IF(Y203=0,"",ROUNDUP(Y203/H203,0)*0.00902),"")</f>
        <v>0.32472000000000001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197.38888888888889</v>
      </c>
      <c r="BN203" s="64">
        <f t="shared" si="34"/>
        <v>201.96</v>
      </c>
      <c r="BO203" s="64">
        <f t="shared" si="35"/>
        <v>0.2665544332210999</v>
      </c>
      <c r="BP203" s="64">
        <f t="shared" si="36"/>
        <v>0.27272727272727271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100</v>
      </c>
      <c r="Y204" s="664">
        <f t="shared" si="32"/>
        <v>102.60000000000001</v>
      </c>
      <c r="Z204" s="36">
        <f>IFERROR(IF(Y204=0,"",ROUNDUP(Y204/H204,0)*0.00902),"")</f>
        <v>0.17138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103.88888888888889</v>
      </c>
      <c r="BN204" s="64">
        <f t="shared" si="34"/>
        <v>106.59000000000002</v>
      </c>
      <c r="BO204" s="64">
        <f t="shared" si="35"/>
        <v>0.14029180695847362</v>
      </c>
      <c r="BP204" s="64">
        <f t="shared" si="36"/>
        <v>0.14393939393939395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45</v>
      </c>
      <c r="Y206" s="664">
        <f t="shared" si="32"/>
        <v>45</v>
      </c>
      <c r="Z206" s="36">
        <f>IFERROR(IF(Y206=0,"",ROUNDUP(Y206/H206,0)*0.00502),"")</f>
        <v>0.1255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47.5</v>
      </c>
      <c r="BN206" s="64">
        <f t="shared" si="34"/>
        <v>47.5</v>
      </c>
      <c r="BO206" s="64">
        <f t="shared" si="35"/>
        <v>0.10683760683760685</v>
      </c>
      <c r="BP206" s="64">
        <f t="shared" si="36"/>
        <v>0.10683760683760685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36</v>
      </c>
      <c r="Y208" s="664">
        <f t="shared" si="32"/>
        <v>36</v>
      </c>
      <c r="Z208" s="36">
        <f>IFERROR(IF(Y208=0,"",ROUNDUP(Y208/H208,0)*0.00502),"")</f>
        <v>0.1004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37.999999999999993</v>
      </c>
      <c r="BN208" s="64">
        <f t="shared" si="34"/>
        <v>37.999999999999993</v>
      </c>
      <c r="BO208" s="64">
        <f t="shared" si="35"/>
        <v>8.5470085470085472E-2</v>
      </c>
      <c r="BP208" s="64">
        <f t="shared" si="36"/>
        <v>8.5470085470085472E-2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209.81481481481481</v>
      </c>
      <c r="Y209" s="665">
        <f>IFERROR(Y201/H201,"0")+IFERROR(Y202/H202,"0")+IFERROR(Y203/H203,"0")+IFERROR(Y204/H204,"0")+IFERROR(Y205/H205,"0")+IFERROR(Y206/H206,"0")+IFERROR(Y207/H207,"0")+IFERROR(Y208/H208,"0")</f>
        <v>213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1.46926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731</v>
      </c>
      <c r="Y210" s="665">
        <f>IFERROR(SUM(Y201:Y208),"0")</f>
        <v>743.40000000000009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120</v>
      </c>
      <c r="Y214" s="664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320</v>
      </c>
      <c r="Y215" s="664">
        <f t="shared" si="37"/>
        <v>321.59999999999997</v>
      </c>
      <c r="Z215" s="36">
        <f t="shared" ref="Z215:Z220" si="42">IFERROR(IF(Y215=0,"",ROUNDUP(Y215/H215,0)*0.00651),"")</f>
        <v>0.87234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356</v>
      </c>
      <c r="BN215" s="64">
        <f t="shared" si="39"/>
        <v>357.78</v>
      </c>
      <c r="BO215" s="64">
        <f t="shared" si="40"/>
        <v>0.73260073260073266</v>
      </c>
      <c r="BP215" s="64">
        <f t="shared" si="41"/>
        <v>0.73626373626373631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320</v>
      </c>
      <c r="Y217" s="664">
        <f t="shared" si="37"/>
        <v>321.59999999999997</v>
      </c>
      <c r="Z217" s="36">
        <f t="shared" si="42"/>
        <v>0.87234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353.60000000000008</v>
      </c>
      <c r="BN217" s="64">
        <f t="shared" si="39"/>
        <v>355.36799999999999</v>
      </c>
      <c r="BO217" s="64">
        <f t="shared" si="40"/>
        <v>0.73260073260073266</v>
      </c>
      <c r="BP217" s="64">
        <f t="shared" si="41"/>
        <v>0.73626373626373631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16</v>
      </c>
      <c r="Y219" s="664">
        <f t="shared" si="37"/>
        <v>16.8</v>
      </c>
      <c r="Z219" s="36">
        <f t="shared" si="42"/>
        <v>4.5569999999999999E-2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17.680000000000003</v>
      </c>
      <c r="BN219" s="64">
        <f t="shared" si="39"/>
        <v>18.564000000000004</v>
      </c>
      <c r="BO219" s="64">
        <f t="shared" si="40"/>
        <v>3.6630036630036632E-2</v>
      </c>
      <c r="BP219" s="64">
        <f t="shared" si="41"/>
        <v>3.8461538461538471E-2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387.12643678160924</v>
      </c>
      <c r="Y221" s="665">
        <f>IFERROR(Y212/H212,"0")+IFERROR(Y213/H213,"0")+IFERROR(Y214/H214,"0")+IFERROR(Y215/H215,"0")+IFERROR(Y216/H216,"0")+IFERROR(Y217/H217,"0")+IFERROR(Y218/H218,"0")+IFERROR(Y219/H219,"0")+IFERROR(Y220/H220,"0")</f>
        <v>389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2.7069700000000001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1016</v>
      </c>
      <c r="Y222" s="665">
        <f>IFERROR(SUM(Y212:Y220),"0")</f>
        <v>1021.8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173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40</v>
      </c>
      <c r="Y224" s="664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44</v>
      </c>
      <c r="Y225" s="664">
        <f>IFERROR(IF(X225="",0,CEILING((X225/$H225),1)*$H225),"")</f>
        <v>45.6</v>
      </c>
      <c r="Z225" s="36">
        <f>IFERROR(IF(Y225=0,"",ROUNDUP(Y225/H225,0)*0.00651),"")</f>
        <v>0.12369000000000001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48.620000000000005</v>
      </c>
      <c r="BN225" s="64">
        <f>IFERROR(Y225*I225/H225,"0")</f>
        <v>50.388000000000005</v>
      </c>
      <c r="BO225" s="64">
        <f>IFERROR(1/J225*(X225/H225),"0")</f>
        <v>0.10073260073260075</v>
      </c>
      <c r="BP225" s="64">
        <f>IFERROR(1/J225*(Y225/H225),"0")</f>
        <v>0.1043956043956044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35</v>
      </c>
      <c r="Y226" s="665">
        <f>IFERROR(Y224/H224,"0")+IFERROR(Y225/H225,"0")</f>
        <v>36</v>
      </c>
      <c r="Z226" s="665">
        <f>IFERROR(IF(Z224="",0,Z224),"0")+IFERROR(IF(Z225="",0,Z225),"0")</f>
        <v>0.23436000000000001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84</v>
      </c>
      <c r="Y227" s="665">
        <f>IFERROR(SUM(Y224:Y225),"0")</f>
        <v>86.4</v>
      </c>
      <c r="Z227" s="37"/>
      <c r="AA227" s="666"/>
      <c r="AB227" s="666"/>
      <c r="AC227" s="666"/>
    </row>
    <row r="228" spans="1:68" ht="16.5" hidden="1" customHeight="1" x14ac:dyDescent="0.25">
      <c r="A228" s="716" t="s">
        <v>383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20</v>
      </c>
      <c r="Y231" s="664">
        <f t="shared" si="43"/>
        <v>23.2</v>
      </c>
      <c r="Z231" s="36">
        <f>IFERROR(IF(Y231=0,"",ROUNDUP(Y231/H231,0)*0.01898),"")</f>
        <v>3.7960000000000001E-2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20.75</v>
      </c>
      <c r="BN231" s="64">
        <f t="shared" si="45"/>
        <v>24.07</v>
      </c>
      <c r="BO231" s="64">
        <f t="shared" si="46"/>
        <v>2.6939655172413795E-2</v>
      </c>
      <c r="BP231" s="64">
        <f t="shared" si="47"/>
        <v>3.125E-2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10</v>
      </c>
      <c r="Y232" s="664">
        <f t="shared" si="43"/>
        <v>11.6</v>
      </c>
      <c r="Z232" s="36">
        <f>IFERROR(IF(Y232=0,"",ROUNDUP(Y232/H232,0)*0.01898),"")</f>
        <v>1.898E-2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10.375</v>
      </c>
      <c r="BN232" s="64">
        <f t="shared" si="45"/>
        <v>12.035</v>
      </c>
      <c r="BO232" s="64">
        <f t="shared" si="46"/>
        <v>1.3469827586206897E-2</v>
      </c>
      <c r="BP232" s="64">
        <f t="shared" si="47"/>
        <v>1.5625E-2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30</v>
      </c>
      <c r="Y234" s="664">
        <f t="shared" si="43"/>
        <v>34.799999999999997</v>
      </c>
      <c r="Z234" s="36">
        <f>IFERROR(IF(Y234=0,"",ROUNDUP(Y234/H234,0)*0.01898),"")</f>
        <v>5.6940000000000004E-2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31.125000000000004</v>
      </c>
      <c r="BN234" s="64">
        <f t="shared" si="45"/>
        <v>36.104999999999997</v>
      </c>
      <c r="BO234" s="64">
        <f t="shared" si="46"/>
        <v>4.0409482758620691E-2</v>
      </c>
      <c r="BP234" s="64">
        <f t="shared" si="47"/>
        <v>4.6875E-2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24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25.259999999999998</v>
      </c>
      <c r="BN235" s="64">
        <f t="shared" si="45"/>
        <v>25.259999999999998</v>
      </c>
      <c r="BO235" s="64">
        <f t="shared" si="46"/>
        <v>4.5454545454545456E-2</v>
      </c>
      <c r="BP235" s="64">
        <f t="shared" si="47"/>
        <v>4.5454545454545456E-2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48</v>
      </c>
      <c r="Y237" s="664">
        <f t="shared" si="43"/>
        <v>48</v>
      </c>
      <c r="Z237" s="36">
        <f>IFERROR(IF(Y237=0,"",ROUNDUP(Y237/H237,0)*0.00902),"")</f>
        <v>0.10824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50.519999999999996</v>
      </c>
      <c r="BN237" s="64">
        <f t="shared" si="45"/>
        <v>50.519999999999996</v>
      </c>
      <c r="BO237" s="64">
        <f t="shared" si="46"/>
        <v>9.0909090909090912E-2</v>
      </c>
      <c r="BP237" s="64">
        <f t="shared" si="47"/>
        <v>9.0909090909090912E-2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23.172413793103448</v>
      </c>
      <c r="Y238" s="665">
        <f>IFERROR(Y230/H230,"0")+IFERROR(Y231/H231,"0")+IFERROR(Y232/H232,"0")+IFERROR(Y233/H233,"0")+IFERROR(Y234/H234,"0")+IFERROR(Y235/H235,"0")+IFERROR(Y236/H236,"0")+IFERROR(Y237/H237,"0")</f>
        <v>24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0.27624000000000004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132</v>
      </c>
      <c r="Y239" s="665">
        <f>IFERROR(SUM(Y230:Y237),"0")</f>
        <v>141.6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136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5">
        <v>4680115885721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5">
        <v>4680115885981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408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792" t="s">
        <v>411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418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436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440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449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120</v>
      </c>
      <c r="Y279" s="664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240</v>
      </c>
      <c r="Y280" s="664">
        <f>IFERROR(IF(X280="",0,CEILING((X280/$H280),1)*$H280),"")</f>
        <v>240</v>
      </c>
      <c r="Z280" s="36">
        <f>IFERROR(IF(Y280=0,"",ROUNDUP(Y280/H280,0)*0.00651),"")</f>
        <v>0.65100000000000002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258.00000000000006</v>
      </c>
      <c r="BN280" s="64">
        <f>IFERROR(Y280*I280/H280,"0")</f>
        <v>258.00000000000006</v>
      </c>
      <c r="BO280" s="64">
        <f>IFERROR(1/J280*(X280/H280),"0")</f>
        <v>0.5494505494505495</v>
      </c>
      <c r="BP280" s="64">
        <f>IFERROR(1/J280*(Y280/H280),"0")</f>
        <v>0.5494505494505495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150</v>
      </c>
      <c r="Y282" s="665">
        <f>IFERROR(Y277/H277,"0")+IFERROR(Y278/H278,"0")+IFERROR(Y279/H279,"0")+IFERROR(Y280/H280,"0")+IFERROR(Y281/H281,"0")</f>
        <v>150</v>
      </c>
      <c r="Z282" s="665">
        <f>IFERROR(IF(Z277="",0,Z277),"0")+IFERROR(IF(Z278="",0,Z278),"0")+IFERROR(IF(Z279="",0,Z279),"0")+IFERROR(IF(Z280="",0,Z280),"0")+IFERROR(IF(Z281="",0,Z281),"0")</f>
        <v>0.97650000000000003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360</v>
      </c>
      <c r="Y283" s="665">
        <f>IFERROR(SUM(Y277:Y281),"0")</f>
        <v>360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463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147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473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477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147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140</v>
      </c>
      <c r="Y308" s="664">
        <f>IFERROR(IF(X308="",0,CEILING((X308/$H308),1)*$H308),"")</f>
        <v>140.70000000000002</v>
      </c>
      <c r="Z308" s="36">
        <f>IFERROR(IF(Y308=0,"",ROUNDUP(Y308/H308,0)*0.00502),"")</f>
        <v>0.33634000000000003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146.66666666666666</v>
      </c>
      <c r="BN308" s="64">
        <f>IFERROR(Y308*I308/H308,"0")</f>
        <v>147.40000000000003</v>
      </c>
      <c r="BO308" s="64">
        <f>IFERROR(1/J308*(X308/H308),"0")</f>
        <v>0.28490028490028491</v>
      </c>
      <c r="BP308" s="64">
        <f>IFERROR(1/J308*(Y308/H308),"0")</f>
        <v>0.28632478632478636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66.666666666666657</v>
      </c>
      <c r="Y310" s="665">
        <f>IFERROR(Y308/H308,"0")+IFERROR(Y309/H309,"0")</f>
        <v>67</v>
      </c>
      <c r="Z310" s="665">
        <f>IFERROR(IF(Z308="",0,Z308),"0")+IFERROR(IF(Z309="",0,Z309),"0")</f>
        <v>0.33634000000000003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140</v>
      </c>
      <c r="Y311" s="665">
        <f>IFERROR(SUM(Y308:Y309),"0")</f>
        <v>140.70000000000002</v>
      </c>
      <c r="Z311" s="37"/>
      <c r="AA311" s="666"/>
      <c r="AB311" s="666"/>
      <c r="AC311" s="666"/>
    </row>
    <row r="312" spans="1:68" ht="16.5" hidden="1" customHeight="1" x14ac:dyDescent="0.25">
      <c r="A312" s="716" t="s">
        <v>485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490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173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350</v>
      </c>
      <c r="Y344" s="664">
        <f>IFERROR(IF(X344="",0,CEILING((X344/$H344),1)*$H344),"")</f>
        <v>351</v>
      </c>
      <c r="Z344" s="36">
        <f>IFERROR(IF(Y344=0,"",ROUNDUP(Y344/H344,0)*0.01898),"")</f>
        <v>0.85409999999999997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373.28846153846155</v>
      </c>
      <c r="BN344" s="64">
        <f>IFERROR(Y344*I344/H344,"0")</f>
        <v>374.35500000000008</v>
      </c>
      <c r="BO344" s="64">
        <f>IFERROR(1/J344*(X344/H344),"0")</f>
        <v>0.70112179487179493</v>
      </c>
      <c r="BP344" s="64">
        <f>IFERROR(1/J344*(Y344/H344),"0")</f>
        <v>0.703125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40</v>
      </c>
      <c r="Y345" s="664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42.471428571428568</v>
      </c>
      <c r="BN345" s="64">
        <f>IFERROR(Y345*I345/H345,"0")</f>
        <v>44.594999999999999</v>
      </c>
      <c r="BO345" s="64">
        <f>IFERROR(1/J345*(X345/H345),"0")</f>
        <v>7.4404761904761904E-2</v>
      </c>
      <c r="BP345" s="64">
        <f>IFERROR(1/J345*(Y345/H345),"0")</f>
        <v>7.8125E-2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53.205128205128204</v>
      </c>
      <c r="Y346" s="665">
        <f>IFERROR(Y343/H343,"0")+IFERROR(Y344/H344,"0")+IFERROR(Y345/H345,"0")</f>
        <v>54</v>
      </c>
      <c r="Z346" s="665">
        <f>IFERROR(IF(Z343="",0,Z343),"0")+IFERROR(IF(Z344="",0,Z344),"0")+IFERROR(IF(Z345="",0,Z345),"0")</f>
        <v>1.0249200000000001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420</v>
      </c>
      <c r="Y347" s="665">
        <f>IFERROR(SUM(Y343:Y345),"0")</f>
        <v>426.6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34</v>
      </c>
      <c r="Y351" s="664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289</v>
      </c>
      <c r="Y352" s="664">
        <f>IFERROR(IF(X352="",0,CEILING((X352/$H352),1)*$H352),"")</f>
        <v>290.7</v>
      </c>
      <c r="Z352" s="36">
        <f>IFERROR(IF(Y352=0,"",ROUNDUP(Y352/H352,0)*0.00651),"")</f>
        <v>0.74214000000000002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326.39999999999998</v>
      </c>
      <c r="BN352" s="64">
        <f>IFERROR(Y352*I352/H352,"0")</f>
        <v>328.32</v>
      </c>
      <c r="BO352" s="64">
        <f>IFERROR(1/J352*(X352/H352),"0")</f>
        <v>0.62271062271062283</v>
      </c>
      <c r="BP352" s="64">
        <f>IFERROR(1/J352*(Y352/H352),"0")</f>
        <v>0.62637362637362637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126.66666666666667</v>
      </c>
      <c r="Y353" s="665">
        <f>IFERROR(Y349/H349,"0")+IFERROR(Y350/H350,"0")+IFERROR(Y351/H351,"0")+IFERROR(Y352/H352,"0")</f>
        <v>128</v>
      </c>
      <c r="Z353" s="665">
        <f>IFERROR(IF(Z349="",0,Z349),"0")+IFERROR(IF(Z350="",0,Z350),"0")+IFERROR(IF(Z351="",0,Z351),"0")+IFERROR(IF(Z352="",0,Z352),"0")</f>
        <v>0.83328000000000002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323</v>
      </c>
      <c r="Y354" s="665">
        <f>IFERROR(SUM(Y349:Y352),"0")</f>
        <v>326.39999999999998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147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18</v>
      </c>
      <c r="Y363" s="664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20.279999999999998</v>
      </c>
      <c r="BN363" s="64">
        <f>IFERROR(Y363*I363/H363,"0")</f>
        <v>20.279999999999998</v>
      </c>
      <c r="BO363" s="64">
        <f>IFERROR(1/J363*(X363/H363),"0")</f>
        <v>5.4945054945054951E-2</v>
      </c>
      <c r="BP363" s="64">
        <f>IFERROR(1/J363*(Y363/H363),"0")</f>
        <v>5.4945054945054951E-2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10</v>
      </c>
      <c r="Y364" s="665">
        <f>IFERROR(Y363/H363,"0")</f>
        <v>10</v>
      </c>
      <c r="Z364" s="665">
        <f>IFERROR(IF(Z363="",0,Z363),"0")</f>
        <v>6.5100000000000005E-2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18</v>
      </c>
      <c r="Y365" s="665">
        <f>IFERROR(SUM(Y363:Y363),"0")</f>
        <v>18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665</v>
      </c>
      <c r="Y368" s="664">
        <f>IFERROR(IF(X368="",0,CEILING((X368/$H368),1)*$H368),"")</f>
        <v>665.7</v>
      </c>
      <c r="Z368" s="36">
        <f>IFERROR(IF(Y368=0,"",ROUNDUP(Y368/H368,0)*0.00651),"")</f>
        <v>2.0636700000000001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744.8</v>
      </c>
      <c r="BN368" s="64">
        <f>IFERROR(Y368*I368/H368,"0")</f>
        <v>745.58399999999995</v>
      </c>
      <c r="BO368" s="64">
        <f>IFERROR(1/J368*(X368/H368),"0")</f>
        <v>1.73992673992674</v>
      </c>
      <c r="BP368" s="64">
        <f>IFERROR(1/J368*(Y368/H368),"0")</f>
        <v>1.7417582417582418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525</v>
      </c>
      <c r="Y369" s="664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566.66666666666663</v>
      </c>
      <c r="Y370" s="665">
        <f>IFERROR(Y367/H367,"0")+IFERROR(Y368/H368,"0")+IFERROR(Y369/H369,"0")</f>
        <v>567</v>
      </c>
      <c r="Z370" s="665">
        <f>IFERROR(IF(Z367="",0,Z367),"0")+IFERROR(IF(Z368="",0,Z368),"0")+IFERROR(IF(Z369="",0,Z369),"0")</f>
        <v>3.6911700000000001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1190</v>
      </c>
      <c r="Y371" s="665">
        <f>IFERROR(SUM(Y367:Y369),"0")</f>
        <v>1190.7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1200</v>
      </c>
      <c r="Y376" s="664">
        <f t="shared" si="58"/>
        <v>1200</v>
      </c>
      <c r="Z376" s="36">
        <f>IFERROR(IF(Y376=0,"",ROUNDUP(Y376/H376,0)*0.02175),"")</f>
        <v>1.7399999999999998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1238.4000000000001</v>
      </c>
      <c r="BN376" s="64">
        <f t="shared" si="60"/>
        <v>1238.4000000000001</v>
      </c>
      <c r="BO376" s="64">
        <f t="shared" si="61"/>
        <v>1.6666666666666665</v>
      </c>
      <c r="BP376" s="64">
        <f t="shared" si="62"/>
        <v>1.6666666666666665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9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1100</v>
      </c>
      <c r="Y378" s="664">
        <f t="shared" si="58"/>
        <v>1110</v>
      </c>
      <c r="Z378" s="36">
        <f>IFERROR(IF(Y378=0,"",ROUNDUP(Y378/H378,0)*0.02175),"")</f>
        <v>1.6094999999999999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1135.2</v>
      </c>
      <c r="BN378" s="64">
        <f t="shared" si="60"/>
        <v>1145.52</v>
      </c>
      <c r="BO378" s="64">
        <f t="shared" si="61"/>
        <v>1.5277777777777777</v>
      </c>
      <c r="BP378" s="64">
        <f t="shared" si="62"/>
        <v>1.5416666666666665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140</v>
      </c>
      <c r="Y380" s="664">
        <f t="shared" si="58"/>
        <v>150</v>
      </c>
      <c r="Z380" s="36">
        <f>IFERROR(IF(Y380=0,"",ROUNDUP(Y380/H380,0)*0.02175),"")</f>
        <v>0.21749999999999997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144.48000000000002</v>
      </c>
      <c r="BN380" s="64">
        <f t="shared" si="60"/>
        <v>154.80000000000001</v>
      </c>
      <c r="BO380" s="64">
        <f t="shared" si="61"/>
        <v>0.19444444444444445</v>
      </c>
      <c r="BP380" s="64">
        <f t="shared" si="62"/>
        <v>0.20833333333333331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1200</v>
      </c>
      <c r="Y381" s="664">
        <f t="shared" si="58"/>
        <v>1200</v>
      </c>
      <c r="Z381" s="36">
        <f>IFERROR(IF(Y381=0,"",ROUNDUP(Y381/H381,0)*0.02175),"")</f>
        <v>1.7399999999999998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1238.4000000000001</v>
      </c>
      <c r="BN381" s="64">
        <f t="shared" si="60"/>
        <v>1238.4000000000001</v>
      </c>
      <c r="BO381" s="64">
        <f t="shared" si="61"/>
        <v>1.6666666666666665</v>
      </c>
      <c r="BP381" s="64">
        <f t="shared" si="62"/>
        <v>1.6666666666666665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15</v>
      </c>
      <c r="Y384" s="664">
        <f t="shared" si="58"/>
        <v>15</v>
      </c>
      <c r="Z384" s="36">
        <f>IFERROR(IF(Y384=0,"",ROUNDUP(Y384/H384,0)*0.00902),"")</f>
        <v>2.7060000000000001E-2</v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15.63</v>
      </c>
      <c r="BN384" s="64">
        <f t="shared" si="60"/>
        <v>15.63</v>
      </c>
      <c r="BO384" s="64">
        <f t="shared" si="61"/>
        <v>2.2727272727272728E-2</v>
      </c>
      <c r="BP384" s="64">
        <f t="shared" si="62"/>
        <v>2.2727272727272728E-2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245.66666666666666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247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5.3340599999999991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3655</v>
      </c>
      <c r="Y386" s="665">
        <f>IFERROR(SUM(Y375:Y384),"0")</f>
        <v>3675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136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1200</v>
      </c>
      <c r="Y388" s="664">
        <f>IFERROR(IF(X388="",0,CEILING((X388/$H388),1)*$H388),"")</f>
        <v>1200</v>
      </c>
      <c r="Z388" s="36">
        <f>IFERROR(IF(Y388=0,"",ROUNDUP(Y388/H388,0)*0.02175),"")</f>
        <v>1.7399999999999998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1238.4000000000001</v>
      </c>
      <c r="BN388" s="64">
        <f>IFERROR(Y388*I388/H388,"0")</f>
        <v>1238.4000000000001</v>
      </c>
      <c r="BO388" s="64">
        <f>IFERROR(1/J388*(X388/H388),"0")</f>
        <v>1.6666666666666665</v>
      </c>
      <c r="BP388" s="64">
        <f>IFERROR(1/J388*(Y388/H388),"0")</f>
        <v>1.6666666666666665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4</v>
      </c>
      <c r="Y389" s="664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81</v>
      </c>
      <c r="Y390" s="665">
        <f>IFERROR(Y388/H388,"0")+IFERROR(Y389/H389,"0")</f>
        <v>81</v>
      </c>
      <c r="Z390" s="665">
        <f>IFERROR(IF(Z388="",0,Z388),"0")+IFERROR(IF(Z389="",0,Z389),"0")</f>
        <v>1.7490199999999998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1204</v>
      </c>
      <c r="Y391" s="665">
        <f>IFERROR(SUM(Y388:Y389),"0")</f>
        <v>1204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173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20</v>
      </c>
      <c r="Y398" s="664">
        <f>IFERROR(IF(X398="",0,CEILING((X398/$H398),1)*$H398),"")</f>
        <v>27</v>
      </c>
      <c r="Z398" s="36">
        <f>IFERROR(IF(Y398=0,"",ROUNDUP(Y398/H398,0)*0.01898),"")</f>
        <v>5.6940000000000004E-2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21.153333333333332</v>
      </c>
      <c r="BN398" s="64">
        <f>IFERROR(Y398*I398/H398,"0")</f>
        <v>28.556999999999999</v>
      </c>
      <c r="BO398" s="64">
        <f>IFERROR(1/J398*(X398/H398),"0")</f>
        <v>3.4722222222222224E-2</v>
      </c>
      <c r="BP398" s="64">
        <f>IFERROR(1/J398*(Y398/H398),"0")</f>
        <v>4.6875E-2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2.2222222222222223</v>
      </c>
      <c r="Y399" s="665">
        <f>IFERROR(Y398/H398,"0")</f>
        <v>3</v>
      </c>
      <c r="Z399" s="665">
        <f>IFERROR(IF(Z398="",0,Z398),"0")</f>
        <v>5.6940000000000004E-2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20</v>
      </c>
      <c r="Y400" s="665">
        <f>IFERROR(SUM(Y398:Y398),"0")</f>
        <v>27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40</v>
      </c>
      <c r="Y406" s="664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41.45</v>
      </c>
      <c r="BN406" s="64">
        <f>IFERROR(Y406*I406/H406,"0")</f>
        <v>49.74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3.3333333333333335</v>
      </c>
      <c r="Y408" s="665">
        <f>IFERROR(Y403/H403,"0")+IFERROR(Y404/H404,"0")+IFERROR(Y405/H405,"0")+IFERROR(Y406/H406,"0")+IFERROR(Y407/H407,"0")</f>
        <v>4</v>
      </c>
      <c r="Z408" s="665">
        <f>IFERROR(IF(Z403="",0,Z403),"0")+IFERROR(IF(Z404="",0,Z404),"0")+IFERROR(IF(Z405="",0,Z405),"0")+IFERROR(IF(Z406="",0,Z406),"0")+IFERROR(IF(Z407="",0,Z407),"0")</f>
        <v>7.5920000000000001E-2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40</v>
      </c>
      <c r="Y409" s="665">
        <f>IFERROR(SUM(Y403:Y407),"0")</f>
        <v>48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147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173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147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10</v>
      </c>
      <c r="Y433" s="664">
        <f t="shared" si="63"/>
        <v>10.8</v>
      </c>
      <c r="Z433" s="36">
        <f>IFERROR(IF(Y433=0,"",ROUNDUP(Y433/H433,0)*0.00902),"")</f>
        <v>1.804E-2</v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10.388888888888889</v>
      </c>
      <c r="BN433" s="64">
        <f t="shared" si="65"/>
        <v>11.22</v>
      </c>
      <c r="BO433" s="64">
        <f t="shared" si="66"/>
        <v>1.4029180695847361E-2</v>
      </c>
      <c r="BP433" s="64">
        <f t="shared" si="67"/>
        <v>1.5151515151515152E-2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87.5</v>
      </c>
      <c r="Y436" s="664">
        <f t="shared" si="63"/>
        <v>88.2</v>
      </c>
      <c r="Z436" s="36">
        <f t="shared" si="68"/>
        <v>0.21084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92.916666666666657</v>
      </c>
      <c r="BN436" s="64">
        <f t="shared" si="65"/>
        <v>93.66</v>
      </c>
      <c r="BO436" s="64">
        <f t="shared" si="66"/>
        <v>0.17806267806267806</v>
      </c>
      <c r="BP436" s="64">
        <f t="shared" si="67"/>
        <v>0.17948717948717952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17.5</v>
      </c>
      <c r="Y437" s="664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52.5</v>
      </c>
      <c r="Y440" s="664">
        <f t="shared" si="63"/>
        <v>52.5</v>
      </c>
      <c r="Z440" s="36">
        <f t="shared" si="68"/>
        <v>0.1255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55.75</v>
      </c>
      <c r="BN440" s="64">
        <f t="shared" si="65"/>
        <v>55.75</v>
      </c>
      <c r="BO440" s="64">
        <f t="shared" si="66"/>
        <v>0.10683760683760685</v>
      </c>
      <c r="BP440" s="64">
        <f t="shared" si="67"/>
        <v>0.10683760683760685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76.851851851851848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78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0.39955999999999997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167.5</v>
      </c>
      <c r="Y443" s="665">
        <f>IFERROR(SUM(Y430:Y441),"0")</f>
        <v>170.4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136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147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10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10.388888888888889</v>
      </c>
      <c r="BN456" s="64">
        <f>IFERROR(Y456*I456/H456,"0")</f>
        <v>11.22</v>
      </c>
      <c r="BO456" s="64">
        <f>IFERROR(1/J456*(X456/H456),"0")</f>
        <v>1.4029180695847361E-2</v>
      </c>
      <c r="BP456" s="64">
        <f>IFERROR(1/J456*(Y456/H456),"0")</f>
        <v>1.5151515151515152E-2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1.8518518518518516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10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147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2</v>
      </c>
      <c r="Y464" s="664">
        <f>IFERROR(IF(X464="",0,CEILING((X464/$H464),1)*$H464),"")</f>
        <v>2.4</v>
      </c>
      <c r="Z464" s="36">
        <f>IFERROR(IF(Y464=0,"",ROUNDUP(Y464/H464,0)*0.00502),"")</f>
        <v>1.004E-2</v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2.2866666666666671</v>
      </c>
      <c r="BN464" s="64">
        <f>IFERROR(Y464*I464/H464,"0")</f>
        <v>2.7440000000000002</v>
      </c>
      <c r="BO464" s="64">
        <f>IFERROR(1/J464*(X464/H464),"0")</f>
        <v>7.1225071225071235E-3</v>
      </c>
      <c r="BP464" s="64">
        <f>IFERROR(1/J464*(Y464/H464),"0")</f>
        <v>8.5470085470085479E-3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6</v>
      </c>
      <c r="Y465" s="664">
        <f>IFERROR(IF(X465="",0,CEILING((X465/$H465),1)*$H465),"")</f>
        <v>6</v>
      </c>
      <c r="Z465" s="36">
        <f>IFERROR(IF(Y465=0,"",ROUNDUP(Y465/H465,0)*0.00651),"")</f>
        <v>3.2550000000000003E-2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10.500000000000002</v>
      </c>
      <c r="BN465" s="64">
        <f>IFERROR(Y465*I465/H465,"0")</f>
        <v>10.500000000000002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6.666666666666667</v>
      </c>
      <c r="Y466" s="665">
        <f>IFERROR(Y464/H464,"0")+IFERROR(Y465/H465,"0")</f>
        <v>7</v>
      </c>
      <c r="Z466" s="665">
        <f>IFERROR(IF(Z464="",0,Z464),"0")+IFERROR(IF(Z465="",0,Z465),"0")</f>
        <v>4.2590000000000003E-2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8</v>
      </c>
      <c r="Y467" s="665">
        <f>IFERROR(SUM(Y464:Y465),"0")</f>
        <v>8.4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173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80</v>
      </c>
      <c r="Y480" s="664">
        <f t="shared" ref="Y480:Y494" si="69">IFERROR(IF(X480="",0,CEILING((X480/$H480),1)*$H480),"")</f>
        <v>84.48</v>
      </c>
      <c r="Z480" s="36">
        <f>IFERROR(IF(Y480=0,"",ROUNDUP(Y480/H480,0)*0.01196),"")</f>
        <v>0.19136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85.454545454545453</v>
      </c>
      <c r="BN480" s="64">
        <f t="shared" ref="BN480:BN494" si="71">IFERROR(Y480*I480/H480,"0")</f>
        <v>90.24</v>
      </c>
      <c r="BO480" s="64">
        <f t="shared" ref="BO480:BO494" si="72">IFERROR(1/J480*(X480/H480),"0")</f>
        <v>0.14568764568764569</v>
      </c>
      <c r="BP480" s="64">
        <f t="shared" ref="BP480:BP494" si="73">IFERROR(1/J480*(Y480/H480),"0")</f>
        <v>0.15384615384615385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120</v>
      </c>
      <c r="Y482" s="664">
        <f t="shared" si="69"/>
        <v>121.44000000000001</v>
      </c>
      <c r="Z482" s="36">
        <f>IFERROR(IF(Y482=0,"",ROUNDUP(Y482/H482,0)*0.01196),"")</f>
        <v>0.27507999999999999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128.18181818181816</v>
      </c>
      <c r="BN482" s="64">
        <f t="shared" si="71"/>
        <v>129.72</v>
      </c>
      <c r="BO482" s="64">
        <f t="shared" si="72"/>
        <v>0.21853146853146854</v>
      </c>
      <c r="BP482" s="64">
        <f t="shared" si="73"/>
        <v>0.22115384615384617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110</v>
      </c>
      <c r="Y483" s="664">
        <f t="shared" si="69"/>
        <v>110.88000000000001</v>
      </c>
      <c r="Z483" s="36">
        <f>IFERROR(IF(Y483=0,"",ROUNDUP(Y483/H483,0)*0.01196),"")</f>
        <v>0.25115999999999999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117.49999999999999</v>
      </c>
      <c r="BN483" s="64">
        <f t="shared" si="71"/>
        <v>118.44</v>
      </c>
      <c r="BO483" s="64">
        <f t="shared" si="72"/>
        <v>0.20032051282051283</v>
      </c>
      <c r="BP483" s="64">
        <f t="shared" si="73"/>
        <v>0.20192307692307693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5">
        <v>4680115880603</v>
      </c>
      <c r="E486" s="676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5">
        <v>4680115880603</v>
      </c>
      <c r="E487" s="676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120</v>
      </c>
      <c r="Y487" s="664">
        <f t="shared" si="69"/>
        <v>122.4</v>
      </c>
      <c r="Z487" s="36">
        <f>IFERROR(IF(Y487=0,"",ROUNDUP(Y487/H487,0)*0.00902),"")</f>
        <v>0.30668000000000001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127</v>
      </c>
      <c r="BN487" s="64">
        <f t="shared" si="71"/>
        <v>129.54000000000002</v>
      </c>
      <c r="BO487" s="64">
        <f t="shared" si="72"/>
        <v>0.25252525252525254</v>
      </c>
      <c r="BP487" s="64">
        <f t="shared" si="73"/>
        <v>0.25757575757575757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5">
        <v>4607091389982</v>
      </c>
      <c r="E492" s="676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5">
        <v>4607091389982</v>
      </c>
      <c r="E493" s="676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174</v>
      </c>
      <c r="Y493" s="664">
        <f t="shared" si="69"/>
        <v>176.4</v>
      </c>
      <c r="Z493" s="36">
        <f>IFERROR(IF(Y493=0,"",ROUNDUP(Y493/H493,0)*0.00902),"")</f>
        <v>0.44198000000000004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184.15</v>
      </c>
      <c r="BN493" s="64">
        <f t="shared" si="71"/>
        <v>186.69000000000003</v>
      </c>
      <c r="BO493" s="64">
        <f t="shared" si="72"/>
        <v>0.36616161616161613</v>
      </c>
      <c r="BP493" s="64">
        <f t="shared" si="73"/>
        <v>0.37121212121212122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140.37878787878788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143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1.4662600000000001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604</v>
      </c>
      <c r="Y496" s="665">
        <f>IFERROR(SUM(Y480:Y494),"0")</f>
        <v>615.6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136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5" t="s">
        <v>773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32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120</v>
      </c>
      <c r="Y499" s="664">
        <f>IFERROR(IF(X499="",0,CEILING((X499/$H499),1)*$H499),"")</f>
        <v>121.44000000000001</v>
      </c>
      <c r="Z499" s="36">
        <f>IFERROR(IF(Y499=0,"",ROUNDUP(Y499/H499,0)*0.01196),"")</f>
        <v>0.27507999999999999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128.18181818181816</v>
      </c>
      <c r="BN499" s="64">
        <f>IFERROR(Y499*I499/H499,"0")</f>
        <v>129.72</v>
      </c>
      <c r="BO499" s="64">
        <f>IFERROR(1/J499*(X499/H499),"0")</f>
        <v>0.21853146853146854</v>
      </c>
      <c r="BP499" s="64">
        <f>IFERROR(1/J499*(Y499/H499),"0")</f>
        <v>0.22115384615384617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22.727272727272727</v>
      </c>
      <c r="Y502" s="665">
        <f>IFERROR(Y498/H498,"0")+IFERROR(Y499/H499,"0")+IFERROR(Y500/H500,"0")+IFERROR(Y501/H501,"0")</f>
        <v>23</v>
      </c>
      <c r="Z502" s="665">
        <f>IFERROR(IF(Z498="",0,Z498),"0")+IFERROR(IF(Z499="",0,Z499),"0")+IFERROR(IF(Z500="",0,Z500),"0")+IFERROR(IF(Z501="",0,Z501),"0")</f>
        <v>0.27507999999999999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120</v>
      </c>
      <c r="Y503" s="665">
        <f>IFERROR(SUM(Y498:Y501),"0")</f>
        <v>121.44000000000001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147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50</v>
      </c>
      <c r="Y505" s="664">
        <f t="shared" ref="Y505:Y516" si="74"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53.409090909090907</v>
      </c>
      <c r="BN505" s="64">
        <f t="shared" ref="BN505:BN516" si="76">IFERROR(Y505*I505/H505,"0")</f>
        <v>56.400000000000006</v>
      </c>
      <c r="BO505" s="64">
        <f t="shared" ref="BO505:BO516" si="77">IFERROR(1/J505*(X505/H505),"0")</f>
        <v>9.1054778554778545E-2</v>
      </c>
      <c r="BP505" s="64">
        <f t="shared" ref="BP505:BP516" si="78">IFERROR(1/J505*(Y505/H505),"0")</f>
        <v>9.6153846153846159E-2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130</v>
      </c>
      <c r="Y507" s="664">
        <f t="shared" si="74"/>
        <v>132</v>
      </c>
      <c r="Z507" s="36">
        <f>IFERROR(IF(Y507=0,"",ROUNDUP(Y507/H507,0)*0.01196),"")</f>
        <v>0.29899999999999999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138.86363636363635</v>
      </c>
      <c r="BN507" s="64">
        <f t="shared" si="76"/>
        <v>140.99999999999997</v>
      </c>
      <c r="BO507" s="64">
        <f t="shared" si="77"/>
        <v>0.23674242424242425</v>
      </c>
      <c r="BP507" s="64">
        <f t="shared" si="78"/>
        <v>0.24038461538461539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5">
        <v>4680115882072</v>
      </c>
      <c r="E509" s="676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5">
        <v>4680115882072</v>
      </c>
      <c r="E510" s="676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94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7" t="s">
        <v>804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54</v>
      </c>
      <c r="Y511" s="664">
        <f t="shared" si="74"/>
        <v>57.599999999999994</v>
      </c>
      <c r="Z511" s="36">
        <f>IFERROR(IF(Y511=0,"",ROUNDUP(Y511/H511,0)*0.00902),"")</f>
        <v>0.10824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77.962499999999991</v>
      </c>
      <c r="BN511" s="64">
        <f t="shared" si="76"/>
        <v>83.16</v>
      </c>
      <c r="BO511" s="64">
        <f t="shared" si="77"/>
        <v>8.5227272727272735E-2</v>
      </c>
      <c r="BP511" s="64">
        <f t="shared" si="78"/>
        <v>9.0909090909090912E-2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75">
        <v>4680115882096</v>
      </c>
      <c r="E515" s="676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114</v>
      </c>
      <c r="Y515" s="664">
        <f t="shared" si="74"/>
        <v>115.2</v>
      </c>
      <c r="Z515" s="36">
        <f>IFERROR(IF(Y515=0,"",ROUNDUP(Y515/H515,0)*0.00902),"")</f>
        <v>0.28864000000000001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120.65</v>
      </c>
      <c r="BN515" s="64">
        <f t="shared" si="76"/>
        <v>121.92</v>
      </c>
      <c r="BO515" s="64">
        <f t="shared" si="77"/>
        <v>0.23989898989898989</v>
      </c>
      <c r="BP515" s="64">
        <f t="shared" si="78"/>
        <v>0.24242424242424243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37" t="s">
        <v>815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91.47727272727272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94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0.98018000000000005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416</v>
      </c>
      <c r="Y518" s="665">
        <f>IFERROR(SUM(Y505:Y516),"0")</f>
        <v>428.40000000000003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173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136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147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5">
        <v>4640242180533</v>
      </c>
      <c r="E560" s="676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75">
        <v>4640242180533</v>
      </c>
      <c r="E561" s="676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1200</v>
      </c>
      <c r="Y561" s="664">
        <f>IFERROR(IF(X561="",0,CEILING((X561/$H561),1)*$H561),"")</f>
        <v>1206</v>
      </c>
      <c r="Z561" s="36">
        <f>IFERROR(IF(Y561=0,"",ROUNDUP(Y561/H561,0)*0.01898),"")</f>
        <v>2.54332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1269.1999999999998</v>
      </c>
      <c r="BN561" s="64">
        <f>IFERROR(Y561*I561/H561,"0")</f>
        <v>1275.546</v>
      </c>
      <c r="BO561" s="64">
        <f>IFERROR(1/J561*(X561/H561),"0")</f>
        <v>2.0833333333333335</v>
      </c>
      <c r="BP561" s="64">
        <f>IFERROR(1/J561*(Y561/H561),"0")</f>
        <v>2.09375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133.33333333333334</v>
      </c>
      <c r="Y565" s="665">
        <f>IFERROR(Y560/H560,"0")+IFERROR(Y561/H561,"0")+IFERROR(Y562/H562,"0")+IFERROR(Y563/H563,"0")+IFERROR(Y564/H564,"0")</f>
        <v>134</v>
      </c>
      <c r="Z565" s="665">
        <f>IFERROR(IF(Z560="",0,Z560),"0")+IFERROR(IF(Z561="",0,Z561),"0")+IFERROR(IF(Z562="",0,Z562),"0")+IFERROR(IF(Z563="",0,Z563),"0")+IFERROR(IF(Z564="",0,Z564),"0")</f>
        <v>2.54332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1200</v>
      </c>
      <c r="Y566" s="665">
        <f>IFERROR(SUM(Y560:Y564),"0")</f>
        <v>1206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173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5">
        <v>4640242180120</v>
      </c>
      <c r="E568" s="676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75">
        <v>4640242180120</v>
      </c>
      <c r="E569" s="676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20</v>
      </c>
      <c r="Y569" s="664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5">
        <v>4640242180137</v>
      </c>
      <c r="E570" s="676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5">
        <v>4640242180137</v>
      </c>
      <c r="E571" s="676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2.2222222222222223</v>
      </c>
      <c r="Y572" s="665">
        <f>IFERROR(Y568/H568,"0")+IFERROR(Y569/H569,"0")+IFERROR(Y570/H570,"0")+IFERROR(Y571/H571,"0")</f>
        <v>3</v>
      </c>
      <c r="Z572" s="665">
        <f>IFERROR(IF(Z568="",0,Z568),"0")+IFERROR(IF(Z569="",0,Z569),"0")+IFERROR(IF(Z570="",0,Z570),"0")+IFERROR(IF(Z571="",0,Z571),"0")</f>
        <v>5.6940000000000004E-2</v>
      </c>
      <c r="AA572" s="666"/>
      <c r="AB572" s="666"/>
      <c r="AC572" s="666"/>
    </row>
    <row r="573" spans="1:68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20</v>
      </c>
      <c r="Y573" s="665">
        <f>IFERROR(SUM(Y568:Y571),"0")</f>
        <v>27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136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147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17402.7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17585.120000000003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18496.440733021773</v>
      </c>
      <c r="Y592" s="665">
        <f>IFERROR(SUM(BN22:BN588),"0")</f>
        <v>18690.357999999993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32</v>
      </c>
      <c r="Y593" s="38">
        <f>ROUNDUP(SUM(BP22:BP588),0)</f>
        <v>32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19296.440733021773</v>
      </c>
      <c r="Y594" s="665">
        <f>GrossWeightTotalR+PalletQtyTotalR*25</f>
        <v>19490.357999999993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3823.6494814253429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3855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36.801430000000003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286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181</v>
      </c>
      <c r="F599" s="693" t="s">
        <v>212</v>
      </c>
      <c r="G599" s="693" t="s">
        <v>257</v>
      </c>
      <c r="H599" s="693" t="s">
        <v>96</v>
      </c>
      <c r="I599" s="693" t="s">
        <v>287</v>
      </c>
      <c r="J599" s="693" t="s">
        <v>322</v>
      </c>
      <c r="K599" s="693" t="s">
        <v>383</v>
      </c>
      <c r="L599" s="693" t="s">
        <v>418</v>
      </c>
      <c r="M599" s="693" t="s">
        <v>436</v>
      </c>
      <c r="N599" s="661"/>
      <c r="O599" s="693" t="s">
        <v>440</v>
      </c>
      <c r="P599" s="693" t="s">
        <v>449</v>
      </c>
      <c r="Q599" s="693" t="s">
        <v>463</v>
      </c>
      <c r="R599" s="693" t="s">
        <v>473</v>
      </c>
      <c r="S599" s="693" t="s">
        <v>477</v>
      </c>
      <c r="T599" s="693" t="s">
        <v>485</v>
      </c>
      <c r="U599" s="693" t="s">
        <v>490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18</v>
      </c>
      <c r="C601" s="46">
        <f>IFERROR(Y37*1,"0")+IFERROR(Y38*1,"0")+IFERROR(Y39*1,"0")+IFERROR(Y40*1,"0")+IFERROR(Y44*1,"0")</f>
        <v>482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1009.8000000000001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1404.6000000000001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1797.6599999999999</v>
      </c>
      <c r="G601" s="46">
        <f>IFERROR(Y137*1,"0")+IFERROR(Y138*1,"0")+IFERROR(Y142*1,"0")+IFERROR(Y143*1,"0")+IFERROR(Y147*1,"0")+IFERROR(Y148*1,"0")</f>
        <v>216.32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602.1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1851.5999999999997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141.6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360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140.70000000000002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753</v>
      </c>
      <c r="V601" s="46">
        <f>IFERROR(Y363*1,"0")+IFERROR(Y367*1,"0")+IFERROR(Y368*1,"0")+IFERROR(Y369*1,"0")</f>
        <v>1208.7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4951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170.4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8.4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1165.44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1245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16,00"/>
        <filter val="1 100,00"/>
        <filter val="1 190,00"/>
        <filter val="1 200,00"/>
        <filter val="1 204,00"/>
        <filter val="1 320,00"/>
        <filter val="1,85"/>
        <filter val="10,00"/>
        <filter val="100,00"/>
        <filter val="105,00"/>
        <filter val="11,67"/>
        <filter val="110,00"/>
        <filter val="114,00"/>
        <filter val="118,52"/>
        <filter val="120,00"/>
        <filter val="122,50"/>
        <filter val="126,67"/>
        <filter val="129,63"/>
        <filter val="130,00"/>
        <filter val="132,00"/>
        <filter val="133,33"/>
        <filter val="135,00"/>
        <filter val="140,00"/>
        <filter val="140,38"/>
        <filter val="15,00"/>
        <filter val="150,00"/>
        <filter val="16,00"/>
        <filter val="160,00"/>
        <filter val="167,50"/>
        <filter val="17 402,70"/>
        <filter val="17,50"/>
        <filter val="174,00"/>
        <filter val="18 496,44"/>
        <filter val="18,00"/>
        <filter val="19 296,44"/>
        <filter val="190,00"/>
        <filter val="192,50"/>
        <filter val="2,00"/>
        <filter val="2,22"/>
        <filter val="2,38"/>
        <filter val="20,00"/>
        <filter val="200,00"/>
        <filter val="205,00"/>
        <filter val="209,81"/>
        <filter val="22,73"/>
        <filter val="23,10"/>
        <filter val="23,17"/>
        <filter val="24,00"/>
        <filter val="240,00"/>
        <filter val="242,14"/>
        <filter val="245,67"/>
        <filter val="246,43"/>
        <filter val="26,25"/>
        <filter val="27,50"/>
        <filter val="289,00"/>
        <filter val="3 655,00"/>
        <filter val="3 823,65"/>
        <filter val="3,00"/>
        <filter val="3,33"/>
        <filter val="30,00"/>
        <filter val="305,95"/>
        <filter val="32"/>
        <filter val="320,00"/>
        <filter val="323,00"/>
        <filter val="34,00"/>
        <filter val="35,00"/>
        <filter val="350,00"/>
        <filter val="36,00"/>
        <filter val="360,00"/>
        <filter val="382,50"/>
        <filter val="387,13"/>
        <filter val="4,00"/>
        <filter val="4,44"/>
        <filter val="40,00"/>
        <filter val="416,00"/>
        <filter val="420,00"/>
        <filter val="44,00"/>
        <filter val="442,50"/>
        <filter val="45,00"/>
        <filter val="450,00"/>
        <filter val="48,00"/>
        <filter val="480,00"/>
        <filter val="50,00"/>
        <filter val="52,50"/>
        <filter val="525,00"/>
        <filter val="53,21"/>
        <filter val="54,00"/>
        <filter val="540,00"/>
        <filter val="56,00"/>
        <filter val="56,48"/>
        <filter val="566,67"/>
        <filter val="593,00"/>
        <filter val="6,00"/>
        <filter val="6,67"/>
        <filter val="60,00"/>
        <filter val="604,00"/>
        <filter val="630,00"/>
        <filter val="650,00"/>
        <filter val="66,67"/>
        <filter val="665,00"/>
        <filter val="70,00"/>
        <filter val="72,60"/>
        <filter val="731,00"/>
        <filter val="740,00"/>
        <filter val="750,00"/>
        <filter val="76,85"/>
        <filter val="770,00"/>
        <filter val="8,00"/>
        <filter val="80,00"/>
        <filter val="81,00"/>
        <filter val="84,00"/>
        <filter val="87,50"/>
        <filter val="90,56"/>
        <filter val="91,48"/>
        <filter val="94,81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