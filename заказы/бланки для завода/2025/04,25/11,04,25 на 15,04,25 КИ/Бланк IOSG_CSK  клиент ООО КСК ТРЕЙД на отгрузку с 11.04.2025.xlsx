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9FAFAC-7CD2-4CB1-9588-167E0BE91DB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заказа'!$A$17:$BC$392</definedName>
    <definedName name="CodeProxySet">Setting!$E$17:$E$18</definedName>
    <definedName name="Comment">'Бланк заказа'!$I$5</definedName>
    <definedName name="ContactInformation">'Бланк заказа'!$A$12</definedName>
    <definedName name="CustAccount">'Бланк заказа'!$S$9</definedName>
    <definedName name="CustName">'Бланк заказа'!$S$6</definedName>
    <definedName name="DateFrom">'Бланк заказа'!$Q$1:$R$1</definedName>
    <definedName name="DeliveryAddress">'Бланк заказа'!$E$6</definedName>
    <definedName name="DeliveryAdressList">Setting!$B$6:$B$7</definedName>
    <definedName name="DeliveryCodeAdressList">Setting!$C$6:$C$7</definedName>
    <definedName name="DeliveryConditions">'Бланк заказа'!$S$11</definedName>
    <definedName name="DeliveryConditionsList">Setting!$B$18:$B$28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заказа'!$S$5</definedName>
    <definedName name="FileCodeCheck">Setting!$G$1</definedName>
    <definedName name="FIOProxy">'Бланк заказа'!$I$9:$K$9</definedName>
    <definedName name="FIOProxySet">Setting!$C$17:$C$18</definedName>
    <definedName name="IOSG1">Setting!$B$13:$B$13</definedName>
    <definedName name="IOSG2">Setting!$B$14:$B$14</definedName>
    <definedName name="IOSG3">Setting!$B$15:$B$15</definedName>
    <definedName name="IOSG4">Setting!$B$16:$B$16</definedName>
    <definedName name="LoadDate">'Бланк заказа'!$Q$5</definedName>
    <definedName name="LoadTime">'Бланк заказа'!$Q$8</definedName>
    <definedName name="NumProxy">'Бланк заказа'!$E$10:$F$10</definedName>
    <definedName name="NumProxySet">Setting!$B$17:$B$18</definedName>
    <definedName name="PassportProxy">'Бланк заказа'!$M$9:$N$9</definedName>
    <definedName name="PassportProxySet">Setting!$D$17:$D$18</definedName>
    <definedName name="ProductId1">'Бланк заказа'!$B$21:$B$21</definedName>
    <definedName name="ProductId10">'Бланк заказа'!$B$45:$B$45</definedName>
    <definedName name="ProductId100">'Бланк заказа'!$B$275:$B$275</definedName>
    <definedName name="ProductId101">'Бланк заказа'!$B$276:$B$276</definedName>
    <definedName name="ProductId102">'Бланк заказа'!$B$277:$B$277</definedName>
    <definedName name="ProductId103">'Бланк заказа'!$B$278:$B$278</definedName>
    <definedName name="ProductId104">'Бланк заказа'!$B$279:$B$279</definedName>
    <definedName name="ProductId105">'Бланк заказа'!$B$283:$B$283</definedName>
    <definedName name="ProductId106">'Бланк заказа'!$B$288:$B$288</definedName>
    <definedName name="ProductId107">'Бланк заказа'!$B$292:$B$292</definedName>
    <definedName name="ProductId108">'Бланк заказа'!$B$293:$B$293</definedName>
    <definedName name="ProductId109">'Бланк заказа'!$B$298:$B$298</definedName>
    <definedName name="ProductId11">'Бланк заказа'!$B$46:$B$46</definedName>
    <definedName name="ProductId110">'Бланк заказа'!$B$299:$B$299</definedName>
    <definedName name="ProductId111">'Бланк заказа'!$B$300:$B$300</definedName>
    <definedName name="ProductId112">'Бланк заказа'!$B$305:$B$305</definedName>
    <definedName name="ProductId113">'Бланк заказа'!$B$306:$B$306</definedName>
    <definedName name="ProductId114">'Бланк заказа'!$B$310:$B$310</definedName>
    <definedName name="ProductId115">'Бланк заказа'!$B$316:$B$316</definedName>
    <definedName name="ProductId116">'Бланк заказа'!$B$317:$B$317</definedName>
    <definedName name="ProductId117">'Бланк заказа'!$B$318:$B$318</definedName>
    <definedName name="ProductId118">'Бланк заказа'!$B$319:$B$319</definedName>
    <definedName name="ProductId119">'Бланк заказа'!$B$320:$B$320</definedName>
    <definedName name="ProductId12">'Бланк заказа'!$B$50:$B$50</definedName>
    <definedName name="ProductId120">'Бланк заказа'!$B$321:$B$321</definedName>
    <definedName name="ProductId121">'Бланк заказа'!$B$322:$B$322</definedName>
    <definedName name="ProductId122">'Бланк заказа'!$B$326:$B$326</definedName>
    <definedName name="ProductId123">'Бланк заказа'!$B$327:$B$327</definedName>
    <definedName name="ProductId124">'Бланк заказа'!$B$328:$B$328</definedName>
    <definedName name="ProductId125">'Бланк заказа'!$B$332:$B$332</definedName>
    <definedName name="ProductId126">'Бланк заказа'!$B$333:$B$333</definedName>
    <definedName name="ProductId127">'Бланк заказа'!$B$334:$B$334</definedName>
    <definedName name="ProductId128">'Бланк заказа'!$B$338:$B$338</definedName>
    <definedName name="ProductId129">'Бланк заказа'!$B$339:$B$339</definedName>
    <definedName name="ProductId13">'Бланк заказа'!$B$51:$B$51</definedName>
    <definedName name="ProductId130">'Бланк заказа'!$B$345:$B$345</definedName>
    <definedName name="ProductId131">'Бланк заказа'!$B$346:$B$346</definedName>
    <definedName name="ProductId132">'Бланк заказа'!$B$347:$B$347</definedName>
    <definedName name="ProductId133">'Бланк заказа'!$B$348:$B$348</definedName>
    <definedName name="ProductId134">'Бланк заказа'!$B$352:$B$352</definedName>
    <definedName name="ProductId135">'Бланк заказа'!$B$353:$B$353</definedName>
    <definedName name="ProductId136">'Бланк заказа'!$B$354:$B$354</definedName>
    <definedName name="ProductId137">'Бланк заказа'!$B$355:$B$355</definedName>
    <definedName name="ProductId138">'Бланк заказа'!$B$356:$B$356</definedName>
    <definedName name="ProductId139">'Бланк заказа'!$B$357:$B$357</definedName>
    <definedName name="ProductId14">'Бланк заказа'!$B$52:$B$52</definedName>
    <definedName name="ProductId140">'Бланк заказа'!$B$361:$B$361</definedName>
    <definedName name="ProductId141">'Бланк заказа'!$B$362:$B$362</definedName>
    <definedName name="ProductId142">'Бланк заказа'!$B$363:$B$363</definedName>
    <definedName name="ProductId143">'Бланк заказа'!$B$368:$B$368</definedName>
    <definedName name="ProductId144">'Бланк заказа'!$B$369:$B$369</definedName>
    <definedName name="ProductId145">'Бланк заказа'!$B$373:$B$373</definedName>
    <definedName name="ProductId146">'Бланк заказа'!$B$374:$B$374</definedName>
    <definedName name="ProductId147">'Бланк заказа'!$B$378:$B$378</definedName>
    <definedName name="ProductId148">'Бланк заказа'!$B$379:$B$379</definedName>
    <definedName name="ProductId149">'Бланк заказа'!$B$380:$B$380</definedName>
    <definedName name="ProductId15">'Бланк заказа'!$B$56:$B$56</definedName>
    <definedName name="ProductId150">'Бланк заказа'!$B$384:$B$384</definedName>
    <definedName name="ProductId16">'Бланк заказа'!$B$57:$B$57</definedName>
    <definedName name="ProductId17">'Бланк заказа'!$B$61:$B$61</definedName>
    <definedName name="ProductId18">'Бланк заказа'!$B$62:$B$62</definedName>
    <definedName name="ProductId19">'Бланк заказа'!$B$63:$B$63</definedName>
    <definedName name="ProductId2">'Бланк заказа'!$B$22:$B$22</definedName>
    <definedName name="ProductId20">'Бланк заказа'!$B$67:$B$67</definedName>
    <definedName name="ProductId21">'Бланк заказа'!$B$68:$B$68</definedName>
    <definedName name="ProductId22">'Бланк заказа'!$B$73:$B$73</definedName>
    <definedName name="ProductId23">'Бланк заказа'!$B$77:$B$77</definedName>
    <definedName name="ProductId24">'Бланк заказа'!$B$78:$B$78</definedName>
    <definedName name="ProductId25">'Бланк заказа'!$B$79:$B$79</definedName>
    <definedName name="ProductId26">'Бланк заказа'!$B$80:$B$80</definedName>
    <definedName name="ProductId27">'Бланк заказа'!$B$81:$B$81</definedName>
    <definedName name="ProductId28">'Бланк заказа'!$B$86:$B$86</definedName>
    <definedName name="ProductId29">'Бланк заказа'!$B$90:$B$90</definedName>
    <definedName name="ProductId3">'Бланк заказа'!$B$26:$B$26</definedName>
    <definedName name="ProductId30">'Бланк заказа'!$B$94:$B$94</definedName>
    <definedName name="ProductId31">'Бланк заказа'!$B$95:$B$95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заказа'!$B$114:$B$114</definedName>
    <definedName name="ProductId39">'Бланк заказа'!$B$118:$B$118</definedName>
    <definedName name="ProductId4">'Бланк заказа'!$B$32:$B$32</definedName>
    <definedName name="ProductId40">'Бланк заказа'!$B$119:$B$119</definedName>
    <definedName name="ProductId41">'Бланк заказа'!$B$120:$B$120</definedName>
    <definedName name="ProductId42">'Бланк заказа'!$B$121:$B$121</definedName>
    <definedName name="ProductId43">'Бланк заказа'!$B$126:$B$126</definedName>
    <definedName name="ProductId44">'Бланк заказа'!$B$130:$B$130</definedName>
    <definedName name="ProductId45">'Бланк заказа'!$B$131:$B$131</definedName>
    <definedName name="ProductId46">'Бланк заказа'!$B$132:$B$132</definedName>
    <definedName name="ProductId47">'Бланк заказа'!$B$136:$B$136</definedName>
    <definedName name="ProductId48">'Бланк заказа'!$B$137:$B$137</definedName>
    <definedName name="ProductId49">'Бланк заказа'!$B$141:$B$141</definedName>
    <definedName name="ProductId5">'Бланк заказа'!$B$33:$B$33</definedName>
    <definedName name="ProductId50">'Бланк заказа'!$B$146:$B$146</definedName>
    <definedName name="ProductId51">'Бланк заказа'!$B$147:$B$147</definedName>
    <definedName name="ProductId52">'Бланк заказа'!$B$152:$B$152</definedName>
    <definedName name="ProductId53">'Бланк заказа'!$B$156:$B$156</definedName>
    <definedName name="ProductId54">'Бланк заказа'!$B$160:$B$160</definedName>
    <definedName name="ProductId55">'Бланк заказа'!$B$165:$B$165</definedName>
    <definedName name="ProductId56">'Бланк заказа'!$B$166:$B$166</definedName>
    <definedName name="ProductId57">'Бланк заказа'!$B$167:$B$167</definedName>
    <definedName name="ProductId58">'Бланк заказа'!$B$172:$B$172</definedName>
    <definedName name="ProductId59">'Бланк заказа'!$B$173:$B$173</definedName>
    <definedName name="ProductId6">'Бланк заказа'!$B$34:$B$34</definedName>
    <definedName name="ProductId60">'Бланк заказа'!$B$174:$B$174</definedName>
    <definedName name="ProductId61">'Бланк заказа'!$B$175:$B$175</definedName>
    <definedName name="ProductId62">'Бланк заказа'!$B$176:$B$176</definedName>
    <definedName name="ProductId63">'Бланк заказа'!$B$177:$B$177</definedName>
    <definedName name="ProductId64">'Бланк заказа'!$B$182:$B$182</definedName>
    <definedName name="ProductId65">'Бланк заказа'!$B$183:$B$183</definedName>
    <definedName name="ProductId66">'Бланк заказа'!$B$187:$B$187</definedName>
    <definedName name="ProductId67">'Бланк заказа'!$B$192:$B$192</definedName>
    <definedName name="ProductId68">'Бланк заказа'!$B$196:$B$196</definedName>
    <definedName name="ProductId69">'Бланк заказа'!$B$197:$B$197</definedName>
    <definedName name="ProductId7">'Бланк заказа'!$B$38:$B$38</definedName>
    <definedName name="ProductId70">'Бланк заказа'!$B$202:$B$202</definedName>
    <definedName name="ProductId71">'Бланк заказа'!$B$206:$B$206</definedName>
    <definedName name="ProductId72">'Бланк заказа'!$B$211:$B$211</definedName>
    <definedName name="ProductId73">'Бланк заказа'!$B$216:$B$216</definedName>
    <definedName name="ProductId74">'Бланк заказа'!$B$217:$B$217</definedName>
    <definedName name="ProductId75">'Бланк заказа'!$B$218:$B$218</definedName>
    <definedName name="ProductId76">'Бланк заказа'!$B$222:$B$222</definedName>
    <definedName name="ProductId77">'Бланк заказа'!$B$223:$B$223</definedName>
    <definedName name="ProductId78">'Бланк заказа'!$B$224:$B$224</definedName>
    <definedName name="ProductId79">'Бланк заказа'!$B$228:$B$228</definedName>
    <definedName name="ProductId8">'Бланк заказа'!$B$43:$B$43</definedName>
    <definedName name="ProductId80">'Бланк заказа'!$B$229:$B$229</definedName>
    <definedName name="ProductId81">'Бланк заказа'!$B$230:$B$230</definedName>
    <definedName name="ProductId82">'Бланк заказа'!$B$231:$B$231</definedName>
    <definedName name="ProductId83">'Бланк заказа'!$B$232:$B$232</definedName>
    <definedName name="ProductId84">'Бланк заказа'!$B$237:$B$237</definedName>
    <definedName name="ProductId85">'Бланк заказа'!$B$241:$B$241</definedName>
    <definedName name="ProductId86">'Бланк заказа'!$B$242:$B$242</definedName>
    <definedName name="ProductId87">'Бланк заказа'!$B$248:$B$248</definedName>
    <definedName name="ProductId88">'Бланк заказа'!$B$249:$B$249</definedName>
    <definedName name="ProductId89">'Бланк заказа'!$B$250:$B$250</definedName>
    <definedName name="ProductId9">'Бланк заказа'!$B$44:$B$44</definedName>
    <definedName name="ProductId90">'Бланк заказа'!$B$254:$B$254</definedName>
    <definedName name="ProductId91">'Бланк заказа'!$B$255:$B$255</definedName>
    <definedName name="ProductId92">'Бланк заказа'!$B$259:$B$259</definedName>
    <definedName name="ProductId93">'Бланк заказа'!$B$260:$B$260</definedName>
    <definedName name="ProductId94">'Бланк заказа'!$B$261:$B$261</definedName>
    <definedName name="ProductId95">'Бланк заказа'!$B$265:$B$265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ductId99">'Бланк заказа'!$B$274:$B$274</definedName>
    <definedName name="Proxy">Setting!$B$17:$E$18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_1">'Бланк заказа'!$U$21:$U$21</definedName>
    <definedName name="SalesQty1_2">'Бланк заказа'!$W$21:$W$21</definedName>
    <definedName name="SalesQty1_3">'Бланк заказа'!$Y$21:$Y$21</definedName>
    <definedName name="SalesQty1_4">'Бланк заказа'!$AA$21:$AA$21</definedName>
    <definedName name="SalesQty10_1">'Бланк заказа'!$U$45:$U$45</definedName>
    <definedName name="SalesQty10_2">'Бланк заказа'!$W$45:$W$45</definedName>
    <definedName name="SalesQty10_3">'Бланк заказа'!$Y$45:$Y$45</definedName>
    <definedName name="SalesQty10_4">'Бланк заказа'!$AA$45:$AA$45</definedName>
    <definedName name="SalesQty100_1">'Бланк заказа'!$U$275:$U$275</definedName>
    <definedName name="SalesQty100_2">'Бланк заказа'!$W$275:$W$275</definedName>
    <definedName name="SalesQty100_3">'Бланк заказа'!$Y$275:$Y$275</definedName>
    <definedName name="SalesQty100_4">'Бланк заказа'!$AA$275:$AA$275</definedName>
    <definedName name="SalesQty101_1">'Бланк заказа'!$U$276:$U$276</definedName>
    <definedName name="SalesQty101_2">'Бланк заказа'!$W$276:$W$276</definedName>
    <definedName name="SalesQty101_3">'Бланк заказа'!$Y$276:$Y$276</definedName>
    <definedName name="SalesQty101_4">'Бланк заказа'!$AA$276:$AA$276</definedName>
    <definedName name="SalesQty102_1">'Бланк заказа'!$U$277:$U$277</definedName>
    <definedName name="SalesQty102_2">'Бланк заказа'!$W$277:$W$277</definedName>
    <definedName name="SalesQty102_3">'Бланк заказа'!$Y$277:$Y$277</definedName>
    <definedName name="SalesQty102_4">'Бланк заказа'!$AA$277:$AA$277</definedName>
    <definedName name="SalesQty103_1">'Бланк заказа'!$U$278:$U$278</definedName>
    <definedName name="SalesQty103_2">'Бланк заказа'!$W$278:$W$278</definedName>
    <definedName name="SalesQty103_3">'Бланк заказа'!$Y$278:$Y$278</definedName>
    <definedName name="SalesQty103_4">'Бланк заказа'!$AA$278:$AA$278</definedName>
    <definedName name="SalesQty104_1">'Бланк заказа'!$U$279:$U$279</definedName>
    <definedName name="SalesQty104_2">'Бланк заказа'!$W$279:$W$279</definedName>
    <definedName name="SalesQty104_3">'Бланк заказа'!$Y$279:$Y$279</definedName>
    <definedName name="SalesQty104_4">'Бланк заказа'!$AA$279:$AA$279</definedName>
    <definedName name="SalesQty105_1">'Бланк заказа'!$U$283:$U$283</definedName>
    <definedName name="SalesQty105_2">'Бланк заказа'!$W$283:$W$283</definedName>
    <definedName name="SalesQty105_3">'Бланк заказа'!$Y$283:$Y$283</definedName>
    <definedName name="SalesQty105_4">'Бланк заказа'!$AA$283:$AA$283</definedName>
    <definedName name="SalesQty106_1">'Бланк заказа'!$U$288:$U$288</definedName>
    <definedName name="SalesQty106_2">'Бланк заказа'!$W$288:$W$288</definedName>
    <definedName name="SalesQty106_3">'Бланк заказа'!$Y$288:$Y$288</definedName>
    <definedName name="SalesQty106_4">'Бланк заказа'!$AA$288:$AA$288</definedName>
    <definedName name="SalesQty107_1">'Бланк заказа'!$U$292:$U$292</definedName>
    <definedName name="SalesQty107_2">'Бланк заказа'!$W$292:$W$292</definedName>
    <definedName name="SalesQty107_3">'Бланк заказа'!$Y$292:$Y$292</definedName>
    <definedName name="SalesQty107_4">'Бланк заказа'!$AA$292:$AA$292</definedName>
    <definedName name="SalesQty108_1">'Бланк заказа'!$U$293:$U$293</definedName>
    <definedName name="SalesQty108_2">'Бланк заказа'!$W$293:$W$293</definedName>
    <definedName name="SalesQty108_3">'Бланк заказа'!$Y$293:$Y$293</definedName>
    <definedName name="SalesQty108_4">'Бланк заказа'!$AA$293:$AA$293</definedName>
    <definedName name="SalesQty109_1">'Бланк заказа'!$U$298:$U$298</definedName>
    <definedName name="SalesQty109_2">'Бланк заказа'!$W$298:$W$298</definedName>
    <definedName name="SalesQty109_3">'Бланк заказа'!$Y$298:$Y$298</definedName>
    <definedName name="SalesQty109_4">'Бланк заказа'!$AA$298:$AA$298</definedName>
    <definedName name="SalesQty11_1">'Бланк заказа'!$U$46:$U$46</definedName>
    <definedName name="SalesQty11_2">'Бланк заказа'!$W$46:$W$46</definedName>
    <definedName name="SalesQty11_3">'Бланк заказа'!$Y$46:$Y$46</definedName>
    <definedName name="SalesQty11_4">'Бланк заказа'!$AA$46:$AA$46</definedName>
    <definedName name="SalesQty110_1">'Бланк заказа'!$U$299:$U$299</definedName>
    <definedName name="SalesQty110_2">'Бланк заказа'!$W$299:$W$299</definedName>
    <definedName name="SalesQty110_3">'Бланк заказа'!$Y$299:$Y$299</definedName>
    <definedName name="SalesQty110_4">'Бланк заказа'!$AA$299:$AA$299</definedName>
    <definedName name="SalesQty111_1">'Бланк заказа'!$U$300:$U$300</definedName>
    <definedName name="SalesQty111_2">'Бланк заказа'!$W$300:$W$300</definedName>
    <definedName name="SalesQty111_3">'Бланк заказа'!$Y$300:$Y$300</definedName>
    <definedName name="SalesQty111_4">'Бланк заказа'!$AA$300:$AA$300</definedName>
    <definedName name="SalesQty112_1">'Бланк заказа'!$U$305:$U$305</definedName>
    <definedName name="SalesQty112_2">'Бланк заказа'!$W$305:$W$305</definedName>
    <definedName name="SalesQty112_3">'Бланк заказа'!$Y$305:$Y$305</definedName>
    <definedName name="SalesQty112_4">'Бланк заказа'!$AA$305:$AA$305</definedName>
    <definedName name="SalesQty113_1">'Бланк заказа'!$U$306:$U$306</definedName>
    <definedName name="SalesQty113_2">'Бланк заказа'!$W$306:$W$306</definedName>
    <definedName name="SalesQty113_3">'Бланк заказа'!$Y$306:$Y$306</definedName>
    <definedName name="SalesQty113_4">'Бланк заказа'!$AA$306:$AA$306</definedName>
    <definedName name="SalesQty114_1">'Бланк заказа'!$U$310:$U$310</definedName>
    <definedName name="SalesQty114_2">'Бланк заказа'!$W$310:$W$310</definedName>
    <definedName name="SalesQty114_3">'Бланк заказа'!$Y$310:$Y$310</definedName>
    <definedName name="SalesQty114_4">'Бланк заказа'!$AA$310:$AA$310</definedName>
    <definedName name="SalesQty115_1">'Бланк заказа'!$U$316:$U$316</definedName>
    <definedName name="SalesQty115_2">'Бланк заказа'!$W$316:$W$316</definedName>
    <definedName name="SalesQty115_3">'Бланк заказа'!$Y$316:$Y$316</definedName>
    <definedName name="SalesQty115_4">'Бланк заказа'!$AA$316:$AA$316</definedName>
    <definedName name="SalesQty116_1">'Бланк заказа'!$U$317:$U$317</definedName>
    <definedName name="SalesQty116_2">'Бланк заказа'!$W$317:$W$317</definedName>
    <definedName name="SalesQty116_3">'Бланк заказа'!$Y$317:$Y$317</definedName>
    <definedName name="SalesQty116_4">'Бланк заказа'!$AA$317:$AA$317</definedName>
    <definedName name="SalesQty117_1">'Бланк заказа'!$U$318:$U$318</definedName>
    <definedName name="SalesQty117_2">'Бланк заказа'!$W$318:$W$318</definedName>
    <definedName name="SalesQty117_3">'Бланк заказа'!$Y$318:$Y$318</definedName>
    <definedName name="SalesQty117_4">'Бланк заказа'!$AA$318:$AA$318</definedName>
    <definedName name="SalesQty118_1">'Бланк заказа'!$U$319:$U$319</definedName>
    <definedName name="SalesQty118_2">'Бланк заказа'!$W$319:$W$319</definedName>
    <definedName name="SalesQty118_3">'Бланк заказа'!$Y$319:$Y$319</definedName>
    <definedName name="SalesQty118_4">'Бланк заказа'!$AA$319:$AA$319</definedName>
    <definedName name="SalesQty119_1">'Бланк заказа'!$U$320:$U$320</definedName>
    <definedName name="SalesQty119_2">'Бланк заказа'!$W$320:$W$320</definedName>
    <definedName name="SalesQty119_3">'Бланк заказа'!$Y$320:$Y$320</definedName>
    <definedName name="SalesQty119_4">'Бланк заказа'!$AA$320:$AA$320</definedName>
    <definedName name="SalesQty12_1">'Бланк заказа'!$U$50:$U$50</definedName>
    <definedName name="SalesQty12_2">'Бланк заказа'!$W$50:$W$50</definedName>
    <definedName name="SalesQty12_3">'Бланк заказа'!$Y$50:$Y$50</definedName>
    <definedName name="SalesQty12_4">'Бланк заказа'!$AA$50:$AA$50</definedName>
    <definedName name="SalesQty120_1">'Бланк заказа'!$U$321:$U$321</definedName>
    <definedName name="SalesQty120_2">'Бланк заказа'!$W$321:$W$321</definedName>
    <definedName name="SalesQty120_3">'Бланк заказа'!$Y$321:$Y$321</definedName>
    <definedName name="SalesQty120_4">'Бланк заказа'!$AA$321:$AA$321</definedName>
    <definedName name="SalesQty121_1">'Бланк заказа'!$U$322:$U$322</definedName>
    <definedName name="SalesQty121_2">'Бланк заказа'!$W$322:$W$322</definedName>
    <definedName name="SalesQty121_3">'Бланк заказа'!$Y$322:$Y$322</definedName>
    <definedName name="SalesQty121_4">'Бланк заказа'!$AA$322:$AA$322</definedName>
    <definedName name="SalesQty122_1">'Бланк заказа'!$U$326:$U$326</definedName>
    <definedName name="SalesQty122_2">'Бланк заказа'!$W$326:$W$326</definedName>
    <definedName name="SalesQty122_3">'Бланк заказа'!$Y$326:$Y$326</definedName>
    <definedName name="SalesQty122_4">'Бланк заказа'!$AA$326:$AA$326</definedName>
    <definedName name="SalesQty123_1">'Бланк заказа'!$U$327:$U$327</definedName>
    <definedName name="SalesQty123_2">'Бланк заказа'!$W$327:$W$327</definedName>
    <definedName name="SalesQty123_3">'Бланк заказа'!$Y$327:$Y$327</definedName>
    <definedName name="SalesQty123_4">'Бланк заказа'!$AA$327:$AA$327</definedName>
    <definedName name="SalesQty124_1">'Бланк заказа'!$U$328:$U$328</definedName>
    <definedName name="SalesQty124_2">'Бланк заказа'!$W$328:$W$328</definedName>
    <definedName name="SalesQty124_3">'Бланк заказа'!$Y$328:$Y$328</definedName>
    <definedName name="SalesQty124_4">'Бланк заказа'!$AA$328:$AA$328</definedName>
    <definedName name="SalesQty125_1">'Бланк заказа'!$U$332:$U$332</definedName>
    <definedName name="SalesQty125_2">'Бланк заказа'!$W$332:$W$332</definedName>
    <definedName name="SalesQty125_3">'Бланк заказа'!$Y$332:$Y$332</definedName>
    <definedName name="SalesQty125_4">'Бланк заказа'!$AA$332:$AA$332</definedName>
    <definedName name="SalesQty126_1">'Бланк заказа'!$U$333:$U$333</definedName>
    <definedName name="SalesQty126_2">'Бланк заказа'!$W$333:$W$333</definedName>
    <definedName name="SalesQty126_3">'Бланк заказа'!$Y$333:$Y$333</definedName>
    <definedName name="SalesQty126_4">'Бланк заказа'!$AA$333:$AA$333</definedName>
    <definedName name="SalesQty127_1">'Бланк заказа'!$U$334:$U$334</definedName>
    <definedName name="SalesQty127_2">'Бланк заказа'!$W$334:$W$334</definedName>
    <definedName name="SalesQty127_3">'Бланк заказа'!$Y$334:$Y$334</definedName>
    <definedName name="SalesQty127_4">'Бланк заказа'!$AA$334:$AA$334</definedName>
    <definedName name="SalesQty128_1">'Бланк заказа'!$U$338:$U$338</definedName>
    <definedName name="SalesQty128_2">'Бланк заказа'!$W$338:$W$338</definedName>
    <definedName name="SalesQty128_3">'Бланк заказа'!$Y$338:$Y$338</definedName>
    <definedName name="SalesQty128_4">'Бланк заказа'!$AA$338:$AA$338</definedName>
    <definedName name="SalesQty129_1">'Бланк заказа'!$U$339:$U$339</definedName>
    <definedName name="SalesQty129_2">'Бланк заказа'!$W$339:$W$339</definedName>
    <definedName name="SalesQty129_3">'Бланк заказа'!$Y$339:$Y$339</definedName>
    <definedName name="SalesQty129_4">'Бланк заказа'!$AA$339:$AA$339</definedName>
    <definedName name="SalesQty13_1">'Бланк заказа'!$U$51:$U$51</definedName>
    <definedName name="SalesQty13_2">'Бланк заказа'!$W$51:$W$51</definedName>
    <definedName name="SalesQty13_3">'Бланк заказа'!$Y$51:$Y$51</definedName>
    <definedName name="SalesQty13_4">'Бланк заказа'!$AA$51:$AA$51</definedName>
    <definedName name="SalesQty130_1">'Бланк заказа'!$U$345:$U$345</definedName>
    <definedName name="SalesQty130_2">'Бланк заказа'!$W$345:$W$345</definedName>
    <definedName name="SalesQty130_3">'Бланк заказа'!$Y$345:$Y$345</definedName>
    <definedName name="SalesQty130_4">'Бланк заказа'!$AA$345:$AA$345</definedName>
    <definedName name="SalesQty131_1">'Бланк заказа'!$U$346:$U$346</definedName>
    <definedName name="SalesQty131_2">'Бланк заказа'!$W$346:$W$346</definedName>
    <definedName name="SalesQty131_3">'Бланк заказа'!$Y$346:$Y$346</definedName>
    <definedName name="SalesQty131_4">'Бланк заказа'!$AA$346:$AA$346</definedName>
    <definedName name="SalesQty132_1">'Бланк заказа'!$U$347:$U$347</definedName>
    <definedName name="SalesQty132_2">'Бланк заказа'!$W$347:$W$347</definedName>
    <definedName name="SalesQty132_3">'Бланк заказа'!$Y$347:$Y$347</definedName>
    <definedName name="SalesQty132_4">'Бланк заказа'!$AA$347:$AA$347</definedName>
    <definedName name="SalesQty133_1">'Бланк заказа'!$U$348:$U$348</definedName>
    <definedName name="SalesQty133_2">'Бланк заказа'!$W$348:$W$348</definedName>
    <definedName name="SalesQty133_3">'Бланк заказа'!$Y$348:$Y$348</definedName>
    <definedName name="SalesQty133_4">'Бланк заказа'!$AA$348:$AA$348</definedName>
    <definedName name="SalesQty134_1">'Бланк заказа'!$U$352:$U$352</definedName>
    <definedName name="SalesQty134_2">'Бланк заказа'!$W$352:$W$352</definedName>
    <definedName name="SalesQty134_3">'Бланк заказа'!$Y$352:$Y$352</definedName>
    <definedName name="SalesQty134_4">'Бланк заказа'!$AA$352:$AA$352</definedName>
    <definedName name="SalesQty135_1">'Бланк заказа'!$U$353:$U$353</definedName>
    <definedName name="SalesQty135_2">'Бланк заказа'!$W$353:$W$353</definedName>
    <definedName name="SalesQty135_3">'Бланк заказа'!$Y$353:$Y$353</definedName>
    <definedName name="SalesQty135_4">'Бланк заказа'!$AA$353:$AA$353</definedName>
    <definedName name="SalesQty136_1">'Бланк заказа'!$U$354:$U$354</definedName>
    <definedName name="SalesQty136_2">'Бланк заказа'!$W$354:$W$354</definedName>
    <definedName name="SalesQty136_3">'Бланк заказа'!$Y$354:$Y$354</definedName>
    <definedName name="SalesQty136_4">'Бланк заказа'!$AA$354:$AA$354</definedName>
    <definedName name="SalesQty137_1">'Бланк заказа'!$U$355:$U$355</definedName>
    <definedName name="SalesQty137_2">'Бланк заказа'!$W$355:$W$355</definedName>
    <definedName name="SalesQty137_3">'Бланк заказа'!$Y$355:$Y$355</definedName>
    <definedName name="SalesQty137_4">'Бланк заказа'!$AA$355:$AA$355</definedName>
    <definedName name="SalesQty138_1">'Бланк заказа'!$U$356:$U$356</definedName>
    <definedName name="SalesQty138_2">'Бланк заказа'!$W$356:$W$356</definedName>
    <definedName name="SalesQty138_3">'Бланк заказа'!$Y$356:$Y$356</definedName>
    <definedName name="SalesQty138_4">'Бланк заказа'!$AA$356:$AA$356</definedName>
    <definedName name="SalesQty139_1">'Бланк заказа'!$U$357:$U$357</definedName>
    <definedName name="SalesQty139_2">'Бланк заказа'!$W$357:$W$357</definedName>
    <definedName name="SalesQty139_3">'Бланк заказа'!$Y$357:$Y$357</definedName>
    <definedName name="SalesQty139_4">'Бланк заказа'!$AA$357:$AA$357</definedName>
    <definedName name="SalesQty14_1">'Бланк заказа'!$U$52:$U$52</definedName>
    <definedName name="SalesQty14_2">'Бланк заказа'!$W$52:$W$52</definedName>
    <definedName name="SalesQty14_3">'Бланк заказа'!$Y$52:$Y$52</definedName>
    <definedName name="SalesQty14_4">'Бланк заказа'!$AA$52:$AA$52</definedName>
    <definedName name="SalesQty140_1">'Бланк заказа'!$U$361:$U$361</definedName>
    <definedName name="SalesQty140_2">'Бланк заказа'!$W$361:$W$361</definedName>
    <definedName name="SalesQty140_3">'Бланк заказа'!$Y$361:$Y$361</definedName>
    <definedName name="SalesQty140_4">'Бланк заказа'!$AA$361:$AA$361</definedName>
    <definedName name="SalesQty141_1">'Бланк заказа'!$U$362:$U$362</definedName>
    <definedName name="SalesQty141_2">'Бланк заказа'!$W$362:$W$362</definedName>
    <definedName name="SalesQty141_3">'Бланк заказа'!$Y$362:$Y$362</definedName>
    <definedName name="SalesQty141_4">'Бланк заказа'!$AA$362:$AA$362</definedName>
    <definedName name="SalesQty142_1">'Бланк заказа'!$U$363:$U$363</definedName>
    <definedName name="SalesQty142_2">'Бланк заказа'!$W$363:$W$363</definedName>
    <definedName name="SalesQty142_3">'Бланк заказа'!$Y$363:$Y$363</definedName>
    <definedName name="SalesQty142_4">'Бланк заказа'!$AA$363:$AA$363</definedName>
    <definedName name="SalesQty143_1">'Бланк заказа'!$U$368:$U$368</definedName>
    <definedName name="SalesQty143_2">'Бланк заказа'!$W$368:$W$368</definedName>
    <definedName name="SalesQty143_3">'Бланк заказа'!$Y$368:$Y$368</definedName>
    <definedName name="SalesQty143_4">'Бланк заказа'!$AA$368:$AA$368</definedName>
    <definedName name="SalesQty144_1">'Бланк заказа'!$U$369:$U$369</definedName>
    <definedName name="SalesQty144_2">'Бланк заказа'!$W$369:$W$369</definedName>
    <definedName name="SalesQty144_3">'Бланк заказа'!$Y$369:$Y$369</definedName>
    <definedName name="SalesQty144_4">'Бланк заказа'!$AA$369:$AA$369</definedName>
    <definedName name="SalesQty145_1">'Бланк заказа'!$U$373:$U$373</definedName>
    <definedName name="SalesQty145_2">'Бланк заказа'!$W$373:$W$373</definedName>
    <definedName name="SalesQty145_3">'Бланк заказа'!$Y$373:$Y$373</definedName>
    <definedName name="SalesQty145_4">'Бланк заказа'!$AA$373:$AA$373</definedName>
    <definedName name="SalesQty146_1">'Бланк заказа'!$U$374:$U$374</definedName>
    <definedName name="SalesQty146_2">'Бланк заказа'!$W$374:$W$374</definedName>
    <definedName name="SalesQty146_3">'Бланк заказа'!$Y$374:$Y$374</definedName>
    <definedName name="SalesQty146_4">'Бланк заказа'!$AA$374:$AA$374</definedName>
    <definedName name="SalesQty147_1">'Бланк заказа'!$U$378:$U$378</definedName>
    <definedName name="SalesQty147_2">'Бланк заказа'!$W$378:$W$378</definedName>
    <definedName name="SalesQty147_3">'Бланк заказа'!$Y$378:$Y$378</definedName>
    <definedName name="SalesQty147_4">'Бланк заказа'!$AA$378:$AA$378</definedName>
    <definedName name="SalesQty148_1">'Бланк заказа'!$U$379:$U$379</definedName>
    <definedName name="SalesQty148_2">'Бланк заказа'!$W$379:$W$379</definedName>
    <definedName name="SalesQty148_3">'Бланк заказа'!$Y$379:$Y$379</definedName>
    <definedName name="SalesQty148_4">'Бланк заказа'!$AA$379:$AA$379</definedName>
    <definedName name="SalesQty149_1">'Бланк заказа'!$U$380:$U$380</definedName>
    <definedName name="SalesQty149_2">'Бланк заказа'!$W$380:$W$380</definedName>
    <definedName name="SalesQty149_3">'Бланк заказа'!$Y$380:$Y$380</definedName>
    <definedName name="SalesQty149_4">'Бланк заказа'!$AA$380:$AA$380</definedName>
    <definedName name="SalesQty15_1">'Бланк заказа'!$U$56:$U$56</definedName>
    <definedName name="SalesQty15_2">'Бланк заказа'!$W$56:$W$56</definedName>
    <definedName name="SalesQty15_3">'Бланк заказа'!$Y$56:$Y$56</definedName>
    <definedName name="SalesQty15_4">'Бланк заказа'!$AA$56:$AA$56</definedName>
    <definedName name="SalesQty150_1">'Бланк заказа'!$U$384:$U$384</definedName>
    <definedName name="SalesQty150_2">'Бланк заказа'!$W$384:$W$384</definedName>
    <definedName name="SalesQty150_3">'Бланк заказа'!$Y$384:$Y$384</definedName>
    <definedName name="SalesQty150_4">'Бланк заказа'!$AA$384:$AA$384</definedName>
    <definedName name="SalesQty16_1">'Бланк заказа'!$U$57:$U$57</definedName>
    <definedName name="SalesQty16_2">'Бланк заказа'!$W$57:$W$57</definedName>
    <definedName name="SalesQty16_3">'Бланк заказа'!$Y$57:$Y$57</definedName>
    <definedName name="SalesQty16_4">'Бланк заказа'!$AA$57:$AA$57</definedName>
    <definedName name="SalesQty17_1">'Бланк заказа'!$U$61:$U$61</definedName>
    <definedName name="SalesQty17_2">'Бланк заказа'!$W$61:$W$61</definedName>
    <definedName name="SalesQty17_3">'Бланк заказа'!$Y$61:$Y$61</definedName>
    <definedName name="SalesQty17_4">'Бланк заказа'!$AA$61:$AA$61</definedName>
    <definedName name="SalesQty18_1">'Бланк заказа'!$U$62:$U$62</definedName>
    <definedName name="SalesQty18_2">'Бланк заказа'!$W$62:$W$62</definedName>
    <definedName name="SalesQty18_3">'Бланк заказа'!$Y$62:$Y$62</definedName>
    <definedName name="SalesQty18_4">'Бланк заказа'!$AA$62:$AA$62</definedName>
    <definedName name="SalesQty19_1">'Бланк заказа'!$U$63:$U$63</definedName>
    <definedName name="SalesQty19_2">'Бланк заказа'!$W$63:$W$63</definedName>
    <definedName name="SalesQty19_3">'Бланк заказа'!$Y$63:$Y$63</definedName>
    <definedName name="SalesQty19_4">'Бланк заказа'!$AA$63:$AA$63</definedName>
    <definedName name="SalesQty2_1">'Бланк заказа'!$U$22:$U$22</definedName>
    <definedName name="SalesQty2_2">'Бланк заказа'!$W$22:$W$22</definedName>
    <definedName name="SalesQty2_3">'Бланк заказа'!$Y$22:$Y$22</definedName>
    <definedName name="SalesQty2_4">'Бланк заказа'!$AA$22:$AA$22</definedName>
    <definedName name="SalesQty20_1">'Бланк заказа'!$U$67:$U$67</definedName>
    <definedName name="SalesQty20_2">'Бланк заказа'!$W$67:$W$67</definedName>
    <definedName name="SalesQty20_3">'Бланк заказа'!$Y$67:$Y$67</definedName>
    <definedName name="SalesQty20_4">'Бланк заказа'!$AA$67:$AA$67</definedName>
    <definedName name="SalesQty21_1">'Бланк заказа'!$U$68:$U$68</definedName>
    <definedName name="SalesQty21_2">'Бланк заказа'!$W$68:$W$68</definedName>
    <definedName name="SalesQty21_3">'Бланк заказа'!$Y$68:$Y$68</definedName>
    <definedName name="SalesQty21_4">'Бланк заказа'!$AA$68:$AA$68</definedName>
    <definedName name="SalesQty22_1">'Бланк заказа'!$U$73:$U$73</definedName>
    <definedName name="SalesQty22_2">'Бланк заказа'!$W$73:$W$73</definedName>
    <definedName name="SalesQty22_3">'Бланк заказа'!$Y$73:$Y$73</definedName>
    <definedName name="SalesQty22_4">'Бланк заказа'!$AA$73:$AA$73</definedName>
    <definedName name="SalesQty23_1">'Бланк заказа'!$U$77:$U$77</definedName>
    <definedName name="SalesQty23_2">'Бланк заказа'!$W$77:$W$77</definedName>
    <definedName name="SalesQty23_3">'Бланк заказа'!$Y$77:$Y$77</definedName>
    <definedName name="SalesQty23_4">'Бланк заказа'!$AA$77:$AA$77</definedName>
    <definedName name="SalesQty24_1">'Бланк заказа'!$U$78:$U$78</definedName>
    <definedName name="SalesQty24_2">'Бланк заказа'!$W$78:$W$78</definedName>
    <definedName name="SalesQty24_3">'Бланк заказа'!$Y$78:$Y$78</definedName>
    <definedName name="SalesQty24_4">'Бланк заказа'!$AA$78:$AA$78</definedName>
    <definedName name="SalesQty25_1">'Бланк заказа'!$U$79:$U$79</definedName>
    <definedName name="SalesQty25_2">'Бланк заказа'!$W$79:$W$79</definedName>
    <definedName name="SalesQty25_3">'Бланк заказа'!$Y$79:$Y$79</definedName>
    <definedName name="SalesQty25_4">'Бланк заказа'!$AA$79:$AA$79</definedName>
    <definedName name="SalesQty26_1">'Бланк заказа'!$U$80:$U$80</definedName>
    <definedName name="SalesQty26_2">'Бланк заказа'!$W$80:$W$80</definedName>
    <definedName name="SalesQty26_3">'Бланк заказа'!$Y$80:$Y$80</definedName>
    <definedName name="SalesQty26_4">'Бланк заказа'!$AA$80:$AA$80</definedName>
    <definedName name="SalesQty27_1">'Бланк заказа'!$U$81:$U$81</definedName>
    <definedName name="SalesQty27_2">'Бланк заказа'!$W$81:$W$81</definedName>
    <definedName name="SalesQty27_3">'Бланк заказа'!$Y$81:$Y$81</definedName>
    <definedName name="SalesQty27_4">'Бланк заказа'!$AA$81:$AA$81</definedName>
    <definedName name="SalesQty28_1">'Бланк заказа'!$U$86:$U$86</definedName>
    <definedName name="SalesQty28_2">'Бланк заказа'!$W$86:$W$86</definedName>
    <definedName name="SalesQty28_3">'Бланк заказа'!$Y$86:$Y$86</definedName>
    <definedName name="SalesQty28_4">'Бланк заказа'!$AA$86:$AA$86</definedName>
    <definedName name="SalesQty29_1">'Бланк заказа'!$U$90:$U$90</definedName>
    <definedName name="SalesQty29_2">'Бланк заказа'!$W$90:$W$90</definedName>
    <definedName name="SalesQty29_3">'Бланк заказа'!$Y$90:$Y$90</definedName>
    <definedName name="SalesQty29_4">'Бланк заказа'!$AA$90:$AA$90</definedName>
    <definedName name="SalesQty3_1">'Бланк заказа'!$U$26:$U$26</definedName>
    <definedName name="SalesQty3_2">'Бланк заказа'!$W$26:$W$26</definedName>
    <definedName name="SalesQty3_3">'Бланк заказа'!$Y$26:$Y$26</definedName>
    <definedName name="SalesQty3_4">'Бланк заказа'!$AA$26:$AA$26</definedName>
    <definedName name="SalesQty30_1">'Бланк заказа'!$U$94:$U$94</definedName>
    <definedName name="SalesQty30_2">'Бланк заказа'!$W$94:$W$94</definedName>
    <definedName name="SalesQty30_3">'Бланк заказа'!$Y$94:$Y$94</definedName>
    <definedName name="SalesQty30_4">'Бланк заказа'!$AA$94:$AA$94</definedName>
    <definedName name="SalesQty31_1">'Бланк заказа'!$U$95:$U$95</definedName>
    <definedName name="SalesQty31_2">'Бланк заказа'!$W$95:$W$95</definedName>
    <definedName name="SalesQty31_3">'Бланк заказа'!$Y$95:$Y$95</definedName>
    <definedName name="SalesQty31_4">'Бланк заказа'!$AA$95:$AA$95</definedName>
    <definedName name="SalesQty32_1">'Бланк заказа'!$U$99:$U$99</definedName>
    <definedName name="SalesQty32_2">'Бланк заказа'!$W$99:$W$99</definedName>
    <definedName name="SalesQty32_3">'Бланк заказа'!$Y$99:$Y$99</definedName>
    <definedName name="SalesQty32_4">'Бланк заказа'!$AA$99:$AA$99</definedName>
    <definedName name="SalesQty33_1">'Бланк заказа'!$U$100:$U$100</definedName>
    <definedName name="SalesQty33_2">'Бланк заказа'!$W$100:$W$100</definedName>
    <definedName name="SalesQty33_3">'Бланк заказа'!$Y$100:$Y$100</definedName>
    <definedName name="SalesQty33_4">'Бланк заказа'!$AA$100:$AA$100</definedName>
    <definedName name="SalesQty34_1">'Бланк заказа'!$U$105:$U$105</definedName>
    <definedName name="SalesQty34_2">'Бланк заказа'!$W$105:$W$105</definedName>
    <definedName name="SalesQty34_3">'Бланк заказа'!$Y$105:$Y$105</definedName>
    <definedName name="SalesQty34_4">'Бланк заказа'!$AA$105:$AA$105</definedName>
    <definedName name="SalesQty35_1">'Бланк заказа'!$U$106:$U$106</definedName>
    <definedName name="SalesQty35_2">'Бланк заказа'!$W$106:$W$106</definedName>
    <definedName name="SalesQty35_3">'Бланк заказа'!$Y$106:$Y$106</definedName>
    <definedName name="SalesQty35_4">'Бланк заказа'!$AA$106:$AA$106</definedName>
    <definedName name="SalesQty36_1">'Бланк заказа'!$U$107:$U$107</definedName>
    <definedName name="SalesQty36_2">'Бланк заказа'!$W$107:$W$107</definedName>
    <definedName name="SalesQty36_3">'Бланк заказа'!$Y$107:$Y$107</definedName>
    <definedName name="SalesQty36_4">'Бланк заказа'!$AA$107:$AA$107</definedName>
    <definedName name="SalesQty37_1">'Бланк заказа'!$U$108:$U$108</definedName>
    <definedName name="SalesQty37_2">'Бланк заказа'!$W$108:$W$108</definedName>
    <definedName name="SalesQty37_3">'Бланк заказа'!$Y$108:$Y$108</definedName>
    <definedName name="SalesQty37_4">'Бланк заказа'!$AA$108:$AA$108</definedName>
    <definedName name="SalesQty38_1">'Бланк заказа'!$U$114:$U$114</definedName>
    <definedName name="SalesQty38_2">'Бланк заказа'!$W$114:$W$114</definedName>
    <definedName name="SalesQty38_3">'Бланк заказа'!$Y$114:$Y$114</definedName>
    <definedName name="SalesQty38_4">'Бланк заказа'!$AA$114:$AA$114</definedName>
    <definedName name="SalesQty39_1">'Бланк заказа'!$U$118:$U$118</definedName>
    <definedName name="SalesQty39_2">'Бланк заказа'!$W$118:$W$118</definedName>
    <definedName name="SalesQty39_3">'Бланк заказа'!$Y$118:$Y$118</definedName>
    <definedName name="SalesQty39_4">'Бланк заказа'!$AA$118:$AA$118</definedName>
    <definedName name="SalesQty4_1">'Бланк заказа'!$U$32:$U$32</definedName>
    <definedName name="SalesQty4_2">'Бланк заказа'!$W$32:$W$32</definedName>
    <definedName name="SalesQty4_3">'Бланк заказа'!$Y$32:$Y$32</definedName>
    <definedName name="SalesQty4_4">'Бланк заказа'!$AA$32:$AA$32</definedName>
    <definedName name="SalesQty40_1">'Бланк заказа'!$U$119:$U$119</definedName>
    <definedName name="SalesQty40_2">'Бланк заказа'!$W$119:$W$119</definedName>
    <definedName name="SalesQty40_3">'Бланк заказа'!$Y$119:$Y$119</definedName>
    <definedName name="SalesQty40_4">'Бланк заказа'!$AA$119:$AA$119</definedName>
    <definedName name="SalesQty41_1">'Бланк заказа'!$U$120:$U$120</definedName>
    <definedName name="SalesQty41_2">'Бланк заказа'!$W$120:$W$120</definedName>
    <definedName name="SalesQty41_3">'Бланк заказа'!$Y$120:$Y$120</definedName>
    <definedName name="SalesQty41_4">'Бланк заказа'!$AA$120:$AA$120</definedName>
    <definedName name="SalesQty42_1">'Бланк заказа'!$U$121:$U$121</definedName>
    <definedName name="SalesQty42_2">'Бланк заказа'!$W$121:$W$121</definedName>
    <definedName name="SalesQty42_3">'Бланк заказа'!$Y$121:$Y$121</definedName>
    <definedName name="SalesQty42_4">'Бланк заказа'!$AA$121:$AA$121</definedName>
    <definedName name="SalesQty43_1">'Бланк заказа'!$U$126:$U$126</definedName>
    <definedName name="SalesQty43_2">'Бланк заказа'!$W$126:$W$126</definedName>
    <definedName name="SalesQty43_3">'Бланк заказа'!$Y$126:$Y$126</definedName>
    <definedName name="SalesQty43_4">'Бланк заказа'!$AA$126:$AA$126</definedName>
    <definedName name="SalesQty44_1">'Бланк заказа'!$U$130:$U$130</definedName>
    <definedName name="SalesQty44_2">'Бланк заказа'!$W$130:$W$130</definedName>
    <definedName name="SalesQty44_3">'Бланк заказа'!$Y$130:$Y$130</definedName>
    <definedName name="SalesQty44_4">'Бланк заказа'!$AA$130:$AA$130</definedName>
    <definedName name="SalesQty45_1">'Бланк заказа'!$U$131:$U$131</definedName>
    <definedName name="SalesQty45_2">'Бланк заказа'!$W$131:$W$131</definedName>
    <definedName name="SalesQty45_3">'Бланк заказа'!$Y$131:$Y$131</definedName>
    <definedName name="SalesQty45_4">'Бланк заказа'!$AA$131:$AA$131</definedName>
    <definedName name="SalesQty46_1">'Бланк заказа'!$U$132:$U$132</definedName>
    <definedName name="SalesQty46_2">'Бланк заказа'!$W$132:$W$132</definedName>
    <definedName name="SalesQty46_3">'Бланк заказа'!$Y$132:$Y$132</definedName>
    <definedName name="SalesQty46_4">'Бланк заказа'!$AA$132:$AA$132</definedName>
    <definedName name="SalesQty47_1">'Бланк заказа'!$U$136:$U$136</definedName>
    <definedName name="SalesQty47_2">'Бланк заказа'!$W$136:$W$136</definedName>
    <definedName name="SalesQty47_3">'Бланк заказа'!$Y$136:$Y$136</definedName>
    <definedName name="SalesQty47_4">'Бланк заказа'!$AA$136:$AA$136</definedName>
    <definedName name="SalesQty48_1">'Бланк заказа'!$U$137:$U$137</definedName>
    <definedName name="SalesQty48_2">'Бланк заказа'!$W$137:$W$137</definedName>
    <definedName name="SalesQty48_3">'Бланк заказа'!$Y$137:$Y$137</definedName>
    <definedName name="SalesQty48_4">'Бланк заказа'!$AA$137:$AA$137</definedName>
    <definedName name="SalesQty49_1">'Бланк заказа'!$U$141:$U$141</definedName>
    <definedName name="SalesQty49_2">'Бланк заказа'!$W$141:$W$141</definedName>
    <definedName name="SalesQty49_3">'Бланк заказа'!$Y$141:$Y$141</definedName>
    <definedName name="SalesQty49_4">'Бланк заказа'!$AA$141:$AA$141</definedName>
    <definedName name="SalesQty5_1">'Бланк заказа'!$U$33:$U$33</definedName>
    <definedName name="SalesQty5_2">'Бланк заказа'!$W$33:$W$33</definedName>
    <definedName name="SalesQty5_3">'Бланк заказа'!$Y$33:$Y$33</definedName>
    <definedName name="SalesQty5_4">'Бланк заказа'!$AA$33:$AA$33</definedName>
    <definedName name="SalesQty50_1">'Бланк заказа'!$U$146:$U$146</definedName>
    <definedName name="SalesQty50_2">'Бланк заказа'!$W$146:$W$146</definedName>
    <definedName name="SalesQty50_3">'Бланк заказа'!$Y$146:$Y$146</definedName>
    <definedName name="SalesQty50_4">'Бланк заказа'!$AA$146:$AA$146</definedName>
    <definedName name="SalesQty51_1">'Бланк заказа'!$U$147:$U$147</definedName>
    <definedName name="SalesQty51_2">'Бланк заказа'!$W$147:$W$147</definedName>
    <definedName name="SalesQty51_3">'Бланк заказа'!$Y$147:$Y$147</definedName>
    <definedName name="SalesQty51_4">'Бланк заказа'!$AA$147:$AA$147</definedName>
    <definedName name="SalesQty52_1">'Бланк заказа'!$U$152:$U$152</definedName>
    <definedName name="SalesQty52_2">'Бланк заказа'!$W$152:$W$152</definedName>
    <definedName name="SalesQty52_3">'Бланк заказа'!$Y$152:$Y$152</definedName>
    <definedName name="SalesQty52_4">'Бланк заказа'!$AA$152:$AA$152</definedName>
    <definedName name="SalesQty53_1">'Бланк заказа'!$U$156:$U$156</definedName>
    <definedName name="SalesQty53_2">'Бланк заказа'!$W$156:$W$156</definedName>
    <definedName name="SalesQty53_3">'Бланк заказа'!$Y$156:$Y$156</definedName>
    <definedName name="SalesQty53_4">'Бланк заказа'!$AA$156:$AA$156</definedName>
    <definedName name="SalesQty54_1">'Бланк заказа'!$U$160:$U$160</definedName>
    <definedName name="SalesQty54_2">'Бланк заказа'!$W$160:$W$160</definedName>
    <definedName name="SalesQty54_3">'Бланк заказа'!$Y$160:$Y$160</definedName>
    <definedName name="SalesQty54_4">'Бланк заказа'!$AA$160:$AA$160</definedName>
    <definedName name="SalesQty55_1">'Бланк заказа'!$U$165:$U$165</definedName>
    <definedName name="SalesQty55_2">'Бланк заказа'!$W$165:$W$165</definedName>
    <definedName name="SalesQty55_3">'Бланк заказа'!$Y$165:$Y$165</definedName>
    <definedName name="SalesQty55_4">'Бланк заказа'!$AA$165:$AA$165</definedName>
    <definedName name="SalesQty56_1">'Бланк заказа'!$U$166:$U$166</definedName>
    <definedName name="SalesQty56_2">'Бланк заказа'!$W$166:$W$166</definedName>
    <definedName name="SalesQty56_3">'Бланк заказа'!$Y$166:$Y$166</definedName>
    <definedName name="SalesQty56_4">'Бланк заказа'!$AA$166:$AA$166</definedName>
    <definedName name="SalesQty57_1">'Бланк заказа'!$U$167:$U$167</definedName>
    <definedName name="SalesQty57_2">'Бланк заказа'!$W$167:$W$167</definedName>
    <definedName name="SalesQty57_3">'Бланк заказа'!$Y$167:$Y$167</definedName>
    <definedName name="SalesQty57_4">'Бланк заказа'!$AA$167:$AA$167</definedName>
    <definedName name="SalesQty58_1">'Бланк заказа'!$U$172:$U$172</definedName>
    <definedName name="SalesQty58_2">'Бланк заказа'!$W$172:$W$172</definedName>
    <definedName name="SalesQty58_3">'Бланк заказа'!$Y$172:$Y$172</definedName>
    <definedName name="SalesQty58_4">'Бланк заказа'!$AA$172:$AA$172</definedName>
    <definedName name="SalesQty59_1">'Бланк заказа'!$U$173:$U$173</definedName>
    <definedName name="SalesQty59_2">'Бланк заказа'!$W$173:$W$173</definedName>
    <definedName name="SalesQty59_3">'Бланк заказа'!$Y$173:$Y$173</definedName>
    <definedName name="SalesQty59_4">'Бланк заказа'!$AA$173:$AA$173</definedName>
    <definedName name="SalesQty6_1">'Бланк заказа'!$U$34:$U$34</definedName>
    <definedName name="SalesQty6_2">'Бланк заказа'!$W$34:$W$34</definedName>
    <definedName name="SalesQty6_3">'Бланк заказа'!$Y$34:$Y$34</definedName>
    <definedName name="SalesQty6_4">'Бланк заказа'!$AA$34:$AA$34</definedName>
    <definedName name="SalesQty60_1">'Бланк заказа'!$U$174:$U$174</definedName>
    <definedName name="SalesQty60_2">'Бланк заказа'!$W$174:$W$174</definedName>
    <definedName name="SalesQty60_3">'Бланк заказа'!$Y$174:$Y$174</definedName>
    <definedName name="SalesQty60_4">'Бланк заказа'!$AA$174:$AA$174</definedName>
    <definedName name="SalesQty61_1">'Бланк заказа'!$U$175:$U$175</definedName>
    <definedName name="SalesQty61_2">'Бланк заказа'!$W$175:$W$175</definedName>
    <definedName name="SalesQty61_3">'Бланк заказа'!$Y$175:$Y$175</definedName>
    <definedName name="SalesQty61_4">'Бланк заказа'!$AA$175:$AA$175</definedName>
    <definedName name="SalesQty62_1">'Бланк заказа'!$U$176:$U$176</definedName>
    <definedName name="SalesQty62_2">'Бланк заказа'!$W$176:$W$176</definedName>
    <definedName name="SalesQty62_3">'Бланк заказа'!$Y$176:$Y$176</definedName>
    <definedName name="SalesQty62_4">'Бланк заказа'!$AA$176:$AA$176</definedName>
    <definedName name="SalesQty63_1">'Бланк заказа'!$U$177:$U$177</definedName>
    <definedName name="SalesQty63_2">'Бланк заказа'!$W$177:$W$177</definedName>
    <definedName name="SalesQty63_3">'Бланк заказа'!$Y$177:$Y$177</definedName>
    <definedName name="SalesQty63_4">'Бланк заказа'!$AA$177:$AA$177</definedName>
    <definedName name="SalesQty64_1">'Бланк заказа'!$U$182:$U$182</definedName>
    <definedName name="SalesQty64_2">'Бланк заказа'!$W$182:$W$182</definedName>
    <definedName name="SalesQty64_3">'Бланк заказа'!$Y$182:$Y$182</definedName>
    <definedName name="SalesQty64_4">'Бланк заказа'!$AA$182:$AA$182</definedName>
    <definedName name="SalesQty65_1">'Бланк заказа'!$U$183:$U$183</definedName>
    <definedName name="SalesQty65_2">'Бланк заказа'!$W$183:$W$183</definedName>
    <definedName name="SalesQty65_3">'Бланк заказа'!$Y$183:$Y$183</definedName>
    <definedName name="SalesQty65_4">'Бланк заказа'!$AA$183:$AA$183</definedName>
    <definedName name="SalesQty66_1">'Бланк заказа'!$U$187:$U$187</definedName>
    <definedName name="SalesQty66_2">'Бланк заказа'!$W$187:$W$187</definedName>
    <definedName name="SalesQty66_3">'Бланк заказа'!$Y$187:$Y$187</definedName>
    <definedName name="SalesQty66_4">'Бланк заказа'!$AA$187:$AA$187</definedName>
    <definedName name="SalesQty67_1">'Бланк заказа'!$U$192:$U$192</definedName>
    <definedName name="SalesQty67_2">'Бланк заказа'!$W$192:$W$192</definedName>
    <definedName name="SalesQty67_3">'Бланк заказа'!$Y$192:$Y$192</definedName>
    <definedName name="SalesQty67_4">'Бланк заказа'!$AA$192:$AA$192</definedName>
    <definedName name="SalesQty68_1">'Бланк заказа'!$U$196:$U$196</definedName>
    <definedName name="SalesQty68_2">'Бланк заказа'!$W$196:$W$196</definedName>
    <definedName name="SalesQty68_3">'Бланк заказа'!$Y$196:$Y$196</definedName>
    <definedName name="SalesQty68_4">'Бланк заказа'!$AA$196:$AA$196</definedName>
    <definedName name="SalesQty69_1">'Бланк заказа'!$U$197:$U$197</definedName>
    <definedName name="SalesQty69_2">'Бланк заказа'!$W$197:$W$197</definedName>
    <definedName name="SalesQty69_3">'Бланк заказа'!$Y$197:$Y$197</definedName>
    <definedName name="SalesQty69_4">'Бланк заказа'!$AA$197:$AA$197</definedName>
    <definedName name="SalesQty7_1">'Бланк заказа'!$U$38:$U$38</definedName>
    <definedName name="SalesQty7_2">'Бланк заказа'!$W$38:$W$38</definedName>
    <definedName name="SalesQty7_3">'Бланк заказа'!$Y$38:$Y$38</definedName>
    <definedName name="SalesQty7_4">'Бланк заказа'!$AA$38:$AA$38</definedName>
    <definedName name="SalesQty70_1">'Бланк заказа'!$U$202:$U$202</definedName>
    <definedName name="SalesQty70_2">'Бланк заказа'!$W$202:$W$202</definedName>
    <definedName name="SalesQty70_3">'Бланк заказа'!$Y$202:$Y$202</definedName>
    <definedName name="SalesQty70_4">'Бланк заказа'!$AA$202:$AA$202</definedName>
    <definedName name="SalesQty71_1">'Бланк заказа'!$U$206:$U$206</definedName>
    <definedName name="SalesQty71_2">'Бланк заказа'!$W$206:$W$206</definedName>
    <definedName name="SalesQty71_3">'Бланк заказа'!$Y$206:$Y$206</definedName>
    <definedName name="SalesQty71_4">'Бланк заказа'!$AA$206:$AA$206</definedName>
    <definedName name="SalesQty72_1">'Бланк заказа'!$U$211:$U$211</definedName>
    <definedName name="SalesQty72_2">'Бланк заказа'!$W$211:$W$211</definedName>
    <definedName name="SalesQty72_3">'Бланк заказа'!$Y$211:$Y$211</definedName>
    <definedName name="SalesQty72_4">'Бланк заказа'!$AA$211:$AA$211</definedName>
    <definedName name="SalesQty73_1">'Бланк заказа'!$U$216:$U$216</definedName>
    <definedName name="SalesQty73_2">'Бланк заказа'!$W$216:$W$216</definedName>
    <definedName name="SalesQty73_3">'Бланк заказа'!$Y$216:$Y$216</definedName>
    <definedName name="SalesQty73_4">'Бланк заказа'!$AA$216:$AA$216</definedName>
    <definedName name="SalesQty74_1">'Бланк заказа'!$U$217:$U$217</definedName>
    <definedName name="SalesQty74_2">'Бланк заказа'!$W$217:$W$217</definedName>
    <definedName name="SalesQty74_3">'Бланк заказа'!$Y$217:$Y$217</definedName>
    <definedName name="SalesQty74_4">'Бланк заказа'!$AA$217:$AA$217</definedName>
    <definedName name="SalesQty75_1">'Бланк заказа'!$U$218:$U$218</definedName>
    <definedName name="SalesQty75_2">'Бланк заказа'!$W$218:$W$218</definedName>
    <definedName name="SalesQty75_3">'Бланк заказа'!$Y$218:$Y$218</definedName>
    <definedName name="SalesQty75_4">'Бланк заказа'!$AA$218:$AA$218</definedName>
    <definedName name="SalesQty76_1">'Бланк заказа'!$U$222:$U$222</definedName>
    <definedName name="SalesQty76_2">'Бланк заказа'!$W$222:$W$222</definedName>
    <definedName name="SalesQty76_3">'Бланк заказа'!$Y$222:$Y$222</definedName>
    <definedName name="SalesQty76_4">'Бланк заказа'!$AA$222:$AA$222</definedName>
    <definedName name="SalesQty77_1">'Бланк заказа'!$U$223:$U$223</definedName>
    <definedName name="SalesQty77_2">'Бланк заказа'!$W$223:$W$223</definedName>
    <definedName name="SalesQty77_3">'Бланк заказа'!$Y$223:$Y$223</definedName>
    <definedName name="SalesQty77_4">'Бланк заказа'!$AA$223:$AA$223</definedName>
    <definedName name="SalesQty78_1">'Бланк заказа'!$U$224:$U$224</definedName>
    <definedName name="SalesQty78_2">'Бланк заказа'!$W$224:$W$224</definedName>
    <definedName name="SalesQty78_3">'Бланк заказа'!$Y$224:$Y$224</definedName>
    <definedName name="SalesQty78_4">'Бланк заказа'!$AA$224:$AA$224</definedName>
    <definedName name="SalesQty79_1">'Бланк заказа'!$U$228:$U$228</definedName>
    <definedName name="SalesQty79_2">'Бланк заказа'!$W$228:$W$228</definedName>
    <definedName name="SalesQty79_3">'Бланк заказа'!$Y$228:$Y$228</definedName>
    <definedName name="SalesQty79_4">'Бланк заказа'!$AA$228:$AA$228</definedName>
    <definedName name="SalesQty8_1">'Бланк заказа'!$U$43:$U$43</definedName>
    <definedName name="SalesQty8_2">'Бланк заказа'!$W$43:$W$43</definedName>
    <definedName name="SalesQty8_3">'Бланк заказа'!$Y$43:$Y$43</definedName>
    <definedName name="SalesQty8_4">'Бланк заказа'!$AA$43:$AA$43</definedName>
    <definedName name="SalesQty80_1">'Бланк заказа'!$U$229:$U$229</definedName>
    <definedName name="SalesQty80_2">'Бланк заказа'!$W$229:$W$229</definedName>
    <definedName name="SalesQty80_3">'Бланк заказа'!$Y$229:$Y$229</definedName>
    <definedName name="SalesQty80_4">'Бланк заказа'!$AA$229:$AA$229</definedName>
    <definedName name="SalesQty81_1">'Бланк заказа'!$U$230:$U$230</definedName>
    <definedName name="SalesQty81_2">'Бланк заказа'!$W$230:$W$230</definedName>
    <definedName name="SalesQty81_3">'Бланк заказа'!$Y$230:$Y$230</definedName>
    <definedName name="SalesQty81_4">'Бланк заказа'!$AA$230:$AA$230</definedName>
    <definedName name="SalesQty82_1">'Бланк заказа'!$U$231:$U$231</definedName>
    <definedName name="SalesQty82_2">'Бланк заказа'!$W$231:$W$231</definedName>
    <definedName name="SalesQty82_3">'Бланк заказа'!$Y$231:$Y$231</definedName>
    <definedName name="SalesQty82_4">'Бланк заказа'!$AA$231:$AA$231</definedName>
    <definedName name="SalesQty83_1">'Бланк заказа'!$U$232:$U$232</definedName>
    <definedName name="SalesQty83_2">'Бланк заказа'!$W$232:$W$232</definedName>
    <definedName name="SalesQty83_3">'Бланк заказа'!$Y$232:$Y$232</definedName>
    <definedName name="SalesQty83_4">'Бланк заказа'!$AA$232:$AA$232</definedName>
    <definedName name="SalesQty84_1">'Бланк заказа'!$U$237:$U$237</definedName>
    <definedName name="SalesQty84_2">'Бланк заказа'!$W$237:$W$237</definedName>
    <definedName name="SalesQty84_3">'Бланк заказа'!$Y$237:$Y$237</definedName>
    <definedName name="SalesQty84_4">'Бланк заказа'!$AA$237:$AA$237</definedName>
    <definedName name="SalesQty85_1">'Бланк заказа'!$U$241:$U$241</definedName>
    <definedName name="SalesQty85_2">'Бланк заказа'!$W$241:$W$241</definedName>
    <definedName name="SalesQty85_3">'Бланк заказа'!$Y$241:$Y$241</definedName>
    <definedName name="SalesQty85_4">'Бланк заказа'!$AA$241:$AA$241</definedName>
    <definedName name="SalesQty86_1">'Бланк заказа'!$U$242:$U$242</definedName>
    <definedName name="SalesQty86_2">'Бланк заказа'!$W$242:$W$242</definedName>
    <definedName name="SalesQty86_3">'Бланк заказа'!$Y$242:$Y$242</definedName>
    <definedName name="SalesQty86_4">'Бланк заказа'!$AA$242:$AA$242</definedName>
    <definedName name="SalesQty87_1">'Бланк заказа'!$U$248:$U$248</definedName>
    <definedName name="SalesQty87_2">'Бланк заказа'!$W$248:$W$248</definedName>
    <definedName name="SalesQty87_3">'Бланк заказа'!$Y$248:$Y$248</definedName>
    <definedName name="SalesQty87_4">'Бланк заказа'!$AA$248:$AA$248</definedName>
    <definedName name="SalesQty88_1">'Бланк заказа'!$U$249:$U$249</definedName>
    <definedName name="SalesQty88_2">'Бланк заказа'!$W$249:$W$249</definedName>
    <definedName name="SalesQty88_3">'Бланк заказа'!$Y$249:$Y$249</definedName>
    <definedName name="SalesQty88_4">'Бланк заказа'!$AA$249:$AA$249</definedName>
    <definedName name="SalesQty89_1">'Бланк заказа'!$U$250:$U$250</definedName>
    <definedName name="SalesQty89_2">'Бланк заказа'!$W$250:$W$250</definedName>
    <definedName name="SalesQty89_3">'Бланк заказа'!$Y$250:$Y$250</definedName>
    <definedName name="SalesQty89_4">'Бланк заказа'!$AA$250:$AA$250</definedName>
    <definedName name="SalesQty9_1">'Бланк заказа'!$U$44:$U$44</definedName>
    <definedName name="SalesQty9_2">'Бланк заказа'!$W$44:$W$44</definedName>
    <definedName name="SalesQty9_3">'Бланк заказа'!$Y$44:$Y$44</definedName>
    <definedName name="SalesQty9_4">'Бланк заказа'!$AA$44:$AA$44</definedName>
    <definedName name="SalesQty90_1">'Бланк заказа'!$U$254:$U$254</definedName>
    <definedName name="SalesQty90_2">'Бланк заказа'!$W$254:$W$254</definedName>
    <definedName name="SalesQty90_3">'Бланк заказа'!$Y$254:$Y$254</definedName>
    <definedName name="SalesQty90_4">'Бланк заказа'!$AA$254:$AA$254</definedName>
    <definedName name="SalesQty91_1">'Бланк заказа'!$U$255:$U$255</definedName>
    <definedName name="SalesQty91_2">'Бланк заказа'!$W$255:$W$255</definedName>
    <definedName name="SalesQty91_3">'Бланк заказа'!$Y$255:$Y$255</definedName>
    <definedName name="SalesQty91_4">'Бланк заказа'!$AA$255:$AA$255</definedName>
    <definedName name="SalesQty92_1">'Бланк заказа'!$U$259:$U$259</definedName>
    <definedName name="SalesQty92_2">'Бланк заказа'!$W$259:$W$259</definedName>
    <definedName name="SalesQty92_3">'Бланк заказа'!$Y$259:$Y$259</definedName>
    <definedName name="SalesQty92_4">'Бланк заказа'!$AA$259:$AA$259</definedName>
    <definedName name="SalesQty93_1">'Бланк заказа'!$U$260:$U$260</definedName>
    <definedName name="SalesQty93_2">'Бланк заказа'!$W$260:$W$260</definedName>
    <definedName name="SalesQty93_3">'Бланк заказа'!$Y$260:$Y$260</definedName>
    <definedName name="SalesQty93_4">'Бланк заказа'!$AA$260:$AA$260</definedName>
    <definedName name="SalesQty94_1">'Бланк заказа'!$U$261:$U$261</definedName>
    <definedName name="SalesQty94_2">'Бланк заказа'!$W$261:$W$261</definedName>
    <definedName name="SalesQty94_3">'Бланк заказа'!$Y$261:$Y$261</definedName>
    <definedName name="SalesQty94_4">'Бланк заказа'!$AA$261:$AA$261</definedName>
    <definedName name="SalesQty95_1">'Бланк заказа'!$U$265:$U$265</definedName>
    <definedName name="SalesQty95_2">'Бланк заказа'!$W$265:$W$265</definedName>
    <definedName name="SalesQty95_3">'Бланк заказа'!$Y$265:$Y$265</definedName>
    <definedName name="SalesQty95_4">'Бланк заказа'!$AA$265:$AA$265</definedName>
    <definedName name="SalesQty96_1">'Бланк заказа'!$U$271:$U$271</definedName>
    <definedName name="SalesQty96_2">'Бланк заказа'!$W$271:$W$271</definedName>
    <definedName name="SalesQty96_3">'Бланк заказа'!$Y$271:$Y$271</definedName>
    <definedName name="SalesQty96_4">'Бланк заказа'!$AA$271:$AA$271</definedName>
    <definedName name="SalesQty97_1">'Бланк заказа'!$U$272:$U$272</definedName>
    <definedName name="SalesQty97_2">'Бланк заказа'!$W$272:$W$272</definedName>
    <definedName name="SalesQty97_3">'Бланк заказа'!$Y$272:$Y$272</definedName>
    <definedName name="SalesQty97_4">'Бланк заказа'!$AA$272:$AA$272</definedName>
    <definedName name="SalesQty98_1">'Бланк заказа'!$U$273:$U$273</definedName>
    <definedName name="SalesQty98_2">'Бланк заказа'!$W$273:$W$273</definedName>
    <definedName name="SalesQty98_3">'Бланк заказа'!$Y$273:$Y$273</definedName>
    <definedName name="SalesQty98_4">'Бланк заказа'!$AA$273:$AA$273</definedName>
    <definedName name="SalesQty99_1">'Бланк заказа'!$U$274:$U$274</definedName>
    <definedName name="SalesQty99_2">'Бланк заказа'!$W$274:$W$274</definedName>
    <definedName name="SalesQty99_3">'Бланк заказа'!$Y$274:$Y$274</definedName>
    <definedName name="SalesQty99_4">'Бланк заказа'!$AA$274:$AA$274</definedName>
    <definedName name="SalesRequestType">'Бланк заказа'!$S$10</definedName>
    <definedName name="SalesRoundBox1_1">'Бланк заказа'!$V$21:$V$21</definedName>
    <definedName name="SalesRoundBox1_2">'Бланк заказа'!$X$21:$X$21</definedName>
    <definedName name="SalesRoundBox1_3">'Бланк заказа'!$Z$21:$Z$21</definedName>
    <definedName name="SalesRoundBox1_4">'Бланк заказа'!$AB$21:$AB$21</definedName>
    <definedName name="SalesRoundBox10_1">'Бланк заказа'!$V$45:$V$45</definedName>
    <definedName name="SalesRoundBox10_2">'Бланк заказа'!$X$45:$X$45</definedName>
    <definedName name="SalesRoundBox10_3">'Бланк заказа'!$Z$45:$Z$45</definedName>
    <definedName name="SalesRoundBox10_4">'Бланк заказа'!$AB$45:$AB$45</definedName>
    <definedName name="SalesRoundBox100_1">'Бланк заказа'!$V$275:$V$275</definedName>
    <definedName name="SalesRoundBox100_2">'Бланк заказа'!$X$275:$X$275</definedName>
    <definedName name="SalesRoundBox100_3">'Бланк заказа'!$Z$275:$Z$275</definedName>
    <definedName name="SalesRoundBox100_4">'Бланк заказа'!$AB$275:$AB$275</definedName>
    <definedName name="SalesRoundBox101_1">'Бланк заказа'!$V$276:$V$276</definedName>
    <definedName name="SalesRoundBox101_2">'Бланк заказа'!$X$276:$X$276</definedName>
    <definedName name="SalesRoundBox101_3">'Бланк заказа'!$Z$276:$Z$276</definedName>
    <definedName name="SalesRoundBox101_4">'Бланк заказа'!$AB$276:$AB$276</definedName>
    <definedName name="SalesRoundBox102_1">'Бланк заказа'!$V$277:$V$277</definedName>
    <definedName name="SalesRoundBox102_2">'Бланк заказа'!$X$277:$X$277</definedName>
    <definedName name="SalesRoundBox102_3">'Бланк заказа'!$Z$277:$Z$277</definedName>
    <definedName name="SalesRoundBox102_4">'Бланк заказа'!$AB$277:$AB$277</definedName>
    <definedName name="SalesRoundBox103_1">'Бланк заказа'!$V$278:$V$278</definedName>
    <definedName name="SalesRoundBox103_2">'Бланк заказа'!$X$278:$X$278</definedName>
    <definedName name="SalesRoundBox103_3">'Бланк заказа'!$Z$278:$Z$278</definedName>
    <definedName name="SalesRoundBox103_4">'Бланк заказа'!$AB$278:$AB$278</definedName>
    <definedName name="SalesRoundBox104_1">'Бланк заказа'!$V$279:$V$279</definedName>
    <definedName name="SalesRoundBox104_2">'Бланк заказа'!$X$279:$X$279</definedName>
    <definedName name="SalesRoundBox104_3">'Бланк заказа'!$Z$279:$Z$279</definedName>
    <definedName name="SalesRoundBox104_4">'Бланк заказа'!$AB$279:$AB$279</definedName>
    <definedName name="SalesRoundBox105_1">'Бланк заказа'!$V$283:$V$283</definedName>
    <definedName name="SalesRoundBox105_2">'Бланк заказа'!$X$283:$X$283</definedName>
    <definedName name="SalesRoundBox105_3">'Бланк заказа'!$Z$283:$Z$283</definedName>
    <definedName name="SalesRoundBox105_4">'Бланк заказа'!$AB$283:$AB$283</definedName>
    <definedName name="SalesRoundBox106_1">'Бланк заказа'!$V$288:$V$288</definedName>
    <definedName name="SalesRoundBox106_2">'Бланк заказа'!$X$288:$X$288</definedName>
    <definedName name="SalesRoundBox106_3">'Бланк заказа'!$Z$288:$Z$288</definedName>
    <definedName name="SalesRoundBox106_4">'Бланк заказа'!$AB$288:$AB$288</definedName>
    <definedName name="SalesRoundBox107_1">'Бланк заказа'!$V$292:$V$292</definedName>
    <definedName name="SalesRoundBox107_2">'Бланк заказа'!$X$292:$X$292</definedName>
    <definedName name="SalesRoundBox107_3">'Бланк заказа'!$Z$292:$Z$292</definedName>
    <definedName name="SalesRoundBox107_4">'Бланк заказа'!$AB$292:$AB$292</definedName>
    <definedName name="SalesRoundBox108_1">'Бланк заказа'!$V$293:$V$293</definedName>
    <definedName name="SalesRoundBox108_2">'Бланк заказа'!$X$293:$X$293</definedName>
    <definedName name="SalesRoundBox108_3">'Бланк заказа'!$Z$293:$Z$293</definedName>
    <definedName name="SalesRoundBox108_4">'Бланк заказа'!$AB$293:$AB$293</definedName>
    <definedName name="SalesRoundBox109_1">'Бланк заказа'!$V$298:$V$298</definedName>
    <definedName name="SalesRoundBox109_2">'Бланк заказа'!$X$298:$X$298</definedName>
    <definedName name="SalesRoundBox109_3">'Бланк заказа'!$Z$298:$Z$298</definedName>
    <definedName name="SalesRoundBox109_4">'Бланк заказа'!$AB$298:$AB$298</definedName>
    <definedName name="SalesRoundBox11_1">'Бланк заказа'!$V$46:$V$46</definedName>
    <definedName name="SalesRoundBox11_2">'Бланк заказа'!$X$46:$X$46</definedName>
    <definedName name="SalesRoundBox11_3">'Бланк заказа'!$Z$46:$Z$46</definedName>
    <definedName name="SalesRoundBox11_4">'Бланк заказа'!$AB$46:$AB$46</definedName>
    <definedName name="SalesRoundBox110_1">'Бланк заказа'!$V$299:$V$299</definedName>
    <definedName name="SalesRoundBox110_2">'Бланк заказа'!$X$299:$X$299</definedName>
    <definedName name="SalesRoundBox110_3">'Бланк заказа'!$Z$299:$Z$299</definedName>
    <definedName name="SalesRoundBox110_4">'Бланк заказа'!$AB$299:$AB$299</definedName>
    <definedName name="SalesRoundBox111_1">'Бланк заказа'!$V$300:$V$300</definedName>
    <definedName name="SalesRoundBox111_2">'Бланк заказа'!$X$300:$X$300</definedName>
    <definedName name="SalesRoundBox111_3">'Бланк заказа'!$Z$300:$Z$300</definedName>
    <definedName name="SalesRoundBox111_4">'Бланк заказа'!$AB$300:$AB$300</definedName>
    <definedName name="SalesRoundBox112_1">'Бланк заказа'!$V$305:$V$305</definedName>
    <definedName name="SalesRoundBox112_2">'Бланк заказа'!$X$305:$X$305</definedName>
    <definedName name="SalesRoundBox112_3">'Бланк заказа'!$Z$305:$Z$305</definedName>
    <definedName name="SalesRoundBox112_4">'Бланк заказа'!$AB$305:$AB$305</definedName>
    <definedName name="SalesRoundBox113_1">'Бланк заказа'!$V$306:$V$306</definedName>
    <definedName name="SalesRoundBox113_2">'Бланк заказа'!$X$306:$X$306</definedName>
    <definedName name="SalesRoundBox113_3">'Бланк заказа'!$Z$306:$Z$306</definedName>
    <definedName name="SalesRoundBox113_4">'Бланк заказа'!$AB$306:$AB$306</definedName>
    <definedName name="SalesRoundBox114_1">'Бланк заказа'!$V$310:$V$310</definedName>
    <definedName name="SalesRoundBox114_2">'Бланк заказа'!$X$310:$X$310</definedName>
    <definedName name="SalesRoundBox114_3">'Бланк заказа'!$Z$310:$Z$310</definedName>
    <definedName name="SalesRoundBox114_4">'Бланк заказа'!$AB$310:$AB$310</definedName>
    <definedName name="SalesRoundBox115_1">'Бланк заказа'!$V$316:$V$316</definedName>
    <definedName name="SalesRoundBox115_2">'Бланк заказа'!$X$316:$X$316</definedName>
    <definedName name="SalesRoundBox115_3">'Бланк заказа'!$Z$316:$Z$316</definedName>
    <definedName name="SalesRoundBox115_4">'Бланк заказа'!$AB$316:$AB$316</definedName>
    <definedName name="SalesRoundBox116_1">'Бланк заказа'!$V$317:$V$317</definedName>
    <definedName name="SalesRoundBox116_2">'Бланк заказа'!$X$317:$X$317</definedName>
    <definedName name="SalesRoundBox116_3">'Бланк заказа'!$Z$317:$Z$317</definedName>
    <definedName name="SalesRoundBox116_4">'Бланк заказа'!$AB$317:$AB$317</definedName>
    <definedName name="SalesRoundBox117_1">'Бланк заказа'!$V$318:$V$318</definedName>
    <definedName name="SalesRoundBox117_2">'Бланк заказа'!$X$318:$X$318</definedName>
    <definedName name="SalesRoundBox117_3">'Бланк заказа'!$Z$318:$Z$318</definedName>
    <definedName name="SalesRoundBox117_4">'Бланк заказа'!$AB$318:$AB$318</definedName>
    <definedName name="SalesRoundBox118_1">'Бланк заказа'!$V$319:$V$319</definedName>
    <definedName name="SalesRoundBox118_2">'Бланк заказа'!$X$319:$X$319</definedName>
    <definedName name="SalesRoundBox118_3">'Бланк заказа'!$Z$319:$Z$319</definedName>
    <definedName name="SalesRoundBox118_4">'Бланк заказа'!$AB$319:$AB$319</definedName>
    <definedName name="SalesRoundBox119_1">'Бланк заказа'!$V$320:$V$320</definedName>
    <definedName name="SalesRoundBox119_2">'Бланк заказа'!$X$320:$X$320</definedName>
    <definedName name="SalesRoundBox119_3">'Бланк заказа'!$Z$320:$Z$320</definedName>
    <definedName name="SalesRoundBox119_4">'Бланк заказа'!$AB$320:$AB$320</definedName>
    <definedName name="SalesRoundBox12_1">'Бланк заказа'!$V$50:$V$50</definedName>
    <definedName name="SalesRoundBox12_2">'Бланк заказа'!$X$50:$X$50</definedName>
    <definedName name="SalesRoundBox12_3">'Бланк заказа'!$Z$50:$Z$50</definedName>
    <definedName name="SalesRoundBox12_4">'Бланк заказа'!$AB$50:$AB$50</definedName>
    <definedName name="SalesRoundBox120_1">'Бланк заказа'!$V$321:$V$321</definedName>
    <definedName name="SalesRoundBox120_2">'Бланк заказа'!$X$321:$X$321</definedName>
    <definedName name="SalesRoundBox120_3">'Бланк заказа'!$Z$321:$Z$321</definedName>
    <definedName name="SalesRoundBox120_4">'Бланк заказа'!$AB$321:$AB$321</definedName>
    <definedName name="SalesRoundBox121_1">'Бланк заказа'!$V$322:$V$322</definedName>
    <definedName name="SalesRoundBox121_2">'Бланк заказа'!$X$322:$X$322</definedName>
    <definedName name="SalesRoundBox121_3">'Бланк заказа'!$Z$322:$Z$322</definedName>
    <definedName name="SalesRoundBox121_4">'Бланк заказа'!$AB$322:$AB$322</definedName>
    <definedName name="SalesRoundBox122_1">'Бланк заказа'!$V$326:$V$326</definedName>
    <definedName name="SalesRoundBox122_2">'Бланк заказа'!$X$326:$X$326</definedName>
    <definedName name="SalesRoundBox122_3">'Бланк заказа'!$Z$326:$Z$326</definedName>
    <definedName name="SalesRoundBox122_4">'Бланк заказа'!$AB$326:$AB$326</definedName>
    <definedName name="SalesRoundBox123_1">'Бланк заказа'!$V$327:$V$327</definedName>
    <definedName name="SalesRoundBox123_2">'Бланк заказа'!$X$327:$X$327</definedName>
    <definedName name="SalesRoundBox123_3">'Бланк заказа'!$Z$327:$Z$327</definedName>
    <definedName name="SalesRoundBox123_4">'Бланк заказа'!$AB$327:$AB$327</definedName>
    <definedName name="SalesRoundBox124_1">'Бланк заказа'!$V$328:$V$328</definedName>
    <definedName name="SalesRoundBox124_2">'Бланк заказа'!$X$328:$X$328</definedName>
    <definedName name="SalesRoundBox124_3">'Бланк заказа'!$Z$328:$Z$328</definedName>
    <definedName name="SalesRoundBox124_4">'Бланк заказа'!$AB$328:$AB$328</definedName>
    <definedName name="SalesRoundBox125_1">'Бланк заказа'!$V$332:$V$332</definedName>
    <definedName name="SalesRoundBox125_2">'Бланк заказа'!$X$332:$X$332</definedName>
    <definedName name="SalesRoundBox125_3">'Бланк заказа'!$Z$332:$Z$332</definedName>
    <definedName name="SalesRoundBox125_4">'Бланк заказа'!$AB$332:$AB$332</definedName>
    <definedName name="SalesRoundBox126_1">'Бланк заказа'!$V$333:$V$333</definedName>
    <definedName name="SalesRoundBox126_2">'Бланк заказа'!$X$333:$X$333</definedName>
    <definedName name="SalesRoundBox126_3">'Бланк заказа'!$Z$333:$Z$333</definedName>
    <definedName name="SalesRoundBox126_4">'Бланк заказа'!$AB$333:$AB$333</definedName>
    <definedName name="SalesRoundBox127_1">'Бланк заказа'!$V$334:$V$334</definedName>
    <definedName name="SalesRoundBox127_2">'Бланк заказа'!$X$334:$X$334</definedName>
    <definedName name="SalesRoundBox127_3">'Бланк заказа'!$Z$334:$Z$334</definedName>
    <definedName name="SalesRoundBox127_4">'Бланк заказа'!$AB$334:$AB$334</definedName>
    <definedName name="SalesRoundBox128_1">'Бланк заказа'!$V$338:$V$338</definedName>
    <definedName name="SalesRoundBox128_2">'Бланк заказа'!$X$338:$X$338</definedName>
    <definedName name="SalesRoundBox128_3">'Бланк заказа'!$Z$338:$Z$338</definedName>
    <definedName name="SalesRoundBox128_4">'Бланк заказа'!$AB$338:$AB$338</definedName>
    <definedName name="SalesRoundBox129_1">'Бланк заказа'!$V$339:$V$339</definedName>
    <definedName name="SalesRoundBox129_2">'Бланк заказа'!$X$339:$X$339</definedName>
    <definedName name="SalesRoundBox129_3">'Бланк заказа'!$Z$339:$Z$339</definedName>
    <definedName name="SalesRoundBox129_4">'Бланк заказа'!$AB$339:$AB$339</definedName>
    <definedName name="SalesRoundBox13_1">'Бланк заказа'!$V$51:$V$51</definedName>
    <definedName name="SalesRoundBox13_2">'Бланк заказа'!$X$51:$X$51</definedName>
    <definedName name="SalesRoundBox13_3">'Бланк заказа'!$Z$51:$Z$51</definedName>
    <definedName name="SalesRoundBox13_4">'Бланк заказа'!$AB$51:$AB$51</definedName>
    <definedName name="SalesRoundBox130_1">'Бланк заказа'!$V$345:$V$345</definedName>
    <definedName name="SalesRoundBox130_2">'Бланк заказа'!$X$345:$X$345</definedName>
    <definedName name="SalesRoundBox130_3">'Бланк заказа'!$Z$345:$Z$345</definedName>
    <definedName name="SalesRoundBox130_4">'Бланк заказа'!$AB$345:$AB$345</definedName>
    <definedName name="SalesRoundBox131_1">'Бланк заказа'!$V$346:$V$346</definedName>
    <definedName name="SalesRoundBox131_2">'Бланк заказа'!$X$346:$X$346</definedName>
    <definedName name="SalesRoundBox131_3">'Бланк заказа'!$Z$346:$Z$346</definedName>
    <definedName name="SalesRoundBox131_4">'Бланк заказа'!$AB$346:$AB$346</definedName>
    <definedName name="SalesRoundBox132_1">'Бланк заказа'!$V$347:$V$347</definedName>
    <definedName name="SalesRoundBox132_2">'Бланк заказа'!$X$347:$X$347</definedName>
    <definedName name="SalesRoundBox132_3">'Бланк заказа'!$Z$347:$Z$347</definedName>
    <definedName name="SalesRoundBox132_4">'Бланк заказа'!$AB$347:$AB$347</definedName>
    <definedName name="SalesRoundBox133_1">'Бланк заказа'!$V$348:$V$348</definedName>
    <definedName name="SalesRoundBox133_2">'Бланк заказа'!$X$348:$X$348</definedName>
    <definedName name="SalesRoundBox133_3">'Бланк заказа'!$Z$348:$Z$348</definedName>
    <definedName name="SalesRoundBox133_4">'Бланк заказа'!$AB$348:$AB$348</definedName>
    <definedName name="SalesRoundBox134_1">'Бланк заказа'!$V$352:$V$352</definedName>
    <definedName name="SalesRoundBox134_2">'Бланк заказа'!$X$352:$X$352</definedName>
    <definedName name="SalesRoundBox134_3">'Бланк заказа'!$Z$352:$Z$352</definedName>
    <definedName name="SalesRoundBox134_4">'Бланк заказа'!$AB$352:$AB$352</definedName>
    <definedName name="SalesRoundBox135_1">'Бланк заказа'!$V$353:$V$353</definedName>
    <definedName name="SalesRoundBox135_2">'Бланк заказа'!$X$353:$X$353</definedName>
    <definedName name="SalesRoundBox135_3">'Бланк заказа'!$Z$353:$Z$353</definedName>
    <definedName name="SalesRoundBox135_4">'Бланк заказа'!$AB$353:$AB$353</definedName>
    <definedName name="SalesRoundBox136_1">'Бланк заказа'!$V$354:$V$354</definedName>
    <definedName name="SalesRoundBox136_2">'Бланк заказа'!$X$354:$X$354</definedName>
    <definedName name="SalesRoundBox136_3">'Бланк заказа'!$Z$354:$Z$354</definedName>
    <definedName name="SalesRoundBox136_4">'Бланк заказа'!$AB$354:$AB$354</definedName>
    <definedName name="SalesRoundBox137_1">'Бланк заказа'!$V$355:$V$355</definedName>
    <definedName name="SalesRoundBox137_2">'Бланк заказа'!$X$355:$X$355</definedName>
    <definedName name="SalesRoundBox137_3">'Бланк заказа'!$Z$355:$Z$355</definedName>
    <definedName name="SalesRoundBox137_4">'Бланк заказа'!$AB$355:$AB$355</definedName>
    <definedName name="SalesRoundBox138_1">'Бланк заказа'!$V$356:$V$356</definedName>
    <definedName name="SalesRoundBox138_2">'Бланк заказа'!$X$356:$X$356</definedName>
    <definedName name="SalesRoundBox138_3">'Бланк заказа'!$Z$356:$Z$356</definedName>
    <definedName name="SalesRoundBox138_4">'Бланк заказа'!$AB$356:$AB$356</definedName>
    <definedName name="SalesRoundBox139_1">'Бланк заказа'!$V$357:$V$357</definedName>
    <definedName name="SalesRoundBox139_2">'Бланк заказа'!$X$357:$X$357</definedName>
    <definedName name="SalesRoundBox139_3">'Бланк заказа'!$Z$357:$Z$357</definedName>
    <definedName name="SalesRoundBox139_4">'Бланк заказа'!$AB$357:$AB$357</definedName>
    <definedName name="SalesRoundBox14_1">'Бланк заказа'!$V$52:$V$52</definedName>
    <definedName name="SalesRoundBox14_2">'Бланк заказа'!$X$52:$X$52</definedName>
    <definedName name="SalesRoundBox14_3">'Бланк заказа'!$Z$52:$Z$52</definedName>
    <definedName name="SalesRoundBox14_4">'Бланк заказа'!$AB$52:$AB$52</definedName>
    <definedName name="SalesRoundBox140_1">'Бланк заказа'!$V$361:$V$361</definedName>
    <definedName name="SalesRoundBox140_2">'Бланк заказа'!$X$361:$X$361</definedName>
    <definedName name="SalesRoundBox140_3">'Бланк заказа'!$Z$361:$Z$361</definedName>
    <definedName name="SalesRoundBox140_4">'Бланк заказа'!$AB$361:$AB$361</definedName>
    <definedName name="SalesRoundBox141_1">'Бланк заказа'!$V$362:$V$362</definedName>
    <definedName name="SalesRoundBox141_2">'Бланк заказа'!$X$362:$X$362</definedName>
    <definedName name="SalesRoundBox141_3">'Бланк заказа'!$Z$362:$Z$362</definedName>
    <definedName name="SalesRoundBox141_4">'Бланк заказа'!$AB$362:$AB$362</definedName>
    <definedName name="SalesRoundBox142_1">'Бланк заказа'!$V$363:$V$363</definedName>
    <definedName name="SalesRoundBox142_2">'Бланк заказа'!$X$363:$X$363</definedName>
    <definedName name="SalesRoundBox142_3">'Бланк заказа'!$Z$363:$Z$363</definedName>
    <definedName name="SalesRoundBox142_4">'Бланк заказа'!$AB$363:$AB$363</definedName>
    <definedName name="SalesRoundBox143_1">'Бланк заказа'!$V$368:$V$368</definedName>
    <definedName name="SalesRoundBox143_2">'Бланк заказа'!$X$368:$X$368</definedName>
    <definedName name="SalesRoundBox143_3">'Бланк заказа'!$Z$368:$Z$368</definedName>
    <definedName name="SalesRoundBox143_4">'Бланк заказа'!$AB$368:$AB$368</definedName>
    <definedName name="SalesRoundBox144_1">'Бланк заказа'!$V$369:$V$369</definedName>
    <definedName name="SalesRoundBox144_2">'Бланк заказа'!$X$369:$X$369</definedName>
    <definedName name="SalesRoundBox144_3">'Бланк заказа'!$Z$369:$Z$369</definedName>
    <definedName name="SalesRoundBox144_4">'Бланк заказа'!$AB$369:$AB$369</definedName>
    <definedName name="SalesRoundBox145_1">'Бланк заказа'!$V$373:$V$373</definedName>
    <definedName name="SalesRoundBox145_2">'Бланк заказа'!$X$373:$X$373</definedName>
    <definedName name="SalesRoundBox145_3">'Бланк заказа'!$Z$373:$Z$373</definedName>
    <definedName name="SalesRoundBox145_4">'Бланк заказа'!$AB$373:$AB$373</definedName>
    <definedName name="SalesRoundBox146_1">'Бланк заказа'!$V$374:$V$374</definedName>
    <definedName name="SalesRoundBox146_2">'Бланк заказа'!$X$374:$X$374</definedName>
    <definedName name="SalesRoundBox146_3">'Бланк заказа'!$Z$374:$Z$374</definedName>
    <definedName name="SalesRoundBox146_4">'Бланк заказа'!$AB$374:$AB$374</definedName>
    <definedName name="SalesRoundBox147_1">'Бланк заказа'!$V$378:$V$378</definedName>
    <definedName name="SalesRoundBox147_2">'Бланк заказа'!$X$378:$X$378</definedName>
    <definedName name="SalesRoundBox147_3">'Бланк заказа'!$Z$378:$Z$378</definedName>
    <definedName name="SalesRoundBox147_4">'Бланк заказа'!$AB$378:$AB$378</definedName>
    <definedName name="SalesRoundBox148_1">'Бланк заказа'!$V$379:$V$379</definedName>
    <definedName name="SalesRoundBox148_2">'Бланк заказа'!$X$379:$X$379</definedName>
    <definedName name="SalesRoundBox148_3">'Бланк заказа'!$Z$379:$Z$379</definedName>
    <definedName name="SalesRoundBox148_4">'Бланк заказа'!$AB$379:$AB$379</definedName>
    <definedName name="SalesRoundBox149_1">'Бланк заказа'!$V$380:$V$380</definedName>
    <definedName name="SalesRoundBox149_2">'Бланк заказа'!$X$380:$X$380</definedName>
    <definedName name="SalesRoundBox149_3">'Бланк заказа'!$Z$380:$Z$380</definedName>
    <definedName name="SalesRoundBox149_4">'Бланк заказа'!$AB$380:$AB$380</definedName>
    <definedName name="SalesRoundBox15_1">'Бланк заказа'!$V$56:$V$56</definedName>
    <definedName name="SalesRoundBox15_2">'Бланк заказа'!$X$56:$X$56</definedName>
    <definedName name="SalesRoundBox15_3">'Бланк заказа'!$Z$56:$Z$56</definedName>
    <definedName name="SalesRoundBox15_4">'Бланк заказа'!$AB$56:$AB$56</definedName>
    <definedName name="SalesRoundBox150_1">'Бланк заказа'!$V$384:$V$384</definedName>
    <definedName name="SalesRoundBox150_2">'Бланк заказа'!$X$384:$X$384</definedName>
    <definedName name="SalesRoundBox150_3">'Бланк заказа'!$Z$384:$Z$384</definedName>
    <definedName name="SalesRoundBox150_4">'Бланк заказа'!$AB$384:$AB$384</definedName>
    <definedName name="SalesRoundBox16_1">'Бланк заказа'!$V$57:$V$57</definedName>
    <definedName name="SalesRoundBox16_2">'Бланк заказа'!$X$57:$X$57</definedName>
    <definedName name="SalesRoundBox16_3">'Бланк заказа'!$Z$57:$Z$57</definedName>
    <definedName name="SalesRoundBox16_4">'Бланк заказа'!$AB$57:$AB$57</definedName>
    <definedName name="SalesRoundBox17_1">'Бланк заказа'!$V$61:$V$61</definedName>
    <definedName name="SalesRoundBox17_2">'Бланк заказа'!$X$61:$X$61</definedName>
    <definedName name="SalesRoundBox17_3">'Бланк заказа'!$Z$61:$Z$61</definedName>
    <definedName name="SalesRoundBox17_4">'Бланк заказа'!$AB$61:$AB$61</definedName>
    <definedName name="SalesRoundBox18_1">'Бланк заказа'!$V$62:$V$62</definedName>
    <definedName name="SalesRoundBox18_2">'Бланк заказа'!$X$62:$X$62</definedName>
    <definedName name="SalesRoundBox18_3">'Бланк заказа'!$Z$62:$Z$62</definedName>
    <definedName name="SalesRoundBox18_4">'Бланк заказа'!$AB$62:$AB$62</definedName>
    <definedName name="SalesRoundBox19_1">'Бланк заказа'!$V$63:$V$63</definedName>
    <definedName name="SalesRoundBox19_2">'Бланк заказа'!$X$63:$X$63</definedName>
    <definedName name="SalesRoundBox19_3">'Бланк заказа'!$Z$63:$Z$63</definedName>
    <definedName name="SalesRoundBox19_4">'Бланк заказа'!$AB$63:$AB$63</definedName>
    <definedName name="SalesRoundBox2_1">'Бланк заказа'!$V$22:$V$22</definedName>
    <definedName name="SalesRoundBox2_2">'Бланк заказа'!$X$22:$X$22</definedName>
    <definedName name="SalesRoundBox2_3">'Бланк заказа'!$Z$22:$Z$22</definedName>
    <definedName name="SalesRoundBox2_4">'Бланк заказа'!$AB$22:$AB$22</definedName>
    <definedName name="SalesRoundBox20_1">'Бланк заказа'!$V$67:$V$67</definedName>
    <definedName name="SalesRoundBox20_2">'Бланк заказа'!$X$67:$X$67</definedName>
    <definedName name="SalesRoundBox20_3">'Бланк заказа'!$Z$67:$Z$67</definedName>
    <definedName name="SalesRoundBox20_4">'Бланк заказа'!$AB$67:$AB$67</definedName>
    <definedName name="SalesRoundBox21_1">'Бланк заказа'!$V$68:$V$68</definedName>
    <definedName name="SalesRoundBox21_2">'Бланк заказа'!$X$68:$X$68</definedName>
    <definedName name="SalesRoundBox21_3">'Бланк заказа'!$Z$68:$Z$68</definedName>
    <definedName name="SalesRoundBox21_4">'Бланк заказа'!$AB$68:$AB$68</definedName>
    <definedName name="SalesRoundBox22_1">'Бланк заказа'!$V$73:$V$73</definedName>
    <definedName name="SalesRoundBox22_2">'Бланк заказа'!$X$73:$X$73</definedName>
    <definedName name="SalesRoundBox22_3">'Бланк заказа'!$Z$73:$Z$73</definedName>
    <definedName name="SalesRoundBox22_4">'Бланк заказа'!$AB$73:$AB$73</definedName>
    <definedName name="SalesRoundBox23_1">'Бланк заказа'!$V$77:$V$77</definedName>
    <definedName name="SalesRoundBox23_2">'Бланк заказа'!$X$77:$X$77</definedName>
    <definedName name="SalesRoundBox23_3">'Бланк заказа'!$Z$77:$Z$77</definedName>
    <definedName name="SalesRoundBox23_4">'Бланк заказа'!$AB$77:$AB$77</definedName>
    <definedName name="SalesRoundBox24_1">'Бланк заказа'!$V$78:$V$78</definedName>
    <definedName name="SalesRoundBox24_2">'Бланк заказа'!$X$78:$X$78</definedName>
    <definedName name="SalesRoundBox24_3">'Бланк заказа'!$Z$78:$Z$78</definedName>
    <definedName name="SalesRoundBox24_4">'Бланк заказа'!$AB$78:$AB$78</definedName>
    <definedName name="SalesRoundBox25_1">'Бланк заказа'!$V$79:$V$79</definedName>
    <definedName name="SalesRoundBox25_2">'Бланк заказа'!$X$79:$X$79</definedName>
    <definedName name="SalesRoundBox25_3">'Бланк заказа'!$Z$79:$Z$79</definedName>
    <definedName name="SalesRoundBox25_4">'Бланк заказа'!$AB$79:$AB$79</definedName>
    <definedName name="SalesRoundBox26_1">'Бланк заказа'!$V$80:$V$80</definedName>
    <definedName name="SalesRoundBox26_2">'Бланк заказа'!$X$80:$X$80</definedName>
    <definedName name="SalesRoundBox26_3">'Бланк заказа'!$Z$80:$Z$80</definedName>
    <definedName name="SalesRoundBox26_4">'Бланк заказа'!$AB$80:$AB$80</definedName>
    <definedName name="SalesRoundBox27_1">'Бланк заказа'!$V$81:$V$81</definedName>
    <definedName name="SalesRoundBox27_2">'Бланк заказа'!$X$81:$X$81</definedName>
    <definedName name="SalesRoundBox27_3">'Бланк заказа'!$Z$81:$Z$81</definedName>
    <definedName name="SalesRoundBox27_4">'Бланк заказа'!$AB$81:$AB$81</definedName>
    <definedName name="SalesRoundBox28_1">'Бланк заказа'!$V$86:$V$86</definedName>
    <definedName name="SalesRoundBox28_2">'Бланк заказа'!$X$86:$X$86</definedName>
    <definedName name="SalesRoundBox28_3">'Бланк заказа'!$Z$86:$Z$86</definedName>
    <definedName name="SalesRoundBox28_4">'Бланк заказа'!$AB$86:$AB$86</definedName>
    <definedName name="SalesRoundBox29_1">'Бланк заказа'!$V$90:$V$90</definedName>
    <definedName name="SalesRoundBox29_2">'Бланк заказа'!$X$90:$X$90</definedName>
    <definedName name="SalesRoundBox29_3">'Бланк заказа'!$Z$90:$Z$90</definedName>
    <definedName name="SalesRoundBox29_4">'Бланк заказа'!$AB$90:$AB$90</definedName>
    <definedName name="SalesRoundBox3_1">'Бланк заказа'!$V$26:$V$26</definedName>
    <definedName name="SalesRoundBox3_2">'Бланк заказа'!$X$26:$X$26</definedName>
    <definedName name="SalesRoundBox3_3">'Бланк заказа'!$Z$26:$Z$26</definedName>
    <definedName name="SalesRoundBox3_4">'Бланк заказа'!$AB$26:$AB$26</definedName>
    <definedName name="SalesRoundBox30_1">'Бланк заказа'!$V$94:$V$94</definedName>
    <definedName name="SalesRoundBox30_2">'Бланк заказа'!$X$94:$X$94</definedName>
    <definedName name="SalesRoundBox30_3">'Бланк заказа'!$Z$94:$Z$94</definedName>
    <definedName name="SalesRoundBox30_4">'Бланк заказа'!$AB$94:$AB$94</definedName>
    <definedName name="SalesRoundBox31_1">'Бланк заказа'!$V$95:$V$95</definedName>
    <definedName name="SalesRoundBox31_2">'Бланк заказа'!$X$95:$X$95</definedName>
    <definedName name="SalesRoundBox31_3">'Бланк заказа'!$Z$95:$Z$95</definedName>
    <definedName name="SalesRoundBox31_4">'Бланк заказа'!$AB$95:$AB$95</definedName>
    <definedName name="SalesRoundBox32_1">'Бланк заказа'!$V$99:$V$99</definedName>
    <definedName name="SalesRoundBox32_2">'Бланк заказа'!$X$99:$X$99</definedName>
    <definedName name="SalesRoundBox32_3">'Бланк заказа'!$Z$99:$Z$99</definedName>
    <definedName name="SalesRoundBox32_4">'Бланк заказа'!$AB$99:$AB$99</definedName>
    <definedName name="SalesRoundBox33_1">'Бланк заказа'!$V$100:$V$100</definedName>
    <definedName name="SalesRoundBox33_2">'Бланк заказа'!$X$100:$X$100</definedName>
    <definedName name="SalesRoundBox33_3">'Бланк заказа'!$Z$100:$Z$100</definedName>
    <definedName name="SalesRoundBox33_4">'Бланк заказа'!$AB$100:$AB$100</definedName>
    <definedName name="SalesRoundBox34_1">'Бланк заказа'!$V$105:$V$105</definedName>
    <definedName name="SalesRoundBox34_2">'Бланк заказа'!$X$105:$X$105</definedName>
    <definedName name="SalesRoundBox34_3">'Бланк заказа'!$Z$105:$Z$105</definedName>
    <definedName name="SalesRoundBox34_4">'Бланк заказа'!$AB$105:$AB$105</definedName>
    <definedName name="SalesRoundBox35_1">'Бланк заказа'!$V$106:$V$106</definedName>
    <definedName name="SalesRoundBox35_2">'Бланк заказа'!$X$106:$X$106</definedName>
    <definedName name="SalesRoundBox35_3">'Бланк заказа'!$Z$106:$Z$106</definedName>
    <definedName name="SalesRoundBox35_4">'Бланк заказа'!$AB$106:$AB$106</definedName>
    <definedName name="SalesRoundBox36_1">'Бланк заказа'!$V$107:$V$107</definedName>
    <definedName name="SalesRoundBox36_2">'Бланк заказа'!$X$107:$X$107</definedName>
    <definedName name="SalesRoundBox36_3">'Бланк заказа'!$Z$107:$Z$107</definedName>
    <definedName name="SalesRoundBox36_4">'Бланк заказа'!$AB$107:$AB$107</definedName>
    <definedName name="SalesRoundBox37_1">'Бланк заказа'!$V$108:$V$108</definedName>
    <definedName name="SalesRoundBox37_2">'Бланк заказа'!$X$108:$X$108</definedName>
    <definedName name="SalesRoundBox37_3">'Бланк заказа'!$Z$108:$Z$108</definedName>
    <definedName name="SalesRoundBox37_4">'Бланк заказа'!$AB$108:$AB$108</definedName>
    <definedName name="SalesRoundBox38_1">'Бланк заказа'!$V$114:$V$114</definedName>
    <definedName name="SalesRoundBox38_2">'Бланк заказа'!$X$114:$X$114</definedName>
    <definedName name="SalesRoundBox38_3">'Бланк заказа'!$Z$114:$Z$114</definedName>
    <definedName name="SalesRoundBox38_4">'Бланк заказа'!$AB$114:$AB$114</definedName>
    <definedName name="SalesRoundBox39_1">'Бланк заказа'!$V$118:$V$118</definedName>
    <definedName name="SalesRoundBox39_2">'Бланк заказа'!$X$118:$X$118</definedName>
    <definedName name="SalesRoundBox39_3">'Бланк заказа'!$Z$118:$Z$118</definedName>
    <definedName name="SalesRoundBox39_4">'Бланк заказа'!$AB$118:$AB$118</definedName>
    <definedName name="SalesRoundBox4_1">'Бланк заказа'!$V$32:$V$32</definedName>
    <definedName name="SalesRoundBox4_2">'Бланк заказа'!$X$32:$X$32</definedName>
    <definedName name="SalesRoundBox4_3">'Бланк заказа'!$Z$32:$Z$32</definedName>
    <definedName name="SalesRoundBox4_4">'Бланк заказа'!$AB$32:$AB$32</definedName>
    <definedName name="SalesRoundBox40_1">'Бланк заказа'!$V$119:$V$119</definedName>
    <definedName name="SalesRoundBox40_2">'Бланк заказа'!$X$119:$X$119</definedName>
    <definedName name="SalesRoundBox40_3">'Бланк заказа'!$Z$119:$Z$119</definedName>
    <definedName name="SalesRoundBox40_4">'Бланк заказа'!$AB$119:$AB$119</definedName>
    <definedName name="SalesRoundBox41_1">'Бланк заказа'!$V$120:$V$120</definedName>
    <definedName name="SalesRoundBox41_2">'Бланк заказа'!$X$120:$X$120</definedName>
    <definedName name="SalesRoundBox41_3">'Бланк заказа'!$Z$120:$Z$120</definedName>
    <definedName name="SalesRoundBox41_4">'Бланк заказа'!$AB$120:$AB$120</definedName>
    <definedName name="SalesRoundBox42_1">'Бланк заказа'!$V$121:$V$121</definedName>
    <definedName name="SalesRoundBox42_2">'Бланк заказа'!$X$121:$X$121</definedName>
    <definedName name="SalesRoundBox42_3">'Бланк заказа'!$Z$121:$Z$121</definedName>
    <definedName name="SalesRoundBox42_4">'Бланк заказа'!$AB$121:$AB$121</definedName>
    <definedName name="SalesRoundBox43_1">'Бланк заказа'!$V$126:$V$126</definedName>
    <definedName name="SalesRoundBox43_2">'Бланк заказа'!$X$126:$X$126</definedName>
    <definedName name="SalesRoundBox43_3">'Бланк заказа'!$Z$126:$Z$126</definedName>
    <definedName name="SalesRoundBox43_4">'Бланк заказа'!$AB$126:$AB$126</definedName>
    <definedName name="SalesRoundBox44_1">'Бланк заказа'!$V$130:$V$130</definedName>
    <definedName name="SalesRoundBox44_2">'Бланк заказа'!$X$130:$X$130</definedName>
    <definedName name="SalesRoundBox44_3">'Бланк заказа'!$Z$130:$Z$130</definedName>
    <definedName name="SalesRoundBox44_4">'Бланк заказа'!$AB$130:$AB$130</definedName>
    <definedName name="SalesRoundBox45_1">'Бланк заказа'!$V$131:$V$131</definedName>
    <definedName name="SalesRoundBox45_2">'Бланк заказа'!$X$131:$X$131</definedName>
    <definedName name="SalesRoundBox45_3">'Бланк заказа'!$Z$131:$Z$131</definedName>
    <definedName name="SalesRoundBox45_4">'Бланк заказа'!$AB$131:$AB$131</definedName>
    <definedName name="SalesRoundBox46_1">'Бланк заказа'!$V$132:$V$132</definedName>
    <definedName name="SalesRoundBox46_2">'Бланк заказа'!$X$132:$X$132</definedName>
    <definedName name="SalesRoundBox46_3">'Бланк заказа'!$Z$132:$Z$132</definedName>
    <definedName name="SalesRoundBox46_4">'Бланк заказа'!$AB$132:$AB$132</definedName>
    <definedName name="SalesRoundBox47_1">'Бланк заказа'!$V$136:$V$136</definedName>
    <definedName name="SalesRoundBox47_2">'Бланк заказа'!$X$136:$X$136</definedName>
    <definedName name="SalesRoundBox47_3">'Бланк заказа'!$Z$136:$Z$136</definedName>
    <definedName name="SalesRoundBox47_4">'Бланк заказа'!$AB$136:$AB$136</definedName>
    <definedName name="SalesRoundBox48_1">'Бланк заказа'!$V$137:$V$137</definedName>
    <definedName name="SalesRoundBox48_2">'Бланк заказа'!$X$137:$X$137</definedName>
    <definedName name="SalesRoundBox48_3">'Бланк заказа'!$Z$137:$Z$137</definedName>
    <definedName name="SalesRoundBox48_4">'Бланк заказа'!$AB$137:$AB$137</definedName>
    <definedName name="SalesRoundBox49_1">'Бланк заказа'!$V$141:$V$141</definedName>
    <definedName name="SalesRoundBox49_2">'Бланк заказа'!$X$141:$X$141</definedName>
    <definedName name="SalesRoundBox49_3">'Бланк заказа'!$Z$141:$Z$141</definedName>
    <definedName name="SalesRoundBox49_4">'Бланк заказа'!$AB$141:$AB$141</definedName>
    <definedName name="SalesRoundBox5_1">'Бланк заказа'!$V$33:$V$33</definedName>
    <definedName name="SalesRoundBox5_2">'Бланк заказа'!$X$33:$X$33</definedName>
    <definedName name="SalesRoundBox5_3">'Бланк заказа'!$Z$33:$Z$33</definedName>
    <definedName name="SalesRoundBox5_4">'Бланк заказа'!$AB$33:$AB$33</definedName>
    <definedName name="SalesRoundBox50_1">'Бланк заказа'!$V$146:$V$146</definedName>
    <definedName name="SalesRoundBox50_2">'Бланк заказа'!$X$146:$X$146</definedName>
    <definedName name="SalesRoundBox50_3">'Бланк заказа'!$Z$146:$Z$146</definedName>
    <definedName name="SalesRoundBox50_4">'Бланк заказа'!$AB$146:$AB$146</definedName>
    <definedName name="SalesRoundBox51_1">'Бланк заказа'!$V$147:$V$147</definedName>
    <definedName name="SalesRoundBox51_2">'Бланк заказа'!$X$147:$X$147</definedName>
    <definedName name="SalesRoundBox51_3">'Бланк заказа'!$Z$147:$Z$147</definedName>
    <definedName name="SalesRoundBox51_4">'Бланк заказа'!$AB$147:$AB$147</definedName>
    <definedName name="SalesRoundBox52_1">'Бланк заказа'!$V$152:$V$152</definedName>
    <definedName name="SalesRoundBox52_2">'Бланк заказа'!$X$152:$X$152</definedName>
    <definedName name="SalesRoundBox52_3">'Бланк заказа'!$Z$152:$Z$152</definedName>
    <definedName name="SalesRoundBox52_4">'Бланк заказа'!$AB$152:$AB$152</definedName>
    <definedName name="SalesRoundBox53_1">'Бланк заказа'!$V$156:$V$156</definedName>
    <definedName name="SalesRoundBox53_2">'Бланк заказа'!$X$156:$X$156</definedName>
    <definedName name="SalesRoundBox53_3">'Бланк заказа'!$Z$156:$Z$156</definedName>
    <definedName name="SalesRoundBox53_4">'Бланк заказа'!$AB$156:$AB$156</definedName>
    <definedName name="SalesRoundBox54_1">'Бланк заказа'!$V$160:$V$160</definedName>
    <definedName name="SalesRoundBox54_2">'Бланк заказа'!$X$160:$X$160</definedName>
    <definedName name="SalesRoundBox54_3">'Бланк заказа'!$Z$160:$Z$160</definedName>
    <definedName name="SalesRoundBox54_4">'Бланк заказа'!$AB$160:$AB$160</definedName>
    <definedName name="SalesRoundBox55_1">'Бланк заказа'!$V$165:$V$165</definedName>
    <definedName name="SalesRoundBox55_2">'Бланк заказа'!$X$165:$X$165</definedName>
    <definedName name="SalesRoundBox55_3">'Бланк заказа'!$Z$165:$Z$165</definedName>
    <definedName name="SalesRoundBox55_4">'Бланк заказа'!$AB$165:$AB$165</definedName>
    <definedName name="SalesRoundBox56_1">'Бланк заказа'!$V$166:$V$166</definedName>
    <definedName name="SalesRoundBox56_2">'Бланк заказа'!$X$166:$X$166</definedName>
    <definedName name="SalesRoundBox56_3">'Бланк заказа'!$Z$166:$Z$166</definedName>
    <definedName name="SalesRoundBox56_4">'Бланк заказа'!$AB$166:$AB$166</definedName>
    <definedName name="SalesRoundBox57_1">'Бланк заказа'!$V$167:$V$167</definedName>
    <definedName name="SalesRoundBox57_2">'Бланк заказа'!$X$167:$X$167</definedName>
    <definedName name="SalesRoundBox57_3">'Бланк заказа'!$Z$167:$Z$167</definedName>
    <definedName name="SalesRoundBox57_4">'Бланк заказа'!$AB$167:$AB$167</definedName>
    <definedName name="SalesRoundBox58_1">'Бланк заказа'!$V$172:$V$172</definedName>
    <definedName name="SalesRoundBox58_2">'Бланк заказа'!$X$172:$X$172</definedName>
    <definedName name="SalesRoundBox58_3">'Бланк заказа'!$Z$172:$Z$172</definedName>
    <definedName name="SalesRoundBox58_4">'Бланк заказа'!$AB$172:$AB$172</definedName>
    <definedName name="SalesRoundBox59_1">'Бланк заказа'!$V$173:$V$173</definedName>
    <definedName name="SalesRoundBox59_2">'Бланк заказа'!$X$173:$X$173</definedName>
    <definedName name="SalesRoundBox59_3">'Бланк заказа'!$Z$173:$Z$173</definedName>
    <definedName name="SalesRoundBox59_4">'Бланк заказа'!$AB$173:$AB$173</definedName>
    <definedName name="SalesRoundBox6_1">'Бланк заказа'!$V$34:$V$34</definedName>
    <definedName name="SalesRoundBox6_2">'Бланк заказа'!$X$34:$X$34</definedName>
    <definedName name="SalesRoundBox6_3">'Бланк заказа'!$Z$34:$Z$34</definedName>
    <definedName name="SalesRoundBox6_4">'Бланк заказа'!$AB$34:$AB$34</definedName>
    <definedName name="SalesRoundBox60_1">'Бланк заказа'!$V$174:$V$174</definedName>
    <definedName name="SalesRoundBox60_2">'Бланк заказа'!$X$174:$X$174</definedName>
    <definedName name="SalesRoundBox60_3">'Бланк заказа'!$Z$174:$Z$174</definedName>
    <definedName name="SalesRoundBox60_4">'Бланк заказа'!$AB$174:$AB$174</definedName>
    <definedName name="SalesRoundBox61_1">'Бланк заказа'!$V$175:$V$175</definedName>
    <definedName name="SalesRoundBox61_2">'Бланк заказа'!$X$175:$X$175</definedName>
    <definedName name="SalesRoundBox61_3">'Бланк заказа'!$Z$175:$Z$175</definedName>
    <definedName name="SalesRoundBox61_4">'Бланк заказа'!$AB$175:$AB$175</definedName>
    <definedName name="SalesRoundBox62_1">'Бланк заказа'!$V$176:$V$176</definedName>
    <definedName name="SalesRoundBox62_2">'Бланк заказа'!$X$176:$X$176</definedName>
    <definedName name="SalesRoundBox62_3">'Бланк заказа'!$Z$176:$Z$176</definedName>
    <definedName name="SalesRoundBox62_4">'Бланк заказа'!$AB$176:$AB$176</definedName>
    <definedName name="SalesRoundBox63_1">'Бланк заказа'!$V$177:$V$177</definedName>
    <definedName name="SalesRoundBox63_2">'Бланк заказа'!$X$177:$X$177</definedName>
    <definedName name="SalesRoundBox63_3">'Бланк заказа'!$Z$177:$Z$177</definedName>
    <definedName name="SalesRoundBox63_4">'Бланк заказа'!$AB$177:$AB$177</definedName>
    <definedName name="SalesRoundBox64_1">'Бланк заказа'!$V$182:$V$182</definedName>
    <definedName name="SalesRoundBox64_2">'Бланк заказа'!$X$182:$X$182</definedName>
    <definedName name="SalesRoundBox64_3">'Бланк заказа'!$Z$182:$Z$182</definedName>
    <definedName name="SalesRoundBox64_4">'Бланк заказа'!$AB$182:$AB$182</definedName>
    <definedName name="SalesRoundBox65_1">'Бланк заказа'!$V$183:$V$183</definedName>
    <definedName name="SalesRoundBox65_2">'Бланк заказа'!$X$183:$X$183</definedName>
    <definedName name="SalesRoundBox65_3">'Бланк заказа'!$Z$183:$Z$183</definedName>
    <definedName name="SalesRoundBox65_4">'Бланк заказа'!$AB$183:$AB$183</definedName>
    <definedName name="SalesRoundBox66_1">'Бланк заказа'!$V$187:$V$187</definedName>
    <definedName name="SalesRoundBox66_2">'Бланк заказа'!$X$187:$X$187</definedName>
    <definedName name="SalesRoundBox66_3">'Бланк заказа'!$Z$187:$Z$187</definedName>
    <definedName name="SalesRoundBox66_4">'Бланк заказа'!$AB$187:$AB$187</definedName>
    <definedName name="SalesRoundBox67_1">'Бланк заказа'!$V$192:$V$192</definedName>
    <definedName name="SalesRoundBox67_2">'Бланк заказа'!$X$192:$X$192</definedName>
    <definedName name="SalesRoundBox67_3">'Бланк заказа'!$Z$192:$Z$192</definedName>
    <definedName name="SalesRoundBox67_4">'Бланк заказа'!$AB$192:$AB$192</definedName>
    <definedName name="SalesRoundBox68_1">'Бланк заказа'!$V$196:$V$196</definedName>
    <definedName name="SalesRoundBox68_2">'Бланк заказа'!$X$196:$X$196</definedName>
    <definedName name="SalesRoundBox68_3">'Бланк заказа'!$Z$196:$Z$196</definedName>
    <definedName name="SalesRoundBox68_4">'Бланк заказа'!$AB$196:$AB$196</definedName>
    <definedName name="SalesRoundBox69_1">'Бланк заказа'!$V$197:$V$197</definedName>
    <definedName name="SalesRoundBox69_2">'Бланк заказа'!$X$197:$X$197</definedName>
    <definedName name="SalesRoundBox69_3">'Бланк заказа'!$Z$197:$Z$197</definedName>
    <definedName name="SalesRoundBox69_4">'Бланк заказа'!$AB$197:$AB$197</definedName>
    <definedName name="SalesRoundBox7_1">'Бланк заказа'!$V$38:$V$38</definedName>
    <definedName name="SalesRoundBox7_2">'Бланк заказа'!$X$38:$X$38</definedName>
    <definedName name="SalesRoundBox7_3">'Бланк заказа'!$Z$38:$Z$38</definedName>
    <definedName name="SalesRoundBox7_4">'Бланк заказа'!$AB$38:$AB$38</definedName>
    <definedName name="SalesRoundBox70_1">'Бланк заказа'!$V$202:$V$202</definedName>
    <definedName name="SalesRoundBox70_2">'Бланк заказа'!$X$202:$X$202</definedName>
    <definedName name="SalesRoundBox70_3">'Бланк заказа'!$Z$202:$Z$202</definedName>
    <definedName name="SalesRoundBox70_4">'Бланк заказа'!$AB$202:$AB$202</definedName>
    <definedName name="SalesRoundBox71_1">'Бланк заказа'!$V$206:$V$206</definedName>
    <definedName name="SalesRoundBox71_2">'Бланк заказа'!$X$206:$X$206</definedName>
    <definedName name="SalesRoundBox71_3">'Бланк заказа'!$Z$206:$Z$206</definedName>
    <definedName name="SalesRoundBox71_4">'Бланк заказа'!$AB$206:$AB$206</definedName>
    <definedName name="SalesRoundBox72_1">'Бланк заказа'!$V$211:$V$211</definedName>
    <definedName name="SalesRoundBox72_2">'Бланк заказа'!$X$211:$X$211</definedName>
    <definedName name="SalesRoundBox72_3">'Бланк заказа'!$Z$211:$Z$211</definedName>
    <definedName name="SalesRoundBox72_4">'Бланк заказа'!$AB$211:$AB$211</definedName>
    <definedName name="SalesRoundBox73_1">'Бланк заказа'!$V$216:$V$216</definedName>
    <definedName name="SalesRoundBox73_2">'Бланк заказа'!$X$216:$X$216</definedName>
    <definedName name="SalesRoundBox73_3">'Бланк заказа'!$Z$216:$Z$216</definedName>
    <definedName name="SalesRoundBox73_4">'Бланк заказа'!$AB$216:$AB$216</definedName>
    <definedName name="SalesRoundBox74_1">'Бланк заказа'!$V$217:$V$217</definedName>
    <definedName name="SalesRoundBox74_2">'Бланк заказа'!$X$217:$X$217</definedName>
    <definedName name="SalesRoundBox74_3">'Бланк заказа'!$Z$217:$Z$217</definedName>
    <definedName name="SalesRoundBox74_4">'Бланк заказа'!$AB$217:$AB$217</definedName>
    <definedName name="SalesRoundBox75_1">'Бланк заказа'!$V$218:$V$218</definedName>
    <definedName name="SalesRoundBox75_2">'Бланк заказа'!$X$218:$X$218</definedName>
    <definedName name="SalesRoundBox75_3">'Бланк заказа'!$Z$218:$Z$218</definedName>
    <definedName name="SalesRoundBox75_4">'Бланк заказа'!$AB$218:$AB$218</definedName>
    <definedName name="SalesRoundBox76_1">'Бланк заказа'!$V$222:$V$222</definedName>
    <definedName name="SalesRoundBox76_2">'Бланк заказа'!$X$222:$X$222</definedName>
    <definedName name="SalesRoundBox76_3">'Бланк заказа'!$Z$222:$Z$222</definedName>
    <definedName name="SalesRoundBox76_4">'Бланк заказа'!$AB$222:$AB$222</definedName>
    <definedName name="SalesRoundBox77_1">'Бланк заказа'!$V$223:$V$223</definedName>
    <definedName name="SalesRoundBox77_2">'Бланк заказа'!$X$223:$X$223</definedName>
    <definedName name="SalesRoundBox77_3">'Бланк заказа'!$Z$223:$Z$223</definedName>
    <definedName name="SalesRoundBox77_4">'Бланк заказа'!$AB$223:$AB$223</definedName>
    <definedName name="SalesRoundBox78_1">'Бланк заказа'!$V$224:$V$224</definedName>
    <definedName name="SalesRoundBox78_2">'Бланк заказа'!$X$224:$X$224</definedName>
    <definedName name="SalesRoundBox78_3">'Бланк заказа'!$Z$224:$Z$224</definedName>
    <definedName name="SalesRoundBox78_4">'Бланк заказа'!$AB$224:$AB$224</definedName>
    <definedName name="SalesRoundBox79_1">'Бланк заказа'!$V$228:$V$228</definedName>
    <definedName name="SalesRoundBox79_2">'Бланк заказа'!$X$228:$X$228</definedName>
    <definedName name="SalesRoundBox79_3">'Бланк заказа'!$Z$228:$Z$228</definedName>
    <definedName name="SalesRoundBox79_4">'Бланк заказа'!$AB$228:$AB$228</definedName>
    <definedName name="SalesRoundBox8_1">'Бланк заказа'!$V$43:$V$43</definedName>
    <definedName name="SalesRoundBox8_2">'Бланк заказа'!$X$43:$X$43</definedName>
    <definedName name="SalesRoundBox8_3">'Бланк заказа'!$Z$43:$Z$43</definedName>
    <definedName name="SalesRoundBox8_4">'Бланк заказа'!$AB$43:$AB$43</definedName>
    <definedName name="SalesRoundBox80_1">'Бланк заказа'!$V$229:$V$229</definedName>
    <definedName name="SalesRoundBox80_2">'Бланк заказа'!$X$229:$X$229</definedName>
    <definedName name="SalesRoundBox80_3">'Бланк заказа'!$Z$229:$Z$229</definedName>
    <definedName name="SalesRoundBox80_4">'Бланк заказа'!$AB$229:$AB$229</definedName>
    <definedName name="SalesRoundBox81_1">'Бланк заказа'!$V$230:$V$230</definedName>
    <definedName name="SalesRoundBox81_2">'Бланк заказа'!$X$230:$X$230</definedName>
    <definedName name="SalesRoundBox81_3">'Бланк заказа'!$Z$230:$Z$230</definedName>
    <definedName name="SalesRoundBox81_4">'Бланк заказа'!$AB$230:$AB$230</definedName>
    <definedName name="SalesRoundBox82_1">'Бланк заказа'!$V$231:$V$231</definedName>
    <definedName name="SalesRoundBox82_2">'Бланк заказа'!$X$231:$X$231</definedName>
    <definedName name="SalesRoundBox82_3">'Бланк заказа'!$Z$231:$Z$231</definedName>
    <definedName name="SalesRoundBox82_4">'Бланк заказа'!$AB$231:$AB$231</definedName>
    <definedName name="SalesRoundBox83_1">'Бланк заказа'!$V$232:$V$232</definedName>
    <definedName name="SalesRoundBox83_2">'Бланк заказа'!$X$232:$X$232</definedName>
    <definedName name="SalesRoundBox83_3">'Бланк заказа'!$Z$232:$Z$232</definedName>
    <definedName name="SalesRoundBox83_4">'Бланк заказа'!$AB$232:$AB$232</definedName>
    <definedName name="SalesRoundBox84_1">'Бланк заказа'!$V$237:$V$237</definedName>
    <definedName name="SalesRoundBox84_2">'Бланк заказа'!$X$237:$X$237</definedName>
    <definedName name="SalesRoundBox84_3">'Бланк заказа'!$Z$237:$Z$237</definedName>
    <definedName name="SalesRoundBox84_4">'Бланк заказа'!$AB$237:$AB$237</definedName>
    <definedName name="SalesRoundBox85_1">'Бланк заказа'!$V$241:$V$241</definedName>
    <definedName name="SalesRoundBox85_2">'Бланк заказа'!$X$241:$X$241</definedName>
    <definedName name="SalesRoundBox85_3">'Бланк заказа'!$Z$241:$Z$241</definedName>
    <definedName name="SalesRoundBox85_4">'Бланк заказа'!$AB$241:$AB$241</definedName>
    <definedName name="SalesRoundBox86_1">'Бланк заказа'!$V$242:$V$242</definedName>
    <definedName name="SalesRoundBox86_2">'Бланк заказа'!$X$242:$X$242</definedName>
    <definedName name="SalesRoundBox86_3">'Бланк заказа'!$Z$242:$Z$242</definedName>
    <definedName name="SalesRoundBox86_4">'Бланк заказа'!$AB$242:$AB$242</definedName>
    <definedName name="SalesRoundBox87_1">'Бланк заказа'!$V$248:$V$248</definedName>
    <definedName name="SalesRoundBox87_2">'Бланк заказа'!$X$248:$X$248</definedName>
    <definedName name="SalesRoundBox87_3">'Бланк заказа'!$Z$248:$Z$248</definedName>
    <definedName name="SalesRoundBox87_4">'Бланк заказа'!$AB$248:$AB$248</definedName>
    <definedName name="SalesRoundBox88_1">'Бланк заказа'!$V$249:$V$249</definedName>
    <definedName name="SalesRoundBox88_2">'Бланк заказа'!$X$249:$X$249</definedName>
    <definedName name="SalesRoundBox88_3">'Бланк заказа'!$Z$249:$Z$249</definedName>
    <definedName name="SalesRoundBox88_4">'Бланк заказа'!$AB$249:$AB$249</definedName>
    <definedName name="SalesRoundBox89_1">'Бланк заказа'!$V$250:$V$250</definedName>
    <definedName name="SalesRoundBox89_2">'Бланк заказа'!$X$250:$X$250</definedName>
    <definedName name="SalesRoundBox89_3">'Бланк заказа'!$Z$250:$Z$250</definedName>
    <definedName name="SalesRoundBox89_4">'Бланк заказа'!$AB$250:$AB$250</definedName>
    <definedName name="SalesRoundBox9_1">'Бланк заказа'!$V$44:$V$44</definedName>
    <definedName name="SalesRoundBox9_2">'Бланк заказа'!$X$44:$X$44</definedName>
    <definedName name="SalesRoundBox9_3">'Бланк заказа'!$Z$44:$Z$44</definedName>
    <definedName name="SalesRoundBox9_4">'Бланк заказа'!$AB$44:$AB$44</definedName>
    <definedName name="SalesRoundBox90_1">'Бланк заказа'!$V$254:$V$254</definedName>
    <definedName name="SalesRoundBox90_2">'Бланк заказа'!$X$254:$X$254</definedName>
    <definedName name="SalesRoundBox90_3">'Бланк заказа'!$Z$254:$Z$254</definedName>
    <definedName name="SalesRoundBox90_4">'Бланк заказа'!$AB$254:$AB$254</definedName>
    <definedName name="SalesRoundBox91_1">'Бланк заказа'!$V$255:$V$255</definedName>
    <definedName name="SalesRoundBox91_2">'Бланк заказа'!$X$255:$X$255</definedName>
    <definedName name="SalesRoundBox91_3">'Бланк заказа'!$Z$255:$Z$255</definedName>
    <definedName name="SalesRoundBox91_4">'Бланк заказа'!$AB$255:$AB$255</definedName>
    <definedName name="SalesRoundBox92_1">'Бланк заказа'!$V$259:$V$259</definedName>
    <definedName name="SalesRoundBox92_2">'Бланк заказа'!$X$259:$X$259</definedName>
    <definedName name="SalesRoundBox92_3">'Бланк заказа'!$Z$259:$Z$259</definedName>
    <definedName name="SalesRoundBox92_4">'Бланк заказа'!$AB$259:$AB$259</definedName>
    <definedName name="SalesRoundBox93_1">'Бланк заказа'!$V$260:$V$260</definedName>
    <definedName name="SalesRoundBox93_2">'Бланк заказа'!$X$260:$X$260</definedName>
    <definedName name="SalesRoundBox93_3">'Бланк заказа'!$Z$260:$Z$260</definedName>
    <definedName name="SalesRoundBox93_4">'Бланк заказа'!$AB$260:$AB$260</definedName>
    <definedName name="SalesRoundBox94_1">'Бланк заказа'!$V$261:$V$261</definedName>
    <definedName name="SalesRoundBox94_2">'Бланк заказа'!$X$261:$X$261</definedName>
    <definedName name="SalesRoundBox94_3">'Бланк заказа'!$Z$261:$Z$261</definedName>
    <definedName name="SalesRoundBox94_4">'Бланк заказа'!$AB$261:$AB$261</definedName>
    <definedName name="SalesRoundBox95_1">'Бланк заказа'!$V$265:$V$265</definedName>
    <definedName name="SalesRoundBox95_2">'Бланк заказа'!$X$265:$X$265</definedName>
    <definedName name="SalesRoundBox95_3">'Бланк заказа'!$Z$265:$Z$265</definedName>
    <definedName name="SalesRoundBox95_4">'Бланк заказа'!$AB$265:$AB$265</definedName>
    <definedName name="SalesRoundBox96_1">'Бланк заказа'!$V$271:$V$271</definedName>
    <definedName name="SalesRoundBox96_2">'Бланк заказа'!$X$271:$X$271</definedName>
    <definedName name="SalesRoundBox96_3">'Бланк заказа'!$Z$271:$Z$271</definedName>
    <definedName name="SalesRoundBox96_4">'Бланк заказа'!$AB$271:$AB$271</definedName>
    <definedName name="SalesRoundBox97_1">'Бланк заказа'!$V$272:$V$272</definedName>
    <definedName name="SalesRoundBox97_2">'Бланк заказа'!$X$272:$X$272</definedName>
    <definedName name="SalesRoundBox97_3">'Бланк заказа'!$Z$272:$Z$272</definedName>
    <definedName name="SalesRoundBox97_4">'Бланк заказа'!$AB$272:$AB$272</definedName>
    <definedName name="SalesRoundBox98_1">'Бланк заказа'!$V$273:$V$273</definedName>
    <definedName name="SalesRoundBox98_2">'Бланк заказа'!$X$273:$X$273</definedName>
    <definedName name="SalesRoundBox98_3">'Бланк заказа'!$Z$273:$Z$273</definedName>
    <definedName name="SalesRoundBox98_4">'Бланк заказа'!$AB$273:$AB$273</definedName>
    <definedName name="SalesRoundBox99_1">'Бланк заказа'!$V$274:$V$274</definedName>
    <definedName name="SalesRoundBox99_2">'Бланк заказа'!$X$274:$X$274</definedName>
    <definedName name="SalesRoundBox99_3">'Бланк заказа'!$Z$274:$Z$274</definedName>
    <definedName name="SalesRoundBox99_4">'Бланк заказа'!$AB$274:$AB$274</definedName>
    <definedName name="Table">Setting!$B$6:$D$7</definedName>
    <definedName name="TemplateProductType">'Бланк заказа'!$F$1</definedName>
    <definedName name="TypeProxy">'Бланк заказа'!$E$9:$F$9</definedName>
    <definedName name="UnitOfMeasure1">'Бланк заказа'!$T$21:$T$21</definedName>
    <definedName name="UnitOfMeasure10">'Бланк заказа'!$T$45:$T$45</definedName>
    <definedName name="UnitOfMeasure100">'Бланк заказа'!$T$275:$T$275</definedName>
    <definedName name="UnitOfMeasure101">'Бланк заказа'!$T$276:$T$276</definedName>
    <definedName name="UnitOfMeasure102">'Бланк заказа'!$T$277:$T$277</definedName>
    <definedName name="UnitOfMeasure103">'Бланк заказа'!$T$278:$T$278</definedName>
    <definedName name="UnitOfMeasure104">'Бланк заказа'!$T$279:$T$279</definedName>
    <definedName name="UnitOfMeasure105">'Бланк заказа'!$T$283:$T$283</definedName>
    <definedName name="UnitOfMeasure106">'Бланк заказа'!$T$288:$T$288</definedName>
    <definedName name="UnitOfMeasure107">'Бланк заказа'!$T$292:$T$292</definedName>
    <definedName name="UnitOfMeasure108">'Бланк заказа'!$T$293:$T$293</definedName>
    <definedName name="UnitOfMeasure109">'Бланк заказа'!$T$298:$T$298</definedName>
    <definedName name="UnitOfMeasure11">'Бланк заказа'!$T$46:$T$46</definedName>
    <definedName name="UnitOfMeasure110">'Бланк заказа'!$T$299:$T$299</definedName>
    <definedName name="UnitOfMeasure111">'Бланк заказа'!$T$300:$T$300</definedName>
    <definedName name="UnitOfMeasure112">'Бланк заказа'!$T$305:$T$305</definedName>
    <definedName name="UnitOfMeasure113">'Бланк заказа'!$T$306:$T$306</definedName>
    <definedName name="UnitOfMeasure114">'Бланк заказа'!$T$310:$T$310</definedName>
    <definedName name="UnitOfMeasure115">'Бланк заказа'!$T$316:$T$316</definedName>
    <definedName name="UnitOfMeasure116">'Бланк заказа'!$T$317:$T$317</definedName>
    <definedName name="UnitOfMeasure117">'Бланк заказа'!$T$318:$T$318</definedName>
    <definedName name="UnitOfMeasure118">'Бланк заказа'!$T$319:$T$319</definedName>
    <definedName name="UnitOfMeasure119">'Бланк заказа'!$T$320:$T$320</definedName>
    <definedName name="UnitOfMeasure12">'Бланк заказа'!$T$50:$T$50</definedName>
    <definedName name="UnitOfMeasure120">'Бланк заказа'!$T$321:$T$321</definedName>
    <definedName name="UnitOfMeasure121">'Бланк заказа'!$T$322:$T$322</definedName>
    <definedName name="UnitOfMeasure122">'Бланк заказа'!$T$326:$T$326</definedName>
    <definedName name="UnitOfMeasure123">'Бланк заказа'!$T$327:$T$327</definedName>
    <definedName name="UnitOfMeasure124">'Бланк заказа'!$T$328:$T$328</definedName>
    <definedName name="UnitOfMeasure125">'Бланк заказа'!$T$332:$T$332</definedName>
    <definedName name="UnitOfMeasure126">'Бланк заказа'!$T$333:$T$333</definedName>
    <definedName name="UnitOfMeasure127">'Бланк заказа'!$T$334:$T$334</definedName>
    <definedName name="UnitOfMeasure128">'Бланк заказа'!$T$338:$T$338</definedName>
    <definedName name="UnitOfMeasure129">'Бланк заказа'!$T$339:$T$339</definedName>
    <definedName name="UnitOfMeasure13">'Бланк заказа'!$T$51:$T$51</definedName>
    <definedName name="UnitOfMeasure130">'Бланк заказа'!$T$345:$T$345</definedName>
    <definedName name="UnitOfMeasure131">'Бланк заказа'!$T$346:$T$346</definedName>
    <definedName name="UnitOfMeasure132">'Бланк заказа'!$T$347:$T$347</definedName>
    <definedName name="UnitOfMeasure133">'Бланк заказа'!$T$348:$T$348</definedName>
    <definedName name="UnitOfMeasure134">'Бланк заказа'!$T$352:$T$352</definedName>
    <definedName name="UnitOfMeasure135">'Бланк заказа'!$T$353:$T$353</definedName>
    <definedName name="UnitOfMeasure136">'Бланк заказа'!$T$354:$T$354</definedName>
    <definedName name="UnitOfMeasure137">'Бланк заказа'!$T$355:$T$355</definedName>
    <definedName name="UnitOfMeasure138">'Бланк заказа'!$T$356:$T$356</definedName>
    <definedName name="UnitOfMeasure139">'Бланк заказа'!$T$357:$T$357</definedName>
    <definedName name="UnitOfMeasure14">'Бланк заказа'!$T$52:$T$52</definedName>
    <definedName name="UnitOfMeasure140">'Бланк заказа'!$T$361:$T$361</definedName>
    <definedName name="UnitOfMeasure141">'Бланк заказа'!$T$362:$T$362</definedName>
    <definedName name="UnitOfMeasure142">'Бланк заказа'!$T$363:$T$363</definedName>
    <definedName name="UnitOfMeasure143">'Бланк заказа'!$T$368:$T$368</definedName>
    <definedName name="UnitOfMeasure144">'Бланк заказа'!$T$369:$T$369</definedName>
    <definedName name="UnitOfMeasure145">'Бланк заказа'!$T$373:$T$373</definedName>
    <definedName name="UnitOfMeasure146">'Бланк заказа'!$T$374:$T$374</definedName>
    <definedName name="UnitOfMeasure147">'Бланк заказа'!$T$378:$T$378</definedName>
    <definedName name="UnitOfMeasure148">'Бланк заказа'!$T$379:$T$379</definedName>
    <definedName name="UnitOfMeasure149">'Бланк заказа'!$T$380:$T$380</definedName>
    <definedName name="UnitOfMeasure15">'Бланк заказа'!$T$56:$T$56</definedName>
    <definedName name="UnitOfMeasure150">'Бланк заказа'!$T$384:$T$384</definedName>
    <definedName name="UnitOfMeasure16">'Бланк заказа'!$T$57:$T$57</definedName>
    <definedName name="UnitOfMeasure17">'Бланк заказа'!$T$61:$T$61</definedName>
    <definedName name="UnitOfMeasure18">'Бланк заказа'!$T$62:$T$62</definedName>
    <definedName name="UnitOfMeasure19">'Бланк заказа'!$T$63:$T$63</definedName>
    <definedName name="UnitOfMeasure2">'Бланк заказа'!$T$22:$T$22</definedName>
    <definedName name="UnitOfMeasure20">'Бланк заказа'!$T$67:$T$67</definedName>
    <definedName name="UnitOfMeasure21">'Бланк заказа'!$T$68:$T$68</definedName>
    <definedName name="UnitOfMeasure22">'Бланк заказа'!$T$73:$T$73</definedName>
    <definedName name="UnitOfMeasure23">'Бланк заказа'!$T$77:$T$77</definedName>
    <definedName name="UnitOfMeasure24">'Бланк заказа'!$T$78:$T$78</definedName>
    <definedName name="UnitOfMeasure25">'Бланк заказа'!$T$79:$T$79</definedName>
    <definedName name="UnitOfMeasure26">'Бланк заказа'!$T$80:$T$80</definedName>
    <definedName name="UnitOfMeasure27">'Бланк заказа'!$T$81:$T$81</definedName>
    <definedName name="UnitOfMeasure28">'Бланк заказа'!$T$86:$T$86</definedName>
    <definedName name="UnitOfMeasure29">'Бланк заказа'!$T$90:$T$90</definedName>
    <definedName name="UnitOfMeasure3">'Бланк заказа'!$T$26:$T$26</definedName>
    <definedName name="UnitOfMeasure30">'Бланк заказа'!$T$94:$T$94</definedName>
    <definedName name="UnitOfMeasure31">'Бланк заказа'!$T$95:$T$95</definedName>
    <definedName name="UnitOfMeasure32">'Бланк заказа'!$T$99:$T$99</definedName>
    <definedName name="UnitOfMeasure33">'Бланк заказа'!$T$100:$T$100</definedName>
    <definedName name="UnitOfMeasure34">'Бланк заказа'!$T$105:$T$105</definedName>
    <definedName name="UnitOfMeasure35">'Бланк заказа'!$T$106:$T$106</definedName>
    <definedName name="UnitOfMeasure36">'Бланк заказа'!$T$107:$T$107</definedName>
    <definedName name="UnitOfMeasure37">'Бланк заказа'!$T$108:$T$108</definedName>
    <definedName name="UnitOfMeasure38">'Бланк заказа'!$T$114:$T$114</definedName>
    <definedName name="UnitOfMeasure39">'Бланк заказа'!$T$118:$T$118</definedName>
    <definedName name="UnitOfMeasure4">'Бланк заказа'!$T$32:$T$32</definedName>
    <definedName name="UnitOfMeasure40">'Бланк заказа'!$T$119:$T$119</definedName>
    <definedName name="UnitOfMeasure41">'Бланк заказа'!$T$120:$T$120</definedName>
    <definedName name="UnitOfMeasure42">'Бланк заказа'!$T$121:$T$121</definedName>
    <definedName name="UnitOfMeasure43">'Бланк заказа'!$T$126:$T$126</definedName>
    <definedName name="UnitOfMeasure44">'Бланк заказа'!$T$130:$T$130</definedName>
    <definedName name="UnitOfMeasure45">'Бланк заказа'!$T$131:$T$131</definedName>
    <definedName name="UnitOfMeasure46">'Бланк заказа'!$T$132:$T$132</definedName>
    <definedName name="UnitOfMeasure47">'Бланк заказа'!$T$136:$T$136</definedName>
    <definedName name="UnitOfMeasure48">'Бланк заказа'!$T$137:$T$137</definedName>
    <definedName name="UnitOfMeasure49">'Бланк заказа'!$T$141:$T$141</definedName>
    <definedName name="UnitOfMeasure5">'Бланк заказа'!$T$33:$T$33</definedName>
    <definedName name="UnitOfMeasure50">'Бланк заказа'!$T$146:$T$146</definedName>
    <definedName name="UnitOfMeasure51">'Бланк заказа'!$T$147:$T$147</definedName>
    <definedName name="UnitOfMeasure52">'Бланк заказа'!$T$152:$T$152</definedName>
    <definedName name="UnitOfMeasure53">'Бланк заказа'!$T$156:$T$156</definedName>
    <definedName name="UnitOfMeasure54">'Бланк заказа'!$T$160:$T$160</definedName>
    <definedName name="UnitOfMeasure55">'Бланк заказа'!$T$165:$T$165</definedName>
    <definedName name="UnitOfMeasure56">'Бланк заказа'!$T$166:$T$166</definedName>
    <definedName name="UnitOfMeasure57">'Бланк заказа'!$T$167:$T$167</definedName>
    <definedName name="UnitOfMeasure58">'Бланк заказа'!$T$172:$T$172</definedName>
    <definedName name="UnitOfMeasure59">'Бланк заказа'!$T$173:$T$173</definedName>
    <definedName name="UnitOfMeasure6">'Бланк заказа'!$T$34:$T$34</definedName>
    <definedName name="UnitOfMeasure60">'Бланк заказа'!$T$174:$T$174</definedName>
    <definedName name="UnitOfMeasure61">'Бланк заказа'!$T$175:$T$175</definedName>
    <definedName name="UnitOfMeasure62">'Бланк заказа'!$T$176:$T$176</definedName>
    <definedName name="UnitOfMeasure63">'Бланк заказа'!$T$177:$T$177</definedName>
    <definedName name="UnitOfMeasure64">'Бланк заказа'!$T$182:$T$182</definedName>
    <definedName name="UnitOfMeasure65">'Бланк заказа'!$T$183:$T$183</definedName>
    <definedName name="UnitOfMeasure66">'Бланк заказа'!$T$187:$T$187</definedName>
    <definedName name="UnitOfMeasure67">'Бланк заказа'!$T$192:$T$192</definedName>
    <definedName name="UnitOfMeasure68">'Бланк заказа'!$T$196:$T$196</definedName>
    <definedName name="UnitOfMeasure69">'Бланк заказа'!$T$197:$T$197</definedName>
    <definedName name="UnitOfMeasure7">'Бланк заказа'!$T$38:$T$38</definedName>
    <definedName name="UnitOfMeasure70">'Бланк заказа'!$T$202:$T$202</definedName>
    <definedName name="UnitOfMeasure71">'Бланк заказа'!$T$206:$T$206</definedName>
    <definedName name="UnitOfMeasure72">'Бланк заказа'!$T$211:$T$211</definedName>
    <definedName name="UnitOfMeasure73">'Бланк заказа'!$T$216:$T$216</definedName>
    <definedName name="UnitOfMeasure74">'Бланк заказа'!$T$217:$T$217</definedName>
    <definedName name="UnitOfMeasure75">'Бланк заказа'!$T$218:$T$218</definedName>
    <definedName name="UnitOfMeasure76">'Бланк заказа'!$T$222:$T$222</definedName>
    <definedName name="UnitOfMeasure77">'Бланк заказа'!$T$223:$T$223</definedName>
    <definedName name="UnitOfMeasure78">'Бланк заказа'!$T$224:$T$224</definedName>
    <definedName name="UnitOfMeasure79">'Бланк заказа'!$T$228:$T$228</definedName>
    <definedName name="UnitOfMeasure8">'Бланк заказа'!$T$43:$T$43</definedName>
    <definedName name="UnitOfMeasure80">'Бланк заказа'!$T$229:$T$229</definedName>
    <definedName name="UnitOfMeasure81">'Бланк заказа'!$T$230:$T$230</definedName>
    <definedName name="UnitOfMeasure82">'Бланк заказа'!$T$231:$T$231</definedName>
    <definedName name="UnitOfMeasure83">'Бланк заказа'!$T$232:$T$232</definedName>
    <definedName name="UnitOfMeasure84">'Бланк заказа'!$T$237:$T$237</definedName>
    <definedName name="UnitOfMeasure85">'Бланк заказа'!$T$241:$T$241</definedName>
    <definedName name="UnitOfMeasure86">'Бланк заказа'!$T$242:$T$242</definedName>
    <definedName name="UnitOfMeasure87">'Бланк заказа'!$T$248:$T$248</definedName>
    <definedName name="UnitOfMeasure88">'Бланк заказа'!$T$249:$T$249</definedName>
    <definedName name="UnitOfMeasure89">'Бланк заказа'!$T$250:$T$250</definedName>
    <definedName name="UnitOfMeasure9">'Бланк заказа'!$T$44:$T$44</definedName>
    <definedName name="UnitOfMeasure90">'Бланк заказа'!$T$254:$T$254</definedName>
    <definedName name="UnitOfMeasure91">'Бланк заказа'!$T$255:$T$255</definedName>
    <definedName name="UnitOfMeasure92">'Бланк заказа'!$T$259:$T$259</definedName>
    <definedName name="UnitOfMeasure93">'Бланк заказа'!$T$260:$T$260</definedName>
    <definedName name="UnitOfMeasure94">'Бланк заказа'!$T$261:$T$261</definedName>
    <definedName name="UnitOfMeasure95">'Бланк заказа'!$T$265:$T$265</definedName>
    <definedName name="UnitOfMeasure96">'Бланк заказа'!$T$271:$T$271</definedName>
    <definedName name="UnitOfMeasure97">'Бланк заказа'!$T$272:$T$272</definedName>
    <definedName name="UnitOfMeasure98">'Бланк заказа'!$T$273:$T$273</definedName>
    <definedName name="UnitOfMeasure99">'Бланк заказа'!$T$274:$T$274</definedName>
    <definedName name="UnloadAddress">'Бланк заказа'!$E$8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386" i="2" l="1"/>
  <c r="Y386" i="2"/>
  <c r="W386" i="2"/>
  <c r="U386" i="2"/>
  <c r="AA385" i="2"/>
  <c r="Y385" i="2"/>
  <c r="W385" i="2"/>
  <c r="U385" i="2"/>
  <c r="CC384" i="2"/>
  <c r="CA384" i="2"/>
  <c r="BY384" i="2"/>
  <c r="BW384" i="2"/>
  <c r="BU384" i="2"/>
  <c r="BS384" i="2"/>
  <c r="BQ384" i="2"/>
  <c r="BO384" i="2"/>
  <c r="AB384" i="2"/>
  <c r="AB385" i="2" s="1"/>
  <c r="Z384" i="2"/>
  <c r="BX384" i="2" s="1"/>
  <c r="X384" i="2"/>
  <c r="V384" i="2"/>
  <c r="V386" i="2" s="1"/>
  <c r="AA382" i="2"/>
  <c r="Y382" i="2"/>
  <c r="W382" i="2"/>
  <c r="U382" i="2"/>
  <c r="AA381" i="2"/>
  <c r="Y381" i="2"/>
  <c r="W381" i="2"/>
  <c r="U381" i="2"/>
  <c r="CD380" i="2"/>
  <c r="CC380" i="2"/>
  <c r="CA380" i="2"/>
  <c r="BY380" i="2"/>
  <c r="BW380" i="2"/>
  <c r="BU380" i="2"/>
  <c r="BS380" i="2"/>
  <c r="BQ380" i="2"/>
  <c r="BO380" i="2"/>
  <c r="AB380" i="2"/>
  <c r="CB380" i="2" s="1"/>
  <c r="Z380" i="2"/>
  <c r="BZ380" i="2" s="1"/>
  <c r="X380" i="2"/>
  <c r="BV380" i="2" s="1"/>
  <c r="V380" i="2"/>
  <c r="BR380" i="2" s="1"/>
  <c r="CC379" i="2"/>
  <c r="CA379" i="2"/>
  <c r="BY379" i="2"/>
  <c r="BW379" i="2"/>
  <c r="BU379" i="2"/>
  <c r="BS379" i="2"/>
  <c r="BQ379" i="2"/>
  <c r="BO379" i="2"/>
  <c r="AB379" i="2"/>
  <c r="CB379" i="2" s="1"/>
  <c r="Z379" i="2"/>
  <c r="BZ379" i="2" s="1"/>
  <c r="X379" i="2"/>
  <c r="BV379" i="2" s="1"/>
  <c r="V379" i="2"/>
  <c r="BR379" i="2" s="1"/>
  <c r="CC378" i="2"/>
  <c r="CA378" i="2"/>
  <c r="BY378" i="2"/>
  <c r="BW378" i="2"/>
  <c r="BU378" i="2"/>
  <c r="BS378" i="2"/>
  <c r="BQ378" i="2"/>
  <c r="BO378" i="2"/>
  <c r="AB378" i="2"/>
  <c r="CD378" i="2" s="1"/>
  <c r="Z378" i="2"/>
  <c r="BZ378" i="2" s="1"/>
  <c r="X378" i="2"/>
  <c r="V378" i="2"/>
  <c r="AC378" i="2" s="1"/>
  <c r="AA376" i="2"/>
  <c r="Y376" i="2"/>
  <c r="W376" i="2"/>
  <c r="U376" i="2"/>
  <c r="AA375" i="2"/>
  <c r="Y375" i="2"/>
  <c r="W375" i="2"/>
  <c r="U375" i="2"/>
  <c r="CC374" i="2"/>
  <c r="CA374" i="2"/>
  <c r="BY374" i="2"/>
  <c r="BW374" i="2"/>
  <c r="BU374" i="2"/>
  <c r="BS374" i="2"/>
  <c r="BQ374" i="2"/>
  <c r="BO374" i="2"/>
  <c r="AB374" i="2"/>
  <c r="Z374" i="2"/>
  <c r="BZ374" i="2" s="1"/>
  <c r="X374" i="2"/>
  <c r="V374" i="2"/>
  <c r="BP374" i="2" s="1"/>
  <c r="CC373" i="2"/>
  <c r="CA373" i="2"/>
  <c r="BY373" i="2"/>
  <c r="BW373" i="2"/>
  <c r="BU373" i="2"/>
  <c r="BS373" i="2"/>
  <c r="BQ373" i="2"/>
  <c r="BO373" i="2"/>
  <c r="AB373" i="2"/>
  <c r="Z373" i="2"/>
  <c r="Z376" i="2" s="1"/>
  <c r="X373" i="2"/>
  <c r="BV373" i="2" s="1"/>
  <c r="V373" i="2"/>
  <c r="V375" i="2" s="1"/>
  <c r="AA371" i="2"/>
  <c r="Y371" i="2"/>
  <c r="W371" i="2"/>
  <c r="U371" i="2"/>
  <c r="AA370" i="2"/>
  <c r="Y370" i="2"/>
  <c r="W370" i="2"/>
  <c r="U370" i="2"/>
  <c r="CC369" i="2"/>
  <c r="CA369" i="2"/>
  <c r="BY369" i="2"/>
  <c r="BW369" i="2"/>
  <c r="BU369" i="2"/>
  <c r="BS369" i="2"/>
  <c r="BQ369" i="2"/>
  <c r="BO369" i="2"/>
  <c r="AB369" i="2"/>
  <c r="CD369" i="2" s="1"/>
  <c r="Z369" i="2"/>
  <c r="X369" i="2"/>
  <c r="BT369" i="2" s="1"/>
  <c r="V369" i="2"/>
  <c r="CC368" i="2"/>
  <c r="CA368" i="2"/>
  <c r="BY368" i="2"/>
  <c r="BW368" i="2"/>
  <c r="BU368" i="2"/>
  <c r="BS368" i="2"/>
  <c r="BQ368" i="2"/>
  <c r="BO368" i="2"/>
  <c r="AB368" i="2"/>
  <c r="AB370" i="2" s="1"/>
  <c r="Z368" i="2"/>
  <c r="BX368" i="2" s="1"/>
  <c r="X368" i="2"/>
  <c r="V368" i="2"/>
  <c r="AA365" i="2"/>
  <c r="Y365" i="2"/>
  <c r="W365" i="2"/>
  <c r="U365" i="2"/>
  <c r="AA364" i="2"/>
  <c r="Y364" i="2"/>
  <c r="W364" i="2"/>
  <c r="U364" i="2"/>
  <c r="CC363" i="2"/>
  <c r="CA363" i="2"/>
  <c r="BY363" i="2"/>
  <c r="BW363" i="2"/>
  <c r="BU363" i="2"/>
  <c r="BS363" i="2"/>
  <c r="BQ363" i="2"/>
  <c r="BO363" i="2"/>
  <c r="AB363" i="2"/>
  <c r="Z363" i="2"/>
  <c r="BZ363" i="2" s="1"/>
  <c r="X363" i="2"/>
  <c r="V363" i="2"/>
  <c r="CC362" i="2"/>
  <c r="CA362" i="2"/>
  <c r="BY362" i="2"/>
  <c r="BW362" i="2"/>
  <c r="BU362" i="2"/>
  <c r="BS362" i="2"/>
  <c r="BQ362" i="2"/>
  <c r="BO362" i="2"/>
  <c r="AB362" i="2"/>
  <c r="CB362" i="2" s="1"/>
  <c r="Z362" i="2"/>
  <c r="BZ362" i="2" s="1"/>
  <c r="X362" i="2"/>
  <c r="BV362" i="2" s="1"/>
  <c r="V362" i="2"/>
  <c r="BR362" i="2" s="1"/>
  <c r="CC361" i="2"/>
  <c r="CA361" i="2"/>
  <c r="BY361" i="2"/>
  <c r="BW361" i="2"/>
  <c r="BU361" i="2"/>
  <c r="BS361" i="2"/>
  <c r="BQ361" i="2"/>
  <c r="BO361" i="2"/>
  <c r="AB361" i="2"/>
  <c r="AB365" i="2" s="1"/>
  <c r="Z361" i="2"/>
  <c r="BZ361" i="2" s="1"/>
  <c r="X361" i="2"/>
  <c r="X365" i="2" s="1"/>
  <c r="V361" i="2"/>
  <c r="AA359" i="2"/>
  <c r="Y359" i="2"/>
  <c r="W359" i="2"/>
  <c r="U359" i="2"/>
  <c r="AA358" i="2"/>
  <c r="Y358" i="2"/>
  <c r="W358" i="2"/>
  <c r="U358" i="2"/>
  <c r="CC357" i="2"/>
  <c r="CA357" i="2"/>
  <c r="BY357" i="2"/>
  <c r="BW357" i="2"/>
  <c r="BU357" i="2"/>
  <c r="BS357" i="2"/>
  <c r="BQ357" i="2"/>
  <c r="BO357" i="2"/>
  <c r="AB357" i="2"/>
  <c r="CD357" i="2" s="1"/>
  <c r="Z357" i="2"/>
  <c r="BZ357" i="2" s="1"/>
  <c r="X357" i="2"/>
  <c r="V357" i="2"/>
  <c r="BP357" i="2" s="1"/>
  <c r="CC356" i="2"/>
  <c r="CA356" i="2"/>
  <c r="BY356" i="2"/>
  <c r="BW356" i="2"/>
  <c r="BU356" i="2"/>
  <c r="BS356" i="2"/>
  <c r="BQ356" i="2"/>
  <c r="BO356" i="2"/>
  <c r="AB356" i="2"/>
  <c r="CD356" i="2" s="1"/>
  <c r="Z356" i="2"/>
  <c r="BZ356" i="2" s="1"/>
  <c r="X356" i="2"/>
  <c r="V356" i="2"/>
  <c r="BR356" i="2" s="1"/>
  <c r="CC355" i="2"/>
  <c r="CA355" i="2"/>
  <c r="BY355" i="2"/>
  <c r="BW355" i="2"/>
  <c r="BU355" i="2"/>
  <c r="BS355" i="2"/>
  <c r="BQ355" i="2"/>
  <c r="BO355" i="2"/>
  <c r="AB355" i="2"/>
  <c r="CD355" i="2" s="1"/>
  <c r="Z355" i="2"/>
  <c r="BX355" i="2" s="1"/>
  <c r="X355" i="2"/>
  <c r="BV355" i="2" s="1"/>
  <c r="V355" i="2"/>
  <c r="CC354" i="2"/>
  <c r="CA354" i="2"/>
  <c r="BY354" i="2"/>
  <c r="BW354" i="2"/>
  <c r="BU354" i="2"/>
  <c r="BS354" i="2"/>
  <c r="BQ354" i="2"/>
  <c r="BO354" i="2"/>
  <c r="AB354" i="2"/>
  <c r="CD354" i="2" s="1"/>
  <c r="Z354" i="2"/>
  <c r="BX354" i="2" s="1"/>
  <c r="X354" i="2"/>
  <c r="BV354" i="2" s="1"/>
  <c r="V354" i="2"/>
  <c r="CC353" i="2"/>
  <c r="CA353" i="2"/>
  <c r="BY353" i="2"/>
  <c r="BW353" i="2"/>
  <c r="BU353" i="2"/>
  <c r="BS353" i="2"/>
  <c r="BQ353" i="2"/>
  <c r="BO353" i="2"/>
  <c r="AB353" i="2"/>
  <c r="Z353" i="2"/>
  <c r="X353" i="2"/>
  <c r="V353" i="2"/>
  <c r="CC352" i="2"/>
  <c r="CA352" i="2"/>
  <c r="BY352" i="2"/>
  <c r="BW352" i="2"/>
  <c r="BU352" i="2"/>
  <c r="BS352" i="2"/>
  <c r="BQ352" i="2"/>
  <c r="BO352" i="2"/>
  <c r="AB352" i="2"/>
  <c r="Z352" i="2"/>
  <c r="X352" i="2"/>
  <c r="V352" i="2"/>
  <c r="AA350" i="2"/>
  <c r="Y350" i="2"/>
  <c r="W350" i="2"/>
  <c r="U350" i="2"/>
  <c r="AA349" i="2"/>
  <c r="Y349" i="2"/>
  <c r="W349" i="2"/>
  <c r="U349" i="2"/>
  <c r="CC348" i="2"/>
  <c r="CA348" i="2"/>
  <c r="BY348" i="2"/>
  <c r="BW348" i="2"/>
  <c r="BU348" i="2"/>
  <c r="BS348" i="2"/>
  <c r="BQ348" i="2"/>
  <c r="BO348" i="2"/>
  <c r="AB348" i="2"/>
  <c r="Z348" i="2"/>
  <c r="BZ348" i="2" s="1"/>
  <c r="X348" i="2"/>
  <c r="BV348" i="2" s="1"/>
  <c r="V348" i="2"/>
  <c r="BR348" i="2" s="1"/>
  <c r="CC347" i="2"/>
  <c r="CA347" i="2"/>
  <c r="BY347" i="2"/>
  <c r="BW347" i="2"/>
  <c r="BU347" i="2"/>
  <c r="BS347" i="2"/>
  <c r="BQ347" i="2"/>
  <c r="BO347" i="2"/>
  <c r="AB347" i="2"/>
  <c r="Z347" i="2"/>
  <c r="Z350" i="2" s="1"/>
  <c r="X347" i="2"/>
  <c r="BV347" i="2" s="1"/>
  <c r="V347" i="2"/>
  <c r="CC346" i="2"/>
  <c r="CA346" i="2"/>
  <c r="BZ346" i="2"/>
  <c r="BY346" i="2"/>
  <c r="BX346" i="2"/>
  <c r="BW346" i="2"/>
  <c r="BU346" i="2"/>
  <c r="BS346" i="2"/>
  <c r="BQ346" i="2"/>
  <c r="BO346" i="2"/>
  <c r="AB346" i="2"/>
  <c r="CD346" i="2" s="1"/>
  <c r="Z346" i="2"/>
  <c r="X346" i="2"/>
  <c r="BT346" i="2" s="1"/>
  <c r="V346" i="2"/>
  <c r="CC345" i="2"/>
  <c r="CA345" i="2"/>
  <c r="BY345" i="2"/>
  <c r="BW345" i="2"/>
  <c r="BU345" i="2"/>
  <c r="BS345" i="2"/>
  <c r="BQ345" i="2"/>
  <c r="BO345" i="2"/>
  <c r="AB345" i="2"/>
  <c r="CD345" i="2" s="1"/>
  <c r="Z345" i="2"/>
  <c r="BX345" i="2" s="1"/>
  <c r="X345" i="2"/>
  <c r="V345" i="2"/>
  <c r="AA341" i="2"/>
  <c r="Y341" i="2"/>
  <c r="W341" i="2"/>
  <c r="U341" i="2"/>
  <c r="AA340" i="2"/>
  <c r="Y340" i="2"/>
  <c r="W340" i="2"/>
  <c r="U340" i="2"/>
  <c r="CC339" i="2"/>
  <c r="CA339" i="2"/>
  <c r="BY339" i="2"/>
  <c r="BW339" i="2"/>
  <c r="BU339" i="2"/>
  <c r="BS339" i="2"/>
  <c r="BQ339" i="2"/>
  <c r="BO339" i="2"/>
  <c r="AB339" i="2"/>
  <c r="CD339" i="2" s="1"/>
  <c r="Z339" i="2"/>
  <c r="X339" i="2"/>
  <c r="V339" i="2"/>
  <c r="CC338" i="2"/>
  <c r="CA338" i="2"/>
  <c r="BY338" i="2"/>
  <c r="BX338" i="2"/>
  <c r="BW338" i="2"/>
  <c r="BU338" i="2"/>
  <c r="BS338" i="2"/>
  <c r="BQ338" i="2"/>
  <c r="BO338" i="2"/>
  <c r="AB338" i="2"/>
  <c r="Z338" i="2"/>
  <c r="BZ338" i="2" s="1"/>
  <c r="X338" i="2"/>
  <c r="V338" i="2"/>
  <c r="O338" i="2"/>
  <c r="AA336" i="2"/>
  <c r="Y336" i="2"/>
  <c r="W336" i="2"/>
  <c r="U336" i="2"/>
  <c r="AA335" i="2"/>
  <c r="Y335" i="2"/>
  <c r="W335" i="2"/>
  <c r="U335" i="2"/>
  <c r="CC334" i="2"/>
  <c r="CA334" i="2"/>
  <c r="BY334" i="2"/>
  <c r="BW334" i="2"/>
  <c r="BU334" i="2"/>
  <c r="BS334" i="2"/>
  <c r="BQ334" i="2"/>
  <c r="BO334" i="2"/>
  <c r="AB334" i="2"/>
  <c r="CD334" i="2" s="1"/>
  <c r="Z334" i="2"/>
  <c r="BZ334" i="2" s="1"/>
  <c r="X334" i="2"/>
  <c r="BV334" i="2" s="1"/>
  <c r="V334" i="2"/>
  <c r="O334" i="2"/>
  <c r="CC333" i="2"/>
  <c r="CA333" i="2"/>
  <c r="BY333" i="2"/>
  <c r="BW333" i="2"/>
  <c r="BU333" i="2"/>
  <c r="BS333" i="2"/>
  <c r="BQ333" i="2"/>
  <c r="BO333" i="2"/>
  <c r="AB333" i="2"/>
  <c r="Z333" i="2"/>
  <c r="X333" i="2"/>
  <c r="BV333" i="2" s="1"/>
  <c r="V333" i="2"/>
  <c r="O333" i="2"/>
  <c r="CC332" i="2"/>
  <c r="CA332" i="2"/>
  <c r="BY332" i="2"/>
  <c r="BW332" i="2"/>
  <c r="BU332" i="2"/>
  <c r="BS332" i="2"/>
  <c r="BQ332" i="2"/>
  <c r="BO332" i="2"/>
  <c r="AB332" i="2"/>
  <c r="CD332" i="2" s="1"/>
  <c r="Z332" i="2"/>
  <c r="X332" i="2"/>
  <c r="BV332" i="2" s="1"/>
  <c r="V332" i="2"/>
  <c r="O332" i="2"/>
  <c r="AA330" i="2"/>
  <c r="Y330" i="2"/>
  <c r="W330" i="2"/>
  <c r="U330" i="2"/>
  <c r="AA329" i="2"/>
  <c r="Y329" i="2"/>
  <c r="W329" i="2"/>
  <c r="U329" i="2"/>
  <c r="CC328" i="2"/>
  <c r="CA328" i="2"/>
  <c r="BY328" i="2"/>
  <c r="BW328" i="2"/>
  <c r="BU328" i="2"/>
  <c r="BS328" i="2"/>
  <c r="BQ328" i="2"/>
  <c r="BO328" i="2"/>
  <c r="AB328" i="2"/>
  <c r="Z328" i="2"/>
  <c r="BX328" i="2" s="1"/>
  <c r="X328" i="2"/>
  <c r="BV328" i="2" s="1"/>
  <c r="V328" i="2"/>
  <c r="CC327" i="2"/>
  <c r="CA327" i="2"/>
  <c r="BY327" i="2"/>
  <c r="BW327" i="2"/>
  <c r="BU327" i="2"/>
  <c r="BS327" i="2"/>
  <c r="BQ327" i="2"/>
  <c r="BO327" i="2"/>
  <c r="AB327" i="2"/>
  <c r="Z327" i="2"/>
  <c r="X327" i="2"/>
  <c r="V327" i="2"/>
  <c r="CC326" i="2"/>
  <c r="CA326" i="2"/>
  <c r="BY326" i="2"/>
  <c r="BW326" i="2"/>
  <c r="BU326" i="2"/>
  <c r="BS326" i="2"/>
  <c r="BR326" i="2"/>
  <c r="BQ326" i="2"/>
  <c r="BP326" i="2"/>
  <c r="BO326" i="2"/>
  <c r="AB326" i="2"/>
  <c r="Z326" i="2"/>
  <c r="X326" i="2"/>
  <c r="V326" i="2"/>
  <c r="AA324" i="2"/>
  <c r="Y324" i="2"/>
  <c r="W324" i="2"/>
  <c r="U324" i="2"/>
  <c r="AA323" i="2"/>
  <c r="Y323" i="2"/>
  <c r="W323" i="2"/>
  <c r="U323" i="2"/>
  <c r="CC322" i="2"/>
  <c r="CA322" i="2"/>
  <c r="BY322" i="2"/>
  <c r="BW322" i="2"/>
  <c r="BU322" i="2"/>
  <c r="BS322" i="2"/>
  <c r="BQ322" i="2"/>
  <c r="BO322" i="2"/>
  <c r="AB322" i="2"/>
  <c r="CD322" i="2" s="1"/>
  <c r="Z322" i="2"/>
  <c r="BZ322" i="2" s="1"/>
  <c r="X322" i="2"/>
  <c r="V322" i="2"/>
  <c r="BR322" i="2" s="1"/>
  <c r="O322" i="2"/>
  <c r="CC321" i="2"/>
  <c r="CA321" i="2"/>
  <c r="BY321" i="2"/>
  <c r="BW321" i="2"/>
  <c r="BU321" i="2"/>
  <c r="BS321" i="2"/>
  <c r="BQ321" i="2"/>
  <c r="BO321" i="2"/>
  <c r="AB321" i="2"/>
  <c r="CD321" i="2" s="1"/>
  <c r="Z321" i="2"/>
  <c r="X321" i="2"/>
  <c r="BV321" i="2" s="1"/>
  <c r="V321" i="2"/>
  <c r="BR321" i="2" s="1"/>
  <c r="CC320" i="2"/>
  <c r="CA320" i="2"/>
  <c r="BY320" i="2"/>
  <c r="BW320" i="2"/>
  <c r="BU320" i="2"/>
  <c r="BS320" i="2"/>
  <c r="BR320" i="2"/>
  <c r="BQ320" i="2"/>
  <c r="BP320" i="2"/>
  <c r="BO320" i="2"/>
  <c r="AB320" i="2"/>
  <c r="CD320" i="2" s="1"/>
  <c r="Z320" i="2"/>
  <c r="BX320" i="2" s="1"/>
  <c r="X320" i="2"/>
  <c r="BV320" i="2" s="1"/>
  <c r="V320" i="2"/>
  <c r="CC319" i="2"/>
  <c r="CA319" i="2"/>
  <c r="BY319" i="2"/>
  <c r="BW319" i="2"/>
  <c r="BU319" i="2"/>
  <c r="BS319" i="2"/>
  <c r="BQ319" i="2"/>
  <c r="BO319" i="2"/>
  <c r="AB319" i="2"/>
  <c r="CD319" i="2" s="1"/>
  <c r="Z319" i="2"/>
  <c r="BX319" i="2" s="1"/>
  <c r="X319" i="2"/>
  <c r="BV319" i="2" s="1"/>
  <c r="V319" i="2"/>
  <c r="CC318" i="2"/>
  <c r="CA318" i="2"/>
  <c r="BY318" i="2"/>
  <c r="BW318" i="2"/>
  <c r="BV318" i="2"/>
  <c r="BU318" i="2"/>
  <c r="BS318" i="2"/>
  <c r="BQ318" i="2"/>
  <c r="BO318" i="2"/>
  <c r="AB318" i="2"/>
  <c r="Z318" i="2"/>
  <c r="BZ318" i="2" s="1"/>
  <c r="X318" i="2"/>
  <c r="BT318" i="2" s="1"/>
  <c r="V318" i="2"/>
  <c r="BR318" i="2" s="1"/>
  <c r="O318" i="2"/>
  <c r="CC317" i="2"/>
  <c r="CA317" i="2"/>
  <c r="BY317" i="2"/>
  <c r="BW317" i="2"/>
  <c r="BU317" i="2"/>
  <c r="BS317" i="2"/>
  <c r="BQ317" i="2"/>
  <c r="BO317" i="2"/>
  <c r="AB317" i="2"/>
  <c r="Z317" i="2"/>
  <c r="X317" i="2"/>
  <c r="BV317" i="2" s="1"/>
  <c r="V317" i="2"/>
  <c r="O317" i="2"/>
  <c r="CC316" i="2"/>
  <c r="CA316" i="2"/>
  <c r="BY316" i="2"/>
  <c r="BW316" i="2"/>
  <c r="BU316" i="2"/>
  <c r="BS316" i="2"/>
  <c r="BQ316" i="2"/>
  <c r="BO316" i="2"/>
  <c r="AB316" i="2"/>
  <c r="Z316" i="2"/>
  <c r="Z324" i="2" s="1"/>
  <c r="X316" i="2"/>
  <c r="BV316" i="2" s="1"/>
  <c r="V316" i="2"/>
  <c r="BR316" i="2" s="1"/>
  <c r="O316" i="2"/>
  <c r="AB312" i="2"/>
  <c r="AA312" i="2"/>
  <c r="Y312" i="2"/>
  <c r="W312" i="2"/>
  <c r="U312" i="2"/>
  <c r="AA311" i="2"/>
  <c r="Y311" i="2"/>
  <c r="W311" i="2"/>
  <c r="U311" i="2"/>
  <c r="CC310" i="2"/>
  <c r="CA310" i="2"/>
  <c r="BZ310" i="2"/>
  <c r="BY310" i="2"/>
  <c r="BX310" i="2"/>
  <c r="BW310" i="2"/>
  <c r="BU310" i="2"/>
  <c r="BS310" i="2"/>
  <c r="BQ310" i="2"/>
  <c r="BO310" i="2"/>
  <c r="AB310" i="2"/>
  <c r="AB311" i="2" s="1"/>
  <c r="Z310" i="2"/>
  <c r="Z311" i="2" s="1"/>
  <c r="X310" i="2"/>
  <c r="V310" i="2"/>
  <c r="O310" i="2"/>
  <c r="AA308" i="2"/>
  <c r="Y308" i="2"/>
  <c r="W308" i="2"/>
  <c r="U308" i="2"/>
  <c r="AA307" i="2"/>
  <c r="Y307" i="2"/>
  <c r="W307" i="2"/>
  <c r="U307" i="2"/>
  <c r="CC306" i="2"/>
  <c r="CA306" i="2"/>
  <c r="BY306" i="2"/>
  <c r="BW306" i="2"/>
  <c r="BU306" i="2"/>
  <c r="BS306" i="2"/>
  <c r="BQ306" i="2"/>
  <c r="BO306" i="2"/>
  <c r="AB306" i="2"/>
  <c r="CD306" i="2" s="1"/>
  <c r="Z306" i="2"/>
  <c r="BX306" i="2" s="1"/>
  <c r="X306" i="2"/>
  <c r="BV306" i="2" s="1"/>
  <c r="V306" i="2"/>
  <c r="BP306" i="2" s="1"/>
  <c r="CC305" i="2"/>
  <c r="CA305" i="2"/>
  <c r="BY305" i="2"/>
  <c r="BW305" i="2"/>
  <c r="BV305" i="2"/>
  <c r="BU305" i="2"/>
  <c r="BS305" i="2"/>
  <c r="BQ305" i="2"/>
  <c r="BO305" i="2"/>
  <c r="AB305" i="2"/>
  <c r="CB305" i="2" s="1"/>
  <c r="Z305" i="2"/>
  <c r="Z308" i="2" s="1"/>
  <c r="X305" i="2"/>
  <c r="BT305" i="2" s="1"/>
  <c r="V305" i="2"/>
  <c r="O305" i="2"/>
  <c r="AA302" i="2"/>
  <c r="Y302" i="2"/>
  <c r="W302" i="2"/>
  <c r="U302" i="2"/>
  <c r="AA301" i="2"/>
  <c r="Y301" i="2"/>
  <c r="W301" i="2"/>
  <c r="U301" i="2"/>
  <c r="CC300" i="2"/>
  <c r="CA300" i="2"/>
  <c r="BZ300" i="2"/>
  <c r="BY300" i="2"/>
  <c r="BX300" i="2"/>
  <c r="BW300" i="2"/>
  <c r="BU300" i="2"/>
  <c r="BS300" i="2"/>
  <c r="BQ300" i="2"/>
  <c r="BO300" i="2"/>
  <c r="AB300" i="2"/>
  <c r="CD300" i="2" s="1"/>
  <c r="Z300" i="2"/>
  <c r="X300" i="2"/>
  <c r="BV300" i="2" s="1"/>
  <c r="V300" i="2"/>
  <c r="CC299" i="2"/>
  <c r="CA299" i="2"/>
  <c r="BY299" i="2"/>
  <c r="BW299" i="2"/>
  <c r="BU299" i="2"/>
  <c r="BS299" i="2"/>
  <c r="BQ299" i="2"/>
  <c r="BO299" i="2"/>
  <c r="AB299" i="2"/>
  <c r="CD299" i="2" s="1"/>
  <c r="Z299" i="2"/>
  <c r="BZ299" i="2" s="1"/>
  <c r="X299" i="2"/>
  <c r="BV299" i="2" s="1"/>
  <c r="V299" i="2"/>
  <c r="CC298" i="2"/>
  <c r="CA298" i="2"/>
  <c r="BY298" i="2"/>
  <c r="BW298" i="2"/>
  <c r="BU298" i="2"/>
  <c r="BS298" i="2"/>
  <c r="BQ298" i="2"/>
  <c r="BO298" i="2"/>
  <c r="AB298" i="2"/>
  <c r="Z298" i="2"/>
  <c r="X298" i="2"/>
  <c r="V298" i="2"/>
  <c r="O298" i="2"/>
  <c r="AA295" i="2"/>
  <c r="Y295" i="2"/>
  <c r="W295" i="2"/>
  <c r="U295" i="2"/>
  <c r="AA294" i="2"/>
  <c r="Y294" i="2"/>
  <c r="W294" i="2"/>
  <c r="U294" i="2"/>
  <c r="CC293" i="2"/>
  <c r="CA293" i="2"/>
  <c r="BZ293" i="2"/>
  <c r="BY293" i="2"/>
  <c r="BX293" i="2"/>
  <c r="BW293" i="2"/>
  <c r="BU293" i="2"/>
  <c r="BS293" i="2"/>
  <c r="BQ293" i="2"/>
  <c r="BO293" i="2"/>
  <c r="AB293" i="2"/>
  <c r="CD293" i="2" s="1"/>
  <c r="Z293" i="2"/>
  <c r="X293" i="2"/>
  <c r="V293" i="2"/>
  <c r="CC292" i="2"/>
  <c r="CA292" i="2"/>
  <c r="BY292" i="2"/>
  <c r="BW292" i="2"/>
  <c r="BU292" i="2"/>
  <c r="BS292" i="2"/>
  <c r="BQ292" i="2"/>
  <c r="BO292" i="2"/>
  <c r="AB292" i="2"/>
  <c r="Z292" i="2"/>
  <c r="BX292" i="2" s="1"/>
  <c r="X292" i="2"/>
  <c r="V292" i="2"/>
  <c r="O292" i="2"/>
  <c r="AA290" i="2"/>
  <c r="Y290" i="2"/>
  <c r="W290" i="2"/>
  <c r="U290" i="2"/>
  <c r="AA289" i="2"/>
  <c r="Y289" i="2"/>
  <c r="W289" i="2"/>
  <c r="U289" i="2"/>
  <c r="CC288" i="2"/>
  <c r="CA288" i="2"/>
  <c r="BY288" i="2"/>
  <c r="BW288" i="2"/>
  <c r="BU288" i="2"/>
  <c r="BS288" i="2"/>
  <c r="BQ288" i="2"/>
  <c r="BO288" i="2"/>
  <c r="AB288" i="2"/>
  <c r="Z288" i="2"/>
  <c r="X288" i="2"/>
  <c r="V288" i="2"/>
  <c r="O288" i="2"/>
  <c r="AA285" i="2"/>
  <c r="Y285" i="2"/>
  <c r="W285" i="2"/>
  <c r="U285" i="2"/>
  <c r="AA284" i="2"/>
  <c r="Y284" i="2"/>
  <c r="W284" i="2"/>
  <c r="U284" i="2"/>
  <c r="CC283" i="2"/>
  <c r="CA283" i="2"/>
  <c r="BY283" i="2"/>
  <c r="BW283" i="2"/>
  <c r="BU283" i="2"/>
  <c r="BS283" i="2"/>
  <c r="BQ283" i="2"/>
  <c r="BO283" i="2"/>
  <c r="AB283" i="2"/>
  <c r="Z283" i="2"/>
  <c r="X283" i="2"/>
  <c r="V283" i="2"/>
  <c r="O283" i="2"/>
  <c r="AA281" i="2"/>
  <c r="Y281" i="2"/>
  <c r="W281" i="2"/>
  <c r="U281" i="2"/>
  <c r="AA280" i="2"/>
  <c r="Y280" i="2"/>
  <c r="W280" i="2"/>
  <c r="U280" i="2"/>
  <c r="CC279" i="2"/>
  <c r="CA279" i="2"/>
  <c r="BY279" i="2"/>
  <c r="BW279" i="2"/>
  <c r="BU279" i="2"/>
  <c r="BS279" i="2"/>
  <c r="BQ279" i="2"/>
  <c r="BO279" i="2"/>
  <c r="AB279" i="2"/>
  <c r="CD279" i="2" s="1"/>
  <c r="Z279" i="2"/>
  <c r="BZ279" i="2" s="1"/>
  <c r="X279" i="2"/>
  <c r="BV279" i="2" s="1"/>
  <c r="V279" i="2"/>
  <c r="O279" i="2"/>
  <c r="CC278" i="2"/>
  <c r="CA278" i="2"/>
  <c r="BY278" i="2"/>
  <c r="BW278" i="2"/>
  <c r="BU278" i="2"/>
  <c r="BS278" i="2"/>
  <c r="BQ278" i="2"/>
  <c r="BP278" i="2"/>
  <c r="BO278" i="2"/>
  <c r="AB278" i="2"/>
  <c r="Z278" i="2"/>
  <c r="BZ278" i="2" s="1"/>
  <c r="X278" i="2"/>
  <c r="V278" i="2"/>
  <c r="BR278" i="2" s="1"/>
  <c r="CC277" i="2"/>
  <c r="CA277" i="2"/>
  <c r="BY277" i="2"/>
  <c r="BW277" i="2"/>
  <c r="BU277" i="2"/>
  <c r="BS277" i="2"/>
  <c r="BQ277" i="2"/>
  <c r="BO277" i="2"/>
  <c r="AB277" i="2"/>
  <c r="CD277" i="2" s="1"/>
  <c r="Z277" i="2"/>
  <c r="BX277" i="2" s="1"/>
  <c r="X277" i="2"/>
  <c r="BV277" i="2" s="1"/>
  <c r="V277" i="2"/>
  <c r="O277" i="2"/>
  <c r="CC276" i="2"/>
  <c r="CA276" i="2"/>
  <c r="BY276" i="2"/>
  <c r="BW276" i="2"/>
  <c r="BU276" i="2"/>
  <c r="BS276" i="2"/>
  <c r="BQ276" i="2"/>
  <c r="BO276" i="2"/>
  <c r="AB276" i="2"/>
  <c r="CD276" i="2" s="1"/>
  <c r="Z276" i="2"/>
  <c r="BZ276" i="2" s="1"/>
  <c r="X276" i="2"/>
  <c r="BV276" i="2" s="1"/>
  <c r="V276" i="2"/>
  <c r="CC275" i="2"/>
  <c r="CA275" i="2"/>
  <c r="BY275" i="2"/>
  <c r="BW275" i="2"/>
  <c r="BU275" i="2"/>
  <c r="BS275" i="2"/>
  <c r="BQ275" i="2"/>
  <c r="BO275" i="2"/>
  <c r="AB275" i="2"/>
  <c r="Z275" i="2"/>
  <c r="BZ275" i="2" s="1"/>
  <c r="X275" i="2"/>
  <c r="BV275" i="2" s="1"/>
  <c r="V275" i="2"/>
  <c r="CC274" i="2"/>
  <c r="CA274" i="2"/>
  <c r="BY274" i="2"/>
  <c r="BW274" i="2"/>
  <c r="BU274" i="2"/>
  <c r="BS274" i="2"/>
  <c r="BQ274" i="2"/>
  <c r="BO274" i="2"/>
  <c r="AB274" i="2"/>
  <c r="CD274" i="2" s="1"/>
  <c r="Z274" i="2"/>
  <c r="BX274" i="2" s="1"/>
  <c r="X274" i="2"/>
  <c r="BT274" i="2" s="1"/>
  <c r="V274" i="2"/>
  <c r="CC273" i="2"/>
  <c r="CA273" i="2"/>
  <c r="BY273" i="2"/>
  <c r="BW273" i="2"/>
  <c r="BU273" i="2"/>
  <c r="BS273" i="2"/>
  <c r="BQ273" i="2"/>
  <c r="BO273" i="2"/>
  <c r="AB273" i="2"/>
  <c r="Z273" i="2"/>
  <c r="BZ273" i="2" s="1"/>
  <c r="X273" i="2"/>
  <c r="BV273" i="2" s="1"/>
  <c r="V273" i="2"/>
  <c r="CC272" i="2"/>
  <c r="CA272" i="2"/>
  <c r="BY272" i="2"/>
  <c r="BW272" i="2"/>
  <c r="BU272" i="2"/>
  <c r="BS272" i="2"/>
  <c r="BQ272" i="2"/>
  <c r="BO272" i="2"/>
  <c r="AB272" i="2"/>
  <c r="Z272" i="2"/>
  <c r="BZ272" i="2" s="1"/>
  <c r="X272" i="2"/>
  <c r="V272" i="2"/>
  <c r="CC271" i="2"/>
  <c r="CA271" i="2"/>
  <c r="BY271" i="2"/>
  <c r="BW271" i="2"/>
  <c r="BU271" i="2"/>
  <c r="BS271" i="2"/>
  <c r="BQ271" i="2"/>
  <c r="BO271" i="2"/>
  <c r="AB271" i="2"/>
  <c r="CD271" i="2" s="1"/>
  <c r="Z271" i="2"/>
  <c r="BX271" i="2" s="1"/>
  <c r="X271" i="2"/>
  <c r="V271" i="2"/>
  <c r="AB267" i="2"/>
  <c r="AA267" i="2"/>
  <c r="Y267" i="2"/>
  <c r="W267" i="2"/>
  <c r="U267" i="2"/>
  <c r="AA266" i="2"/>
  <c r="Y266" i="2"/>
  <c r="W266" i="2"/>
  <c r="U266" i="2"/>
  <c r="CC265" i="2"/>
  <c r="CA265" i="2"/>
  <c r="BY265" i="2"/>
  <c r="BW265" i="2"/>
  <c r="BU265" i="2"/>
  <c r="BS265" i="2"/>
  <c r="BQ265" i="2"/>
  <c r="BO265" i="2"/>
  <c r="AB265" i="2"/>
  <c r="AB266" i="2" s="1"/>
  <c r="Z265" i="2"/>
  <c r="X265" i="2"/>
  <c r="V265" i="2"/>
  <c r="AA263" i="2"/>
  <c r="Y263" i="2"/>
  <c r="W263" i="2"/>
  <c r="U263" i="2"/>
  <c r="AA262" i="2"/>
  <c r="Y262" i="2"/>
  <c r="W262" i="2"/>
  <c r="U262" i="2"/>
  <c r="CC261" i="2"/>
  <c r="CA261" i="2"/>
  <c r="BY261" i="2"/>
  <c r="BW261" i="2"/>
  <c r="BV261" i="2"/>
  <c r="BU261" i="2"/>
  <c r="BS261" i="2"/>
  <c r="BQ261" i="2"/>
  <c r="BO261" i="2"/>
  <c r="AB261" i="2"/>
  <c r="CB261" i="2" s="1"/>
  <c r="Z261" i="2"/>
  <c r="BZ261" i="2" s="1"/>
  <c r="X261" i="2"/>
  <c r="BT261" i="2" s="1"/>
  <c r="V261" i="2"/>
  <c r="O261" i="2"/>
  <c r="CC260" i="2"/>
  <c r="CA260" i="2"/>
  <c r="BY260" i="2"/>
  <c r="BW260" i="2"/>
  <c r="BU260" i="2"/>
  <c r="BS260" i="2"/>
  <c r="BQ260" i="2"/>
  <c r="BO260" i="2"/>
  <c r="AB260" i="2"/>
  <c r="CD260" i="2" s="1"/>
  <c r="Z260" i="2"/>
  <c r="BX260" i="2" s="1"/>
  <c r="X260" i="2"/>
  <c r="BV260" i="2" s="1"/>
  <c r="V260" i="2"/>
  <c r="O260" i="2"/>
  <c r="CC259" i="2"/>
  <c r="CA259" i="2"/>
  <c r="BY259" i="2"/>
  <c r="BW259" i="2"/>
  <c r="BU259" i="2"/>
  <c r="BS259" i="2"/>
  <c r="BR259" i="2"/>
  <c r="BQ259" i="2"/>
  <c r="BP259" i="2"/>
  <c r="BO259" i="2"/>
  <c r="AB259" i="2"/>
  <c r="Z259" i="2"/>
  <c r="BX259" i="2" s="1"/>
  <c r="X259" i="2"/>
  <c r="V259" i="2"/>
  <c r="AA257" i="2"/>
  <c r="Y257" i="2"/>
  <c r="W257" i="2"/>
  <c r="U257" i="2"/>
  <c r="AA256" i="2"/>
  <c r="Y256" i="2"/>
  <c r="W256" i="2"/>
  <c r="U256" i="2"/>
  <c r="CC255" i="2"/>
  <c r="CA255" i="2"/>
  <c r="BY255" i="2"/>
  <c r="BW255" i="2"/>
  <c r="BU255" i="2"/>
  <c r="BS255" i="2"/>
  <c r="BQ255" i="2"/>
  <c r="BO255" i="2"/>
  <c r="AB255" i="2"/>
  <c r="Z255" i="2"/>
  <c r="BZ255" i="2" s="1"/>
  <c r="X255" i="2"/>
  <c r="V255" i="2"/>
  <c r="O255" i="2"/>
  <c r="CC254" i="2"/>
  <c r="CA254" i="2"/>
  <c r="BY254" i="2"/>
  <c r="BW254" i="2"/>
  <c r="BU254" i="2"/>
  <c r="BS254" i="2"/>
  <c r="BQ254" i="2"/>
  <c r="BO254" i="2"/>
  <c r="AB254" i="2"/>
  <c r="Z254" i="2"/>
  <c r="X254" i="2"/>
  <c r="V254" i="2"/>
  <c r="O254" i="2"/>
  <c r="AA252" i="2"/>
  <c r="Y252" i="2"/>
  <c r="W252" i="2"/>
  <c r="U252" i="2"/>
  <c r="AA251" i="2"/>
  <c r="Y251" i="2"/>
  <c r="W251" i="2"/>
  <c r="U251" i="2"/>
  <c r="CC250" i="2"/>
  <c r="CA250" i="2"/>
  <c r="BY250" i="2"/>
  <c r="BX250" i="2"/>
  <c r="BW250" i="2"/>
  <c r="BU250" i="2"/>
  <c r="BS250" i="2"/>
  <c r="BQ250" i="2"/>
  <c r="BO250" i="2"/>
  <c r="AB250" i="2"/>
  <c r="CD250" i="2" s="1"/>
  <c r="Z250" i="2"/>
  <c r="BZ250" i="2" s="1"/>
  <c r="X250" i="2"/>
  <c r="BV250" i="2" s="1"/>
  <c r="V250" i="2"/>
  <c r="O250" i="2"/>
  <c r="CC249" i="2"/>
  <c r="CA249" i="2"/>
  <c r="BY249" i="2"/>
  <c r="BW249" i="2"/>
  <c r="BU249" i="2"/>
  <c r="BS249" i="2"/>
  <c r="BQ249" i="2"/>
  <c r="BO249" i="2"/>
  <c r="AB249" i="2"/>
  <c r="CD249" i="2" s="1"/>
  <c r="Z249" i="2"/>
  <c r="X249" i="2"/>
  <c r="BV249" i="2" s="1"/>
  <c r="V249" i="2"/>
  <c r="BP249" i="2" s="1"/>
  <c r="O249" i="2"/>
  <c r="CC248" i="2"/>
  <c r="CA248" i="2"/>
  <c r="BY248" i="2"/>
  <c r="BW248" i="2"/>
  <c r="BU248" i="2"/>
  <c r="BS248" i="2"/>
  <c r="BQ248" i="2"/>
  <c r="BO248" i="2"/>
  <c r="AB248" i="2"/>
  <c r="Z248" i="2"/>
  <c r="BX248" i="2" s="1"/>
  <c r="X248" i="2"/>
  <c r="V248" i="2"/>
  <c r="O248" i="2"/>
  <c r="AA244" i="2"/>
  <c r="Y244" i="2"/>
  <c r="W244" i="2"/>
  <c r="U244" i="2"/>
  <c r="AA243" i="2"/>
  <c r="Y243" i="2"/>
  <c r="W243" i="2"/>
  <c r="U243" i="2"/>
  <c r="CC242" i="2"/>
  <c r="CA242" i="2"/>
  <c r="BY242" i="2"/>
  <c r="BW242" i="2"/>
  <c r="BU242" i="2"/>
  <c r="BS242" i="2"/>
  <c r="BQ242" i="2"/>
  <c r="BO242" i="2"/>
  <c r="AB242" i="2"/>
  <c r="CD242" i="2" s="1"/>
  <c r="Z242" i="2"/>
  <c r="X242" i="2"/>
  <c r="BV242" i="2" s="1"/>
  <c r="V242" i="2"/>
  <c r="BR242" i="2" s="1"/>
  <c r="O242" i="2"/>
  <c r="CC241" i="2"/>
  <c r="CA241" i="2"/>
  <c r="BY241" i="2"/>
  <c r="BW241" i="2"/>
  <c r="BU241" i="2"/>
  <c r="BS241" i="2"/>
  <c r="BQ241" i="2"/>
  <c r="BO241" i="2"/>
  <c r="AB241" i="2"/>
  <c r="CD241" i="2" s="1"/>
  <c r="Z241" i="2"/>
  <c r="Z244" i="2" s="1"/>
  <c r="X241" i="2"/>
  <c r="BV241" i="2" s="1"/>
  <c r="V241" i="2"/>
  <c r="O241" i="2"/>
  <c r="AA239" i="2"/>
  <c r="Y239" i="2"/>
  <c r="W239" i="2"/>
  <c r="U239" i="2"/>
  <c r="AA238" i="2"/>
  <c r="Y238" i="2"/>
  <c r="W238" i="2"/>
  <c r="U238" i="2"/>
  <c r="CC237" i="2"/>
  <c r="CA237" i="2"/>
  <c r="BY237" i="2"/>
  <c r="BW237" i="2"/>
  <c r="BU237" i="2"/>
  <c r="BS237" i="2"/>
  <c r="BQ237" i="2"/>
  <c r="BO237" i="2"/>
  <c r="AB237" i="2"/>
  <c r="AB239" i="2" s="1"/>
  <c r="Z237" i="2"/>
  <c r="BX237" i="2" s="1"/>
  <c r="X237" i="2"/>
  <c r="X239" i="2" s="1"/>
  <c r="V237" i="2"/>
  <c r="V239" i="2" s="1"/>
  <c r="O237" i="2"/>
  <c r="AA234" i="2"/>
  <c r="Y234" i="2"/>
  <c r="W234" i="2"/>
  <c r="U234" i="2"/>
  <c r="AA233" i="2"/>
  <c r="Y233" i="2"/>
  <c r="W233" i="2"/>
  <c r="U233" i="2"/>
  <c r="CC232" i="2"/>
  <c r="CA232" i="2"/>
  <c r="BY232" i="2"/>
  <c r="BW232" i="2"/>
  <c r="BU232" i="2"/>
  <c r="BS232" i="2"/>
  <c r="BQ232" i="2"/>
  <c r="BO232" i="2"/>
  <c r="AB232" i="2"/>
  <c r="Z232" i="2"/>
  <c r="BZ232" i="2" s="1"/>
  <c r="X232" i="2"/>
  <c r="BV232" i="2" s="1"/>
  <c r="V232" i="2"/>
  <c r="O232" i="2"/>
  <c r="CC231" i="2"/>
  <c r="CA231" i="2"/>
  <c r="BY231" i="2"/>
  <c r="BW231" i="2"/>
  <c r="BU231" i="2"/>
  <c r="BS231" i="2"/>
  <c r="BQ231" i="2"/>
  <c r="BO231" i="2"/>
  <c r="AB231" i="2"/>
  <c r="CD231" i="2" s="1"/>
  <c r="Z231" i="2"/>
  <c r="BZ231" i="2" s="1"/>
  <c r="X231" i="2"/>
  <c r="BV231" i="2" s="1"/>
  <c r="V231" i="2"/>
  <c r="BR231" i="2" s="1"/>
  <c r="O231" i="2"/>
  <c r="CC230" i="2"/>
  <c r="CA230" i="2"/>
  <c r="BY230" i="2"/>
  <c r="BW230" i="2"/>
  <c r="BU230" i="2"/>
  <c r="BS230" i="2"/>
  <c r="BQ230" i="2"/>
  <c r="BO230" i="2"/>
  <c r="AB230" i="2"/>
  <c r="CD230" i="2" s="1"/>
  <c r="Z230" i="2"/>
  <c r="X230" i="2"/>
  <c r="BV230" i="2" s="1"/>
  <c r="V230" i="2"/>
  <c r="BR230" i="2" s="1"/>
  <c r="O230" i="2"/>
  <c r="CC229" i="2"/>
  <c r="CA229" i="2"/>
  <c r="BY229" i="2"/>
  <c r="BW229" i="2"/>
  <c r="BU229" i="2"/>
  <c r="BS229" i="2"/>
  <c r="BQ229" i="2"/>
  <c r="BO229" i="2"/>
  <c r="AB229" i="2"/>
  <c r="CD229" i="2" s="1"/>
  <c r="Z229" i="2"/>
  <c r="BX229" i="2" s="1"/>
  <c r="X229" i="2"/>
  <c r="BV229" i="2" s="1"/>
  <c r="V229" i="2"/>
  <c r="BP229" i="2" s="1"/>
  <c r="O229" i="2"/>
  <c r="CC228" i="2"/>
  <c r="CA228" i="2"/>
  <c r="BY228" i="2"/>
  <c r="BW228" i="2"/>
  <c r="BU228" i="2"/>
  <c r="BS228" i="2"/>
  <c r="BR228" i="2"/>
  <c r="BQ228" i="2"/>
  <c r="BP228" i="2"/>
  <c r="BO228" i="2"/>
  <c r="AB228" i="2"/>
  <c r="Z228" i="2"/>
  <c r="BZ228" i="2" s="1"/>
  <c r="X228" i="2"/>
  <c r="V228" i="2"/>
  <c r="O228" i="2"/>
  <c r="AA226" i="2"/>
  <c r="Y226" i="2"/>
  <c r="W226" i="2"/>
  <c r="U226" i="2"/>
  <c r="AA225" i="2"/>
  <c r="Y225" i="2"/>
  <c r="W225" i="2"/>
  <c r="U225" i="2"/>
  <c r="CC224" i="2"/>
  <c r="CA224" i="2"/>
  <c r="BY224" i="2"/>
  <c r="BW224" i="2"/>
  <c r="BU224" i="2"/>
  <c r="BS224" i="2"/>
  <c r="BQ224" i="2"/>
  <c r="BO224" i="2"/>
  <c r="AB224" i="2"/>
  <c r="Z224" i="2"/>
  <c r="BZ224" i="2" s="1"/>
  <c r="X224" i="2"/>
  <c r="BV224" i="2" s="1"/>
  <c r="V224" i="2"/>
  <c r="BR224" i="2" s="1"/>
  <c r="O224" i="2"/>
  <c r="CC223" i="2"/>
  <c r="CA223" i="2"/>
  <c r="BY223" i="2"/>
  <c r="BW223" i="2"/>
  <c r="BU223" i="2"/>
  <c r="BS223" i="2"/>
  <c r="BQ223" i="2"/>
  <c r="BO223" i="2"/>
  <c r="AB223" i="2"/>
  <c r="Z223" i="2"/>
  <c r="BZ223" i="2" s="1"/>
  <c r="X223" i="2"/>
  <c r="V223" i="2"/>
  <c r="BP223" i="2" s="1"/>
  <c r="O223" i="2"/>
  <c r="CC222" i="2"/>
  <c r="CA222" i="2"/>
  <c r="BY222" i="2"/>
  <c r="BW222" i="2"/>
  <c r="BU222" i="2"/>
  <c r="BS222" i="2"/>
  <c r="BQ222" i="2"/>
  <c r="BO222" i="2"/>
  <c r="AB222" i="2"/>
  <c r="CD222" i="2" s="1"/>
  <c r="Z222" i="2"/>
  <c r="X222" i="2"/>
  <c r="BT222" i="2" s="1"/>
  <c r="V222" i="2"/>
  <c r="V226" i="2" s="1"/>
  <c r="O222" i="2"/>
  <c r="AA220" i="2"/>
  <c r="Y220" i="2"/>
  <c r="W220" i="2"/>
  <c r="U220" i="2"/>
  <c r="AA219" i="2"/>
  <c r="Y219" i="2"/>
  <c r="W219" i="2"/>
  <c r="U219" i="2"/>
  <c r="CC218" i="2"/>
  <c r="CA218" i="2"/>
  <c r="BY218" i="2"/>
  <c r="BW218" i="2"/>
  <c r="BU218" i="2"/>
  <c r="BS218" i="2"/>
  <c r="BQ218" i="2"/>
  <c r="BO218" i="2"/>
  <c r="AB218" i="2"/>
  <c r="Z218" i="2"/>
  <c r="BX218" i="2" s="1"/>
  <c r="X218" i="2"/>
  <c r="BV218" i="2" s="1"/>
  <c r="V218" i="2"/>
  <c r="BP218" i="2" s="1"/>
  <c r="O218" i="2"/>
  <c r="CC217" i="2"/>
  <c r="CA217" i="2"/>
  <c r="BY217" i="2"/>
  <c r="BW217" i="2"/>
  <c r="BU217" i="2"/>
  <c r="BS217" i="2"/>
  <c r="BQ217" i="2"/>
  <c r="BO217" i="2"/>
  <c r="AB217" i="2"/>
  <c r="Z217" i="2"/>
  <c r="BZ217" i="2" s="1"/>
  <c r="X217" i="2"/>
  <c r="BT217" i="2" s="1"/>
  <c r="V217" i="2"/>
  <c r="BR217" i="2" s="1"/>
  <c r="O217" i="2"/>
  <c r="CC216" i="2"/>
  <c r="CA216" i="2"/>
  <c r="BY216" i="2"/>
  <c r="BW216" i="2"/>
  <c r="BU216" i="2"/>
  <c r="BS216" i="2"/>
  <c r="BQ216" i="2"/>
  <c r="BO216" i="2"/>
  <c r="AB216" i="2"/>
  <c r="CD216" i="2" s="1"/>
  <c r="Z216" i="2"/>
  <c r="X216" i="2"/>
  <c r="V216" i="2"/>
  <c r="O216" i="2"/>
  <c r="AA213" i="2"/>
  <c r="Y213" i="2"/>
  <c r="W213" i="2"/>
  <c r="U213" i="2"/>
  <c r="AA212" i="2"/>
  <c r="Y212" i="2"/>
  <c r="W212" i="2"/>
  <c r="U212" i="2"/>
  <c r="CC211" i="2"/>
  <c r="CA211" i="2"/>
  <c r="BY211" i="2"/>
  <c r="BW211" i="2"/>
  <c r="BU211" i="2"/>
  <c r="BS211" i="2"/>
  <c r="BQ211" i="2"/>
  <c r="BO211" i="2"/>
  <c r="AB211" i="2"/>
  <c r="Z211" i="2"/>
  <c r="X211" i="2"/>
  <c r="X212" i="2" s="1"/>
  <c r="V211" i="2"/>
  <c r="O211" i="2"/>
  <c r="AA208" i="2"/>
  <c r="Y208" i="2"/>
  <c r="W208" i="2"/>
  <c r="U208" i="2"/>
  <c r="AA207" i="2"/>
  <c r="Y207" i="2"/>
  <c r="W207" i="2"/>
  <c r="U207" i="2"/>
  <c r="CC206" i="2"/>
  <c r="CA206" i="2"/>
  <c r="BY206" i="2"/>
  <c r="BW206" i="2"/>
  <c r="BU206" i="2"/>
  <c r="BS206" i="2"/>
  <c r="BQ206" i="2"/>
  <c r="BO206" i="2"/>
  <c r="AB206" i="2"/>
  <c r="CB206" i="2" s="1"/>
  <c r="Z206" i="2"/>
  <c r="X206" i="2"/>
  <c r="X208" i="2" s="1"/>
  <c r="V206" i="2"/>
  <c r="O206" i="2"/>
  <c r="AA204" i="2"/>
  <c r="Y204" i="2"/>
  <c r="W204" i="2"/>
  <c r="U204" i="2"/>
  <c r="AA203" i="2"/>
  <c r="Y203" i="2"/>
  <c r="W203" i="2"/>
  <c r="U203" i="2"/>
  <c r="CD202" i="2"/>
  <c r="CC202" i="2"/>
  <c r="CA202" i="2"/>
  <c r="BY202" i="2"/>
  <c r="BW202" i="2"/>
  <c r="BU202" i="2"/>
  <c r="BS202" i="2"/>
  <c r="BQ202" i="2"/>
  <c r="BO202" i="2"/>
  <c r="AB202" i="2"/>
  <c r="AB204" i="2" s="1"/>
  <c r="Z202" i="2"/>
  <c r="Z204" i="2" s="1"/>
  <c r="X202" i="2"/>
  <c r="BV202" i="2" s="1"/>
  <c r="V202" i="2"/>
  <c r="O202" i="2"/>
  <c r="AA199" i="2"/>
  <c r="Y199" i="2"/>
  <c r="W199" i="2"/>
  <c r="U199" i="2"/>
  <c r="AA198" i="2"/>
  <c r="Y198" i="2"/>
  <c r="W198" i="2"/>
  <c r="U198" i="2"/>
  <c r="CD197" i="2"/>
  <c r="CC197" i="2"/>
  <c r="CA197" i="2"/>
  <c r="BY197" i="2"/>
  <c r="BW197" i="2"/>
  <c r="BU197" i="2"/>
  <c r="BS197" i="2"/>
  <c r="BQ197" i="2"/>
  <c r="BO197" i="2"/>
  <c r="AB197" i="2"/>
  <c r="CB197" i="2" s="1"/>
  <c r="Z197" i="2"/>
  <c r="BZ197" i="2" s="1"/>
  <c r="X197" i="2"/>
  <c r="V197" i="2"/>
  <c r="O197" i="2"/>
  <c r="CC196" i="2"/>
  <c r="CA196" i="2"/>
  <c r="BZ196" i="2"/>
  <c r="BY196" i="2"/>
  <c r="BX196" i="2"/>
  <c r="BW196" i="2"/>
  <c r="BU196" i="2"/>
  <c r="BS196" i="2"/>
  <c r="BQ196" i="2"/>
  <c r="BO196" i="2"/>
  <c r="AB196" i="2"/>
  <c r="Z196" i="2"/>
  <c r="X196" i="2"/>
  <c r="BT196" i="2" s="1"/>
  <c r="V196" i="2"/>
  <c r="O196" i="2"/>
  <c r="AA194" i="2"/>
  <c r="Y194" i="2"/>
  <c r="W194" i="2"/>
  <c r="U194" i="2"/>
  <c r="AA193" i="2"/>
  <c r="Y193" i="2"/>
  <c r="W193" i="2"/>
  <c r="U193" i="2"/>
  <c r="CC192" i="2"/>
  <c r="CA192" i="2"/>
  <c r="BY192" i="2"/>
  <c r="BW192" i="2"/>
  <c r="BU192" i="2"/>
  <c r="BS192" i="2"/>
  <c r="BQ192" i="2"/>
  <c r="BO192" i="2"/>
  <c r="AB192" i="2"/>
  <c r="Z192" i="2"/>
  <c r="X192" i="2"/>
  <c r="V192" i="2"/>
  <c r="O192" i="2"/>
  <c r="AA189" i="2"/>
  <c r="Y189" i="2"/>
  <c r="W189" i="2"/>
  <c r="U189" i="2"/>
  <c r="AA188" i="2"/>
  <c r="Y188" i="2"/>
  <c r="W188" i="2"/>
  <c r="V188" i="2"/>
  <c r="U188" i="2"/>
  <c r="CC187" i="2"/>
  <c r="CA187" i="2"/>
  <c r="BZ187" i="2"/>
  <c r="BY187" i="2"/>
  <c r="BX187" i="2"/>
  <c r="BW187" i="2"/>
  <c r="BU187" i="2"/>
  <c r="BS187" i="2"/>
  <c r="BR187" i="2"/>
  <c r="BQ187" i="2"/>
  <c r="BP187" i="2"/>
  <c r="BO187" i="2"/>
  <c r="AB187" i="2"/>
  <c r="Z187" i="2"/>
  <c r="Z189" i="2" s="1"/>
  <c r="X187" i="2"/>
  <c r="X189" i="2" s="1"/>
  <c r="V187" i="2"/>
  <c r="V189" i="2" s="1"/>
  <c r="O187" i="2"/>
  <c r="AA185" i="2"/>
  <c r="Y185" i="2"/>
  <c r="W185" i="2"/>
  <c r="U185" i="2"/>
  <c r="AA184" i="2"/>
  <c r="Y184" i="2"/>
  <c r="W184" i="2"/>
  <c r="U184" i="2"/>
  <c r="CC183" i="2"/>
  <c r="CA183" i="2"/>
  <c r="BY183" i="2"/>
  <c r="BW183" i="2"/>
  <c r="BU183" i="2"/>
  <c r="BS183" i="2"/>
  <c r="BQ183" i="2"/>
  <c r="BO183" i="2"/>
  <c r="AB183" i="2"/>
  <c r="CD183" i="2" s="1"/>
  <c r="Z183" i="2"/>
  <c r="X183" i="2"/>
  <c r="BT183" i="2" s="1"/>
  <c r="V183" i="2"/>
  <c r="BR183" i="2" s="1"/>
  <c r="O183" i="2"/>
  <c r="CD182" i="2"/>
  <c r="CC182" i="2"/>
  <c r="CB182" i="2"/>
  <c r="CA182" i="2"/>
  <c r="BY182" i="2"/>
  <c r="BW182" i="2"/>
  <c r="BU182" i="2"/>
  <c r="BS182" i="2"/>
  <c r="BQ182" i="2"/>
  <c r="BO182" i="2"/>
  <c r="AB182" i="2"/>
  <c r="Z182" i="2"/>
  <c r="BX182" i="2" s="1"/>
  <c r="X182" i="2"/>
  <c r="V182" i="2"/>
  <c r="V185" i="2" s="1"/>
  <c r="O182" i="2"/>
  <c r="AA179" i="2"/>
  <c r="Y179" i="2"/>
  <c r="W179" i="2"/>
  <c r="U179" i="2"/>
  <c r="AA178" i="2"/>
  <c r="Y178" i="2"/>
  <c r="W178" i="2"/>
  <c r="U178" i="2"/>
  <c r="CD177" i="2"/>
  <c r="CC177" i="2"/>
  <c r="CB177" i="2"/>
  <c r="CA177" i="2"/>
  <c r="BY177" i="2"/>
  <c r="BW177" i="2"/>
  <c r="BV177" i="2"/>
  <c r="BU177" i="2"/>
  <c r="BS177" i="2"/>
  <c r="BQ177" i="2"/>
  <c r="BO177" i="2"/>
  <c r="AB177" i="2"/>
  <c r="Z177" i="2"/>
  <c r="BZ177" i="2" s="1"/>
  <c r="X177" i="2"/>
  <c r="BT177" i="2" s="1"/>
  <c r="V177" i="2"/>
  <c r="O177" i="2"/>
  <c r="CC176" i="2"/>
  <c r="CA176" i="2"/>
  <c r="BY176" i="2"/>
  <c r="BW176" i="2"/>
  <c r="BU176" i="2"/>
  <c r="BS176" i="2"/>
  <c r="BQ176" i="2"/>
  <c r="BO176" i="2"/>
  <c r="AB176" i="2"/>
  <c r="CD176" i="2" s="1"/>
  <c r="Z176" i="2"/>
  <c r="BX176" i="2" s="1"/>
  <c r="X176" i="2"/>
  <c r="BV176" i="2" s="1"/>
  <c r="V176" i="2"/>
  <c r="BR176" i="2" s="1"/>
  <c r="O176" i="2"/>
  <c r="CC175" i="2"/>
  <c r="CA175" i="2"/>
  <c r="BY175" i="2"/>
  <c r="BW175" i="2"/>
  <c r="BU175" i="2"/>
  <c r="BS175" i="2"/>
  <c r="BQ175" i="2"/>
  <c r="BO175" i="2"/>
  <c r="AB175" i="2"/>
  <c r="CB175" i="2" s="1"/>
  <c r="Z175" i="2"/>
  <c r="X175" i="2"/>
  <c r="V175" i="2"/>
  <c r="O175" i="2"/>
  <c r="CC174" i="2"/>
  <c r="CA174" i="2"/>
  <c r="BY174" i="2"/>
  <c r="BW174" i="2"/>
  <c r="BU174" i="2"/>
  <c r="BS174" i="2"/>
  <c r="BQ174" i="2"/>
  <c r="BO174" i="2"/>
  <c r="AB174" i="2"/>
  <c r="Z174" i="2"/>
  <c r="BX174" i="2" s="1"/>
  <c r="X174" i="2"/>
  <c r="BV174" i="2" s="1"/>
  <c r="V174" i="2"/>
  <c r="O174" i="2"/>
  <c r="CC173" i="2"/>
  <c r="CA173" i="2"/>
  <c r="BY173" i="2"/>
  <c r="BW173" i="2"/>
  <c r="BU173" i="2"/>
  <c r="BS173" i="2"/>
  <c r="BQ173" i="2"/>
  <c r="BO173" i="2"/>
  <c r="AB173" i="2"/>
  <c r="Z173" i="2"/>
  <c r="BZ173" i="2" s="1"/>
  <c r="X173" i="2"/>
  <c r="V173" i="2"/>
  <c r="O173" i="2"/>
  <c r="CC172" i="2"/>
  <c r="CA172" i="2"/>
  <c r="BY172" i="2"/>
  <c r="BW172" i="2"/>
  <c r="BU172" i="2"/>
  <c r="BS172" i="2"/>
  <c r="BR172" i="2"/>
  <c r="BQ172" i="2"/>
  <c r="BP172" i="2"/>
  <c r="BO172" i="2"/>
  <c r="AB172" i="2"/>
  <c r="Z172" i="2"/>
  <c r="BZ172" i="2" s="1"/>
  <c r="X172" i="2"/>
  <c r="BV172" i="2" s="1"/>
  <c r="V172" i="2"/>
  <c r="O172" i="2"/>
  <c r="AA169" i="2"/>
  <c r="Y169" i="2"/>
  <c r="W169" i="2"/>
  <c r="U169" i="2"/>
  <c r="AA168" i="2"/>
  <c r="Y168" i="2"/>
  <c r="W168" i="2"/>
  <c r="U168" i="2"/>
  <c r="CC167" i="2"/>
  <c r="CA167" i="2"/>
  <c r="BY167" i="2"/>
  <c r="BW167" i="2"/>
  <c r="BU167" i="2"/>
  <c r="BS167" i="2"/>
  <c r="BQ167" i="2"/>
  <c r="BO167" i="2"/>
  <c r="AB167" i="2"/>
  <c r="CD167" i="2" s="1"/>
  <c r="Z167" i="2"/>
  <c r="X167" i="2"/>
  <c r="BV167" i="2" s="1"/>
  <c r="V167" i="2"/>
  <c r="O167" i="2"/>
  <c r="CC166" i="2"/>
  <c r="CA166" i="2"/>
  <c r="BZ166" i="2"/>
  <c r="BY166" i="2"/>
  <c r="BX166" i="2"/>
  <c r="BW166" i="2"/>
  <c r="BU166" i="2"/>
  <c r="BS166" i="2"/>
  <c r="BQ166" i="2"/>
  <c r="BO166" i="2"/>
  <c r="AB166" i="2"/>
  <c r="CD166" i="2" s="1"/>
  <c r="Z166" i="2"/>
  <c r="X166" i="2"/>
  <c r="BV166" i="2" s="1"/>
  <c r="V166" i="2"/>
  <c r="BR166" i="2" s="1"/>
  <c r="O166" i="2"/>
  <c r="CC165" i="2"/>
  <c r="CA165" i="2"/>
  <c r="BY165" i="2"/>
  <c r="BW165" i="2"/>
  <c r="BU165" i="2"/>
  <c r="BS165" i="2"/>
  <c r="BQ165" i="2"/>
  <c r="BO165" i="2"/>
  <c r="AB165" i="2"/>
  <c r="Z165" i="2"/>
  <c r="X165" i="2"/>
  <c r="V165" i="2"/>
  <c r="O165" i="2"/>
  <c r="AA162" i="2"/>
  <c r="Y162" i="2"/>
  <c r="W162" i="2"/>
  <c r="U162" i="2"/>
  <c r="AA161" i="2"/>
  <c r="Y161" i="2"/>
  <c r="W161" i="2"/>
  <c r="U161" i="2"/>
  <c r="CC160" i="2"/>
  <c r="CA160" i="2"/>
  <c r="BY160" i="2"/>
  <c r="BW160" i="2"/>
  <c r="BU160" i="2"/>
  <c r="BS160" i="2"/>
  <c r="BQ160" i="2"/>
  <c r="BO160" i="2"/>
  <c r="AB160" i="2"/>
  <c r="Z160" i="2"/>
  <c r="Z161" i="2" s="1"/>
  <c r="X160" i="2"/>
  <c r="X162" i="2" s="1"/>
  <c r="V160" i="2"/>
  <c r="AB158" i="2"/>
  <c r="AA158" i="2"/>
  <c r="Y158" i="2"/>
  <c r="W158" i="2"/>
  <c r="U158" i="2"/>
  <c r="AA157" i="2"/>
  <c r="Y157" i="2"/>
  <c r="W157" i="2"/>
  <c r="U157" i="2"/>
  <c r="CC156" i="2"/>
  <c r="CA156" i="2"/>
  <c r="BY156" i="2"/>
  <c r="BW156" i="2"/>
  <c r="BU156" i="2"/>
  <c r="BS156" i="2"/>
  <c r="BQ156" i="2"/>
  <c r="BO156" i="2"/>
  <c r="AB156" i="2"/>
  <c r="AB157" i="2" s="1"/>
  <c r="Z156" i="2"/>
  <c r="BX156" i="2" s="1"/>
  <c r="X156" i="2"/>
  <c r="BT156" i="2" s="1"/>
  <c r="V156" i="2"/>
  <c r="O156" i="2"/>
  <c r="AA154" i="2"/>
  <c r="Y154" i="2"/>
  <c r="W154" i="2"/>
  <c r="U154" i="2"/>
  <c r="AA153" i="2"/>
  <c r="Y153" i="2"/>
  <c r="W153" i="2"/>
  <c r="U153" i="2"/>
  <c r="CC152" i="2"/>
  <c r="CA152" i="2"/>
  <c r="BY152" i="2"/>
  <c r="BW152" i="2"/>
  <c r="BU152" i="2"/>
  <c r="BS152" i="2"/>
  <c r="BQ152" i="2"/>
  <c r="BO152" i="2"/>
  <c r="AB152" i="2"/>
  <c r="AB153" i="2" s="1"/>
  <c r="Z152" i="2"/>
  <c r="BZ152" i="2" s="1"/>
  <c r="X152" i="2"/>
  <c r="V152" i="2"/>
  <c r="O152" i="2"/>
  <c r="AA149" i="2"/>
  <c r="Y149" i="2"/>
  <c r="W149" i="2"/>
  <c r="U149" i="2"/>
  <c r="AA148" i="2"/>
  <c r="Y148" i="2"/>
  <c r="W148" i="2"/>
  <c r="U148" i="2"/>
  <c r="CC147" i="2"/>
  <c r="CA147" i="2"/>
  <c r="BY147" i="2"/>
  <c r="BW147" i="2"/>
  <c r="BU147" i="2"/>
  <c r="BS147" i="2"/>
  <c r="BQ147" i="2"/>
  <c r="BO147" i="2"/>
  <c r="AB147" i="2"/>
  <c r="CB147" i="2" s="1"/>
  <c r="Z147" i="2"/>
  <c r="X147" i="2"/>
  <c r="V147" i="2"/>
  <c r="O147" i="2"/>
  <c r="CC146" i="2"/>
  <c r="CA146" i="2"/>
  <c r="BY146" i="2"/>
  <c r="BW146" i="2"/>
  <c r="BU146" i="2"/>
  <c r="BS146" i="2"/>
  <c r="BQ146" i="2"/>
  <c r="BO146" i="2"/>
  <c r="AB146" i="2"/>
  <c r="Z146" i="2"/>
  <c r="X146" i="2"/>
  <c r="V146" i="2"/>
  <c r="O146" i="2"/>
  <c r="AA143" i="2"/>
  <c r="Y143" i="2"/>
  <c r="X143" i="2"/>
  <c r="W143" i="2"/>
  <c r="U143" i="2"/>
  <c r="AA142" i="2"/>
  <c r="Y142" i="2"/>
  <c r="W142" i="2"/>
  <c r="U142" i="2"/>
  <c r="CC141" i="2"/>
  <c r="CA141" i="2"/>
  <c r="BY141" i="2"/>
  <c r="BW141" i="2"/>
  <c r="BU141" i="2"/>
  <c r="BS141" i="2"/>
  <c r="BQ141" i="2"/>
  <c r="BO141" i="2"/>
  <c r="AB141" i="2"/>
  <c r="AB142" i="2" s="1"/>
  <c r="Z141" i="2"/>
  <c r="X141" i="2"/>
  <c r="V141" i="2"/>
  <c r="O141" i="2"/>
  <c r="AA139" i="2"/>
  <c r="Y139" i="2"/>
  <c r="W139" i="2"/>
  <c r="U139" i="2"/>
  <c r="AA138" i="2"/>
  <c r="Y138" i="2"/>
  <c r="W138" i="2"/>
  <c r="U138" i="2"/>
  <c r="CC137" i="2"/>
  <c r="CA137" i="2"/>
  <c r="BZ137" i="2"/>
  <c r="BY137" i="2"/>
  <c r="BX137" i="2"/>
  <c r="BW137" i="2"/>
  <c r="BU137" i="2"/>
  <c r="BS137" i="2"/>
  <c r="BQ137" i="2"/>
  <c r="BO137" i="2"/>
  <c r="AB137" i="2"/>
  <c r="CD137" i="2" s="1"/>
  <c r="Z137" i="2"/>
  <c r="X137" i="2"/>
  <c r="BV137" i="2" s="1"/>
  <c r="V137" i="2"/>
  <c r="BR137" i="2" s="1"/>
  <c r="O137" i="2"/>
  <c r="CC136" i="2"/>
  <c r="CA136" i="2"/>
  <c r="BY136" i="2"/>
  <c r="BW136" i="2"/>
  <c r="BU136" i="2"/>
  <c r="BS136" i="2"/>
  <c r="BQ136" i="2"/>
  <c r="BO136" i="2"/>
  <c r="AB136" i="2"/>
  <c r="Z136" i="2"/>
  <c r="Z139" i="2" s="1"/>
  <c r="X136" i="2"/>
  <c r="V136" i="2"/>
  <c r="BR136" i="2" s="1"/>
  <c r="O136" i="2"/>
  <c r="AA134" i="2"/>
  <c r="Y134" i="2"/>
  <c r="W134" i="2"/>
  <c r="U134" i="2"/>
  <c r="AA133" i="2"/>
  <c r="Y133" i="2"/>
  <c r="W133" i="2"/>
  <c r="U133" i="2"/>
  <c r="CC132" i="2"/>
  <c r="CA132" i="2"/>
  <c r="BY132" i="2"/>
  <c r="BW132" i="2"/>
  <c r="BU132" i="2"/>
  <c r="BS132" i="2"/>
  <c r="BQ132" i="2"/>
  <c r="BO132" i="2"/>
  <c r="AB132" i="2"/>
  <c r="Z132" i="2"/>
  <c r="BZ132" i="2" s="1"/>
  <c r="X132" i="2"/>
  <c r="V132" i="2"/>
  <c r="O132" i="2"/>
  <c r="CC131" i="2"/>
  <c r="CA131" i="2"/>
  <c r="BY131" i="2"/>
  <c r="BW131" i="2"/>
  <c r="BU131" i="2"/>
  <c r="BS131" i="2"/>
  <c r="BQ131" i="2"/>
  <c r="BO131" i="2"/>
  <c r="AB131" i="2"/>
  <c r="CD131" i="2" s="1"/>
  <c r="Z131" i="2"/>
  <c r="BX131" i="2" s="1"/>
  <c r="X131" i="2"/>
  <c r="V131" i="2"/>
  <c r="O131" i="2"/>
  <c r="CD130" i="2"/>
  <c r="CC130" i="2"/>
  <c r="CA130" i="2"/>
  <c r="BY130" i="2"/>
  <c r="BW130" i="2"/>
  <c r="BU130" i="2"/>
  <c r="BS130" i="2"/>
  <c r="BQ130" i="2"/>
  <c r="BO130" i="2"/>
  <c r="AB130" i="2"/>
  <c r="Z130" i="2"/>
  <c r="X130" i="2"/>
  <c r="V130" i="2"/>
  <c r="O130" i="2"/>
  <c r="AA128" i="2"/>
  <c r="Y128" i="2"/>
  <c r="W128" i="2"/>
  <c r="U128" i="2"/>
  <c r="AA127" i="2"/>
  <c r="Y127" i="2"/>
  <c r="W127" i="2"/>
  <c r="U127" i="2"/>
  <c r="CC126" i="2"/>
  <c r="CA126" i="2"/>
  <c r="BY126" i="2"/>
  <c r="BW126" i="2"/>
  <c r="BU126" i="2"/>
  <c r="BS126" i="2"/>
  <c r="BQ126" i="2"/>
  <c r="BO126" i="2"/>
  <c r="AB126" i="2"/>
  <c r="CD126" i="2" s="1"/>
  <c r="Z126" i="2"/>
  <c r="Z128" i="2" s="1"/>
  <c r="X126" i="2"/>
  <c r="X128" i="2" s="1"/>
  <c r="V126" i="2"/>
  <c r="V128" i="2" s="1"/>
  <c r="O126" i="2"/>
  <c r="AA123" i="2"/>
  <c r="Y123" i="2"/>
  <c r="W123" i="2"/>
  <c r="U123" i="2"/>
  <c r="AA122" i="2"/>
  <c r="Y122" i="2"/>
  <c r="W122" i="2"/>
  <c r="U122" i="2"/>
  <c r="CC121" i="2"/>
  <c r="CA121" i="2"/>
  <c r="BY121" i="2"/>
  <c r="BW121" i="2"/>
  <c r="BU121" i="2"/>
  <c r="BS121" i="2"/>
  <c r="BQ121" i="2"/>
  <c r="BO121" i="2"/>
  <c r="AB121" i="2"/>
  <c r="CD121" i="2" s="1"/>
  <c r="Z121" i="2"/>
  <c r="BZ121" i="2" s="1"/>
  <c r="X121" i="2"/>
  <c r="BV121" i="2" s="1"/>
  <c r="V121" i="2"/>
  <c r="BP121" i="2" s="1"/>
  <c r="O121" i="2"/>
  <c r="CC120" i="2"/>
  <c r="CA120" i="2"/>
  <c r="BY120" i="2"/>
  <c r="BW120" i="2"/>
  <c r="BU120" i="2"/>
  <c r="BS120" i="2"/>
  <c r="BQ120" i="2"/>
  <c r="BO120" i="2"/>
  <c r="AB120" i="2"/>
  <c r="CD120" i="2" s="1"/>
  <c r="Z120" i="2"/>
  <c r="BZ120" i="2" s="1"/>
  <c r="X120" i="2"/>
  <c r="BT120" i="2" s="1"/>
  <c r="V120" i="2"/>
  <c r="O120" i="2"/>
  <c r="CC119" i="2"/>
  <c r="CA119" i="2"/>
  <c r="BY119" i="2"/>
  <c r="BW119" i="2"/>
  <c r="BU119" i="2"/>
  <c r="BS119" i="2"/>
  <c r="BQ119" i="2"/>
  <c r="BO119" i="2"/>
  <c r="AB119" i="2"/>
  <c r="CD119" i="2" s="1"/>
  <c r="Z119" i="2"/>
  <c r="BX119" i="2" s="1"/>
  <c r="X119" i="2"/>
  <c r="V119" i="2"/>
  <c r="O119" i="2"/>
  <c r="CC118" i="2"/>
  <c r="CA118" i="2"/>
  <c r="BY118" i="2"/>
  <c r="BW118" i="2"/>
  <c r="BU118" i="2"/>
  <c r="BS118" i="2"/>
  <c r="BR118" i="2"/>
  <c r="BQ118" i="2"/>
  <c r="BP118" i="2"/>
  <c r="BO118" i="2"/>
  <c r="AB118" i="2"/>
  <c r="Z118" i="2"/>
  <c r="X118" i="2"/>
  <c r="BV118" i="2" s="1"/>
  <c r="V118" i="2"/>
  <c r="O118" i="2"/>
  <c r="AA116" i="2"/>
  <c r="Z116" i="2"/>
  <c r="Y116" i="2"/>
  <c r="W116" i="2"/>
  <c r="U116" i="2"/>
  <c r="AA115" i="2"/>
  <c r="Z115" i="2"/>
  <c r="Y115" i="2"/>
  <c r="W115" i="2"/>
  <c r="U115" i="2"/>
  <c r="CC114" i="2"/>
  <c r="CA114" i="2"/>
  <c r="BZ114" i="2"/>
  <c r="BY114" i="2"/>
  <c r="BX114" i="2"/>
  <c r="BW114" i="2"/>
  <c r="BU114" i="2"/>
  <c r="BS114" i="2"/>
  <c r="BR114" i="2"/>
  <c r="BQ114" i="2"/>
  <c r="BP114" i="2"/>
  <c r="BO114" i="2"/>
  <c r="AB114" i="2"/>
  <c r="CD114" i="2" s="1"/>
  <c r="Z114" i="2"/>
  <c r="X114" i="2"/>
  <c r="X116" i="2" s="1"/>
  <c r="V114" i="2"/>
  <c r="V116" i="2" s="1"/>
  <c r="O114" i="2"/>
  <c r="AA110" i="2"/>
  <c r="Y110" i="2"/>
  <c r="W110" i="2"/>
  <c r="U110" i="2"/>
  <c r="AA109" i="2"/>
  <c r="Y109" i="2"/>
  <c r="W109" i="2"/>
  <c r="U109" i="2"/>
  <c r="CC108" i="2"/>
  <c r="CA108" i="2"/>
  <c r="BY108" i="2"/>
  <c r="BW108" i="2"/>
  <c r="BU108" i="2"/>
  <c r="BS108" i="2"/>
  <c r="BQ108" i="2"/>
  <c r="BO108" i="2"/>
  <c r="AB108" i="2"/>
  <c r="CD108" i="2" s="1"/>
  <c r="Z108" i="2"/>
  <c r="BZ108" i="2" s="1"/>
  <c r="X108" i="2"/>
  <c r="BV108" i="2" s="1"/>
  <c r="V108" i="2"/>
  <c r="BP108" i="2" s="1"/>
  <c r="O108" i="2"/>
  <c r="CC107" i="2"/>
  <c r="CA107" i="2"/>
  <c r="BY107" i="2"/>
  <c r="BW107" i="2"/>
  <c r="BU107" i="2"/>
  <c r="BS107" i="2"/>
  <c r="BQ107" i="2"/>
  <c r="BO107" i="2"/>
  <c r="AB107" i="2"/>
  <c r="CB107" i="2" s="1"/>
  <c r="Z107" i="2"/>
  <c r="BZ107" i="2" s="1"/>
  <c r="X107" i="2"/>
  <c r="BT107" i="2" s="1"/>
  <c r="V107" i="2"/>
  <c r="O107" i="2"/>
  <c r="CC106" i="2"/>
  <c r="CA106" i="2"/>
  <c r="BY106" i="2"/>
  <c r="BW106" i="2"/>
  <c r="BU106" i="2"/>
  <c r="BS106" i="2"/>
  <c r="BQ106" i="2"/>
  <c r="BO106" i="2"/>
  <c r="AB106" i="2"/>
  <c r="CB106" i="2" s="1"/>
  <c r="Z106" i="2"/>
  <c r="BX106" i="2" s="1"/>
  <c r="X106" i="2"/>
  <c r="V106" i="2"/>
  <c r="BR106" i="2" s="1"/>
  <c r="O106" i="2"/>
  <c r="CC105" i="2"/>
  <c r="CA105" i="2"/>
  <c r="BY105" i="2"/>
  <c r="BW105" i="2"/>
  <c r="BU105" i="2"/>
  <c r="BS105" i="2"/>
  <c r="BR105" i="2"/>
  <c r="BQ105" i="2"/>
  <c r="BP105" i="2"/>
  <c r="BO105" i="2"/>
  <c r="AB105" i="2"/>
  <c r="CD105" i="2" s="1"/>
  <c r="Z105" i="2"/>
  <c r="X105" i="2"/>
  <c r="BV105" i="2" s="1"/>
  <c r="V105" i="2"/>
  <c r="O105" i="2"/>
  <c r="AA102" i="2"/>
  <c r="Y102" i="2"/>
  <c r="W102" i="2"/>
  <c r="U102" i="2"/>
  <c r="AA101" i="2"/>
  <c r="Y101" i="2"/>
  <c r="W101" i="2"/>
  <c r="U101" i="2"/>
  <c r="CC100" i="2"/>
  <c r="CA100" i="2"/>
  <c r="BY100" i="2"/>
  <c r="BW100" i="2"/>
  <c r="BU100" i="2"/>
  <c r="BS100" i="2"/>
  <c r="BQ100" i="2"/>
  <c r="BO100" i="2"/>
  <c r="AB100" i="2"/>
  <c r="CD100" i="2" s="1"/>
  <c r="Z100" i="2"/>
  <c r="BZ100" i="2" s="1"/>
  <c r="X100" i="2"/>
  <c r="BV100" i="2" s="1"/>
  <c r="V100" i="2"/>
  <c r="AC100" i="2" s="1"/>
  <c r="O100" i="2"/>
  <c r="CC99" i="2"/>
  <c r="CA99" i="2"/>
  <c r="BZ99" i="2"/>
  <c r="BY99" i="2"/>
  <c r="BX99" i="2"/>
  <c r="BW99" i="2"/>
  <c r="BU99" i="2"/>
  <c r="BS99" i="2"/>
  <c r="BQ99" i="2"/>
  <c r="BO99" i="2"/>
  <c r="AB99" i="2"/>
  <c r="AB102" i="2" s="1"/>
  <c r="Z99" i="2"/>
  <c r="X99" i="2"/>
  <c r="X102" i="2" s="1"/>
  <c r="V99" i="2"/>
  <c r="O99" i="2"/>
  <c r="AA97" i="2"/>
  <c r="Y97" i="2"/>
  <c r="W97" i="2"/>
  <c r="U97" i="2"/>
  <c r="AA96" i="2"/>
  <c r="Y96" i="2"/>
  <c r="W96" i="2"/>
  <c r="U96" i="2"/>
  <c r="CC95" i="2"/>
  <c r="CA95" i="2"/>
  <c r="BY95" i="2"/>
  <c r="BW95" i="2"/>
  <c r="BU95" i="2"/>
  <c r="BS95" i="2"/>
  <c r="BQ95" i="2"/>
  <c r="BO95" i="2"/>
  <c r="AB95" i="2"/>
  <c r="CD95" i="2" s="1"/>
  <c r="Z95" i="2"/>
  <c r="BZ95" i="2" s="1"/>
  <c r="X95" i="2"/>
  <c r="BT95" i="2" s="1"/>
  <c r="V95" i="2"/>
  <c r="O95" i="2"/>
  <c r="CC94" i="2"/>
  <c r="CA94" i="2"/>
  <c r="BY94" i="2"/>
  <c r="BW94" i="2"/>
  <c r="BU94" i="2"/>
  <c r="BS94" i="2"/>
  <c r="BQ94" i="2"/>
  <c r="BO94" i="2"/>
  <c r="AB94" i="2"/>
  <c r="AB96" i="2" s="1"/>
  <c r="Z94" i="2"/>
  <c r="X94" i="2"/>
  <c r="V94" i="2"/>
  <c r="AA92" i="2"/>
  <c r="Y92" i="2"/>
  <c r="W92" i="2"/>
  <c r="U92" i="2"/>
  <c r="AA91" i="2"/>
  <c r="Y91" i="2"/>
  <c r="W91" i="2"/>
  <c r="U91" i="2"/>
  <c r="CC90" i="2"/>
  <c r="CA90" i="2"/>
  <c r="BY90" i="2"/>
  <c r="BW90" i="2"/>
  <c r="BU90" i="2"/>
  <c r="BS90" i="2"/>
  <c r="BR90" i="2"/>
  <c r="BQ90" i="2"/>
  <c r="BP90" i="2"/>
  <c r="BO90" i="2"/>
  <c r="AB90" i="2"/>
  <c r="AB91" i="2" s="1"/>
  <c r="Z90" i="2"/>
  <c r="X90" i="2"/>
  <c r="X91" i="2" s="1"/>
  <c r="V90" i="2"/>
  <c r="V92" i="2" s="1"/>
  <c r="O90" i="2"/>
  <c r="AA88" i="2"/>
  <c r="Y88" i="2"/>
  <c r="W88" i="2"/>
  <c r="U88" i="2"/>
  <c r="AA87" i="2"/>
  <c r="Y87" i="2"/>
  <c r="W87" i="2"/>
  <c r="U87" i="2"/>
  <c r="CC86" i="2"/>
  <c r="CA86" i="2"/>
  <c r="BY86" i="2"/>
  <c r="BW86" i="2"/>
  <c r="BU86" i="2"/>
  <c r="BS86" i="2"/>
  <c r="BQ86" i="2"/>
  <c r="BO86" i="2"/>
  <c r="AB86" i="2"/>
  <c r="Z86" i="2"/>
  <c r="Z88" i="2" s="1"/>
  <c r="X86" i="2"/>
  <c r="V86" i="2"/>
  <c r="V88" i="2" s="1"/>
  <c r="O86" i="2"/>
  <c r="AA83" i="2"/>
  <c r="Y83" i="2"/>
  <c r="W83" i="2"/>
  <c r="U83" i="2"/>
  <c r="AA82" i="2"/>
  <c r="Y82" i="2"/>
  <c r="W82" i="2"/>
  <c r="U82" i="2"/>
  <c r="CC81" i="2"/>
  <c r="CA81" i="2"/>
  <c r="BY81" i="2"/>
  <c r="BW81" i="2"/>
  <c r="BU81" i="2"/>
  <c r="BS81" i="2"/>
  <c r="BQ81" i="2"/>
  <c r="BO81" i="2"/>
  <c r="AB81" i="2"/>
  <c r="CD81" i="2" s="1"/>
  <c r="Z81" i="2"/>
  <c r="BZ81" i="2" s="1"/>
  <c r="X81" i="2"/>
  <c r="BV81" i="2" s="1"/>
  <c r="V81" i="2"/>
  <c r="AC81" i="2" s="1"/>
  <c r="O81" i="2"/>
  <c r="CC80" i="2"/>
  <c r="CA80" i="2"/>
  <c r="BY80" i="2"/>
  <c r="BW80" i="2"/>
  <c r="BU80" i="2"/>
  <c r="BS80" i="2"/>
  <c r="BQ80" i="2"/>
  <c r="BO80" i="2"/>
  <c r="AB80" i="2"/>
  <c r="CD80" i="2" s="1"/>
  <c r="Z80" i="2"/>
  <c r="BZ80" i="2" s="1"/>
  <c r="X80" i="2"/>
  <c r="BV80" i="2" s="1"/>
  <c r="V80" i="2"/>
  <c r="O80" i="2"/>
  <c r="CC79" i="2"/>
  <c r="CA79" i="2"/>
  <c r="BY79" i="2"/>
  <c r="BW79" i="2"/>
  <c r="BU79" i="2"/>
  <c r="BS79" i="2"/>
  <c r="BQ79" i="2"/>
  <c r="BO79" i="2"/>
  <c r="AB79" i="2"/>
  <c r="CD79" i="2" s="1"/>
  <c r="Z79" i="2"/>
  <c r="BZ79" i="2" s="1"/>
  <c r="X79" i="2"/>
  <c r="V79" i="2"/>
  <c r="CC78" i="2"/>
  <c r="CA78" i="2"/>
  <c r="BY78" i="2"/>
  <c r="BW78" i="2"/>
  <c r="BU78" i="2"/>
  <c r="BS78" i="2"/>
  <c r="BQ78" i="2"/>
  <c r="BO78" i="2"/>
  <c r="AB78" i="2"/>
  <c r="CD78" i="2" s="1"/>
  <c r="Z78" i="2"/>
  <c r="X78" i="2"/>
  <c r="V78" i="2"/>
  <c r="CC77" i="2"/>
  <c r="CA77" i="2"/>
  <c r="BY77" i="2"/>
  <c r="BW77" i="2"/>
  <c r="BU77" i="2"/>
  <c r="BS77" i="2"/>
  <c r="BQ77" i="2"/>
  <c r="BO77" i="2"/>
  <c r="AB77" i="2"/>
  <c r="CD77" i="2" s="1"/>
  <c r="Z77" i="2"/>
  <c r="X77" i="2"/>
  <c r="X82" i="2" s="1"/>
  <c r="V77" i="2"/>
  <c r="BR77" i="2" s="1"/>
  <c r="AA75" i="2"/>
  <c r="Y75" i="2"/>
  <c r="W75" i="2"/>
  <c r="U75" i="2"/>
  <c r="AA74" i="2"/>
  <c r="Y74" i="2"/>
  <c r="W74" i="2"/>
  <c r="U74" i="2"/>
  <c r="CC73" i="2"/>
  <c r="CA73" i="2"/>
  <c r="BY73" i="2"/>
  <c r="BW73" i="2"/>
  <c r="BU73" i="2"/>
  <c r="BS73" i="2"/>
  <c r="BQ73" i="2"/>
  <c r="BO73" i="2"/>
  <c r="AB73" i="2"/>
  <c r="AB75" i="2" s="1"/>
  <c r="Z73" i="2"/>
  <c r="Z75" i="2" s="1"/>
  <c r="X73" i="2"/>
  <c r="X75" i="2" s="1"/>
  <c r="V73" i="2"/>
  <c r="V75" i="2" s="1"/>
  <c r="O73" i="2"/>
  <c r="AA70" i="2"/>
  <c r="Y70" i="2"/>
  <c r="W70" i="2"/>
  <c r="U70" i="2"/>
  <c r="AA69" i="2"/>
  <c r="Y69" i="2"/>
  <c r="W69" i="2"/>
  <c r="U69" i="2"/>
  <c r="CC68" i="2"/>
  <c r="CA68" i="2"/>
  <c r="BY68" i="2"/>
  <c r="BW68" i="2"/>
  <c r="BU68" i="2"/>
  <c r="BS68" i="2"/>
  <c r="BQ68" i="2"/>
  <c r="BO68" i="2"/>
  <c r="AB68" i="2"/>
  <c r="CD68" i="2" s="1"/>
  <c r="Z68" i="2"/>
  <c r="BZ68" i="2" s="1"/>
  <c r="X68" i="2"/>
  <c r="BV68" i="2" s="1"/>
  <c r="V68" i="2"/>
  <c r="BP68" i="2" s="1"/>
  <c r="O68" i="2"/>
  <c r="CC67" i="2"/>
  <c r="CA67" i="2"/>
  <c r="BY67" i="2"/>
  <c r="BW67" i="2"/>
  <c r="BU67" i="2"/>
  <c r="BS67" i="2"/>
  <c r="BQ67" i="2"/>
  <c r="BO67" i="2"/>
  <c r="AB67" i="2"/>
  <c r="AB70" i="2" s="1"/>
  <c r="Z67" i="2"/>
  <c r="X67" i="2"/>
  <c r="V67" i="2"/>
  <c r="O67" i="2"/>
  <c r="AA65" i="2"/>
  <c r="Y65" i="2"/>
  <c r="W65" i="2"/>
  <c r="U65" i="2"/>
  <c r="AA64" i="2"/>
  <c r="Y64" i="2"/>
  <c r="W64" i="2"/>
  <c r="U64" i="2"/>
  <c r="CC63" i="2"/>
  <c r="CA63" i="2"/>
  <c r="BY63" i="2"/>
  <c r="BW63" i="2"/>
  <c r="BU63" i="2"/>
  <c r="BS63" i="2"/>
  <c r="BQ63" i="2"/>
  <c r="BO63" i="2"/>
  <c r="AB63" i="2"/>
  <c r="CD63" i="2" s="1"/>
  <c r="Z63" i="2"/>
  <c r="X63" i="2"/>
  <c r="V63" i="2"/>
  <c r="O63" i="2"/>
  <c r="CC62" i="2"/>
  <c r="CA62" i="2"/>
  <c r="BY62" i="2"/>
  <c r="BW62" i="2"/>
  <c r="BU62" i="2"/>
  <c r="BS62" i="2"/>
  <c r="BQ62" i="2"/>
  <c r="BO62" i="2"/>
  <c r="AB62" i="2"/>
  <c r="Z62" i="2"/>
  <c r="X62" i="2"/>
  <c r="V62" i="2"/>
  <c r="BR62" i="2" s="1"/>
  <c r="O62" i="2"/>
  <c r="CC61" i="2"/>
  <c r="CA61" i="2"/>
  <c r="BY61" i="2"/>
  <c r="BW61" i="2"/>
  <c r="BU61" i="2"/>
  <c r="BS61" i="2"/>
  <c r="BQ61" i="2"/>
  <c r="BO61" i="2"/>
  <c r="AB61" i="2"/>
  <c r="Z61" i="2"/>
  <c r="BZ61" i="2" s="1"/>
  <c r="X61" i="2"/>
  <c r="BV61" i="2" s="1"/>
  <c r="V61" i="2"/>
  <c r="V65" i="2" s="1"/>
  <c r="O61" i="2"/>
  <c r="AA59" i="2"/>
  <c r="Y59" i="2"/>
  <c r="W59" i="2"/>
  <c r="U59" i="2"/>
  <c r="AA58" i="2"/>
  <c r="Y58" i="2"/>
  <c r="W58" i="2"/>
  <c r="U58" i="2"/>
  <c r="CC57" i="2"/>
  <c r="CA57" i="2"/>
  <c r="BY57" i="2"/>
  <c r="BW57" i="2"/>
  <c r="BU57" i="2"/>
  <c r="BS57" i="2"/>
  <c r="BQ57" i="2"/>
  <c r="BO57" i="2"/>
  <c r="AB57" i="2"/>
  <c r="CD57" i="2" s="1"/>
  <c r="Z57" i="2"/>
  <c r="BZ57" i="2" s="1"/>
  <c r="X57" i="2"/>
  <c r="BV57" i="2" s="1"/>
  <c r="V57" i="2"/>
  <c r="BP57" i="2" s="1"/>
  <c r="O57" i="2"/>
  <c r="CC56" i="2"/>
  <c r="CA56" i="2"/>
  <c r="BY56" i="2"/>
  <c r="BW56" i="2"/>
  <c r="BU56" i="2"/>
  <c r="BS56" i="2"/>
  <c r="BQ56" i="2"/>
  <c r="BO56" i="2"/>
  <c r="AB56" i="2"/>
  <c r="Z56" i="2"/>
  <c r="Z59" i="2" s="1"/>
  <c r="X56" i="2"/>
  <c r="V56" i="2"/>
  <c r="O56" i="2"/>
  <c r="AA54" i="2"/>
  <c r="Y54" i="2"/>
  <c r="W54" i="2"/>
  <c r="U54" i="2"/>
  <c r="AA53" i="2"/>
  <c r="Y53" i="2"/>
  <c r="W53" i="2"/>
  <c r="U53" i="2"/>
  <c r="CC52" i="2"/>
  <c r="CA52" i="2"/>
  <c r="BZ52" i="2"/>
  <c r="BY52" i="2"/>
  <c r="BX52" i="2"/>
  <c r="BW52" i="2"/>
  <c r="BU52" i="2"/>
  <c r="BS52" i="2"/>
  <c r="BQ52" i="2"/>
  <c r="BO52" i="2"/>
  <c r="AB52" i="2"/>
  <c r="CD52" i="2" s="1"/>
  <c r="Z52" i="2"/>
  <c r="X52" i="2"/>
  <c r="V52" i="2"/>
  <c r="O52" i="2"/>
  <c r="CC51" i="2"/>
  <c r="CA51" i="2"/>
  <c r="BY51" i="2"/>
  <c r="BW51" i="2"/>
  <c r="BU51" i="2"/>
  <c r="BS51" i="2"/>
  <c r="BQ51" i="2"/>
  <c r="BO51" i="2"/>
  <c r="AB51" i="2"/>
  <c r="Z51" i="2"/>
  <c r="X51" i="2"/>
  <c r="V51" i="2"/>
  <c r="AC51" i="2" s="1"/>
  <c r="O51" i="2"/>
  <c r="CC50" i="2"/>
  <c r="CA50" i="2"/>
  <c r="BY50" i="2"/>
  <c r="BW50" i="2"/>
  <c r="BU50" i="2"/>
  <c r="BS50" i="2"/>
  <c r="BQ50" i="2"/>
  <c r="BO50" i="2"/>
  <c r="AB50" i="2"/>
  <c r="AB54" i="2" s="1"/>
  <c r="Z50" i="2"/>
  <c r="BZ50" i="2" s="1"/>
  <c r="X50" i="2"/>
  <c r="X54" i="2" s="1"/>
  <c r="V50" i="2"/>
  <c r="O50" i="2"/>
  <c r="AA48" i="2"/>
  <c r="Y48" i="2"/>
  <c r="W48" i="2"/>
  <c r="U48" i="2"/>
  <c r="AA47" i="2"/>
  <c r="Y47" i="2"/>
  <c r="W47" i="2"/>
  <c r="U47" i="2"/>
  <c r="CC46" i="2"/>
  <c r="CA46" i="2"/>
  <c r="BY46" i="2"/>
  <c r="BW46" i="2"/>
  <c r="BU46" i="2"/>
  <c r="BS46" i="2"/>
  <c r="BQ46" i="2"/>
  <c r="BO46" i="2"/>
  <c r="AB46" i="2"/>
  <c r="CD46" i="2" s="1"/>
  <c r="Z46" i="2"/>
  <c r="BZ46" i="2" s="1"/>
  <c r="X46" i="2"/>
  <c r="BV46" i="2" s="1"/>
  <c r="V46" i="2"/>
  <c r="BP46" i="2" s="1"/>
  <c r="O46" i="2"/>
  <c r="CD45" i="2"/>
  <c r="CC45" i="2"/>
  <c r="CB45" i="2"/>
  <c r="CA45" i="2"/>
  <c r="BY45" i="2"/>
  <c r="BW45" i="2"/>
  <c r="BV45" i="2"/>
  <c r="BU45" i="2"/>
  <c r="BS45" i="2"/>
  <c r="BQ45" i="2"/>
  <c r="BO45" i="2"/>
  <c r="AB45" i="2"/>
  <c r="Z45" i="2"/>
  <c r="BZ45" i="2" s="1"/>
  <c r="X45" i="2"/>
  <c r="BT45" i="2" s="1"/>
  <c r="V45" i="2"/>
  <c r="O45" i="2"/>
  <c r="CC44" i="2"/>
  <c r="CA44" i="2"/>
  <c r="BZ44" i="2"/>
  <c r="BY44" i="2"/>
  <c r="BW44" i="2"/>
  <c r="BU44" i="2"/>
  <c r="BS44" i="2"/>
  <c r="BQ44" i="2"/>
  <c r="BP44" i="2"/>
  <c r="BO44" i="2"/>
  <c r="AB44" i="2"/>
  <c r="CD44" i="2" s="1"/>
  <c r="Z44" i="2"/>
  <c r="BX44" i="2" s="1"/>
  <c r="X44" i="2"/>
  <c r="V44" i="2"/>
  <c r="O44" i="2"/>
  <c r="CC43" i="2"/>
  <c r="CA43" i="2"/>
  <c r="BY43" i="2"/>
  <c r="BW43" i="2"/>
  <c r="BU43" i="2"/>
  <c r="BS43" i="2"/>
  <c r="BQ43" i="2"/>
  <c r="BO43" i="2"/>
  <c r="AB43" i="2"/>
  <c r="Z43" i="2"/>
  <c r="Z47" i="2" s="1"/>
  <c r="X43" i="2"/>
  <c r="V43" i="2"/>
  <c r="O43" i="2"/>
  <c r="AA40" i="2"/>
  <c r="Y40" i="2"/>
  <c r="W40" i="2"/>
  <c r="U40" i="2"/>
  <c r="AA39" i="2"/>
  <c r="Y39" i="2"/>
  <c r="W39" i="2"/>
  <c r="U39" i="2"/>
  <c r="CC38" i="2"/>
  <c r="CA38" i="2"/>
  <c r="BY38" i="2"/>
  <c r="BW38" i="2"/>
  <c r="BU38" i="2"/>
  <c r="BS38" i="2"/>
  <c r="BQ38" i="2"/>
  <c r="BO38" i="2"/>
  <c r="AB38" i="2"/>
  <c r="AB40" i="2" s="1"/>
  <c r="Z38" i="2"/>
  <c r="X38" i="2"/>
  <c r="X40" i="2" s="1"/>
  <c r="V38" i="2"/>
  <c r="O38" i="2"/>
  <c r="AA36" i="2"/>
  <c r="Y36" i="2"/>
  <c r="W36" i="2"/>
  <c r="U36" i="2"/>
  <c r="AA35" i="2"/>
  <c r="Y35" i="2"/>
  <c r="W35" i="2"/>
  <c r="U35" i="2"/>
  <c r="CC34" i="2"/>
  <c r="CA34" i="2"/>
  <c r="BY34" i="2"/>
  <c r="BW34" i="2"/>
  <c r="BU34" i="2"/>
  <c r="BS34" i="2"/>
  <c r="BQ34" i="2"/>
  <c r="BO34" i="2"/>
  <c r="AB34" i="2"/>
  <c r="CD34" i="2" s="1"/>
  <c r="Z34" i="2"/>
  <c r="BZ34" i="2" s="1"/>
  <c r="X34" i="2"/>
  <c r="BV34" i="2" s="1"/>
  <c r="V34" i="2"/>
  <c r="O34" i="2"/>
  <c r="CC33" i="2"/>
  <c r="CA33" i="2"/>
  <c r="BY33" i="2"/>
  <c r="BW33" i="2"/>
  <c r="BU33" i="2"/>
  <c r="BS33" i="2"/>
  <c r="BQ33" i="2"/>
  <c r="BO33" i="2"/>
  <c r="AB33" i="2"/>
  <c r="CD33" i="2" s="1"/>
  <c r="Z33" i="2"/>
  <c r="BZ33" i="2" s="1"/>
  <c r="X33" i="2"/>
  <c r="BT33" i="2" s="1"/>
  <c r="V33" i="2"/>
  <c r="O33" i="2"/>
  <c r="CC32" i="2"/>
  <c r="CA32" i="2"/>
  <c r="BY32" i="2"/>
  <c r="BW32" i="2"/>
  <c r="BU32" i="2"/>
  <c r="BS32" i="2"/>
  <c r="BQ32" i="2"/>
  <c r="BO32" i="2"/>
  <c r="AB32" i="2"/>
  <c r="Z32" i="2"/>
  <c r="BX32" i="2" s="1"/>
  <c r="X32" i="2"/>
  <c r="V32" i="2"/>
  <c r="BP32" i="2" s="1"/>
  <c r="O32" i="2"/>
  <c r="AA28" i="2"/>
  <c r="Y28" i="2"/>
  <c r="W28" i="2"/>
  <c r="U28" i="2"/>
  <c r="AA27" i="2"/>
  <c r="Y27" i="2"/>
  <c r="W27" i="2"/>
  <c r="U27" i="2"/>
  <c r="CC26" i="2"/>
  <c r="CA26" i="2"/>
  <c r="BY26" i="2"/>
  <c r="BW26" i="2"/>
  <c r="BU26" i="2"/>
  <c r="BS26" i="2"/>
  <c r="BR26" i="2"/>
  <c r="BQ26" i="2"/>
  <c r="BP26" i="2"/>
  <c r="BO26" i="2"/>
  <c r="AB26" i="2"/>
  <c r="AB27" i="2" s="1"/>
  <c r="Z26" i="2"/>
  <c r="X26" i="2"/>
  <c r="BT26" i="2" s="1"/>
  <c r="V26" i="2"/>
  <c r="V28" i="2" s="1"/>
  <c r="O26" i="2"/>
  <c r="AA24" i="2"/>
  <c r="Y24" i="2"/>
  <c r="W24" i="2"/>
  <c r="U24" i="2"/>
  <c r="AA23" i="2"/>
  <c r="Y23" i="2"/>
  <c r="W23" i="2"/>
  <c r="U23" i="2"/>
  <c r="CC22" i="2"/>
  <c r="CA22" i="2"/>
  <c r="BY22" i="2"/>
  <c r="BW22" i="2"/>
  <c r="BU22" i="2"/>
  <c r="BS22" i="2"/>
  <c r="BQ22" i="2"/>
  <c r="BO22" i="2"/>
  <c r="AB22" i="2"/>
  <c r="Z22" i="2"/>
  <c r="BZ22" i="2" s="1"/>
  <c r="X22" i="2"/>
  <c r="BV22" i="2" s="1"/>
  <c r="V22" i="2"/>
  <c r="BR22" i="2" s="1"/>
  <c r="O22" i="2"/>
  <c r="CC21" i="2"/>
  <c r="CA21" i="2"/>
  <c r="BY21" i="2"/>
  <c r="BW21" i="2"/>
  <c r="BU21" i="2"/>
  <c r="BS21" i="2"/>
  <c r="BQ21" i="2"/>
  <c r="BO21" i="2"/>
  <c r="AB21" i="2"/>
  <c r="AB24" i="2" s="1"/>
  <c r="Z21" i="2"/>
  <c r="X21" i="2"/>
  <c r="X24" i="2" s="1"/>
  <c r="V21" i="2"/>
  <c r="O21" i="2"/>
  <c r="I10" i="2"/>
  <c r="B9" i="2"/>
  <c r="M9" i="2" s="1"/>
  <c r="E7" i="2"/>
  <c r="Q6" i="2"/>
  <c r="O2" i="2"/>
  <c r="BZ165" i="2" l="1"/>
  <c r="BX165" i="2"/>
  <c r="CB174" i="2"/>
  <c r="CD174" i="2"/>
  <c r="CB176" i="2"/>
  <c r="BZ182" i="2"/>
  <c r="Z184" i="2"/>
  <c r="CB216" i="2"/>
  <c r="BZ229" i="2"/>
  <c r="BT231" i="2"/>
  <c r="BR232" i="2"/>
  <c r="BP232" i="2"/>
  <c r="CB237" i="2"/>
  <c r="CD237" i="2"/>
  <c r="BP241" i="2"/>
  <c r="V244" i="2"/>
  <c r="BZ241" i="2"/>
  <c r="BZ260" i="2"/>
  <c r="BR275" i="2"/>
  <c r="BP275" i="2"/>
  <c r="CB277" i="2"/>
  <c r="Z284" i="2"/>
  <c r="Z285" i="2"/>
  <c r="CB300" i="2"/>
  <c r="X301" i="2"/>
  <c r="CB306" i="2"/>
  <c r="AB307" i="2"/>
  <c r="BX318" i="2"/>
  <c r="CB346" i="2"/>
  <c r="BR353" i="2"/>
  <c r="BP353" i="2"/>
  <c r="BR355" i="2"/>
  <c r="BP355" i="2"/>
  <c r="BZ355" i="2"/>
  <c r="X371" i="2"/>
  <c r="X370" i="2"/>
  <c r="CB368" i="2"/>
  <c r="BZ369" i="2"/>
  <c r="BX369" i="2"/>
  <c r="BV384" i="2"/>
  <c r="X386" i="2"/>
  <c r="V24" i="2"/>
  <c r="Z24" i="2"/>
  <c r="X36" i="2"/>
  <c r="AB36" i="2"/>
  <c r="BX34" i="2"/>
  <c r="X48" i="2"/>
  <c r="AB47" i="2"/>
  <c r="BT46" i="2"/>
  <c r="CB46" i="2"/>
  <c r="X87" i="2"/>
  <c r="X88" i="2"/>
  <c r="BT132" i="2"/>
  <c r="BV132" i="2"/>
  <c r="CD132" i="2"/>
  <c r="CB132" i="2"/>
  <c r="BT175" i="2"/>
  <c r="BV175" i="2"/>
  <c r="V194" i="2"/>
  <c r="BR192" i="2"/>
  <c r="BP192" i="2"/>
  <c r="CB211" i="2"/>
  <c r="CD211" i="2"/>
  <c r="BT249" i="2"/>
  <c r="BT250" i="2"/>
  <c r="BR255" i="2"/>
  <c r="BP255" i="2"/>
  <c r="CB273" i="2"/>
  <c r="CD273" i="2"/>
  <c r="V289" i="2"/>
  <c r="V290" i="2"/>
  <c r="BR288" i="2"/>
  <c r="BP288" i="2"/>
  <c r="CB293" i="2"/>
  <c r="BR298" i="2"/>
  <c r="BP298" i="2"/>
  <c r="BT310" i="2"/>
  <c r="X312" i="2"/>
  <c r="CB310" i="2"/>
  <c r="CD310" i="2"/>
  <c r="BZ321" i="2"/>
  <c r="BX321" i="2"/>
  <c r="BT327" i="2"/>
  <c r="BV327" i="2"/>
  <c r="BT333" i="2"/>
  <c r="BZ339" i="2"/>
  <c r="BX339" i="2"/>
  <c r="AB359" i="2"/>
  <c r="BR363" i="2"/>
  <c r="BP363" i="2"/>
  <c r="BT50" i="2"/>
  <c r="BV50" i="2"/>
  <c r="CB50" i="2"/>
  <c r="CD50" i="2"/>
  <c r="BZ63" i="2"/>
  <c r="BX63" i="2"/>
  <c r="V54" i="2"/>
  <c r="X59" i="2"/>
  <c r="AB59" i="2"/>
  <c r="AB65" i="2"/>
  <c r="BT61" i="2"/>
  <c r="CB61" i="2"/>
  <c r="CD61" i="2"/>
  <c r="BT68" i="2"/>
  <c r="CB68" i="2"/>
  <c r="Z97" i="2"/>
  <c r="CB131" i="2"/>
  <c r="AB143" i="2"/>
  <c r="CB156" i="2"/>
  <c r="CD156" i="2"/>
  <c r="Z178" i="2"/>
  <c r="Z188" i="2"/>
  <c r="X244" i="2"/>
  <c r="AB252" i="2"/>
  <c r="CD261" i="2"/>
  <c r="X295" i="2"/>
  <c r="AB295" i="2"/>
  <c r="CB292" i="2"/>
  <c r="AB301" i="2"/>
  <c r="AB308" i="2"/>
  <c r="BZ320" i="2"/>
  <c r="Z330" i="2"/>
  <c r="CB345" i="2"/>
  <c r="BT347" i="2"/>
  <c r="CB352" i="2"/>
  <c r="CD352" i="2"/>
  <c r="CB354" i="2"/>
  <c r="CB369" i="2"/>
  <c r="BT373" i="2"/>
  <c r="AC374" i="2"/>
  <c r="BR21" i="2"/>
  <c r="BT21" i="2"/>
  <c r="BV21" i="2"/>
  <c r="BX21" i="2"/>
  <c r="BZ21" i="2"/>
  <c r="CB21" i="2"/>
  <c r="CD21" i="2"/>
  <c r="AC22" i="2"/>
  <c r="BP22" i="2"/>
  <c r="BT22" i="2"/>
  <c r="BX22" i="2"/>
  <c r="Y391" i="2"/>
  <c r="CB26" i="2"/>
  <c r="CD26" i="2"/>
  <c r="AB28" i="2"/>
  <c r="BZ32" i="2"/>
  <c r="CB32" i="2"/>
  <c r="CD32" i="2"/>
  <c r="BV33" i="2"/>
  <c r="BX33" i="2"/>
  <c r="CB33" i="2"/>
  <c r="V39" i="2"/>
  <c r="BR38" i="2"/>
  <c r="Z39" i="2"/>
  <c r="BZ38" i="2"/>
  <c r="BX38" i="2"/>
  <c r="AC38" i="2"/>
  <c r="AC39" i="2" s="1"/>
  <c r="BP38" i="2"/>
  <c r="V40" i="2"/>
  <c r="Z40" i="2"/>
  <c r="V48" i="2"/>
  <c r="BR43" i="2"/>
  <c r="BP43" i="2"/>
  <c r="X23" i="2"/>
  <c r="Z23" i="2"/>
  <c r="AB23" i="2"/>
  <c r="BT34" i="2"/>
  <c r="CB34" i="2"/>
  <c r="V36" i="2"/>
  <c r="Z36" i="2"/>
  <c r="X39" i="2"/>
  <c r="BV38" i="2"/>
  <c r="BT38" i="2"/>
  <c r="AB39" i="2"/>
  <c r="CD38" i="2"/>
  <c r="CB38" i="2"/>
  <c r="BT43" i="2"/>
  <c r="CD43" i="2"/>
  <c r="AB53" i="2"/>
  <c r="BP51" i="2"/>
  <c r="BR51" i="2"/>
  <c r="CB51" i="2"/>
  <c r="CD51" i="2"/>
  <c r="Z54" i="2"/>
  <c r="BZ56" i="2"/>
  <c r="CB56" i="2"/>
  <c r="CD56" i="2"/>
  <c r="BR57" i="2"/>
  <c r="BT57" i="2"/>
  <c r="BX57" i="2"/>
  <c r="CB57" i="2"/>
  <c r="Z58" i="2"/>
  <c r="AB58" i="2"/>
  <c r="AB64" i="2"/>
  <c r="CB62" i="2"/>
  <c r="CD62" i="2"/>
  <c r="Z70" i="2"/>
  <c r="AB69" i="2"/>
  <c r="AC73" i="2"/>
  <c r="AC74" i="2" s="1"/>
  <c r="BP73" i="2"/>
  <c r="BR73" i="2"/>
  <c r="BT73" i="2"/>
  <c r="BV73" i="2"/>
  <c r="BX73" i="2"/>
  <c r="BZ73" i="2"/>
  <c r="CB73" i="2"/>
  <c r="CD73" i="2"/>
  <c r="V74" i="2"/>
  <c r="X74" i="2"/>
  <c r="Z74" i="2"/>
  <c r="AB74" i="2"/>
  <c r="BP77" i="2"/>
  <c r="BT77" i="2"/>
  <c r="BV77" i="2"/>
  <c r="V83" i="2"/>
  <c r="AC79" i="2"/>
  <c r="BX80" i="2"/>
  <c r="CB80" i="2"/>
  <c r="BP81" i="2"/>
  <c r="BR81" i="2"/>
  <c r="BT81" i="2"/>
  <c r="BX81" i="2"/>
  <c r="CB81" i="2"/>
  <c r="BP86" i="2"/>
  <c r="BR86" i="2"/>
  <c r="BT86" i="2"/>
  <c r="BV86" i="2"/>
  <c r="BX86" i="2"/>
  <c r="BZ86" i="2"/>
  <c r="V87" i="2"/>
  <c r="Z87" i="2"/>
  <c r="BZ94" i="2"/>
  <c r="CB94" i="2"/>
  <c r="CD94" i="2"/>
  <c r="BV95" i="2"/>
  <c r="BX95" i="2"/>
  <c r="CB95" i="2"/>
  <c r="AB97" i="2"/>
  <c r="Z102" i="2"/>
  <c r="BP100" i="2"/>
  <c r="BR100" i="2"/>
  <c r="BT100" i="2"/>
  <c r="BX100" i="2"/>
  <c r="CB100" i="2"/>
  <c r="X101" i="2"/>
  <c r="Z101" i="2"/>
  <c r="AB101" i="2"/>
  <c r="CD106" i="2"/>
  <c r="CD107" i="2"/>
  <c r="BR108" i="2"/>
  <c r="BT108" i="2"/>
  <c r="BX108" i="2"/>
  <c r="V122" i="2"/>
  <c r="AC119" i="2"/>
  <c r="BV120" i="2"/>
  <c r="BX120" i="2"/>
  <c r="BR121" i="2"/>
  <c r="BT121" i="2"/>
  <c r="BX121" i="2"/>
  <c r="V123" i="2"/>
  <c r="BP126" i="2"/>
  <c r="BR126" i="2"/>
  <c r="BT126" i="2"/>
  <c r="BV126" i="2"/>
  <c r="BX126" i="2"/>
  <c r="BZ126" i="2"/>
  <c r="CB126" i="2"/>
  <c r="X127" i="2"/>
  <c r="Z127" i="2"/>
  <c r="AB127" i="2"/>
  <c r="BV130" i="2"/>
  <c r="BT130" i="2"/>
  <c r="X169" i="2"/>
  <c r="X168" i="2"/>
  <c r="AB169" i="2"/>
  <c r="AB168" i="2"/>
  <c r="CB165" i="2"/>
  <c r="BT166" i="2"/>
  <c r="CB166" i="2"/>
  <c r="AC167" i="2"/>
  <c r="BR167" i="2"/>
  <c r="BP167" i="2"/>
  <c r="BZ167" i="2"/>
  <c r="BX167" i="2"/>
  <c r="BT172" i="2"/>
  <c r="CB173" i="2"/>
  <c r="CD173" i="2"/>
  <c r="BR175" i="2"/>
  <c r="BP175" i="2"/>
  <c r="BX175" i="2"/>
  <c r="BZ175" i="2"/>
  <c r="BZ176" i="2"/>
  <c r="BR177" i="2"/>
  <c r="BP177" i="2"/>
  <c r="BX177" i="2"/>
  <c r="AC182" i="2"/>
  <c r="X185" i="2"/>
  <c r="BV182" i="2"/>
  <c r="BT182" i="2"/>
  <c r="AB184" i="2"/>
  <c r="AB185" i="2"/>
  <c r="X184" i="2"/>
  <c r="BT187" i="2"/>
  <c r="BV187" i="2"/>
  <c r="X188" i="2"/>
  <c r="X194" i="2"/>
  <c r="X193" i="2"/>
  <c r="BT192" i="2"/>
  <c r="BV192" i="2"/>
  <c r="BR196" i="2"/>
  <c r="BP196" i="2"/>
  <c r="BX216" i="2"/>
  <c r="Z220" i="2"/>
  <c r="BZ216" i="2"/>
  <c r="CD218" i="2"/>
  <c r="CB218" i="2"/>
  <c r="BZ222" i="2"/>
  <c r="BX222" i="2"/>
  <c r="BT223" i="2"/>
  <c r="BV223" i="2"/>
  <c r="AB226" i="2"/>
  <c r="CD223" i="2"/>
  <c r="CB223" i="2"/>
  <c r="V234" i="2"/>
  <c r="BT229" i="2"/>
  <c r="CB229" i="2"/>
  <c r="BZ230" i="2"/>
  <c r="BX230" i="2"/>
  <c r="BT241" i="2"/>
  <c r="CB241" i="2"/>
  <c r="BZ242" i="2"/>
  <c r="BX242" i="2"/>
  <c r="BR250" i="2"/>
  <c r="BP250" i="2"/>
  <c r="CB44" i="2"/>
  <c r="BX45" i="2"/>
  <c r="BR46" i="2"/>
  <c r="BX46" i="2"/>
  <c r="AC50" i="2"/>
  <c r="BP50" i="2"/>
  <c r="BR50" i="2"/>
  <c r="BX50" i="2"/>
  <c r="CB52" i="2"/>
  <c r="AC61" i="2"/>
  <c r="BP61" i="2"/>
  <c r="BR61" i="2"/>
  <c r="BX61" i="2"/>
  <c r="CB63" i="2"/>
  <c r="CB67" i="2"/>
  <c r="CD67" i="2"/>
  <c r="BR68" i="2"/>
  <c r="BX68" i="2"/>
  <c r="BT99" i="2"/>
  <c r="BV99" i="2"/>
  <c r="CB99" i="2"/>
  <c r="CD99" i="2"/>
  <c r="BT105" i="2"/>
  <c r="BT114" i="2"/>
  <c r="BV114" i="2"/>
  <c r="CB114" i="2"/>
  <c r="X115" i="2"/>
  <c r="AB115" i="2"/>
  <c r="BT118" i="2"/>
  <c r="BR130" i="2"/>
  <c r="BP130" i="2"/>
  <c r="BZ131" i="2"/>
  <c r="BX132" i="2"/>
  <c r="BV136" i="2"/>
  <c r="X139" i="2"/>
  <c r="AB139" i="2"/>
  <c r="AB138" i="2"/>
  <c r="CD136" i="2"/>
  <c r="CB136" i="2"/>
  <c r="BT136" i="2"/>
  <c r="BT137" i="2"/>
  <c r="CB137" i="2"/>
  <c r="V142" i="2"/>
  <c r="BR141" i="2"/>
  <c r="BP141" i="2"/>
  <c r="Z142" i="2"/>
  <c r="BZ141" i="2"/>
  <c r="BX141" i="2"/>
  <c r="V143" i="2"/>
  <c r="Z143" i="2"/>
  <c r="BR146" i="2"/>
  <c r="BP146" i="2"/>
  <c r="BZ146" i="2"/>
  <c r="BX146" i="2"/>
  <c r="CD152" i="2"/>
  <c r="BZ156" i="2"/>
  <c r="Z158" i="2"/>
  <c r="AB161" i="2"/>
  <c r="AB162" i="2"/>
  <c r="CD160" i="2"/>
  <c r="CB160" i="2"/>
  <c r="BZ183" i="2"/>
  <c r="BX183" i="2"/>
  <c r="AC183" i="2"/>
  <c r="BP183" i="2"/>
  <c r="Z208" i="2"/>
  <c r="Z207" i="2"/>
  <c r="BZ206" i="2"/>
  <c r="BX206" i="2"/>
  <c r="CD224" i="2"/>
  <c r="CB224" i="2"/>
  <c r="BT224" i="2"/>
  <c r="BT228" i="2"/>
  <c r="X234" i="2"/>
  <c r="BV228" i="2"/>
  <c r="AB233" i="2"/>
  <c r="CD228" i="2"/>
  <c r="BX231" i="2"/>
  <c r="BT232" i="2"/>
  <c r="X252" i="2"/>
  <c r="BV248" i="2"/>
  <c r="CB248" i="2"/>
  <c r="CD248" i="2"/>
  <c r="BZ249" i="2"/>
  <c r="BX249" i="2"/>
  <c r="BR249" i="2"/>
  <c r="AB251" i="2"/>
  <c r="V252" i="2"/>
  <c r="BP254" i="2"/>
  <c r="V257" i="2"/>
  <c r="Z257" i="2"/>
  <c r="BZ254" i="2"/>
  <c r="BV255" i="2"/>
  <c r="BT255" i="2"/>
  <c r="BT260" i="2"/>
  <c r="CB260" i="2"/>
  <c r="BR261" i="2"/>
  <c r="BP261" i="2"/>
  <c r="BX261" i="2"/>
  <c r="V263" i="2"/>
  <c r="X263" i="2"/>
  <c r="BR273" i="2"/>
  <c r="BP273" i="2"/>
  <c r="CB274" i="2"/>
  <c r="BT275" i="2"/>
  <c r="BR305" i="2"/>
  <c r="BP305" i="2"/>
  <c r="BT361" i="2"/>
  <c r="BV361" i="2"/>
  <c r="CB361" i="2"/>
  <c r="CD361" i="2"/>
  <c r="CB363" i="2"/>
  <c r="CD363" i="2"/>
  <c r="AB364" i="2"/>
  <c r="BX136" i="2"/>
  <c r="BZ136" i="2"/>
  <c r="V139" i="2"/>
  <c r="AC141" i="2"/>
  <c r="AC142" i="2" s="1"/>
  <c r="BT141" i="2"/>
  <c r="BV141" i="2"/>
  <c r="CB141" i="2"/>
  <c r="CD141" i="2"/>
  <c r="X142" i="2"/>
  <c r="X149" i="2"/>
  <c r="BT146" i="2"/>
  <c r="BV146" i="2"/>
  <c r="X148" i="2"/>
  <c r="BZ160" i="2"/>
  <c r="Z162" i="2"/>
  <c r="Z169" i="2"/>
  <c r="BT167" i="2"/>
  <c r="CB167" i="2"/>
  <c r="Z168" i="2"/>
  <c r="BX172" i="2"/>
  <c r="BZ174" i="2"/>
  <c r="BT176" i="2"/>
  <c r="BR182" i="2"/>
  <c r="BV183" i="2"/>
  <c r="CB183" i="2"/>
  <c r="Z185" i="2"/>
  <c r="BT206" i="2"/>
  <c r="BV206" i="2"/>
  <c r="X207" i="2"/>
  <c r="X219" i="2"/>
  <c r="AB219" i="2"/>
  <c r="CB217" i="2"/>
  <c r="CD217" i="2"/>
  <c r="BZ218" i="2"/>
  <c r="CB222" i="2"/>
  <c r="BX224" i="2"/>
  <c r="X226" i="2"/>
  <c r="BX228" i="2"/>
  <c r="BT230" i="2"/>
  <c r="CB230" i="2"/>
  <c r="CB231" i="2"/>
  <c r="BX232" i="2"/>
  <c r="Z233" i="2"/>
  <c r="Z234" i="2"/>
  <c r="BT237" i="2"/>
  <c r="BV237" i="2"/>
  <c r="AB238" i="2"/>
  <c r="BT242" i="2"/>
  <c r="CB242" i="2"/>
  <c r="CB249" i="2"/>
  <c r="AC250" i="2"/>
  <c r="CB250" i="2"/>
  <c r="BV254" i="2"/>
  <c r="X257" i="2"/>
  <c r="CD254" i="2"/>
  <c r="CB254" i="2"/>
  <c r="BT254" i="2"/>
  <c r="BT259" i="2"/>
  <c r="BV259" i="2"/>
  <c r="AB263" i="2"/>
  <c r="CD259" i="2"/>
  <c r="BT272" i="2"/>
  <c r="BV272" i="2"/>
  <c r="CD272" i="2"/>
  <c r="CB272" i="2"/>
  <c r="AC277" i="2"/>
  <c r="BR277" i="2"/>
  <c r="BP277" i="2"/>
  <c r="BZ277" i="2"/>
  <c r="BV278" i="2"/>
  <c r="BT278" i="2"/>
  <c r="CB279" i="2"/>
  <c r="BV283" i="2"/>
  <c r="X284" i="2"/>
  <c r="CD283" i="2"/>
  <c r="AB284" i="2"/>
  <c r="CB283" i="2"/>
  <c r="BT283" i="2"/>
  <c r="X285" i="2"/>
  <c r="BT288" i="2"/>
  <c r="BV288" i="2"/>
  <c r="X290" i="2"/>
  <c r="BZ292" i="2"/>
  <c r="BR293" i="2"/>
  <c r="BP293" i="2"/>
  <c r="BV298" i="2"/>
  <c r="BT298" i="2"/>
  <c r="BZ306" i="2"/>
  <c r="BR310" i="2"/>
  <c r="BP310" i="2"/>
  <c r="Z312" i="2"/>
  <c r="AC316" i="2"/>
  <c r="BP316" i="2"/>
  <c r="CD317" i="2"/>
  <c r="CB317" i="2"/>
  <c r="CB319" i="2"/>
  <c r="BT320" i="2"/>
  <c r="CB320" i="2"/>
  <c r="BT321" i="2"/>
  <c r="CD326" i="2"/>
  <c r="CB326" i="2"/>
  <c r="AB329" i="2"/>
  <c r="BR347" i="2"/>
  <c r="BP347" i="2"/>
  <c r="BX255" i="2"/>
  <c r="AC260" i="2"/>
  <c r="CB265" i="2"/>
  <c r="CD265" i="2"/>
  <c r="BX272" i="2"/>
  <c r="BX275" i="2"/>
  <c r="CB276" i="2"/>
  <c r="BX278" i="2"/>
  <c r="BX283" i="2"/>
  <c r="BZ283" i="2"/>
  <c r="BT292" i="2"/>
  <c r="BV292" i="2"/>
  <c r="BT300" i="2"/>
  <c r="CD305" i="2"/>
  <c r="BT306" i="2"/>
  <c r="X311" i="2"/>
  <c r="BR327" i="2"/>
  <c r="BP327" i="2"/>
  <c r="BX327" i="2"/>
  <c r="BZ327" i="2"/>
  <c r="CD328" i="2"/>
  <c r="CB328" i="2"/>
  <c r="BT328" i="2"/>
  <c r="V335" i="2"/>
  <c r="BR332" i="2"/>
  <c r="BP332" i="2"/>
  <c r="BX332" i="2"/>
  <c r="BZ332" i="2"/>
  <c r="BR333" i="2"/>
  <c r="BP333" i="2"/>
  <c r="BX333" i="2"/>
  <c r="BZ333" i="2"/>
  <c r="BT334" i="2"/>
  <c r="CB334" i="2"/>
  <c r="Z336" i="2"/>
  <c r="BV338" i="2"/>
  <c r="BT338" i="2"/>
  <c r="CB338" i="2"/>
  <c r="AB341" i="2"/>
  <c r="BR339" i="2"/>
  <c r="BP339" i="2"/>
  <c r="BZ345" i="2"/>
  <c r="BR346" i="2"/>
  <c r="BP346" i="2"/>
  <c r="CD348" i="2"/>
  <c r="CB348" i="2"/>
  <c r="Z349" i="2"/>
  <c r="BR352" i="2"/>
  <c r="BP352" i="2"/>
  <c r="Z359" i="2"/>
  <c r="BZ352" i="2"/>
  <c r="BT353" i="2"/>
  <c r="BV353" i="2"/>
  <c r="BT355" i="2"/>
  <c r="CB355" i="2"/>
  <c r="BV356" i="2"/>
  <c r="BT356" i="2"/>
  <c r="AC397" i="2"/>
  <c r="BZ368" i="2"/>
  <c r="BR369" i="2"/>
  <c r="BP369" i="2"/>
  <c r="AC373" i="2"/>
  <c r="AC375" i="2" s="1"/>
  <c r="BP373" i="2"/>
  <c r="BR373" i="2"/>
  <c r="BX373" i="2"/>
  <c r="BZ373" i="2"/>
  <c r="CB374" i="2"/>
  <c r="CD374" i="2"/>
  <c r="Z386" i="2"/>
  <c r="BT316" i="2"/>
  <c r="AC318" i="2"/>
  <c r="BP318" i="2"/>
  <c r="AC320" i="2"/>
  <c r="AC321" i="2"/>
  <c r="BP321" i="2"/>
  <c r="Z329" i="2"/>
  <c r="BZ326" i="2"/>
  <c r="AB336" i="2"/>
  <c r="BT332" i="2"/>
  <c r="AC334" i="2"/>
  <c r="V341" i="2"/>
  <c r="AC338" i="2"/>
  <c r="BP338" i="2"/>
  <c r="BR338" i="2"/>
  <c r="AB340" i="2"/>
  <c r="X350" i="2"/>
  <c r="BT345" i="2"/>
  <c r="BV345" i="2"/>
  <c r="X358" i="2"/>
  <c r="Z358" i="2"/>
  <c r="BX353" i="2"/>
  <c r="BZ353" i="2"/>
  <c r="BT354" i="2"/>
  <c r="AC355" i="2"/>
  <c r="AC356" i="2"/>
  <c r="BP356" i="2"/>
  <c r="BX356" i="2"/>
  <c r="CB357" i="2"/>
  <c r="AC361" i="2"/>
  <c r="AC362" i="2"/>
  <c r="BP362" i="2"/>
  <c r="BX362" i="2"/>
  <c r="BX363" i="2"/>
  <c r="BT368" i="2"/>
  <c r="BV368" i="2"/>
  <c r="X375" i="2"/>
  <c r="AB376" i="2"/>
  <c r="AB375" i="2"/>
  <c r="X382" i="2"/>
  <c r="BT378" i="2"/>
  <c r="AC379" i="2"/>
  <c r="BP379" i="2"/>
  <c r="AB382" i="2"/>
  <c r="V82" i="2"/>
  <c r="BV79" i="2"/>
  <c r="BT79" i="2"/>
  <c r="Z92" i="2"/>
  <c r="BZ90" i="2"/>
  <c r="BX90" i="2"/>
  <c r="CB118" i="2"/>
  <c r="AB123" i="2"/>
  <c r="AB122" i="2"/>
  <c r="V149" i="2"/>
  <c r="BR147" i="2"/>
  <c r="BP147" i="2"/>
  <c r="BV197" i="2"/>
  <c r="BT197" i="2"/>
  <c r="X198" i="2"/>
  <c r="X92" i="2"/>
  <c r="BV90" i="2"/>
  <c r="BT90" i="2"/>
  <c r="BZ118" i="2"/>
  <c r="BX118" i="2"/>
  <c r="AC67" i="2"/>
  <c r="V69" i="2"/>
  <c r="BR67" i="2"/>
  <c r="BP67" i="2"/>
  <c r="BV78" i="2"/>
  <c r="BT78" i="2"/>
  <c r="CD86" i="2"/>
  <c r="AB88" i="2"/>
  <c r="CB86" i="2"/>
  <c r="V109" i="2"/>
  <c r="AC118" i="2"/>
  <c r="CD146" i="2"/>
  <c r="CB146" i="2"/>
  <c r="AB148" i="2"/>
  <c r="BV147" i="2"/>
  <c r="BT147" i="2"/>
  <c r="AB199" i="2"/>
  <c r="CD196" i="2"/>
  <c r="CB196" i="2"/>
  <c r="AB198" i="2"/>
  <c r="X69" i="2"/>
  <c r="BT67" i="2"/>
  <c r="BZ77" i="2"/>
  <c r="BX77" i="2"/>
  <c r="Z83" i="2"/>
  <c r="BZ78" i="2"/>
  <c r="BX78" i="2"/>
  <c r="AC86" i="2"/>
  <c r="AC87" i="2" s="1"/>
  <c r="AC90" i="2"/>
  <c r="AC91" i="2" s="1"/>
  <c r="Z91" i="2"/>
  <c r="BR107" i="2"/>
  <c r="BP107" i="2"/>
  <c r="AC107" i="2"/>
  <c r="AC146" i="2"/>
  <c r="BZ147" i="2"/>
  <c r="Z149" i="2"/>
  <c r="BX147" i="2"/>
  <c r="Z148" i="2"/>
  <c r="AC196" i="2"/>
  <c r="CB77" i="2"/>
  <c r="AB83" i="2"/>
  <c r="V101" i="2"/>
  <c r="BR99" i="2"/>
  <c r="AC99" i="2"/>
  <c r="AC101" i="2" s="1"/>
  <c r="BP99" i="2"/>
  <c r="BZ105" i="2"/>
  <c r="BX105" i="2"/>
  <c r="X109" i="2"/>
  <c r="BV106" i="2"/>
  <c r="BT106" i="2"/>
  <c r="BR160" i="2"/>
  <c r="V162" i="2"/>
  <c r="BP160" i="2"/>
  <c r="AC160" i="2"/>
  <c r="AC161" i="2" s="1"/>
  <c r="V161" i="2"/>
  <c r="V203" i="2"/>
  <c r="AC202" i="2"/>
  <c r="AC203" i="2" s="1"/>
  <c r="R397" i="2"/>
  <c r="V204" i="2"/>
  <c r="BR202" i="2"/>
  <c r="BP202" i="2"/>
  <c r="BR272" i="2"/>
  <c r="BP272" i="2"/>
  <c r="AC272" i="2"/>
  <c r="BR319" i="2"/>
  <c r="BP319" i="2"/>
  <c r="AC319" i="2"/>
  <c r="AC77" i="2"/>
  <c r="AC78" i="2"/>
  <c r="CB105" i="2"/>
  <c r="AB110" i="2"/>
  <c r="Z109" i="2"/>
  <c r="AC147" i="2"/>
  <c r="Z69" i="2"/>
  <c r="Z82" i="2"/>
  <c r="AC105" i="2"/>
  <c r="V220" i="2"/>
  <c r="T397" i="2"/>
  <c r="BR216" i="2"/>
  <c r="V219" i="2"/>
  <c r="BP216" i="2"/>
  <c r="AC216" i="2"/>
  <c r="W388" i="2"/>
  <c r="AC56" i="2"/>
  <c r="V58" i="2"/>
  <c r="BR56" i="2"/>
  <c r="BP56" i="2"/>
  <c r="BP78" i="2"/>
  <c r="BT80" i="2"/>
  <c r="AB87" i="2"/>
  <c r="AC106" i="2"/>
  <c r="AB109" i="2"/>
  <c r="Z123" i="2"/>
  <c r="AB149" i="2"/>
  <c r="BR173" i="2"/>
  <c r="BP173" i="2"/>
  <c r="V179" i="2"/>
  <c r="AC173" i="2"/>
  <c r="B10" i="2"/>
  <c r="X58" i="2"/>
  <c r="BT56" i="2"/>
  <c r="BR63" i="2"/>
  <c r="BP63" i="2"/>
  <c r="V64" i="2"/>
  <c r="AB82" i="2"/>
  <c r="BV173" i="2"/>
  <c r="BT173" i="2"/>
  <c r="X179" i="2"/>
  <c r="V208" i="2"/>
  <c r="BR206" i="2"/>
  <c r="BP206" i="2"/>
  <c r="AC206" i="2"/>
  <c r="AC207" i="2" s="1"/>
  <c r="V207" i="2"/>
  <c r="U387" i="2"/>
  <c r="BV62" i="2"/>
  <c r="X64" i="2"/>
  <c r="BT62" i="2"/>
  <c r="BV63" i="2"/>
  <c r="BT63" i="2"/>
  <c r="BR78" i="2"/>
  <c r="AB92" i="2"/>
  <c r="BP106" i="2"/>
  <c r="BR132" i="2"/>
  <c r="BP132" i="2"/>
  <c r="AC132" i="2"/>
  <c r="AB178" i="2"/>
  <c r="CD172" i="2"/>
  <c r="CB172" i="2"/>
  <c r="AB179" i="2"/>
  <c r="AB289" i="2"/>
  <c r="AB290" i="2"/>
  <c r="CB288" i="2"/>
  <c r="CD288" i="2"/>
  <c r="AC288" i="2"/>
  <c r="AC289" i="2" s="1"/>
  <c r="X122" i="2"/>
  <c r="BV119" i="2"/>
  <c r="BT119" i="2"/>
  <c r="X123" i="2"/>
  <c r="Y389" i="2"/>
  <c r="AA388" i="2"/>
  <c r="BP33" i="2"/>
  <c r="BR33" i="2"/>
  <c r="BZ62" i="2"/>
  <c r="BX62" i="2"/>
  <c r="Z64" i="2"/>
  <c r="BV67" i="2"/>
  <c r="BX79" i="2"/>
  <c r="V96" i="2"/>
  <c r="BR94" i="2"/>
  <c r="BR95" i="2"/>
  <c r="BP95" i="2"/>
  <c r="AC95" i="2"/>
  <c r="V110" i="2"/>
  <c r="BZ119" i="2"/>
  <c r="V133" i="2"/>
  <c r="BR131" i="2"/>
  <c r="BP131" i="2"/>
  <c r="X154" i="2"/>
  <c r="BV152" i="2"/>
  <c r="BT152" i="2"/>
  <c r="X153" i="2"/>
  <c r="AC172" i="2"/>
  <c r="BX192" i="2"/>
  <c r="BZ192" i="2"/>
  <c r="Z194" i="2"/>
  <c r="Z193" i="2"/>
  <c r="BR197" i="2"/>
  <c r="V199" i="2"/>
  <c r="BP197" i="2"/>
  <c r="AC197" i="2"/>
  <c r="V198" i="2"/>
  <c r="Y388" i="2"/>
  <c r="V70" i="2"/>
  <c r="BV94" i="2"/>
  <c r="X96" i="2"/>
  <c r="BT94" i="2"/>
  <c r="BV107" i="2"/>
  <c r="Z133" i="2"/>
  <c r="BZ130" i="2"/>
  <c r="BX130" i="2"/>
  <c r="BV131" i="2"/>
  <c r="X133" i="2"/>
  <c r="BT131" i="2"/>
  <c r="BX152" i="2"/>
  <c r="Z153" i="2"/>
  <c r="CD192" i="2"/>
  <c r="CB192" i="2"/>
  <c r="AB194" i="2"/>
  <c r="AB193" i="2"/>
  <c r="BR79" i="2"/>
  <c r="BP79" i="2"/>
  <c r="X35" i="2"/>
  <c r="BV32" i="2"/>
  <c r="BT32" i="2"/>
  <c r="V47" i="2"/>
  <c r="BR44" i="2"/>
  <c r="BR45" i="2"/>
  <c r="BP45" i="2"/>
  <c r="AC45" i="2"/>
  <c r="AC62" i="2"/>
  <c r="AC63" i="2"/>
  <c r="BX67" i="2"/>
  <c r="BX94" i="2"/>
  <c r="Z96" i="2"/>
  <c r="X110" i="2"/>
  <c r="CB119" i="2"/>
  <c r="CB120" i="2"/>
  <c r="AB133" i="2"/>
  <c r="CB130" i="2"/>
  <c r="V134" i="2"/>
  <c r="Z154" i="2"/>
  <c r="V285" i="2"/>
  <c r="BR283" i="2"/>
  <c r="BP283" i="2"/>
  <c r="AC283" i="2"/>
  <c r="AC284" i="2" s="1"/>
  <c r="V284" i="2"/>
  <c r="G10" i="2"/>
  <c r="X28" i="2"/>
  <c r="BV26" i="2"/>
  <c r="X47" i="2"/>
  <c r="BV43" i="2"/>
  <c r="V53" i="2"/>
  <c r="X70" i="2"/>
  <c r="X83" i="2"/>
  <c r="CB90" i="2"/>
  <c r="BX107" i="2"/>
  <c r="AC130" i="2"/>
  <c r="BR300" i="2"/>
  <c r="AC300" i="2"/>
  <c r="BP300" i="2"/>
  <c r="BR80" i="2"/>
  <c r="BP80" i="2"/>
  <c r="AC80" i="2"/>
  <c r="G9" i="2"/>
  <c r="I9" i="2"/>
  <c r="W387" i="2"/>
  <c r="BV44" i="2"/>
  <c r="BT44" i="2"/>
  <c r="BR52" i="2"/>
  <c r="BP52" i="2"/>
  <c r="Z28" i="2"/>
  <c r="BZ26" i="2"/>
  <c r="BX26" i="2"/>
  <c r="AC33" i="2"/>
  <c r="BZ43" i="2"/>
  <c r="BX43" i="2"/>
  <c r="Z48" i="2"/>
  <c r="BV51" i="2"/>
  <c r="X53" i="2"/>
  <c r="BT51" i="2"/>
  <c r="BV52" i="2"/>
  <c r="BT52" i="2"/>
  <c r="BP62" i="2"/>
  <c r="X65" i="2"/>
  <c r="BZ67" i="2"/>
  <c r="CB79" i="2"/>
  <c r="AC94" i="2"/>
  <c r="V97" i="2"/>
  <c r="Z110" i="2"/>
  <c r="AC131" i="2"/>
  <c r="CD147" i="2"/>
  <c r="CB187" i="2"/>
  <c r="CD187" i="2"/>
  <c r="AB189" i="2"/>
  <c r="AB188" i="2"/>
  <c r="AA391" i="2"/>
  <c r="BP34" i="2"/>
  <c r="AC34" i="2"/>
  <c r="B397" i="2"/>
  <c r="BP21" i="2"/>
  <c r="AC21" i="2"/>
  <c r="AC23" i="2" s="1"/>
  <c r="V27" i="2"/>
  <c r="U391" i="2"/>
  <c r="X27" i="2"/>
  <c r="Z35" i="2"/>
  <c r="CB43" i="2"/>
  <c r="AB48" i="2"/>
  <c r="BZ51" i="2"/>
  <c r="BX51" i="2"/>
  <c r="Z53" i="2"/>
  <c r="BV56" i="2"/>
  <c r="CB78" i="2"/>
  <c r="CD90" i="2"/>
  <c r="V102" i="2"/>
  <c r="BZ106" i="2"/>
  <c r="CD118" i="2"/>
  <c r="Z134" i="2"/>
  <c r="V158" i="2"/>
  <c r="BR156" i="2"/>
  <c r="BP156" i="2"/>
  <c r="AC156" i="2"/>
  <c r="AC157" i="2" s="1"/>
  <c r="V157" i="2"/>
  <c r="AC187" i="2"/>
  <c r="AC188" i="2" s="1"/>
  <c r="V23" i="2"/>
  <c r="AC43" i="2"/>
  <c r="AC44" i="2"/>
  <c r="Z65" i="2"/>
  <c r="BP94" i="2"/>
  <c r="X97" i="2"/>
  <c r="BR120" i="2"/>
  <c r="BP120" i="2"/>
  <c r="AC120" i="2"/>
  <c r="V148" i="2"/>
  <c r="W389" i="2"/>
  <c r="C397" i="2"/>
  <c r="V35" i="2"/>
  <c r="AC32" i="2"/>
  <c r="AC26" i="2"/>
  <c r="AC27" i="2" s="1"/>
  <c r="V59" i="2"/>
  <c r="U389" i="2"/>
  <c r="CD22" i="2"/>
  <c r="CB22" i="2"/>
  <c r="W391" i="2"/>
  <c r="Z27" i="2"/>
  <c r="BR32" i="2"/>
  <c r="BR34" i="2"/>
  <c r="AB35" i="2"/>
  <c r="AC52" i="2"/>
  <c r="AC53" i="2" s="1"/>
  <c r="BX56" i="2"/>
  <c r="V91" i="2"/>
  <c r="BR119" i="2"/>
  <c r="BP119" i="2"/>
  <c r="Z122" i="2"/>
  <c r="AB134" i="2"/>
  <c r="BP211" i="2"/>
  <c r="S397" i="2"/>
  <c r="V280" i="2"/>
  <c r="W397" i="2"/>
  <c r="BP271" i="2"/>
  <c r="AC271" i="2"/>
  <c r="AC317" i="2"/>
  <c r="V324" i="2"/>
  <c r="BP317" i="2"/>
  <c r="V330" i="2"/>
  <c r="BR328" i="2"/>
  <c r="BP328" i="2"/>
  <c r="V329" i="2"/>
  <c r="AC328" i="2"/>
  <c r="V154" i="2"/>
  <c r="M397" i="2"/>
  <c r="K397" i="2"/>
  <c r="CB152" i="2"/>
  <c r="AB154" i="2"/>
  <c r="AB220" i="2"/>
  <c r="BX223" i="2"/>
  <c r="BV271" i="2"/>
  <c r="X281" i="2"/>
  <c r="X280" i="2"/>
  <c r="CD298" i="2"/>
  <c r="X324" i="2"/>
  <c r="AB350" i="2"/>
  <c r="AC347" i="2"/>
  <c r="CD347" i="2"/>
  <c r="CB347" i="2"/>
  <c r="AB349" i="2"/>
  <c r="AC174" i="2"/>
  <c r="X203" i="2"/>
  <c r="CD206" i="2"/>
  <c r="AB208" i="2"/>
  <c r="Z213" i="2"/>
  <c r="BZ211" i="2"/>
  <c r="V212" i="2"/>
  <c r="AC274" i="2"/>
  <c r="BR276" i="2"/>
  <c r="AC276" i="2"/>
  <c r="AC299" i="2"/>
  <c r="V301" i="2"/>
  <c r="BP299" i="2"/>
  <c r="BZ317" i="2"/>
  <c r="BX317" i="2"/>
  <c r="CB318" i="2"/>
  <c r="CD318" i="2"/>
  <c r="AC326" i="2"/>
  <c r="AB397" i="2"/>
  <c r="CB353" i="2"/>
  <c r="AB358" i="2"/>
  <c r="AC353" i="2"/>
  <c r="CD353" i="2"/>
  <c r="X330" i="2"/>
  <c r="X329" i="2"/>
  <c r="BV326" i="2"/>
  <c r="BT326" i="2"/>
  <c r="N397" i="2"/>
  <c r="Z203" i="2"/>
  <c r="AC211" i="2"/>
  <c r="AC212" i="2" s="1"/>
  <c r="Z226" i="2"/>
  <c r="Z302" i="2"/>
  <c r="Z301" i="2"/>
  <c r="BX298" i="2"/>
  <c r="AB324" i="2"/>
  <c r="CD316" i="2"/>
  <c r="CB316" i="2"/>
  <c r="AB323" i="2"/>
  <c r="CB327" i="2"/>
  <c r="AB330" i="2"/>
  <c r="AC327" i="2"/>
  <c r="CD327" i="2"/>
  <c r="AC152" i="2"/>
  <c r="AC153" i="2" s="1"/>
  <c r="V153" i="2"/>
  <c r="Z212" i="2"/>
  <c r="BR265" i="2"/>
  <c r="BP265" i="2"/>
  <c r="V266" i="2"/>
  <c r="AC273" i="2"/>
  <c r="CB275" i="2"/>
  <c r="CD275" i="2"/>
  <c r="AC279" i="2"/>
  <c r="BP279" i="2"/>
  <c r="AB302" i="2"/>
  <c r="CB298" i="2"/>
  <c r="CD165" i="2"/>
  <c r="CD175" i="2"/>
  <c r="AB203" i="2"/>
  <c r="AC217" i="2"/>
  <c r="X267" i="2"/>
  <c r="X266" i="2"/>
  <c r="BR271" i="2"/>
  <c r="AC275" i="2"/>
  <c r="Z280" i="2"/>
  <c r="AC298" i="2"/>
  <c r="X302" i="2"/>
  <c r="BR317" i="2"/>
  <c r="BT319" i="2"/>
  <c r="BP152" i="2"/>
  <c r="V169" i="2"/>
  <c r="BP174" i="2"/>
  <c r="BR211" i="2"/>
  <c r="AB212" i="2"/>
  <c r="AC222" i="2"/>
  <c r="BP248" i="2"/>
  <c r="V397" i="2"/>
  <c r="BX265" i="2"/>
  <c r="Z266" i="2"/>
  <c r="BZ265" i="2"/>
  <c r="BP274" i="2"/>
  <c r="BP276" i="2"/>
  <c r="CD278" i="2"/>
  <c r="CB278" i="2"/>
  <c r="X157" i="2"/>
  <c r="X161" i="2"/>
  <c r="AC165" i="2"/>
  <c r="BT202" i="2"/>
  <c r="AB207" i="2"/>
  <c r="BP217" i="2"/>
  <c r="AC218" i="2"/>
  <c r="Z263" i="2"/>
  <c r="Z262" i="2"/>
  <c r="BZ259" i="2"/>
  <c r="BT271" i="2"/>
  <c r="AC278" i="2"/>
  <c r="AB280" i="2"/>
  <c r="BR299" i="2"/>
  <c r="CB108" i="2"/>
  <c r="CB121" i="2"/>
  <c r="Z138" i="2"/>
  <c r="BR152" i="2"/>
  <c r="BR174" i="2"/>
  <c r="AC175" i="2"/>
  <c r="BT211" i="2"/>
  <c r="BT216" i="2"/>
  <c r="Z219" i="2"/>
  <c r="BP222" i="2"/>
  <c r="Z251" i="2"/>
  <c r="BZ248" i="2"/>
  <c r="Z252" i="2"/>
  <c r="AB262" i="2"/>
  <c r="CB259" i="2"/>
  <c r="AC265" i="2"/>
  <c r="AC266" i="2" s="1"/>
  <c r="BR274" i="2"/>
  <c r="V294" i="2"/>
  <c r="BP292" i="2"/>
  <c r="V295" i="2"/>
  <c r="CB322" i="2"/>
  <c r="Z157" i="2"/>
  <c r="BP165" i="2"/>
  <c r="V213" i="2"/>
  <c r="AC223" i="2"/>
  <c r="V225" i="2"/>
  <c r="AB234" i="2"/>
  <c r="CB228" i="2"/>
  <c r="U397" i="2"/>
  <c r="BR237" i="2"/>
  <c r="Z243" i="2"/>
  <c r="BX241" i="2"/>
  <c r="AC259" i="2"/>
  <c r="V262" i="2"/>
  <c r="BT276" i="2"/>
  <c r="V281" i="2"/>
  <c r="BT293" i="2"/>
  <c r="BV293" i="2"/>
  <c r="X294" i="2"/>
  <c r="BT299" i="2"/>
  <c r="V308" i="2"/>
  <c r="V307" i="2"/>
  <c r="AC333" i="2"/>
  <c r="CD333" i="2"/>
  <c r="CB333" i="2"/>
  <c r="AA389" i="2"/>
  <c r="AC136" i="2"/>
  <c r="BT174" i="2"/>
  <c r="BP182" i="2"/>
  <c r="P397" i="2"/>
  <c r="BX202" i="2"/>
  <c r="X204" i="2"/>
  <c r="BV211" i="2"/>
  <c r="BV216" i="2"/>
  <c r="BR218" i="2"/>
  <c r="BR222" i="2"/>
  <c r="AC228" i="2"/>
  <c r="AC231" i="2"/>
  <c r="BP231" i="2"/>
  <c r="AB244" i="2"/>
  <c r="AB243" i="2"/>
  <c r="V243" i="2"/>
  <c r="AC248" i="2"/>
  <c r="Z256" i="2"/>
  <c r="BX254" i="2"/>
  <c r="V256" i="2"/>
  <c r="BT273" i="2"/>
  <c r="BR279" i="2"/>
  <c r="H397" i="2"/>
  <c r="I397" i="2"/>
  <c r="BT160" i="2"/>
  <c r="BR165" i="2"/>
  <c r="AC166" i="2"/>
  <c r="BX173" i="2"/>
  <c r="AC176" i="2"/>
  <c r="BX197" i="2"/>
  <c r="X213" i="2"/>
  <c r="AC224" i="2"/>
  <c r="X225" i="2"/>
  <c r="AC229" i="2"/>
  <c r="BZ237" i="2"/>
  <c r="Z238" i="2"/>
  <c r="Z239" i="2"/>
  <c r="V238" i="2"/>
  <c r="AC241" i="2"/>
  <c r="AB257" i="2"/>
  <c r="AB256" i="2"/>
  <c r="X262" i="2"/>
  <c r="V267" i="2"/>
  <c r="BZ271" i="2"/>
  <c r="BV274" i="2"/>
  <c r="BT277" i="2"/>
  <c r="AB294" i="2"/>
  <c r="CD292" i="2"/>
  <c r="BZ305" i="2"/>
  <c r="BX305" i="2"/>
  <c r="Y387" i="2"/>
  <c r="E397" i="2"/>
  <c r="AC108" i="2"/>
  <c r="AB116" i="2"/>
  <c r="AC121" i="2"/>
  <c r="AB128" i="2"/>
  <c r="BP136" i="2"/>
  <c r="V138" i="2"/>
  <c r="Z199" i="2"/>
  <c r="BZ202" i="2"/>
  <c r="BX211" i="2"/>
  <c r="BV217" i="2"/>
  <c r="BT218" i="2"/>
  <c r="BR223" i="2"/>
  <c r="AC230" i="2"/>
  <c r="V233" i="2"/>
  <c r="AC242" i="2"/>
  <c r="X243" i="2"/>
  <c r="AC249" i="2"/>
  <c r="V251" i="2"/>
  <c r="AC254" i="2"/>
  <c r="AC256" i="2" s="1"/>
  <c r="CD255" i="2"/>
  <c r="CB255" i="2"/>
  <c r="X256" i="2"/>
  <c r="BP260" i="2"/>
  <c r="AC261" i="2"/>
  <c r="BT265" i="2"/>
  <c r="BT279" i="2"/>
  <c r="Z281" i="2"/>
  <c r="AC292" i="2"/>
  <c r="AC306" i="2"/>
  <c r="Z307" i="2"/>
  <c r="AC348" i="2"/>
  <c r="BP348" i="2"/>
  <c r="AA387" i="2"/>
  <c r="AC46" i="2"/>
  <c r="AC57" i="2"/>
  <c r="AC68" i="2"/>
  <c r="F397" i="2"/>
  <c r="AC137" i="2"/>
  <c r="BV156" i="2"/>
  <c r="BV160" i="2"/>
  <c r="BT165" i="2"/>
  <c r="BP166" i="2"/>
  <c r="O397" i="2"/>
  <c r="BP176" i="2"/>
  <c r="V178" i="2"/>
  <c r="BV222" i="2"/>
  <c r="BP224" i="2"/>
  <c r="Z225" i="2"/>
  <c r="AC237" i="2"/>
  <c r="AC238" i="2" s="1"/>
  <c r="X238" i="2"/>
  <c r="BR248" i="2"/>
  <c r="AC255" i="2"/>
  <c r="CB271" i="2"/>
  <c r="BX276" i="2"/>
  <c r="X397" i="2"/>
  <c r="AC305" i="2"/>
  <c r="Z323" i="2"/>
  <c r="X341" i="2"/>
  <c r="BV339" i="2"/>
  <c r="BT339" i="2"/>
  <c r="X340" i="2"/>
  <c r="U388" i="2"/>
  <c r="G397" i="2"/>
  <c r="X138" i="2"/>
  <c r="AC177" i="2"/>
  <c r="V193" i="2"/>
  <c r="AC192" i="2"/>
  <c r="AC193" i="2" s="1"/>
  <c r="Q397" i="2"/>
  <c r="X199" i="2"/>
  <c r="CB202" i="2"/>
  <c r="AB213" i="2"/>
  <c r="BX217" i="2"/>
  <c r="X220" i="2"/>
  <c r="BR229" i="2"/>
  <c r="BP230" i="2"/>
  <c r="CB232" i="2"/>
  <c r="CD232" i="2"/>
  <c r="X233" i="2"/>
  <c r="BR241" i="2"/>
  <c r="BP242" i="2"/>
  <c r="X251" i="2"/>
  <c r="BR260" i="2"/>
  <c r="BV265" i="2"/>
  <c r="Z267" i="2"/>
  <c r="BX273" i="2"/>
  <c r="BZ274" i="2"/>
  <c r="AB281" i="2"/>
  <c r="CB299" i="2"/>
  <c r="AC322" i="2"/>
  <c r="AC323" i="2" s="1"/>
  <c r="BP322" i="2"/>
  <c r="AC357" i="2"/>
  <c r="BV357" i="2"/>
  <c r="BT357" i="2"/>
  <c r="D397" i="2"/>
  <c r="AC114" i="2"/>
  <c r="AC115" i="2" s="1"/>
  <c r="V115" i="2"/>
  <c r="AC126" i="2"/>
  <c r="AC127" i="2" s="1"/>
  <c r="V127" i="2"/>
  <c r="X134" i="2"/>
  <c r="BP137" i="2"/>
  <c r="X158" i="2"/>
  <c r="BX160" i="2"/>
  <c r="BV165" i="2"/>
  <c r="V168" i="2"/>
  <c r="Z179" i="2"/>
  <c r="X178" i="2"/>
  <c r="V184" i="2"/>
  <c r="Z198" i="2"/>
  <c r="AB225" i="2"/>
  <c r="AC232" i="2"/>
  <c r="BP237" i="2"/>
  <c r="BT248" i="2"/>
  <c r="BR254" i="2"/>
  <c r="Z290" i="2"/>
  <c r="BZ288" i="2"/>
  <c r="BX288" i="2"/>
  <c r="Z289" i="2"/>
  <c r="X289" i="2"/>
  <c r="BR292" i="2"/>
  <c r="BZ298" i="2"/>
  <c r="BR306" i="2"/>
  <c r="BV322" i="2"/>
  <c r="BT322" i="2"/>
  <c r="V358" i="2"/>
  <c r="BR354" i="2"/>
  <c r="BP354" i="2"/>
  <c r="V359" i="2"/>
  <c r="AC354" i="2"/>
  <c r="BV363" i="2"/>
  <c r="BT363" i="2"/>
  <c r="X364" i="2"/>
  <c r="X308" i="2"/>
  <c r="BV310" i="2"/>
  <c r="BZ319" i="2"/>
  <c r="X323" i="2"/>
  <c r="BZ328" i="2"/>
  <c r="CD338" i="2"/>
  <c r="Z341" i="2"/>
  <c r="BV346" i="2"/>
  <c r="X349" i="2"/>
  <c r="AC352" i="2"/>
  <c r="BZ354" i="2"/>
  <c r="CD362" i="2"/>
  <c r="Z365" i="2"/>
  <c r="BV369" i="2"/>
  <c r="CD379" i="2"/>
  <c r="Z382" i="2"/>
  <c r="V312" i="2"/>
  <c r="BP334" i="2"/>
  <c r="X335" i="2"/>
  <c r="CB339" i="2"/>
  <c r="BR357" i="2"/>
  <c r="BP361" i="2"/>
  <c r="V371" i="2"/>
  <c r="BR374" i="2"/>
  <c r="Z375" i="2"/>
  <c r="BP378" i="2"/>
  <c r="BZ384" i="2"/>
  <c r="BR334" i="2"/>
  <c r="Z335" i="2"/>
  <c r="BR361" i="2"/>
  <c r="BT374" i="2"/>
  <c r="BR378" i="2"/>
  <c r="CB384" i="2"/>
  <c r="BT348" i="2"/>
  <c r="AB386" i="2"/>
  <c r="Z295" i="2"/>
  <c r="BX316" i="2"/>
  <c r="BT317" i="2"/>
  <c r="CB332" i="2"/>
  <c r="AB335" i="2"/>
  <c r="AC339" i="2"/>
  <c r="V340" i="2"/>
  <c r="BX347" i="2"/>
  <c r="AC363" i="2"/>
  <c r="AC364" i="2" s="1"/>
  <c r="V364" i="2"/>
  <c r="CD368" i="2"/>
  <c r="Z371" i="2"/>
  <c r="BV374" i="2"/>
  <c r="AC380" i="2"/>
  <c r="AC381" i="2" s="1"/>
  <c r="V381" i="2"/>
  <c r="CD384" i="2"/>
  <c r="BT352" i="2"/>
  <c r="V376" i="2"/>
  <c r="BZ316" i="2"/>
  <c r="AC345" i="2"/>
  <c r="BZ347" i="2"/>
  <c r="V350" i="2"/>
  <c r="BX357" i="2"/>
  <c r="AC368" i="2"/>
  <c r="AB371" i="2"/>
  <c r="BX374" i="2"/>
  <c r="BV378" i="2"/>
  <c r="BP380" i="2"/>
  <c r="X381" i="2"/>
  <c r="AC384" i="2"/>
  <c r="AC385" i="2" s="1"/>
  <c r="V385" i="2"/>
  <c r="BX279" i="2"/>
  <c r="BX299" i="2"/>
  <c r="CB321" i="2"/>
  <c r="BX322" i="2"/>
  <c r="V336" i="2"/>
  <c r="BX348" i="2"/>
  <c r="BV352" i="2"/>
  <c r="CB356" i="2"/>
  <c r="X359" i="2"/>
  <c r="BT362" i="2"/>
  <c r="CB373" i="2"/>
  <c r="X376" i="2"/>
  <c r="BT379" i="2"/>
  <c r="X307" i="2"/>
  <c r="AC332" i="2"/>
  <c r="BX334" i="2"/>
  <c r="Z340" i="2"/>
  <c r="BP345" i="2"/>
  <c r="BX361" i="2"/>
  <c r="Z364" i="2"/>
  <c r="BP368" i="2"/>
  <c r="BX378" i="2"/>
  <c r="Z381" i="2"/>
  <c r="BP384" i="2"/>
  <c r="X385" i="2"/>
  <c r="BV196" i="2"/>
  <c r="AC293" i="2"/>
  <c r="V302" i="2"/>
  <c r="AC310" i="2"/>
  <c r="AC311" i="2" s="1"/>
  <c r="V311" i="2"/>
  <c r="BX326" i="2"/>
  <c r="X336" i="2"/>
  <c r="AC346" i="2"/>
  <c r="BX352" i="2"/>
  <c r="AC369" i="2"/>
  <c r="V370" i="2"/>
  <c r="CD373" i="2"/>
  <c r="BR345" i="2"/>
  <c r="BR368" i="2"/>
  <c r="BT380" i="2"/>
  <c r="AB381" i="2"/>
  <c r="BR384" i="2"/>
  <c r="Z385" i="2"/>
  <c r="BX379" i="2"/>
  <c r="CB378" i="2"/>
  <c r="BT384" i="2"/>
  <c r="Y397" i="2"/>
  <c r="Z294" i="2"/>
  <c r="V365" i="2"/>
  <c r="Z370" i="2"/>
  <c r="V382" i="2"/>
  <c r="Z397" i="2"/>
  <c r="BX380" i="2"/>
  <c r="AA397" i="2"/>
  <c r="AB285" i="2"/>
  <c r="V323" i="2"/>
  <c r="V349" i="2"/>
  <c r="AC340" i="2" l="1"/>
  <c r="AC301" i="2"/>
  <c r="AC307" i="2"/>
  <c r="AB391" i="2"/>
  <c r="AC329" i="2"/>
  <c r="Z388" i="2"/>
  <c r="AB389" i="2"/>
  <c r="AB387" i="2"/>
  <c r="Z387" i="2"/>
  <c r="X389" i="2"/>
  <c r="AC184" i="2"/>
  <c r="V389" i="2"/>
  <c r="AC243" i="2"/>
  <c r="AC251" i="2"/>
  <c r="AC168" i="2"/>
  <c r="AB388" i="2"/>
  <c r="AB390" i="2" s="1"/>
  <c r="X387" i="2"/>
  <c r="Z389" i="2"/>
  <c r="X388" i="2"/>
  <c r="X391" i="2"/>
  <c r="Z391" i="2"/>
  <c r="AC64" i="2"/>
  <c r="V387" i="2"/>
  <c r="U390" i="2"/>
  <c r="AC225" i="2"/>
  <c r="AC58" i="2"/>
  <c r="W390" i="2"/>
  <c r="AC219" i="2"/>
  <c r="V388" i="2"/>
  <c r="V390" i="2" s="1"/>
  <c r="AC122" i="2"/>
  <c r="AC358" i="2"/>
  <c r="AC335" i="2"/>
  <c r="AC109" i="2"/>
  <c r="AC138" i="2"/>
  <c r="AC178" i="2"/>
  <c r="AC233" i="2"/>
  <c r="AC280" i="2"/>
  <c r="AC198" i="2"/>
  <c r="AC370" i="2"/>
  <c r="AC294" i="2"/>
  <c r="AC47" i="2"/>
  <c r="V391" i="2"/>
  <c r="AC133" i="2"/>
  <c r="AA390" i="2"/>
  <c r="AC69" i="2"/>
  <c r="AC349" i="2"/>
  <c r="AC262" i="2"/>
  <c r="AC35" i="2"/>
  <c r="AC96" i="2"/>
  <c r="Y390" i="2"/>
  <c r="AC82" i="2"/>
  <c r="AC148" i="2"/>
  <c r="X390" i="2" l="1"/>
  <c r="Z390" i="2"/>
  <c r="AC392" i="2"/>
</calcChain>
</file>

<file path=xl/sharedStrings.xml><?xml version="1.0" encoding="utf-8"?>
<sst xmlns="http://schemas.openxmlformats.org/spreadsheetml/2006/main" count="2049" uniqueCount="603">
  <si>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</si>
  <si>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</si>
  <si>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</si>
  <si>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</si>
  <si>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</si>
  <si>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</si>
  <si>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</si>
  <si>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обязательные к заполнению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</si>
  <si>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</si>
  <si>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</si>
  <si>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</si>
  <si>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</si>
  <si>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</si>
  <si>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</si>
  <si>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</si>
  <si>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</si>
  <si>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</si>
  <si>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Штрих-код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</si>
  <si>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</si>
  <si>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</si>
  <si>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</si>
  <si>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</si>
  <si>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</si>
  <si>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</si>
  <si>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</si>
  <si>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</si>
  <si>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</si>
  <si>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</si>
  <si>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</si>
  <si>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</si>
  <si>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</si>
  <si>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</si>
  <si>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</si>
  <si>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</si>
  <si>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</si>
  <si>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</si>
  <si>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</si>
  <si>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</si>
  <si>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</si>
  <si>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</si>
  <si>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r>
      <rPr>
        <sz val="10"/>
        <color indexed="8"/>
        <rFont val="Arial Cyr"/>
        <charset val="204"/>
      </rPr>
      <t>м</t>
    </r>
    <r>
      <rPr>
        <vertAlign val="superscript"/>
        <sz val="10"/>
        <color indexed="8"/>
        <rFont val="Arial Cyr"/>
        <charset val="204"/>
      </rPr>
      <t>3</t>
    </r>
  </si>
  <si>
    <t>Объем заказа</t>
  </si>
  <si>
    <t>кор</t>
  </si>
  <si>
    <t>Итого</t>
  </si>
  <si>
    <t>Заказ</t>
  </si>
  <si>
    <t>бланк создан</t>
  </si>
  <si>
    <t xml:space="preserve"> </t>
  </si>
  <si>
    <t>Реализация продукта с низким ОСГ</t>
  </si>
  <si>
    <t>Группа ИОСГ</t>
  </si>
  <si>
    <t>на отгрузку продукции с ООО Трейд-Сервис   с</t>
  </si>
  <si>
    <t>Код продукта</t>
  </si>
  <si>
    <t>Справочная информация:</t>
  </si>
  <si>
    <t>Основной заказ</t>
  </si>
  <si>
    <t>Номер варианта</t>
  </si>
  <si>
    <t>Заказ с округлением до короба</t>
  </si>
  <si>
    <t>Для формул</t>
  </si>
  <si>
    <t>Адрес сдачи груза:</t>
  </si>
  <si>
    <t/>
  </si>
  <si>
    <t>Код единицы продаж</t>
  </si>
  <si>
    <t>Примечание по продукту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</si>
  <si>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</si>
  <si>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</si>
  <si>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</si>
  <si>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</si>
  <si>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Декларация/Сертификат</t>
  </si>
  <si>
    <t>КИ</t>
  </si>
  <si>
    <t>11.04.2025</t>
  </si>
  <si>
    <t>ОБЩЕСТВО С ОГРАНИЧЕННОЙ ОТВЕТСТВЕННОСТЬЮ "КСК ТРЕЙД"</t>
  </si>
  <si>
    <t>590943</t>
  </si>
  <si>
    <t>Телефоны для заказов: 8(919)002-63-01 E-mail: kolbasa@abiproduct.ru   
Телефон сотрудников склада:
8 (910) 775-52-91</t>
  </si>
  <si>
    <t>Заказы ИОСГ принимаются: за ДВА дня до отгрузки Пн-Вс: с 9:00 до 14:00
 С углублёнными скидками принимаются до 15:00 Пн-Пт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</si>
  <si>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</si>
  <si>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</si>
  <si>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10% - 39,99%</t>
  </si>
  <si>
    <t>скидка 50%</t>
  </si>
  <si>
    <t>40% - 59,99%</t>
  </si>
  <si>
    <t>скидка 40%</t>
  </si>
  <si>
    <t>60% - 79,99%</t>
  </si>
  <si>
    <t>скидка 20%</t>
  </si>
  <si>
    <t>10% - 69,99%</t>
  </si>
  <si>
    <t>скидка 10%</t>
  </si>
  <si>
    <t>Ядрена копоть</t>
  </si>
  <si>
    <t>Сосиски</t>
  </si>
  <si>
    <t>SU003665</t>
  </si>
  <si>
    <t>P004642</t>
  </si>
  <si>
    <t>СК4</t>
  </si>
  <si>
    <t>14</t>
  </si>
  <si>
    <t>ЕАЭС N RU Д-RU.РА06.В.92094/23, ЕАЭС N RU Д-RU.РА08.В.79642/23</t>
  </si>
  <si>
    <t>Сырокопченые колбасы</t>
  </si>
  <si>
    <t>SU002050</t>
  </si>
  <si>
    <t>P002188</t>
  </si>
  <si>
    <t>АК</t>
  </si>
  <si>
    <t>СНК</t>
  </si>
  <si>
    <t>ЕАЭС N RU Д-RU.РА01.В.14797/20</t>
  </si>
  <si>
    <t>Вязанка</t>
  </si>
  <si>
    <t>ГОСТ</t>
  </si>
  <si>
    <t>Вареные колбасы</t>
  </si>
  <si>
    <t>SU001485</t>
  </si>
  <si>
    <t>P003008</t>
  </si>
  <si>
    <t>СК3</t>
  </si>
  <si>
    <t>12</t>
  </si>
  <si>
    <t>ЕАЭС N RU Д- RU.РА01.В.79635/20</t>
  </si>
  <si>
    <t>SU002986</t>
  </si>
  <si>
    <t>P003429</t>
  </si>
  <si>
    <t>SU003112</t>
  </si>
  <si>
    <t>P003695</t>
  </si>
  <si>
    <t>СК1</t>
  </si>
  <si>
    <t>ЕАЭС N RU Д-RU.РА08.В.47512/23</t>
  </si>
  <si>
    <t>SU003313</t>
  </si>
  <si>
    <t>P004551</t>
  </si>
  <si>
    <t>ЕАЭС N RU Д-RU.РА01.В.79167/24</t>
  </si>
  <si>
    <t>Филейская</t>
  </si>
  <si>
    <t>SU002839</t>
  </si>
  <si>
    <t>P003255</t>
  </si>
  <si>
    <t>8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</si>
  <si>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</si>
  <si>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</si>
  <si>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</si>
  <si>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</si>
  <si>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</si>
  <si>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</si>
  <si>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SU002815</t>
  </si>
  <si>
    <t>P003227</t>
  </si>
  <si>
    <t>Ветчины</t>
  </si>
  <si>
    <t>SU003689</t>
  </si>
  <si>
    <t>P004676</t>
  </si>
  <si>
    <t>ЕАЭС N RU Д-RU.РА01.В.10660/23</t>
  </si>
  <si>
    <t>SU002814</t>
  </si>
  <si>
    <t>P003226</t>
  </si>
  <si>
    <t>Копченые колбасы</t>
  </si>
  <si>
    <t>SU003027</t>
  </si>
  <si>
    <t>P003573</t>
  </si>
  <si>
    <t>СК2</t>
  </si>
  <si>
    <t>18</t>
  </si>
  <si>
    <t>ЕАЭС N RU Д-RU.РА11.В.18821/23</t>
  </si>
  <si>
    <t>SU003029</t>
  </si>
  <si>
    <t>P003569</t>
  </si>
  <si>
    <t>ЕАЭС N RU Д-RU.РА11.В.17299/23</t>
  </si>
  <si>
    <t>SU002887</t>
  </si>
  <si>
    <t>P004553</t>
  </si>
  <si>
    <t>ЕАЭС N RU Д-RU.РА01.В.62645/23</t>
  </si>
  <si>
    <t>SU002825</t>
  </si>
  <si>
    <t>P004554</t>
  </si>
  <si>
    <t>SU003288</t>
  </si>
  <si>
    <t>P004557</t>
  </si>
  <si>
    <t>ЕАЭС N RU Д-RU.РА01.В.58241/24, ЕАЭС N RU Д-RU.РА01.В.58575/24, ЕАЭС N RU Д-RU.РА01.В.58627/24</t>
  </si>
  <si>
    <t>Сардельки</t>
  </si>
  <si>
    <t>SU003054</t>
  </si>
  <si>
    <t>P003884</t>
  </si>
  <si>
    <t>ЕАЭС N RU Д-RU.РА01.В.62825/23, ЕАЭС N RU Д-RU.РА01.В.62909/23, 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</si>
  <si>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</si>
  <si>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</si>
  <si>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</si>
  <si>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</si>
  <si>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</si>
  <si>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</si>
  <si>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</si>
  <si>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</si>
  <si>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</si>
  <si>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</si>
  <si>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</si>
  <si>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</si>
  <si>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</si>
  <si>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</si>
  <si>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ЕАЭС N RU Д-RU.РА03.В.39392/23</t>
  </si>
  <si>
    <t>P004983</t>
  </si>
  <si>
    <t>Сосиски «Вязанка Молочные» Фикс.вес 0,45 п/а ТМ «Вязанка»</t>
  </si>
  <si>
    <t>ЕАЭС N RU Д-RU.РА01.В.20899/23, ЕАЭС N RU Д-RU.РА03.В.39392/23</t>
  </si>
  <si>
    <t>SU002769</t>
  </si>
  <si>
    <t>P003324</t>
  </si>
  <si>
    <t>ЕАЭС N RU Д-RU.РА06.В.12617/22</t>
  </si>
  <si>
    <t>SU002658</t>
  </si>
  <si>
    <t>P003998</t>
  </si>
  <si>
    <t>Сливушка</t>
  </si>
  <si>
    <t>SU002733</t>
  </si>
  <si>
    <t>P003102</t>
  </si>
  <si>
    <t>ЕАЭС N RU Д-RU.РА06.В.04803/22</t>
  </si>
  <si>
    <t>SU003037</t>
  </si>
  <si>
    <t>P004609</t>
  </si>
  <si>
    <t>ЕАЭС N RU Д-RU.РА06.В.97082/24</t>
  </si>
  <si>
    <t>SU001720</t>
  </si>
  <si>
    <t>P003989</t>
  </si>
  <si>
    <t>Сосиски «Сливочные» ф/в 0,45 п/а мгс ТМ «Вязанка»</t>
  </si>
  <si>
    <t>ЕАЭС N RU Д-RU.РА05.В.31074/23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</si>
  <si>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</si>
  <si>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</si>
  <si>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</si>
  <si>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</si>
  <si>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</si>
  <si>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</si>
  <si>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</si>
  <si>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</si>
  <si>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</si>
  <si>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</si>
  <si>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</si>
  <si>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</si>
  <si>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</si>
  <si>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</si>
  <si>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</si>
  <si>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</si>
  <si>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</si>
  <si>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</si>
  <si>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</si>
  <si>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</si>
  <si>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Стародворье</t>
  </si>
  <si>
    <t>Мясорубская</t>
  </si>
  <si>
    <t>SU003512</t>
  </si>
  <si>
    <t>P004437</t>
  </si>
  <si>
    <t>ЕАЭС N RU Д-RU.РА04.В.01888/24</t>
  </si>
  <si>
    <t>SU002876</t>
  </si>
  <si>
    <t>P003276</t>
  </si>
  <si>
    <t>ЕАЭС N RU Д-RU.РА01.В.98713/23</t>
  </si>
  <si>
    <t>SU002660</t>
  </si>
  <si>
    <t>P003256</t>
  </si>
  <si>
    <t>ЕАЭС N RU Д-RU.РА05.В.84751/22</t>
  </si>
  <si>
    <t>SU002848</t>
  </si>
  <si>
    <t>P003260</t>
  </si>
  <si>
    <t>ЕАЭС N RU Д-RU.РА09.В.37545/22</t>
  </si>
  <si>
    <t>SU003046</t>
  </si>
  <si>
    <t>P003598</t>
  </si>
  <si>
    <t>ЕАЭС N RU Д-RU.РА06.В.75139/23</t>
  </si>
  <si>
    <t>Сочинка</t>
  </si>
  <si>
    <t>SU002757</t>
  </si>
  <si>
    <t>P003128</t>
  </si>
  <si>
    <t>ЕАЭС N RU Д-RU.РА06.В.80141/22</t>
  </si>
  <si>
    <t>SU002944</t>
  </si>
  <si>
    <t>P003386</t>
  </si>
  <si>
    <t>ЕАЭС N RU Д-RU.РА04.В.74420/23</t>
  </si>
  <si>
    <t>SU002946</t>
  </si>
  <si>
    <t>P004666</t>
  </si>
  <si>
    <t>ЕАЭС N RU Д-RU.РА04.В.93220/23</t>
  </si>
  <si>
    <t>SU002948</t>
  </si>
  <si>
    <t>P003390</t>
  </si>
  <si>
    <t>ЕАЭС N RU Д-RU.РА04.В.93161/23</t>
  </si>
  <si>
    <t>SU002618</t>
  </si>
  <si>
    <t>P003957</t>
  </si>
  <si>
    <t>ЕАЭС N RU Д-RU.РА01.В.93966/24</t>
  </si>
  <si>
    <t>SU002621</t>
  </si>
  <si>
    <t>P003958</t>
  </si>
  <si>
    <t>SU002758</t>
  </si>
  <si>
    <t>P003960</t>
  </si>
  <si>
    <t>ЕАЭС N RU Д-RU.РА01.В.93159/24, ЕАЭС N RU Д-RU.РА01.В.93294/24</t>
  </si>
  <si>
    <t>Филедворская</t>
  </si>
  <si>
    <t>SU003268</t>
  </si>
  <si>
    <t>P003942</t>
  </si>
  <si>
    <t>ЕАЭС N RU Д-RU.РА01.В.19834/24</t>
  </si>
  <si>
    <t>SU003266</t>
  </si>
  <si>
    <t>P003940</t>
  </si>
  <si>
    <t>ЕАЭС N RU Д-RU.РА05.В.81953/23</t>
  </si>
  <si>
    <t>Стародворская</t>
  </si>
  <si>
    <t>SU003508</t>
  </si>
  <si>
    <t>P004417</t>
  </si>
  <si>
    <t>ЕАЭС N RU Д-RU.РА03.В.72061/24</t>
  </si>
  <si>
    <t>SU003573</t>
  </si>
  <si>
    <t>P004524</t>
  </si>
  <si>
    <t>ЕАЭС N RU Д-RU.РА05.В.24697/24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</si>
  <si>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</si>
  <si>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</si>
  <si>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</si>
  <si>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</si>
  <si>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МЗР</t>
  </si>
  <si>
    <t>27</t>
  </si>
  <si>
    <t>ЕАЭС N RU Д-RU.РА03.В.02309/25</t>
  </si>
  <si>
    <t>Филедворская по-стародворски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</si>
  <si>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</si>
  <si>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</si>
  <si>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</si>
  <si>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</si>
  <si>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</si>
  <si>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</si>
  <si>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SU001794</t>
  </si>
  <si>
    <t>P001794</t>
  </si>
  <si>
    <t>ЕАЭС N RU Д-RU.РА02.В.62632/22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</si>
  <si>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</si>
  <si>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</si>
  <si>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</si>
  <si>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</si>
  <si>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</si>
  <si>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</si>
  <si>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</si>
  <si>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</si>
  <si>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</si>
  <si>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</si>
  <si>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</si>
  <si>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</si>
  <si>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</si>
  <si>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</si>
  <si>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</si>
  <si>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SU003346</t>
  </si>
  <si>
    <t>P004037</t>
  </si>
  <si>
    <t>ЕАЭС N RU Д-RU.РА09.В.86172/23, ЕАЭС N RU Д-RU.РА09.В.86618/23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</si>
  <si>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</si>
  <si>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</si>
  <si>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</si>
  <si>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</si>
  <si>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</si>
  <si>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</si>
  <si>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Филедворская EDLP/EDPP</t>
  </si>
  <si>
    <t>SU003155</t>
  </si>
  <si>
    <t>P004240</t>
  </si>
  <si>
    <t>SU002617</t>
  </si>
  <si>
    <t>P004229</t>
  </si>
  <si>
    <t>ЕАЭС N RU Д-RU.РА01.В.54243/24</t>
  </si>
  <si>
    <t>SU003084</t>
  </si>
  <si>
    <t>P004667</t>
  </si>
  <si>
    <t>Мясинская</t>
  </si>
  <si>
    <t>SU003356</t>
  </si>
  <si>
    <t>P004165</t>
  </si>
  <si>
    <t>ЕАЭС N RU Д-RU.РА02.В.37963/24</t>
  </si>
  <si>
    <t>SU003245</t>
  </si>
  <si>
    <t>P003915</t>
  </si>
  <si>
    <t>ЕАЭС N RU Д-RU.РА10.В.03931/24</t>
  </si>
  <si>
    <t>Филейная</t>
  </si>
  <si>
    <t>SU003201</t>
  </si>
  <si>
    <t>P003860</t>
  </si>
  <si>
    <t>МАЯК</t>
  </si>
  <si>
    <t>ЕАЭС N RU Д-RU.РА10.В.68179/23</t>
  </si>
  <si>
    <t>Бордо</t>
  </si>
  <si>
    <t>SU002894</t>
  </si>
  <si>
    <t>P003314</t>
  </si>
  <si>
    <t>ЕАЭС N RU Д-RU.РА04.В.76845/23</t>
  </si>
  <si>
    <t>SU003393</t>
  </si>
  <si>
    <t>P004211</t>
  </si>
  <si>
    <t>ЕАЭС N RU Д-RU.РА04.В.93998/24, ЕАЭС N RU Д-RU.РА04.В.94346/24</t>
  </si>
  <si>
    <t>SU001800</t>
  </si>
  <si>
    <t>P001800</t>
  </si>
  <si>
    <t>ЕАЭС N RU Д-RU.РА02.В.63029/22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</si>
  <si>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</si>
  <si>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</si>
  <si>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</si>
  <si>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</si>
  <si>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</si>
  <si>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</si>
  <si>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</si>
  <si>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</si>
  <si>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</si>
  <si>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SU001727</t>
  </si>
  <si>
    <t>P002205</t>
  </si>
  <si>
    <t>ЕАЭС N RU Д-RU.РА01.В.53892/25, ЕАЭС N RU Д-RU.РА10.В.03664/24</t>
  </si>
  <si>
    <t>SU003333</t>
  </si>
  <si>
    <t>P004082</t>
  </si>
  <si>
    <t>ЕАЭС N RU Д-RU.РА02.В.37037/25, ЕАЭС N RU Д-RU.РА04.В.49333/24</t>
  </si>
  <si>
    <t>SU001763</t>
  </si>
  <si>
    <t>P002206</t>
  </si>
  <si>
    <t>ЕАЭС N RU Д-RU.РА10.В.03664/24, ЕАЭС № RU Д-RU.АБ75.В.00703/19</t>
  </si>
  <si>
    <t>SU001762</t>
  </si>
  <si>
    <t>P002208</t>
  </si>
  <si>
    <t>ЕАЭС N RU Д-RU.РА10.В.11265/24, ЕАЭС № RU Д-RU.АБ75.В.00704/19</t>
  </si>
  <si>
    <t>Бавария</t>
  </si>
  <si>
    <t>SU002252</t>
  </si>
  <si>
    <t>P002461</t>
  </si>
  <si>
    <t>ЕАЭС N RU Д-RU.PA01.B.88489/21</t>
  </si>
  <si>
    <t>SU003167</t>
  </si>
  <si>
    <t>P003363</t>
  </si>
  <si>
    <t>ЕАЭС N RU Д-RU.РА05.В.42328/23, ЕАЭС N RU Д-RU.РА05.В.42627/23</t>
  </si>
  <si>
    <t>Особый рецепт</t>
  </si>
  <si>
    <t>Особая Без свинины</t>
  </si>
  <si>
    <t>SU002187</t>
  </si>
  <si>
    <t>P002559</t>
  </si>
  <si>
    <t>ЕАЭС N RU Д-RU.РА01.В.58959/20, ЕАЭС N RU Д-RU.РА01.В.58970/20, ЕАЭС N RU Д-RU.РА09.В.43414/22</t>
  </si>
  <si>
    <t>SU003426</t>
  </si>
  <si>
    <t>P004258</t>
  </si>
  <si>
    <t>ЕАЭС N RU Д-RU.РА03.В.31251/24, ЕАЭС N RU Д-RU.РА09.В.96881/24, ЕАЭС N RU Д-RU.РА10.В.04488/24</t>
  </si>
  <si>
    <t>SU002360</t>
  </si>
  <si>
    <t>P004227</t>
  </si>
  <si>
    <t>ЕАЭС N RU Д-RU.РА02.В.61652/24</t>
  </si>
  <si>
    <t>SU002361</t>
  </si>
  <si>
    <t>P004228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</si>
  <si>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</si>
  <si>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</si>
  <si>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</si>
  <si>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</si>
  <si>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</si>
  <si>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</si>
  <si>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ЕАЭС N RU Д-RU.РА03.В.21982/24, ЕАЭС N RU Д-RU.РА03.В.22955/24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</si>
  <si>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</si>
  <si>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</si>
  <si>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</si>
  <si>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</si>
  <si>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</si>
  <si>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</si>
  <si>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</si>
  <si>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</si>
  <si>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</si>
  <si>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</si>
  <si>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P004686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</si>
  <si>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</si>
  <si>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</si>
  <si>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</si>
  <si>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</si>
  <si>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</si>
  <si>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</si>
  <si>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</si>
  <si>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</si>
  <si>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P004685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</si>
  <si>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</si>
  <si>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</si>
  <si>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</si>
  <si>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</si>
  <si>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</si>
  <si>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SU003079</t>
  </si>
  <si>
    <t>P004547</t>
  </si>
  <si>
    <t>В/к колбасы «Сервелат Филейбургский с ароматными пряностями» срез Фикс.вес 0,28 фиброуз ТМ «Баварушка»</t>
  </si>
  <si>
    <t>ЕАЭС N RU Д-RU.РА02.В.65693/23</t>
  </si>
  <si>
    <t>SU002602</t>
  </si>
  <si>
    <t>P004518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</si>
  <si>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</si>
  <si>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</si>
  <si>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</si>
  <si>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</si>
  <si>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SU002603</t>
  </si>
  <si>
    <t>P004519</t>
  </si>
  <si>
    <t>SU002285</t>
  </si>
  <si>
    <t>P002969</t>
  </si>
  <si>
    <t>ЕАЭС N RU Д-RU.РА02.В.28328/22</t>
  </si>
  <si>
    <t>Балыкбургская</t>
  </si>
  <si>
    <t>SU003500</t>
  </si>
  <si>
    <t>P004400</t>
  </si>
  <si>
    <t>ЕАЭС N RU Д-RU.РА01.В.42181/22</t>
  </si>
  <si>
    <t>SU002612</t>
  </si>
  <si>
    <t>P004327</t>
  </si>
  <si>
    <t>ЕАЭС N RU Д-RU.РА02.В.66890/23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</si>
  <si>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</si>
  <si>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</si>
  <si>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</si>
  <si>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</si>
  <si>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</si>
  <si>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</si>
  <si>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</si>
  <si>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</si>
  <si>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</si>
  <si>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</si>
  <si>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</si>
  <si>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</si>
  <si>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SU003505</t>
  </si>
  <si>
    <t>P004924</t>
  </si>
  <si>
    <t>Копченые колбасы «Краковюрст» Фикс.вес 0,28 NDX ТМ «Баварушка»</t>
  </si>
  <si>
    <t>ЕАЭС N RU Д-RU.РА07.В.99597/24</t>
  </si>
  <si>
    <t>Бюргерсы</t>
  </si>
  <si>
    <t>SU003132</t>
  </si>
  <si>
    <t>P003718</t>
  </si>
  <si>
    <t>ЕАЭС N RU Д-RU.РА02.В.61667/24</t>
  </si>
  <si>
    <t>P004892</t>
  </si>
  <si>
    <t>Копченые колбасы «Колбаски Бюргерсы с сыром» Фикс.вес 0,27 черева ТМ «Баварушка»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</si>
  <si>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</si>
  <si>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</si>
  <si>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</si>
  <si>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</si>
  <si>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</si>
  <si>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</si>
  <si>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</si>
  <si>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SU002635</t>
  </si>
  <si>
    <t>P004403</t>
  </si>
  <si>
    <t>ЕАЭС N RU Д-RU.РА02.В.51764/24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</si>
  <si>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</si>
  <si>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</si>
  <si>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</si>
  <si>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</si>
  <si>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ЕАЭС N RU Д-RU.РА03.В.56116/24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</si>
  <si>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</si>
  <si>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</si>
  <si>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</si>
  <si>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</si>
  <si>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</si>
  <si>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</si>
  <si>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</si>
  <si>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Д-RU.РА07.В.78433/22</t>
  </si>
  <si>
    <t>SU003813</t>
  </si>
  <si>
    <t>P004854</t>
  </si>
  <si>
    <t>ЕАЭС N RU Д-RU.РА10.В.31672/23</t>
  </si>
  <si>
    <t>SU003848</t>
  </si>
  <si>
    <t>P004918</t>
  </si>
  <si>
    <t>В/к колбасы «Рубленая запеченная» Фикс.вес 0,4 полиамид ТМ «Стародворье»</t>
  </si>
  <si>
    <t>ЕАЭС N RU Д-RU.РА04.В.72302/24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</si>
  <si>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</si>
  <si>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</si>
  <si>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</si>
  <si>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</si>
  <si>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P004469</t>
  </si>
  <si>
    <t>В/к колбасы «Салями Запеченая» Фикс.вес 0,6 Вектор ТМ «Дугушка»</t>
  </si>
  <si>
    <t>ЕАЭС N RU Д-RU.РА04.В.71173/24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</si>
  <si>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</si>
  <si>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</si>
  <si>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</si>
  <si>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</si>
  <si>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</si>
  <si>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</si>
  <si>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</si>
  <si>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</si>
  <si>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</si>
  <si>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</si>
  <si>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</si>
  <si>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</si>
  <si>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</si>
  <si>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</si>
  <si>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</si>
  <si>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</si>
  <si>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</si>
  <si>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</si>
  <si>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</si>
  <si>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</si>
  <si>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</si>
  <si>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</si>
  <si>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</si>
  <si>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</si>
  <si>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SU003296</t>
  </si>
  <si>
    <t>P004002</t>
  </si>
  <si>
    <t>Вареные колбасы «Молочная» Фикс.вес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</si>
  <si>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</si>
  <si>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</si>
  <si>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</si>
  <si>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</si>
  <si>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</si>
  <si>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</si>
  <si>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</si>
  <si>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</si>
  <si>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</si>
  <si>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</si>
  <si>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</si>
  <si>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</si>
  <si>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</si>
  <si>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</si>
  <si>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</si>
  <si>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</si>
  <si>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</si>
  <si>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</si>
  <si>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</si>
  <si>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</si>
  <si>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</si>
  <si>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</si>
  <si>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ЕАЭС N RU Д-RU.РА05.В.95896/23</t>
  </si>
  <si>
    <t>SU002856</t>
  </si>
  <si>
    <t>P003257</t>
  </si>
  <si>
    <t>В/к колбасы «Сервелат Рижский» срез Фикс.вес 0,28 Фиброуз в/у ТМ «Зареченские»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</si>
  <si>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</si>
  <si>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</si>
  <si>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</si>
  <si>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</si>
  <si>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</si>
  <si>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</si>
  <si>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</si>
  <si>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ЕАЭС N RU Д-RU.РА05.В.94085/23</t>
  </si>
  <si>
    <t>SU002922</t>
  </si>
  <si>
    <t>P004880</t>
  </si>
  <si>
    <t>Сосиски «Сочные» Фикс.вес 0,3 п/а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</si>
  <si>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</si>
  <si>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</si>
  <si>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</si>
  <si>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</si>
  <si>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</si>
  <si>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SU002964</t>
  </si>
  <si>
    <t>P003419</t>
  </si>
  <si>
    <t>Вареные колбасы «Мясная» Весовой п/а ТМ «Зареченские»</t>
  </si>
  <si>
    <t>ЕАЭС N RU Д-RU.РА05.В.10460/23</t>
  </si>
  <si>
    <t>SU002966</t>
  </si>
  <si>
    <t>P003416</t>
  </si>
  <si>
    <t>В/к колбасы «Рубленая» Весовой фиброуз ТМ «Зареченские»</t>
  </si>
  <si>
    <t>ЕАЭС N RU Д-RU.РА05.В.10382/23</t>
  </si>
  <si>
    <t>SU002965</t>
  </si>
  <si>
    <t>P003415</t>
  </si>
  <si>
    <t>В/к колбасы «Сервелат Зернистый» Весовой фиброуз ТМ «Зареченские»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</si>
  <si>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</si>
  <si>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</si>
  <si>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</si>
  <si>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</si>
  <si>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</si>
  <si>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SU002968</t>
  </si>
  <si>
    <t>P003421</t>
  </si>
  <si>
    <t>Сосиски «Молочные классические» Весовой п/а ТМ «Зареченские»</t>
  </si>
  <si>
    <t>ЕАЭС N RU Д-RU.РА05.В.10146/23</t>
  </si>
  <si>
    <t>SU003329</t>
  </si>
  <si>
    <t>P004069</t>
  </si>
  <si>
    <t>Сосиски «Сливочные классические» Весовой п/а ТМ «Зареченские»</t>
  </si>
  <si>
    <t>ЕАЭС N RU Д-RU.РА05.В.10092/23</t>
  </si>
  <si>
    <t>SU003331</t>
  </si>
  <si>
    <t>P004072</t>
  </si>
  <si>
    <t>Сардельки «Шпикачки Сочные» Весовой NDX ТМ «Зареченские»</t>
  </si>
  <si>
    <t>ЕАЭС N RU Д-RU.РА05.В.12044/23</t>
  </si>
  <si>
    <t>MSDAX_КИ_ИОСГ_ЦСК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</si>
  <si>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</si>
  <si>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</si>
  <si>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</si>
  <si>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</si>
  <si>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</si>
  <si>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</si>
  <si>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</si>
  <si>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</si>
  <si>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</si>
  <si>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10-40%</t>
  </si>
  <si>
    <t>40-60%</t>
  </si>
  <si>
    <t>60-80%</t>
  </si>
  <si>
    <t>Аутсор.10%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</si>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</sst>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#,##0.0000_ ;[Red]\-#,##0.0000\ "/>
    <numFmt numFmtId="169" formatCode="0.0000"/>
    <numFmt numFmtId="170" formatCode="0.00_ ;\-0.00\ "/>
    <numFmt numFmtId="171" formatCode="0.000_ ;\-0.000\ "/>
  </numFmts>
  <fonts count="512" x14ac:knownFonts="1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10"/>
      <name val="Arial Cyr"/>
      <charset val="204"/>
    </font>
    <font>
      <b/>
      <sz val="8"/>
      <color indexed="8"/>
      <name val="Arial Cyr"/>
      <charset val="204"/>
    </font>
    <font>
      <b/>
      <sz val="10"/>
      <color indexed="13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8"/>
      <name val="Arial Cyr"/>
      <charset val="204"/>
    </font>
    <font>
      <b/>
      <sz val="10"/>
      <name val="Arial Cyr"/>
      <family val="2"/>
      <charset val="204"/>
    </font>
    <font>
      <b/>
      <sz val="8"/>
      <name val="Arial Cyr"/>
      <family val="2"/>
      <charset val="204"/>
    </font>
    <font>
      <sz val="11"/>
      <name val="Arial Narrow"/>
      <family val="2"/>
      <charset val="204"/>
    </font>
    <font>
      <sz val="9"/>
      <color indexed="43"/>
      <name val="Arial Cyr"/>
      <charset val="204"/>
    </font>
    <font>
      <b/>
      <sz val="9"/>
      <name val="Arial Narrow"/>
      <family val="2"/>
      <charset val="204"/>
    </font>
    <font>
      <b/>
      <sz val="10"/>
      <name val="Arial Narrow"/>
      <family val="2"/>
      <charset val="204"/>
    </font>
    <font>
      <b/>
      <sz val="11"/>
      <name val="Arial Narrow"/>
      <family val="2"/>
      <charset val="204"/>
    </font>
    <font>
      <b/>
      <sz val="11"/>
      <name val="Arial Cyr"/>
      <family val="2"/>
      <charset val="204"/>
    </font>
    <font>
      <sz val="10"/>
      <name val="Arial Cyr"/>
      <family val="2"/>
      <charset val="204"/>
    </font>
    <font>
      <vertAlign val="superscript"/>
      <sz val="10"/>
      <color indexed="8"/>
      <name val="Arial Cyr"/>
      <charset val="204"/>
    </font>
    <font>
      <sz val="8"/>
      <name val="Arial Narrow"/>
      <family val="2"/>
      <charset val="204"/>
    </font>
    <font>
      <b/>
      <sz val="16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0"/>
      <color theme="0"/>
      <name val="Arial Cyr"/>
      <charset val="204"/>
    </font>
    <font>
      <b/>
      <sz val="9"/>
      <color theme="1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8"/>
      <color theme="1"/>
      <name val="Arial Cyr"/>
      <charset val="204"/>
    </font>
    <font>
      <b/>
      <sz val="16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vertAlign val="superscript"/>
      <sz val="10"/>
      <color theme="1"/>
      <name val="Arial Cyr"/>
      <charset val="204"/>
    </font>
    <font>
      <b/>
      <sz val="8"/>
      <color rgb="FF651C32"/>
      <name val="Arial Cyr"/>
      <charset val="204"/>
    </font>
    <font>
      <b/>
      <sz val="8"/>
      <color theme="1"/>
      <name val="Arial Cyr"/>
      <family val="2"/>
      <charset val="204"/>
    </font>
    <font>
      <b/>
      <sz val="11"/>
      <color rgb="FF651C32"/>
      <name val="Arial Cyr"/>
      <family val="2"/>
      <charset val="204"/>
    </font>
    <font>
      <sz val="11"/>
      <color rgb="FF651C32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sz val="8"/>
      <color theme="1"/>
      <name val="Arial Narrow"/>
      <family val="2"/>
      <charset val="204"/>
    </font>
    <font>
      <b/>
      <sz val="10"/>
      <color theme="1"/>
      <name val="Arial Cyr"/>
      <charset val="204"/>
    </font>
    <font>
      <b/>
      <u/>
      <sz val="14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FF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b/>
      <sz val="8"/>
      <color rgb="FF000000"/>
      <name val="Arial Cyr"/>
      <charset val="204"/>
    </font>
  </fonts>
  <fills count="3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E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100"/>
        <bgColor indexed="64"/>
      </patternFill>
    </fill>
    <fill>
      <patternFill patternType="solid">
        <fgColor rgb="FFF6EFD1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9" tint="0.79998168889431442"/>
        <bgColor indexed="64"/>
      </patternFill>
    </fill>
  </fills>
  <borders count="20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medium">
        <color indexed="64"/>
      </bottom>
      <diagonal/>
    </border>
    <border>
      <left/>
      <right/>
      <top style="thin">
        <color rgb="FF651C32"/>
      </top>
      <bottom/>
      <diagonal/>
    </border>
  </borders>
  <cellStyleXfs count="62">
    <xf numFmtId="0" fontId="0" fillId="0" borderId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2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1" fillId="16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2" fillId="2" borderId="1" applyNumberFormat="0" applyAlignment="0" applyProtection="0"/>
    <xf numFmtId="0" fontId="13" fillId="9" borderId="6" applyNumberFormat="0" applyAlignment="0" applyProtection="0"/>
    <xf numFmtId="0" fontId="14" fillId="9" borderId="1" applyNumberFormat="0" applyAlignment="0" applyProtection="0"/>
    <xf numFmtId="0" fontId="15" fillId="0" borderId="7" applyNumberFormat="0" applyFill="0" applyAlignment="0" applyProtection="0"/>
    <xf numFmtId="0" fontId="16" fillId="0" borderId="3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22" borderId="2" applyNumberFormat="0" applyAlignment="0" applyProtection="0"/>
    <xf numFmtId="0" fontId="20" fillId="0" borderId="0" applyNumberFormat="0" applyFill="0" applyBorder="0" applyAlignment="0" applyProtection="0"/>
    <xf numFmtId="0" fontId="21" fillId="11" borderId="0" applyNumberFormat="0" applyBorder="0" applyAlignment="0" applyProtection="0"/>
    <xf numFmtId="0" fontId="2" fillId="0" borderId="0"/>
    <xf numFmtId="0" fontId="9" fillId="0" borderId="0"/>
    <xf numFmtId="0" fontId="2" fillId="0" borderId="0"/>
    <xf numFmtId="0" fontId="9" fillId="0" borderId="0"/>
    <xf numFmtId="0" fontId="40" fillId="0" borderId="0"/>
    <xf numFmtId="0" fontId="22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9" fillId="3" borderId="5" applyNumberFormat="0" applyFont="0" applyAlignment="0" applyProtection="0"/>
    <xf numFmtId="0" fontId="24" fillId="0" borderId="4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12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2" fillId="0" borderId="0"/>
    <xf numFmtId="0" fontId="2" fillId="0" borderId="0"/>
    <xf numFmtId="0" fontId="2" fillId="3" borderId="5" applyNumberFormat="0" applyFont="0" applyAlignment="0" applyProtection="0"/>
  </cellStyleXfs>
  <cellXfs count="637">
    <xf numFmtId="0" fontId="0" fillId="0" borderId="0" xfId="0"/>
    <xf numFmtId="0" fontId="6" fillId="0" borderId="0" xfId="0" applyFont="1" applyFill="1" applyBorder="1" applyAlignment="1" applyProtection="1">
      <alignment horizontal="right"/>
      <protection hidden="1"/>
    </xf>
    <xf numFmtId="0" fontId="6" fillId="0" borderId="0" xfId="0" applyFont="1" applyFill="1" applyProtection="1">
      <protection hidden="1"/>
    </xf>
    <xf numFmtId="0" fontId="0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164" fontId="5" fillId="0" borderId="0" xfId="0" applyNumberFormat="1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center"/>
    </xf>
    <xf numFmtId="0" fontId="7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/>
    <xf numFmtId="0" fontId="0" fillId="0" borderId="0" xfId="0" applyFill="1" applyProtection="1">
      <protection locked="0" hidden="1"/>
    </xf>
    <xf numFmtId="0" fontId="8" fillId="0" borderId="0" xfId="0" applyFont="1" applyFill="1" applyProtection="1"/>
    <xf numFmtId="0" fontId="5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right"/>
      <protection hidden="1"/>
    </xf>
    <xf numFmtId="0" fontId="31" fillId="0" borderId="0" xfId="0" applyFont="1" applyFill="1" applyProtection="1">
      <protection hidden="1"/>
    </xf>
    <xf numFmtId="0" fontId="4" fillId="0" borderId="0" xfId="0" applyFont="1" applyFill="1" applyBorder="1" applyAlignment="1" applyProtection="1">
      <alignment horizontal="right" vertical="center" wrapText="1"/>
      <protection hidden="1"/>
    </xf>
    <xf numFmtId="0" fontId="29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0" fontId="0" fillId="0" borderId="0" xfId="0" applyFill="1" applyBorder="1" applyProtection="1">
      <protection hidden="1"/>
    </xf>
    <xf numFmtId="2" fontId="0" fillId="0" borderId="0" xfId="0" applyNumberFormat="1" applyFill="1" applyProtection="1">
      <protection hidden="1"/>
    </xf>
    <xf numFmtId="1" fontId="0" fillId="0" borderId="0" xfId="0" applyNumberFormat="1" applyFill="1" applyProtection="1">
      <protection hidden="1"/>
    </xf>
    <xf numFmtId="2" fontId="3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right" vertical="center"/>
      <protection hidden="1"/>
    </xf>
    <xf numFmtId="0" fontId="45" fillId="0" borderId="0" xfId="0" applyFont="1" applyFill="1" applyBorder="1" applyAlignment="1" applyProtection="1">
      <alignment horizontal="left" vertical="top" wrapText="1"/>
    </xf>
    <xf numFmtId="49" fontId="45" fillId="0" borderId="0" xfId="0" applyNumberFormat="1" applyFont="1" applyFill="1" applyBorder="1" applyAlignment="1" applyProtection="1">
      <alignment horizontal="left" vertical="center"/>
    </xf>
    <xf numFmtId="0" fontId="46" fillId="0" borderId="0" xfId="0" applyFont="1" applyFill="1" applyBorder="1" applyAlignment="1" applyProtection="1">
      <alignment horizontal="center" vertical="center" wrapText="1"/>
    </xf>
    <xf numFmtId="0" fontId="41" fillId="0" borderId="0" xfId="0" applyFont="1" applyFill="1" applyBorder="1" applyAlignment="1" applyProtection="1">
      <alignment vertical="center" wrapText="1"/>
    </xf>
    <xf numFmtId="49" fontId="30" fillId="24" borderId="22" xfId="0" applyNumberFormat="1" applyFont="1" applyFill="1" applyBorder="1" applyAlignment="1" applyProtection="1">
      <alignment horizontal="center" vertical="center"/>
    </xf>
    <xf numFmtId="49" fontId="47" fillId="0" borderId="0" xfId="0" applyNumberFormat="1" applyFont="1" applyFill="1" applyBorder="1" applyAlignment="1" applyProtection="1">
      <alignment horizontal="left" vertical="center"/>
    </xf>
    <xf numFmtId="49" fontId="30" fillId="25" borderId="22" xfId="0" applyNumberFormat="1" applyFont="1" applyFill="1" applyBorder="1" applyAlignment="1" applyProtection="1">
      <alignment horizontal="center" vertical="center"/>
    </xf>
    <xf numFmtId="0" fontId="42" fillId="0" borderId="0" xfId="0" applyFont="1" applyFill="1" applyBorder="1" applyAlignment="1" applyProtection="1">
      <alignment horizontal="center" vertical="center" wrapText="1"/>
    </xf>
    <xf numFmtId="0" fontId="48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horizontal="right"/>
    </xf>
    <xf numFmtId="0" fontId="28" fillId="0" borderId="0" xfId="0" applyFont="1" applyFill="1" applyBorder="1" applyAlignment="1" applyProtection="1">
      <alignment horizontal="center"/>
    </xf>
    <xf numFmtId="0" fontId="50" fillId="26" borderId="0" xfId="0" applyFont="1" applyFill="1" applyBorder="1" applyAlignment="1" applyProtection="1">
      <alignment horizontal="center" vertical="center"/>
    </xf>
    <xf numFmtId="14" fontId="50" fillId="26" borderId="0" xfId="0" applyNumberFormat="1" applyFont="1" applyFill="1" applyBorder="1" applyAlignment="1" applyProtection="1">
      <alignment vertical="center" wrapText="1"/>
    </xf>
    <xf numFmtId="0" fontId="50" fillId="26" borderId="0" xfId="0" applyFont="1" applyFill="1" applyBorder="1" applyAlignment="1" applyProtection="1">
      <alignment vertical="center" wrapText="1"/>
    </xf>
    <xf numFmtId="0" fontId="51" fillId="26" borderId="0" xfId="0" applyFont="1" applyFill="1" applyBorder="1" applyAlignment="1" applyProtection="1">
      <alignment vertical="center" wrapText="1"/>
    </xf>
    <xf numFmtId="0" fontId="43" fillId="26" borderId="10" xfId="0" applyFont="1" applyFill="1" applyBorder="1" applyAlignment="1" applyProtection="1">
      <alignment horizontal="center"/>
      <protection hidden="1"/>
    </xf>
    <xf numFmtId="0" fontId="52" fillId="26" borderId="10" xfId="0" applyFont="1" applyFill="1" applyBorder="1" applyAlignment="1" applyProtection="1">
      <alignment horizontal="center"/>
      <protection hidden="1"/>
    </xf>
    <xf numFmtId="0" fontId="53" fillId="0" borderId="0" xfId="0" applyFont="1" applyFill="1" applyBorder="1" applyAlignment="1" applyProtection="1">
      <alignment horizontal="right" vertical="center"/>
      <protection hidden="1"/>
    </xf>
    <xf numFmtId="0" fontId="53" fillId="0" borderId="0" xfId="0" applyFont="1" applyFill="1" applyBorder="1" applyAlignment="1" applyProtection="1">
      <alignment horizontal="right" vertical="center"/>
    </xf>
    <xf numFmtId="49" fontId="30" fillId="27" borderId="10" xfId="0" applyNumberFormat="1" applyFont="1" applyFill="1" applyBorder="1" applyAlignment="1" applyProtection="1">
      <alignment horizontal="left" vertical="center"/>
      <protection locked="0"/>
    </xf>
    <xf numFmtId="49" fontId="30" fillId="27" borderId="10" xfId="0" applyNumberFormat="1" applyFont="1" applyFill="1" applyBorder="1" applyAlignment="1" applyProtection="1">
      <alignment horizontal="left" vertical="center"/>
    </xf>
    <xf numFmtId="165" fontId="30" fillId="28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0" borderId="0" xfId="0" applyFill="1"/>
    <xf numFmtId="0" fontId="54" fillId="26" borderId="12" xfId="0" applyFont="1" applyFill="1" applyBorder="1" applyAlignment="1" applyProtection="1">
      <alignment horizontal="center" vertical="center" wrapText="1"/>
      <protection hidden="1"/>
    </xf>
    <xf numFmtId="0" fontId="4" fillId="26" borderId="13" xfId="0" applyFont="1" applyFill="1" applyBorder="1" applyAlignment="1" applyProtection="1">
      <alignment horizontal="center" vertical="center" wrapText="1"/>
      <protection hidden="1"/>
    </xf>
    <xf numFmtId="167" fontId="4" fillId="26" borderId="23" xfId="0" applyNumberFormat="1" applyFont="1" applyFill="1" applyBorder="1" applyAlignment="1" applyProtection="1">
      <alignment horizontal="right"/>
    </xf>
    <xf numFmtId="168" fontId="4" fillId="26" borderId="23" xfId="0" applyNumberFormat="1" applyFont="1" applyFill="1" applyBorder="1" applyAlignment="1" applyProtection="1">
      <alignment horizontal="right"/>
    </xf>
    <xf numFmtId="164" fontId="4" fillId="26" borderId="23" xfId="0" applyNumberFormat="1" applyFont="1" applyFill="1" applyBorder="1" applyAlignment="1" applyProtection="1">
      <alignment horizontal="right"/>
    </xf>
    <xf numFmtId="169" fontId="0" fillId="26" borderId="23" xfId="0" applyNumberFormat="1" applyFont="1" applyFill="1" applyBorder="1" applyAlignment="1" applyProtection="1">
      <alignment horizontal="center"/>
      <protection hidden="1"/>
    </xf>
    <xf numFmtId="166" fontId="30" fillId="27" borderId="10" xfId="0" applyNumberFormat="1" applyFont="1" applyFill="1" applyBorder="1" applyAlignment="1" applyProtection="1">
      <alignment horizontal="left" vertical="center"/>
      <protection locked="0"/>
    </xf>
    <xf numFmtId="49" fontId="30" fillId="25" borderId="10" xfId="0" applyNumberFormat="1" applyFont="1" applyFill="1" applyBorder="1" applyAlignment="1" applyProtection="1">
      <alignment vertical="center"/>
      <protection locked="0"/>
    </xf>
    <xf numFmtId="165" fontId="56" fillId="28" borderId="10" xfId="0" applyNumberFormat="1" applyFont="1" applyFill="1" applyBorder="1" applyAlignment="1" applyProtection="1">
      <alignment vertical="center"/>
      <protection locked="0"/>
    </xf>
    <xf numFmtId="0" fontId="57" fillId="26" borderId="17" xfId="0" applyFont="1" applyFill="1" applyBorder="1" applyAlignment="1" applyProtection="1">
      <alignment horizontal="center" vertical="center" wrapText="1"/>
      <protection hidden="1"/>
    </xf>
    <xf numFmtId="4" fontId="34" fillId="0" borderId="17" xfId="38" applyNumberFormat="1" applyFont="1" applyFill="1" applyBorder="1" applyAlignment="1" applyProtection="1">
      <alignment horizontal="center" vertical="center"/>
      <protection hidden="1"/>
    </xf>
    <xf numFmtId="0" fontId="51" fillId="26" borderId="0" xfId="0" applyFont="1" applyFill="1" applyBorder="1" applyAlignment="1" applyProtection="1">
      <alignment vertical="center" wrapText="1"/>
      <protection locked="0"/>
    </xf>
    <xf numFmtId="0" fontId="0" fillId="0" borderId="0" xfId="0" applyFill="1" applyProtection="1">
      <protection locked="0"/>
    </xf>
    <xf numFmtId="0" fontId="6" fillId="0" borderId="0" xfId="0" applyFont="1" applyFill="1" applyProtection="1">
      <protection locked="0"/>
    </xf>
    <xf numFmtId="0" fontId="0" fillId="0" borderId="0" xfId="0" applyFont="1" applyFill="1" applyProtection="1">
      <protection locked="0"/>
    </xf>
    <xf numFmtId="0" fontId="51" fillId="26" borderId="0" xfId="0" applyFont="1" applyFill="1" applyBorder="1" applyAlignment="1" applyProtection="1">
      <alignment horizontal="center" vertical="center" wrapText="1"/>
      <protection locked="0"/>
    </xf>
    <xf numFmtId="49" fontId="30" fillId="25" borderId="10" xfId="0" applyNumberFormat="1" applyFont="1" applyFill="1" applyBorder="1" applyAlignment="1" applyProtection="1">
      <alignment vertical="center"/>
      <protection hidden="1"/>
    </xf>
    <xf numFmtId="170" fontId="36" fillId="31" borderId="10" xfId="0" applyNumberFormat="1" applyFont="1" applyFill="1" applyBorder="1" applyAlignment="1" applyProtection="1">
      <alignment horizontal="right"/>
      <protection locked="0" hidden="1"/>
    </xf>
    <xf numFmtId="170" fontId="36" fillId="0" borderId="10" xfId="0" applyNumberFormat="1" applyFont="1" applyFill="1" applyBorder="1" applyAlignment="1" applyProtection="1">
      <alignment horizontal="right"/>
    </xf>
    <xf numFmtId="171" fontId="4" fillId="0" borderId="10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vertical="center"/>
      <protection hidden="1"/>
    </xf>
    <xf numFmtId="0" fontId="0" fillId="0" borderId="10" xfId="0" applyFill="1" applyBorder="1" applyProtection="1">
      <protection hidden="1"/>
    </xf>
    <xf numFmtId="0" fontId="33" fillId="26" borderId="10" xfId="0" applyNumberFormat="1" applyFont="1" applyFill="1" applyBorder="1" applyAlignment="1" applyProtection="1">
      <alignment horizontal="left" vertical="center" wrapText="1"/>
      <protection hidden="1"/>
    </xf>
    <xf numFmtId="0" fontId="6" fillId="0" borderId="0" xfId="0" applyFont="1" applyFill="1" applyAlignment="1" applyProtection="1">
      <alignment wrapText="1"/>
      <protection hidden="1"/>
    </xf>
    <xf numFmtId="0" fontId="0" fillId="0" borderId="0" xfId="0" applyFont="1" applyFill="1" applyAlignment="1" applyProtection="1">
      <alignment wrapText="1"/>
      <protection hidden="1"/>
    </xf>
    <xf numFmtId="0" fontId="49" fillId="0" borderId="0" xfId="0" applyFont="1" applyFill="1" applyBorder="1" applyAlignment="1" applyProtection="1">
      <alignment horizontal="right" vertical="center"/>
      <protection hidden="1"/>
    </xf>
    <xf numFmtId="0" fontId="44" fillId="0" borderId="0" xfId="0" applyFont="1" applyFill="1" applyAlignment="1" applyProtection="1">
      <alignment vertical="center"/>
      <protection hidden="1"/>
    </xf>
    <xf numFmtId="0" fontId="61" fillId="0" borderId="0" xfId="0" applyFont="1" applyFill="1" applyBorder="1" applyAlignment="1" applyProtection="1">
      <alignment horizontal="center" vertical="center" wrapText="1"/>
      <protection locked="0" hidden="1"/>
    </xf>
    <xf numFmtId="0" fontId="54" fillId="26" borderId="13" xfId="0" applyFont="1" applyFill="1" applyBorder="1" applyAlignment="1" applyProtection="1">
      <alignment horizontal="center" vertical="center" wrapText="1"/>
      <protection hidden="1"/>
    </xf>
    <xf numFmtId="4" fontId="44" fillId="0" borderId="0" xfId="0" applyNumberFormat="1" applyFont="1" applyFill="1" applyProtection="1">
      <protection hidden="1"/>
    </xf>
    <xf numFmtId="0" fontId="4" fillId="26" borderId="10" xfId="0" applyFont="1" applyFill="1" applyBorder="1" applyAlignment="1" applyProtection="1">
      <alignment horizontal="center" vertical="center" wrapText="1"/>
      <protection hidden="1"/>
    </xf>
    <xf numFmtId="49" fontId="47" fillId="0" borderId="10" xfId="0" applyNumberFormat="1" applyFont="1" applyFill="1" applyBorder="1" applyAlignment="1">
      <alignment horizontal="center" vertical="center" wrapText="1"/>
    </xf>
    <xf numFmtId="1" fontId="47" fillId="0" borderId="10" xfId="0" applyNumberFormat="1" applyFont="1" applyFill="1" applyBorder="1" applyAlignment="1">
      <alignment horizontal="center" vertical="center"/>
    </xf>
    <xf numFmtId="2" fontId="3" fillId="0" borderId="10" xfId="0" applyNumberFormat="1" applyFont="1" applyFill="1" applyBorder="1" applyAlignment="1" applyProtection="1">
      <alignment horizontal="center" vertical="center"/>
      <protection hidden="1"/>
    </xf>
    <xf numFmtId="0" fontId="3" fillId="0" borderId="10" xfId="0" applyNumberFormat="1" applyFont="1" applyFill="1" applyBorder="1" applyAlignment="1" applyProtection="1">
      <alignment horizontal="center" vertical="center"/>
      <protection hidden="1"/>
    </xf>
    <xf numFmtId="1" fontId="3" fillId="0" borderId="10" xfId="0" applyNumberFormat="1" applyFont="1" applyFill="1" applyBorder="1" applyAlignment="1" applyProtection="1">
      <alignment horizontal="center" vertical="center"/>
      <protection hidden="1"/>
    </xf>
    <xf numFmtId="1" fontId="3" fillId="0" borderId="10" xfId="0" applyNumberFormat="1" applyFont="1" applyFill="1" applyBorder="1" applyAlignment="1" applyProtection="1">
      <alignment horizontal="center" vertical="center"/>
    </xf>
    <xf numFmtId="2" fontId="3" fillId="0" borderId="10" xfId="0" applyNumberFormat="1" applyFont="1" applyFill="1" applyBorder="1" applyAlignment="1" applyProtection="1">
      <alignment horizontal="center"/>
    </xf>
    <xf numFmtId="0" fontId="38" fillId="0" borderId="17" xfId="0" applyFont="1" applyFill="1" applyBorder="1" applyAlignment="1" applyProtection="1">
      <alignment horizontal="center" vertical="center" wrapText="1"/>
      <protection hidden="1"/>
    </xf>
    <xf numFmtId="0" fontId="4" fillId="26" borderId="31" xfId="0" applyFont="1" applyFill="1" applyBorder="1" applyAlignment="1" applyProtection="1">
      <alignment horizontal="center" vertical="center" wrapText="1"/>
      <protection hidden="1"/>
    </xf>
    <xf numFmtId="0" fontId="4" fillId="26" borderId="32" xfId="0" applyFont="1" applyFill="1" applyBorder="1" applyAlignment="1" applyProtection="1">
      <alignment horizontal="center" vertical="center" wrapText="1"/>
      <protection hidden="1"/>
    </xf>
    <xf numFmtId="0" fontId="4" fillId="26" borderId="34" xfId="0" applyFont="1" applyFill="1" applyBorder="1" applyAlignment="1" applyProtection="1">
      <alignment horizontal="center" vertical="center" wrapText="1"/>
      <protection hidden="1"/>
    </xf>
    <xf numFmtId="0" fontId="4" fillId="26" borderId="35" xfId="0" applyFont="1" applyFill="1" applyBorder="1" applyAlignment="1" applyProtection="1">
      <alignment horizontal="center" vertical="center" wrapText="1"/>
      <protection hidden="1"/>
    </xf>
    <xf numFmtId="0" fontId="4" fillId="26" borderId="36" xfId="0" applyFont="1" applyFill="1" applyBorder="1" applyAlignment="1" applyProtection="1">
      <alignment horizontal="center" vertical="center" wrapText="1"/>
      <protection hidden="1"/>
    </xf>
    <xf numFmtId="0" fontId="4" fillId="26" borderId="37" xfId="0" applyFont="1" applyFill="1" applyBorder="1" applyAlignment="1" applyProtection="1">
      <alignment horizontal="center" vertical="center" wrapText="1"/>
      <protection hidden="1"/>
    </xf>
    <xf numFmtId="0" fontId="4" fillId="26" borderId="38" xfId="0" applyFont="1" applyFill="1" applyBorder="1" applyAlignment="1" applyProtection="1">
      <alignment horizontal="center" vertical="center" wrapText="1"/>
      <protection hidden="1"/>
    </xf>
    <xf numFmtId="0" fontId="4" fillId="26" borderId="39" xfId="0" applyFont="1" applyFill="1" applyBorder="1" applyAlignment="1" applyProtection="1">
      <alignment horizontal="center" vertical="center" wrapText="1"/>
      <protection hidden="1"/>
    </xf>
    <xf numFmtId="0" fontId="4" fillId="26" borderId="40" xfId="0" applyFont="1" applyFill="1" applyBorder="1" applyAlignment="1" applyProtection="1">
      <alignment horizontal="center" vertical="center" wrapText="1"/>
      <protection hidden="1"/>
    </xf>
    <xf numFmtId="0" fontId="4" fillId="26" borderId="41" xfId="0" applyFont="1" applyFill="1" applyBorder="1" applyAlignment="1" applyProtection="1">
      <alignment horizontal="center" vertical="center" wrapText="1"/>
      <protection hidden="1"/>
    </xf>
    <xf numFmtId="171" fontId="4" fillId="0" borderId="45" xfId="0" applyNumberFormat="1" applyFont="1" applyFill="1" applyBorder="1" applyAlignment="1" applyProtection="1">
      <alignment horizontal="center"/>
    </xf>
    <xf numFmtId="0" fontId="63" fillId="0" borderId="0" xfId="0" applyFont="1"/>
    <xf numFmtId="171" fontId="64" fillId="0" borderId="46" xfId="0" applyNumberFormat="1" applyFont="1" applyFill="1" applyBorder="1" applyAlignment="1" applyProtection="1">
      <alignment horizontal="center" wrapText="1"/>
    </xf>
    <xf numFmtId="0" fontId="66" fillId="0" borderId="0" xfId="0" applyFont="1"/>
    <xf numFmtId="171" fontId="67" fillId="0" borderId="47" xfId="0" applyNumberFormat="1" applyFont="1" applyFill="1" applyBorder="1" applyAlignment="1" applyProtection="1">
      <alignment horizontal="center" wrapText="1"/>
    </xf>
    <xf numFmtId="167" fontId="4" fillId="26" borderId="48" xfId="0" applyNumberFormat="1" applyFont="1" applyFill="1" applyBorder="1" applyAlignment="1" applyProtection="1">
      <alignment horizontal="right"/>
    </xf>
    <xf numFmtId="167" fontId="4" fillId="26" borderId="49" xfId="0" applyNumberFormat="1" applyFont="1" applyFill="1" applyBorder="1" applyAlignment="1" applyProtection="1">
      <alignment horizontal="right"/>
    </xf>
    <xf numFmtId="0" fontId="6" fillId="0" borderId="50" xfId="0" applyFont="1" applyFill="1" applyBorder="1" applyProtection="1">
      <protection hidden="1"/>
    </xf>
    <xf numFmtId="0" fontId="69" fillId="0" borderId="0" xfId="0" applyFont="1"/>
    <xf numFmtId="171" fontId="70" fillId="0" borderId="51" xfId="0" applyNumberFormat="1" applyFont="1" applyFill="1" applyBorder="1" applyAlignment="1" applyProtection="1">
      <alignment horizontal="center" wrapText="1"/>
    </xf>
    <xf numFmtId="167" fontId="4" fillId="26" borderId="52" xfId="0" applyNumberFormat="1" applyFont="1" applyFill="1" applyBorder="1" applyAlignment="1" applyProtection="1">
      <alignment horizontal="right"/>
    </xf>
    <xf numFmtId="167" fontId="4" fillId="26" borderId="53" xfId="0" applyNumberFormat="1" applyFont="1" applyFill="1" applyBorder="1" applyAlignment="1" applyProtection="1">
      <alignment horizontal="right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72" fillId="0" borderId="0" xfId="0" applyFont="1"/>
    <xf numFmtId="171" fontId="73" fillId="0" borderId="57" xfId="0" applyNumberFormat="1" applyFont="1" applyFill="1" applyBorder="1" applyAlignment="1" applyProtection="1">
      <alignment horizontal="center" wrapText="1"/>
    </xf>
    <xf numFmtId="0" fontId="75" fillId="0" borderId="0" xfId="0" applyFont="1"/>
    <xf numFmtId="171" fontId="76" fillId="0" borderId="58" xfId="0" applyNumberFormat="1" applyFont="1" applyFill="1" applyBorder="1" applyAlignment="1" applyProtection="1">
      <alignment horizontal="center" wrapText="1"/>
    </xf>
    <xf numFmtId="0" fontId="78" fillId="0" borderId="0" xfId="0" applyFont="1"/>
    <xf numFmtId="171" fontId="79" fillId="0" borderId="59" xfId="0" applyNumberFormat="1" applyFont="1" applyFill="1" applyBorder="1" applyAlignment="1" applyProtection="1">
      <alignment horizontal="center" wrapText="1"/>
    </xf>
    <xf numFmtId="0" fontId="81" fillId="0" borderId="0" xfId="0" applyFont="1"/>
    <xf numFmtId="171" fontId="82" fillId="0" borderId="60" xfId="0" applyNumberFormat="1" applyFont="1" applyFill="1" applyBorder="1" applyAlignment="1" applyProtection="1">
      <alignment horizontal="center" wrapText="1"/>
    </xf>
    <xf numFmtId="0" fontId="84" fillId="0" borderId="0" xfId="0" applyFont="1"/>
    <xf numFmtId="171" fontId="85" fillId="0" borderId="61" xfId="0" applyNumberFormat="1" applyFont="1" applyFill="1" applyBorder="1" applyAlignment="1" applyProtection="1">
      <alignment horizontal="center" wrapText="1"/>
    </xf>
    <xf numFmtId="0" fontId="87" fillId="0" borderId="0" xfId="0" applyFont="1"/>
    <xf numFmtId="171" fontId="88" fillId="0" borderId="62" xfId="0" applyNumberFormat="1" applyFont="1" applyFill="1" applyBorder="1" applyAlignment="1" applyProtection="1">
      <alignment horizontal="center" wrapText="1"/>
    </xf>
    <xf numFmtId="0" fontId="90" fillId="0" borderId="0" xfId="0" applyFont="1"/>
    <xf numFmtId="171" fontId="91" fillId="0" borderId="63" xfId="0" applyNumberFormat="1" applyFont="1" applyFill="1" applyBorder="1" applyAlignment="1" applyProtection="1">
      <alignment horizontal="center" wrapText="1"/>
    </xf>
    <xf numFmtId="0" fontId="93" fillId="0" borderId="0" xfId="0" applyFont="1"/>
    <xf numFmtId="171" fontId="94" fillId="0" borderId="64" xfId="0" applyNumberFormat="1" applyFont="1" applyFill="1" applyBorder="1" applyAlignment="1" applyProtection="1">
      <alignment horizontal="center" wrapText="1"/>
    </xf>
    <xf numFmtId="0" fontId="96" fillId="0" borderId="0" xfId="0" applyFont="1"/>
    <xf numFmtId="171" fontId="97" fillId="0" borderId="65" xfId="0" applyNumberFormat="1" applyFont="1" applyFill="1" applyBorder="1" applyAlignment="1" applyProtection="1">
      <alignment horizontal="center" wrapText="1"/>
    </xf>
    <xf numFmtId="0" fontId="99" fillId="0" borderId="0" xfId="0" applyFont="1"/>
    <xf numFmtId="171" fontId="100" fillId="0" borderId="66" xfId="0" applyNumberFormat="1" applyFont="1" applyFill="1" applyBorder="1" applyAlignment="1" applyProtection="1">
      <alignment horizontal="center" wrapText="1"/>
    </xf>
    <xf numFmtId="0" fontId="102" fillId="0" borderId="0" xfId="0" applyFont="1"/>
    <xf numFmtId="171" fontId="103" fillId="0" borderId="67" xfId="0" applyNumberFormat="1" applyFont="1" applyFill="1" applyBorder="1" applyAlignment="1" applyProtection="1">
      <alignment horizontal="center" wrapText="1"/>
    </xf>
    <xf numFmtId="0" fontId="105" fillId="0" borderId="0" xfId="0" applyFont="1"/>
    <xf numFmtId="171" fontId="106" fillId="0" borderId="68" xfId="0" applyNumberFormat="1" applyFont="1" applyFill="1" applyBorder="1" applyAlignment="1" applyProtection="1">
      <alignment horizontal="center" wrapText="1"/>
    </xf>
    <xf numFmtId="0" fontId="108" fillId="0" borderId="0" xfId="0" applyFont="1"/>
    <xf numFmtId="171" fontId="109" fillId="0" borderId="69" xfId="0" applyNumberFormat="1" applyFont="1" applyFill="1" applyBorder="1" applyAlignment="1" applyProtection="1">
      <alignment horizontal="center" wrapText="1"/>
    </xf>
    <xf numFmtId="0" fontId="111" fillId="0" borderId="0" xfId="0" applyFont="1"/>
    <xf numFmtId="171" fontId="112" fillId="0" borderId="70" xfId="0" applyNumberFormat="1" applyFont="1" applyFill="1" applyBorder="1" applyAlignment="1" applyProtection="1">
      <alignment horizontal="center" wrapText="1"/>
    </xf>
    <xf numFmtId="0" fontId="114" fillId="0" borderId="0" xfId="0" applyFont="1"/>
    <xf numFmtId="171" fontId="115" fillId="0" borderId="71" xfId="0" applyNumberFormat="1" applyFont="1" applyFill="1" applyBorder="1" applyAlignment="1" applyProtection="1">
      <alignment horizontal="center" wrapText="1"/>
    </xf>
    <xf numFmtId="0" fontId="117" fillId="0" borderId="0" xfId="0" applyFont="1"/>
    <xf numFmtId="171" fontId="118" fillId="0" borderId="72" xfId="0" applyNumberFormat="1" applyFont="1" applyFill="1" applyBorder="1" applyAlignment="1" applyProtection="1">
      <alignment horizontal="center" wrapText="1"/>
    </xf>
    <xf numFmtId="0" fontId="120" fillId="0" borderId="0" xfId="0" applyFont="1"/>
    <xf numFmtId="171" fontId="121" fillId="0" borderId="73" xfId="0" applyNumberFormat="1" applyFont="1" applyFill="1" applyBorder="1" applyAlignment="1" applyProtection="1">
      <alignment horizontal="center" wrapText="1"/>
    </xf>
    <xf numFmtId="0" fontId="123" fillId="0" borderId="0" xfId="0" applyFont="1"/>
    <xf numFmtId="171" fontId="124" fillId="0" borderId="74" xfId="0" applyNumberFormat="1" applyFont="1" applyFill="1" applyBorder="1" applyAlignment="1" applyProtection="1">
      <alignment horizontal="center" wrapText="1"/>
    </xf>
    <xf numFmtId="0" fontId="126" fillId="0" borderId="0" xfId="0" applyFont="1"/>
    <xf numFmtId="171" fontId="127" fillId="0" borderId="75" xfId="0" applyNumberFormat="1" applyFont="1" applyFill="1" applyBorder="1" applyAlignment="1" applyProtection="1">
      <alignment horizontal="center" wrapText="1"/>
    </xf>
    <xf numFmtId="0" fontId="129" fillId="0" borderId="0" xfId="0" applyFont="1"/>
    <xf numFmtId="171" fontId="130" fillId="0" borderId="76" xfId="0" applyNumberFormat="1" applyFont="1" applyFill="1" applyBorder="1" applyAlignment="1" applyProtection="1">
      <alignment horizontal="center" wrapText="1"/>
    </xf>
    <xf numFmtId="0" fontId="132" fillId="0" borderId="0" xfId="0" applyFont="1"/>
    <xf numFmtId="171" fontId="133" fillId="0" borderId="77" xfId="0" applyNumberFormat="1" applyFont="1" applyFill="1" applyBorder="1" applyAlignment="1" applyProtection="1">
      <alignment horizontal="center" wrapText="1"/>
    </xf>
    <xf numFmtId="0" fontId="135" fillId="0" borderId="0" xfId="0" applyFont="1"/>
    <xf numFmtId="171" fontId="136" fillId="0" borderId="78" xfId="0" applyNumberFormat="1" applyFont="1" applyFill="1" applyBorder="1" applyAlignment="1" applyProtection="1">
      <alignment horizontal="center" wrapText="1"/>
    </xf>
    <xf numFmtId="0" fontId="138" fillId="0" borderId="0" xfId="0" applyFont="1"/>
    <xf numFmtId="171" fontId="139" fillId="0" borderId="79" xfId="0" applyNumberFormat="1" applyFont="1" applyFill="1" applyBorder="1" applyAlignment="1" applyProtection="1">
      <alignment horizontal="center" wrapText="1"/>
    </xf>
    <xf numFmtId="0" fontId="141" fillId="0" borderId="0" xfId="0" applyFont="1"/>
    <xf numFmtId="171" fontId="142" fillId="0" borderId="80" xfId="0" applyNumberFormat="1" applyFont="1" applyFill="1" applyBorder="1" applyAlignment="1" applyProtection="1">
      <alignment horizontal="center" wrapText="1"/>
    </xf>
    <xf numFmtId="0" fontId="144" fillId="0" borderId="0" xfId="0" applyFont="1"/>
    <xf numFmtId="171" fontId="145" fillId="0" borderId="81" xfId="0" applyNumberFormat="1" applyFont="1" applyFill="1" applyBorder="1" applyAlignment="1" applyProtection="1">
      <alignment horizontal="center" wrapText="1"/>
    </xf>
    <xf numFmtId="0" fontId="147" fillId="0" borderId="0" xfId="0" applyFont="1"/>
    <xf numFmtId="171" fontId="148" fillId="0" borderId="82" xfId="0" applyNumberFormat="1" applyFont="1" applyFill="1" applyBorder="1" applyAlignment="1" applyProtection="1">
      <alignment horizontal="center" wrapText="1"/>
    </xf>
    <xf numFmtId="0" fontId="150" fillId="0" borderId="0" xfId="0" applyFont="1"/>
    <xf numFmtId="171" fontId="151" fillId="0" borderId="83" xfId="0" applyNumberFormat="1" applyFont="1" applyFill="1" applyBorder="1" applyAlignment="1" applyProtection="1">
      <alignment horizontal="center" wrapText="1"/>
    </xf>
    <xf numFmtId="0" fontId="153" fillId="0" borderId="0" xfId="0" applyFont="1"/>
    <xf numFmtId="171" fontId="154" fillId="0" borderId="84" xfId="0" applyNumberFormat="1" applyFont="1" applyFill="1" applyBorder="1" applyAlignment="1" applyProtection="1">
      <alignment horizontal="center" wrapText="1"/>
    </xf>
    <xf numFmtId="0" fontId="156" fillId="0" borderId="0" xfId="0" applyFont="1"/>
    <xf numFmtId="171" fontId="157" fillId="0" borderId="85" xfId="0" applyNumberFormat="1" applyFont="1" applyFill="1" applyBorder="1" applyAlignment="1" applyProtection="1">
      <alignment horizontal="center" wrapText="1"/>
    </xf>
    <xf numFmtId="0" fontId="159" fillId="0" borderId="0" xfId="0" applyFont="1"/>
    <xf numFmtId="171" fontId="160" fillId="0" borderId="86" xfId="0" applyNumberFormat="1" applyFont="1" applyFill="1" applyBorder="1" applyAlignment="1" applyProtection="1">
      <alignment horizontal="center" wrapText="1"/>
    </xf>
    <xf numFmtId="0" fontId="162" fillId="0" borderId="0" xfId="0" applyFont="1"/>
    <xf numFmtId="171" fontId="163" fillId="0" borderId="87" xfId="0" applyNumberFormat="1" applyFont="1" applyFill="1" applyBorder="1" applyAlignment="1" applyProtection="1">
      <alignment horizontal="center" wrapText="1"/>
    </xf>
    <xf numFmtId="0" fontId="165" fillId="0" borderId="0" xfId="0" applyFont="1"/>
    <xf numFmtId="171" fontId="166" fillId="0" borderId="88" xfId="0" applyNumberFormat="1" applyFont="1" applyFill="1" applyBorder="1" applyAlignment="1" applyProtection="1">
      <alignment horizontal="center" wrapText="1"/>
    </xf>
    <xf numFmtId="0" fontId="168" fillId="0" borderId="0" xfId="0" applyFont="1"/>
    <xf numFmtId="171" fontId="169" fillId="0" borderId="89" xfId="0" applyNumberFormat="1" applyFont="1" applyFill="1" applyBorder="1" applyAlignment="1" applyProtection="1">
      <alignment horizontal="center" wrapText="1"/>
    </xf>
    <xf numFmtId="0" fontId="171" fillId="0" borderId="0" xfId="0" applyFont="1"/>
    <xf numFmtId="171" fontId="172" fillId="0" borderId="90" xfId="0" applyNumberFormat="1" applyFont="1" applyFill="1" applyBorder="1" applyAlignment="1" applyProtection="1">
      <alignment horizontal="center" wrapText="1"/>
    </xf>
    <xf numFmtId="0" fontId="174" fillId="0" borderId="0" xfId="0" applyFont="1"/>
    <xf numFmtId="171" fontId="175" fillId="0" borderId="91" xfId="0" applyNumberFormat="1" applyFont="1" applyFill="1" applyBorder="1" applyAlignment="1" applyProtection="1">
      <alignment horizontal="center" wrapText="1"/>
    </xf>
    <xf numFmtId="0" fontId="177" fillId="0" borderId="0" xfId="0" applyFont="1"/>
    <xf numFmtId="171" fontId="178" fillId="0" borderId="92" xfId="0" applyNumberFormat="1" applyFont="1" applyFill="1" applyBorder="1" applyAlignment="1" applyProtection="1">
      <alignment horizontal="center" wrapText="1"/>
    </xf>
    <xf numFmtId="0" fontId="180" fillId="0" borderId="0" xfId="0" applyFont="1"/>
    <xf numFmtId="171" fontId="181" fillId="0" borderId="93" xfId="0" applyNumberFormat="1" applyFont="1" applyFill="1" applyBorder="1" applyAlignment="1" applyProtection="1">
      <alignment horizontal="center" wrapText="1"/>
    </xf>
    <xf numFmtId="0" fontId="183" fillId="0" borderId="0" xfId="0" applyFont="1"/>
    <xf numFmtId="171" fontId="184" fillId="0" borderId="94" xfId="0" applyNumberFormat="1" applyFont="1" applyFill="1" applyBorder="1" applyAlignment="1" applyProtection="1">
      <alignment horizontal="center" wrapText="1"/>
    </xf>
    <xf numFmtId="0" fontId="186" fillId="0" borderId="0" xfId="0" applyFont="1"/>
    <xf numFmtId="171" fontId="187" fillId="0" borderId="95" xfId="0" applyNumberFormat="1" applyFont="1" applyFill="1" applyBorder="1" applyAlignment="1" applyProtection="1">
      <alignment horizontal="center" wrapText="1"/>
    </xf>
    <xf numFmtId="0" fontId="189" fillId="0" borderId="0" xfId="0" applyFont="1"/>
    <xf numFmtId="171" fontId="190" fillId="0" borderId="96" xfId="0" applyNumberFormat="1" applyFont="1" applyFill="1" applyBorder="1" applyAlignment="1" applyProtection="1">
      <alignment horizontal="center" wrapText="1"/>
    </xf>
    <xf numFmtId="0" fontId="192" fillId="0" borderId="0" xfId="0" applyFont="1"/>
    <xf numFmtId="171" fontId="193" fillId="0" borderId="97" xfId="0" applyNumberFormat="1" applyFont="1" applyFill="1" applyBorder="1" applyAlignment="1" applyProtection="1">
      <alignment horizontal="center" wrapText="1"/>
    </xf>
    <xf numFmtId="0" fontId="195" fillId="0" borderId="0" xfId="0" applyFont="1"/>
    <xf numFmtId="171" fontId="196" fillId="0" borderId="98" xfId="0" applyNumberFormat="1" applyFont="1" applyFill="1" applyBorder="1" applyAlignment="1" applyProtection="1">
      <alignment horizontal="center" wrapText="1"/>
    </xf>
    <xf numFmtId="0" fontId="198" fillId="0" borderId="0" xfId="0" applyFont="1"/>
    <xf numFmtId="171" fontId="199" fillId="0" borderId="99" xfId="0" applyNumberFormat="1" applyFont="1" applyFill="1" applyBorder="1" applyAlignment="1" applyProtection="1">
      <alignment horizontal="center" wrapText="1"/>
    </xf>
    <xf numFmtId="0" fontId="201" fillId="0" borderId="0" xfId="0" applyFont="1"/>
    <xf numFmtId="171" fontId="202" fillId="0" borderId="100" xfId="0" applyNumberFormat="1" applyFont="1" applyFill="1" applyBorder="1" applyAlignment="1" applyProtection="1">
      <alignment horizontal="center" wrapText="1"/>
    </xf>
    <xf numFmtId="0" fontId="204" fillId="0" borderId="0" xfId="0" applyFont="1"/>
    <xf numFmtId="171" fontId="205" fillId="0" borderId="101" xfId="0" applyNumberFormat="1" applyFont="1" applyFill="1" applyBorder="1" applyAlignment="1" applyProtection="1">
      <alignment horizontal="center" wrapText="1"/>
    </xf>
    <xf numFmtId="0" fontId="207" fillId="0" borderId="0" xfId="0" applyFont="1"/>
    <xf numFmtId="171" fontId="208" fillId="0" borderId="102" xfId="0" applyNumberFormat="1" applyFont="1" applyFill="1" applyBorder="1" applyAlignment="1" applyProtection="1">
      <alignment horizontal="center" wrapText="1"/>
    </xf>
    <xf numFmtId="0" fontId="210" fillId="0" borderId="0" xfId="0" applyFont="1"/>
    <xf numFmtId="171" fontId="211" fillId="0" borderId="103" xfId="0" applyNumberFormat="1" applyFont="1" applyFill="1" applyBorder="1" applyAlignment="1" applyProtection="1">
      <alignment horizontal="center" wrapText="1"/>
    </xf>
    <xf numFmtId="0" fontId="213" fillId="0" borderId="0" xfId="0" applyFont="1"/>
    <xf numFmtId="171" fontId="214" fillId="0" borderId="104" xfId="0" applyNumberFormat="1" applyFont="1" applyFill="1" applyBorder="1" applyAlignment="1" applyProtection="1">
      <alignment horizontal="center" wrapText="1"/>
    </xf>
    <xf numFmtId="0" fontId="216" fillId="0" borderId="0" xfId="0" applyFont="1"/>
    <xf numFmtId="171" fontId="217" fillId="0" borderId="105" xfId="0" applyNumberFormat="1" applyFont="1" applyFill="1" applyBorder="1" applyAlignment="1" applyProtection="1">
      <alignment horizontal="center" wrapText="1"/>
    </xf>
    <xf numFmtId="0" fontId="219" fillId="0" borderId="0" xfId="0" applyFont="1"/>
    <xf numFmtId="171" fontId="220" fillId="0" borderId="106" xfId="0" applyNumberFormat="1" applyFont="1" applyFill="1" applyBorder="1" applyAlignment="1" applyProtection="1">
      <alignment horizontal="center" wrapText="1"/>
    </xf>
    <xf numFmtId="0" fontId="222" fillId="0" borderId="0" xfId="0" applyFont="1"/>
    <xf numFmtId="171" fontId="223" fillId="0" borderId="107" xfId="0" applyNumberFormat="1" applyFont="1" applyFill="1" applyBorder="1" applyAlignment="1" applyProtection="1">
      <alignment horizontal="center" wrapText="1"/>
    </xf>
    <xf numFmtId="0" fontId="225" fillId="0" borderId="0" xfId="0" applyFont="1"/>
    <xf numFmtId="171" fontId="226" fillId="0" borderId="108" xfId="0" applyNumberFormat="1" applyFont="1" applyFill="1" applyBorder="1" applyAlignment="1" applyProtection="1">
      <alignment horizontal="center" wrapText="1"/>
    </xf>
    <xf numFmtId="0" fontId="228" fillId="0" borderId="0" xfId="0" applyFont="1"/>
    <xf numFmtId="171" fontId="229" fillId="0" borderId="109" xfId="0" applyNumberFormat="1" applyFont="1" applyFill="1" applyBorder="1" applyAlignment="1" applyProtection="1">
      <alignment horizontal="center" wrapText="1"/>
    </xf>
    <xf numFmtId="0" fontId="231" fillId="0" borderId="0" xfId="0" applyFont="1"/>
    <xf numFmtId="171" fontId="232" fillId="0" borderId="110" xfId="0" applyNumberFormat="1" applyFont="1" applyFill="1" applyBorder="1" applyAlignment="1" applyProtection="1">
      <alignment horizontal="center" wrapText="1"/>
    </xf>
    <xf numFmtId="0" fontId="234" fillId="0" borderId="0" xfId="0" applyFont="1"/>
    <xf numFmtId="171" fontId="235" fillId="0" borderId="111" xfId="0" applyNumberFormat="1" applyFont="1" applyFill="1" applyBorder="1" applyAlignment="1" applyProtection="1">
      <alignment horizontal="center" wrapText="1"/>
    </xf>
    <xf numFmtId="0" fontId="237" fillId="0" borderId="0" xfId="0" applyFont="1"/>
    <xf numFmtId="171" fontId="238" fillId="0" borderId="112" xfId="0" applyNumberFormat="1" applyFont="1" applyFill="1" applyBorder="1" applyAlignment="1" applyProtection="1">
      <alignment horizontal="center" wrapText="1"/>
    </xf>
    <xf numFmtId="0" fontId="240" fillId="0" borderId="0" xfId="0" applyFont="1"/>
    <xf numFmtId="171" fontId="241" fillId="0" borderId="113" xfId="0" applyNumberFormat="1" applyFont="1" applyFill="1" applyBorder="1" applyAlignment="1" applyProtection="1">
      <alignment horizontal="center" wrapText="1"/>
    </xf>
    <xf numFmtId="0" fontId="243" fillId="0" borderId="0" xfId="0" applyFont="1"/>
    <xf numFmtId="171" fontId="244" fillId="0" borderId="114" xfId="0" applyNumberFormat="1" applyFont="1" applyFill="1" applyBorder="1" applyAlignment="1" applyProtection="1">
      <alignment horizontal="center" wrapText="1"/>
    </xf>
    <xf numFmtId="0" fontId="246" fillId="0" borderId="0" xfId="0" applyFont="1"/>
    <xf numFmtId="171" fontId="247" fillId="0" borderId="115" xfId="0" applyNumberFormat="1" applyFont="1" applyFill="1" applyBorder="1" applyAlignment="1" applyProtection="1">
      <alignment horizontal="center" wrapText="1"/>
    </xf>
    <xf numFmtId="0" fontId="249" fillId="0" borderId="0" xfId="0" applyFont="1"/>
    <xf numFmtId="171" fontId="250" fillId="0" borderId="116" xfId="0" applyNumberFormat="1" applyFont="1" applyFill="1" applyBorder="1" applyAlignment="1" applyProtection="1">
      <alignment horizontal="center" wrapText="1"/>
    </xf>
    <xf numFmtId="0" fontId="252" fillId="0" borderId="0" xfId="0" applyFont="1"/>
    <xf numFmtId="171" fontId="253" fillId="0" borderId="117" xfId="0" applyNumberFormat="1" applyFont="1" applyFill="1" applyBorder="1" applyAlignment="1" applyProtection="1">
      <alignment horizontal="center" wrapText="1"/>
    </xf>
    <xf numFmtId="0" fontId="255" fillId="0" borderId="0" xfId="0" applyFont="1"/>
    <xf numFmtId="171" fontId="256" fillId="0" borderId="118" xfId="0" applyNumberFormat="1" applyFont="1" applyFill="1" applyBorder="1" applyAlignment="1" applyProtection="1">
      <alignment horizontal="center" wrapText="1"/>
    </xf>
    <xf numFmtId="0" fontId="258" fillId="0" borderId="0" xfId="0" applyFont="1"/>
    <xf numFmtId="171" fontId="259" fillId="0" borderId="119" xfId="0" applyNumberFormat="1" applyFont="1" applyFill="1" applyBorder="1" applyAlignment="1" applyProtection="1">
      <alignment horizontal="center" wrapText="1"/>
    </xf>
    <xf numFmtId="0" fontId="261" fillId="0" borderId="0" xfId="0" applyFont="1"/>
    <xf numFmtId="171" fontId="262" fillId="0" borderId="120" xfId="0" applyNumberFormat="1" applyFont="1" applyFill="1" applyBorder="1" applyAlignment="1" applyProtection="1">
      <alignment horizontal="center" wrapText="1"/>
    </xf>
    <xf numFmtId="0" fontId="264" fillId="0" borderId="0" xfId="0" applyFont="1"/>
    <xf numFmtId="171" fontId="265" fillId="0" borderId="121" xfId="0" applyNumberFormat="1" applyFont="1" applyFill="1" applyBorder="1" applyAlignment="1" applyProtection="1">
      <alignment horizontal="center" wrapText="1"/>
    </xf>
    <xf numFmtId="0" fontId="267" fillId="0" borderId="0" xfId="0" applyFont="1"/>
    <xf numFmtId="171" fontId="268" fillId="0" borderId="122" xfId="0" applyNumberFormat="1" applyFont="1" applyFill="1" applyBorder="1" applyAlignment="1" applyProtection="1">
      <alignment horizontal="center" wrapText="1"/>
    </xf>
    <xf numFmtId="0" fontId="270" fillId="0" borderId="0" xfId="0" applyFont="1"/>
    <xf numFmtId="171" fontId="271" fillId="0" borderId="123" xfId="0" applyNumberFormat="1" applyFont="1" applyFill="1" applyBorder="1" applyAlignment="1" applyProtection="1">
      <alignment horizontal="center" wrapText="1"/>
    </xf>
    <xf numFmtId="0" fontId="273" fillId="0" borderId="0" xfId="0" applyFont="1"/>
    <xf numFmtId="171" fontId="274" fillId="0" borderId="124" xfId="0" applyNumberFormat="1" applyFont="1" applyFill="1" applyBorder="1" applyAlignment="1" applyProtection="1">
      <alignment horizontal="center" wrapText="1"/>
    </xf>
    <xf numFmtId="0" fontId="276" fillId="0" borderId="0" xfId="0" applyFont="1"/>
    <xf numFmtId="171" fontId="277" fillId="0" borderId="125" xfId="0" applyNumberFormat="1" applyFont="1" applyFill="1" applyBorder="1" applyAlignment="1" applyProtection="1">
      <alignment horizontal="center" wrapText="1"/>
    </xf>
    <xf numFmtId="0" fontId="279" fillId="0" borderId="0" xfId="0" applyFont="1"/>
    <xf numFmtId="171" fontId="280" fillId="0" borderId="126" xfId="0" applyNumberFormat="1" applyFont="1" applyFill="1" applyBorder="1" applyAlignment="1" applyProtection="1">
      <alignment horizontal="center" wrapText="1"/>
    </xf>
    <xf numFmtId="0" fontId="282" fillId="0" borderId="0" xfId="0" applyFont="1"/>
    <xf numFmtId="171" fontId="283" fillId="0" borderId="127" xfId="0" applyNumberFormat="1" applyFont="1" applyFill="1" applyBorder="1" applyAlignment="1" applyProtection="1">
      <alignment horizontal="center" wrapText="1"/>
    </xf>
    <xf numFmtId="0" fontId="285" fillId="0" borderId="0" xfId="0" applyFont="1"/>
    <xf numFmtId="171" fontId="286" fillId="0" borderId="128" xfId="0" applyNumberFormat="1" applyFont="1" applyFill="1" applyBorder="1" applyAlignment="1" applyProtection="1">
      <alignment horizontal="center" wrapText="1"/>
    </xf>
    <xf numFmtId="0" fontId="288" fillId="0" borderId="0" xfId="0" applyFont="1"/>
    <xf numFmtId="171" fontId="289" fillId="0" borderId="129" xfId="0" applyNumberFormat="1" applyFont="1" applyFill="1" applyBorder="1" applyAlignment="1" applyProtection="1">
      <alignment horizontal="center" wrapText="1"/>
    </xf>
    <xf numFmtId="0" fontId="291" fillId="0" borderId="0" xfId="0" applyFont="1"/>
    <xf numFmtId="171" fontId="292" fillId="0" borderId="130" xfId="0" applyNumberFormat="1" applyFont="1" applyFill="1" applyBorder="1" applyAlignment="1" applyProtection="1">
      <alignment horizontal="center" wrapText="1"/>
    </xf>
    <xf numFmtId="0" fontId="294" fillId="0" borderId="0" xfId="0" applyFont="1"/>
    <xf numFmtId="171" fontId="295" fillId="0" borderId="131" xfId="0" applyNumberFormat="1" applyFont="1" applyFill="1" applyBorder="1" applyAlignment="1" applyProtection="1">
      <alignment horizontal="center" wrapText="1"/>
    </xf>
    <xf numFmtId="0" fontId="297" fillId="0" borderId="0" xfId="0" applyFont="1"/>
    <xf numFmtId="171" fontId="298" fillId="0" borderId="132" xfId="0" applyNumberFormat="1" applyFont="1" applyFill="1" applyBorder="1" applyAlignment="1" applyProtection="1">
      <alignment horizontal="center" wrapText="1"/>
    </xf>
    <xf numFmtId="0" fontId="300" fillId="0" borderId="0" xfId="0" applyFont="1"/>
    <xf numFmtId="171" fontId="301" fillId="0" borderId="133" xfId="0" applyNumberFormat="1" applyFont="1" applyFill="1" applyBorder="1" applyAlignment="1" applyProtection="1">
      <alignment horizontal="center" wrapText="1"/>
    </xf>
    <xf numFmtId="0" fontId="303" fillId="0" borderId="0" xfId="0" applyFont="1"/>
    <xf numFmtId="171" fontId="304" fillId="0" borderId="134" xfId="0" applyNumberFormat="1" applyFont="1" applyFill="1" applyBorder="1" applyAlignment="1" applyProtection="1">
      <alignment horizontal="center" wrapText="1"/>
    </xf>
    <xf numFmtId="0" fontId="306" fillId="0" borderId="0" xfId="0" applyFont="1"/>
    <xf numFmtId="171" fontId="307" fillId="0" borderId="135" xfId="0" applyNumberFormat="1" applyFont="1" applyFill="1" applyBorder="1" applyAlignment="1" applyProtection="1">
      <alignment horizontal="center" wrapText="1"/>
    </xf>
    <xf numFmtId="0" fontId="309" fillId="0" borderId="0" xfId="0" applyFont="1"/>
    <xf numFmtId="171" fontId="310" fillId="0" borderId="136" xfId="0" applyNumberFormat="1" applyFont="1" applyFill="1" applyBorder="1" applyAlignment="1" applyProtection="1">
      <alignment horizontal="center" wrapText="1"/>
    </xf>
    <xf numFmtId="0" fontId="312" fillId="0" borderId="0" xfId="0" applyFont="1"/>
    <xf numFmtId="171" fontId="313" fillId="0" borderId="137" xfId="0" applyNumberFormat="1" applyFont="1" applyFill="1" applyBorder="1" applyAlignment="1" applyProtection="1">
      <alignment horizontal="center" wrapText="1"/>
    </xf>
    <xf numFmtId="0" fontId="315" fillId="0" borderId="0" xfId="0" applyFont="1"/>
    <xf numFmtId="171" fontId="316" fillId="0" borderId="138" xfId="0" applyNumberFormat="1" applyFont="1" applyFill="1" applyBorder="1" applyAlignment="1" applyProtection="1">
      <alignment horizontal="center" wrapText="1"/>
    </xf>
    <xf numFmtId="0" fontId="318" fillId="0" borderId="0" xfId="0" applyFont="1"/>
    <xf numFmtId="171" fontId="319" fillId="0" borderId="139" xfId="0" applyNumberFormat="1" applyFont="1" applyFill="1" applyBorder="1" applyAlignment="1" applyProtection="1">
      <alignment horizontal="center" wrapText="1"/>
    </xf>
    <xf numFmtId="0" fontId="321" fillId="0" borderId="0" xfId="0" applyFont="1"/>
    <xf numFmtId="171" fontId="322" fillId="0" borderId="140" xfId="0" applyNumberFormat="1" applyFont="1" applyFill="1" applyBorder="1" applyAlignment="1" applyProtection="1">
      <alignment horizontal="center" wrapText="1"/>
    </xf>
    <xf numFmtId="0" fontId="324" fillId="0" borderId="0" xfId="0" applyFont="1"/>
    <xf numFmtId="171" fontId="325" fillId="0" borderId="141" xfId="0" applyNumberFormat="1" applyFont="1" applyFill="1" applyBorder="1" applyAlignment="1" applyProtection="1">
      <alignment horizontal="center" wrapText="1"/>
    </xf>
    <xf numFmtId="0" fontId="327" fillId="0" borderId="0" xfId="0" applyFont="1"/>
    <xf numFmtId="171" fontId="328" fillId="0" borderId="142" xfId="0" applyNumberFormat="1" applyFont="1" applyFill="1" applyBorder="1" applyAlignment="1" applyProtection="1">
      <alignment horizontal="center" wrapText="1"/>
    </xf>
    <xf numFmtId="0" fontId="330" fillId="0" borderId="0" xfId="0" applyFont="1"/>
    <xf numFmtId="171" fontId="331" fillId="0" borderId="143" xfId="0" applyNumberFormat="1" applyFont="1" applyFill="1" applyBorder="1" applyAlignment="1" applyProtection="1">
      <alignment horizontal="center" wrapText="1"/>
    </xf>
    <xf numFmtId="0" fontId="333" fillId="0" borderId="0" xfId="0" applyFont="1"/>
    <xf numFmtId="171" fontId="334" fillId="0" borderId="144" xfId="0" applyNumberFormat="1" applyFont="1" applyFill="1" applyBorder="1" applyAlignment="1" applyProtection="1">
      <alignment horizontal="center" wrapText="1"/>
    </xf>
    <xf numFmtId="0" fontId="336" fillId="0" borderId="0" xfId="0" applyFont="1"/>
    <xf numFmtId="171" fontId="337" fillId="0" borderId="145" xfId="0" applyNumberFormat="1" applyFont="1" applyFill="1" applyBorder="1" applyAlignment="1" applyProtection="1">
      <alignment horizontal="center" wrapText="1"/>
    </xf>
    <xf numFmtId="0" fontId="339" fillId="0" borderId="0" xfId="0" applyFont="1"/>
    <xf numFmtId="171" fontId="340" fillId="0" borderId="146" xfId="0" applyNumberFormat="1" applyFont="1" applyFill="1" applyBorder="1" applyAlignment="1" applyProtection="1">
      <alignment horizontal="center" wrapText="1"/>
    </xf>
    <xf numFmtId="0" fontId="342" fillId="0" borderId="0" xfId="0" applyFont="1"/>
    <xf numFmtId="171" fontId="343" fillId="0" borderId="147" xfId="0" applyNumberFormat="1" applyFont="1" applyFill="1" applyBorder="1" applyAlignment="1" applyProtection="1">
      <alignment horizontal="center" wrapText="1"/>
    </xf>
    <xf numFmtId="0" fontId="345" fillId="0" borderId="0" xfId="0" applyFont="1"/>
    <xf numFmtId="171" fontId="346" fillId="0" borderId="148" xfId="0" applyNumberFormat="1" applyFont="1" applyFill="1" applyBorder="1" applyAlignment="1" applyProtection="1">
      <alignment horizontal="center" wrapText="1"/>
    </xf>
    <xf numFmtId="0" fontId="348" fillId="0" borderId="0" xfId="0" applyFont="1"/>
    <xf numFmtId="171" fontId="349" fillId="0" borderId="149" xfId="0" applyNumberFormat="1" applyFont="1" applyFill="1" applyBorder="1" applyAlignment="1" applyProtection="1">
      <alignment horizontal="center" wrapText="1"/>
    </xf>
    <xf numFmtId="0" fontId="351" fillId="0" borderId="0" xfId="0" applyFont="1"/>
    <xf numFmtId="171" fontId="352" fillId="0" borderId="150" xfId="0" applyNumberFormat="1" applyFont="1" applyFill="1" applyBorder="1" applyAlignment="1" applyProtection="1">
      <alignment horizontal="center" wrapText="1"/>
    </xf>
    <xf numFmtId="0" fontId="354" fillId="0" borderId="0" xfId="0" applyFont="1"/>
    <xf numFmtId="171" fontId="355" fillId="0" borderId="151" xfId="0" applyNumberFormat="1" applyFont="1" applyFill="1" applyBorder="1" applyAlignment="1" applyProtection="1">
      <alignment horizontal="center" wrapText="1"/>
    </xf>
    <xf numFmtId="0" fontId="357" fillId="0" borderId="0" xfId="0" applyFont="1"/>
    <xf numFmtId="171" fontId="358" fillId="0" borderId="152" xfId="0" applyNumberFormat="1" applyFont="1" applyFill="1" applyBorder="1" applyAlignment="1" applyProtection="1">
      <alignment horizontal="center" wrapText="1"/>
    </xf>
    <xf numFmtId="0" fontId="360" fillId="0" borderId="0" xfId="0" applyFont="1"/>
    <xf numFmtId="171" fontId="361" fillId="0" borderId="153" xfId="0" applyNumberFormat="1" applyFont="1" applyFill="1" applyBorder="1" applyAlignment="1" applyProtection="1">
      <alignment horizontal="center" wrapText="1"/>
    </xf>
    <xf numFmtId="0" fontId="363" fillId="0" borderId="0" xfId="0" applyFont="1"/>
    <xf numFmtId="171" fontId="364" fillId="0" borderId="154" xfId="0" applyNumberFormat="1" applyFont="1" applyFill="1" applyBorder="1" applyAlignment="1" applyProtection="1">
      <alignment horizontal="center" wrapText="1"/>
    </xf>
    <xf numFmtId="0" fontId="366" fillId="0" borderId="0" xfId="0" applyFont="1"/>
    <xf numFmtId="171" fontId="367" fillId="0" borderId="155" xfId="0" applyNumberFormat="1" applyFont="1" applyFill="1" applyBorder="1" applyAlignment="1" applyProtection="1">
      <alignment horizontal="center" wrapText="1"/>
    </xf>
    <xf numFmtId="0" fontId="369" fillId="0" borderId="0" xfId="0" applyFont="1"/>
    <xf numFmtId="171" fontId="370" fillId="0" borderId="156" xfId="0" applyNumberFormat="1" applyFont="1" applyFill="1" applyBorder="1" applyAlignment="1" applyProtection="1">
      <alignment horizontal="center" wrapText="1"/>
    </xf>
    <xf numFmtId="0" fontId="372" fillId="0" borderId="0" xfId="0" applyFont="1"/>
    <xf numFmtId="171" fontId="373" fillId="0" borderId="157" xfId="0" applyNumberFormat="1" applyFont="1" applyFill="1" applyBorder="1" applyAlignment="1" applyProtection="1">
      <alignment horizontal="center" wrapText="1"/>
    </xf>
    <xf numFmtId="0" fontId="375" fillId="0" borderId="0" xfId="0" applyFont="1"/>
    <xf numFmtId="171" fontId="376" fillId="0" borderId="158" xfId="0" applyNumberFormat="1" applyFont="1" applyFill="1" applyBorder="1" applyAlignment="1" applyProtection="1">
      <alignment horizontal="center" wrapText="1"/>
    </xf>
    <xf numFmtId="0" fontId="378" fillId="0" borderId="0" xfId="0" applyFont="1"/>
    <xf numFmtId="171" fontId="379" fillId="0" borderId="159" xfId="0" applyNumberFormat="1" applyFont="1" applyFill="1" applyBorder="1" applyAlignment="1" applyProtection="1">
      <alignment horizontal="center" wrapText="1"/>
    </xf>
    <xf numFmtId="0" fontId="381" fillId="0" borderId="0" xfId="0" applyFont="1"/>
    <xf numFmtId="171" fontId="382" fillId="0" borderId="160" xfId="0" applyNumberFormat="1" applyFont="1" applyFill="1" applyBorder="1" applyAlignment="1" applyProtection="1">
      <alignment horizontal="center" wrapText="1"/>
    </xf>
    <xf numFmtId="0" fontId="384" fillId="0" borderId="0" xfId="0" applyFont="1"/>
    <xf numFmtId="171" fontId="385" fillId="0" borderId="161" xfId="0" applyNumberFormat="1" applyFont="1" applyFill="1" applyBorder="1" applyAlignment="1" applyProtection="1">
      <alignment horizontal="center" wrapText="1"/>
    </xf>
    <xf numFmtId="0" fontId="387" fillId="0" borderId="0" xfId="0" applyFont="1"/>
    <xf numFmtId="171" fontId="388" fillId="0" borderId="162" xfId="0" applyNumberFormat="1" applyFont="1" applyFill="1" applyBorder="1" applyAlignment="1" applyProtection="1">
      <alignment horizontal="center" wrapText="1"/>
    </xf>
    <xf numFmtId="0" fontId="390" fillId="0" borderId="0" xfId="0" applyFont="1"/>
    <xf numFmtId="171" fontId="391" fillId="0" borderId="163" xfId="0" applyNumberFormat="1" applyFont="1" applyFill="1" applyBorder="1" applyAlignment="1" applyProtection="1">
      <alignment horizontal="center" wrapText="1"/>
    </xf>
    <xf numFmtId="0" fontId="393" fillId="0" borderId="0" xfId="0" applyFont="1"/>
    <xf numFmtId="171" fontId="394" fillId="0" borderId="164" xfId="0" applyNumberFormat="1" applyFont="1" applyFill="1" applyBorder="1" applyAlignment="1" applyProtection="1">
      <alignment horizontal="center" wrapText="1"/>
    </xf>
    <xf numFmtId="0" fontId="396" fillId="0" borderId="0" xfId="0" applyFont="1"/>
    <xf numFmtId="171" fontId="397" fillId="0" borderId="165" xfId="0" applyNumberFormat="1" applyFont="1" applyFill="1" applyBorder="1" applyAlignment="1" applyProtection="1">
      <alignment horizontal="center" wrapText="1"/>
    </xf>
    <xf numFmtId="0" fontId="399" fillId="0" borderId="0" xfId="0" applyFont="1"/>
    <xf numFmtId="171" fontId="400" fillId="0" borderId="166" xfId="0" applyNumberFormat="1" applyFont="1" applyFill="1" applyBorder="1" applyAlignment="1" applyProtection="1">
      <alignment horizontal="center" wrapText="1"/>
    </xf>
    <xf numFmtId="0" fontId="402" fillId="0" borderId="0" xfId="0" applyFont="1"/>
    <xf numFmtId="171" fontId="403" fillId="0" borderId="167" xfId="0" applyNumberFormat="1" applyFont="1" applyFill="1" applyBorder="1" applyAlignment="1" applyProtection="1">
      <alignment horizontal="center" wrapText="1"/>
    </xf>
    <xf numFmtId="0" fontId="405" fillId="0" borderId="0" xfId="0" applyFont="1"/>
    <xf numFmtId="171" fontId="406" fillId="0" borderId="168" xfId="0" applyNumberFormat="1" applyFont="1" applyFill="1" applyBorder="1" applyAlignment="1" applyProtection="1">
      <alignment horizontal="center" wrapText="1"/>
    </xf>
    <xf numFmtId="0" fontId="408" fillId="0" borderId="0" xfId="0" applyFont="1"/>
    <xf numFmtId="171" fontId="409" fillId="0" borderId="169" xfId="0" applyNumberFormat="1" applyFont="1" applyFill="1" applyBorder="1" applyAlignment="1" applyProtection="1">
      <alignment horizontal="center" wrapText="1"/>
    </xf>
    <xf numFmtId="0" fontId="411" fillId="0" borderId="0" xfId="0" applyFont="1"/>
    <xf numFmtId="171" fontId="412" fillId="0" borderId="170" xfId="0" applyNumberFormat="1" applyFont="1" applyFill="1" applyBorder="1" applyAlignment="1" applyProtection="1">
      <alignment horizontal="center" wrapText="1"/>
    </xf>
    <xf numFmtId="0" fontId="414" fillId="0" borderId="0" xfId="0" applyFont="1"/>
    <xf numFmtId="171" fontId="415" fillId="0" borderId="171" xfId="0" applyNumberFormat="1" applyFont="1" applyFill="1" applyBorder="1" applyAlignment="1" applyProtection="1">
      <alignment horizontal="center" wrapText="1"/>
    </xf>
    <xf numFmtId="0" fontId="417" fillId="0" borderId="0" xfId="0" applyFont="1"/>
    <xf numFmtId="171" fontId="418" fillId="0" borderId="172" xfId="0" applyNumberFormat="1" applyFont="1" applyFill="1" applyBorder="1" applyAlignment="1" applyProtection="1">
      <alignment horizontal="center" wrapText="1"/>
    </xf>
    <xf numFmtId="0" fontId="420" fillId="0" borderId="0" xfId="0" applyFont="1"/>
    <xf numFmtId="171" fontId="421" fillId="0" borderId="173" xfId="0" applyNumberFormat="1" applyFont="1" applyFill="1" applyBorder="1" applyAlignment="1" applyProtection="1">
      <alignment horizontal="center" wrapText="1"/>
    </xf>
    <xf numFmtId="0" fontId="423" fillId="0" borderId="0" xfId="0" applyFont="1"/>
    <xf numFmtId="171" fontId="424" fillId="0" borderId="174" xfId="0" applyNumberFormat="1" applyFont="1" applyFill="1" applyBorder="1" applyAlignment="1" applyProtection="1">
      <alignment horizontal="center" wrapText="1"/>
    </xf>
    <xf numFmtId="0" fontId="426" fillId="0" borderId="0" xfId="0" applyFont="1"/>
    <xf numFmtId="171" fontId="427" fillId="0" borderId="175" xfId="0" applyNumberFormat="1" applyFont="1" applyFill="1" applyBorder="1" applyAlignment="1" applyProtection="1">
      <alignment horizontal="center" wrapText="1"/>
    </xf>
    <xf numFmtId="0" fontId="429" fillId="0" borderId="0" xfId="0" applyFont="1"/>
    <xf numFmtId="171" fontId="430" fillId="0" borderId="176" xfId="0" applyNumberFormat="1" applyFont="1" applyFill="1" applyBorder="1" applyAlignment="1" applyProtection="1">
      <alignment horizontal="center" wrapText="1"/>
    </xf>
    <xf numFmtId="0" fontId="432" fillId="0" borderId="0" xfId="0" applyFont="1"/>
    <xf numFmtId="171" fontId="433" fillId="0" borderId="177" xfId="0" applyNumberFormat="1" applyFont="1" applyFill="1" applyBorder="1" applyAlignment="1" applyProtection="1">
      <alignment horizontal="center" wrapText="1"/>
    </xf>
    <xf numFmtId="0" fontId="435" fillId="0" borderId="0" xfId="0" applyFont="1"/>
    <xf numFmtId="171" fontId="436" fillId="0" borderId="178" xfId="0" applyNumberFormat="1" applyFont="1" applyFill="1" applyBorder="1" applyAlignment="1" applyProtection="1">
      <alignment horizontal="center" wrapText="1"/>
    </xf>
    <xf numFmtId="0" fontId="438" fillId="0" borderId="0" xfId="0" applyFont="1"/>
    <xf numFmtId="171" fontId="439" fillId="0" borderId="179" xfId="0" applyNumberFormat="1" applyFont="1" applyFill="1" applyBorder="1" applyAlignment="1" applyProtection="1">
      <alignment horizontal="center" wrapText="1"/>
    </xf>
    <xf numFmtId="0" fontId="441" fillId="0" borderId="0" xfId="0" applyFont="1"/>
    <xf numFmtId="171" fontId="442" fillId="0" borderId="180" xfId="0" applyNumberFormat="1" applyFont="1" applyFill="1" applyBorder="1" applyAlignment="1" applyProtection="1">
      <alignment horizontal="center" wrapText="1"/>
    </xf>
    <xf numFmtId="0" fontId="444" fillId="0" borderId="0" xfId="0" applyFont="1"/>
    <xf numFmtId="171" fontId="445" fillId="0" borderId="181" xfId="0" applyNumberFormat="1" applyFont="1" applyFill="1" applyBorder="1" applyAlignment="1" applyProtection="1">
      <alignment horizontal="center" wrapText="1"/>
    </xf>
    <xf numFmtId="0" fontId="447" fillId="0" borderId="0" xfId="0" applyFont="1"/>
    <xf numFmtId="171" fontId="448" fillId="0" borderId="182" xfId="0" applyNumberFormat="1" applyFont="1" applyFill="1" applyBorder="1" applyAlignment="1" applyProtection="1">
      <alignment horizontal="center" wrapText="1"/>
    </xf>
    <xf numFmtId="0" fontId="450" fillId="0" borderId="0" xfId="0" applyFont="1"/>
    <xf numFmtId="171" fontId="451" fillId="0" borderId="183" xfId="0" applyNumberFormat="1" applyFont="1" applyFill="1" applyBorder="1" applyAlignment="1" applyProtection="1">
      <alignment horizontal="center" wrapText="1"/>
    </xf>
    <xf numFmtId="0" fontId="453" fillId="0" borderId="0" xfId="0" applyFont="1"/>
    <xf numFmtId="171" fontId="454" fillId="0" borderId="184" xfId="0" applyNumberFormat="1" applyFont="1" applyFill="1" applyBorder="1" applyAlignment="1" applyProtection="1">
      <alignment horizontal="center" wrapText="1"/>
    </xf>
    <xf numFmtId="0" fontId="456" fillId="0" borderId="0" xfId="0" applyFont="1"/>
    <xf numFmtId="171" fontId="457" fillId="0" borderId="185" xfId="0" applyNumberFormat="1" applyFont="1" applyFill="1" applyBorder="1" applyAlignment="1" applyProtection="1">
      <alignment horizontal="center" wrapText="1"/>
    </xf>
    <xf numFmtId="0" fontId="459" fillId="0" borderId="0" xfId="0" applyFont="1"/>
    <xf numFmtId="171" fontId="460" fillId="0" borderId="186" xfId="0" applyNumberFormat="1" applyFont="1" applyFill="1" applyBorder="1" applyAlignment="1" applyProtection="1">
      <alignment horizontal="center" wrapText="1"/>
    </xf>
    <xf numFmtId="0" fontId="462" fillId="0" borderId="0" xfId="0" applyFont="1"/>
    <xf numFmtId="171" fontId="463" fillId="0" borderId="187" xfId="0" applyNumberFormat="1" applyFont="1" applyFill="1" applyBorder="1" applyAlignment="1" applyProtection="1">
      <alignment horizontal="center" wrapText="1"/>
    </xf>
    <xf numFmtId="0" fontId="465" fillId="0" borderId="0" xfId="0" applyFont="1"/>
    <xf numFmtId="171" fontId="466" fillId="0" borderId="188" xfId="0" applyNumberFormat="1" applyFont="1" applyFill="1" applyBorder="1" applyAlignment="1" applyProtection="1">
      <alignment horizontal="center" wrapText="1"/>
    </xf>
    <xf numFmtId="0" fontId="468" fillId="0" borderId="0" xfId="0" applyFont="1"/>
    <xf numFmtId="171" fontId="469" fillId="0" borderId="189" xfId="0" applyNumberFormat="1" applyFont="1" applyFill="1" applyBorder="1" applyAlignment="1" applyProtection="1">
      <alignment horizontal="center" wrapText="1"/>
    </xf>
    <xf numFmtId="0" fontId="471" fillId="0" borderId="0" xfId="0" applyFont="1"/>
    <xf numFmtId="171" fontId="472" fillId="0" borderId="190" xfId="0" applyNumberFormat="1" applyFont="1" applyFill="1" applyBorder="1" applyAlignment="1" applyProtection="1">
      <alignment horizontal="center" wrapText="1"/>
    </xf>
    <xf numFmtId="0" fontId="474" fillId="0" borderId="0" xfId="0" applyFont="1"/>
    <xf numFmtId="171" fontId="475" fillId="0" borderId="191" xfId="0" applyNumberFormat="1" applyFont="1" applyFill="1" applyBorder="1" applyAlignment="1" applyProtection="1">
      <alignment horizontal="center" wrapText="1"/>
    </xf>
    <xf numFmtId="0" fontId="477" fillId="0" borderId="0" xfId="0" applyFont="1"/>
    <xf numFmtId="171" fontId="478" fillId="0" borderId="192" xfId="0" applyNumberFormat="1" applyFont="1" applyFill="1" applyBorder="1" applyAlignment="1" applyProtection="1">
      <alignment horizontal="center" wrapText="1"/>
    </xf>
    <xf numFmtId="0" fontId="480" fillId="0" borderId="0" xfId="0" applyFont="1"/>
    <xf numFmtId="171" fontId="481" fillId="0" borderId="193" xfId="0" applyNumberFormat="1" applyFont="1" applyFill="1" applyBorder="1" applyAlignment="1" applyProtection="1">
      <alignment horizontal="center" wrapText="1"/>
    </xf>
    <xf numFmtId="0" fontId="483" fillId="0" borderId="0" xfId="0" applyFont="1"/>
    <xf numFmtId="171" fontId="484" fillId="0" borderId="194" xfId="0" applyNumberFormat="1" applyFont="1" applyFill="1" applyBorder="1" applyAlignment="1" applyProtection="1">
      <alignment horizontal="center" wrapText="1"/>
    </xf>
    <xf numFmtId="0" fontId="486" fillId="0" borderId="0" xfId="0" applyFont="1"/>
    <xf numFmtId="171" fontId="487" fillId="0" borderId="195" xfId="0" applyNumberFormat="1" applyFont="1" applyFill="1" applyBorder="1" applyAlignment="1" applyProtection="1">
      <alignment horizontal="center" wrapText="1"/>
    </xf>
    <xf numFmtId="0" fontId="489" fillId="0" borderId="0" xfId="0" applyFont="1"/>
    <xf numFmtId="171" fontId="490" fillId="0" borderId="196" xfId="0" applyNumberFormat="1" applyFont="1" applyFill="1" applyBorder="1" applyAlignment="1" applyProtection="1">
      <alignment horizontal="center" wrapText="1"/>
    </xf>
    <xf numFmtId="0" fontId="492" fillId="0" borderId="0" xfId="0" applyFont="1"/>
    <xf numFmtId="171" fontId="493" fillId="0" borderId="197" xfId="0" applyNumberFormat="1" applyFont="1" applyFill="1" applyBorder="1" applyAlignment="1" applyProtection="1">
      <alignment horizontal="center" wrapText="1"/>
    </xf>
    <xf numFmtId="0" fontId="495" fillId="0" borderId="0" xfId="0" applyFont="1"/>
    <xf numFmtId="171" fontId="496" fillId="0" borderId="198" xfId="0" applyNumberFormat="1" applyFont="1" applyFill="1" applyBorder="1" applyAlignment="1" applyProtection="1">
      <alignment horizontal="center" wrapText="1"/>
    </xf>
    <xf numFmtId="0" fontId="498" fillId="0" borderId="0" xfId="0" applyFont="1"/>
    <xf numFmtId="171" fontId="499" fillId="0" borderId="199" xfId="0" applyNumberFormat="1" applyFont="1" applyFill="1" applyBorder="1" applyAlignment="1" applyProtection="1">
      <alignment horizontal="center" wrapText="1"/>
    </xf>
    <xf numFmtId="0" fontId="501" fillId="0" borderId="0" xfId="0" applyFont="1"/>
    <xf numFmtId="171" fontId="502" fillId="0" borderId="200" xfId="0" applyNumberFormat="1" applyFont="1" applyFill="1" applyBorder="1" applyAlignment="1" applyProtection="1">
      <alignment horizontal="center" wrapText="1"/>
    </xf>
    <xf numFmtId="0" fontId="504" fillId="0" borderId="0" xfId="0" applyFont="1"/>
    <xf numFmtId="171" fontId="505" fillId="0" borderId="201" xfId="0" applyNumberFormat="1" applyFont="1" applyFill="1" applyBorder="1" applyAlignment="1" applyProtection="1">
      <alignment horizontal="center" wrapText="1"/>
    </xf>
    <xf numFmtId="0" fontId="507" fillId="0" borderId="0" xfId="0" applyFont="1"/>
    <xf numFmtId="171" fontId="508" fillId="0" borderId="202" xfId="0" applyNumberFormat="1" applyFont="1" applyFill="1" applyBorder="1" applyAlignment="1" applyProtection="1">
      <alignment horizontal="center" wrapText="1"/>
    </xf>
    <xf numFmtId="0" fontId="510" fillId="0" borderId="0" xfId="0" applyFont="1"/>
    <xf numFmtId="171" fontId="511" fillId="0" borderId="203" xfId="0" applyNumberFormat="1" applyFont="1" applyFill="1" applyBorder="1" applyAlignment="1" applyProtection="1">
      <alignment horizontal="center" wrapText="1"/>
    </xf>
    <xf numFmtId="0" fontId="0" fillId="0" borderId="204" xfId="0" applyFill="1" applyBorder="1" applyProtection="1">
      <protection hidden="1"/>
    </xf>
    <xf numFmtId="0" fontId="0" fillId="0" borderId="204" xfId="0" applyBorder="1"/>
    <xf numFmtId="0" fontId="43" fillId="0" borderId="204" xfId="0" applyFont="1" applyFill="1" applyBorder="1" applyProtection="1">
      <protection hidden="1"/>
    </xf>
    <xf numFmtId="0" fontId="0" fillId="0" borderId="205" xfId="0" applyBorder="1"/>
    <xf numFmtId="0" fontId="0" fillId="0" borderId="0" xfId="0" applyBorder="1"/>
    <xf numFmtId="4" fontId="34" fillId="0" borderId="29" xfId="38" applyNumberFormat="1" applyFont="1" applyFill="1" applyBorder="1" applyAlignment="1" applyProtection="1">
      <alignment horizontal="center" vertical="center"/>
      <protection hidden="1"/>
    </xf>
    <xf numFmtId="4" fontId="34" fillId="0" borderId="0" xfId="38" applyNumberFormat="1" applyFont="1" applyFill="1" applyBorder="1" applyAlignment="1" applyProtection="1">
      <alignment horizontal="center" vertical="center"/>
      <protection hidden="1"/>
    </xf>
    <xf numFmtId="0" fontId="38" fillId="0" borderId="17" xfId="0" applyFont="1" applyFill="1" applyBorder="1" applyAlignment="1" applyProtection="1">
      <alignment horizontal="center" vertical="center" wrapText="1"/>
      <protection hidden="1"/>
    </xf>
    <xf numFmtId="0" fontId="38" fillId="0" borderId="29" xfId="0" applyFont="1" applyFill="1" applyBorder="1" applyAlignment="1" applyProtection="1">
      <alignment horizontal="center" vertical="center" wrapText="1"/>
      <protection hidden="1"/>
    </xf>
    <xf numFmtId="0" fontId="38" fillId="0" borderId="0" xfId="0" applyFont="1" applyFill="1" applyBorder="1" applyAlignment="1" applyProtection="1">
      <alignment horizontal="center" vertical="center" wrapText="1"/>
      <protection hidden="1"/>
    </xf>
    <xf numFmtId="0" fontId="38" fillId="0" borderId="27" xfId="0" applyFont="1" applyFill="1" applyBorder="1" applyAlignment="1" applyProtection="1">
      <alignment horizontal="center" vertical="center" wrapText="1"/>
      <protection hidden="1"/>
    </xf>
    <xf numFmtId="0" fontId="57" fillId="26" borderId="17" xfId="0" applyFont="1" applyFill="1" applyBorder="1" applyAlignment="1" applyProtection="1">
      <alignment horizontal="center" vertical="center" wrapText="1"/>
      <protection hidden="1"/>
    </xf>
    <xf numFmtId="0" fontId="49" fillId="26" borderId="18" xfId="0" applyFont="1" applyFill="1" applyBorder="1" applyAlignment="1" applyProtection="1">
      <alignment horizontal="left"/>
      <protection hidden="1"/>
    </xf>
    <xf numFmtId="0" fontId="49" fillId="26" borderId="20" xfId="0" applyFont="1" applyFill="1" applyBorder="1" applyAlignment="1" applyProtection="1">
      <alignment horizontal="left"/>
      <protection hidden="1"/>
    </xf>
    <xf numFmtId="0" fontId="0" fillId="26" borderId="10" xfId="0" applyFill="1" applyBorder="1" applyAlignment="1" applyProtection="1">
      <alignment horizontal="center"/>
      <protection hidden="1"/>
    </xf>
    <xf numFmtId="0" fontId="0" fillId="0" borderId="0" xfId="0"/>
    <xf numFmtId="0" fontId="5" fillId="0" borderId="0" xfId="0" applyFont="1" applyFill="1" applyAlignment="1" applyProtection="1">
      <alignment horizontal="center"/>
      <protection hidden="1"/>
    </xf>
    <xf numFmtId="1" fontId="3" fillId="0" borderId="10" xfId="0" applyNumberFormat="1" applyFont="1" applyFill="1" applyBorder="1" applyAlignment="1" applyProtection="1">
      <alignment horizontal="center" vertical="center"/>
      <protection hidden="1"/>
    </xf>
    <xf numFmtId="0" fontId="506" fillId="0" borderId="10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49" fillId="26" borderId="18" xfId="0" applyFont="1" applyFill="1" applyBorder="1" applyAlignment="1" applyProtection="1">
      <alignment horizontal="right"/>
      <protection hidden="1"/>
    </xf>
    <xf numFmtId="0" fontId="49" fillId="26" borderId="20" xfId="0" applyFont="1" applyFill="1" applyBorder="1" applyAlignment="1" applyProtection="1">
      <alignment horizontal="right"/>
      <protection hidden="1"/>
    </xf>
    <xf numFmtId="0" fontId="35" fillId="30" borderId="15" xfId="0" applyFont="1" applyFill="1" applyBorder="1" applyAlignment="1" applyProtection="1">
      <alignment horizontal="center" vertical="center"/>
      <protection hidden="1"/>
    </xf>
    <xf numFmtId="0" fontId="35" fillId="30" borderId="15" xfId="0" applyFont="1" applyFill="1" applyBorder="1" applyAlignment="1" applyProtection="1">
      <protection hidden="1"/>
    </xf>
    <xf numFmtId="0" fontId="35" fillId="30" borderId="0" xfId="0" applyFont="1" applyFill="1" applyBorder="1" applyAlignment="1" applyProtection="1">
      <protection hidden="1"/>
    </xf>
    <xf numFmtId="0" fontId="6" fillId="0" borderId="0" xfId="0" applyFont="1" applyFill="1" applyProtection="1">
      <protection hidden="1"/>
    </xf>
    <xf numFmtId="0" fontId="6" fillId="0" borderId="0" xfId="0" applyFont="1" applyFill="1" applyAlignment="1" applyProtection="1">
      <alignment wrapText="1"/>
      <protection hidden="1"/>
    </xf>
    <xf numFmtId="0" fontId="6" fillId="0" borderId="44" xfId="0" applyFont="1" applyFill="1" applyBorder="1" applyProtection="1">
      <protection hidden="1"/>
    </xf>
    <xf numFmtId="0" fontId="509" fillId="0" borderId="10" xfId="0" applyFont="1" applyFill="1" applyBorder="1" applyAlignment="1">
      <alignment horizontal="left" vertical="center"/>
    </xf>
    <xf numFmtId="0" fontId="497" fillId="0" borderId="10" xfId="0" applyFont="1" applyFill="1" applyBorder="1" applyAlignment="1">
      <alignment horizontal="left" vertical="center"/>
    </xf>
    <xf numFmtId="0" fontId="500" fillId="0" borderId="10" xfId="0" applyFont="1" applyFill="1" applyBorder="1" applyAlignment="1">
      <alignment horizontal="left" vertical="center"/>
    </xf>
    <xf numFmtId="0" fontId="503" fillId="0" borderId="10" xfId="0" applyFont="1" applyFill="1" applyBorder="1" applyAlignment="1">
      <alignment horizontal="left" vertical="center"/>
    </xf>
    <xf numFmtId="0" fontId="488" fillId="0" borderId="10" xfId="0" applyFont="1" applyFill="1" applyBorder="1" applyAlignment="1">
      <alignment horizontal="left" vertical="center"/>
    </xf>
    <xf numFmtId="0" fontId="491" fillId="0" borderId="10" xfId="0" applyFont="1" applyFill="1" applyBorder="1" applyAlignment="1">
      <alignment horizontal="left" vertical="center"/>
    </xf>
    <xf numFmtId="0" fontId="494" fillId="0" borderId="10" xfId="0" applyFont="1" applyFill="1" applyBorder="1" applyAlignment="1">
      <alignment horizontal="left" vertical="center"/>
    </xf>
    <xf numFmtId="0" fontId="482" fillId="0" borderId="10" xfId="0" applyFont="1" applyFill="1" applyBorder="1" applyAlignment="1">
      <alignment horizontal="left" vertical="center"/>
    </xf>
    <xf numFmtId="0" fontId="485" fillId="0" borderId="10" xfId="0" applyFont="1" applyFill="1" applyBorder="1" applyAlignment="1">
      <alignment horizontal="left" vertical="center"/>
    </xf>
    <xf numFmtId="0" fontId="55" fillId="30" borderId="0" xfId="0" applyFont="1" applyFill="1" applyBorder="1" applyAlignment="1" applyProtection="1">
      <alignment horizontal="center" vertical="center"/>
      <protection hidden="1"/>
    </xf>
    <xf numFmtId="0" fontId="6" fillId="0" borderId="43" xfId="0" applyFont="1" applyFill="1" applyBorder="1" applyProtection="1">
      <protection hidden="1"/>
    </xf>
    <xf numFmtId="0" fontId="473" fillId="0" borderId="10" xfId="0" applyFont="1" applyFill="1" applyBorder="1" applyAlignment="1">
      <alignment horizontal="left" vertical="center"/>
    </xf>
    <xf numFmtId="0" fontId="476" fillId="0" borderId="10" xfId="0" applyFont="1" applyFill="1" applyBorder="1" applyAlignment="1">
      <alignment horizontal="left" vertical="center"/>
    </xf>
    <xf numFmtId="0" fontId="479" fillId="0" borderId="10" xfId="0" applyFont="1" applyFill="1" applyBorder="1" applyAlignment="1">
      <alignment horizontal="left" vertical="center"/>
    </xf>
    <xf numFmtId="0" fontId="461" fillId="0" borderId="10" xfId="0" applyFont="1" applyFill="1" applyBorder="1" applyAlignment="1">
      <alignment horizontal="left" vertical="center"/>
    </xf>
    <xf numFmtId="0" fontId="464" fillId="0" borderId="10" xfId="0" applyFont="1" applyFill="1" applyBorder="1" applyAlignment="1">
      <alignment horizontal="left" vertical="center"/>
    </xf>
    <xf numFmtId="0" fontId="467" fillId="0" borderId="10" xfId="0" applyFont="1" applyFill="1" applyBorder="1" applyAlignment="1">
      <alignment horizontal="left" vertical="center"/>
    </xf>
    <xf numFmtId="0" fontId="470" fillId="0" borderId="10" xfId="0" applyFont="1" applyFill="1" applyBorder="1" applyAlignment="1">
      <alignment horizontal="left" vertical="center"/>
    </xf>
    <xf numFmtId="0" fontId="452" fillId="0" borderId="10" xfId="0" applyFont="1" applyFill="1" applyBorder="1" applyAlignment="1">
      <alignment horizontal="left" vertical="center"/>
    </xf>
    <xf numFmtId="0" fontId="455" fillId="0" borderId="10" xfId="0" applyFont="1" applyFill="1" applyBorder="1" applyAlignment="1">
      <alignment horizontal="left" vertical="center"/>
    </xf>
    <xf numFmtId="0" fontId="458" fillId="0" borderId="10" xfId="0" applyFont="1" applyFill="1" applyBorder="1" applyAlignment="1">
      <alignment horizontal="left" vertical="center"/>
    </xf>
    <xf numFmtId="0" fontId="446" fillId="0" borderId="10" xfId="0" applyFont="1" applyFill="1" applyBorder="1" applyAlignment="1">
      <alignment horizontal="left" vertical="center"/>
    </xf>
    <xf numFmtId="2" fontId="39" fillId="29" borderId="14" xfId="0" applyNumberFormat="1" applyFont="1" applyFill="1" applyBorder="1" applyAlignment="1" applyProtection="1">
      <alignment horizontal="center" vertical="center"/>
    </xf>
    <xf numFmtId="2" fontId="39" fillId="29" borderId="14" xfId="0" applyNumberFormat="1" applyFont="1" applyFill="1" applyBorder="1" applyAlignment="1" applyProtection="1">
      <alignment vertical="center"/>
    </xf>
    <xf numFmtId="0" fontId="0" fillId="0" borderId="0" xfId="0" applyFont="1" applyFill="1" applyProtection="1">
      <protection hidden="1"/>
    </xf>
    <xf numFmtId="0" fontId="6" fillId="0" borderId="42" xfId="0" applyFont="1" applyFill="1" applyBorder="1" applyProtection="1">
      <protection hidden="1"/>
    </xf>
    <xf numFmtId="0" fontId="449" fillId="0" borderId="10" xfId="0" applyFont="1" applyFill="1" applyBorder="1" applyAlignment="1">
      <alignment horizontal="left" vertical="center"/>
    </xf>
    <xf numFmtId="0" fontId="437" fillId="0" borderId="10" xfId="0" applyFont="1" applyFill="1" applyBorder="1" applyAlignment="1">
      <alignment horizontal="left" vertical="center"/>
    </xf>
    <xf numFmtId="0" fontId="440" fillId="0" borderId="10" xfId="0" applyFont="1" applyFill="1" applyBorder="1" applyAlignment="1">
      <alignment horizontal="left" vertical="center"/>
    </xf>
    <xf numFmtId="0" fontId="443" fillId="0" borderId="10" xfId="0" applyFont="1" applyFill="1" applyBorder="1" applyAlignment="1">
      <alignment horizontal="left" vertical="center"/>
    </xf>
    <xf numFmtId="0" fontId="428" fillId="0" borderId="10" xfId="0" applyFont="1" applyFill="1" applyBorder="1" applyAlignment="1">
      <alignment horizontal="left" vertical="center"/>
    </xf>
    <xf numFmtId="0" fontId="431" fillId="0" borderId="10" xfId="0" applyFont="1" applyFill="1" applyBorder="1" applyAlignment="1">
      <alignment horizontal="left" vertical="center"/>
    </xf>
    <xf numFmtId="0" fontId="434" fillId="0" borderId="10" xfId="0" applyFont="1" applyFill="1" applyBorder="1" applyAlignment="1">
      <alignment horizontal="left" vertical="center"/>
    </xf>
    <xf numFmtId="0" fontId="419" fillId="0" borderId="10" xfId="0" applyFont="1" applyFill="1" applyBorder="1" applyAlignment="1">
      <alignment horizontal="left" vertical="center"/>
    </xf>
    <xf numFmtId="0" fontId="422" fillId="0" borderId="10" xfId="0" applyFont="1" applyFill="1" applyBorder="1" applyAlignment="1">
      <alignment horizontal="left" vertical="center"/>
    </xf>
    <xf numFmtId="0" fontId="425" fillId="0" borderId="10" xfId="0" applyFont="1" applyFill="1" applyBorder="1" applyAlignment="1">
      <alignment horizontal="left" vertical="center"/>
    </xf>
    <xf numFmtId="0" fontId="404" fillId="0" borderId="10" xfId="0" applyFont="1" applyFill="1" applyBorder="1" applyAlignment="1">
      <alignment horizontal="left" vertical="center"/>
    </xf>
    <xf numFmtId="0" fontId="407" fillId="0" borderId="10" xfId="0" applyFont="1" applyFill="1" applyBorder="1" applyAlignment="1">
      <alignment horizontal="left" vertical="center"/>
    </xf>
    <xf numFmtId="0" fontId="410" fillId="0" borderId="10" xfId="0" applyFont="1" applyFill="1" applyBorder="1" applyAlignment="1">
      <alignment horizontal="left" vertical="center"/>
    </xf>
    <xf numFmtId="0" fontId="413" fillId="0" borderId="10" xfId="0" applyFont="1" applyFill="1" applyBorder="1" applyAlignment="1">
      <alignment horizontal="left" vertical="center"/>
    </xf>
    <xf numFmtId="0" fontId="416" fillId="0" borderId="10" xfId="0" applyFont="1" applyFill="1" applyBorder="1" applyAlignment="1">
      <alignment horizontal="left" vertical="center"/>
    </xf>
    <xf numFmtId="0" fontId="401" fillId="0" borderId="10" xfId="0" applyFont="1" applyFill="1" applyBorder="1" applyAlignment="1">
      <alignment horizontal="left" vertical="center"/>
    </xf>
    <xf numFmtId="0" fontId="395" fillId="0" borderId="10" xfId="0" applyFont="1" applyFill="1" applyBorder="1" applyAlignment="1">
      <alignment horizontal="left" vertical="center"/>
    </xf>
    <xf numFmtId="0" fontId="398" fillId="0" borderId="10" xfId="0" applyFont="1" applyFill="1" applyBorder="1" applyAlignment="1">
      <alignment horizontal="left" vertical="center"/>
    </xf>
    <xf numFmtId="0" fontId="386" fillId="0" borderId="10" xfId="0" applyFont="1" applyFill="1" applyBorder="1" applyAlignment="1">
      <alignment horizontal="left" vertical="center"/>
    </xf>
    <xf numFmtId="0" fontId="389" fillId="0" borderId="10" xfId="0" applyFont="1" applyFill="1" applyBorder="1" applyAlignment="1">
      <alignment horizontal="left" vertical="center"/>
    </xf>
    <xf numFmtId="0" fontId="392" fillId="0" borderId="10" xfId="0" applyFont="1" applyFill="1" applyBorder="1" applyAlignment="1">
      <alignment horizontal="left" vertical="center"/>
    </xf>
    <xf numFmtId="0" fontId="380" fillId="0" borderId="10" xfId="0" applyFont="1" applyFill="1" applyBorder="1" applyAlignment="1">
      <alignment horizontal="left" vertical="center"/>
    </xf>
    <xf numFmtId="0" fontId="383" fillId="0" borderId="10" xfId="0" applyFont="1" applyFill="1" applyBorder="1" applyAlignment="1">
      <alignment horizontal="left" vertical="center"/>
    </xf>
    <xf numFmtId="0" fontId="374" fillId="0" borderId="10" xfId="0" applyFont="1" applyFill="1" applyBorder="1" applyAlignment="1">
      <alignment horizontal="left" vertical="center"/>
    </xf>
    <xf numFmtId="0" fontId="377" fillId="0" borderId="10" xfId="0" applyFont="1" applyFill="1" applyBorder="1" applyAlignment="1">
      <alignment horizontal="left" vertical="center"/>
    </xf>
    <xf numFmtId="0" fontId="362" fillId="0" borderId="10" xfId="0" applyFont="1" applyFill="1" applyBorder="1" applyAlignment="1">
      <alignment horizontal="left" vertical="center"/>
    </xf>
    <xf numFmtId="0" fontId="365" fillId="0" borderId="10" xfId="0" applyFont="1" applyFill="1" applyBorder="1" applyAlignment="1">
      <alignment horizontal="left" vertical="center"/>
    </xf>
    <xf numFmtId="0" fontId="368" fillId="0" borderId="10" xfId="0" applyFont="1" applyFill="1" applyBorder="1" applyAlignment="1">
      <alignment horizontal="left" vertical="center"/>
    </xf>
    <xf numFmtId="0" fontId="371" fillId="0" borderId="10" xfId="0" applyFont="1" applyFill="1" applyBorder="1" applyAlignment="1">
      <alignment horizontal="left" vertical="center"/>
    </xf>
    <xf numFmtId="0" fontId="347" fillId="0" borderId="10" xfId="0" applyFont="1" applyFill="1" applyBorder="1" applyAlignment="1">
      <alignment horizontal="left" vertical="center"/>
    </xf>
    <xf numFmtId="0" fontId="350" fillId="0" borderId="10" xfId="0" applyFont="1" applyFill="1" applyBorder="1" applyAlignment="1">
      <alignment horizontal="left" vertical="center"/>
    </xf>
    <xf numFmtId="0" fontId="353" fillId="0" borderId="10" xfId="0" applyFont="1" applyFill="1" applyBorder="1" applyAlignment="1">
      <alignment horizontal="left" vertical="center"/>
    </xf>
    <xf numFmtId="0" fontId="356" fillId="0" borderId="10" xfId="0" applyFont="1" applyFill="1" applyBorder="1" applyAlignment="1">
      <alignment horizontal="left" vertical="center"/>
    </xf>
    <xf numFmtId="0" fontId="359" fillId="0" borderId="10" xfId="0" applyFont="1" applyFill="1" applyBorder="1" applyAlignment="1">
      <alignment horizontal="left" vertical="center"/>
    </xf>
    <xf numFmtId="0" fontId="344" fillId="0" borderId="10" xfId="0" applyFont="1" applyFill="1" applyBorder="1" applyAlignment="1">
      <alignment horizontal="left" vertical="center"/>
    </xf>
    <xf numFmtId="0" fontId="335" fillId="0" borderId="10" xfId="0" applyFont="1" applyFill="1" applyBorder="1" applyAlignment="1">
      <alignment horizontal="left" vertical="center"/>
    </xf>
    <xf numFmtId="0" fontId="338" fillId="0" borderId="10" xfId="0" applyFont="1" applyFill="1" applyBorder="1" applyAlignment="1">
      <alignment horizontal="left" vertical="center"/>
    </xf>
    <xf numFmtId="0" fontId="341" fillId="0" borderId="10" xfId="0" applyFont="1" applyFill="1" applyBorder="1" applyAlignment="1">
      <alignment horizontal="left" vertical="center"/>
    </xf>
    <xf numFmtId="0" fontId="329" fillId="0" borderId="10" xfId="0" applyFont="1" applyFill="1" applyBorder="1" applyAlignment="1">
      <alignment horizontal="left" vertical="center"/>
    </xf>
    <xf numFmtId="0" fontId="332" fillId="0" borderId="10" xfId="0" applyFont="1" applyFill="1" applyBorder="1" applyAlignment="1">
      <alignment horizontal="left" vertical="center"/>
    </xf>
    <xf numFmtId="0" fontId="320" fillId="0" borderId="10" xfId="0" applyFont="1" applyFill="1" applyBorder="1" applyAlignment="1">
      <alignment horizontal="left" vertical="center"/>
    </xf>
    <xf numFmtId="0" fontId="323" fillId="0" borderId="10" xfId="0" applyFont="1" applyFill="1" applyBorder="1" applyAlignment="1">
      <alignment horizontal="left" vertical="center"/>
    </xf>
    <xf numFmtId="0" fontId="326" fillId="0" borderId="10" xfId="0" applyFont="1" applyFill="1" applyBorder="1" applyAlignment="1">
      <alignment horizontal="left" vertical="center"/>
    </xf>
    <xf numFmtId="0" fontId="314" fillId="0" borderId="10" xfId="0" applyFont="1" applyFill="1" applyBorder="1" applyAlignment="1">
      <alignment horizontal="left" vertical="center"/>
    </xf>
    <xf numFmtId="0" fontId="317" fillId="0" borderId="10" xfId="0" applyFont="1" applyFill="1" applyBorder="1" applyAlignment="1">
      <alignment horizontal="left" vertical="center"/>
    </xf>
    <xf numFmtId="0" fontId="308" fillId="0" borderId="10" xfId="0" applyFont="1" applyFill="1" applyBorder="1" applyAlignment="1">
      <alignment horizontal="left" vertical="center"/>
    </xf>
    <xf numFmtId="0" fontId="311" fillId="0" borderId="10" xfId="0" applyFont="1" applyFill="1" applyBorder="1" applyAlignment="1">
      <alignment horizontal="left" vertical="center"/>
    </xf>
    <xf numFmtId="0" fontId="296" fillId="0" borderId="10" xfId="0" applyFont="1" applyFill="1" applyBorder="1" applyAlignment="1">
      <alignment horizontal="left" vertical="center"/>
    </xf>
    <xf numFmtId="0" fontId="299" fillId="0" borderId="10" xfId="0" applyFont="1" applyFill="1" applyBorder="1" applyAlignment="1">
      <alignment horizontal="left" vertical="center"/>
    </xf>
    <xf numFmtId="0" fontId="302" fillId="0" borderId="10" xfId="0" applyFont="1" applyFill="1" applyBorder="1" applyAlignment="1">
      <alignment horizontal="left" vertical="center"/>
    </xf>
    <xf numFmtId="0" fontId="305" fillId="0" borderId="10" xfId="0" applyFont="1" applyFill="1" applyBorder="1" applyAlignment="1">
      <alignment horizontal="left" vertical="center"/>
    </xf>
    <xf numFmtId="0" fontId="287" fillId="0" borderId="10" xfId="0" applyFont="1" applyFill="1" applyBorder="1" applyAlignment="1">
      <alignment horizontal="left" vertical="center"/>
    </xf>
    <xf numFmtId="0" fontId="290" fillId="0" borderId="10" xfId="0" applyFont="1" applyFill="1" applyBorder="1" applyAlignment="1">
      <alignment horizontal="left" vertical="center"/>
    </xf>
    <xf numFmtId="0" fontId="293" fillId="0" borderId="10" xfId="0" applyFont="1" applyFill="1" applyBorder="1" applyAlignment="1">
      <alignment horizontal="left" vertical="center"/>
    </xf>
    <xf numFmtId="0" fontId="278" fillId="0" borderId="10" xfId="0" applyFont="1" applyFill="1" applyBorder="1" applyAlignment="1">
      <alignment horizontal="left" vertical="center"/>
    </xf>
    <xf numFmtId="0" fontId="281" fillId="0" borderId="10" xfId="0" applyFont="1" applyFill="1" applyBorder="1" applyAlignment="1">
      <alignment horizontal="left" vertical="center"/>
    </xf>
    <xf numFmtId="0" fontId="284" fillId="0" borderId="10" xfId="0" applyFont="1" applyFill="1" applyBorder="1" applyAlignment="1">
      <alignment horizontal="left" vertical="center"/>
    </xf>
    <xf numFmtId="0" fontId="275" fillId="0" borderId="10" xfId="0" applyFont="1" applyFill="1" applyBorder="1" applyAlignment="1">
      <alignment horizontal="left" vertical="center"/>
    </xf>
    <xf numFmtId="0" fontId="272" fillId="0" borderId="10" xfId="0" applyFont="1" applyFill="1" applyBorder="1" applyAlignment="1">
      <alignment horizontal="left" vertical="center"/>
    </xf>
    <xf numFmtId="0" fontId="266" fillId="0" borderId="10" xfId="0" applyFont="1" applyFill="1" applyBorder="1" applyAlignment="1">
      <alignment horizontal="left" vertical="center"/>
    </xf>
    <xf numFmtId="0" fontId="269" fillId="0" borderId="10" xfId="0" applyFont="1" applyFill="1" applyBorder="1" applyAlignment="1">
      <alignment horizontal="left" vertical="center"/>
    </xf>
    <xf numFmtId="0" fontId="260" fillId="0" borderId="10" xfId="0" applyFont="1" applyFill="1" applyBorder="1" applyAlignment="1">
      <alignment horizontal="left" vertical="center"/>
    </xf>
    <xf numFmtId="0" fontId="263" fillId="0" borderId="10" xfId="0" applyFont="1" applyFill="1" applyBorder="1" applyAlignment="1">
      <alignment horizontal="left" vertical="center"/>
    </xf>
    <xf numFmtId="0" fontId="254" fillId="0" borderId="10" xfId="0" applyFont="1" applyFill="1" applyBorder="1" applyAlignment="1">
      <alignment horizontal="left" vertical="center"/>
    </xf>
    <xf numFmtId="0" fontId="257" fillId="0" borderId="10" xfId="0" applyFont="1" applyFill="1" applyBorder="1" applyAlignment="1">
      <alignment horizontal="left" vertical="center"/>
    </xf>
    <xf numFmtId="0" fontId="248" fillId="0" borderId="10" xfId="0" applyFont="1" applyFill="1" applyBorder="1" applyAlignment="1">
      <alignment horizontal="left" vertical="center"/>
    </xf>
    <xf numFmtId="0" fontId="251" fillId="0" borderId="10" xfId="0" applyFont="1" applyFill="1" applyBorder="1" applyAlignment="1">
      <alignment horizontal="left" vertical="center"/>
    </xf>
    <xf numFmtId="0" fontId="233" fillId="0" borderId="10" xfId="0" applyFont="1" applyFill="1" applyBorder="1" applyAlignment="1">
      <alignment horizontal="left" vertical="center"/>
    </xf>
    <xf numFmtId="0" fontId="236" fillId="0" borderId="10" xfId="0" applyFont="1" applyFill="1" applyBorder="1" applyAlignment="1">
      <alignment horizontal="left" vertical="center"/>
    </xf>
    <xf numFmtId="0" fontId="239" fillId="0" borderId="10" xfId="0" applyFont="1" applyFill="1" applyBorder="1" applyAlignment="1">
      <alignment horizontal="left" vertical="center"/>
    </xf>
    <xf numFmtId="0" fontId="242" fillId="0" borderId="10" xfId="0" applyFont="1" applyFill="1" applyBorder="1" applyAlignment="1">
      <alignment horizontal="left" vertical="center"/>
    </xf>
    <xf numFmtId="0" fontId="245" fillId="0" borderId="10" xfId="0" applyFont="1" applyFill="1" applyBorder="1" applyAlignment="1">
      <alignment horizontal="left" vertical="center"/>
    </xf>
    <xf numFmtId="0" fontId="227" fillId="0" borderId="10" xfId="0" applyFont="1" applyFill="1" applyBorder="1" applyAlignment="1">
      <alignment horizontal="left" vertical="center"/>
    </xf>
    <xf numFmtId="0" fontId="230" fillId="0" borderId="10" xfId="0" applyFont="1" applyFill="1" applyBorder="1" applyAlignment="1">
      <alignment horizontal="left" vertical="center"/>
    </xf>
    <xf numFmtId="0" fontId="221" fillId="0" borderId="10" xfId="0" applyFont="1" applyFill="1" applyBorder="1" applyAlignment="1">
      <alignment horizontal="left" vertical="center"/>
    </xf>
    <xf numFmtId="0" fontId="224" fillId="0" borderId="10" xfId="0" applyFont="1" applyFill="1" applyBorder="1" applyAlignment="1">
      <alignment horizontal="left" vertical="center"/>
    </xf>
    <xf numFmtId="0" fontId="218" fillId="0" borderId="10" xfId="0" applyFont="1" applyFill="1" applyBorder="1" applyAlignment="1">
      <alignment horizontal="left" vertical="center"/>
    </xf>
    <xf numFmtId="0" fontId="212" fillId="0" borderId="10" xfId="0" applyFont="1" applyFill="1" applyBorder="1" applyAlignment="1">
      <alignment horizontal="left" vertical="center"/>
    </xf>
    <xf numFmtId="0" fontId="215" fillId="0" borderId="10" xfId="0" applyFont="1" applyFill="1" applyBorder="1" applyAlignment="1">
      <alignment horizontal="left" vertical="center"/>
    </xf>
    <xf numFmtId="0" fontId="206" fillId="0" borderId="10" xfId="0" applyFont="1" applyFill="1" applyBorder="1" applyAlignment="1">
      <alignment horizontal="left" vertical="center"/>
    </xf>
    <xf numFmtId="0" fontId="209" fillId="0" borderId="10" xfId="0" applyFont="1" applyFill="1" applyBorder="1" applyAlignment="1">
      <alignment horizontal="left" vertical="center"/>
    </xf>
    <xf numFmtId="0" fontId="200" fillId="0" borderId="10" xfId="0" applyFont="1" applyFill="1" applyBorder="1" applyAlignment="1">
      <alignment horizontal="left" vertical="center"/>
    </xf>
    <xf numFmtId="0" fontId="203" fillId="0" borderId="10" xfId="0" applyFont="1" applyFill="1" applyBorder="1" applyAlignment="1">
      <alignment horizontal="left" vertical="center"/>
    </xf>
    <xf numFmtId="0" fontId="191" fillId="0" borderId="10" xfId="0" applyFont="1" applyFill="1" applyBorder="1" applyAlignment="1">
      <alignment horizontal="left" vertical="center"/>
    </xf>
    <xf numFmtId="0" fontId="194" fillId="0" borderId="10" xfId="0" applyFont="1" applyFill="1" applyBorder="1" applyAlignment="1">
      <alignment horizontal="left" vertical="center"/>
    </xf>
    <xf numFmtId="0" fontId="197" fillId="0" borderId="10" xfId="0" applyFont="1" applyFill="1" applyBorder="1" applyAlignment="1">
      <alignment horizontal="left" vertical="center"/>
    </xf>
    <xf numFmtId="0" fontId="188" fillId="0" borderId="10" xfId="0" applyFont="1" applyFill="1" applyBorder="1" applyAlignment="1">
      <alignment horizontal="left" vertical="center"/>
    </xf>
    <xf numFmtId="0" fontId="176" fillId="0" borderId="10" xfId="0" applyFont="1" applyFill="1" applyBorder="1" applyAlignment="1">
      <alignment horizontal="left" vertical="center"/>
    </xf>
    <xf numFmtId="0" fontId="179" fillId="0" borderId="10" xfId="0" applyFont="1" applyFill="1" applyBorder="1" applyAlignment="1">
      <alignment horizontal="left" vertical="center"/>
    </xf>
    <xf numFmtId="0" fontId="182" fillId="0" borderId="10" xfId="0" applyFont="1" applyFill="1" applyBorder="1" applyAlignment="1">
      <alignment horizontal="left" vertical="center"/>
    </xf>
    <xf numFmtId="0" fontId="185" fillId="0" borderId="10" xfId="0" applyFont="1" applyFill="1" applyBorder="1" applyAlignment="1">
      <alignment horizontal="left" vertical="center"/>
    </xf>
    <xf numFmtId="0" fontId="173" fillId="0" borderId="10" xfId="0" applyFont="1" applyFill="1" applyBorder="1" applyAlignment="1">
      <alignment horizontal="left" vertical="center"/>
    </xf>
    <xf numFmtId="0" fontId="161" fillId="0" borderId="10" xfId="0" applyFont="1" applyFill="1" applyBorder="1" applyAlignment="1">
      <alignment horizontal="left" vertical="center"/>
    </xf>
    <xf numFmtId="0" fontId="164" fillId="0" borderId="10" xfId="0" applyFont="1" applyFill="1" applyBorder="1" applyAlignment="1">
      <alignment horizontal="left" vertical="center"/>
    </xf>
    <xf numFmtId="0" fontId="167" fillId="0" borderId="10" xfId="0" applyFont="1" applyFill="1" applyBorder="1" applyAlignment="1">
      <alignment horizontal="left" vertical="center"/>
    </xf>
    <xf numFmtId="0" fontId="170" fillId="0" borderId="10" xfId="0" applyFont="1" applyFill="1" applyBorder="1" applyAlignment="1">
      <alignment horizontal="left" vertical="center"/>
    </xf>
    <xf numFmtId="0" fontId="155" fillId="0" borderId="10" xfId="0" applyFont="1" applyFill="1" applyBorder="1" applyAlignment="1">
      <alignment horizontal="left" vertical="center"/>
    </xf>
    <xf numFmtId="0" fontId="158" fillId="0" borderId="10" xfId="0" applyFont="1" applyFill="1" applyBorder="1" applyAlignment="1">
      <alignment horizontal="left" vertical="center"/>
    </xf>
    <xf numFmtId="0" fontId="149" fillId="0" borderId="10" xfId="0" applyFont="1" applyFill="1" applyBorder="1" applyAlignment="1">
      <alignment horizontal="left" vertical="center"/>
    </xf>
    <xf numFmtId="0" fontId="152" fillId="0" borderId="10" xfId="0" applyFont="1" applyFill="1" applyBorder="1" applyAlignment="1">
      <alignment horizontal="left" vertical="center"/>
    </xf>
    <xf numFmtId="0" fontId="143" fillId="0" borderId="10" xfId="0" applyFont="1" applyFill="1" applyBorder="1" applyAlignment="1">
      <alignment horizontal="left" vertical="center"/>
    </xf>
    <xf numFmtId="0" fontId="146" fillId="0" borderId="10" xfId="0" applyFont="1" applyFill="1" applyBorder="1" applyAlignment="1">
      <alignment horizontal="left" vertical="center"/>
    </xf>
    <xf numFmtId="0" fontId="131" fillId="0" borderId="10" xfId="0" applyFont="1" applyFill="1" applyBorder="1" applyAlignment="1">
      <alignment horizontal="left" vertical="center"/>
    </xf>
    <xf numFmtId="0" fontId="134" fillId="0" borderId="10" xfId="0" applyFont="1" applyFill="1" applyBorder="1" applyAlignment="1">
      <alignment horizontal="left" vertical="center"/>
    </xf>
    <xf numFmtId="0" fontId="137" fillId="0" borderId="10" xfId="0" applyFont="1" applyFill="1" applyBorder="1" applyAlignment="1">
      <alignment horizontal="left" vertical="center"/>
    </xf>
    <xf numFmtId="0" fontId="140" fillId="0" borderId="10" xfId="0" applyFont="1" applyFill="1" applyBorder="1" applyAlignment="1">
      <alignment horizontal="left" vertical="center"/>
    </xf>
    <xf numFmtId="0" fontId="125" fillId="0" borderId="10" xfId="0" applyFont="1" applyFill="1" applyBorder="1" applyAlignment="1">
      <alignment horizontal="left" vertical="center"/>
    </xf>
    <xf numFmtId="0" fontId="128" fillId="0" borderId="10" xfId="0" applyFont="1" applyFill="1" applyBorder="1" applyAlignment="1">
      <alignment horizontal="left" vertical="center"/>
    </xf>
    <xf numFmtId="0" fontId="119" fillId="0" borderId="10" xfId="0" applyFont="1" applyFill="1" applyBorder="1" applyAlignment="1">
      <alignment horizontal="left" vertical="center"/>
    </xf>
    <xf numFmtId="0" fontId="122" fillId="0" borderId="10" xfId="0" applyFont="1" applyFill="1" applyBorder="1" applyAlignment="1">
      <alignment horizontal="left" vertical="center"/>
    </xf>
    <xf numFmtId="0" fontId="110" fillId="0" borderId="10" xfId="0" applyFont="1" applyFill="1" applyBorder="1" applyAlignment="1">
      <alignment horizontal="left" vertical="center"/>
    </xf>
    <xf numFmtId="0" fontId="113" fillId="0" borderId="10" xfId="0" applyFont="1" applyFill="1" applyBorder="1" applyAlignment="1">
      <alignment horizontal="left" vertical="center"/>
    </xf>
    <xf numFmtId="0" fontId="116" fillId="0" borderId="10" xfId="0" applyFont="1" applyFill="1" applyBorder="1" applyAlignment="1">
      <alignment horizontal="left" vertical="center"/>
    </xf>
    <xf numFmtId="0" fontId="104" fillId="0" borderId="10" xfId="0" applyFont="1" applyFill="1" applyBorder="1" applyAlignment="1">
      <alignment horizontal="left" vertical="center"/>
    </xf>
    <xf numFmtId="0" fontId="107" fillId="0" borderId="10" xfId="0" applyFont="1" applyFill="1" applyBorder="1" applyAlignment="1">
      <alignment horizontal="left" vertical="center"/>
    </xf>
    <xf numFmtId="0" fontId="95" fillId="0" borderId="10" xfId="0" applyFont="1" applyFill="1" applyBorder="1" applyAlignment="1">
      <alignment horizontal="left" vertical="center"/>
    </xf>
    <xf numFmtId="0" fontId="98" fillId="0" borderId="10" xfId="0" applyFont="1" applyFill="1" applyBorder="1" applyAlignment="1">
      <alignment horizontal="left" vertical="center"/>
    </xf>
    <xf numFmtId="0" fontId="101" fillId="0" borderId="10" xfId="0" applyFont="1" applyFill="1" applyBorder="1" applyAlignment="1">
      <alignment horizontal="left" vertical="center"/>
    </xf>
    <xf numFmtId="0" fontId="83" fillId="0" borderId="10" xfId="0" applyFont="1" applyFill="1" applyBorder="1" applyAlignment="1">
      <alignment horizontal="left" vertical="center"/>
    </xf>
    <xf numFmtId="0" fontId="86" fillId="0" borderId="10" xfId="0" applyFont="1" applyFill="1" applyBorder="1" applyAlignment="1">
      <alignment horizontal="left" vertical="center"/>
    </xf>
    <xf numFmtId="0" fontId="89" fillId="0" borderId="10" xfId="0" applyFont="1" applyFill="1" applyBorder="1" applyAlignment="1">
      <alignment horizontal="left" vertical="center"/>
    </xf>
    <xf numFmtId="0" fontId="92" fillId="0" borderId="10" xfId="0" applyFont="1" applyFill="1" applyBorder="1" applyAlignment="1">
      <alignment horizontal="left" vertical="center"/>
    </xf>
    <xf numFmtId="0" fontId="80" fillId="0" borderId="10" xfId="0" applyFont="1" applyFill="1" applyBorder="1" applyAlignment="1">
      <alignment horizontal="left" vertical="center"/>
    </xf>
    <xf numFmtId="0" fontId="71" fillId="0" borderId="10" xfId="0" applyFont="1" applyFill="1" applyBorder="1" applyAlignment="1">
      <alignment horizontal="left" vertical="center"/>
    </xf>
    <xf numFmtId="0" fontId="74" fillId="0" borderId="10" xfId="0" applyFont="1" applyFill="1" applyBorder="1" applyAlignment="1">
      <alignment horizontal="left" vertical="center"/>
    </xf>
    <xf numFmtId="0" fontId="77" fillId="0" borderId="10" xfId="0" applyFont="1" applyFill="1" applyBorder="1" applyAlignment="1">
      <alignment horizontal="left" vertical="center"/>
    </xf>
    <xf numFmtId="0" fontId="68" fillId="0" borderId="10" xfId="0" applyFont="1" applyFill="1" applyBorder="1" applyAlignment="1">
      <alignment horizontal="left" vertical="center"/>
    </xf>
    <xf numFmtId="0" fontId="29" fillId="26" borderId="18" xfId="0" applyFont="1" applyFill="1" applyBorder="1" applyAlignment="1" applyProtection="1">
      <alignment horizontal="center" vertical="center" wrapText="1"/>
      <protection hidden="1"/>
    </xf>
    <xf numFmtId="0" fontId="29" fillId="26" borderId="19" xfId="0" applyFont="1" applyFill="1" applyBorder="1" applyAlignment="1" applyProtection="1">
      <alignment horizontal="center" vertical="center" wrapText="1"/>
      <protection hidden="1"/>
    </xf>
    <xf numFmtId="0" fontId="54" fillId="26" borderId="18" xfId="0" applyFont="1" applyFill="1" applyBorder="1" applyAlignment="1" applyProtection="1">
      <alignment horizontal="center" vertical="center" wrapText="1"/>
      <protection hidden="1"/>
    </xf>
    <xf numFmtId="0" fontId="54" fillId="26" borderId="20" xfId="0" applyFont="1" applyFill="1" applyBorder="1" applyAlignment="1" applyProtection="1">
      <alignment horizontal="center" vertical="center" wrapText="1"/>
      <protection hidden="1"/>
    </xf>
    <xf numFmtId="0" fontId="54" fillId="26" borderId="19" xfId="0" applyFont="1" applyFill="1" applyBorder="1" applyAlignment="1" applyProtection="1">
      <alignment horizontal="center" vertical="center" wrapText="1"/>
      <protection hidden="1"/>
    </xf>
    <xf numFmtId="0" fontId="51" fillId="26" borderId="33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62" fillId="0" borderId="10" xfId="0" applyFont="1" applyFill="1" applyBorder="1" applyAlignment="1">
      <alignment horizontal="left" vertical="center"/>
    </xf>
    <xf numFmtId="0" fontId="65" fillId="0" borderId="10" xfId="0" applyFont="1" applyFill="1" applyBorder="1" applyAlignment="1">
      <alignment horizontal="left" vertical="center"/>
    </xf>
    <xf numFmtId="0" fontId="33" fillId="0" borderId="0" xfId="0" applyNumberFormat="1" applyFont="1" applyFill="1" applyBorder="1" applyAlignment="1" applyProtection="1">
      <alignment horizontal="left" vertical="center" wrapText="1"/>
      <protection hidden="1"/>
    </xf>
    <xf numFmtId="2" fontId="33" fillId="0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2" fontId="33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32" fillId="0" borderId="0" xfId="0" applyFont="1" applyFill="1" applyBorder="1" applyAlignment="1" applyProtection="1">
      <alignment horizontal="center" vertical="center" wrapText="1"/>
      <protection hidden="1"/>
    </xf>
    <xf numFmtId="0" fontId="0" fillId="26" borderId="10" xfId="0" applyFill="1" applyBorder="1" applyAlignment="1" applyProtection="1">
      <alignment horizontal="left"/>
      <protection hidden="1"/>
    </xf>
    <xf numFmtId="0" fontId="0" fillId="0" borderId="10" xfId="0" applyBorder="1" applyAlignment="1">
      <alignment horizontal="left"/>
    </xf>
    <xf numFmtId="0" fontId="28" fillId="0" borderId="0" xfId="0" applyFont="1" applyFill="1" applyBorder="1" applyAlignment="1" applyProtection="1">
      <alignment horizontal="center"/>
    </xf>
    <xf numFmtId="0" fontId="28" fillId="0" borderId="0" xfId="0" applyFont="1" applyFill="1" applyBorder="1" applyAlignment="1" applyProtection="1"/>
    <xf numFmtId="0" fontId="33" fillId="0" borderId="0" xfId="0" applyFont="1" applyAlignment="1">
      <alignment horizontal="center"/>
    </xf>
    <xf numFmtId="0" fontId="33" fillId="0" borderId="15" xfId="0" applyFont="1" applyBorder="1" applyAlignment="1">
      <alignment horizontal="center"/>
    </xf>
    <xf numFmtId="165" fontId="3" fillId="0" borderId="10" xfId="0" applyNumberFormat="1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 wrapText="1"/>
      <protection locked="0" hidden="1"/>
    </xf>
    <xf numFmtId="2" fontId="32" fillId="0" borderId="29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30" xfId="0" applyNumberFormat="1" applyFont="1" applyFill="1" applyBorder="1" applyAlignment="1" applyProtection="1">
      <alignment horizontal="center" vertical="center" wrapText="1"/>
      <protection hidden="1"/>
    </xf>
    <xf numFmtId="0" fontId="59" fillId="26" borderId="17" xfId="0" applyFont="1" applyFill="1" applyBorder="1" applyAlignment="1" applyProtection="1">
      <alignment horizontal="center" vertical="center" wrapText="1"/>
      <protection hidden="1"/>
    </xf>
    <xf numFmtId="0" fontId="58" fillId="26" borderId="17" xfId="0" applyFont="1" applyFill="1" applyBorder="1" applyAlignment="1" applyProtection="1">
      <alignment vertical="center" wrapText="1"/>
      <protection hidden="1"/>
    </xf>
    <xf numFmtId="0" fontId="33" fillId="26" borderId="10" xfId="0" applyNumberFormat="1" applyFont="1" applyFill="1" applyBorder="1" applyAlignment="1" applyProtection="1">
      <alignment horizontal="center" vertical="center" wrapText="1"/>
      <protection hidden="1"/>
    </xf>
    <xf numFmtId="0" fontId="32" fillId="27" borderId="18" xfId="0" applyFont="1" applyFill="1" applyBorder="1" applyAlignment="1" applyProtection="1">
      <alignment horizontal="left" vertical="center" wrapText="1"/>
      <protection locked="0"/>
    </xf>
    <xf numFmtId="0" fontId="32" fillId="27" borderId="20" xfId="0" applyFont="1" applyFill="1" applyBorder="1" applyAlignment="1" applyProtection="1">
      <alignment horizontal="left" vertical="center" wrapText="1"/>
      <protection locked="0"/>
    </xf>
    <xf numFmtId="0" fontId="32" fillId="27" borderId="19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Fill="1" applyBorder="1" applyAlignment="1" applyProtection="1">
      <alignment horizontal="center" vertical="center"/>
      <protection hidden="1"/>
    </xf>
    <xf numFmtId="49" fontId="38" fillId="27" borderId="10" xfId="0" applyNumberFormat="1" applyFont="1" applyFill="1" applyBorder="1" applyAlignment="1" applyProtection="1">
      <alignment horizontal="left" vertical="center" wrapText="1"/>
    </xf>
    <xf numFmtId="2" fontId="32" fillId="0" borderId="24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5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16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6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7" xfId="0" applyNumberFormat="1" applyFont="1" applyFill="1" applyBorder="1" applyAlignment="1" applyProtection="1">
      <alignment horizontal="center" vertical="center" wrapText="1"/>
      <protection hidden="1"/>
    </xf>
    <xf numFmtId="2" fontId="32" fillId="0" borderId="28" xfId="0" applyNumberFormat="1" applyFont="1" applyFill="1" applyBorder="1" applyAlignment="1" applyProtection="1">
      <alignment horizontal="center" vertical="center" wrapText="1"/>
      <protection hidden="1"/>
    </xf>
    <xf numFmtId="0" fontId="32" fillId="27" borderId="13" xfId="0" applyFont="1" applyFill="1" applyBorder="1" applyAlignment="1" applyProtection="1">
      <alignment horizontal="center" vertical="top" wrapText="1"/>
      <protection locked="0"/>
    </xf>
    <xf numFmtId="0" fontId="32" fillId="27" borderId="14" xfId="0" applyFont="1" applyFill="1" applyBorder="1" applyAlignment="1" applyProtection="1">
      <alignment horizontal="center" vertical="top" wrapText="1"/>
      <protection locked="0"/>
    </xf>
    <xf numFmtId="0" fontId="32" fillId="27" borderId="21" xfId="0" applyFont="1" applyFill="1" applyBorder="1" applyAlignment="1" applyProtection="1">
      <alignment horizontal="center" vertical="top" wrapText="1"/>
      <protection locked="0"/>
    </xf>
    <xf numFmtId="0" fontId="32" fillId="27" borderId="10" xfId="0" applyFont="1" applyFill="1" applyBorder="1" applyAlignment="1" applyProtection="1">
      <alignment horizontal="left" vertical="center" wrapText="1"/>
      <protection locked="0"/>
    </xf>
    <xf numFmtId="0" fontId="50" fillId="26" borderId="0" xfId="0" applyFont="1" applyFill="1" applyBorder="1" applyAlignment="1" applyProtection="1">
      <alignment horizontal="center" vertical="center" wrapText="1"/>
    </xf>
    <xf numFmtId="0" fontId="45" fillId="0" borderId="0" xfId="0" applyFont="1" applyFill="1" applyBorder="1" applyAlignment="1" applyProtection="1">
      <alignment horizontal="center" vertical="top" wrapText="1"/>
    </xf>
    <xf numFmtId="0" fontId="50" fillId="0" borderId="0" xfId="0" applyFont="1" applyFill="1" applyBorder="1" applyAlignment="1" applyProtection="1">
      <alignment horizontal="center" vertical="center" wrapText="1"/>
    </xf>
    <xf numFmtId="0" fontId="60" fillId="0" borderId="0" xfId="0" applyFont="1" applyFill="1" applyBorder="1" applyAlignment="1" applyProtection="1">
      <alignment horizontal="center" vertical="center" wrapText="1"/>
      <protection hidden="1"/>
    </xf>
    <xf numFmtId="0" fontId="32" fillId="27" borderId="18" xfId="0" applyFont="1" applyFill="1" applyBorder="1" applyAlignment="1" applyProtection="1">
      <alignment horizontal="center" vertical="center"/>
      <protection locked="0"/>
    </xf>
    <xf numFmtId="0" fontId="32" fillId="27" borderId="19" xfId="0" applyFont="1" applyFill="1" applyBorder="1" applyAlignment="1" applyProtection="1">
      <alignment horizontal="center" vertical="center"/>
      <protection locked="0"/>
    </xf>
    <xf numFmtId="2" fontId="33" fillId="26" borderId="18" xfId="0" applyNumberFormat="1" applyFont="1" applyFill="1" applyBorder="1" applyAlignment="1" applyProtection="1">
      <alignment horizontal="center" vertical="center" wrapText="1"/>
      <protection hidden="1"/>
    </xf>
    <xf numFmtId="2" fontId="33" fillId="26" borderId="19" xfId="0" applyNumberFormat="1" applyFont="1" applyFill="1" applyBorder="1" applyAlignment="1" applyProtection="1">
      <alignment horizontal="center" vertical="center" wrapText="1"/>
      <protection hidden="1"/>
    </xf>
    <xf numFmtId="0" fontId="32" fillId="27" borderId="10" xfId="0" applyFont="1" applyFill="1" applyBorder="1" applyAlignment="1" applyProtection="1">
      <alignment horizontal="center" vertical="center"/>
      <protection locked="0"/>
    </xf>
  </cellXfs>
  <cellStyles count="62">
    <cellStyle name="20% - Акцент1 2" xfId="1" xr:uid="{00000000-0005-0000-0000-000000000000}"/>
    <cellStyle name="20% - Акцент1 2 2" xfId="47" xr:uid="{00000000-0005-0000-0000-000001000000}"/>
    <cellStyle name="20% - Акцент2 2" xfId="2" xr:uid="{00000000-0005-0000-0000-000002000000}"/>
    <cellStyle name="20% - Акцент2 2 2" xfId="48" xr:uid="{00000000-0005-0000-0000-000003000000}"/>
    <cellStyle name="20% - Акцент3 2" xfId="3" xr:uid="{00000000-0005-0000-0000-000004000000}"/>
    <cellStyle name="20% - Акцент3 2 2" xfId="49" xr:uid="{00000000-0005-0000-0000-000005000000}"/>
    <cellStyle name="20% - Акцент4 2" xfId="4" xr:uid="{00000000-0005-0000-0000-000006000000}"/>
    <cellStyle name="20% - Акцент4 2 2" xfId="50" xr:uid="{00000000-0005-0000-0000-000007000000}"/>
    <cellStyle name="20% - Акцент5 2" xfId="5" xr:uid="{00000000-0005-0000-0000-000008000000}"/>
    <cellStyle name="20% - Акцент5 2 2" xfId="51" xr:uid="{00000000-0005-0000-0000-000009000000}"/>
    <cellStyle name="20% - Акцент6 2" xfId="6" xr:uid="{00000000-0005-0000-0000-00000A000000}"/>
    <cellStyle name="20% - Акцент6 2 2" xfId="52" xr:uid="{00000000-0005-0000-0000-00000B000000}"/>
    <cellStyle name="40% - Акцент1 2" xfId="7" xr:uid="{00000000-0005-0000-0000-00000C000000}"/>
    <cellStyle name="40% - Акцент1 2 2" xfId="53" xr:uid="{00000000-0005-0000-0000-00000D000000}"/>
    <cellStyle name="40% - Акцент2 2" xfId="8" xr:uid="{00000000-0005-0000-0000-00000E000000}"/>
    <cellStyle name="40% - Акцент2 2 2" xfId="54" xr:uid="{00000000-0005-0000-0000-00000F000000}"/>
    <cellStyle name="40% - Акцент3 2" xfId="9" xr:uid="{00000000-0005-0000-0000-000010000000}"/>
    <cellStyle name="40% - Акцент3 2 2" xfId="55" xr:uid="{00000000-0005-0000-0000-000011000000}"/>
    <cellStyle name="40% - Акцент4 2" xfId="10" xr:uid="{00000000-0005-0000-0000-000012000000}"/>
    <cellStyle name="40% - Акцент4 2 2" xfId="56" xr:uid="{00000000-0005-0000-0000-000013000000}"/>
    <cellStyle name="40% - Акцент5 2" xfId="11" xr:uid="{00000000-0005-0000-0000-000014000000}"/>
    <cellStyle name="40% - Акцент5 2 2" xfId="57" xr:uid="{00000000-0005-0000-0000-000015000000}"/>
    <cellStyle name="40% - Акцент6 2" xfId="12" xr:uid="{00000000-0005-0000-0000-000016000000}"/>
    <cellStyle name="40% - Акцент6 2 2" xfId="58" xr:uid="{00000000-0005-0000-0000-000017000000}"/>
    <cellStyle name="60% - Акцент1 2" xfId="13" xr:uid="{00000000-0005-0000-0000-000018000000}"/>
    <cellStyle name="60% - Акцент2 2" xfId="14" xr:uid="{00000000-0005-0000-0000-000019000000}"/>
    <cellStyle name="60% - Акцент3 2" xfId="15" xr:uid="{00000000-0005-0000-0000-00001A000000}"/>
    <cellStyle name="60% - Акцент4 2" xfId="16" xr:uid="{00000000-0005-0000-0000-00001B000000}"/>
    <cellStyle name="60% - Акцент5 2" xfId="17" xr:uid="{00000000-0005-0000-0000-00001C000000}"/>
    <cellStyle name="60% - Акцент6 2" xfId="18" xr:uid="{00000000-0005-0000-0000-00001D000000}"/>
    <cellStyle name="Акцент1 2" xfId="19" xr:uid="{00000000-0005-0000-0000-00001E000000}"/>
    <cellStyle name="Акцент2 2" xfId="20" xr:uid="{00000000-0005-0000-0000-00001F000000}"/>
    <cellStyle name="Акцент3 2" xfId="21" xr:uid="{00000000-0005-0000-0000-000020000000}"/>
    <cellStyle name="Акцент4 2" xfId="22" xr:uid="{00000000-0005-0000-0000-000021000000}"/>
    <cellStyle name="Акцент5 2" xfId="23" xr:uid="{00000000-0005-0000-0000-000022000000}"/>
    <cellStyle name="Акцент6 2" xfId="24" xr:uid="{00000000-0005-0000-0000-000023000000}"/>
    <cellStyle name="Ввод  2" xfId="25" xr:uid="{00000000-0005-0000-0000-000024000000}"/>
    <cellStyle name="Вывод 2" xfId="26" xr:uid="{00000000-0005-0000-0000-000025000000}"/>
    <cellStyle name="Вычисление 2" xfId="27" xr:uid="{00000000-0005-0000-0000-000026000000}"/>
    <cellStyle name="Заголовок 1 2" xfId="28" xr:uid="{00000000-0005-0000-0000-000027000000}"/>
    <cellStyle name="Заголовок 2 2" xfId="29" xr:uid="{00000000-0005-0000-0000-000028000000}"/>
    <cellStyle name="Заголовок 3 2" xfId="30" xr:uid="{00000000-0005-0000-0000-000029000000}"/>
    <cellStyle name="Заголовок 4 2" xfId="31" xr:uid="{00000000-0005-0000-0000-00002A000000}"/>
    <cellStyle name="Итог 2" xfId="32" xr:uid="{00000000-0005-0000-0000-00002B000000}"/>
    <cellStyle name="Контрольная ячейка 2" xfId="33" xr:uid="{00000000-0005-0000-0000-00002C000000}"/>
    <cellStyle name="Название 2" xfId="34" xr:uid="{00000000-0005-0000-0000-00002D000000}"/>
    <cellStyle name="Нейтральный 2" xfId="35" xr:uid="{00000000-0005-0000-0000-00002E000000}"/>
    <cellStyle name="Обычный" xfId="0" builtinId="0"/>
    <cellStyle name="Обычный 16" xfId="36" xr:uid="{00000000-0005-0000-0000-000030000000}"/>
    <cellStyle name="Обычный 16 2" xfId="37" xr:uid="{00000000-0005-0000-0000-000031000000}"/>
    <cellStyle name="Обычный 16 2 2" xfId="59" xr:uid="{00000000-0005-0000-0000-000032000000}"/>
    <cellStyle name="Обычный 2" xfId="38" xr:uid="{00000000-0005-0000-0000-000033000000}"/>
    <cellStyle name="Обычный 2 2" xfId="39" xr:uid="{00000000-0005-0000-0000-000034000000}"/>
    <cellStyle name="Обычный 2 2 2" xfId="60" xr:uid="{00000000-0005-0000-0000-000035000000}"/>
    <cellStyle name="Обычный 3" xfId="40" xr:uid="{00000000-0005-0000-0000-000036000000}"/>
    <cellStyle name="Плохой 2" xfId="41" xr:uid="{00000000-0005-0000-0000-000037000000}"/>
    <cellStyle name="Пояснение 2" xfId="42" xr:uid="{00000000-0005-0000-0000-000038000000}"/>
    <cellStyle name="Примечание 2" xfId="43" xr:uid="{00000000-0005-0000-0000-000039000000}"/>
    <cellStyle name="Примечание 2 2" xfId="61" xr:uid="{00000000-0005-0000-0000-00003A000000}"/>
    <cellStyle name="Связанная ячейка 2" xfId="44" xr:uid="{00000000-0005-0000-0000-00003B000000}"/>
    <cellStyle name="Текст предупреждения 2" xfId="45" xr:uid="{00000000-0005-0000-0000-00003C000000}"/>
    <cellStyle name="Хороший 2" xfId="46" xr:uid="{00000000-0005-0000-0000-00003D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CD398"/>
  <sheetViews>
    <sheetView showGridLines="0" tabSelected="1" zoomScale="85" zoomScaleNormal="85" zoomScaleSheetLayoutView="100" workbookViewId="0">
      <selection activeCell="V393" sqref="V393"/>
    </sheetView>
  </sheetViews>
  <sheetFormatPr defaultColWidth="9.140625" defaultRowHeight="12.75" x14ac:dyDescent="0.2"/>
  <cols>
    <col min="1" max="1" width="9.140625" customWidth="1"/>
    <col min="2" max="2" width="10.85546875" customWidth="1"/>
    <col min="3" max="3" width="9.42578125" customWidth="1"/>
    <col min="4" max="4" width="13.85546875" customWidth="1"/>
    <col min="5" max="5" width="9.42578125" customWidth="1"/>
    <col min="6" max="6" width="11.140625" customWidth="1"/>
    <col min="7" max="7" width="9.42578125" style="12" customWidth="1"/>
    <col min="8" max="8" width="9.42578125" customWidth="1"/>
    <col min="9" max="9" width="11.42578125" customWidth="1"/>
    <col min="10" max="10" width="13.85546875" hidden="1" customWidth="1"/>
    <col min="11" max="11" width="9.42578125" customWidth="1"/>
    <col min="12" max="12" width="15.85546875" hidden="1" customWidth="1"/>
    <col min="13" max="13" width="5" customWidth="1"/>
    <col min="14" max="14" width="5.140625" customWidth="1"/>
    <col min="15" max="15" width="7.42578125" customWidth="1"/>
    <col min="16" max="16" width="16.42578125" customWidth="1"/>
    <col min="17" max="17" width="12.42578125" customWidth="1"/>
    <col min="18" max="18" width="19.42578125" style="10" customWidth="1"/>
    <col min="19" max="19" width="19.42578125" customWidth="1"/>
    <col min="20" max="20" width="4.42578125" customWidth="1"/>
    <col min="21" max="21" width="15.85546875" style="4" customWidth="1"/>
    <col min="22" max="22" width="15.85546875" customWidth="1"/>
    <col min="23" max="24" width="15.85546875" style="4" customWidth="1"/>
    <col min="25" max="28" width="15.85546875" customWidth="1"/>
    <col min="29" max="29" width="14.42578125" customWidth="1"/>
    <col min="30" max="30" width="14.5703125" customWidth="1"/>
    <col min="31" max="31" width="24.7109375" customWidth="1"/>
    <col min="32" max="32" width="30.7109375" customWidth="1"/>
    <col min="33" max="33" width="16.140625" customWidth="1"/>
    <col min="34" max="36" width="9.140625" style="4" customWidth="1"/>
    <col min="37" max="37" width="9.140625" customWidth="1"/>
    <col min="38" max="39" width="9.140625" style="60" customWidth="1"/>
    <col min="40" max="41" width="9.140625" customWidth="1"/>
    <col min="42" max="42" width="11" customWidth="1"/>
    <col min="43" max="200" width="9.140625" style="4" customWidth="1"/>
    <col min="201" max="16384" width="9.140625" style="4"/>
  </cols>
  <sheetData>
    <row r="1" spans="1:41" ht="32.25" customHeight="1" x14ac:dyDescent="0.2">
      <c r="A1" s="628" t="s">
        <v>28</v>
      </c>
      <c r="B1" s="628"/>
      <c r="C1" s="628"/>
      <c r="D1" s="628"/>
      <c r="E1" s="628"/>
      <c r="F1" s="35" t="s">
        <v>65</v>
      </c>
      <c r="G1" s="628" t="s">
        <v>49</v>
      </c>
      <c r="H1" s="628"/>
      <c r="I1" s="628"/>
      <c r="J1" s="628"/>
      <c r="K1" s="628"/>
      <c r="L1" s="628"/>
      <c r="M1" s="628"/>
      <c r="N1" s="628"/>
      <c r="O1" s="628"/>
      <c r="P1" s="628"/>
      <c r="Q1" s="628" t="s">
        <v>66</v>
      </c>
      <c r="R1" s="628"/>
      <c r="S1" s="36"/>
      <c r="T1" s="37"/>
      <c r="U1" s="37"/>
      <c r="V1" s="37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59"/>
      <c r="AM1" s="63" t="s">
        <v>55</v>
      </c>
      <c r="AN1" s="59"/>
      <c r="AO1" s="4">
        <v>1</v>
      </c>
    </row>
    <row r="2" spans="1:41" ht="16.5" customHeight="1" thickBot="1" x14ac:dyDescent="0.25">
      <c r="A2" s="24" t="s">
        <v>45</v>
      </c>
      <c r="B2" s="629" t="s">
        <v>66</v>
      </c>
      <c r="C2" s="629"/>
      <c r="D2" s="25"/>
      <c r="E2" s="26"/>
      <c r="F2" s="630"/>
      <c r="G2" s="630"/>
      <c r="H2" s="630"/>
      <c r="I2" s="26"/>
      <c r="J2" s="26"/>
      <c r="K2" s="26"/>
      <c r="L2" s="26"/>
      <c r="M2" s="26"/>
      <c r="N2" s="26"/>
      <c r="O2" s="63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P2" s="631"/>
      <c r="Q2" s="631"/>
      <c r="R2" s="631"/>
      <c r="S2" s="27"/>
      <c r="T2" s="27"/>
      <c r="U2" s="27"/>
      <c r="V2" s="27"/>
      <c r="AK2" s="60"/>
      <c r="AN2" s="4"/>
    </row>
    <row r="3" spans="1:41" ht="11.25" customHeight="1" thickTop="1" thickBot="1" x14ac:dyDescent="0.25">
      <c r="A3" s="28"/>
      <c r="B3" s="29" t="s">
        <v>7</v>
      </c>
      <c r="C3" s="29"/>
      <c r="D3" s="26"/>
      <c r="E3" s="26"/>
      <c r="F3" s="30"/>
      <c r="G3" s="29" t="s">
        <v>8</v>
      </c>
      <c r="H3" s="26"/>
      <c r="I3" s="26"/>
      <c r="J3" s="26"/>
      <c r="K3" s="26"/>
      <c r="L3" s="26"/>
      <c r="M3" s="26"/>
      <c r="N3" s="26"/>
      <c r="O3" s="631"/>
      <c r="P3" s="631"/>
      <c r="Q3" s="631"/>
      <c r="R3" s="631"/>
      <c r="S3" s="27"/>
      <c r="T3" s="27"/>
      <c r="U3" s="27"/>
      <c r="V3" s="27"/>
      <c r="AK3" s="60"/>
      <c r="AN3" s="4"/>
    </row>
    <row r="4" spans="1:41" ht="9" customHeight="1" thickTop="1" thickBot="1" x14ac:dyDescent="0.25">
      <c r="A4" s="31"/>
      <c r="B4" s="31"/>
      <c r="C4" s="31"/>
      <c r="D4" s="31"/>
      <c r="E4" s="31"/>
      <c r="F4" s="31"/>
      <c r="G4" s="31"/>
      <c r="H4" s="31"/>
      <c r="I4" s="5"/>
      <c r="J4" s="5"/>
      <c r="K4" s="5"/>
      <c r="L4" s="5"/>
      <c r="M4" s="5"/>
      <c r="N4" s="31"/>
      <c r="O4" s="32"/>
      <c r="P4" s="32"/>
      <c r="Q4" s="32"/>
      <c r="R4" s="32"/>
      <c r="S4" s="1"/>
      <c r="T4" s="33"/>
      <c r="U4" s="33"/>
      <c r="V4" s="14"/>
      <c r="AA4" s="19"/>
      <c r="AK4" s="60"/>
      <c r="AN4" s="4"/>
    </row>
    <row r="5" spans="1:41" ht="33.75" customHeight="1" thickBot="1" x14ac:dyDescent="0.25">
      <c r="A5" s="612" t="s">
        <v>9</v>
      </c>
      <c r="B5" s="612"/>
      <c r="C5" s="612"/>
      <c r="D5" s="612"/>
      <c r="E5" s="632"/>
      <c r="F5" s="633"/>
      <c r="G5" s="634" t="s">
        <v>15</v>
      </c>
      <c r="H5" s="635"/>
      <c r="I5" s="636"/>
      <c r="J5" s="636"/>
      <c r="K5" s="636"/>
      <c r="L5" s="636"/>
      <c r="M5" s="636"/>
      <c r="N5" s="636"/>
      <c r="O5" s="23"/>
      <c r="P5" s="23" t="s">
        <v>4</v>
      </c>
      <c r="Q5" s="54">
        <v>45762</v>
      </c>
      <c r="R5" s="15" t="s">
        <v>3</v>
      </c>
      <c r="S5" s="43" t="s">
        <v>580</v>
      </c>
      <c r="T5" s="22"/>
      <c r="U5" s="610" t="s">
        <v>47</v>
      </c>
      <c r="V5" s="611"/>
      <c r="W5" s="610"/>
      <c r="X5" s="611"/>
      <c r="Y5" s="610"/>
      <c r="Z5" s="611"/>
      <c r="AA5" s="610"/>
      <c r="AB5" s="611"/>
    </row>
    <row r="6" spans="1:41" ht="25.5" customHeight="1" x14ac:dyDescent="0.2">
      <c r="A6" s="612" t="s">
        <v>1</v>
      </c>
      <c r="B6" s="612"/>
      <c r="C6" s="612"/>
      <c r="D6" s="612"/>
      <c r="E6" s="613" t="s">
        <v>581</v>
      </c>
      <c r="F6" s="614"/>
      <c r="G6" s="614"/>
      <c r="H6" s="614"/>
      <c r="I6" s="614"/>
      <c r="J6" s="614"/>
      <c r="K6" s="614"/>
      <c r="L6" s="614"/>
      <c r="M6" s="614"/>
      <c r="N6" s="615"/>
      <c r="O6" s="23"/>
      <c r="P6" s="23" t="s">
        <v>29</v>
      </c>
      <c r="Q6" s="64" t="str">
        <f>IF(Q5=0," ",CHOOSE(WEEKDAY(Q5,2),"Понедельник","Вторник","Среда","Четверг","Пятница","Суббота","Воскресенье"))</f>
        <v>Вторник</v>
      </c>
      <c r="R6" s="616" t="s">
        <v>5</v>
      </c>
      <c r="S6" s="617" t="s">
        <v>67</v>
      </c>
      <c r="T6" s="5"/>
      <c r="U6" s="618" t="s">
        <v>73</v>
      </c>
      <c r="V6" s="619"/>
      <c r="W6" s="618" t="s">
        <v>75</v>
      </c>
      <c r="X6" s="619"/>
      <c r="Y6" s="618" t="s">
        <v>77</v>
      </c>
      <c r="Z6" s="619"/>
      <c r="AA6" s="618" t="s">
        <v>79</v>
      </c>
      <c r="AB6" s="619"/>
    </row>
    <row r="7" spans="1:41" ht="16.5" hidden="1" customHeight="1" x14ac:dyDescent="0.2">
      <c r="A7" s="69"/>
      <c r="B7" s="70"/>
      <c r="C7" s="70"/>
      <c r="D7" s="70"/>
      <c r="E7" s="624" t="str">
        <f>IFERROR(VLOOKUP(DeliveryAddress,Table,3,0),1)</f>
        <v>1</v>
      </c>
      <c r="F7" s="625"/>
      <c r="G7" s="625"/>
      <c r="H7" s="625"/>
      <c r="I7" s="625"/>
      <c r="J7" s="625"/>
      <c r="K7" s="625"/>
      <c r="L7" s="625"/>
      <c r="M7" s="625"/>
      <c r="N7" s="626"/>
      <c r="O7" s="23"/>
      <c r="P7" s="23"/>
      <c r="Q7" s="55"/>
      <c r="R7" s="616"/>
      <c r="S7" s="617"/>
      <c r="T7" s="5"/>
      <c r="U7" s="620"/>
      <c r="V7" s="621"/>
      <c r="W7" s="620"/>
      <c r="X7" s="621"/>
      <c r="Y7" s="620"/>
      <c r="Z7" s="621"/>
      <c r="AA7" s="620"/>
      <c r="AB7" s="621"/>
    </row>
    <row r="8" spans="1:41" ht="27" customHeight="1" thickBot="1" x14ac:dyDescent="0.25">
      <c r="A8" s="612" t="s">
        <v>56</v>
      </c>
      <c r="B8" s="612"/>
      <c r="C8" s="612"/>
      <c r="D8" s="612"/>
      <c r="E8" s="627" t="s">
        <v>587</v>
      </c>
      <c r="F8" s="627"/>
      <c r="G8" s="627"/>
      <c r="H8" s="627"/>
      <c r="I8" s="627"/>
      <c r="J8" s="627"/>
      <c r="K8" s="627"/>
      <c r="L8" s="627"/>
      <c r="M8" s="627"/>
      <c r="N8" s="627"/>
      <c r="O8" s="41"/>
      <c r="P8" s="23" t="s">
        <v>12</v>
      </c>
      <c r="Q8" s="56">
        <v>0.375</v>
      </c>
      <c r="R8" s="616"/>
      <c r="S8" s="617"/>
      <c r="T8" s="5"/>
      <c r="U8" s="622"/>
      <c r="V8" s="623"/>
      <c r="W8" s="622"/>
      <c r="X8" s="623"/>
      <c r="Y8" s="622"/>
      <c r="Z8" s="623"/>
      <c r="AA8" s="622"/>
      <c r="AB8" s="623"/>
    </row>
    <row r="9" spans="1:41" ht="31.5" customHeight="1" thickBot="1" x14ac:dyDescent="0.25">
      <c r="B9" s="5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C9" s="596"/>
      <c r="D9" s="596"/>
      <c r="E9" s="597" t="s">
        <v>57</v>
      </c>
      <c r="F9" s="598"/>
      <c r="G9" s="596" t="str">
        <f>IF(AND($B$9="Тип доверенности/получателя при получении в адресе перегруза:",$E$9="Разовая доверенность"),"Паспортные данные получателя заказа:","")</f>
        <v/>
      </c>
      <c r="H9" s="596"/>
      <c r="I9" s="607" t="str">
        <f>IF(AND($B$9="Тип доверенности/получателя при получении в адресе перегруза:",$E$9="Разовая доверенность"),"Введите ФИО","")</f>
        <v/>
      </c>
      <c r="J9" s="607"/>
      <c r="K9" s="607"/>
      <c r="L9" s="75"/>
      <c r="M9" s="607" t="str">
        <f>IF(AND($B$9="Тип доверенности/получателя при получении в адресе перегруза:",$E$9="Разовая доверенность"),"Введите паспортные данные","")</f>
        <v/>
      </c>
      <c r="N9" s="607"/>
      <c r="O9" s="42"/>
      <c r="P9" s="23" t="s">
        <v>16</v>
      </c>
      <c r="Q9" s="54"/>
      <c r="R9" s="23" t="s">
        <v>13</v>
      </c>
      <c r="S9" s="44" t="s">
        <v>68</v>
      </c>
      <c r="T9" s="5"/>
      <c r="U9" s="608" t="s">
        <v>74</v>
      </c>
      <c r="V9" s="609"/>
      <c r="W9" s="608" t="s">
        <v>76</v>
      </c>
      <c r="X9" s="609"/>
      <c r="Y9" s="608" t="s">
        <v>78</v>
      </c>
      <c r="Z9" s="609"/>
      <c r="AA9" s="608" t="s">
        <v>80</v>
      </c>
      <c r="AB9" s="609"/>
    </row>
    <row r="10" spans="1:41" ht="25.5" customHeight="1" x14ac:dyDescent="0.2">
      <c r="B10" s="596" t="str">
        <f>IF(AND($B$9="Тип доверенности/получателя при получении в адресе перегруза:",$E$9="Уполномоченное лицо"),"Постоянная доверенность (название, номер):","")</f>
        <v/>
      </c>
      <c r="C10" s="596"/>
      <c r="D10" s="596"/>
      <c r="E10" s="597"/>
      <c r="F10" s="598"/>
      <c r="G10" s="596" t="str">
        <f>IF(AND($B$9="Тип доверенности/получателя при получении в адресе перегруза:",$E$9="Уполномоченное лицо"),"Уполномоченное лицо при получении груза в адресе перегруза:","")</f>
        <v/>
      </c>
      <c r="H10" s="596"/>
      <c r="I10" s="599" t="str">
        <f>IFERROR(VLOOKUP($E$10,Proxy,2,FALSE),"")</f>
        <v/>
      </c>
      <c r="J10" s="599"/>
      <c r="K10" s="599"/>
      <c r="L10" s="599"/>
      <c r="M10" s="599"/>
      <c r="N10" s="599"/>
      <c r="O10" s="42"/>
      <c r="P10" s="23" t="s">
        <v>34</v>
      </c>
      <c r="Q10" s="56"/>
      <c r="R10" s="23" t="s">
        <v>30</v>
      </c>
      <c r="S10" s="45" t="s">
        <v>52</v>
      </c>
      <c r="T10" s="5"/>
      <c r="U10" s="22"/>
      <c r="V10" s="22"/>
      <c r="W10" s="14"/>
      <c r="X10" s="14"/>
      <c r="Y10" s="14"/>
      <c r="Z10" s="14"/>
    </row>
    <row r="11" spans="1:41" ht="16.5" x14ac:dyDescent="0.2">
      <c r="A11" s="68" t="s">
        <v>51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17"/>
      <c r="O11" s="42"/>
      <c r="P11" s="23" t="s">
        <v>31</v>
      </c>
      <c r="Q11" s="56"/>
      <c r="R11" s="73" t="s">
        <v>57</v>
      </c>
      <c r="S11" s="5"/>
      <c r="T11" s="5"/>
      <c r="U11" s="22"/>
      <c r="V11" s="22"/>
      <c r="AB11" s="4" t="s">
        <v>46</v>
      </c>
    </row>
    <row r="12" spans="1:41" ht="24" customHeight="1" x14ac:dyDescent="0.2">
      <c r="A12" s="600" t="s">
        <v>69</v>
      </c>
      <c r="B12" s="601"/>
      <c r="C12" s="601"/>
      <c r="D12" s="601"/>
      <c r="E12" s="601"/>
      <c r="F12" s="601"/>
      <c r="G12" s="601"/>
      <c r="H12" s="601"/>
      <c r="I12" s="601"/>
      <c r="J12" s="601"/>
      <c r="K12" s="601"/>
      <c r="L12" s="601"/>
      <c r="M12" s="601"/>
      <c r="N12" s="601"/>
      <c r="O12" s="41"/>
      <c r="P12" s="23" t="s">
        <v>32</v>
      </c>
      <c r="Q12" s="56"/>
      <c r="R12"/>
      <c r="T12" s="16"/>
      <c r="U12" s="34"/>
      <c r="V12" s="34"/>
    </row>
    <row r="13" spans="1:41" ht="17.25" customHeight="1" x14ac:dyDescent="0.2">
      <c r="A13" s="600" t="s">
        <v>70</v>
      </c>
      <c r="B13" s="601"/>
      <c r="C13" s="601"/>
      <c r="D13" s="601"/>
      <c r="E13" s="601"/>
      <c r="F13" s="601"/>
      <c r="G13" s="601"/>
      <c r="H13" s="601"/>
      <c r="I13" s="601"/>
      <c r="J13" s="601"/>
      <c r="K13" s="601"/>
      <c r="L13" s="601"/>
      <c r="M13" s="601"/>
      <c r="N13" s="601"/>
      <c r="O13" s="42"/>
      <c r="P13" s="23" t="s">
        <v>33</v>
      </c>
      <c r="Q13" s="56"/>
      <c r="R13"/>
      <c r="T13" s="16"/>
      <c r="U13" s="34"/>
      <c r="V13" s="34"/>
    </row>
    <row r="14" spans="1:41" ht="17.25" customHeight="1" x14ac:dyDescent="0.2">
      <c r="A14" s="600" t="s">
        <v>71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601"/>
      <c r="R14"/>
      <c r="T14" s="16"/>
      <c r="U14" s="34"/>
      <c r="V14" s="34"/>
    </row>
    <row r="15" spans="1:41" ht="23.25" customHeight="1" x14ac:dyDescent="0.2">
      <c r="A15" s="600" t="s">
        <v>72</v>
      </c>
      <c r="B15" s="601"/>
      <c r="C15" s="601"/>
      <c r="D15" s="601"/>
      <c r="E15" s="601"/>
      <c r="F15" s="601"/>
      <c r="G15" s="601"/>
      <c r="H15" s="601"/>
      <c r="I15" s="601"/>
      <c r="J15" s="601"/>
      <c r="K15" s="601"/>
      <c r="L15" s="601"/>
      <c r="M15" s="601"/>
      <c r="N15" s="601"/>
      <c r="O15" s="604" t="s">
        <v>60</v>
      </c>
      <c r="P15" s="604"/>
      <c r="Q15" s="604"/>
      <c r="R15" s="604"/>
      <c r="S15" s="604"/>
      <c r="T15" s="33"/>
      <c r="U15" s="602" t="s">
        <v>48</v>
      </c>
      <c r="V15" s="603"/>
      <c r="W15" s="593"/>
      <c r="X15" s="593"/>
      <c r="Y15" s="421"/>
      <c r="Z15" s="421"/>
      <c r="AA15" s="421"/>
      <c r="AB15" s="421"/>
    </row>
    <row r="16" spans="1:41" ht="18.75" customHeight="1" x14ac:dyDescent="0.2">
      <c r="B16" s="17"/>
      <c r="C16" s="17"/>
      <c r="D16" s="13"/>
      <c r="E16" s="13"/>
      <c r="F16" s="18"/>
      <c r="G16" s="18"/>
      <c r="H16" s="18"/>
      <c r="I16" s="18"/>
      <c r="J16" s="18"/>
      <c r="K16" s="18"/>
      <c r="L16" s="18"/>
      <c r="M16" s="18"/>
      <c r="N16" s="18"/>
      <c r="O16" s="605"/>
      <c r="P16" s="605"/>
      <c r="Q16" s="605"/>
      <c r="R16" s="605"/>
      <c r="S16" s="605"/>
      <c r="T16" s="33"/>
      <c r="U16" s="606" t="s">
        <v>73</v>
      </c>
      <c r="V16" s="606"/>
      <c r="W16" s="606" t="s">
        <v>75</v>
      </c>
      <c r="X16" s="606"/>
      <c r="Y16" s="606" t="s">
        <v>77</v>
      </c>
      <c r="Z16" s="606"/>
      <c r="AA16" s="606" t="s">
        <v>79</v>
      </c>
      <c r="AB16" s="606"/>
    </row>
    <row r="17" spans="1:82" ht="40.5" customHeight="1" x14ac:dyDescent="0.2">
      <c r="A17" s="48" t="s">
        <v>58</v>
      </c>
      <c r="B17" s="48" t="s">
        <v>50</v>
      </c>
      <c r="C17" s="48" t="s">
        <v>53</v>
      </c>
      <c r="D17" s="48" t="s">
        <v>17</v>
      </c>
      <c r="E17" s="48" t="s">
        <v>23</v>
      </c>
      <c r="F17" s="48" t="s">
        <v>26</v>
      </c>
      <c r="G17" s="48" t="s">
        <v>24</v>
      </c>
      <c r="H17" s="48" t="s">
        <v>25</v>
      </c>
      <c r="I17" s="48" t="s">
        <v>18</v>
      </c>
      <c r="J17" s="48" t="s">
        <v>62</v>
      </c>
      <c r="K17" s="48" t="s">
        <v>2</v>
      </c>
      <c r="L17" s="76" t="s">
        <v>63</v>
      </c>
      <c r="M17" s="587" t="s">
        <v>27</v>
      </c>
      <c r="N17" s="588"/>
      <c r="O17" s="589" t="s">
        <v>19</v>
      </c>
      <c r="P17" s="590"/>
      <c r="Q17" s="590"/>
      <c r="R17" s="590"/>
      <c r="S17" s="591"/>
      <c r="T17" s="49" t="s">
        <v>6</v>
      </c>
      <c r="U17" s="95" t="s">
        <v>44</v>
      </c>
      <c r="V17" s="96" t="s">
        <v>54</v>
      </c>
      <c r="W17" s="89" t="s">
        <v>44</v>
      </c>
      <c r="X17" s="90" t="s">
        <v>54</v>
      </c>
      <c r="Y17" s="91" t="s">
        <v>44</v>
      </c>
      <c r="Z17" s="92" t="s">
        <v>54</v>
      </c>
      <c r="AA17" s="93" t="s">
        <v>44</v>
      </c>
      <c r="AB17" s="94" t="s">
        <v>54</v>
      </c>
      <c r="AC17" s="87" t="s">
        <v>20</v>
      </c>
      <c r="AD17" s="88" t="s">
        <v>59</v>
      </c>
      <c r="AE17" s="78" t="s">
        <v>21</v>
      </c>
      <c r="AF17" s="78" t="s">
        <v>64</v>
      </c>
      <c r="AG17" s="592" t="s">
        <v>55</v>
      </c>
      <c r="AH17" s="593"/>
      <c r="AI17" s="593"/>
      <c r="BC17" s="74" t="s">
        <v>61</v>
      </c>
    </row>
    <row r="18" spans="1:82" ht="27.75" hidden="1" customHeight="1" x14ac:dyDescent="0.2">
      <c r="A18" s="456" t="s">
        <v>81</v>
      </c>
      <c r="B18" s="457"/>
      <c r="C18" s="457"/>
      <c r="D18" s="457"/>
      <c r="E18" s="457"/>
      <c r="F18" s="457"/>
      <c r="G18" s="457"/>
      <c r="H18" s="457"/>
      <c r="I18" s="457"/>
      <c r="J18" s="457"/>
      <c r="K18" s="457"/>
      <c r="L18" s="457"/>
      <c r="M18" s="457"/>
      <c r="N18" s="457"/>
      <c r="O18" s="457"/>
      <c r="P18" s="457"/>
      <c r="Q18" s="457"/>
      <c r="R18" s="457"/>
      <c r="S18" s="457"/>
      <c r="T18" s="457"/>
      <c r="U18" s="457"/>
      <c r="V18" s="457"/>
      <c r="W18" s="458"/>
      <c r="X18" s="458"/>
      <c r="Y18" s="458"/>
      <c r="Z18" s="458"/>
      <c r="AA18" s="431"/>
      <c r="AB18" s="431"/>
      <c r="AC18" s="431"/>
      <c r="AD18" s="431"/>
      <c r="AE18" s="432"/>
      <c r="AF18" s="459"/>
      <c r="AG18" s="2"/>
      <c r="AH18" s="2"/>
      <c r="AI18" s="2"/>
      <c r="AJ18" s="2"/>
      <c r="AK18" s="61"/>
      <c r="AL18" s="61"/>
      <c r="AM18" s="61"/>
      <c r="AN18" s="2"/>
      <c r="AO18" s="2"/>
      <c r="AP18" s="2"/>
      <c r="AQ18" s="2"/>
      <c r="AR18" s="2"/>
    </row>
    <row r="19" spans="1:82" ht="15" hidden="1" x14ac:dyDescent="0.25">
      <c r="A19" s="443" t="s">
        <v>81</v>
      </c>
      <c r="B19" s="430"/>
      <c r="C19" s="430"/>
      <c r="D19" s="430"/>
      <c r="E19" s="430"/>
      <c r="F19" s="430"/>
      <c r="G19" s="430"/>
      <c r="H19" s="430"/>
      <c r="I19" s="430"/>
      <c r="J19" s="430"/>
      <c r="K19" s="430"/>
      <c r="L19" s="430"/>
      <c r="M19" s="430"/>
      <c r="N19" s="430"/>
      <c r="O19" s="430"/>
      <c r="P19" s="430"/>
      <c r="Q19" s="430"/>
      <c r="R19" s="430"/>
      <c r="S19" s="430"/>
      <c r="T19" s="430"/>
      <c r="U19" s="430"/>
      <c r="V19" s="430"/>
      <c r="W19" s="430"/>
      <c r="X19" s="430"/>
      <c r="Y19" s="430"/>
      <c r="Z19" s="430"/>
      <c r="AA19" s="431"/>
      <c r="AB19" s="431"/>
      <c r="AC19" s="431"/>
      <c r="AD19" s="431"/>
      <c r="AE19" s="432"/>
      <c r="AF19" s="444"/>
      <c r="AG19" s="2"/>
      <c r="AH19" s="2"/>
      <c r="AI19" s="2"/>
      <c r="AJ19" s="2"/>
      <c r="AK19" s="61"/>
      <c r="AL19" s="61"/>
      <c r="AM19" s="61"/>
      <c r="AN19" s="2"/>
      <c r="AO19" s="2"/>
      <c r="AP19" s="2"/>
      <c r="AQ19" s="2"/>
      <c r="AR19" s="2"/>
    </row>
    <row r="20" spans="1:82" ht="15" hidden="1" x14ac:dyDescent="0.25">
      <c r="A20" s="428" t="s">
        <v>82</v>
      </c>
      <c r="B20" s="429"/>
      <c r="C20" s="429"/>
      <c r="D20" s="429"/>
      <c r="E20" s="429"/>
      <c r="F20" s="429"/>
      <c r="G20" s="429"/>
      <c r="H20" s="429"/>
      <c r="I20" s="429"/>
      <c r="J20" s="429"/>
      <c r="K20" s="429"/>
      <c r="L20" s="429"/>
      <c r="M20" s="429"/>
      <c r="N20" s="429"/>
      <c r="O20" s="429"/>
      <c r="P20" s="429"/>
      <c r="Q20" s="429"/>
      <c r="R20" s="429"/>
      <c r="S20" s="429"/>
      <c r="T20" s="429"/>
      <c r="U20" s="429"/>
      <c r="V20" s="429"/>
      <c r="W20" s="429"/>
      <c r="X20" s="430"/>
      <c r="Y20" s="430"/>
      <c r="Z20" s="430"/>
      <c r="AA20" s="431"/>
      <c r="AB20" s="431"/>
      <c r="AC20" s="431"/>
      <c r="AD20" s="431"/>
      <c r="AE20" s="432"/>
      <c r="AF20" s="433"/>
      <c r="AG20" s="2"/>
      <c r="AH20" s="2"/>
      <c r="AI20" s="2"/>
      <c r="AJ20" s="2"/>
      <c r="AK20" s="61"/>
      <c r="AL20" s="61"/>
      <c r="AM20" s="61"/>
      <c r="AN20" s="2"/>
      <c r="AO20" s="2"/>
      <c r="AP20" s="2"/>
      <c r="AQ20" s="2"/>
      <c r="AR20" s="2"/>
    </row>
    <row r="21" spans="1:82" ht="22.5" hidden="1" x14ac:dyDescent="0.2">
      <c r="A21" s="79" t="s">
        <v>83</v>
      </c>
      <c r="B21" s="80" t="s">
        <v>84</v>
      </c>
      <c r="C21" s="80">
        <v>4301051863</v>
      </c>
      <c r="D21" s="80">
        <v>4680115885905</v>
      </c>
      <c r="E21" s="81">
        <v>0.3</v>
      </c>
      <c r="F21" s="82">
        <v>6</v>
      </c>
      <c r="G21" s="81">
        <v>1.8</v>
      </c>
      <c r="H21" s="81">
        <v>3.18</v>
      </c>
      <c r="I21" s="83">
        <v>182</v>
      </c>
      <c r="J21" s="83" t="s">
        <v>86</v>
      </c>
      <c r="K21" s="84" t="s">
        <v>85</v>
      </c>
      <c r="L21" s="84"/>
      <c r="M21" s="423">
        <v>40</v>
      </c>
      <c r="N21" s="423"/>
      <c r="O21" s="5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P21" s="425"/>
      <c r="Q21" s="425"/>
      <c r="R21" s="425"/>
      <c r="S21" s="425"/>
      <c r="T21" s="85" t="s">
        <v>0</v>
      </c>
      <c r="U21" s="65">
        <v>0</v>
      </c>
      <c r="V21" s="66">
        <f>IFERROR(IF(U21="",0,CEILING((U21/$G21),1)*$G21),"")</f>
        <v>0</v>
      </c>
      <c r="W21" s="65">
        <v>0</v>
      </c>
      <c r="X21" s="66">
        <f>IFERROR(IF(W21="",0,CEILING((W21/$G21),1)*$G21),"")</f>
        <v>0</v>
      </c>
      <c r="Y21" s="65">
        <v>0</v>
      </c>
      <c r="Z21" s="66">
        <f>IFERROR(IF(Y21="",0,CEILING((Y21/$G21),1)*$G21),"")</f>
        <v>0</v>
      </c>
      <c r="AA21" s="65">
        <v>0</v>
      </c>
      <c r="AB21" s="66">
        <f>IFERROR(IF(AA21="",0,CEILING((AA21/$G21),1)*$G21),"")</f>
        <v>0</v>
      </c>
      <c r="AC21" s="97" t="str">
        <f>IF(IFERROR(ROUNDUP(V21/G21,0)*0.00651,0)+IFERROR(ROUNDUP(X21/G21,0)*0.00651,0)+IFERROR(ROUNDUP(Z21/G21,0)*0.00651,0)+IFERROR(ROUNDUP(AB21/G21,0)*0.00651,0)=0,"",IFERROR(ROUNDUP(V21/G21,0)*0.00651,0)+IFERROR(ROUNDUP(X21/G21,0)*0.00651,0)+IFERROR(ROUNDUP(Z21/G21,0)*0.00651,0)+IFERROR(ROUNDUP(AB21/G21,0)*0.00651,0))</f>
        <v/>
      </c>
      <c r="AD21" s="79" t="s">
        <v>57</v>
      </c>
      <c r="AE21" s="79" t="s">
        <v>57</v>
      </c>
      <c r="AF21" s="99" t="s">
        <v>87</v>
      </c>
      <c r="AG21" s="2"/>
      <c r="AH21" s="2"/>
      <c r="AI21" s="2"/>
      <c r="AJ21" s="2"/>
      <c r="AK21" s="2"/>
      <c r="AL21" s="61"/>
      <c r="AM21" s="61"/>
      <c r="AN21" s="61"/>
      <c r="AO21" s="2"/>
      <c r="AP21" s="2"/>
      <c r="AQ21" s="2"/>
      <c r="AR21" s="2"/>
      <c r="AS21" s="2"/>
      <c r="AT21" s="2"/>
      <c r="AU21" s="20"/>
      <c r="AV21" s="20"/>
      <c r="AW21" s="21"/>
      <c r="BB21" s="98" t="s">
        <v>65</v>
      </c>
      <c r="BO21" s="77">
        <f>IFERROR(U21*H21/G21,0)</f>
        <v>0</v>
      </c>
      <c r="BP21" s="77">
        <f>IFERROR(V21*H21/G21,0)</f>
        <v>0</v>
      </c>
      <c r="BQ21" s="77">
        <f>IFERROR(1/I21*(U21/G21),0)</f>
        <v>0</v>
      </c>
      <c r="BR21" s="77">
        <f>IFERROR(1/I21*(V21/G21),0)</f>
        <v>0</v>
      </c>
      <c r="BS21" s="77">
        <f>IFERROR(W21*H21/G21,0)</f>
        <v>0</v>
      </c>
      <c r="BT21" s="77">
        <f>IFERROR(X21*H21/G21,0)</f>
        <v>0</v>
      </c>
      <c r="BU21" s="77">
        <f>IFERROR(1/I21*(W21/G21),0)</f>
        <v>0</v>
      </c>
      <c r="BV21" s="77">
        <f>IFERROR(1/I21*(X21/G21),0)</f>
        <v>0</v>
      </c>
      <c r="BW21" s="77">
        <f>IFERROR(Y21*H21/G21,0)</f>
        <v>0</v>
      </c>
      <c r="BX21" s="77">
        <f>IFERROR(Z21*H21/G21,0)</f>
        <v>0</v>
      </c>
      <c r="BY21" s="77">
        <f>IFERROR(1/I21*(Y21/G21),0)</f>
        <v>0</v>
      </c>
      <c r="BZ21" s="77">
        <f>IFERROR(1/I21*(Z21/G21),0)</f>
        <v>0</v>
      </c>
      <c r="CA21" s="77">
        <f>IFERROR(AA21*H21/G21,0)</f>
        <v>0</v>
      </c>
      <c r="CB21" s="77">
        <f>IFERROR(AB21*H21/G21,0)</f>
        <v>0</v>
      </c>
      <c r="CC21" s="77">
        <f>IFERROR(1/I21*(AA21/G21),0)</f>
        <v>0</v>
      </c>
      <c r="CD21" s="77">
        <f>IFERROR(1/I21*(AB21/G21),0)</f>
        <v>0</v>
      </c>
    </row>
    <row r="22" spans="1:82" ht="22.5" hidden="1" x14ac:dyDescent="0.2">
      <c r="A22" s="79" t="s">
        <v>83</v>
      </c>
      <c r="B22" s="80" t="s">
        <v>84</v>
      </c>
      <c r="C22" s="80">
        <v>4301052036</v>
      </c>
      <c r="D22" s="80">
        <v>4680115885905</v>
      </c>
      <c r="E22" s="81">
        <v>0.3</v>
      </c>
      <c r="F22" s="82">
        <v>6</v>
      </c>
      <c r="G22" s="81">
        <v>1.8</v>
      </c>
      <c r="H22" s="81">
        <v>3.18</v>
      </c>
      <c r="I22" s="83">
        <v>182</v>
      </c>
      <c r="J22" s="83" t="s">
        <v>86</v>
      </c>
      <c r="K22" s="84" t="s">
        <v>85</v>
      </c>
      <c r="L22" s="84"/>
      <c r="M22" s="423">
        <v>40</v>
      </c>
      <c r="N22" s="423"/>
      <c r="O22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P22" s="425"/>
      <c r="Q22" s="425"/>
      <c r="R22" s="425"/>
      <c r="S22" s="425"/>
      <c r="T22" s="85" t="s">
        <v>0</v>
      </c>
      <c r="U22" s="65">
        <v>0</v>
      </c>
      <c r="V22" s="66">
        <f>IFERROR(IF(U22="",0,CEILING((U22/$G22),1)*$G22),"")</f>
        <v>0</v>
      </c>
      <c r="W22" s="65">
        <v>0</v>
      </c>
      <c r="X22" s="66">
        <f>IFERROR(IF(W22="",0,CEILING((W22/$G22),1)*$G22),"")</f>
        <v>0</v>
      </c>
      <c r="Y22" s="65">
        <v>0</v>
      </c>
      <c r="Z22" s="66">
        <f>IFERROR(IF(Y22="",0,CEILING((Y22/$G22),1)*$G22),"")</f>
        <v>0</v>
      </c>
      <c r="AA22" s="65">
        <v>0</v>
      </c>
      <c r="AB22" s="66">
        <f>IFERROR(IF(AA22="",0,CEILING((AA22/$G22),1)*$G22),"")</f>
        <v>0</v>
      </c>
      <c r="AC22" s="67" t="str">
        <f>IF(IFERROR(ROUNDUP(V22/G22,0)*0.00651,0)+IFERROR(ROUNDUP(X22/G22,0)*0.00651,0)+IFERROR(ROUNDUP(Z22/G22,0)*0.00651,0)+IFERROR(ROUNDUP(AB22/G22,0)*0.00651,0)=0,"",IFERROR(ROUNDUP(V22/G22,0)*0.00651,0)+IFERROR(ROUNDUP(X22/G22,0)*0.00651,0)+IFERROR(ROUNDUP(Z22/G22,0)*0.00651,0)+IFERROR(ROUNDUP(AB22/G22,0)*0.00651,0))</f>
        <v/>
      </c>
      <c r="AD22" s="79" t="s">
        <v>57</v>
      </c>
      <c r="AE22" s="79" t="s">
        <v>57</v>
      </c>
      <c r="AF22" s="101" t="s">
        <v>87</v>
      </c>
      <c r="AG22" s="2"/>
      <c r="AH22" s="2"/>
      <c r="AI22" s="2"/>
      <c r="AJ22" s="2"/>
      <c r="AK22" s="2"/>
      <c r="AL22" s="61"/>
      <c r="AM22" s="61"/>
      <c r="AN22" s="61"/>
      <c r="AO22" s="2"/>
      <c r="AP22" s="2"/>
      <c r="AQ22" s="2"/>
      <c r="AR22" s="2"/>
      <c r="AS22" s="2"/>
      <c r="AT22" s="2"/>
      <c r="AU22" s="20"/>
      <c r="AV22" s="20"/>
      <c r="AW22" s="21"/>
      <c r="BB22" s="100" t="s">
        <v>65</v>
      </c>
      <c r="BO22" s="77">
        <f>IFERROR(U22*H22/G22,0)</f>
        <v>0</v>
      </c>
      <c r="BP22" s="77">
        <f>IFERROR(V22*H22/G22,0)</f>
        <v>0</v>
      </c>
      <c r="BQ22" s="77">
        <f>IFERROR(1/I22*(U22/G22),0)</f>
        <v>0</v>
      </c>
      <c r="BR22" s="77">
        <f>IFERROR(1/I22*(V22/G22),0)</f>
        <v>0</v>
      </c>
      <c r="BS22" s="77">
        <f>IFERROR(W22*H22/G22,0)</f>
        <v>0</v>
      </c>
      <c r="BT22" s="77">
        <f>IFERROR(X22*H22/G22,0)</f>
        <v>0</v>
      </c>
      <c r="BU22" s="77">
        <f>IFERROR(1/I22*(W22/G22),0)</f>
        <v>0</v>
      </c>
      <c r="BV22" s="77">
        <f>IFERROR(1/I22*(X22/G22),0)</f>
        <v>0</v>
      </c>
      <c r="BW22" s="77">
        <f>IFERROR(Y22*H22/G22,0)</f>
        <v>0</v>
      </c>
      <c r="BX22" s="77">
        <f>IFERROR(Z22*H22/G22,0)</f>
        <v>0</v>
      </c>
      <c r="BY22" s="77">
        <f>IFERROR(1/I22*(Y22/G22),0)</f>
        <v>0</v>
      </c>
      <c r="BZ22" s="77">
        <f>IFERROR(1/I22*(Z22/G22),0)</f>
        <v>0</v>
      </c>
      <c r="CA22" s="77">
        <f>IFERROR(AA22*H22/G22,0)</f>
        <v>0</v>
      </c>
      <c r="CB22" s="77">
        <f>IFERROR(AB22*H22/G22,0)</f>
        <v>0</v>
      </c>
      <c r="CC22" s="77">
        <f>IFERROR(1/I22*(AA22/G22),0)</f>
        <v>0</v>
      </c>
      <c r="CD22" s="77">
        <f>IFERROR(1/I22*(AB22/G22),0)</f>
        <v>0</v>
      </c>
    </row>
    <row r="23" spans="1:82" hidden="1" x14ac:dyDescent="0.2">
      <c r="A23" s="420"/>
      <c r="B23" s="420"/>
      <c r="C23" s="420"/>
      <c r="D23" s="420"/>
      <c r="E23" s="420"/>
      <c r="F23" s="420"/>
      <c r="G23" s="420"/>
      <c r="H23" s="420"/>
      <c r="I23" s="420"/>
      <c r="J23" s="420"/>
      <c r="K23" s="420"/>
      <c r="L23" s="420"/>
      <c r="M23" s="420"/>
      <c r="N23" s="420"/>
      <c r="O23" s="426" t="s">
        <v>43</v>
      </c>
      <c r="P23" s="427"/>
      <c r="Q23" s="427"/>
      <c r="R23" s="427"/>
      <c r="S23" s="427"/>
      <c r="T23" s="39" t="s">
        <v>42</v>
      </c>
      <c r="U23" s="50">
        <f>IFERROR(U21/G21,0)+IFERROR(U22/G22,0)</f>
        <v>0</v>
      </c>
      <c r="V23" s="50">
        <f>IFERROR(V21/G21,0)+IFERROR(V22/G22,0)</f>
        <v>0</v>
      </c>
      <c r="W23" s="50">
        <f>IFERROR(W21/G21,0)+IFERROR(W22/G22,0)</f>
        <v>0</v>
      </c>
      <c r="X23" s="50">
        <f>IFERROR(X21/G21,0)+IFERROR(X22/G22,0)</f>
        <v>0</v>
      </c>
      <c r="Y23" s="50">
        <f>IFERROR(Y21/G21,0)+IFERROR(Y22/G22,0)</f>
        <v>0</v>
      </c>
      <c r="Z23" s="50">
        <f>IFERROR(Z21/G21,0)+IFERROR(Z22/G22,0)</f>
        <v>0</v>
      </c>
      <c r="AA23" s="50">
        <f>IFERROR(AA21/G21,0)+IFERROR(AA22/G22,0)</f>
        <v>0</v>
      </c>
      <c r="AB23" s="50">
        <f>IFERROR(AB21/G21,0)+IFERROR(AB22/G22,0)</f>
        <v>0</v>
      </c>
      <c r="AC23" s="51">
        <f>IFERROR(IF(AC21="",0,AC21),0)+IFERROR(IF(AC22="",0,AC22),0)</f>
        <v>0</v>
      </c>
      <c r="AD23" s="3"/>
      <c r="AE23" s="72"/>
      <c r="AF23" s="3"/>
      <c r="AG23" s="3"/>
      <c r="AH23" s="3"/>
      <c r="AI23" s="3"/>
      <c r="AJ23" s="3"/>
      <c r="AK23" s="3"/>
      <c r="AL23" s="62"/>
      <c r="AM23" s="62"/>
      <c r="AN23" s="62"/>
      <c r="AO23" s="3"/>
      <c r="AP23" s="3"/>
      <c r="AQ23" s="2"/>
      <c r="AR23" s="2"/>
      <c r="AS23" s="2"/>
      <c r="AT23" s="2"/>
      <c r="AU23" s="20"/>
      <c r="AV23" s="20"/>
      <c r="AW23" s="21"/>
    </row>
    <row r="24" spans="1:82" hidden="1" x14ac:dyDescent="0.2">
      <c r="A24" s="420"/>
      <c r="B24" s="420"/>
      <c r="C24" s="420"/>
      <c r="D24" s="420"/>
      <c r="E24" s="420"/>
      <c r="F24" s="420"/>
      <c r="G24" s="420"/>
      <c r="H24" s="420"/>
      <c r="I24" s="420"/>
      <c r="J24" s="420"/>
      <c r="K24" s="420"/>
      <c r="L24" s="420"/>
      <c r="M24" s="420"/>
      <c r="N24" s="420"/>
      <c r="O24" s="426" t="s">
        <v>43</v>
      </c>
      <c r="P24" s="427"/>
      <c r="Q24" s="427"/>
      <c r="R24" s="427"/>
      <c r="S24" s="427"/>
      <c r="T24" s="39" t="s">
        <v>0</v>
      </c>
      <c r="U24" s="102">
        <f t="shared" ref="U24:AB24" si="0">IFERROR(SUM(U21:U22),0)</f>
        <v>0</v>
      </c>
      <c r="V24" s="102">
        <f t="shared" si="0"/>
        <v>0</v>
      </c>
      <c r="W24" s="102">
        <f t="shared" si="0"/>
        <v>0</v>
      </c>
      <c r="X24" s="102">
        <f t="shared" si="0"/>
        <v>0</v>
      </c>
      <c r="Y24" s="102">
        <f t="shared" si="0"/>
        <v>0</v>
      </c>
      <c r="Z24" s="102">
        <f t="shared" si="0"/>
        <v>0</v>
      </c>
      <c r="AA24" s="102">
        <f t="shared" si="0"/>
        <v>0</v>
      </c>
      <c r="AB24" s="102">
        <f t="shared" si="0"/>
        <v>0</v>
      </c>
      <c r="AC24" s="51" t="s">
        <v>57</v>
      </c>
      <c r="AD24" s="3"/>
      <c r="AE24" s="72"/>
      <c r="AF24" s="3"/>
      <c r="AG24" s="3"/>
      <c r="AH24" s="3"/>
      <c r="AI24" s="3"/>
      <c r="AJ24" s="3"/>
      <c r="AK24" s="3"/>
      <c r="AL24" s="62"/>
      <c r="AM24" s="62"/>
      <c r="AN24" s="62"/>
      <c r="AO24" s="3"/>
      <c r="AP24" s="3"/>
      <c r="AQ24" s="2"/>
      <c r="AR24" s="2"/>
      <c r="AS24" s="2"/>
      <c r="AT24" s="2"/>
      <c r="AU24" s="20"/>
      <c r="AV24" s="20"/>
      <c r="AW24" s="21"/>
    </row>
    <row r="25" spans="1:82" ht="15" hidden="1" x14ac:dyDescent="0.25">
      <c r="A25" s="428" t="s">
        <v>88</v>
      </c>
      <c r="B25" s="429"/>
      <c r="C25" s="429"/>
      <c r="D25" s="429"/>
      <c r="E25" s="429"/>
      <c r="F25" s="429"/>
      <c r="G25" s="429"/>
      <c r="H25" s="429"/>
      <c r="I25" s="429"/>
      <c r="J25" s="429"/>
      <c r="K25" s="429"/>
      <c r="L25" s="429"/>
      <c r="M25" s="429"/>
      <c r="N25" s="429"/>
      <c r="O25" s="429"/>
      <c r="P25" s="429"/>
      <c r="Q25" s="429"/>
      <c r="R25" s="429"/>
      <c r="S25" s="429"/>
      <c r="T25" s="429"/>
      <c r="U25" s="429"/>
      <c r="V25" s="429"/>
      <c r="W25" s="429"/>
      <c r="X25" s="430"/>
      <c r="Y25" s="430"/>
      <c r="Z25" s="430"/>
      <c r="AA25" s="431"/>
      <c r="AB25" s="431"/>
      <c r="AC25" s="431"/>
      <c r="AD25" s="431"/>
      <c r="AE25" s="432"/>
      <c r="AF25" s="433"/>
      <c r="AG25" s="2"/>
      <c r="AH25" s="2"/>
      <c r="AI25" s="2"/>
      <c r="AJ25" s="2"/>
      <c r="AK25" s="61"/>
      <c r="AL25" s="61"/>
      <c r="AM25" s="61"/>
      <c r="AN25" s="2"/>
      <c r="AO25" s="2"/>
      <c r="AP25" s="2"/>
      <c r="AQ25" s="2"/>
      <c r="AR25" s="2"/>
    </row>
    <row r="26" spans="1:82" hidden="1" x14ac:dyDescent="0.2">
      <c r="A26" s="79" t="s">
        <v>89</v>
      </c>
      <c r="B26" s="80" t="s">
        <v>90</v>
      </c>
      <c r="C26" s="80">
        <v>4301032013</v>
      </c>
      <c r="D26" s="80">
        <v>4607091388503</v>
      </c>
      <c r="E26" s="81">
        <v>0.05</v>
      </c>
      <c r="F26" s="82">
        <v>12</v>
      </c>
      <c r="G26" s="81">
        <v>0.6</v>
      </c>
      <c r="H26" s="81">
        <v>0.82199999999999995</v>
      </c>
      <c r="I26" s="83">
        <v>182</v>
      </c>
      <c r="J26" s="83" t="s">
        <v>86</v>
      </c>
      <c r="K26" s="84" t="s">
        <v>91</v>
      </c>
      <c r="L26" s="84"/>
      <c r="M26" s="423">
        <v>120</v>
      </c>
      <c r="N26" s="423"/>
      <c r="O26" s="58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P26" s="425"/>
      <c r="Q26" s="425"/>
      <c r="R26" s="425"/>
      <c r="S26" s="425"/>
      <c r="T26" s="85" t="s">
        <v>0</v>
      </c>
      <c r="U26" s="65">
        <v>0</v>
      </c>
      <c r="V26" s="66">
        <f>IFERROR(IF(U26="",0,CEILING((U26/$G26),1)*$G26),"")</f>
        <v>0</v>
      </c>
      <c r="W26" s="65">
        <v>0</v>
      </c>
      <c r="X26" s="66">
        <f>IFERROR(IF(W26="",0,CEILING((W26/$G26),1)*$G26),"")</f>
        <v>0</v>
      </c>
      <c r="Y26" s="65">
        <v>0</v>
      </c>
      <c r="Z26" s="66">
        <f>IFERROR(IF(Y26="",0,CEILING((Y26/$G26),1)*$G26),"")</f>
        <v>0</v>
      </c>
      <c r="AA26" s="65">
        <v>0</v>
      </c>
      <c r="AB26" s="66">
        <f>IFERROR(IF(AA26="",0,CEILING((AA26/$G26),1)*$G26),"")</f>
        <v>0</v>
      </c>
      <c r="AC26" s="67" t="str">
        <f>IF(IFERROR(ROUNDUP(V26/G26,0)*0.00651,0)+IFERROR(ROUNDUP(X26/G26,0)*0.00651,0)+IFERROR(ROUNDUP(Z26/G26,0)*0.00651,0)+IFERROR(ROUNDUP(AB26/G26,0)*0.00651,0)=0,"",IFERROR(ROUNDUP(V26/G26,0)*0.00651,0)+IFERROR(ROUNDUP(X26/G26,0)*0.00651,0)+IFERROR(ROUNDUP(Z26/G26,0)*0.00651,0)+IFERROR(ROUNDUP(AB26/G26,0)*0.00651,0))</f>
        <v/>
      </c>
      <c r="AD26" s="79" t="s">
        <v>57</v>
      </c>
      <c r="AE26" s="79" t="s">
        <v>57</v>
      </c>
      <c r="AF26" s="106" t="s">
        <v>93</v>
      </c>
      <c r="AG26" s="2"/>
      <c r="AH26" s="2"/>
      <c r="AI26" s="2"/>
      <c r="AJ26" s="2"/>
      <c r="AK26" s="2"/>
      <c r="AL26" s="61"/>
      <c r="AM26" s="61"/>
      <c r="AN26" s="61"/>
      <c r="AO26" s="2"/>
      <c r="AP26" s="2"/>
      <c r="AQ26" s="2"/>
      <c r="AR26" s="2"/>
      <c r="AS26" s="2"/>
      <c r="AT26" s="2"/>
      <c r="AU26" s="20"/>
      <c r="AV26" s="20"/>
      <c r="AW26" s="21"/>
      <c r="BB26" s="105" t="s">
        <v>92</v>
      </c>
      <c r="BO26" s="77">
        <f>IFERROR(U26*H26/G26,0)</f>
        <v>0</v>
      </c>
      <c r="BP26" s="77">
        <f>IFERROR(V26*H26/G26,0)</f>
        <v>0</v>
      </c>
      <c r="BQ26" s="77">
        <f>IFERROR(1/I26*(U26/G26),0)</f>
        <v>0</v>
      </c>
      <c r="BR26" s="77">
        <f>IFERROR(1/I26*(V26/G26),0)</f>
        <v>0</v>
      </c>
      <c r="BS26" s="77">
        <f>IFERROR(W26*H26/G26,0)</f>
        <v>0</v>
      </c>
      <c r="BT26" s="77">
        <f>IFERROR(X26*H26/G26,0)</f>
        <v>0</v>
      </c>
      <c r="BU26" s="77">
        <f>IFERROR(1/I26*(W26/G26),0)</f>
        <v>0</v>
      </c>
      <c r="BV26" s="77">
        <f>IFERROR(1/I26*(X26/G26),0)</f>
        <v>0</v>
      </c>
      <c r="BW26" s="77">
        <f>IFERROR(Y26*H26/G26,0)</f>
        <v>0</v>
      </c>
      <c r="BX26" s="77">
        <f>IFERROR(Z26*H26/G26,0)</f>
        <v>0</v>
      </c>
      <c r="BY26" s="77">
        <f>IFERROR(1/I26*(Y26/G26),0)</f>
        <v>0</v>
      </c>
      <c r="BZ26" s="77">
        <f>IFERROR(1/I26*(Z26/G26),0)</f>
        <v>0</v>
      </c>
      <c r="CA26" s="77">
        <f>IFERROR(AA26*H26/G26,0)</f>
        <v>0</v>
      </c>
      <c r="CB26" s="77">
        <f>IFERROR(AB26*H26/G26,0)</f>
        <v>0</v>
      </c>
      <c r="CC26" s="77">
        <f>IFERROR(1/I26*(AA26/G26),0)</f>
        <v>0</v>
      </c>
      <c r="CD26" s="77">
        <f>IFERROR(1/I26*(AB26/G26),0)</f>
        <v>0</v>
      </c>
    </row>
    <row r="27" spans="1:82" hidden="1" x14ac:dyDescent="0.2">
      <c r="A27" s="420"/>
      <c r="B27" s="420"/>
      <c r="C27" s="420"/>
      <c r="D27" s="420"/>
      <c r="E27" s="420"/>
      <c r="F27" s="420"/>
      <c r="G27" s="420"/>
      <c r="H27" s="420"/>
      <c r="I27" s="420"/>
      <c r="J27" s="420"/>
      <c r="K27" s="420"/>
      <c r="L27" s="420"/>
      <c r="M27" s="420"/>
      <c r="N27" s="420"/>
      <c r="O27" s="426" t="s">
        <v>43</v>
      </c>
      <c r="P27" s="427"/>
      <c r="Q27" s="427"/>
      <c r="R27" s="427"/>
      <c r="S27" s="427"/>
      <c r="T27" s="39" t="s">
        <v>42</v>
      </c>
      <c r="U27" s="50">
        <f>IFERROR(U26/G26,0)</f>
        <v>0</v>
      </c>
      <c r="V27" s="50">
        <f>IFERROR(V26/G26,0)</f>
        <v>0</v>
      </c>
      <c r="W27" s="50">
        <f>IFERROR(W26/G26,0)</f>
        <v>0</v>
      </c>
      <c r="X27" s="50">
        <f>IFERROR(X26/G26,0)</f>
        <v>0</v>
      </c>
      <c r="Y27" s="50">
        <f>IFERROR(Y26/G26,0)</f>
        <v>0</v>
      </c>
      <c r="Z27" s="50">
        <f>IFERROR(Z26/G26,0)</f>
        <v>0</v>
      </c>
      <c r="AA27" s="50">
        <f>IFERROR(AA26/G26,0)</f>
        <v>0</v>
      </c>
      <c r="AB27" s="50">
        <f>IFERROR(AB26/G26,0)</f>
        <v>0</v>
      </c>
      <c r="AC27" s="50">
        <f>IFERROR(IF(AC26="",0,AC26),0)</f>
        <v>0</v>
      </c>
      <c r="AD27" s="3"/>
      <c r="AE27" s="72"/>
      <c r="AF27" s="3"/>
      <c r="AG27" s="3"/>
      <c r="AH27" s="3"/>
      <c r="AI27" s="3"/>
      <c r="AJ27" s="3"/>
      <c r="AK27" s="3"/>
      <c r="AL27" s="62"/>
      <c r="AM27" s="62"/>
      <c r="AN27" s="62"/>
      <c r="AO27" s="3"/>
      <c r="AP27" s="3"/>
      <c r="AQ27" s="2"/>
      <c r="AR27" s="2"/>
      <c r="AS27" s="2"/>
      <c r="AT27" s="2"/>
      <c r="AU27" s="20"/>
      <c r="AV27" s="20"/>
      <c r="AW27" s="21"/>
    </row>
    <row r="28" spans="1:82" hidden="1" x14ac:dyDescent="0.2">
      <c r="A28" s="420"/>
      <c r="B28" s="420"/>
      <c r="C28" s="420"/>
      <c r="D28" s="420"/>
      <c r="E28" s="420"/>
      <c r="F28" s="420"/>
      <c r="G28" s="420"/>
      <c r="H28" s="420"/>
      <c r="I28" s="420"/>
      <c r="J28" s="420"/>
      <c r="K28" s="420"/>
      <c r="L28" s="420"/>
      <c r="M28" s="420"/>
      <c r="N28" s="420"/>
      <c r="O28" s="426" t="s">
        <v>43</v>
      </c>
      <c r="P28" s="427"/>
      <c r="Q28" s="427"/>
      <c r="R28" s="427"/>
      <c r="S28" s="427"/>
      <c r="T28" s="39" t="s">
        <v>0</v>
      </c>
      <c r="U28" s="102">
        <f t="shared" ref="U28:AB28" si="1">IFERROR(SUM(U26:U26),0)</f>
        <v>0</v>
      </c>
      <c r="V28" s="102">
        <f t="shared" si="1"/>
        <v>0</v>
      </c>
      <c r="W28" s="102">
        <f t="shared" si="1"/>
        <v>0</v>
      </c>
      <c r="X28" s="102">
        <f t="shared" si="1"/>
        <v>0</v>
      </c>
      <c r="Y28" s="102">
        <f t="shared" si="1"/>
        <v>0</v>
      </c>
      <c r="Z28" s="102">
        <f t="shared" si="1"/>
        <v>0</v>
      </c>
      <c r="AA28" s="102">
        <f t="shared" si="1"/>
        <v>0</v>
      </c>
      <c r="AB28" s="102">
        <f t="shared" si="1"/>
        <v>0</v>
      </c>
      <c r="AC28" s="50" t="s">
        <v>57</v>
      </c>
      <c r="AD28" s="3"/>
      <c r="AE28" s="72"/>
      <c r="AF28" s="3"/>
      <c r="AG28" s="3"/>
      <c r="AH28" s="3"/>
      <c r="AI28" s="3"/>
      <c r="AJ28" s="3"/>
      <c r="AK28" s="3"/>
      <c r="AL28" s="62"/>
      <c r="AM28" s="62"/>
      <c r="AN28" s="62"/>
      <c r="AO28" s="3"/>
      <c r="AP28" s="3"/>
      <c r="AQ28" s="2"/>
      <c r="AR28" s="2"/>
      <c r="AS28" s="2"/>
      <c r="AT28" s="2"/>
      <c r="AU28" s="20"/>
      <c r="AV28" s="20"/>
      <c r="AW28" s="21"/>
    </row>
    <row r="29" spans="1:82" ht="27.75" hidden="1" customHeight="1" x14ac:dyDescent="0.2">
      <c r="A29" s="456" t="s">
        <v>94</v>
      </c>
      <c r="B29" s="457"/>
      <c r="C29" s="457"/>
      <c r="D29" s="457"/>
      <c r="E29" s="457"/>
      <c r="F29" s="457"/>
      <c r="G29" s="457"/>
      <c r="H29" s="457"/>
      <c r="I29" s="457"/>
      <c r="J29" s="457"/>
      <c r="K29" s="457"/>
      <c r="L29" s="457"/>
      <c r="M29" s="457"/>
      <c r="N29" s="457"/>
      <c r="O29" s="457"/>
      <c r="P29" s="457"/>
      <c r="Q29" s="457"/>
      <c r="R29" s="457"/>
      <c r="S29" s="457"/>
      <c r="T29" s="457"/>
      <c r="U29" s="457"/>
      <c r="V29" s="457"/>
      <c r="W29" s="458"/>
      <c r="X29" s="458"/>
      <c r="Y29" s="458"/>
      <c r="Z29" s="458"/>
      <c r="AA29" s="431"/>
      <c r="AB29" s="431"/>
      <c r="AC29" s="431"/>
      <c r="AD29" s="431"/>
      <c r="AE29" s="432"/>
      <c r="AF29" s="459"/>
      <c r="AG29" s="2"/>
      <c r="AH29" s="2"/>
      <c r="AI29" s="2"/>
      <c r="AJ29" s="2"/>
      <c r="AK29" s="61"/>
      <c r="AL29" s="61"/>
      <c r="AM29" s="61"/>
      <c r="AN29" s="2"/>
      <c r="AO29" s="2"/>
      <c r="AP29" s="2"/>
      <c r="AQ29" s="2"/>
      <c r="AR29" s="2"/>
    </row>
    <row r="30" spans="1:82" ht="15" hidden="1" x14ac:dyDescent="0.25">
      <c r="A30" s="443" t="s">
        <v>95</v>
      </c>
      <c r="B30" s="430"/>
      <c r="C30" s="430"/>
      <c r="D30" s="430"/>
      <c r="E30" s="430"/>
      <c r="F30" s="430"/>
      <c r="G30" s="430"/>
      <c r="H30" s="430"/>
      <c r="I30" s="430"/>
      <c r="J30" s="430"/>
      <c r="K30" s="430"/>
      <c r="L30" s="430"/>
      <c r="M30" s="430"/>
      <c r="N30" s="430"/>
      <c r="O30" s="430"/>
      <c r="P30" s="430"/>
      <c r="Q30" s="430"/>
      <c r="R30" s="430"/>
      <c r="S30" s="430"/>
      <c r="T30" s="430"/>
      <c r="U30" s="430"/>
      <c r="V30" s="430"/>
      <c r="W30" s="430"/>
      <c r="X30" s="430"/>
      <c r="Y30" s="430"/>
      <c r="Z30" s="430"/>
      <c r="AA30" s="431"/>
      <c r="AB30" s="431"/>
      <c r="AC30" s="431"/>
      <c r="AD30" s="431"/>
      <c r="AE30" s="432"/>
      <c r="AF30" s="444"/>
      <c r="AG30" s="2"/>
      <c r="AH30" s="2"/>
      <c r="AI30" s="2"/>
      <c r="AJ30" s="2"/>
      <c r="AK30" s="61"/>
      <c r="AL30" s="61"/>
      <c r="AM30" s="61"/>
      <c r="AN30" s="2"/>
      <c r="AO30" s="2"/>
      <c r="AP30" s="2"/>
      <c r="AQ30" s="2"/>
      <c r="AR30" s="2"/>
    </row>
    <row r="31" spans="1:82" ht="15" hidden="1" x14ac:dyDescent="0.25">
      <c r="A31" s="428" t="s">
        <v>96</v>
      </c>
      <c r="B31" s="429"/>
      <c r="C31" s="429"/>
      <c r="D31" s="429"/>
      <c r="E31" s="429"/>
      <c r="F31" s="429"/>
      <c r="G31" s="429"/>
      <c r="H31" s="429"/>
      <c r="I31" s="429"/>
      <c r="J31" s="429"/>
      <c r="K31" s="429"/>
      <c r="L31" s="429"/>
      <c r="M31" s="429"/>
      <c r="N31" s="429"/>
      <c r="O31" s="429"/>
      <c r="P31" s="429"/>
      <c r="Q31" s="429"/>
      <c r="R31" s="429"/>
      <c r="S31" s="429"/>
      <c r="T31" s="429"/>
      <c r="U31" s="429"/>
      <c r="V31" s="429"/>
      <c r="W31" s="429"/>
      <c r="X31" s="430"/>
      <c r="Y31" s="430"/>
      <c r="Z31" s="430"/>
      <c r="AA31" s="431"/>
      <c r="AB31" s="431"/>
      <c r="AC31" s="431"/>
      <c r="AD31" s="431"/>
      <c r="AE31" s="432"/>
      <c r="AF31" s="433"/>
      <c r="AG31" s="2"/>
      <c r="AH31" s="2"/>
      <c r="AI31" s="2"/>
      <c r="AJ31" s="2"/>
      <c r="AK31" s="61"/>
      <c r="AL31" s="61"/>
      <c r="AM31" s="61"/>
      <c r="AN31" s="2"/>
      <c r="AO31" s="2"/>
      <c r="AP31" s="2"/>
      <c r="AQ31" s="2"/>
      <c r="AR31" s="2"/>
    </row>
    <row r="32" spans="1:82" hidden="1" x14ac:dyDescent="0.2">
      <c r="A32" s="79" t="s">
        <v>97</v>
      </c>
      <c r="B32" s="80" t="s">
        <v>98</v>
      </c>
      <c r="C32" s="80">
        <v>4301011382</v>
      </c>
      <c r="D32" s="80">
        <v>4607091385687</v>
      </c>
      <c r="E32" s="81">
        <v>0.4</v>
      </c>
      <c r="F32" s="82">
        <v>10</v>
      </c>
      <c r="G32" s="81">
        <v>4</v>
      </c>
      <c r="H32" s="81">
        <v>4.21</v>
      </c>
      <c r="I32" s="83">
        <v>132</v>
      </c>
      <c r="J32" s="83" t="s">
        <v>100</v>
      </c>
      <c r="K32" s="84" t="s">
        <v>99</v>
      </c>
      <c r="L32" s="84"/>
      <c r="M32" s="423">
        <v>50</v>
      </c>
      <c r="N32" s="423"/>
      <c r="O32" s="5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P32" s="425"/>
      <c r="Q32" s="425"/>
      <c r="R32" s="425"/>
      <c r="S32" s="425"/>
      <c r="T32" s="85" t="s">
        <v>0</v>
      </c>
      <c r="U32" s="65">
        <v>0</v>
      </c>
      <c r="V32" s="66">
        <f>IFERROR(IF(U32="",0,CEILING((U32/$G32),1)*$G32),"")</f>
        <v>0</v>
      </c>
      <c r="W32" s="65">
        <v>0</v>
      </c>
      <c r="X32" s="66">
        <f>IFERROR(IF(W32="",0,CEILING((W32/$G32),1)*$G32),"")</f>
        <v>0</v>
      </c>
      <c r="Y32" s="65">
        <v>0</v>
      </c>
      <c r="Z32" s="66">
        <f>IFERROR(IF(Y32="",0,CEILING((Y32/$G32),1)*$G32),"")</f>
        <v>0</v>
      </c>
      <c r="AA32" s="65">
        <v>0</v>
      </c>
      <c r="AB32" s="66">
        <f>IFERROR(IF(AA32="",0,CEILING((AA32/$G32),1)*$G32),"")</f>
        <v>0</v>
      </c>
      <c r="AC32" s="67" t="str">
        <f>IF(IFERROR(ROUNDUP(V32/G32,0)*0.00902,0)+IFERROR(ROUNDUP(X32/G32,0)*0.00902,0)+IFERROR(ROUNDUP(Z32/G32,0)*0.00902,0)+IFERROR(ROUNDUP(AB32/G32,0)*0.00902,0)=0,"",IFERROR(ROUNDUP(V32/G32,0)*0.00902,0)+IFERROR(ROUNDUP(X32/G32,0)*0.00902,0)+IFERROR(ROUNDUP(Z32/G32,0)*0.00902,0)+IFERROR(ROUNDUP(AB32/G32,0)*0.00902,0))</f>
        <v/>
      </c>
      <c r="AD32" s="79" t="s">
        <v>57</v>
      </c>
      <c r="AE32" s="79" t="s">
        <v>57</v>
      </c>
      <c r="AF32" s="113" t="s">
        <v>101</v>
      </c>
      <c r="AG32" s="2"/>
      <c r="AH32" s="2"/>
      <c r="AI32" s="2"/>
      <c r="AJ32" s="2"/>
      <c r="AK32" s="2"/>
      <c r="AL32" s="61"/>
      <c r="AM32" s="61"/>
      <c r="AN32" s="61"/>
      <c r="AO32" s="2"/>
      <c r="AP32" s="2"/>
      <c r="AQ32" s="2"/>
      <c r="AR32" s="2"/>
      <c r="AS32" s="2"/>
      <c r="AT32" s="2"/>
      <c r="AU32" s="20"/>
      <c r="AV32" s="20"/>
      <c r="AW32" s="21"/>
      <c r="BB32" s="112" t="s">
        <v>65</v>
      </c>
      <c r="BO32" s="77">
        <f>IFERROR(U32*H32/G32,0)</f>
        <v>0</v>
      </c>
      <c r="BP32" s="77">
        <f>IFERROR(V32*H32/G32,0)</f>
        <v>0</v>
      </c>
      <c r="BQ32" s="77">
        <f>IFERROR(1/I32*(U32/G32),0)</f>
        <v>0</v>
      </c>
      <c r="BR32" s="77">
        <f>IFERROR(1/I32*(V32/G32),0)</f>
        <v>0</v>
      </c>
      <c r="BS32" s="77">
        <f>IFERROR(W32*H32/G32,0)</f>
        <v>0</v>
      </c>
      <c r="BT32" s="77">
        <f>IFERROR(X32*H32/G32,0)</f>
        <v>0</v>
      </c>
      <c r="BU32" s="77">
        <f>IFERROR(1/I32*(W32/G32),0)</f>
        <v>0</v>
      </c>
      <c r="BV32" s="77">
        <f>IFERROR(1/I32*(X32/G32),0)</f>
        <v>0</v>
      </c>
      <c r="BW32" s="77">
        <f>IFERROR(Y32*H32/G32,0)</f>
        <v>0</v>
      </c>
      <c r="BX32" s="77">
        <f>IFERROR(Z32*H32/G32,0)</f>
        <v>0</v>
      </c>
      <c r="BY32" s="77">
        <f>IFERROR(1/I32*(Y32/G32),0)</f>
        <v>0</v>
      </c>
      <c r="BZ32" s="77">
        <f>IFERROR(1/I32*(Z32/G32),0)</f>
        <v>0</v>
      </c>
      <c r="CA32" s="77">
        <f>IFERROR(AA32*H32/G32,0)</f>
        <v>0</v>
      </c>
      <c r="CB32" s="77">
        <f>IFERROR(AB32*H32/G32,0)</f>
        <v>0</v>
      </c>
      <c r="CC32" s="77">
        <f>IFERROR(1/I32*(AA32/G32),0)</f>
        <v>0</v>
      </c>
      <c r="CD32" s="77">
        <f>IFERROR(1/I32*(AB32/G32),0)</f>
        <v>0</v>
      </c>
    </row>
    <row r="33" spans="1:82" hidden="1" x14ac:dyDescent="0.2">
      <c r="A33" s="79" t="s">
        <v>102</v>
      </c>
      <c r="B33" s="80" t="s">
        <v>103</v>
      </c>
      <c r="C33" s="80">
        <v>4301011565</v>
      </c>
      <c r="D33" s="80">
        <v>4680115882539</v>
      </c>
      <c r="E33" s="81">
        <v>0.37</v>
      </c>
      <c r="F33" s="82">
        <v>10</v>
      </c>
      <c r="G33" s="81">
        <v>3.7</v>
      </c>
      <c r="H33" s="81">
        <v>3.91</v>
      </c>
      <c r="I33" s="83">
        <v>132</v>
      </c>
      <c r="J33" s="83" t="s">
        <v>100</v>
      </c>
      <c r="K33" s="84" t="s">
        <v>99</v>
      </c>
      <c r="L33" s="84"/>
      <c r="M33" s="423">
        <v>50</v>
      </c>
      <c r="N33" s="423"/>
      <c r="O33" s="58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P33" s="425"/>
      <c r="Q33" s="425"/>
      <c r="R33" s="425"/>
      <c r="S33" s="425"/>
      <c r="T33" s="85" t="s">
        <v>0</v>
      </c>
      <c r="U33" s="65">
        <v>0</v>
      </c>
      <c r="V33" s="66">
        <f>IFERROR(IF(U33="",0,CEILING((U33/$G33),1)*$G33),"")</f>
        <v>0</v>
      </c>
      <c r="W33" s="65">
        <v>0</v>
      </c>
      <c r="X33" s="66">
        <f>IFERROR(IF(W33="",0,CEILING((W33/$G33),1)*$G33),"")</f>
        <v>0</v>
      </c>
      <c r="Y33" s="65">
        <v>0</v>
      </c>
      <c r="Z33" s="66">
        <f>IFERROR(IF(Y33="",0,CEILING((Y33/$G33),1)*$G33),"")</f>
        <v>0</v>
      </c>
      <c r="AA33" s="65">
        <v>0</v>
      </c>
      <c r="AB33" s="66">
        <f>IFERROR(IF(AA33="",0,CEILING((AA33/$G33),1)*$G33),"")</f>
        <v>0</v>
      </c>
      <c r="AC33" s="67" t="str">
        <f>IF(IFERROR(ROUNDUP(V33/G33,0)*0.00902,0)+IFERROR(ROUNDUP(X33/G33,0)*0.00902,0)+IFERROR(ROUNDUP(Z33/G33,0)*0.00902,0)+IFERROR(ROUNDUP(AB33/G33,0)*0.00902,0)=0,"",IFERROR(ROUNDUP(V33/G33,0)*0.00902,0)+IFERROR(ROUNDUP(X33/G33,0)*0.00902,0)+IFERROR(ROUNDUP(Z33/G33,0)*0.00902,0)+IFERROR(ROUNDUP(AB33/G33,0)*0.00902,0))</f>
        <v/>
      </c>
      <c r="AD33" s="79" t="s">
        <v>57</v>
      </c>
      <c r="AE33" s="79" t="s">
        <v>57</v>
      </c>
      <c r="AF33" s="115" t="s">
        <v>101</v>
      </c>
      <c r="AG33" s="2"/>
      <c r="AH33" s="2"/>
      <c r="AI33" s="2"/>
      <c r="AJ33" s="2"/>
      <c r="AK33" s="2"/>
      <c r="AL33" s="61"/>
      <c r="AM33" s="61"/>
      <c r="AN33" s="61"/>
      <c r="AO33" s="2"/>
      <c r="AP33" s="2"/>
      <c r="AQ33" s="2"/>
      <c r="AR33" s="2"/>
      <c r="AS33" s="2"/>
      <c r="AT33" s="2"/>
      <c r="AU33" s="20"/>
      <c r="AV33" s="20"/>
      <c r="AW33" s="21"/>
      <c r="BB33" s="114" t="s">
        <v>65</v>
      </c>
      <c r="BO33" s="77">
        <f>IFERROR(U33*H33/G33,0)</f>
        <v>0</v>
      </c>
      <c r="BP33" s="77">
        <f>IFERROR(V33*H33/G33,0)</f>
        <v>0</v>
      </c>
      <c r="BQ33" s="77">
        <f>IFERROR(1/I33*(U33/G33),0)</f>
        <v>0</v>
      </c>
      <c r="BR33" s="77">
        <f>IFERROR(1/I33*(V33/G33),0)</f>
        <v>0</v>
      </c>
      <c r="BS33" s="77">
        <f>IFERROR(W33*H33/G33,0)</f>
        <v>0</v>
      </c>
      <c r="BT33" s="77">
        <f>IFERROR(X33*H33/G33,0)</f>
        <v>0</v>
      </c>
      <c r="BU33" s="77">
        <f>IFERROR(1/I33*(W33/G33),0)</f>
        <v>0</v>
      </c>
      <c r="BV33" s="77">
        <f>IFERROR(1/I33*(X33/G33),0)</f>
        <v>0</v>
      </c>
      <c r="BW33" s="77">
        <f>IFERROR(Y33*H33/G33,0)</f>
        <v>0</v>
      </c>
      <c r="BX33" s="77">
        <f>IFERROR(Z33*H33/G33,0)</f>
        <v>0</v>
      </c>
      <c r="BY33" s="77">
        <f>IFERROR(1/I33*(Y33/G33),0)</f>
        <v>0</v>
      </c>
      <c r="BZ33" s="77">
        <f>IFERROR(1/I33*(Z33/G33),0)</f>
        <v>0</v>
      </c>
      <c r="CA33" s="77">
        <f>IFERROR(AA33*H33/G33,0)</f>
        <v>0</v>
      </c>
      <c r="CB33" s="77">
        <f>IFERROR(AB33*H33/G33,0)</f>
        <v>0</v>
      </c>
      <c r="CC33" s="77">
        <f>IFERROR(1/I33*(AA33/G33),0)</f>
        <v>0</v>
      </c>
      <c r="CD33" s="77">
        <f>IFERROR(1/I33*(AB33/G33),0)</f>
        <v>0</v>
      </c>
    </row>
    <row r="34" spans="1:82" hidden="1" x14ac:dyDescent="0.2">
      <c r="A34" s="79" t="s">
        <v>104</v>
      </c>
      <c r="B34" s="80" t="s">
        <v>105</v>
      </c>
      <c r="C34" s="80">
        <v>4301011624</v>
      </c>
      <c r="D34" s="80">
        <v>4680115883949</v>
      </c>
      <c r="E34" s="81">
        <v>0.37</v>
      </c>
      <c r="F34" s="82">
        <v>10</v>
      </c>
      <c r="G34" s="81">
        <v>3.7</v>
      </c>
      <c r="H34" s="81">
        <v>3.91</v>
      </c>
      <c r="I34" s="83">
        <v>132</v>
      </c>
      <c r="J34" s="83" t="s">
        <v>100</v>
      </c>
      <c r="K34" s="84" t="s">
        <v>106</v>
      </c>
      <c r="L34" s="84"/>
      <c r="M34" s="423">
        <v>50</v>
      </c>
      <c r="N34" s="423"/>
      <c r="O34" s="58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P34" s="425"/>
      <c r="Q34" s="425"/>
      <c r="R34" s="425"/>
      <c r="S34" s="425"/>
      <c r="T34" s="85" t="s">
        <v>0</v>
      </c>
      <c r="U34" s="65">
        <v>0</v>
      </c>
      <c r="V34" s="66">
        <f>IFERROR(IF(U34="",0,CEILING((U34/$G34),1)*$G34),"")</f>
        <v>0</v>
      </c>
      <c r="W34" s="65">
        <v>0</v>
      </c>
      <c r="X34" s="66">
        <f>IFERROR(IF(W34="",0,CEILING((W34/$G34),1)*$G34),"")</f>
        <v>0</v>
      </c>
      <c r="Y34" s="65">
        <v>0</v>
      </c>
      <c r="Z34" s="66">
        <f>IFERROR(IF(Y34="",0,CEILING((Y34/$G34),1)*$G34),"")</f>
        <v>0</v>
      </c>
      <c r="AA34" s="65">
        <v>0</v>
      </c>
      <c r="AB34" s="66">
        <f>IFERROR(IF(AA34="",0,CEILING((AA34/$G34),1)*$G34),"")</f>
        <v>0</v>
      </c>
      <c r="AC34" s="67" t="str">
        <f>IF(IFERROR(ROUNDUP(V34/G34,0)*0.00902,0)+IFERROR(ROUNDUP(X34/G34,0)*0.00902,0)+IFERROR(ROUNDUP(Z34/G34,0)*0.00902,0)+IFERROR(ROUNDUP(AB34/G34,0)*0.00902,0)=0,"",IFERROR(ROUNDUP(V34/G34,0)*0.00902,0)+IFERROR(ROUNDUP(X34/G34,0)*0.00902,0)+IFERROR(ROUNDUP(Z34/G34,0)*0.00902,0)+IFERROR(ROUNDUP(AB34/G34,0)*0.00902,0))</f>
        <v/>
      </c>
      <c r="AD34" s="79" t="s">
        <v>57</v>
      </c>
      <c r="AE34" s="79" t="s">
        <v>57</v>
      </c>
      <c r="AF34" s="117" t="s">
        <v>107</v>
      </c>
      <c r="AG34" s="2"/>
      <c r="AH34" s="2"/>
      <c r="AI34" s="2"/>
      <c r="AJ34" s="2"/>
      <c r="AK34" s="2"/>
      <c r="AL34" s="61"/>
      <c r="AM34" s="61"/>
      <c r="AN34" s="61"/>
      <c r="AO34" s="2"/>
      <c r="AP34" s="2"/>
      <c r="AQ34" s="2"/>
      <c r="AR34" s="2"/>
      <c r="AS34" s="2"/>
      <c r="AT34" s="2"/>
      <c r="AU34" s="20"/>
      <c r="AV34" s="20"/>
      <c r="AW34" s="21"/>
      <c r="BB34" s="116" t="s">
        <v>65</v>
      </c>
      <c r="BO34" s="77">
        <f>IFERROR(U34*H34/G34,0)</f>
        <v>0</v>
      </c>
      <c r="BP34" s="77">
        <f>IFERROR(V34*H34/G34,0)</f>
        <v>0</v>
      </c>
      <c r="BQ34" s="77">
        <f>IFERROR(1/I34*(U34/G34),0)</f>
        <v>0</v>
      </c>
      <c r="BR34" s="77">
        <f>IFERROR(1/I34*(V34/G34),0)</f>
        <v>0</v>
      </c>
      <c r="BS34" s="77">
        <f>IFERROR(W34*H34/G34,0)</f>
        <v>0</v>
      </c>
      <c r="BT34" s="77">
        <f>IFERROR(X34*H34/G34,0)</f>
        <v>0</v>
      </c>
      <c r="BU34" s="77">
        <f>IFERROR(1/I34*(W34/G34),0)</f>
        <v>0</v>
      </c>
      <c r="BV34" s="77">
        <f>IFERROR(1/I34*(X34/G34),0)</f>
        <v>0</v>
      </c>
      <c r="BW34" s="77">
        <f>IFERROR(Y34*H34/G34,0)</f>
        <v>0</v>
      </c>
      <c r="BX34" s="77">
        <f>IFERROR(Z34*H34/G34,0)</f>
        <v>0</v>
      </c>
      <c r="BY34" s="77">
        <f>IFERROR(1/I34*(Y34/G34),0)</f>
        <v>0</v>
      </c>
      <c r="BZ34" s="77">
        <f>IFERROR(1/I34*(Z34/G34),0)</f>
        <v>0</v>
      </c>
      <c r="CA34" s="77">
        <f>IFERROR(AA34*H34/G34,0)</f>
        <v>0</v>
      </c>
      <c r="CB34" s="77">
        <f>IFERROR(AB34*H34/G34,0)</f>
        <v>0</v>
      </c>
      <c r="CC34" s="77">
        <f>IFERROR(1/I34*(AA34/G34),0)</f>
        <v>0</v>
      </c>
      <c r="CD34" s="77">
        <f>IFERROR(1/I34*(AB34/G34),0)</f>
        <v>0</v>
      </c>
    </row>
    <row r="35" spans="1:82" hidden="1" x14ac:dyDescent="0.2">
      <c r="A35" s="420"/>
      <c r="B35" s="420"/>
      <c r="C35" s="420"/>
      <c r="D35" s="420"/>
      <c r="E35" s="420"/>
      <c r="F35" s="420"/>
      <c r="G35" s="420"/>
      <c r="H35" s="420"/>
      <c r="I35" s="420"/>
      <c r="J35" s="420"/>
      <c r="K35" s="420"/>
      <c r="L35" s="420"/>
      <c r="M35" s="420"/>
      <c r="N35" s="420"/>
      <c r="O35" s="426" t="s">
        <v>43</v>
      </c>
      <c r="P35" s="427"/>
      <c r="Q35" s="427"/>
      <c r="R35" s="427"/>
      <c r="S35" s="427"/>
      <c r="T35" s="39" t="s">
        <v>42</v>
      </c>
      <c r="U35" s="50">
        <f>IFERROR(U32/G32,0)+IFERROR(U33/G33,0)+IFERROR(U34/G34,0)</f>
        <v>0</v>
      </c>
      <c r="V35" s="50">
        <f>IFERROR(V32/G32,0)+IFERROR(V33/G33,0)+IFERROR(V34/G34,0)</f>
        <v>0</v>
      </c>
      <c r="W35" s="50">
        <f>IFERROR(W32/G32,0)+IFERROR(W33/G33,0)+IFERROR(W34/G34,0)</f>
        <v>0</v>
      </c>
      <c r="X35" s="50">
        <f>IFERROR(X32/G32,0)+IFERROR(X33/G33,0)+IFERROR(X34/G34,0)</f>
        <v>0</v>
      </c>
      <c r="Y35" s="50">
        <f>IFERROR(Y32/G32,0)+IFERROR(Y33/G33,0)+IFERROR(Y34/G34,0)</f>
        <v>0</v>
      </c>
      <c r="Z35" s="50">
        <f>IFERROR(Z32/G32,0)+IFERROR(Z33/G33,0)+IFERROR(Z34/G34,0)</f>
        <v>0</v>
      </c>
      <c r="AA35" s="50">
        <f>IFERROR(AA32/G32,0)+IFERROR(AA33/G33,0)+IFERROR(AA34/G34,0)</f>
        <v>0</v>
      </c>
      <c r="AB35" s="50">
        <f>IFERROR(AB32/G32,0)+IFERROR(AB33/G33,0)+IFERROR(AB34/G34,0)</f>
        <v>0</v>
      </c>
      <c r="AC35" s="50">
        <f>IFERROR(IF(AC32="",0,AC32),0)+IFERROR(IF(AC33="",0,AC33),0)+IFERROR(IF(AC34="",0,AC34),0)</f>
        <v>0</v>
      </c>
      <c r="AD35" s="3"/>
      <c r="AE35" s="72"/>
      <c r="AF35" s="3"/>
      <c r="AG35" s="3"/>
      <c r="AH35" s="3"/>
      <c r="AI35" s="3"/>
      <c r="AJ35" s="3"/>
      <c r="AK35" s="3"/>
      <c r="AL35" s="62"/>
      <c r="AM35" s="62"/>
      <c r="AN35" s="62"/>
      <c r="AO35" s="3"/>
      <c r="AP35" s="3"/>
      <c r="AQ35" s="2"/>
      <c r="AR35" s="2"/>
      <c r="AS35" s="2"/>
      <c r="AT35" s="2"/>
      <c r="AU35" s="20"/>
      <c r="AV35" s="20"/>
      <c r="AW35" s="21"/>
    </row>
    <row r="36" spans="1:82" hidden="1" x14ac:dyDescent="0.2">
      <c r="A36" s="420"/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6" t="s">
        <v>43</v>
      </c>
      <c r="P36" s="427"/>
      <c r="Q36" s="427"/>
      <c r="R36" s="427"/>
      <c r="S36" s="427"/>
      <c r="T36" s="39" t="s">
        <v>0</v>
      </c>
      <c r="U36" s="102">
        <f t="shared" ref="U36:AB36" si="2">IFERROR(SUM(U32:U34),0)</f>
        <v>0</v>
      </c>
      <c r="V36" s="102">
        <f t="shared" si="2"/>
        <v>0</v>
      </c>
      <c r="W36" s="102">
        <f t="shared" si="2"/>
        <v>0</v>
      </c>
      <c r="X36" s="102">
        <f t="shared" si="2"/>
        <v>0</v>
      </c>
      <c r="Y36" s="102">
        <f t="shared" si="2"/>
        <v>0</v>
      </c>
      <c r="Z36" s="102">
        <f t="shared" si="2"/>
        <v>0</v>
      </c>
      <c r="AA36" s="102">
        <f t="shared" si="2"/>
        <v>0</v>
      </c>
      <c r="AB36" s="102">
        <f t="shared" si="2"/>
        <v>0</v>
      </c>
      <c r="AC36" s="50" t="s">
        <v>57</v>
      </c>
      <c r="AD36" s="3"/>
      <c r="AE36" s="72"/>
      <c r="AF36" s="3"/>
      <c r="AG36" s="3"/>
      <c r="AH36" s="3"/>
      <c r="AI36" s="3"/>
      <c r="AJ36" s="3"/>
      <c r="AK36" s="3"/>
      <c r="AL36" s="62"/>
      <c r="AM36" s="62"/>
      <c r="AN36" s="62"/>
      <c r="AO36" s="3"/>
      <c r="AP36" s="3"/>
      <c r="AQ36" s="2"/>
      <c r="AR36" s="2"/>
      <c r="AS36" s="2"/>
      <c r="AT36" s="2"/>
      <c r="AU36" s="20"/>
      <c r="AV36" s="20"/>
      <c r="AW36" s="21"/>
    </row>
    <row r="37" spans="1:82" ht="15" hidden="1" x14ac:dyDescent="0.25">
      <c r="A37" s="428" t="s">
        <v>82</v>
      </c>
      <c r="B37" s="429"/>
      <c r="C37" s="429"/>
      <c r="D37" s="429"/>
      <c r="E37" s="429"/>
      <c r="F37" s="429"/>
      <c r="G37" s="429"/>
      <c r="H37" s="429"/>
      <c r="I37" s="429"/>
      <c r="J37" s="429"/>
      <c r="K37" s="429"/>
      <c r="L37" s="429"/>
      <c r="M37" s="429"/>
      <c r="N37" s="429"/>
      <c r="O37" s="429"/>
      <c r="P37" s="429"/>
      <c r="Q37" s="429"/>
      <c r="R37" s="429"/>
      <c r="S37" s="429"/>
      <c r="T37" s="429"/>
      <c r="U37" s="429"/>
      <c r="V37" s="429"/>
      <c r="W37" s="429"/>
      <c r="X37" s="430"/>
      <c r="Y37" s="430"/>
      <c r="Z37" s="430"/>
      <c r="AA37" s="431"/>
      <c r="AB37" s="431"/>
      <c r="AC37" s="431"/>
      <c r="AD37" s="431"/>
      <c r="AE37" s="432"/>
      <c r="AF37" s="433"/>
      <c r="AG37" s="2"/>
      <c r="AH37" s="2"/>
      <c r="AI37" s="2"/>
      <c r="AJ37" s="2"/>
      <c r="AK37" s="61"/>
      <c r="AL37" s="61"/>
      <c r="AM37" s="61"/>
      <c r="AN37" s="2"/>
      <c r="AO37" s="2"/>
      <c r="AP37" s="2"/>
      <c r="AQ37" s="2"/>
      <c r="AR37" s="2"/>
    </row>
    <row r="38" spans="1:82" hidden="1" x14ac:dyDescent="0.2">
      <c r="A38" s="79" t="s">
        <v>108</v>
      </c>
      <c r="B38" s="80" t="s">
        <v>109</v>
      </c>
      <c r="C38" s="80">
        <v>4301051820</v>
      </c>
      <c r="D38" s="80">
        <v>4680115884915</v>
      </c>
      <c r="E38" s="81">
        <v>0.3</v>
      </c>
      <c r="F38" s="82">
        <v>6</v>
      </c>
      <c r="G38" s="81">
        <v>1.8</v>
      </c>
      <c r="H38" s="81">
        <v>1.98</v>
      </c>
      <c r="I38" s="83">
        <v>182</v>
      </c>
      <c r="J38" s="83" t="s">
        <v>86</v>
      </c>
      <c r="K38" s="84" t="s">
        <v>99</v>
      </c>
      <c r="L38" s="84"/>
      <c r="M38" s="423">
        <v>40</v>
      </c>
      <c r="N38" s="423"/>
      <c r="O38" s="58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P38" s="425"/>
      <c r="Q38" s="425"/>
      <c r="R38" s="425"/>
      <c r="S38" s="425"/>
      <c r="T38" s="85" t="s">
        <v>0</v>
      </c>
      <c r="U38" s="65">
        <v>0</v>
      </c>
      <c r="V38" s="66">
        <f>IFERROR(IF(U38="",0,CEILING((U38/$G38),1)*$G38),"")</f>
        <v>0</v>
      </c>
      <c r="W38" s="65">
        <v>0</v>
      </c>
      <c r="X38" s="66">
        <f>IFERROR(IF(W38="",0,CEILING((W38/$G38),1)*$G38),"")</f>
        <v>0</v>
      </c>
      <c r="Y38" s="65">
        <v>0</v>
      </c>
      <c r="Z38" s="66">
        <f>IFERROR(IF(Y38="",0,CEILING((Y38/$G38),1)*$G38),"")</f>
        <v>0</v>
      </c>
      <c r="AA38" s="65">
        <v>0</v>
      </c>
      <c r="AB38" s="66">
        <f>IFERROR(IF(AA38="",0,CEILING((AA38/$G38),1)*$G38),"")</f>
        <v>0</v>
      </c>
      <c r="AC38" s="67" t="str">
        <f>IF(IFERROR(ROUNDUP(V38/G38,0)*0.00651,0)+IFERROR(ROUNDUP(X38/G38,0)*0.00651,0)+IFERROR(ROUNDUP(Z38/G38,0)*0.00651,0)+IFERROR(ROUNDUP(AB38/G38,0)*0.00651,0)=0,"",IFERROR(ROUNDUP(V38/G38,0)*0.00651,0)+IFERROR(ROUNDUP(X38/G38,0)*0.00651,0)+IFERROR(ROUNDUP(Z38/G38,0)*0.00651,0)+IFERROR(ROUNDUP(AB38/G38,0)*0.00651,0))</f>
        <v/>
      </c>
      <c r="AD38" s="79" t="s">
        <v>57</v>
      </c>
      <c r="AE38" s="79" t="s">
        <v>57</v>
      </c>
      <c r="AF38" s="119" t="s">
        <v>110</v>
      </c>
      <c r="AG38" s="2"/>
      <c r="AH38" s="2"/>
      <c r="AI38" s="2"/>
      <c r="AJ38" s="2"/>
      <c r="AK38" s="2"/>
      <c r="AL38" s="61"/>
      <c r="AM38" s="61"/>
      <c r="AN38" s="61"/>
      <c r="AO38" s="2"/>
      <c r="AP38" s="2"/>
      <c r="AQ38" s="2"/>
      <c r="AR38" s="2"/>
      <c r="AS38" s="2"/>
      <c r="AT38" s="2"/>
      <c r="AU38" s="20"/>
      <c r="AV38" s="20"/>
      <c r="AW38" s="21"/>
      <c r="BB38" s="118" t="s">
        <v>65</v>
      </c>
      <c r="BO38" s="77">
        <f>IFERROR(U38*H38/G38,0)</f>
        <v>0</v>
      </c>
      <c r="BP38" s="77">
        <f>IFERROR(V38*H38/G38,0)</f>
        <v>0</v>
      </c>
      <c r="BQ38" s="77">
        <f>IFERROR(1/I38*(U38/G38),0)</f>
        <v>0</v>
      </c>
      <c r="BR38" s="77">
        <f>IFERROR(1/I38*(V38/G38),0)</f>
        <v>0</v>
      </c>
      <c r="BS38" s="77">
        <f>IFERROR(W38*H38/G38,0)</f>
        <v>0</v>
      </c>
      <c r="BT38" s="77">
        <f>IFERROR(X38*H38/G38,0)</f>
        <v>0</v>
      </c>
      <c r="BU38" s="77">
        <f>IFERROR(1/I38*(W38/G38),0)</f>
        <v>0</v>
      </c>
      <c r="BV38" s="77">
        <f>IFERROR(1/I38*(X38/G38),0)</f>
        <v>0</v>
      </c>
      <c r="BW38" s="77">
        <f>IFERROR(Y38*H38/G38,0)</f>
        <v>0</v>
      </c>
      <c r="BX38" s="77">
        <f>IFERROR(Z38*H38/G38,0)</f>
        <v>0</v>
      </c>
      <c r="BY38" s="77">
        <f>IFERROR(1/I38*(Y38/G38),0)</f>
        <v>0</v>
      </c>
      <c r="BZ38" s="77">
        <f>IFERROR(1/I38*(Z38/G38),0)</f>
        <v>0</v>
      </c>
      <c r="CA38" s="77">
        <f>IFERROR(AA38*H38/G38,0)</f>
        <v>0</v>
      </c>
      <c r="CB38" s="77">
        <f>IFERROR(AB38*H38/G38,0)</f>
        <v>0</v>
      </c>
      <c r="CC38" s="77">
        <f>IFERROR(1/I38*(AA38/G38),0)</f>
        <v>0</v>
      </c>
      <c r="CD38" s="77">
        <f>IFERROR(1/I38*(AB38/G38),0)</f>
        <v>0</v>
      </c>
    </row>
    <row r="39" spans="1:82" hidden="1" x14ac:dyDescent="0.2">
      <c r="A39" s="420"/>
      <c r="B39" s="420"/>
      <c r="C39" s="420"/>
      <c r="D39" s="420"/>
      <c r="E39" s="420"/>
      <c r="F39" s="420"/>
      <c r="G39" s="420"/>
      <c r="H39" s="420"/>
      <c r="I39" s="420"/>
      <c r="J39" s="420"/>
      <c r="K39" s="420"/>
      <c r="L39" s="420"/>
      <c r="M39" s="420"/>
      <c r="N39" s="420"/>
      <c r="O39" s="426" t="s">
        <v>43</v>
      </c>
      <c r="P39" s="427"/>
      <c r="Q39" s="427"/>
      <c r="R39" s="427"/>
      <c r="S39" s="427"/>
      <c r="T39" s="39" t="s">
        <v>42</v>
      </c>
      <c r="U39" s="50">
        <f>IFERROR(U38/G38,0)</f>
        <v>0</v>
      </c>
      <c r="V39" s="50">
        <f>IFERROR(V38/G38,0)</f>
        <v>0</v>
      </c>
      <c r="W39" s="50">
        <f>IFERROR(W38/G38,0)</f>
        <v>0</v>
      </c>
      <c r="X39" s="50">
        <f>IFERROR(X38/G38,0)</f>
        <v>0</v>
      </c>
      <c r="Y39" s="50">
        <f>IFERROR(Y38/G38,0)</f>
        <v>0</v>
      </c>
      <c r="Z39" s="50">
        <f>IFERROR(Z38/G38,0)</f>
        <v>0</v>
      </c>
      <c r="AA39" s="50">
        <f>IFERROR(AA38/G38,0)</f>
        <v>0</v>
      </c>
      <c r="AB39" s="50">
        <f>IFERROR(AB38/G38,0)</f>
        <v>0</v>
      </c>
      <c r="AC39" s="50">
        <f>IFERROR(IF(AC38="",0,AC38),0)</f>
        <v>0</v>
      </c>
      <c r="AD39" s="3"/>
      <c r="AE39" s="72"/>
      <c r="AF39" s="3"/>
      <c r="AG39" s="3"/>
      <c r="AH39" s="3"/>
      <c r="AI39" s="3"/>
      <c r="AJ39" s="3"/>
      <c r="AK39" s="3"/>
      <c r="AL39" s="62"/>
      <c r="AM39" s="62"/>
      <c r="AN39" s="62"/>
      <c r="AO39" s="3"/>
      <c r="AP39" s="3"/>
      <c r="AQ39" s="2"/>
      <c r="AR39" s="2"/>
      <c r="AS39" s="2"/>
      <c r="AT39" s="2"/>
      <c r="AU39" s="20"/>
      <c r="AV39" s="20"/>
      <c r="AW39" s="21"/>
    </row>
    <row r="40" spans="1:82" hidden="1" x14ac:dyDescent="0.2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0"/>
      <c r="M40" s="420"/>
      <c r="N40" s="420"/>
      <c r="O40" s="426" t="s">
        <v>43</v>
      </c>
      <c r="P40" s="427"/>
      <c r="Q40" s="427"/>
      <c r="R40" s="427"/>
      <c r="S40" s="427"/>
      <c r="T40" s="39" t="s">
        <v>0</v>
      </c>
      <c r="U40" s="102">
        <f t="shared" ref="U40:AB40" si="3">IFERROR(SUM(U38:U38),0)</f>
        <v>0</v>
      </c>
      <c r="V40" s="102">
        <f t="shared" si="3"/>
        <v>0</v>
      </c>
      <c r="W40" s="102">
        <f t="shared" si="3"/>
        <v>0</v>
      </c>
      <c r="X40" s="102">
        <f t="shared" si="3"/>
        <v>0</v>
      </c>
      <c r="Y40" s="102">
        <f t="shared" si="3"/>
        <v>0</v>
      </c>
      <c r="Z40" s="102">
        <f t="shared" si="3"/>
        <v>0</v>
      </c>
      <c r="AA40" s="102">
        <f t="shared" si="3"/>
        <v>0</v>
      </c>
      <c r="AB40" s="102">
        <f t="shared" si="3"/>
        <v>0</v>
      </c>
      <c r="AC40" s="50" t="s">
        <v>57</v>
      </c>
      <c r="AD40" s="3"/>
      <c r="AE40" s="72"/>
      <c r="AF40" s="3"/>
      <c r="AG40" s="3"/>
      <c r="AH40" s="3"/>
      <c r="AI40" s="3"/>
      <c r="AJ40" s="3"/>
      <c r="AK40" s="3"/>
      <c r="AL40" s="62"/>
      <c r="AM40" s="62"/>
      <c r="AN40" s="62"/>
      <c r="AO40" s="3"/>
      <c r="AP40" s="3"/>
      <c r="AQ40" s="2"/>
      <c r="AR40" s="2"/>
      <c r="AS40" s="2"/>
      <c r="AT40" s="2"/>
      <c r="AU40" s="20"/>
      <c r="AV40" s="20"/>
      <c r="AW40" s="21"/>
    </row>
    <row r="41" spans="1:82" ht="15" hidden="1" x14ac:dyDescent="0.25">
      <c r="A41" s="443" t="s">
        <v>111</v>
      </c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0"/>
      <c r="U41" s="430"/>
      <c r="V41" s="430"/>
      <c r="W41" s="430"/>
      <c r="X41" s="430"/>
      <c r="Y41" s="430"/>
      <c r="Z41" s="430"/>
      <c r="AA41" s="431"/>
      <c r="AB41" s="431"/>
      <c r="AC41" s="431"/>
      <c r="AD41" s="431"/>
      <c r="AE41" s="432"/>
      <c r="AF41" s="444"/>
      <c r="AG41" s="2"/>
      <c r="AH41" s="2"/>
      <c r="AI41" s="2"/>
      <c r="AJ41" s="2"/>
      <c r="AK41" s="61"/>
      <c r="AL41" s="61"/>
      <c r="AM41" s="61"/>
      <c r="AN41" s="2"/>
      <c r="AO41" s="2"/>
      <c r="AP41" s="2"/>
      <c r="AQ41" s="2"/>
      <c r="AR41" s="2"/>
    </row>
    <row r="42" spans="1:82" ht="15" hidden="1" x14ac:dyDescent="0.25">
      <c r="A42" s="428" t="s">
        <v>96</v>
      </c>
      <c r="B42" s="429"/>
      <c r="C42" s="429"/>
      <c r="D42" s="429"/>
      <c r="E42" s="429"/>
      <c r="F42" s="429"/>
      <c r="G42" s="429"/>
      <c r="H42" s="429"/>
      <c r="I42" s="429"/>
      <c r="J42" s="429"/>
      <c r="K42" s="429"/>
      <c r="L42" s="429"/>
      <c r="M42" s="429"/>
      <c r="N42" s="429"/>
      <c r="O42" s="429"/>
      <c r="P42" s="429"/>
      <c r="Q42" s="429"/>
      <c r="R42" s="429"/>
      <c r="S42" s="429"/>
      <c r="T42" s="429"/>
      <c r="U42" s="429"/>
      <c r="V42" s="429"/>
      <c r="W42" s="429"/>
      <c r="X42" s="430"/>
      <c r="Y42" s="430"/>
      <c r="Z42" s="430"/>
      <c r="AA42" s="431"/>
      <c r="AB42" s="431"/>
      <c r="AC42" s="431"/>
      <c r="AD42" s="431"/>
      <c r="AE42" s="432"/>
      <c r="AF42" s="433"/>
      <c r="AG42" s="2"/>
      <c r="AH42" s="2"/>
      <c r="AI42" s="2"/>
      <c r="AJ42" s="2"/>
      <c r="AK42" s="61"/>
      <c r="AL42" s="61"/>
      <c r="AM42" s="61"/>
      <c r="AN42" s="2"/>
      <c r="AO42" s="2"/>
      <c r="AP42" s="2"/>
      <c r="AQ42" s="2"/>
      <c r="AR42" s="2"/>
    </row>
    <row r="43" spans="1:82" hidden="1" x14ac:dyDescent="0.2">
      <c r="A43" s="79" t="s">
        <v>112</v>
      </c>
      <c r="B43" s="80" t="s">
        <v>113</v>
      </c>
      <c r="C43" s="80">
        <v>4301011823</v>
      </c>
      <c r="D43" s="80">
        <v>4680115881426</v>
      </c>
      <c r="E43" s="81">
        <v>1.03</v>
      </c>
      <c r="F43" s="82">
        <v>6</v>
      </c>
      <c r="G43" s="81">
        <v>6.18</v>
      </c>
      <c r="H43" s="81">
        <v>6.54</v>
      </c>
      <c r="I43" s="83">
        <v>104</v>
      </c>
      <c r="J43" s="83" t="s">
        <v>114</v>
      </c>
      <c r="K43" s="84" t="s">
        <v>106</v>
      </c>
      <c r="L43" s="84"/>
      <c r="M43" s="423">
        <v>50</v>
      </c>
      <c r="N43" s="423"/>
      <c r="O43" s="578" t="str">
        <f>HYPERLINK("https://abi.ru/products/Охлажденные/Вязанка/Филейская/Вареные колбасы/P003255/","Вареные колбасы Филейская Классическая Вес п/а Вязанка")</f>
        <v>Вареные колбасы Филейская Классическая Вес п/а Вязанка</v>
      </c>
      <c r="P43" s="425"/>
      <c r="Q43" s="425"/>
      <c r="R43" s="425"/>
      <c r="S43" s="425"/>
      <c r="T43" s="85" t="s">
        <v>0</v>
      </c>
      <c r="U43" s="65">
        <v>0</v>
      </c>
      <c r="V43" s="66">
        <f>IFERROR(IF(U43="",0,CEILING((U43/$G43),1)*$G43),"")</f>
        <v>0</v>
      </c>
      <c r="W43" s="65">
        <v>0</v>
      </c>
      <c r="X43" s="66">
        <f>IFERROR(IF(W43="",0,CEILING((W43/$G43),1)*$G43),"")</f>
        <v>0</v>
      </c>
      <c r="Y43" s="65">
        <v>0</v>
      </c>
      <c r="Z43" s="66">
        <f>IFERROR(IF(Y43="",0,CEILING((Y43/$G43),1)*$G43),"")</f>
        <v>0</v>
      </c>
      <c r="AA43" s="65">
        <v>0</v>
      </c>
      <c r="AB43" s="66">
        <f>IFERROR(IF(AA43="",0,CEILING((AA43/$G43),1)*$G43),"")</f>
        <v>0</v>
      </c>
      <c r="AC43" s="67" t="str">
        <f>IF(IFERROR(ROUNDUP(V43/G43,0)*0.01196,0)+IFERROR(ROUNDUP(X43/G43,0)*0.01196,0)+IFERROR(ROUNDUP(Z43/G43,0)*0.01196,0)+IFERROR(ROUNDUP(AB43/G43,0)*0.01196,0)=0,"",IFERROR(ROUNDUP(V43/G43,0)*0.01196,0)+IFERROR(ROUNDUP(X43/G43,0)*0.01196,0)+IFERROR(ROUNDUP(Z43/G43,0)*0.01196,0)+IFERROR(ROUNDUP(AB43/G43,0)*0.01196,0))</f>
        <v/>
      </c>
      <c r="AD43" s="79" t="s">
        <v>57</v>
      </c>
      <c r="AE43" s="79" t="s">
        <v>57</v>
      </c>
      <c r="AF43" s="121" t="s">
        <v>115</v>
      </c>
      <c r="AG43" s="2"/>
      <c r="AH43" s="2"/>
      <c r="AI43" s="2"/>
      <c r="AJ43" s="2"/>
      <c r="AK43" s="2"/>
      <c r="AL43" s="61"/>
      <c r="AM43" s="61"/>
      <c r="AN43" s="61"/>
      <c r="AO43" s="2"/>
      <c r="AP43" s="2"/>
      <c r="AQ43" s="2"/>
      <c r="AR43" s="2"/>
      <c r="AS43" s="2"/>
      <c r="AT43" s="2"/>
      <c r="AU43" s="20"/>
      <c r="AV43" s="20"/>
      <c r="AW43" s="21"/>
      <c r="BB43" s="120" t="s">
        <v>65</v>
      </c>
      <c r="BO43" s="77">
        <f>IFERROR(U43*H43/G43,0)</f>
        <v>0</v>
      </c>
      <c r="BP43" s="77">
        <f>IFERROR(V43*H43/G43,0)</f>
        <v>0</v>
      </c>
      <c r="BQ43" s="77">
        <f>IFERROR(1/I43*(U43/G43),0)</f>
        <v>0</v>
      </c>
      <c r="BR43" s="77">
        <f>IFERROR(1/I43*(V43/G43),0)</f>
        <v>0</v>
      </c>
      <c r="BS43" s="77">
        <f>IFERROR(W43*H43/G43,0)</f>
        <v>0</v>
      </c>
      <c r="BT43" s="77">
        <f>IFERROR(X43*H43/G43,0)</f>
        <v>0</v>
      </c>
      <c r="BU43" s="77">
        <f>IFERROR(1/I43*(W43/G43),0)</f>
        <v>0</v>
      </c>
      <c r="BV43" s="77">
        <f>IFERROR(1/I43*(X43/G43),0)</f>
        <v>0</v>
      </c>
      <c r="BW43" s="77">
        <f>IFERROR(Y43*H43/G43,0)</f>
        <v>0</v>
      </c>
      <c r="BX43" s="77">
        <f>IFERROR(Z43*H43/G43,0)</f>
        <v>0</v>
      </c>
      <c r="BY43" s="77">
        <f>IFERROR(1/I43*(Y43/G43),0)</f>
        <v>0</v>
      </c>
      <c r="BZ43" s="77">
        <f>IFERROR(1/I43*(Z43/G43),0)</f>
        <v>0</v>
      </c>
      <c r="CA43" s="77">
        <f>IFERROR(AA43*H43/G43,0)</f>
        <v>0</v>
      </c>
      <c r="CB43" s="77">
        <f>IFERROR(AB43*H43/G43,0)</f>
        <v>0</v>
      </c>
      <c r="CC43" s="77">
        <f>IFERROR(1/I43*(AA43/G43),0)</f>
        <v>0</v>
      </c>
      <c r="CD43" s="77">
        <f>IFERROR(1/I43*(AB43/G43),0)</f>
        <v>0</v>
      </c>
    </row>
    <row r="44" spans="1:82" hidden="1" x14ac:dyDescent="0.2">
      <c r="A44" s="79" t="s">
        <v>116</v>
      </c>
      <c r="B44" s="80" t="s">
        <v>117</v>
      </c>
      <c r="C44" s="80">
        <v>4301011386</v>
      </c>
      <c r="D44" s="80">
        <v>4680115880283</v>
      </c>
      <c r="E44" s="81">
        <v>0.6</v>
      </c>
      <c r="F44" s="82">
        <v>8</v>
      </c>
      <c r="G44" s="81">
        <v>4.8</v>
      </c>
      <c r="H44" s="81">
        <v>5.01</v>
      </c>
      <c r="I44" s="83">
        <v>132</v>
      </c>
      <c r="J44" s="83" t="s">
        <v>100</v>
      </c>
      <c r="K44" s="84" t="s">
        <v>106</v>
      </c>
      <c r="L44" s="84"/>
      <c r="M44" s="423">
        <v>45</v>
      </c>
      <c r="N44" s="423"/>
      <c r="O44" s="5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P44" s="425"/>
      <c r="Q44" s="425"/>
      <c r="R44" s="425"/>
      <c r="S44" s="425"/>
      <c r="T44" s="85" t="s">
        <v>0</v>
      </c>
      <c r="U44" s="65">
        <v>0</v>
      </c>
      <c r="V44" s="66">
        <f>IFERROR(IF(U44="",0,CEILING((U44/$G44),1)*$G44),"")</f>
        <v>0</v>
      </c>
      <c r="W44" s="65">
        <v>0</v>
      </c>
      <c r="X44" s="66">
        <f>IFERROR(IF(W44="",0,CEILING((W44/$G44),1)*$G44),"")</f>
        <v>0</v>
      </c>
      <c r="Y44" s="65">
        <v>0</v>
      </c>
      <c r="Z44" s="66">
        <f>IFERROR(IF(Y44="",0,CEILING((Y44/$G44),1)*$G44),"")</f>
        <v>0</v>
      </c>
      <c r="AA44" s="65">
        <v>0</v>
      </c>
      <c r="AB44" s="66">
        <f>IFERROR(IF(AA44="",0,CEILING((AA44/$G44),1)*$G44),"")</f>
        <v>0</v>
      </c>
      <c r="AC44" s="67" t="str">
        <f>IF(IFERROR(ROUNDUP(V44/G44,0)*0.00902,0)+IFERROR(ROUNDUP(X44/G44,0)*0.00902,0)+IFERROR(ROUNDUP(Z44/G44,0)*0.00902,0)+IFERROR(ROUNDUP(AB44/G44,0)*0.00902,0)=0,"",IFERROR(ROUNDUP(V44/G44,0)*0.00902,0)+IFERROR(ROUNDUP(X44/G44,0)*0.00902,0)+IFERROR(ROUNDUP(Z44/G44,0)*0.00902,0)+IFERROR(ROUNDUP(AB44/G44,0)*0.00902,0))</f>
        <v/>
      </c>
      <c r="AD44" s="79" t="s">
        <v>57</v>
      </c>
      <c r="AE44" s="79" t="s">
        <v>57</v>
      </c>
      <c r="AF44" s="123" t="s">
        <v>118</v>
      </c>
      <c r="AG44" s="2"/>
      <c r="AH44" s="2"/>
      <c r="AI44" s="2"/>
      <c r="AJ44" s="2"/>
      <c r="AK44" s="2"/>
      <c r="AL44" s="61"/>
      <c r="AM44" s="61"/>
      <c r="AN44" s="61"/>
      <c r="AO44" s="2"/>
      <c r="AP44" s="2"/>
      <c r="AQ44" s="2"/>
      <c r="AR44" s="2"/>
      <c r="AS44" s="2"/>
      <c r="AT44" s="2"/>
      <c r="AU44" s="20"/>
      <c r="AV44" s="20"/>
      <c r="AW44" s="21"/>
      <c r="BB44" s="122" t="s">
        <v>65</v>
      </c>
      <c r="BO44" s="77">
        <f>IFERROR(U44*H44/G44,0)</f>
        <v>0</v>
      </c>
      <c r="BP44" s="77">
        <f>IFERROR(V44*H44/G44,0)</f>
        <v>0</v>
      </c>
      <c r="BQ44" s="77">
        <f>IFERROR(1/I44*(U44/G44),0)</f>
        <v>0</v>
      </c>
      <c r="BR44" s="77">
        <f>IFERROR(1/I44*(V44/G44),0)</f>
        <v>0</v>
      </c>
      <c r="BS44" s="77">
        <f>IFERROR(W44*H44/G44,0)</f>
        <v>0</v>
      </c>
      <c r="BT44" s="77">
        <f>IFERROR(X44*H44/G44,0)</f>
        <v>0</v>
      </c>
      <c r="BU44" s="77">
        <f>IFERROR(1/I44*(W44/G44),0)</f>
        <v>0</v>
      </c>
      <c r="BV44" s="77">
        <f>IFERROR(1/I44*(X44/G44),0)</f>
        <v>0</v>
      </c>
      <c r="BW44" s="77">
        <f>IFERROR(Y44*H44/G44,0)</f>
        <v>0</v>
      </c>
      <c r="BX44" s="77">
        <f>IFERROR(Z44*H44/G44,0)</f>
        <v>0</v>
      </c>
      <c r="BY44" s="77">
        <f>IFERROR(1/I44*(Y44/G44),0)</f>
        <v>0</v>
      </c>
      <c r="BZ44" s="77">
        <f>IFERROR(1/I44*(Z44/G44),0)</f>
        <v>0</v>
      </c>
      <c r="CA44" s="77">
        <f>IFERROR(AA44*H44/G44,0)</f>
        <v>0</v>
      </c>
      <c r="CB44" s="77">
        <f>IFERROR(AB44*H44/G44,0)</f>
        <v>0</v>
      </c>
      <c r="CC44" s="77">
        <f>IFERROR(1/I44*(AA44/G44),0)</f>
        <v>0</v>
      </c>
      <c r="CD44" s="77">
        <f>IFERROR(1/I44*(AB44/G44),0)</f>
        <v>0</v>
      </c>
    </row>
    <row r="45" spans="1:82" hidden="1" x14ac:dyDescent="0.2">
      <c r="A45" s="79" t="s">
        <v>119</v>
      </c>
      <c r="B45" s="80" t="s">
        <v>120</v>
      </c>
      <c r="C45" s="80">
        <v>4301011806</v>
      </c>
      <c r="D45" s="80">
        <v>4680115881525</v>
      </c>
      <c r="E45" s="81">
        <v>0.4</v>
      </c>
      <c r="F45" s="82">
        <v>10</v>
      </c>
      <c r="G45" s="81">
        <v>4</v>
      </c>
      <c r="H45" s="81">
        <v>4.21</v>
      </c>
      <c r="I45" s="83">
        <v>132</v>
      </c>
      <c r="J45" s="83" t="s">
        <v>100</v>
      </c>
      <c r="K45" s="84" t="s">
        <v>106</v>
      </c>
      <c r="L45" s="84"/>
      <c r="M45" s="423">
        <v>50</v>
      </c>
      <c r="N45" s="423"/>
      <c r="O45" s="5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P45" s="425"/>
      <c r="Q45" s="425"/>
      <c r="R45" s="425"/>
      <c r="S45" s="425"/>
      <c r="T45" s="85" t="s">
        <v>0</v>
      </c>
      <c r="U45" s="65">
        <v>0</v>
      </c>
      <c r="V45" s="66">
        <f>IFERROR(IF(U45="",0,CEILING((U45/$G45),1)*$G45),"")</f>
        <v>0</v>
      </c>
      <c r="W45" s="65">
        <v>0</v>
      </c>
      <c r="X45" s="66">
        <f>IFERROR(IF(W45="",0,CEILING((W45/$G45),1)*$G45),"")</f>
        <v>0</v>
      </c>
      <c r="Y45" s="65">
        <v>0</v>
      </c>
      <c r="Z45" s="66">
        <f>IFERROR(IF(Y45="",0,CEILING((Y45/$G45),1)*$G45),"")</f>
        <v>0</v>
      </c>
      <c r="AA45" s="65">
        <v>0</v>
      </c>
      <c r="AB45" s="66">
        <f>IFERROR(IF(AA45="",0,CEILING((AA45/$G45),1)*$G45),"")</f>
        <v>0</v>
      </c>
      <c r="AC45" s="67" t="str">
        <f>IF(IFERROR(ROUNDUP(V45/G45,0)*0.00902,0)+IFERROR(ROUNDUP(X45/G45,0)*0.00902,0)+IFERROR(ROUNDUP(Z45/G45,0)*0.00902,0)+IFERROR(ROUNDUP(AB45/G45,0)*0.00902,0)=0,"",IFERROR(ROUNDUP(V45/G45,0)*0.00902,0)+IFERROR(ROUNDUP(X45/G45,0)*0.00902,0)+IFERROR(ROUNDUP(Z45/G45,0)*0.00902,0)+IFERROR(ROUNDUP(AB45/G45,0)*0.00902,0))</f>
        <v/>
      </c>
      <c r="AD45" s="79" t="s">
        <v>57</v>
      </c>
      <c r="AE45" s="79" t="s">
        <v>57</v>
      </c>
      <c r="AF45" s="125" t="s">
        <v>115</v>
      </c>
      <c r="AG45" s="2"/>
      <c r="AH45" s="2"/>
      <c r="AI45" s="2"/>
      <c r="AJ45" s="2"/>
      <c r="AK45" s="2"/>
      <c r="AL45" s="61"/>
      <c r="AM45" s="61"/>
      <c r="AN45" s="61"/>
      <c r="AO45" s="2"/>
      <c r="AP45" s="2"/>
      <c r="AQ45" s="2"/>
      <c r="AR45" s="2"/>
      <c r="AS45" s="2"/>
      <c r="AT45" s="2"/>
      <c r="AU45" s="20"/>
      <c r="AV45" s="20"/>
      <c r="AW45" s="21"/>
      <c r="BB45" s="124" t="s">
        <v>65</v>
      </c>
      <c r="BO45" s="77">
        <f>IFERROR(U45*H45/G45,0)</f>
        <v>0</v>
      </c>
      <c r="BP45" s="77">
        <f>IFERROR(V45*H45/G45,0)</f>
        <v>0</v>
      </c>
      <c r="BQ45" s="77">
        <f>IFERROR(1/I45*(U45/G45),0)</f>
        <v>0</v>
      </c>
      <c r="BR45" s="77">
        <f>IFERROR(1/I45*(V45/G45),0)</f>
        <v>0</v>
      </c>
      <c r="BS45" s="77">
        <f>IFERROR(W45*H45/G45,0)</f>
        <v>0</v>
      </c>
      <c r="BT45" s="77">
        <f>IFERROR(X45*H45/G45,0)</f>
        <v>0</v>
      </c>
      <c r="BU45" s="77">
        <f>IFERROR(1/I45*(W45/G45),0)</f>
        <v>0</v>
      </c>
      <c r="BV45" s="77">
        <f>IFERROR(1/I45*(X45/G45),0)</f>
        <v>0</v>
      </c>
      <c r="BW45" s="77">
        <f>IFERROR(Y45*H45/G45,0)</f>
        <v>0</v>
      </c>
      <c r="BX45" s="77">
        <f>IFERROR(Z45*H45/G45,0)</f>
        <v>0</v>
      </c>
      <c r="BY45" s="77">
        <f>IFERROR(1/I45*(Y45/G45),0)</f>
        <v>0</v>
      </c>
      <c r="BZ45" s="77">
        <f>IFERROR(1/I45*(Z45/G45),0)</f>
        <v>0</v>
      </c>
      <c r="CA45" s="77">
        <f>IFERROR(AA45*H45/G45,0)</f>
        <v>0</v>
      </c>
      <c r="CB45" s="77">
        <f>IFERROR(AB45*H45/G45,0)</f>
        <v>0</v>
      </c>
      <c r="CC45" s="77">
        <f>IFERROR(1/I45*(AA45/G45),0)</f>
        <v>0</v>
      </c>
      <c r="CD45" s="77">
        <f>IFERROR(1/I45*(AB45/G45),0)</f>
        <v>0</v>
      </c>
    </row>
    <row r="46" spans="1:82" hidden="1" x14ac:dyDescent="0.2">
      <c r="A46" s="79" t="s">
        <v>121</v>
      </c>
      <c r="B46" s="80" t="s">
        <v>122</v>
      </c>
      <c r="C46" s="80">
        <v>4301011803</v>
      </c>
      <c r="D46" s="80">
        <v>4680115881419</v>
      </c>
      <c r="E46" s="81">
        <v>0.45</v>
      </c>
      <c r="F46" s="82">
        <v>10</v>
      </c>
      <c r="G46" s="81">
        <v>4.5</v>
      </c>
      <c r="H46" s="81">
        <v>4.71</v>
      </c>
      <c r="I46" s="83">
        <v>132</v>
      </c>
      <c r="J46" s="83" t="s">
        <v>100</v>
      </c>
      <c r="K46" s="84" t="s">
        <v>99</v>
      </c>
      <c r="L46" s="84"/>
      <c r="M46" s="423">
        <v>50</v>
      </c>
      <c r="N46" s="423"/>
      <c r="O46" s="58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P46" s="425"/>
      <c r="Q46" s="425"/>
      <c r="R46" s="425"/>
      <c r="S46" s="425"/>
      <c r="T46" s="85" t="s">
        <v>0</v>
      </c>
      <c r="U46" s="65">
        <v>0</v>
      </c>
      <c r="V46" s="66">
        <f>IFERROR(IF(U46="",0,CEILING((U46/$G46),1)*$G46),"")</f>
        <v>0</v>
      </c>
      <c r="W46" s="65">
        <v>0</v>
      </c>
      <c r="X46" s="66">
        <f>IFERROR(IF(W46="",0,CEILING((W46/$G46),1)*$G46),"")</f>
        <v>0</v>
      </c>
      <c r="Y46" s="65">
        <v>0</v>
      </c>
      <c r="Z46" s="66">
        <f>IFERROR(IF(Y46="",0,CEILING((Y46/$G46),1)*$G46),"")</f>
        <v>0</v>
      </c>
      <c r="AA46" s="65">
        <v>0</v>
      </c>
      <c r="AB46" s="66">
        <f>IFERROR(IF(AA46="",0,CEILING((AA46/$G46),1)*$G46),"")</f>
        <v>0</v>
      </c>
      <c r="AC46" s="67" t="str">
        <f>IF(IFERROR(ROUNDUP(V46/G46,0)*0.00902,0)+IFERROR(ROUNDUP(X46/G46,0)*0.00902,0)+IFERROR(ROUNDUP(Z46/G46,0)*0.00902,0)+IFERROR(ROUNDUP(AB46/G46,0)*0.00902,0)=0,"",IFERROR(ROUNDUP(V46/G46,0)*0.00902,0)+IFERROR(ROUNDUP(X46/G46,0)*0.00902,0)+IFERROR(ROUNDUP(Z46/G46,0)*0.00902,0)+IFERROR(ROUNDUP(AB46/G46,0)*0.00902,0))</f>
        <v/>
      </c>
      <c r="AD46" s="79" t="s">
        <v>57</v>
      </c>
      <c r="AE46" s="79" t="s">
        <v>57</v>
      </c>
      <c r="AF46" s="127" t="s">
        <v>115</v>
      </c>
      <c r="AG46" s="2"/>
      <c r="AH46" s="2"/>
      <c r="AI46" s="2"/>
      <c r="AJ46" s="2"/>
      <c r="AK46" s="2"/>
      <c r="AL46" s="61"/>
      <c r="AM46" s="61"/>
      <c r="AN46" s="61"/>
      <c r="AO46" s="2"/>
      <c r="AP46" s="2"/>
      <c r="AQ46" s="2"/>
      <c r="AR46" s="2"/>
      <c r="AS46" s="2"/>
      <c r="AT46" s="2"/>
      <c r="AU46" s="20"/>
      <c r="AV46" s="20"/>
      <c r="AW46" s="21"/>
      <c r="BB46" s="126" t="s">
        <v>65</v>
      </c>
      <c r="BO46" s="77">
        <f>IFERROR(U46*H46/G46,0)</f>
        <v>0</v>
      </c>
      <c r="BP46" s="77">
        <f>IFERROR(V46*H46/G46,0)</f>
        <v>0</v>
      </c>
      <c r="BQ46" s="77">
        <f>IFERROR(1/I46*(U46/G46),0)</f>
        <v>0</v>
      </c>
      <c r="BR46" s="77">
        <f>IFERROR(1/I46*(V46/G46),0)</f>
        <v>0</v>
      </c>
      <c r="BS46" s="77">
        <f>IFERROR(W46*H46/G46,0)</f>
        <v>0</v>
      </c>
      <c r="BT46" s="77">
        <f>IFERROR(X46*H46/G46,0)</f>
        <v>0</v>
      </c>
      <c r="BU46" s="77">
        <f>IFERROR(1/I46*(W46/G46),0)</f>
        <v>0</v>
      </c>
      <c r="BV46" s="77">
        <f>IFERROR(1/I46*(X46/G46),0)</f>
        <v>0</v>
      </c>
      <c r="BW46" s="77">
        <f>IFERROR(Y46*H46/G46,0)</f>
        <v>0</v>
      </c>
      <c r="BX46" s="77">
        <f>IFERROR(Z46*H46/G46,0)</f>
        <v>0</v>
      </c>
      <c r="BY46" s="77">
        <f>IFERROR(1/I46*(Y46/G46),0)</f>
        <v>0</v>
      </c>
      <c r="BZ46" s="77">
        <f>IFERROR(1/I46*(Z46/G46),0)</f>
        <v>0</v>
      </c>
      <c r="CA46" s="77">
        <f>IFERROR(AA46*H46/G46,0)</f>
        <v>0</v>
      </c>
      <c r="CB46" s="77">
        <f>IFERROR(AB46*H46/G46,0)</f>
        <v>0</v>
      </c>
      <c r="CC46" s="77">
        <f>IFERROR(1/I46*(AA46/G46),0)</f>
        <v>0</v>
      </c>
      <c r="CD46" s="77">
        <f>IFERROR(1/I46*(AB46/G46),0)</f>
        <v>0</v>
      </c>
    </row>
    <row r="47" spans="1:82" hidden="1" x14ac:dyDescent="0.2">
      <c r="A47" s="420"/>
      <c r="B47" s="420"/>
      <c r="C47" s="420"/>
      <c r="D47" s="420"/>
      <c r="E47" s="420"/>
      <c r="F47" s="420"/>
      <c r="G47" s="420"/>
      <c r="H47" s="420"/>
      <c r="I47" s="420"/>
      <c r="J47" s="420"/>
      <c r="K47" s="420"/>
      <c r="L47" s="420"/>
      <c r="M47" s="420"/>
      <c r="N47" s="420"/>
      <c r="O47" s="426" t="s">
        <v>43</v>
      </c>
      <c r="P47" s="427"/>
      <c r="Q47" s="427"/>
      <c r="R47" s="427"/>
      <c r="S47" s="427"/>
      <c r="T47" s="39" t="s">
        <v>42</v>
      </c>
      <c r="U47" s="50">
        <f>IFERROR(U43/G43,0)+IFERROR(U44/G44,0)+IFERROR(U45/G45,0)+IFERROR(U46/G46,0)</f>
        <v>0</v>
      </c>
      <c r="V47" s="50">
        <f>IFERROR(V43/G43,0)+IFERROR(V44/G44,0)+IFERROR(V45/G45,0)+IFERROR(V46/G46,0)</f>
        <v>0</v>
      </c>
      <c r="W47" s="50">
        <f>IFERROR(W43/G43,0)+IFERROR(W44/G44,0)+IFERROR(W45/G45,0)+IFERROR(W46/G46,0)</f>
        <v>0</v>
      </c>
      <c r="X47" s="50">
        <f>IFERROR(X43/G43,0)+IFERROR(X44/G44,0)+IFERROR(X45/G45,0)+IFERROR(X46/G46,0)</f>
        <v>0</v>
      </c>
      <c r="Y47" s="50">
        <f>IFERROR(Y43/G43,0)+IFERROR(Y44/G44,0)+IFERROR(Y45/G45,0)+IFERROR(Y46/G46,0)</f>
        <v>0</v>
      </c>
      <c r="Z47" s="50">
        <f>IFERROR(Z43/G43,0)+IFERROR(Z44/G44,0)+IFERROR(Z45/G45,0)+IFERROR(Z46/G46,0)</f>
        <v>0</v>
      </c>
      <c r="AA47" s="50">
        <f>IFERROR(AA43/G43,0)+IFERROR(AA44/G44,0)+IFERROR(AA45/G45,0)+IFERROR(AA46/G46,0)</f>
        <v>0</v>
      </c>
      <c r="AB47" s="50">
        <f>IFERROR(AB43/G43,0)+IFERROR(AB44/G44,0)+IFERROR(AB45/G45,0)+IFERROR(AB46/G46,0)</f>
        <v>0</v>
      </c>
      <c r="AC47" s="50">
        <f>IFERROR(IF(AC43="",0,AC43),0)+IFERROR(IF(AC44="",0,AC44),0)+IFERROR(IF(AC45="",0,AC45),0)+IFERROR(IF(AC46="",0,AC46),0)</f>
        <v>0</v>
      </c>
      <c r="AD47" s="3"/>
      <c r="AE47" s="72"/>
      <c r="AF47" s="3"/>
      <c r="AG47" s="3"/>
      <c r="AH47" s="3"/>
      <c r="AI47" s="3"/>
      <c r="AJ47" s="3"/>
      <c r="AK47" s="3"/>
      <c r="AL47" s="62"/>
      <c r="AM47" s="62"/>
      <c r="AN47" s="62"/>
      <c r="AO47" s="3"/>
      <c r="AP47" s="3"/>
      <c r="AQ47" s="2"/>
      <c r="AR47" s="2"/>
      <c r="AS47" s="2"/>
      <c r="AT47" s="2"/>
      <c r="AU47" s="20"/>
      <c r="AV47" s="20"/>
      <c r="AW47" s="21"/>
    </row>
    <row r="48" spans="1:82" hidden="1" x14ac:dyDescent="0.2">
      <c r="A48" s="420"/>
      <c r="B48" s="420"/>
      <c r="C48" s="420"/>
      <c r="D48" s="420"/>
      <c r="E48" s="420"/>
      <c r="F48" s="420"/>
      <c r="G48" s="420"/>
      <c r="H48" s="420"/>
      <c r="I48" s="420"/>
      <c r="J48" s="420"/>
      <c r="K48" s="420"/>
      <c r="L48" s="420"/>
      <c r="M48" s="420"/>
      <c r="N48" s="420"/>
      <c r="O48" s="426" t="s">
        <v>43</v>
      </c>
      <c r="P48" s="427"/>
      <c r="Q48" s="427"/>
      <c r="R48" s="427"/>
      <c r="S48" s="427"/>
      <c r="T48" s="39" t="s">
        <v>0</v>
      </c>
      <c r="U48" s="102">
        <f t="shared" ref="U48:AB48" si="4">IFERROR(SUM(U43:U46),0)</f>
        <v>0</v>
      </c>
      <c r="V48" s="102">
        <f t="shared" si="4"/>
        <v>0</v>
      </c>
      <c r="W48" s="102">
        <f t="shared" si="4"/>
        <v>0</v>
      </c>
      <c r="X48" s="102">
        <f t="shared" si="4"/>
        <v>0</v>
      </c>
      <c r="Y48" s="102">
        <f t="shared" si="4"/>
        <v>0</v>
      </c>
      <c r="Z48" s="102">
        <f t="shared" si="4"/>
        <v>0</v>
      </c>
      <c r="AA48" s="102">
        <f t="shared" si="4"/>
        <v>0</v>
      </c>
      <c r="AB48" s="102">
        <f t="shared" si="4"/>
        <v>0</v>
      </c>
      <c r="AC48" s="50" t="s">
        <v>57</v>
      </c>
      <c r="AD48" s="3"/>
      <c r="AE48" s="72"/>
      <c r="AF48" s="3"/>
      <c r="AG48" s="3"/>
      <c r="AH48" s="3"/>
      <c r="AI48" s="3"/>
      <c r="AJ48" s="3"/>
      <c r="AK48" s="3"/>
      <c r="AL48" s="62"/>
      <c r="AM48" s="62"/>
      <c r="AN48" s="62"/>
      <c r="AO48" s="3"/>
      <c r="AP48" s="3"/>
      <c r="AQ48" s="2"/>
      <c r="AR48" s="2"/>
      <c r="AS48" s="2"/>
      <c r="AT48" s="2"/>
      <c r="AU48" s="20"/>
      <c r="AV48" s="20"/>
      <c r="AW48" s="21"/>
    </row>
    <row r="49" spans="1:82" ht="15" hidden="1" x14ac:dyDescent="0.25">
      <c r="A49" s="428" t="s">
        <v>123</v>
      </c>
      <c r="B49" s="429"/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29"/>
      <c r="O49" s="429"/>
      <c r="P49" s="429"/>
      <c r="Q49" s="429"/>
      <c r="R49" s="429"/>
      <c r="S49" s="429"/>
      <c r="T49" s="429"/>
      <c r="U49" s="429"/>
      <c r="V49" s="429"/>
      <c r="W49" s="429"/>
      <c r="X49" s="430"/>
      <c r="Y49" s="430"/>
      <c r="Z49" s="430"/>
      <c r="AA49" s="431"/>
      <c r="AB49" s="431"/>
      <c r="AC49" s="431"/>
      <c r="AD49" s="431"/>
      <c r="AE49" s="432"/>
      <c r="AF49" s="433"/>
      <c r="AG49" s="2"/>
      <c r="AH49" s="2"/>
      <c r="AI49" s="2"/>
      <c r="AJ49" s="2"/>
      <c r="AK49" s="61"/>
      <c r="AL49" s="61"/>
      <c r="AM49" s="61"/>
      <c r="AN49" s="2"/>
      <c r="AO49" s="2"/>
      <c r="AP49" s="2"/>
      <c r="AQ49" s="2"/>
      <c r="AR49" s="2"/>
    </row>
    <row r="50" spans="1:82" hidden="1" x14ac:dyDescent="0.2">
      <c r="A50" s="79" t="s">
        <v>124</v>
      </c>
      <c r="B50" s="80" t="s">
        <v>125</v>
      </c>
      <c r="C50" s="80">
        <v>4301020358</v>
      </c>
      <c r="D50" s="80">
        <v>4680115885950</v>
      </c>
      <c r="E50" s="81">
        <v>0.37</v>
      </c>
      <c r="F50" s="82">
        <v>6</v>
      </c>
      <c r="G50" s="81">
        <v>2.2200000000000002</v>
      </c>
      <c r="H50" s="81">
        <v>2.4</v>
      </c>
      <c r="I50" s="83">
        <v>182</v>
      </c>
      <c r="J50" s="83" t="s">
        <v>86</v>
      </c>
      <c r="K50" s="84" t="s">
        <v>99</v>
      </c>
      <c r="L50" s="84"/>
      <c r="M50" s="423">
        <v>50</v>
      </c>
      <c r="N50" s="423"/>
      <c r="O50" s="5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P50" s="425"/>
      <c r="Q50" s="425"/>
      <c r="R50" s="425"/>
      <c r="S50" s="425"/>
      <c r="T50" s="85" t="s">
        <v>0</v>
      </c>
      <c r="U50" s="65">
        <v>0</v>
      </c>
      <c r="V50" s="66">
        <f>IFERROR(IF(U50="",0,CEILING((U50/$G50),1)*$G50),"")</f>
        <v>0</v>
      </c>
      <c r="W50" s="65">
        <v>0</v>
      </c>
      <c r="X50" s="66">
        <f>IFERROR(IF(W50="",0,CEILING((W50/$G50),1)*$G50),"")</f>
        <v>0</v>
      </c>
      <c r="Y50" s="65">
        <v>0</v>
      </c>
      <c r="Z50" s="66">
        <f>IFERROR(IF(Y50="",0,CEILING((Y50/$G50),1)*$G50),"")</f>
        <v>0</v>
      </c>
      <c r="AA50" s="65">
        <v>0</v>
      </c>
      <c r="AB50" s="66">
        <f>IFERROR(IF(AA50="",0,CEILING((AA50/$G50),1)*$G50),"")</f>
        <v>0</v>
      </c>
      <c r="AC50" s="67" t="str">
        <f>IF(IFERROR(ROUNDUP(V50/G50,0)*0.00651,0)+IFERROR(ROUNDUP(X50/G50,0)*0.00651,0)+IFERROR(ROUNDUP(Z50/G50,0)*0.00651,0)+IFERROR(ROUNDUP(AB50/G50,0)*0.00651,0)=0,"",IFERROR(ROUNDUP(V50/G50,0)*0.00651,0)+IFERROR(ROUNDUP(X50/G50,0)*0.00651,0)+IFERROR(ROUNDUP(Z50/G50,0)*0.00651,0)+IFERROR(ROUNDUP(AB50/G50,0)*0.00651,0))</f>
        <v/>
      </c>
      <c r="AD50" s="79" t="s">
        <v>57</v>
      </c>
      <c r="AE50" s="79" t="s">
        <v>57</v>
      </c>
      <c r="AF50" s="129" t="s">
        <v>126</v>
      </c>
      <c r="AG50" s="2"/>
      <c r="AH50" s="2"/>
      <c r="AI50" s="2"/>
      <c r="AJ50" s="2"/>
      <c r="AK50" s="2"/>
      <c r="AL50" s="61"/>
      <c r="AM50" s="61"/>
      <c r="AN50" s="61"/>
      <c r="AO50" s="2"/>
      <c r="AP50" s="2"/>
      <c r="AQ50" s="2"/>
      <c r="AR50" s="2"/>
      <c r="AS50" s="2"/>
      <c r="AT50" s="2"/>
      <c r="AU50" s="20"/>
      <c r="AV50" s="20"/>
      <c r="AW50" s="21"/>
      <c r="BB50" s="128" t="s">
        <v>65</v>
      </c>
      <c r="BO50" s="77">
        <f>IFERROR(U50*H50/G50,0)</f>
        <v>0</v>
      </c>
      <c r="BP50" s="77">
        <f>IFERROR(V50*H50/G50,0)</f>
        <v>0</v>
      </c>
      <c r="BQ50" s="77">
        <f>IFERROR(1/I50*(U50/G50),0)</f>
        <v>0</v>
      </c>
      <c r="BR50" s="77">
        <f>IFERROR(1/I50*(V50/G50),0)</f>
        <v>0</v>
      </c>
      <c r="BS50" s="77">
        <f>IFERROR(W50*H50/G50,0)</f>
        <v>0</v>
      </c>
      <c r="BT50" s="77">
        <f>IFERROR(X50*H50/G50,0)</f>
        <v>0</v>
      </c>
      <c r="BU50" s="77">
        <f>IFERROR(1/I50*(W50/G50),0)</f>
        <v>0</v>
      </c>
      <c r="BV50" s="77">
        <f>IFERROR(1/I50*(X50/G50),0)</f>
        <v>0</v>
      </c>
      <c r="BW50" s="77">
        <f>IFERROR(Y50*H50/G50,0)</f>
        <v>0</v>
      </c>
      <c r="BX50" s="77">
        <f>IFERROR(Z50*H50/G50,0)</f>
        <v>0</v>
      </c>
      <c r="BY50" s="77">
        <f>IFERROR(1/I50*(Y50/G50),0)</f>
        <v>0</v>
      </c>
      <c r="BZ50" s="77">
        <f>IFERROR(1/I50*(Z50/G50),0)</f>
        <v>0</v>
      </c>
      <c r="CA50" s="77">
        <f>IFERROR(AA50*H50/G50,0)</f>
        <v>0</v>
      </c>
      <c r="CB50" s="77">
        <f>IFERROR(AB50*H50/G50,0)</f>
        <v>0</v>
      </c>
      <c r="CC50" s="77">
        <f>IFERROR(1/I50*(AA50/G50),0)</f>
        <v>0</v>
      </c>
      <c r="CD50" s="77">
        <f>IFERROR(1/I50*(AB50/G50),0)</f>
        <v>0</v>
      </c>
    </row>
    <row r="51" spans="1:82" hidden="1" x14ac:dyDescent="0.2">
      <c r="A51" s="79" t="s">
        <v>127</v>
      </c>
      <c r="B51" s="80" t="s">
        <v>128</v>
      </c>
      <c r="C51" s="80">
        <v>4301020296</v>
      </c>
      <c r="D51" s="80">
        <v>4680115881433</v>
      </c>
      <c r="E51" s="81">
        <v>0.45</v>
      </c>
      <c r="F51" s="82">
        <v>6</v>
      </c>
      <c r="G51" s="81">
        <v>2.7</v>
      </c>
      <c r="H51" s="81">
        <v>2.88</v>
      </c>
      <c r="I51" s="83">
        <v>182</v>
      </c>
      <c r="J51" s="83" t="s">
        <v>86</v>
      </c>
      <c r="K51" s="84" t="s">
        <v>106</v>
      </c>
      <c r="L51" s="84"/>
      <c r="M51" s="423">
        <v>50</v>
      </c>
      <c r="N51" s="423"/>
      <c r="O51" s="57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P51" s="425"/>
      <c r="Q51" s="425"/>
      <c r="R51" s="425"/>
      <c r="S51" s="425"/>
      <c r="T51" s="85" t="s">
        <v>0</v>
      </c>
      <c r="U51" s="65">
        <v>0</v>
      </c>
      <c r="V51" s="66">
        <f>IFERROR(IF(U51="",0,CEILING((U51/$G51),1)*$G51),"")</f>
        <v>0</v>
      </c>
      <c r="W51" s="65">
        <v>0</v>
      </c>
      <c r="X51" s="66">
        <f>IFERROR(IF(W51="",0,CEILING((W51/$G51),1)*$G51),"")</f>
        <v>0</v>
      </c>
      <c r="Y51" s="65">
        <v>0</v>
      </c>
      <c r="Z51" s="66">
        <f>IFERROR(IF(Y51="",0,CEILING((Y51/$G51),1)*$G51),"")</f>
        <v>0</v>
      </c>
      <c r="AA51" s="65">
        <v>0</v>
      </c>
      <c r="AB51" s="66">
        <f>IFERROR(IF(AA51="",0,CEILING((AA51/$G51),1)*$G51),"")</f>
        <v>0</v>
      </c>
      <c r="AC51" s="67" t="str">
        <f>IF(IFERROR(ROUNDUP(V51/G51,0)*0.00651,0)+IFERROR(ROUNDUP(X51/G51,0)*0.00651,0)+IFERROR(ROUNDUP(Z51/G51,0)*0.00651,0)+IFERROR(ROUNDUP(AB51/G51,0)*0.00651,0)=0,"",IFERROR(ROUNDUP(V51/G51,0)*0.00651,0)+IFERROR(ROUNDUP(X51/G51,0)*0.00651,0)+IFERROR(ROUNDUP(Z51/G51,0)*0.00651,0)+IFERROR(ROUNDUP(AB51/G51,0)*0.00651,0))</f>
        <v/>
      </c>
      <c r="AD51" s="79" t="s">
        <v>57</v>
      </c>
      <c r="AE51" s="79" t="s">
        <v>57</v>
      </c>
      <c r="AF51" s="131" t="s">
        <v>126</v>
      </c>
      <c r="AG51" s="2"/>
      <c r="AH51" s="2"/>
      <c r="AI51" s="2"/>
      <c r="AJ51" s="2"/>
      <c r="AK51" s="2"/>
      <c r="AL51" s="61"/>
      <c r="AM51" s="61"/>
      <c r="AN51" s="61"/>
      <c r="AO51" s="2"/>
      <c r="AP51" s="2"/>
      <c r="AQ51" s="2"/>
      <c r="AR51" s="2"/>
      <c r="AS51" s="2"/>
      <c r="AT51" s="2"/>
      <c r="AU51" s="20"/>
      <c r="AV51" s="20"/>
      <c r="AW51" s="21"/>
      <c r="BB51" s="130" t="s">
        <v>65</v>
      </c>
      <c r="BO51" s="77">
        <f>IFERROR(U51*H51/G51,0)</f>
        <v>0</v>
      </c>
      <c r="BP51" s="77">
        <f>IFERROR(V51*H51/G51,0)</f>
        <v>0</v>
      </c>
      <c r="BQ51" s="77">
        <f>IFERROR(1/I51*(U51/G51),0)</f>
        <v>0</v>
      </c>
      <c r="BR51" s="77">
        <f>IFERROR(1/I51*(V51/G51),0)</f>
        <v>0</v>
      </c>
      <c r="BS51" s="77">
        <f>IFERROR(W51*H51/G51,0)</f>
        <v>0</v>
      </c>
      <c r="BT51" s="77">
        <f>IFERROR(X51*H51/G51,0)</f>
        <v>0</v>
      </c>
      <c r="BU51" s="77">
        <f>IFERROR(1/I51*(W51/G51),0)</f>
        <v>0</v>
      </c>
      <c r="BV51" s="77">
        <f>IFERROR(1/I51*(X51/G51),0)</f>
        <v>0</v>
      </c>
      <c r="BW51" s="77">
        <f>IFERROR(Y51*H51/G51,0)</f>
        <v>0</v>
      </c>
      <c r="BX51" s="77">
        <f>IFERROR(Z51*H51/G51,0)</f>
        <v>0</v>
      </c>
      <c r="BY51" s="77">
        <f>IFERROR(1/I51*(Y51/G51),0)</f>
        <v>0</v>
      </c>
      <c r="BZ51" s="77">
        <f>IFERROR(1/I51*(Z51/G51),0)</f>
        <v>0</v>
      </c>
      <c r="CA51" s="77">
        <f>IFERROR(AA51*H51/G51,0)</f>
        <v>0</v>
      </c>
      <c r="CB51" s="77">
        <f>IFERROR(AB51*H51/G51,0)</f>
        <v>0</v>
      </c>
      <c r="CC51" s="77">
        <f>IFERROR(1/I51*(AA51/G51),0)</f>
        <v>0</v>
      </c>
      <c r="CD51" s="77">
        <f>IFERROR(1/I51*(AB51/G51),0)</f>
        <v>0</v>
      </c>
    </row>
    <row r="52" spans="1:82" hidden="1" x14ac:dyDescent="0.2">
      <c r="A52" s="79" t="s">
        <v>127</v>
      </c>
      <c r="B52" s="80" t="s">
        <v>128</v>
      </c>
      <c r="C52" s="80">
        <v>4301020297</v>
      </c>
      <c r="D52" s="80">
        <v>4680115881433</v>
      </c>
      <c r="E52" s="81">
        <v>0.45</v>
      </c>
      <c r="F52" s="82">
        <v>6</v>
      </c>
      <c r="G52" s="81">
        <v>2.7</v>
      </c>
      <c r="H52" s="81">
        <v>2.88</v>
      </c>
      <c r="I52" s="83">
        <v>182</v>
      </c>
      <c r="J52" s="83" t="s">
        <v>86</v>
      </c>
      <c r="K52" s="84" t="s">
        <v>99</v>
      </c>
      <c r="L52" s="84"/>
      <c r="M52" s="423">
        <v>50</v>
      </c>
      <c r="N52" s="423"/>
      <c r="O52" s="57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P52" s="425"/>
      <c r="Q52" s="425"/>
      <c r="R52" s="425"/>
      <c r="S52" s="425"/>
      <c r="T52" s="85" t="s">
        <v>0</v>
      </c>
      <c r="U52" s="65">
        <v>0</v>
      </c>
      <c r="V52" s="66">
        <f>IFERROR(IF(U52="",0,CEILING((U52/$G52),1)*$G52),"")</f>
        <v>0</v>
      </c>
      <c r="W52" s="65">
        <v>0</v>
      </c>
      <c r="X52" s="66">
        <f>IFERROR(IF(W52="",0,CEILING((W52/$G52),1)*$G52),"")</f>
        <v>0</v>
      </c>
      <c r="Y52" s="65">
        <v>0</v>
      </c>
      <c r="Z52" s="66">
        <f>IFERROR(IF(Y52="",0,CEILING((Y52/$G52),1)*$G52),"")</f>
        <v>0</v>
      </c>
      <c r="AA52" s="65">
        <v>0</v>
      </c>
      <c r="AB52" s="66">
        <f>IFERROR(IF(AA52="",0,CEILING((AA52/$G52),1)*$G52),"")</f>
        <v>0</v>
      </c>
      <c r="AC52" s="67" t="str">
        <f>IF(IFERROR(ROUNDUP(V52/G52,0)*0.00651,0)+IFERROR(ROUNDUP(X52/G52,0)*0.00651,0)+IFERROR(ROUNDUP(Z52/G52,0)*0.00651,0)+IFERROR(ROUNDUP(AB52/G52,0)*0.00651,0)=0,"",IFERROR(ROUNDUP(V52/G52,0)*0.00651,0)+IFERROR(ROUNDUP(X52/G52,0)*0.00651,0)+IFERROR(ROUNDUP(Z52/G52,0)*0.00651,0)+IFERROR(ROUNDUP(AB52/G52,0)*0.00651,0))</f>
        <v/>
      </c>
      <c r="AD52" s="79" t="s">
        <v>57</v>
      </c>
      <c r="AE52" s="79" t="s">
        <v>57</v>
      </c>
      <c r="AF52" s="133" t="s">
        <v>126</v>
      </c>
      <c r="AG52" s="2"/>
      <c r="AH52" s="2"/>
      <c r="AI52" s="2"/>
      <c r="AJ52" s="2"/>
      <c r="AK52" s="2"/>
      <c r="AL52" s="61"/>
      <c r="AM52" s="61"/>
      <c r="AN52" s="61"/>
      <c r="AO52" s="2"/>
      <c r="AP52" s="2"/>
      <c r="AQ52" s="2"/>
      <c r="AR52" s="2"/>
      <c r="AS52" s="2"/>
      <c r="AT52" s="2"/>
      <c r="AU52" s="20"/>
      <c r="AV52" s="20"/>
      <c r="AW52" s="21"/>
      <c r="BB52" s="132" t="s">
        <v>65</v>
      </c>
      <c r="BO52" s="77">
        <f>IFERROR(U52*H52/G52,0)</f>
        <v>0</v>
      </c>
      <c r="BP52" s="77">
        <f>IFERROR(V52*H52/G52,0)</f>
        <v>0</v>
      </c>
      <c r="BQ52" s="77">
        <f>IFERROR(1/I52*(U52/G52),0)</f>
        <v>0</v>
      </c>
      <c r="BR52" s="77">
        <f>IFERROR(1/I52*(V52/G52),0)</f>
        <v>0</v>
      </c>
      <c r="BS52" s="77">
        <f>IFERROR(W52*H52/G52,0)</f>
        <v>0</v>
      </c>
      <c r="BT52" s="77">
        <f>IFERROR(X52*H52/G52,0)</f>
        <v>0</v>
      </c>
      <c r="BU52" s="77">
        <f>IFERROR(1/I52*(W52/G52),0)</f>
        <v>0</v>
      </c>
      <c r="BV52" s="77">
        <f>IFERROR(1/I52*(X52/G52),0)</f>
        <v>0</v>
      </c>
      <c r="BW52" s="77">
        <f>IFERROR(Y52*H52/G52,0)</f>
        <v>0</v>
      </c>
      <c r="BX52" s="77">
        <f>IFERROR(Z52*H52/G52,0)</f>
        <v>0</v>
      </c>
      <c r="BY52" s="77">
        <f>IFERROR(1/I52*(Y52/G52),0)</f>
        <v>0</v>
      </c>
      <c r="BZ52" s="77">
        <f>IFERROR(1/I52*(Z52/G52),0)</f>
        <v>0</v>
      </c>
      <c r="CA52" s="77">
        <f>IFERROR(AA52*H52/G52,0)</f>
        <v>0</v>
      </c>
      <c r="CB52" s="77">
        <f>IFERROR(AB52*H52/G52,0)</f>
        <v>0</v>
      </c>
      <c r="CC52" s="77">
        <f>IFERROR(1/I52*(AA52/G52),0)</f>
        <v>0</v>
      </c>
      <c r="CD52" s="77">
        <f>IFERROR(1/I52*(AB52/G52),0)</f>
        <v>0</v>
      </c>
    </row>
    <row r="53" spans="1:82" hidden="1" x14ac:dyDescent="0.2">
      <c r="A53" s="420"/>
      <c r="B53" s="420"/>
      <c r="C53" s="420"/>
      <c r="D53" s="420"/>
      <c r="E53" s="420"/>
      <c r="F53" s="420"/>
      <c r="G53" s="420"/>
      <c r="H53" s="420"/>
      <c r="I53" s="420"/>
      <c r="J53" s="420"/>
      <c r="K53" s="420"/>
      <c r="L53" s="420"/>
      <c r="M53" s="420"/>
      <c r="N53" s="420"/>
      <c r="O53" s="426" t="s">
        <v>43</v>
      </c>
      <c r="P53" s="427"/>
      <c r="Q53" s="427"/>
      <c r="R53" s="427"/>
      <c r="S53" s="427"/>
      <c r="T53" s="39" t="s">
        <v>42</v>
      </c>
      <c r="U53" s="50">
        <f>IFERROR(U50/G50,0)+IFERROR(U51/G51,0)+IFERROR(U52/G52,0)</f>
        <v>0</v>
      </c>
      <c r="V53" s="50">
        <f>IFERROR(V50/G50,0)+IFERROR(V51/G51,0)+IFERROR(V52/G52,0)</f>
        <v>0</v>
      </c>
      <c r="W53" s="50">
        <f>IFERROR(W50/G50,0)+IFERROR(W51/G51,0)+IFERROR(W52/G52,0)</f>
        <v>0</v>
      </c>
      <c r="X53" s="50">
        <f>IFERROR(X50/G50,0)+IFERROR(X51/G51,0)+IFERROR(X52/G52,0)</f>
        <v>0</v>
      </c>
      <c r="Y53" s="50">
        <f>IFERROR(Y50/G50,0)+IFERROR(Y51/G51,0)+IFERROR(Y52/G52,0)</f>
        <v>0</v>
      </c>
      <c r="Z53" s="50">
        <f>IFERROR(Z50/G50,0)+IFERROR(Z51/G51,0)+IFERROR(Z52/G52,0)</f>
        <v>0</v>
      </c>
      <c r="AA53" s="50">
        <f>IFERROR(AA50/G50,0)+IFERROR(AA51/G51,0)+IFERROR(AA52/G52,0)</f>
        <v>0</v>
      </c>
      <c r="AB53" s="50">
        <f>IFERROR(AB50/G50,0)+IFERROR(AB51/G51,0)+IFERROR(AB52/G52,0)</f>
        <v>0</v>
      </c>
      <c r="AC53" s="50">
        <f>IFERROR(IF(AC50="",0,AC50),0)+IFERROR(IF(AC51="",0,AC51),0)+IFERROR(IF(AC52="",0,AC52),0)</f>
        <v>0</v>
      </c>
      <c r="AD53" s="3"/>
      <c r="AE53" s="72"/>
      <c r="AF53" s="3"/>
      <c r="AG53" s="3"/>
      <c r="AH53" s="3"/>
      <c r="AI53" s="3"/>
      <c r="AJ53" s="3"/>
      <c r="AK53" s="3"/>
      <c r="AL53" s="62"/>
      <c r="AM53" s="62"/>
      <c r="AN53" s="62"/>
      <c r="AO53" s="3"/>
      <c r="AP53" s="3"/>
      <c r="AQ53" s="2"/>
      <c r="AR53" s="2"/>
      <c r="AS53" s="2"/>
      <c r="AT53" s="2"/>
      <c r="AU53" s="20"/>
      <c r="AV53" s="20"/>
      <c r="AW53" s="21"/>
    </row>
    <row r="54" spans="1:82" hidden="1" x14ac:dyDescent="0.2">
      <c r="A54" s="420"/>
      <c r="B54" s="420"/>
      <c r="C54" s="420"/>
      <c r="D54" s="420"/>
      <c r="E54" s="420"/>
      <c r="F54" s="420"/>
      <c r="G54" s="420"/>
      <c r="H54" s="420"/>
      <c r="I54" s="420"/>
      <c r="J54" s="420"/>
      <c r="K54" s="420"/>
      <c r="L54" s="420"/>
      <c r="M54" s="420"/>
      <c r="N54" s="420"/>
      <c r="O54" s="426" t="s">
        <v>43</v>
      </c>
      <c r="P54" s="427"/>
      <c r="Q54" s="427"/>
      <c r="R54" s="427"/>
      <c r="S54" s="427"/>
      <c r="T54" s="39" t="s">
        <v>0</v>
      </c>
      <c r="U54" s="102">
        <f t="shared" ref="U54:AB54" si="5">IFERROR(SUM(U50:U52),0)</f>
        <v>0</v>
      </c>
      <c r="V54" s="102">
        <f t="shared" si="5"/>
        <v>0</v>
      </c>
      <c r="W54" s="102">
        <f t="shared" si="5"/>
        <v>0</v>
      </c>
      <c r="X54" s="102">
        <f t="shared" si="5"/>
        <v>0</v>
      </c>
      <c r="Y54" s="102">
        <f t="shared" si="5"/>
        <v>0</v>
      </c>
      <c r="Z54" s="102">
        <f t="shared" si="5"/>
        <v>0</v>
      </c>
      <c r="AA54" s="102">
        <f t="shared" si="5"/>
        <v>0</v>
      </c>
      <c r="AB54" s="102">
        <f t="shared" si="5"/>
        <v>0</v>
      </c>
      <c r="AC54" s="50" t="s">
        <v>57</v>
      </c>
      <c r="AD54" s="3"/>
      <c r="AE54" s="72"/>
      <c r="AF54" s="3"/>
      <c r="AG54" s="3"/>
      <c r="AH54" s="3"/>
      <c r="AI54" s="3"/>
      <c r="AJ54" s="3"/>
      <c r="AK54" s="3"/>
      <c r="AL54" s="62"/>
      <c r="AM54" s="62"/>
      <c r="AN54" s="62"/>
      <c r="AO54" s="3"/>
      <c r="AP54" s="3"/>
      <c r="AQ54" s="2"/>
      <c r="AR54" s="2"/>
      <c r="AS54" s="2"/>
      <c r="AT54" s="2"/>
      <c r="AU54" s="20"/>
      <c r="AV54" s="20"/>
      <c r="AW54" s="21"/>
    </row>
    <row r="55" spans="1:82" ht="15" hidden="1" x14ac:dyDescent="0.25">
      <c r="A55" s="428" t="s">
        <v>129</v>
      </c>
      <c r="B55" s="429"/>
      <c r="C55" s="429"/>
      <c r="D55" s="429"/>
      <c r="E55" s="429"/>
      <c r="F55" s="429"/>
      <c r="G55" s="429"/>
      <c r="H55" s="429"/>
      <c r="I55" s="429"/>
      <c r="J55" s="429"/>
      <c r="K55" s="429"/>
      <c r="L55" s="429"/>
      <c r="M55" s="429"/>
      <c r="N55" s="429"/>
      <c r="O55" s="429"/>
      <c r="P55" s="429"/>
      <c r="Q55" s="429"/>
      <c r="R55" s="429"/>
      <c r="S55" s="429"/>
      <c r="T55" s="429"/>
      <c r="U55" s="429"/>
      <c r="V55" s="429"/>
      <c r="W55" s="429"/>
      <c r="X55" s="430"/>
      <c r="Y55" s="430"/>
      <c r="Z55" s="430"/>
      <c r="AA55" s="431"/>
      <c r="AB55" s="431"/>
      <c r="AC55" s="431"/>
      <c r="AD55" s="431"/>
      <c r="AE55" s="432"/>
      <c r="AF55" s="433"/>
      <c r="AG55" s="2"/>
      <c r="AH55" s="2"/>
      <c r="AI55" s="2"/>
      <c r="AJ55" s="2"/>
      <c r="AK55" s="61"/>
      <c r="AL55" s="61"/>
      <c r="AM55" s="61"/>
      <c r="AN55" s="2"/>
      <c r="AO55" s="2"/>
      <c r="AP55" s="2"/>
      <c r="AQ55" s="2"/>
      <c r="AR55" s="2"/>
    </row>
    <row r="56" spans="1:82" hidden="1" x14ac:dyDescent="0.2">
      <c r="A56" s="79" t="s">
        <v>130</v>
      </c>
      <c r="B56" s="80" t="s">
        <v>131</v>
      </c>
      <c r="C56" s="80">
        <v>4301031243</v>
      </c>
      <c r="D56" s="80">
        <v>4680115885073</v>
      </c>
      <c r="E56" s="81">
        <v>0.3</v>
      </c>
      <c r="F56" s="82">
        <v>6</v>
      </c>
      <c r="G56" s="81">
        <v>1.8</v>
      </c>
      <c r="H56" s="81">
        <v>1.9</v>
      </c>
      <c r="I56" s="83">
        <v>234</v>
      </c>
      <c r="J56" s="83" t="s">
        <v>133</v>
      </c>
      <c r="K56" s="84" t="s">
        <v>132</v>
      </c>
      <c r="L56" s="84"/>
      <c r="M56" s="423">
        <v>40</v>
      </c>
      <c r="N56" s="423"/>
      <c r="O56" s="5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P56" s="425"/>
      <c r="Q56" s="425"/>
      <c r="R56" s="425"/>
      <c r="S56" s="425"/>
      <c r="T56" s="85" t="s">
        <v>0</v>
      </c>
      <c r="U56" s="65">
        <v>0</v>
      </c>
      <c r="V56" s="66">
        <f>IFERROR(IF(U56="",0,CEILING((U56/$G56),1)*$G56),"")</f>
        <v>0</v>
      </c>
      <c r="W56" s="65">
        <v>0</v>
      </c>
      <c r="X56" s="66">
        <f>IFERROR(IF(W56="",0,CEILING((W56/$G56),1)*$G56),"")</f>
        <v>0</v>
      </c>
      <c r="Y56" s="65">
        <v>0</v>
      </c>
      <c r="Z56" s="66">
        <f>IFERROR(IF(Y56="",0,CEILING((Y56/$G56),1)*$G56),"")</f>
        <v>0</v>
      </c>
      <c r="AA56" s="65">
        <v>0</v>
      </c>
      <c r="AB56" s="66">
        <f>IFERROR(IF(AA56="",0,CEILING((AA56/$G56),1)*$G56),"")</f>
        <v>0</v>
      </c>
      <c r="AC56" s="67" t="str">
        <f>IF(IFERROR(ROUNDUP(V56/G56,0)*0.00502,0)+IFERROR(ROUNDUP(X56/G56,0)*0.00502,0)+IFERROR(ROUNDUP(Z56/G56,0)*0.00502,0)+IFERROR(ROUNDUP(AB56/G56,0)*0.00502,0)=0,"",IFERROR(ROUNDUP(V56/G56,0)*0.00502,0)+IFERROR(ROUNDUP(X56/G56,0)*0.00502,0)+IFERROR(ROUNDUP(Z56/G56,0)*0.00502,0)+IFERROR(ROUNDUP(AB56/G56,0)*0.00502,0))</f>
        <v/>
      </c>
      <c r="AD56" s="79" t="s">
        <v>57</v>
      </c>
      <c r="AE56" s="79" t="s">
        <v>57</v>
      </c>
      <c r="AF56" s="135" t="s">
        <v>134</v>
      </c>
      <c r="AG56" s="2"/>
      <c r="AH56" s="2"/>
      <c r="AI56" s="2"/>
      <c r="AJ56" s="2"/>
      <c r="AK56" s="2"/>
      <c r="AL56" s="61"/>
      <c r="AM56" s="61"/>
      <c r="AN56" s="61"/>
      <c r="AO56" s="2"/>
      <c r="AP56" s="2"/>
      <c r="AQ56" s="2"/>
      <c r="AR56" s="2"/>
      <c r="AS56" s="2"/>
      <c r="AT56" s="2"/>
      <c r="AU56" s="20"/>
      <c r="AV56" s="20"/>
      <c r="AW56" s="21"/>
      <c r="BB56" s="134" t="s">
        <v>65</v>
      </c>
      <c r="BO56" s="77">
        <f>IFERROR(U56*H56/G56,0)</f>
        <v>0</v>
      </c>
      <c r="BP56" s="77">
        <f>IFERROR(V56*H56/G56,0)</f>
        <v>0</v>
      </c>
      <c r="BQ56" s="77">
        <f>IFERROR(1/I56*(U56/G56),0)</f>
        <v>0</v>
      </c>
      <c r="BR56" s="77">
        <f>IFERROR(1/I56*(V56/G56),0)</f>
        <v>0</v>
      </c>
      <c r="BS56" s="77">
        <f>IFERROR(W56*H56/G56,0)</f>
        <v>0</v>
      </c>
      <c r="BT56" s="77">
        <f>IFERROR(X56*H56/G56,0)</f>
        <v>0</v>
      </c>
      <c r="BU56" s="77">
        <f>IFERROR(1/I56*(W56/G56),0)</f>
        <v>0</v>
      </c>
      <c r="BV56" s="77">
        <f>IFERROR(1/I56*(X56/G56),0)</f>
        <v>0</v>
      </c>
      <c r="BW56" s="77">
        <f>IFERROR(Y56*H56/G56,0)</f>
        <v>0</v>
      </c>
      <c r="BX56" s="77">
        <f>IFERROR(Z56*H56/G56,0)</f>
        <v>0</v>
      </c>
      <c r="BY56" s="77">
        <f>IFERROR(1/I56*(Y56/G56),0)</f>
        <v>0</v>
      </c>
      <c r="BZ56" s="77">
        <f>IFERROR(1/I56*(Z56/G56),0)</f>
        <v>0</v>
      </c>
      <c r="CA56" s="77">
        <f>IFERROR(AA56*H56/G56,0)</f>
        <v>0</v>
      </c>
      <c r="CB56" s="77">
        <f>IFERROR(AB56*H56/G56,0)</f>
        <v>0</v>
      </c>
      <c r="CC56" s="77">
        <f>IFERROR(1/I56*(AA56/G56),0)</f>
        <v>0</v>
      </c>
      <c r="CD56" s="77">
        <f>IFERROR(1/I56*(AB56/G56),0)</f>
        <v>0</v>
      </c>
    </row>
    <row r="57" spans="1:82" hidden="1" x14ac:dyDescent="0.2">
      <c r="A57" s="79" t="s">
        <v>135</v>
      </c>
      <c r="B57" s="80" t="s">
        <v>136</v>
      </c>
      <c r="C57" s="80">
        <v>4301031241</v>
      </c>
      <c r="D57" s="80">
        <v>4680115885059</v>
      </c>
      <c r="E57" s="81">
        <v>0.3</v>
      </c>
      <c r="F57" s="82">
        <v>6</v>
      </c>
      <c r="G57" s="81">
        <v>1.8</v>
      </c>
      <c r="H57" s="81">
        <v>1.9</v>
      </c>
      <c r="I57" s="83">
        <v>234</v>
      </c>
      <c r="J57" s="83" t="s">
        <v>133</v>
      </c>
      <c r="K57" s="84" t="s">
        <v>132</v>
      </c>
      <c r="L57" s="84"/>
      <c r="M57" s="423">
        <v>40</v>
      </c>
      <c r="N57" s="423"/>
      <c r="O57" s="57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P57" s="425"/>
      <c r="Q57" s="425"/>
      <c r="R57" s="425"/>
      <c r="S57" s="425"/>
      <c r="T57" s="85" t="s">
        <v>0</v>
      </c>
      <c r="U57" s="65">
        <v>0</v>
      </c>
      <c r="V57" s="66">
        <f>IFERROR(IF(U57="",0,CEILING((U57/$G57),1)*$G57),"")</f>
        <v>0</v>
      </c>
      <c r="W57" s="65">
        <v>0</v>
      </c>
      <c r="X57" s="66">
        <f>IFERROR(IF(W57="",0,CEILING((W57/$G57),1)*$G57),"")</f>
        <v>0</v>
      </c>
      <c r="Y57" s="65">
        <v>0</v>
      </c>
      <c r="Z57" s="66">
        <f>IFERROR(IF(Y57="",0,CEILING((Y57/$G57),1)*$G57),"")</f>
        <v>0</v>
      </c>
      <c r="AA57" s="65">
        <v>0</v>
      </c>
      <c r="AB57" s="66">
        <f>IFERROR(IF(AA57="",0,CEILING((AA57/$G57),1)*$G57),"")</f>
        <v>0</v>
      </c>
      <c r="AC57" s="67" t="str">
        <f>IF(IFERROR(ROUNDUP(V57/G57,0)*0.00502,0)+IFERROR(ROUNDUP(X57/G57,0)*0.00502,0)+IFERROR(ROUNDUP(Z57/G57,0)*0.00502,0)+IFERROR(ROUNDUP(AB57/G57,0)*0.00502,0)=0,"",IFERROR(ROUNDUP(V57/G57,0)*0.00502,0)+IFERROR(ROUNDUP(X57/G57,0)*0.00502,0)+IFERROR(ROUNDUP(Z57/G57,0)*0.00502,0)+IFERROR(ROUNDUP(AB57/G57,0)*0.00502,0))</f>
        <v/>
      </c>
      <c r="AD57" s="79" t="s">
        <v>57</v>
      </c>
      <c r="AE57" s="79" t="s">
        <v>57</v>
      </c>
      <c r="AF57" s="137" t="s">
        <v>137</v>
      </c>
      <c r="AG57" s="2"/>
      <c r="AH57" s="2"/>
      <c r="AI57" s="2"/>
      <c r="AJ57" s="2"/>
      <c r="AK57" s="2"/>
      <c r="AL57" s="61"/>
      <c r="AM57" s="61"/>
      <c r="AN57" s="61"/>
      <c r="AO57" s="2"/>
      <c r="AP57" s="2"/>
      <c r="AQ57" s="2"/>
      <c r="AR57" s="2"/>
      <c r="AS57" s="2"/>
      <c r="AT57" s="2"/>
      <c r="AU57" s="20"/>
      <c r="AV57" s="20"/>
      <c r="AW57" s="21"/>
      <c r="BB57" s="136" t="s">
        <v>65</v>
      </c>
      <c r="BO57" s="77">
        <f>IFERROR(U57*H57/G57,0)</f>
        <v>0</v>
      </c>
      <c r="BP57" s="77">
        <f>IFERROR(V57*H57/G57,0)</f>
        <v>0</v>
      </c>
      <c r="BQ57" s="77">
        <f>IFERROR(1/I57*(U57/G57),0)</f>
        <v>0</v>
      </c>
      <c r="BR57" s="77">
        <f>IFERROR(1/I57*(V57/G57),0)</f>
        <v>0</v>
      </c>
      <c r="BS57" s="77">
        <f>IFERROR(W57*H57/G57,0)</f>
        <v>0</v>
      </c>
      <c r="BT57" s="77">
        <f>IFERROR(X57*H57/G57,0)</f>
        <v>0</v>
      </c>
      <c r="BU57" s="77">
        <f>IFERROR(1/I57*(W57/G57),0)</f>
        <v>0</v>
      </c>
      <c r="BV57" s="77">
        <f>IFERROR(1/I57*(X57/G57),0)</f>
        <v>0</v>
      </c>
      <c r="BW57" s="77">
        <f>IFERROR(Y57*H57/G57,0)</f>
        <v>0</v>
      </c>
      <c r="BX57" s="77">
        <f>IFERROR(Z57*H57/G57,0)</f>
        <v>0</v>
      </c>
      <c r="BY57" s="77">
        <f>IFERROR(1/I57*(Y57/G57),0)</f>
        <v>0</v>
      </c>
      <c r="BZ57" s="77">
        <f>IFERROR(1/I57*(Z57/G57),0)</f>
        <v>0</v>
      </c>
      <c r="CA57" s="77">
        <f>IFERROR(AA57*H57/G57,0)</f>
        <v>0</v>
      </c>
      <c r="CB57" s="77">
        <f>IFERROR(AB57*H57/G57,0)</f>
        <v>0</v>
      </c>
      <c r="CC57" s="77">
        <f>IFERROR(1/I57*(AA57/G57),0)</f>
        <v>0</v>
      </c>
      <c r="CD57" s="77">
        <f>IFERROR(1/I57*(AB57/G57),0)</f>
        <v>0</v>
      </c>
    </row>
    <row r="58" spans="1:82" hidden="1" x14ac:dyDescent="0.2">
      <c r="A58" s="420"/>
      <c r="B58" s="420"/>
      <c r="C58" s="420"/>
      <c r="D58" s="420"/>
      <c r="E58" s="420"/>
      <c r="F58" s="420"/>
      <c r="G58" s="420"/>
      <c r="H58" s="420"/>
      <c r="I58" s="420"/>
      <c r="J58" s="420"/>
      <c r="K58" s="420"/>
      <c r="L58" s="420"/>
      <c r="M58" s="420"/>
      <c r="N58" s="420"/>
      <c r="O58" s="426" t="s">
        <v>43</v>
      </c>
      <c r="P58" s="427"/>
      <c r="Q58" s="427"/>
      <c r="R58" s="427"/>
      <c r="S58" s="427"/>
      <c r="T58" s="39" t="s">
        <v>42</v>
      </c>
      <c r="U58" s="50">
        <f>IFERROR(U56/G56,0)+IFERROR(U57/G57,0)</f>
        <v>0</v>
      </c>
      <c r="V58" s="50">
        <f>IFERROR(V56/G56,0)+IFERROR(V57/G57,0)</f>
        <v>0</v>
      </c>
      <c r="W58" s="50">
        <f>IFERROR(W56/G56,0)+IFERROR(W57/G57,0)</f>
        <v>0</v>
      </c>
      <c r="X58" s="50">
        <f>IFERROR(X56/G56,0)+IFERROR(X57/G57,0)</f>
        <v>0</v>
      </c>
      <c r="Y58" s="50">
        <f>IFERROR(Y56/G56,0)+IFERROR(Y57/G57,0)</f>
        <v>0</v>
      </c>
      <c r="Z58" s="50">
        <f>IFERROR(Z56/G56,0)+IFERROR(Z57/G57,0)</f>
        <v>0</v>
      </c>
      <c r="AA58" s="50">
        <f>IFERROR(AA56/G56,0)+IFERROR(AA57/G57,0)</f>
        <v>0</v>
      </c>
      <c r="AB58" s="50">
        <f>IFERROR(AB56/G56,0)+IFERROR(AB57/G57,0)</f>
        <v>0</v>
      </c>
      <c r="AC58" s="50">
        <f>IFERROR(IF(AC56="",0,AC56),0)+IFERROR(IF(AC57="",0,AC57),0)</f>
        <v>0</v>
      </c>
      <c r="AD58" s="3"/>
      <c r="AE58" s="72"/>
      <c r="AF58" s="3"/>
      <c r="AG58" s="3"/>
      <c r="AH58" s="3"/>
      <c r="AI58" s="3"/>
      <c r="AJ58" s="3"/>
      <c r="AK58" s="3"/>
      <c r="AL58" s="62"/>
      <c r="AM58" s="62"/>
      <c r="AN58" s="62"/>
      <c r="AO58" s="3"/>
      <c r="AP58" s="3"/>
      <c r="AQ58" s="2"/>
      <c r="AR58" s="2"/>
      <c r="AS58" s="2"/>
      <c r="AT58" s="2"/>
      <c r="AU58" s="20"/>
      <c r="AV58" s="20"/>
      <c r="AW58" s="21"/>
    </row>
    <row r="59" spans="1:82" hidden="1" x14ac:dyDescent="0.2">
      <c r="A59" s="420"/>
      <c r="B59" s="420"/>
      <c r="C59" s="420"/>
      <c r="D59" s="420"/>
      <c r="E59" s="420"/>
      <c r="F59" s="420"/>
      <c r="G59" s="420"/>
      <c r="H59" s="420"/>
      <c r="I59" s="420"/>
      <c r="J59" s="420"/>
      <c r="K59" s="420"/>
      <c r="L59" s="420"/>
      <c r="M59" s="420"/>
      <c r="N59" s="420"/>
      <c r="O59" s="426" t="s">
        <v>43</v>
      </c>
      <c r="P59" s="427"/>
      <c r="Q59" s="427"/>
      <c r="R59" s="427"/>
      <c r="S59" s="427"/>
      <c r="T59" s="39" t="s">
        <v>0</v>
      </c>
      <c r="U59" s="102">
        <f t="shared" ref="U59:AB59" si="6">IFERROR(SUM(U56:U57),0)</f>
        <v>0</v>
      </c>
      <c r="V59" s="102">
        <f t="shared" si="6"/>
        <v>0</v>
      </c>
      <c r="W59" s="102">
        <f t="shared" si="6"/>
        <v>0</v>
      </c>
      <c r="X59" s="102">
        <f t="shared" si="6"/>
        <v>0</v>
      </c>
      <c r="Y59" s="102">
        <f t="shared" si="6"/>
        <v>0</v>
      </c>
      <c r="Z59" s="102">
        <f t="shared" si="6"/>
        <v>0</v>
      </c>
      <c r="AA59" s="102">
        <f t="shared" si="6"/>
        <v>0</v>
      </c>
      <c r="AB59" s="102">
        <f t="shared" si="6"/>
        <v>0</v>
      </c>
      <c r="AC59" s="50" t="s">
        <v>57</v>
      </c>
      <c r="AD59" s="3"/>
      <c r="AE59" s="72"/>
      <c r="AF59" s="3"/>
      <c r="AG59" s="3"/>
      <c r="AH59" s="3"/>
      <c r="AI59" s="3"/>
      <c r="AJ59" s="3"/>
      <c r="AK59" s="3"/>
      <c r="AL59" s="62"/>
      <c r="AM59" s="62"/>
      <c r="AN59" s="62"/>
      <c r="AO59" s="3"/>
      <c r="AP59" s="3"/>
      <c r="AQ59" s="2"/>
      <c r="AR59" s="2"/>
      <c r="AS59" s="2"/>
      <c r="AT59" s="2"/>
      <c r="AU59" s="20"/>
      <c r="AV59" s="20"/>
      <c r="AW59" s="21"/>
    </row>
    <row r="60" spans="1:82" ht="15" hidden="1" x14ac:dyDescent="0.25">
      <c r="A60" s="428" t="s">
        <v>82</v>
      </c>
      <c r="B60" s="429"/>
      <c r="C60" s="429"/>
      <c r="D60" s="429"/>
      <c r="E60" s="429"/>
      <c r="F60" s="429"/>
      <c r="G60" s="429"/>
      <c r="H60" s="429"/>
      <c r="I60" s="429"/>
      <c r="J60" s="429"/>
      <c r="K60" s="429"/>
      <c r="L60" s="429"/>
      <c r="M60" s="429"/>
      <c r="N60" s="429"/>
      <c r="O60" s="429"/>
      <c r="P60" s="429"/>
      <c r="Q60" s="429"/>
      <c r="R60" s="429"/>
      <c r="S60" s="429"/>
      <c r="T60" s="429"/>
      <c r="U60" s="429"/>
      <c r="V60" s="429"/>
      <c r="W60" s="429"/>
      <c r="X60" s="430"/>
      <c r="Y60" s="430"/>
      <c r="Z60" s="430"/>
      <c r="AA60" s="431"/>
      <c r="AB60" s="431"/>
      <c r="AC60" s="431"/>
      <c r="AD60" s="431"/>
      <c r="AE60" s="432"/>
      <c r="AF60" s="433"/>
      <c r="AG60" s="2"/>
      <c r="AH60" s="2"/>
      <c r="AI60" s="2"/>
      <c r="AJ60" s="2"/>
      <c r="AK60" s="61"/>
      <c r="AL60" s="61"/>
      <c r="AM60" s="61"/>
      <c r="AN60" s="2"/>
      <c r="AO60" s="2"/>
      <c r="AP60" s="2"/>
      <c r="AQ60" s="2"/>
      <c r="AR60" s="2"/>
    </row>
    <row r="61" spans="1:82" hidden="1" x14ac:dyDescent="0.2">
      <c r="A61" s="79" t="s">
        <v>138</v>
      </c>
      <c r="B61" s="80" t="s">
        <v>139</v>
      </c>
      <c r="C61" s="80">
        <v>4301051838</v>
      </c>
      <c r="D61" s="80">
        <v>4680115881891</v>
      </c>
      <c r="E61" s="81">
        <v>1.4</v>
      </c>
      <c r="F61" s="82">
        <v>6</v>
      </c>
      <c r="G61" s="81">
        <v>8.4</v>
      </c>
      <c r="H61" s="81">
        <v>8.9190000000000005</v>
      </c>
      <c r="I61" s="83">
        <v>64</v>
      </c>
      <c r="J61" s="83" t="s">
        <v>114</v>
      </c>
      <c r="K61" s="84" t="s">
        <v>99</v>
      </c>
      <c r="L61" s="84"/>
      <c r="M61" s="423">
        <v>40</v>
      </c>
      <c r="N61" s="423"/>
      <c r="O61" s="57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P61" s="425"/>
      <c r="Q61" s="425"/>
      <c r="R61" s="425"/>
      <c r="S61" s="425"/>
      <c r="T61" s="85" t="s">
        <v>0</v>
      </c>
      <c r="U61" s="65">
        <v>0</v>
      </c>
      <c r="V61" s="66">
        <f>IFERROR(IF(U61="",0,CEILING((U61/$G61),1)*$G61),"")</f>
        <v>0</v>
      </c>
      <c r="W61" s="65">
        <v>0</v>
      </c>
      <c r="X61" s="66">
        <f>IFERROR(IF(W61="",0,CEILING((W61/$G61),1)*$G61),"")</f>
        <v>0</v>
      </c>
      <c r="Y61" s="65">
        <v>0</v>
      </c>
      <c r="Z61" s="66">
        <f>IFERROR(IF(Y61="",0,CEILING((Y61/$G61),1)*$G61),"")</f>
        <v>0</v>
      </c>
      <c r="AA61" s="65">
        <v>0</v>
      </c>
      <c r="AB61" s="66">
        <f>IFERROR(IF(AA61="",0,CEILING((AA61/$G61),1)*$G61),"")</f>
        <v>0</v>
      </c>
      <c r="AC61" s="67" t="str">
        <f>IF(IFERROR(ROUNDUP(V61/G61,0)*0.01898,0)+IFERROR(ROUNDUP(X61/G61,0)*0.01898,0)+IFERROR(ROUNDUP(Z61/G61,0)*0.01898,0)+IFERROR(ROUNDUP(AB61/G61,0)*0.01898,0)=0,"",IFERROR(ROUNDUP(V61/G61,0)*0.01898,0)+IFERROR(ROUNDUP(X61/G61,0)*0.01898,0)+IFERROR(ROUNDUP(Z61/G61,0)*0.01898,0)+IFERROR(ROUNDUP(AB61/G61,0)*0.01898,0))</f>
        <v/>
      </c>
      <c r="AD61" s="79" t="s">
        <v>57</v>
      </c>
      <c r="AE61" s="79" t="s">
        <v>57</v>
      </c>
      <c r="AF61" s="139" t="s">
        <v>140</v>
      </c>
      <c r="AG61" s="2"/>
      <c r="AH61" s="2"/>
      <c r="AI61" s="2"/>
      <c r="AJ61" s="2"/>
      <c r="AK61" s="2"/>
      <c r="AL61" s="61"/>
      <c r="AM61" s="61"/>
      <c r="AN61" s="61"/>
      <c r="AO61" s="2"/>
      <c r="AP61" s="2"/>
      <c r="AQ61" s="2"/>
      <c r="AR61" s="2"/>
      <c r="AS61" s="2"/>
      <c r="AT61" s="2"/>
      <c r="AU61" s="20"/>
      <c r="AV61" s="20"/>
      <c r="AW61" s="21"/>
      <c r="BB61" s="138" t="s">
        <v>65</v>
      </c>
      <c r="BO61" s="77">
        <f>IFERROR(U61*H61/G61,0)</f>
        <v>0</v>
      </c>
      <c r="BP61" s="77">
        <f>IFERROR(V61*H61/G61,0)</f>
        <v>0</v>
      </c>
      <c r="BQ61" s="77">
        <f>IFERROR(1/I61*(U61/G61),0)</f>
        <v>0</v>
      </c>
      <c r="BR61" s="77">
        <f>IFERROR(1/I61*(V61/G61),0)</f>
        <v>0</v>
      </c>
      <c r="BS61" s="77">
        <f>IFERROR(W61*H61/G61,0)</f>
        <v>0</v>
      </c>
      <c r="BT61" s="77">
        <f>IFERROR(X61*H61/G61,0)</f>
        <v>0</v>
      </c>
      <c r="BU61" s="77">
        <f>IFERROR(1/I61*(W61/G61),0)</f>
        <v>0</v>
      </c>
      <c r="BV61" s="77">
        <f>IFERROR(1/I61*(X61/G61),0)</f>
        <v>0</v>
      </c>
      <c r="BW61" s="77">
        <f>IFERROR(Y61*H61/G61,0)</f>
        <v>0</v>
      </c>
      <c r="BX61" s="77">
        <f>IFERROR(Z61*H61/G61,0)</f>
        <v>0</v>
      </c>
      <c r="BY61" s="77">
        <f>IFERROR(1/I61*(Y61/G61),0)</f>
        <v>0</v>
      </c>
      <c r="BZ61" s="77">
        <f>IFERROR(1/I61*(Z61/G61),0)</f>
        <v>0</v>
      </c>
      <c r="CA61" s="77">
        <f>IFERROR(AA61*H61/G61,0)</f>
        <v>0</v>
      </c>
      <c r="CB61" s="77">
        <f>IFERROR(AB61*H61/G61,0)</f>
        <v>0</v>
      </c>
      <c r="CC61" s="77">
        <f>IFERROR(1/I61*(AA61/G61),0)</f>
        <v>0</v>
      </c>
      <c r="CD61" s="77">
        <f>IFERROR(1/I61*(AB61/G61),0)</f>
        <v>0</v>
      </c>
    </row>
    <row r="62" spans="1:82" hidden="1" x14ac:dyDescent="0.2">
      <c r="A62" s="79" t="s">
        <v>141</v>
      </c>
      <c r="B62" s="80" t="s">
        <v>142</v>
      </c>
      <c r="C62" s="80">
        <v>4301051837</v>
      </c>
      <c r="D62" s="80">
        <v>4680115884311</v>
      </c>
      <c r="E62" s="81">
        <v>0.3</v>
      </c>
      <c r="F62" s="82">
        <v>6</v>
      </c>
      <c r="G62" s="81">
        <v>1.8</v>
      </c>
      <c r="H62" s="81">
        <v>2.0459999999999998</v>
      </c>
      <c r="I62" s="83">
        <v>182</v>
      </c>
      <c r="J62" s="83" t="s">
        <v>86</v>
      </c>
      <c r="K62" s="84" t="s">
        <v>99</v>
      </c>
      <c r="L62" s="84"/>
      <c r="M62" s="423">
        <v>40</v>
      </c>
      <c r="N62" s="423"/>
      <c r="O62" s="5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P62" s="425"/>
      <c r="Q62" s="425"/>
      <c r="R62" s="425"/>
      <c r="S62" s="425"/>
      <c r="T62" s="85" t="s">
        <v>0</v>
      </c>
      <c r="U62" s="65">
        <v>0</v>
      </c>
      <c r="V62" s="66">
        <f>IFERROR(IF(U62="",0,CEILING((U62/$G62),1)*$G62),"")</f>
        <v>0</v>
      </c>
      <c r="W62" s="65">
        <v>0</v>
      </c>
      <c r="X62" s="66">
        <f>IFERROR(IF(W62="",0,CEILING((W62/$G62),1)*$G62),"")</f>
        <v>0</v>
      </c>
      <c r="Y62" s="65">
        <v>0</v>
      </c>
      <c r="Z62" s="66">
        <f>IFERROR(IF(Y62="",0,CEILING((Y62/$G62),1)*$G62),"")</f>
        <v>0</v>
      </c>
      <c r="AA62" s="65">
        <v>0</v>
      </c>
      <c r="AB62" s="66">
        <f>IFERROR(IF(AA62="",0,CEILING((AA62/$G62),1)*$G62),"")</f>
        <v>0</v>
      </c>
      <c r="AC62" s="67" t="str">
        <f>IF(IFERROR(ROUNDUP(V62/G62,0)*0.00651,0)+IFERROR(ROUNDUP(X62/G62,0)*0.00651,0)+IFERROR(ROUNDUP(Z62/G62,0)*0.00651,0)+IFERROR(ROUNDUP(AB62/G62,0)*0.00651,0)=0,"",IFERROR(ROUNDUP(V62/G62,0)*0.00651,0)+IFERROR(ROUNDUP(X62/G62,0)*0.00651,0)+IFERROR(ROUNDUP(Z62/G62,0)*0.00651,0)+IFERROR(ROUNDUP(AB62/G62,0)*0.00651,0))</f>
        <v/>
      </c>
      <c r="AD62" s="79" t="s">
        <v>57</v>
      </c>
      <c r="AE62" s="79" t="s">
        <v>57</v>
      </c>
      <c r="AF62" s="141" t="s">
        <v>140</v>
      </c>
      <c r="AG62" s="2"/>
      <c r="AH62" s="2"/>
      <c r="AI62" s="2"/>
      <c r="AJ62" s="2"/>
      <c r="AK62" s="2"/>
      <c r="AL62" s="61"/>
      <c r="AM62" s="61"/>
      <c r="AN62" s="61"/>
      <c r="AO62" s="2"/>
      <c r="AP62" s="2"/>
      <c r="AQ62" s="2"/>
      <c r="AR62" s="2"/>
      <c r="AS62" s="2"/>
      <c r="AT62" s="2"/>
      <c r="AU62" s="20"/>
      <c r="AV62" s="20"/>
      <c r="AW62" s="21"/>
      <c r="BB62" s="140" t="s">
        <v>65</v>
      </c>
      <c r="BO62" s="77">
        <f>IFERROR(U62*H62/G62,0)</f>
        <v>0</v>
      </c>
      <c r="BP62" s="77">
        <f>IFERROR(V62*H62/G62,0)</f>
        <v>0</v>
      </c>
      <c r="BQ62" s="77">
        <f>IFERROR(1/I62*(U62/G62),0)</f>
        <v>0</v>
      </c>
      <c r="BR62" s="77">
        <f>IFERROR(1/I62*(V62/G62),0)</f>
        <v>0</v>
      </c>
      <c r="BS62" s="77">
        <f>IFERROR(W62*H62/G62,0)</f>
        <v>0</v>
      </c>
      <c r="BT62" s="77">
        <f>IFERROR(X62*H62/G62,0)</f>
        <v>0</v>
      </c>
      <c r="BU62" s="77">
        <f>IFERROR(1/I62*(W62/G62),0)</f>
        <v>0</v>
      </c>
      <c r="BV62" s="77">
        <f>IFERROR(1/I62*(X62/G62),0)</f>
        <v>0</v>
      </c>
      <c r="BW62" s="77">
        <f>IFERROR(Y62*H62/G62,0)</f>
        <v>0</v>
      </c>
      <c r="BX62" s="77">
        <f>IFERROR(Z62*H62/G62,0)</f>
        <v>0</v>
      </c>
      <c r="BY62" s="77">
        <f>IFERROR(1/I62*(Y62/G62),0)</f>
        <v>0</v>
      </c>
      <c r="BZ62" s="77">
        <f>IFERROR(1/I62*(Z62/G62),0)</f>
        <v>0</v>
      </c>
      <c r="CA62" s="77">
        <f>IFERROR(AA62*H62/G62,0)</f>
        <v>0</v>
      </c>
      <c r="CB62" s="77">
        <f>IFERROR(AB62*H62/G62,0)</f>
        <v>0</v>
      </c>
      <c r="CC62" s="77">
        <f>IFERROR(1/I62*(AA62/G62),0)</f>
        <v>0</v>
      </c>
      <c r="CD62" s="77">
        <f>IFERROR(1/I62*(AB62/G62),0)</f>
        <v>0</v>
      </c>
    </row>
    <row r="63" spans="1:82" ht="33.75" hidden="1" x14ac:dyDescent="0.2">
      <c r="A63" s="79" t="s">
        <v>143</v>
      </c>
      <c r="B63" s="80" t="s">
        <v>144</v>
      </c>
      <c r="C63" s="80">
        <v>4301051930</v>
      </c>
      <c r="D63" s="80">
        <v>4680115884403</v>
      </c>
      <c r="E63" s="81">
        <v>0.3</v>
      </c>
      <c r="F63" s="82">
        <v>6</v>
      </c>
      <c r="G63" s="81">
        <v>1.8</v>
      </c>
      <c r="H63" s="81">
        <v>1.98</v>
      </c>
      <c r="I63" s="83">
        <v>182</v>
      </c>
      <c r="J63" s="83" t="s">
        <v>86</v>
      </c>
      <c r="K63" s="84" t="s">
        <v>85</v>
      </c>
      <c r="L63" s="84"/>
      <c r="M63" s="423">
        <v>40</v>
      </c>
      <c r="N63" s="423"/>
      <c r="O63" s="57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P63" s="425"/>
      <c r="Q63" s="425"/>
      <c r="R63" s="425"/>
      <c r="S63" s="425"/>
      <c r="T63" s="85" t="s">
        <v>0</v>
      </c>
      <c r="U63" s="65">
        <v>0</v>
      </c>
      <c r="V63" s="66">
        <f>IFERROR(IF(U63="",0,CEILING((U63/$G63),1)*$G63),"")</f>
        <v>0</v>
      </c>
      <c r="W63" s="65">
        <v>0</v>
      </c>
      <c r="X63" s="66">
        <f>IFERROR(IF(W63="",0,CEILING((W63/$G63),1)*$G63),"")</f>
        <v>0</v>
      </c>
      <c r="Y63" s="65">
        <v>0</v>
      </c>
      <c r="Z63" s="66">
        <f>IFERROR(IF(Y63="",0,CEILING((Y63/$G63),1)*$G63),"")</f>
        <v>0</v>
      </c>
      <c r="AA63" s="65">
        <v>0</v>
      </c>
      <c r="AB63" s="66">
        <f>IFERROR(IF(AA63="",0,CEILING((AA63/$G63),1)*$G63),"")</f>
        <v>0</v>
      </c>
      <c r="AC63" s="67" t="str">
        <f>IF(IFERROR(ROUNDUP(V63/G63,0)*0.00651,0)+IFERROR(ROUNDUP(X63/G63,0)*0.00651,0)+IFERROR(ROUNDUP(Z63/G63,0)*0.00651,0)+IFERROR(ROUNDUP(AB63/G63,0)*0.00651,0)=0,"",IFERROR(ROUNDUP(V63/G63,0)*0.00651,0)+IFERROR(ROUNDUP(X63/G63,0)*0.00651,0)+IFERROR(ROUNDUP(Z63/G63,0)*0.00651,0)+IFERROR(ROUNDUP(AB63/G63,0)*0.00651,0))</f>
        <v/>
      </c>
      <c r="AD63" s="79" t="s">
        <v>57</v>
      </c>
      <c r="AE63" s="79" t="s">
        <v>57</v>
      </c>
      <c r="AF63" s="143" t="s">
        <v>145</v>
      </c>
      <c r="AG63" s="2"/>
      <c r="AH63" s="2"/>
      <c r="AI63" s="2"/>
      <c r="AJ63" s="2"/>
      <c r="AK63" s="2"/>
      <c r="AL63" s="61"/>
      <c r="AM63" s="61"/>
      <c r="AN63" s="61"/>
      <c r="AO63" s="2"/>
      <c r="AP63" s="2"/>
      <c r="AQ63" s="2"/>
      <c r="AR63" s="2"/>
      <c r="AS63" s="2"/>
      <c r="AT63" s="2"/>
      <c r="AU63" s="20"/>
      <c r="AV63" s="20"/>
      <c r="AW63" s="21"/>
      <c r="BB63" s="142" t="s">
        <v>65</v>
      </c>
      <c r="BO63" s="77">
        <f>IFERROR(U63*H63/G63,0)</f>
        <v>0</v>
      </c>
      <c r="BP63" s="77">
        <f>IFERROR(V63*H63/G63,0)</f>
        <v>0</v>
      </c>
      <c r="BQ63" s="77">
        <f>IFERROR(1/I63*(U63/G63),0)</f>
        <v>0</v>
      </c>
      <c r="BR63" s="77">
        <f>IFERROR(1/I63*(V63/G63),0)</f>
        <v>0</v>
      </c>
      <c r="BS63" s="77">
        <f>IFERROR(W63*H63/G63,0)</f>
        <v>0</v>
      </c>
      <c r="BT63" s="77">
        <f>IFERROR(X63*H63/G63,0)</f>
        <v>0</v>
      </c>
      <c r="BU63" s="77">
        <f>IFERROR(1/I63*(W63/G63),0)</f>
        <v>0</v>
      </c>
      <c r="BV63" s="77">
        <f>IFERROR(1/I63*(X63/G63),0)</f>
        <v>0</v>
      </c>
      <c r="BW63" s="77">
        <f>IFERROR(Y63*H63/G63,0)</f>
        <v>0</v>
      </c>
      <c r="BX63" s="77">
        <f>IFERROR(Z63*H63/G63,0)</f>
        <v>0</v>
      </c>
      <c r="BY63" s="77">
        <f>IFERROR(1/I63*(Y63/G63),0)</f>
        <v>0</v>
      </c>
      <c r="BZ63" s="77">
        <f>IFERROR(1/I63*(Z63/G63),0)</f>
        <v>0</v>
      </c>
      <c r="CA63" s="77">
        <f>IFERROR(AA63*H63/G63,0)</f>
        <v>0</v>
      </c>
      <c r="CB63" s="77">
        <f>IFERROR(AB63*H63/G63,0)</f>
        <v>0</v>
      </c>
      <c r="CC63" s="77">
        <f>IFERROR(1/I63*(AA63/G63),0)</f>
        <v>0</v>
      </c>
      <c r="CD63" s="77">
        <f>IFERROR(1/I63*(AB63/G63),0)</f>
        <v>0</v>
      </c>
    </row>
    <row r="64" spans="1:82" hidden="1" x14ac:dyDescent="0.2">
      <c r="A64" s="420"/>
      <c r="B64" s="420"/>
      <c r="C64" s="420"/>
      <c r="D64" s="420"/>
      <c r="E64" s="420"/>
      <c r="F64" s="420"/>
      <c r="G64" s="420"/>
      <c r="H64" s="420"/>
      <c r="I64" s="420"/>
      <c r="J64" s="420"/>
      <c r="K64" s="420"/>
      <c r="L64" s="420"/>
      <c r="M64" s="420"/>
      <c r="N64" s="420"/>
      <c r="O64" s="426" t="s">
        <v>43</v>
      </c>
      <c r="P64" s="427"/>
      <c r="Q64" s="427"/>
      <c r="R64" s="427"/>
      <c r="S64" s="427"/>
      <c r="T64" s="39" t="s">
        <v>42</v>
      </c>
      <c r="U64" s="50">
        <f>IFERROR(U61/G61,0)+IFERROR(U62/G62,0)+IFERROR(U63/G63,0)</f>
        <v>0</v>
      </c>
      <c r="V64" s="50">
        <f>IFERROR(V61/G61,0)+IFERROR(V62/G62,0)+IFERROR(V63/G63,0)</f>
        <v>0</v>
      </c>
      <c r="W64" s="50">
        <f>IFERROR(W61/G61,0)+IFERROR(W62/G62,0)+IFERROR(W63/G63,0)</f>
        <v>0</v>
      </c>
      <c r="X64" s="50">
        <f>IFERROR(X61/G61,0)+IFERROR(X62/G62,0)+IFERROR(X63/G63,0)</f>
        <v>0</v>
      </c>
      <c r="Y64" s="50">
        <f>IFERROR(Y61/G61,0)+IFERROR(Y62/G62,0)+IFERROR(Y63/G63,0)</f>
        <v>0</v>
      </c>
      <c r="Z64" s="50">
        <f>IFERROR(Z61/G61,0)+IFERROR(Z62/G62,0)+IFERROR(Z63/G63,0)</f>
        <v>0</v>
      </c>
      <c r="AA64" s="50">
        <f>IFERROR(AA61/G61,0)+IFERROR(AA62/G62,0)+IFERROR(AA63/G63,0)</f>
        <v>0</v>
      </c>
      <c r="AB64" s="50">
        <f>IFERROR(AB61/G61,0)+IFERROR(AB62/G62,0)+IFERROR(AB63/G63,0)</f>
        <v>0</v>
      </c>
      <c r="AC64" s="50">
        <f>IFERROR(IF(AC61="",0,AC61),0)+IFERROR(IF(AC62="",0,AC62),0)+IFERROR(IF(AC63="",0,AC63),0)</f>
        <v>0</v>
      </c>
      <c r="AD64" s="3"/>
      <c r="AE64" s="72"/>
      <c r="AF64" s="3"/>
      <c r="AG64" s="3"/>
      <c r="AH64" s="3"/>
      <c r="AI64" s="3"/>
      <c r="AJ64" s="3"/>
      <c r="AK64" s="3"/>
      <c r="AL64" s="62"/>
      <c r="AM64" s="62"/>
      <c r="AN64" s="62"/>
      <c r="AO64" s="3"/>
      <c r="AP64" s="3"/>
      <c r="AQ64" s="2"/>
      <c r="AR64" s="2"/>
      <c r="AS64" s="2"/>
      <c r="AT64" s="2"/>
      <c r="AU64" s="20"/>
      <c r="AV64" s="20"/>
      <c r="AW64" s="21"/>
    </row>
    <row r="65" spans="1:82" hidden="1" x14ac:dyDescent="0.2">
      <c r="A65" s="420"/>
      <c r="B65" s="420"/>
      <c r="C65" s="420"/>
      <c r="D65" s="420"/>
      <c r="E65" s="420"/>
      <c r="F65" s="420"/>
      <c r="G65" s="420"/>
      <c r="H65" s="420"/>
      <c r="I65" s="420"/>
      <c r="J65" s="420"/>
      <c r="K65" s="420"/>
      <c r="L65" s="420"/>
      <c r="M65" s="420"/>
      <c r="N65" s="420"/>
      <c r="O65" s="426" t="s">
        <v>43</v>
      </c>
      <c r="P65" s="427"/>
      <c r="Q65" s="427"/>
      <c r="R65" s="427"/>
      <c r="S65" s="427"/>
      <c r="T65" s="39" t="s">
        <v>0</v>
      </c>
      <c r="U65" s="102">
        <f t="shared" ref="U65:AB65" si="7">IFERROR(SUM(U61:U63),0)</f>
        <v>0</v>
      </c>
      <c r="V65" s="102">
        <f t="shared" si="7"/>
        <v>0</v>
      </c>
      <c r="W65" s="102">
        <f t="shared" si="7"/>
        <v>0</v>
      </c>
      <c r="X65" s="102">
        <f t="shared" si="7"/>
        <v>0</v>
      </c>
      <c r="Y65" s="102">
        <f t="shared" si="7"/>
        <v>0</v>
      </c>
      <c r="Z65" s="102">
        <f t="shared" si="7"/>
        <v>0</v>
      </c>
      <c r="AA65" s="102">
        <f t="shared" si="7"/>
        <v>0</v>
      </c>
      <c r="AB65" s="102">
        <f t="shared" si="7"/>
        <v>0</v>
      </c>
      <c r="AC65" s="50" t="s">
        <v>57</v>
      </c>
      <c r="AD65" s="3"/>
      <c r="AE65" s="72"/>
      <c r="AF65" s="3"/>
      <c r="AG65" s="3"/>
      <c r="AH65" s="3"/>
      <c r="AI65" s="3"/>
      <c r="AJ65" s="3"/>
      <c r="AK65" s="3"/>
      <c r="AL65" s="62"/>
      <c r="AM65" s="62"/>
      <c r="AN65" s="62"/>
      <c r="AO65" s="3"/>
      <c r="AP65" s="3"/>
      <c r="AQ65" s="2"/>
      <c r="AR65" s="2"/>
      <c r="AS65" s="2"/>
      <c r="AT65" s="2"/>
      <c r="AU65" s="20"/>
      <c r="AV65" s="20"/>
      <c r="AW65" s="21"/>
    </row>
    <row r="66" spans="1:82" ht="15" hidden="1" x14ac:dyDescent="0.25">
      <c r="A66" s="428" t="s">
        <v>146</v>
      </c>
      <c r="B66" s="429"/>
      <c r="C66" s="429"/>
      <c r="D66" s="429"/>
      <c r="E66" s="429"/>
      <c r="F66" s="429"/>
      <c r="G66" s="429"/>
      <c r="H66" s="429"/>
      <c r="I66" s="429"/>
      <c r="J66" s="429"/>
      <c r="K66" s="429"/>
      <c r="L66" s="429"/>
      <c r="M66" s="429"/>
      <c r="N66" s="429"/>
      <c r="O66" s="429"/>
      <c r="P66" s="429"/>
      <c r="Q66" s="429"/>
      <c r="R66" s="429"/>
      <c r="S66" s="429"/>
      <c r="T66" s="429"/>
      <c r="U66" s="429"/>
      <c r="V66" s="429"/>
      <c r="W66" s="429"/>
      <c r="X66" s="430"/>
      <c r="Y66" s="430"/>
      <c r="Z66" s="430"/>
      <c r="AA66" s="431"/>
      <c r="AB66" s="431"/>
      <c r="AC66" s="431"/>
      <c r="AD66" s="431"/>
      <c r="AE66" s="432"/>
      <c r="AF66" s="433"/>
      <c r="AG66" s="2"/>
      <c r="AH66" s="2"/>
      <c r="AI66" s="2"/>
      <c r="AJ66" s="2"/>
      <c r="AK66" s="61"/>
      <c r="AL66" s="61"/>
      <c r="AM66" s="61"/>
      <c r="AN66" s="2"/>
      <c r="AO66" s="2"/>
      <c r="AP66" s="2"/>
      <c r="AQ66" s="2"/>
      <c r="AR66" s="2"/>
    </row>
    <row r="67" spans="1:82" ht="33.75" hidden="1" x14ac:dyDescent="0.2">
      <c r="A67" s="79" t="s">
        <v>147</v>
      </c>
      <c r="B67" s="80" t="s">
        <v>148</v>
      </c>
      <c r="C67" s="80">
        <v>4301060458</v>
      </c>
      <c r="D67" s="80">
        <v>4680115881532</v>
      </c>
      <c r="E67" s="81">
        <v>1</v>
      </c>
      <c r="F67" s="82">
        <v>4</v>
      </c>
      <c r="G67" s="81">
        <v>4</v>
      </c>
      <c r="H67" s="81">
        <v>4.4160000000000004</v>
      </c>
      <c r="I67" s="83">
        <v>104</v>
      </c>
      <c r="J67" s="83" t="s">
        <v>114</v>
      </c>
      <c r="K67" s="84" t="s">
        <v>85</v>
      </c>
      <c r="L67" s="84"/>
      <c r="M67" s="423">
        <v>30</v>
      </c>
      <c r="N67" s="423"/>
      <c r="O67" s="568" t="str">
        <f>HYPERLINK("https://abi.ru/products/Охлажденные/Вязанка/Филейская/Сардельки/P003884/","Сардельки «Филейские» Весовые н/о ТМ «Вязанка»")</f>
        <v>Сардельки «Филейские» Весовые н/о ТМ «Вязанка»</v>
      </c>
      <c r="P67" s="425"/>
      <c r="Q67" s="425"/>
      <c r="R67" s="425"/>
      <c r="S67" s="425"/>
      <c r="T67" s="85" t="s">
        <v>0</v>
      </c>
      <c r="U67" s="65">
        <v>0</v>
      </c>
      <c r="V67" s="66">
        <f>IFERROR(IF(U67="",0,CEILING((U67/$G67),1)*$G67),"")</f>
        <v>0</v>
      </c>
      <c r="W67" s="65">
        <v>0</v>
      </c>
      <c r="X67" s="66">
        <f>IFERROR(IF(W67="",0,CEILING((W67/$G67),1)*$G67),"")</f>
        <v>0</v>
      </c>
      <c r="Y67" s="65">
        <v>0</v>
      </c>
      <c r="Z67" s="66">
        <f>IFERROR(IF(Y67="",0,CEILING((Y67/$G67),1)*$G67),"")</f>
        <v>0</v>
      </c>
      <c r="AA67" s="65">
        <v>0</v>
      </c>
      <c r="AB67" s="66">
        <f>IFERROR(IF(AA67="",0,CEILING((AA67/$G67),1)*$G67),"")</f>
        <v>0</v>
      </c>
      <c r="AC67" s="67" t="str">
        <f>IF(IFERROR(ROUNDUP(V67/G67,0)*0.01196,0)+IFERROR(ROUNDUP(X67/G67,0)*0.01196,0)+IFERROR(ROUNDUP(Z67/G67,0)*0.01196,0)+IFERROR(ROUNDUP(AB67/G67,0)*0.01196,0)=0,"",IFERROR(ROUNDUP(V67/G67,0)*0.01196,0)+IFERROR(ROUNDUP(X67/G67,0)*0.01196,0)+IFERROR(ROUNDUP(Z67/G67,0)*0.01196,0)+IFERROR(ROUNDUP(AB67/G67,0)*0.01196,0))</f>
        <v/>
      </c>
      <c r="AD67" s="79" t="s">
        <v>57</v>
      </c>
      <c r="AE67" s="79" t="s">
        <v>57</v>
      </c>
      <c r="AF67" s="145" t="s">
        <v>149</v>
      </c>
      <c r="AG67" s="2"/>
      <c r="AH67" s="2"/>
      <c r="AI67" s="2"/>
      <c r="AJ67" s="2"/>
      <c r="AK67" s="2"/>
      <c r="AL67" s="61"/>
      <c r="AM67" s="61"/>
      <c r="AN67" s="61"/>
      <c r="AO67" s="2"/>
      <c r="AP67" s="2"/>
      <c r="AQ67" s="2"/>
      <c r="AR67" s="2"/>
      <c r="AS67" s="2"/>
      <c r="AT67" s="2"/>
      <c r="AU67" s="20"/>
      <c r="AV67" s="20"/>
      <c r="AW67" s="21"/>
      <c r="BB67" s="144" t="s">
        <v>65</v>
      </c>
      <c r="BO67" s="77">
        <f>IFERROR(U67*H67/G67,0)</f>
        <v>0</v>
      </c>
      <c r="BP67" s="77">
        <f>IFERROR(V67*H67/G67,0)</f>
        <v>0</v>
      </c>
      <c r="BQ67" s="77">
        <f>IFERROR(1/I67*(U67/G67),0)</f>
        <v>0</v>
      </c>
      <c r="BR67" s="77">
        <f>IFERROR(1/I67*(V67/G67),0)</f>
        <v>0</v>
      </c>
      <c r="BS67" s="77">
        <f>IFERROR(W67*H67/G67,0)</f>
        <v>0</v>
      </c>
      <c r="BT67" s="77">
        <f>IFERROR(X67*H67/G67,0)</f>
        <v>0</v>
      </c>
      <c r="BU67" s="77">
        <f>IFERROR(1/I67*(W67/G67),0)</f>
        <v>0</v>
      </c>
      <c r="BV67" s="77">
        <f>IFERROR(1/I67*(X67/G67),0)</f>
        <v>0</v>
      </c>
      <c r="BW67" s="77">
        <f>IFERROR(Y67*H67/G67,0)</f>
        <v>0</v>
      </c>
      <c r="BX67" s="77">
        <f>IFERROR(Z67*H67/G67,0)</f>
        <v>0</v>
      </c>
      <c r="BY67" s="77">
        <f>IFERROR(1/I67*(Y67/G67),0)</f>
        <v>0</v>
      </c>
      <c r="BZ67" s="77">
        <f>IFERROR(1/I67*(Z67/G67),0)</f>
        <v>0</v>
      </c>
      <c r="CA67" s="77">
        <f>IFERROR(AA67*H67/G67,0)</f>
        <v>0</v>
      </c>
      <c r="CB67" s="77">
        <f>IFERROR(AB67*H67/G67,0)</f>
        <v>0</v>
      </c>
      <c r="CC67" s="77">
        <f>IFERROR(1/I67*(AA67/G67),0)</f>
        <v>0</v>
      </c>
      <c r="CD67" s="77">
        <f>IFERROR(1/I67*(AB67/G67),0)</f>
        <v>0</v>
      </c>
    </row>
    <row r="68" spans="1:82" ht="22.5" hidden="1" x14ac:dyDescent="0.2">
      <c r="A68" s="79" t="s">
        <v>150</v>
      </c>
      <c r="B68" s="80" t="s">
        <v>151</v>
      </c>
      <c r="C68" s="80">
        <v>4301060351</v>
      </c>
      <c r="D68" s="80">
        <v>4680115881464</v>
      </c>
      <c r="E68" s="81">
        <v>0.4</v>
      </c>
      <c r="F68" s="82">
        <v>6</v>
      </c>
      <c r="G68" s="81">
        <v>2.4</v>
      </c>
      <c r="H68" s="81">
        <v>2.61</v>
      </c>
      <c r="I68" s="83">
        <v>132</v>
      </c>
      <c r="J68" s="83" t="s">
        <v>100</v>
      </c>
      <c r="K68" s="84" t="s">
        <v>99</v>
      </c>
      <c r="L68" s="84"/>
      <c r="M68" s="423">
        <v>30</v>
      </c>
      <c r="N68" s="423"/>
      <c r="O68" s="5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P68" s="425"/>
      <c r="Q68" s="425"/>
      <c r="R68" s="425"/>
      <c r="S68" s="425"/>
      <c r="T68" s="85" t="s">
        <v>0</v>
      </c>
      <c r="U68" s="65">
        <v>0</v>
      </c>
      <c r="V68" s="66">
        <f>IFERROR(IF(U68="",0,CEILING((U68/$G68),1)*$G68),"")</f>
        <v>0</v>
      </c>
      <c r="W68" s="65">
        <v>0</v>
      </c>
      <c r="X68" s="66">
        <f>IFERROR(IF(W68="",0,CEILING((W68/$G68),1)*$G68),"")</f>
        <v>0</v>
      </c>
      <c r="Y68" s="65">
        <v>0</v>
      </c>
      <c r="Z68" s="66">
        <f>IFERROR(IF(Y68="",0,CEILING((Y68/$G68),1)*$G68),"")</f>
        <v>0</v>
      </c>
      <c r="AA68" s="65">
        <v>0</v>
      </c>
      <c r="AB68" s="66">
        <f>IFERROR(IF(AA68="",0,CEILING((AA68/$G68),1)*$G68),"")</f>
        <v>0</v>
      </c>
      <c r="AC68" s="67" t="str">
        <f>IF(IFERROR(ROUNDUP(V68/G68,0)*0.00902,0)+IFERROR(ROUNDUP(X68/G68,0)*0.00902,0)+IFERROR(ROUNDUP(Z68/G68,0)*0.00902,0)+IFERROR(ROUNDUP(AB68/G68,0)*0.00902,0)=0,"",IFERROR(ROUNDUP(V68/G68,0)*0.00902,0)+IFERROR(ROUNDUP(X68/G68,0)*0.00902,0)+IFERROR(ROUNDUP(Z68/G68,0)*0.00902,0)+IFERROR(ROUNDUP(AB68/G68,0)*0.00902,0))</f>
        <v/>
      </c>
      <c r="AD68" s="79" t="s">
        <v>57</v>
      </c>
      <c r="AE68" s="79" t="s">
        <v>57</v>
      </c>
      <c r="AF68" s="147" t="s">
        <v>152</v>
      </c>
      <c r="AG68" s="2"/>
      <c r="AH68" s="2"/>
      <c r="AI68" s="2"/>
      <c r="AJ68" s="2"/>
      <c r="AK68" s="2"/>
      <c r="AL68" s="61"/>
      <c r="AM68" s="61"/>
      <c r="AN68" s="61"/>
      <c r="AO68" s="2"/>
      <c r="AP68" s="2"/>
      <c r="AQ68" s="2"/>
      <c r="AR68" s="2"/>
      <c r="AS68" s="2"/>
      <c r="AT68" s="2"/>
      <c r="AU68" s="20"/>
      <c r="AV68" s="20"/>
      <c r="AW68" s="21"/>
      <c r="BB68" s="146" t="s">
        <v>65</v>
      </c>
      <c r="BO68" s="77">
        <f>IFERROR(U68*H68/G68,0)</f>
        <v>0</v>
      </c>
      <c r="BP68" s="77">
        <f>IFERROR(V68*H68/G68,0)</f>
        <v>0</v>
      </c>
      <c r="BQ68" s="77">
        <f>IFERROR(1/I68*(U68/G68),0)</f>
        <v>0</v>
      </c>
      <c r="BR68" s="77">
        <f>IFERROR(1/I68*(V68/G68),0)</f>
        <v>0</v>
      </c>
      <c r="BS68" s="77">
        <f>IFERROR(W68*H68/G68,0)</f>
        <v>0</v>
      </c>
      <c r="BT68" s="77">
        <f>IFERROR(X68*H68/G68,0)</f>
        <v>0</v>
      </c>
      <c r="BU68" s="77">
        <f>IFERROR(1/I68*(W68/G68),0)</f>
        <v>0</v>
      </c>
      <c r="BV68" s="77">
        <f>IFERROR(1/I68*(X68/G68),0)</f>
        <v>0</v>
      </c>
      <c r="BW68" s="77">
        <f>IFERROR(Y68*H68/G68,0)</f>
        <v>0</v>
      </c>
      <c r="BX68" s="77">
        <f>IFERROR(Z68*H68/G68,0)</f>
        <v>0</v>
      </c>
      <c r="BY68" s="77">
        <f>IFERROR(1/I68*(Y68/G68),0)</f>
        <v>0</v>
      </c>
      <c r="BZ68" s="77">
        <f>IFERROR(1/I68*(Z68/G68),0)</f>
        <v>0</v>
      </c>
      <c r="CA68" s="77">
        <f>IFERROR(AA68*H68/G68,0)</f>
        <v>0</v>
      </c>
      <c r="CB68" s="77">
        <f>IFERROR(AB68*H68/G68,0)</f>
        <v>0</v>
      </c>
      <c r="CC68" s="77">
        <f>IFERROR(1/I68*(AA68/G68),0)</f>
        <v>0</v>
      </c>
      <c r="CD68" s="77">
        <f>IFERROR(1/I68*(AB68/G68),0)</f>
        <v>0</v>
      </c>
    </row>
    <row r="69" spans="1:82" hidden="1" x14ac:dyDescent="0.2">
      <c r="A69" s="420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  <c r="N69" s="420"/>
      <c r="O69" s="426" t="s">
        <v>43</v>
      </c>
      <c r="P69" s="427"/>
      <c r="Q69" s="427"/>
      <c r="R69" s="427"/>
      <c r="S69" s="427"/>
      <c r="T69" s="39" t="s">
        <v>42</v>
      </c>
      <c r="U69" s="50">
        <f>IFERROR(U67/G67,0)+IFERROR(U68/G68,0)</f>
        <v>0</v>
      </c>
      <c r="V69" s="50">
        <f>IFERROR(V67/G67,0)+IFERROR(V68/G68,0)</f>
        <v>0</v>
      </c>
      <c r="W69" s="50">
        <f>IFERROR(W67/G67,0)+IFERROR(W68/G68,0)</f>
        <v>0</v>
      </c>
      <c r="X69" s="50">
        <f>IFERROR(X67/G67,0)+IFERROR(X68/G68,0)</f>
        <v>0</v>
      </c>
      <c r="Y69" s="50">
        <f>IFERROR(Y67/G67,0)+IFERROR(Y68/G68,0)</f>
        <v>0</v>
      </c>
      <c r="Z69" s="50">
        <f>IFERROR(Z67/G67,0)+IFERROR(Z68/G68,0)</f>
        <v>0</v>
      </c>
      <c r="AA69" s="50">
        <f>IFERROR(AA67/G67,0)+IFERROR(AA68/G68,0)</f>
        <v>0</v>
      </c>
      <c r="AB69" s="50">
        <f>IFERROR(AB67/G67,0)+IFERROR(AB68/G68,0)</f>
        <v>0</v>
      </c>
      <c r="AC69" s="50">
        <f>IFERROR(IF(AC67="",0,AC67),0)+IFERROR(IF(AC68="",0,AC68),0)</f>
        <v>0</v>
      </c>
      <c r="AD69" s="3"/>
      <c r="AE69" s="72"/>
      <c r="AF69" s="3"/>
      <c r="AG69" s="3"/>
      <c r="AH69" s="3"/>
      <c r="AI69" s="3"/>
      <c r="AJ69" s="3"/>
      <c r="AK69" s="3"/>
      <c r="AL69" s="62"/>
      <c r="AM69" s="62"/>
      <c r="AN69" s="62"/>
      <c r="AO69" s="3"/>
      <c r="AP69" s="3"/>
      <c r="AQ69" s="2"/>
      <c r="AR69" s="2"/>
      <c r="AS69" s="2"/>
      <c r="AT69" s="2"/>
      <c r="AU69" s="20"/>
      <c r="AV69" s="20"/>
      <c r="AW69" s="21"/>
    </row>
    <row r="70" spans="1:82" hidden="1" x14ac:dyDescent="0.2">
      <c r="A70" s="420"/>
      <c r="B70" s="420"/>
      <c r="C70" s="420"/>
      <c r="D70" s="420"/>
      <c r="E70" s="420"/>
      <c r="F70" s="420"/>
      <c r="G70" s="420"/>
      <c r="H70" s="420"/>
      <c r="I70" s="420"/>
      <c r="J70" s="420"/>
      <c r="K70" s="420"/>
      <c r="L70" s="420"/>
      <c r="M70" s="420"/>
      <c r="N70" s="420"/>
      <c r="O70" s="426" t="s">
        <v>43</v>
      </c>
      <c r="P70" s="427"/>
      <c r="Q70" s="427"/>
      <c r="R70" s="427"/>
      <c r="S70" s="427"/>
      <c r="T70" s="39" t="s">
        <v>0</v>
      </c>
      <c r="U70" s="102">
        <f t="shared" ref="U70:AB70" si="8">IFERROR(SUM(U67:U68),0)</f>
        <v>0</v>
      </c>
      <c r="V70" s="102">
        <f t="shared" si="8"/>
        <v>0</v>
      </c>
      <c r="W70" s="102">
        <f t="shared" si="8"/>
        <v>0</v>
      </c>
      <c r="X70" s="102">
        <f t="shared" si="8"/>
        <v>0</v>
      </c>
      <c r="Y70" s="102">
        <f t="shared" si="8"/>
        <v>0</v>
      </c>
      <c r="Z70" s="102">
        <f t="shared" si="8"/>
        <v>0</v>
      </c>
      <c r="AA70" s="102">
        <f t="shared" si="8"/>
        <v>0</v>
      </c>
      <c r="AB70" s="102">
        <f t="shared" si="8"/>
        <v>0</v>
      </c>
      <c r="AC70" s="50" t="s">
        <v>57</v>
      </c>
      <c r="AD70" s="3"/>
      <c r="AE70" s="72"/>
      <c r="AF70" s="3"/>
      <c r="AG70" s="3"/>
      <c r="AH70" s="3"/>
      <c r="AI70" s="3"/>
      <c r="AJ70" s="3"/>
      <c r="AK70" s="3"/>
      <c r="AL70" s="62"/>
      <c r="AM70" s="62"/>
      <c r="AN70" s="62"/>
      <c r="AO70" s="3"/>
      <c r="AP70" s="3"/>
      <c r="AQ70" s="2"/>
      <c r="AR70" s="2"/>
      <c r="AS70" s="2"/>
      <c r="AT70" s="2"/>
      <c r="AU70" s="20"/>
      <c r="AV70" s="20"/>
      <c r="AW70" s="21"/>
    </row>
    <row r="71" spans="1:82" ht="15" hidden="1" x14ac:dyDescent="0.25">
      <c r="A71" s="443" t="s">
        <v>153</v>
      </c>
      <c r="B71" s="430"/>
      <c r="C71" s="430"/>
      <c r="D71" s="430"/>
      <c r="E71" s="430"/>
      <c r="F71" s="430"/>
      <c r="G71" s="430"/>
      <c r="H71" s="430"/>
      <c r="I71" s="430"/>
      <c r="J71" s="430"/>
      <c r="K71" s="430"/>
      <c r="L71" s="430"/>
      <c r="M71" s="430"/>
      <c r="N71" s="430"/>
      <c r="O71" s="430"/>
      <c r="P71" s="430"/>
      <c r="Q71" s="430"/>
      <c r="R71" s="430"/>
      <c r="S71" s="430"/>
      <c r="T71" s="430"/>
      <c r="U71" s="430"/>
      <c r="V71" s="430"/>
      <c r="W71" s="430"/>
      <c r="X71" s="430"/>
      <c r="Y71" s="430"/>
      <c r="Z71" s="430"/>
      <c r="AA71" s="431"/>
      <c r="AB71" s="431"/>
      <c r="AC71" s="431"/>
      <c r="AD71" s="431"/>
      <c r="AE71" s="432"/>
      <c r="AF71" s="444"/>
      <c r="AG71" s="2"/>
      <c r="AH71" s="2"/>
      <c r="AI71" s="2"/>
      <c r="AJ71" s="2"/>
      <c r="AK71" s="61"/>
      <c r="AL71" s="61"/>
      <c r="AM71" s="61"/>
      <c r="AN71" s="2"/>
      <c r="AO71" s="2"/>
      <c r="AP71" s="2"/>
      <c r="AQ71" s="2"/>
      <c r="AR71" s="2"/>
    </row>
    <row r="72" spans="1:82" ht="15" hidden="1" x14ac:dyDescent="0.25">
      <c r="A72" s="428" t="s">
        <v>96</v>
      </c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429"/>
      <c r="M72" s="429"/>
      <c r="N72" s="429"/>
      <c r="O72" s="429"/>
      <c r="P72" s="429"/>
      <c r="Q72" s="429"/>
      <c r="R72" s="429"/>
      <c r="S72" s="429"/>
      <c r="T72" s="429"/>
      <c r="U72" s="429"/>
      <c r="V72" s="429"/>
      <c r="W72" s="429"/>
      <c r="X72" s="430"/>
      <c r="Y72" s="430"/>
      <c r="Z72" s="430"/>
      <c r="AA72" s="431"/>
      <c r="AB72" s="431"/>
      <c r="AC72" s="431"/>
      <c r="AD72" s="431"/>
      <c r="AE72" s="432"/>
      <c r="AF72" s="433"/>
      <c r="AG72" s="2"/>
      <c r="AH72" s="2"/>
      <c r="AI72" s="2"/>
      <c r="AJ72" s="2"/>
      <c r="AK72" s="61"/>
      <c r="AL72" s="61"/>
      <c r="AM72" s="61"/>
      <c r="AN72" s="2"/>
      <c r="AO72" s="2"/>
      <c r="AP72" s="2"/>
      <c r="AQ72" s="2"/>
      <c r="AR72" s="2"/>
    </row>
    <row r="73" spans="1:82" hidden="1" x14ac:dyDescent="0.2">
      <c r="A73" s="79" t="s">
        <v>154</v>
      </c>
      <c r="B73" s="80" t="s">
        <v>155</v>
      </c>
      <c r="C73" s="80">
        <v>4301011468</v>
      </c>
      <c r="D73" s="80">
        <v>4680115881327</v>
      </c>
      <c r="E73" s="81">
        <v>1.35</v>
      </c>
      <c r="F73" s="82">
        <v>8</v>
      </c>
      <c r="G73" s="81">
        <v>10.8</v>
      </c>
      <c r="H73" s="81">
        <v>11.234999999999999</v>
      </c>
      <c r="I73" s="83">
        <v>64</v>
      </c>
      <c r="J73" s="83" t="s">
        <v>114</v>
      </c>
      <c r="K73" s="84" t="s">
        <v>85</v>
      </c>
      <c r="L73" s="84"/>
      <c r="M73" s="423">
        <v>50</v>
      </c>
      <c r="N73" s="423"/>
      <c r="O73" s="5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P73" s="425"/>
      <c r="Q73" s="425"/>
      <c r="R73" s="425"/>
      <c r="S73" s="425"/>
      <c r="T73" s="85" t="s">
        <v>0</v>
      </c>
      <c r="U73" s="65">
        <v>0</v>
      </c>
      <c r="V73" s="66">
        <f>IFERROR(IF(U73="",0,CEILING((U73/$G73),1)*$G73),"")</f>
        <v>0</v>
      </c>
      <c r="W73" s="65">
        <v>0</v>
      </c>
      <c r="X73" s="66">
        <f>IFERROR(IF(W73="",0,CEILING((W73/$G73),1)*$G73),"")</f>
        <v>0</v>
      </c>
      <c r="Y73" s="65">
        <v>0</v>
      </c>
      <c r="Z73" s="66">
        <f>IFERROR(IF(Y73="",0,CEILING((Y73/$G73),1)*$G73),"")</f>
        <v>0</v>
      </c>
      <c r="AA73" s="65">
        <v>0</v>
      </c>
      <c r="AB73" s="66">
        <f>IFERROR(IF(AA73="",0,CEILING((AA73/$G73),1)*$G73),"")</f>
        <v>0</v>
      </c>
      <c r="AC73" s="67" t="str">
        <f>IF(IFERROR(ROUNDUP(V73/G73,0)*0.01898,0)+IFERROR(ROUNDUP(X73/G73,0)*0.01898,0)+IFERROR(ROUNDUP(Z73/G73,0)*0.01898,0)+IFERROR(ROUNDUP(AB73/G73,0)*0.01898,0)=0,"",IFERROR(ROUNDUP(V73/G73,0)*0.01898,0)+IFERROR(ROUNDUP(X73/G73,0)*0.01898,0)+IFERROR(ROUNDUP(Z73/G73,0)*0.01898,0)+IFERROR(ROUNDUP(AB73/G73,0)*0.01898,0))</f>
        <v/>
      </c>
      <c r="AD73" s="79" t="s">
        <v>57</v>
      </c>
      <c r="AE73" s="79" t="s">
        <v>57</v>
      </c>
      <c r="AF73" s="149" t="s">
        <v>156</v>
      </c>
      <c r="AG73" s="2"/>
      <c r="AH73" s="2"/>
      <c r="AI73" s="2"/>
      <c r="AJ73" s="2"/>
      <c r="AK73" s="2"/>
      <c r="AL73" s="61"/>
      <c r="AM73" s="61"/>
      <c r="AN73" s="61"/>
      <c r="AO73" s="2"/>
      <c r="AP73" s="2"/>
      <c r="AQ73" s="2"/>
      <c r="AR73" s="2"/>
      <c r="AS73" s="2"/>
      <c r="AT73" s="2"/>
      <c r="AU73" s="20"/>
      <c r="AV73" s="20"/>
      <c r="AW73" s="21"/>
      <c r="BB73" s="148" t="s">
        <v>65</v>
      </c>
      <c r="BO73" s="77">
        <f>IFERROR(U73*H73/G73,0)</f>
        <v>0</v>
      </c>
      <c r="BP73" s="77">
        <f>IFERROR(V73*H73/G73,0)</f>
        <v>0</v>
      </c>
      <c r="BQ73" s="77">
        <f>IFERROR(1/I73*(U73/G73),0)</f>
        <v>0</v>
      </c>
      <c r="BR73" s="77">
        <f>IFERROR(1/I73*(V73/G73),0)</f>
        <v>0</v>
      </c>
      <c r="BS73" s="77">
        <f>IFERROR(W73*H73/G73,0)</f>
        <v>0</v>
      </c>
      <c r="BT73" s="77">
        <f>IFERROR(X73*H73/G73,0)</f>
        <v>0</v>
      </c>
      <c r="BU73" s="77">
        <f>IFERROR(1/I73*(W73/G73),0)</f>
        <v>0</v>
      </c>
      <c r="BV73" s="77">
        <f>IFERROR(1/I73*(X73/G73),0)</f>
        <v>0</v>
      </c>
      <c r="BW73" s="77">
        <f>IFERROR(Y73*H73/G73,0)</f>
        <v>0</v>
      </c>
      <c r="BX73" s="77">
        <f>IFERROR(Z73*H73/G73,0)</f>
        <v>0</v>
      </c>
      <c r="BY73" s="77">
        <f>IFERROR(1/I73*(Y73/G73),0)</f>
        <v>0</v>
      </c>
      <c r="BZ73" s="77">
        <f>IFERROR(1/I73*(Z73/G73),0)</f>
        <v>0</v>
      </c>
      <c r="CA73" s="77">
        <f>IFERROR(AA73*H73/G73,0)</f>
        <v>0</v>
      </c>
      <c r="CB73" s="77">
        <f>IFERROR(AB73*H73/G73,0)</f>
        <v>0</v>
      </c>
      <c r="CC73" s="77">
        <f>IFERROR(1/I73*(AA73/G73),0)</f>
        <v>0</v>
      </c>
      <c r="CD73" s="77">
        <f>IFERROR(1/I73*(AB73/G73),0)</f>
        <v>0</v>
      </c>
    </row>
    <row r="74" spans="1:82" hidden="1" x14ac:dyDescent="0.2">
      <c r="A74" s="420"/>
      <c r="B74" s="420"/>
      <c r="C74" s="420"/>
      <c r="D74" s="420"/>
      <c r="E74" s="420"/>
      <c r="F74" s="420"/>
      <c r="G74" s="420"/>
      <c r="H74" s="420"/>
      <c r="I74" s="420"/>
      <c r="J74" s="420"/>
      <c r="K74" s="420"/>
      <c r="L74" s="420"/>
      <c r="M74" s="420"/>
      <c r="N74" s="420"/>
      <c r="O74" s="426" t="s">
        <v>43</v>
      </c>
      <c r="P74" s="427"/>
      <c r="Q74" s="427"/>
      <c r="R74" s="427"/>
      <c r="S74" s="427"/>
      <c r="T74" s="39" t="s">
        <v>42</v>
      </c>
      <c r="U74" s="50">
        <f>IFERROR(U73/G73,0)</f>
        <v>0</v>
      </c>
      <c r="V74" s="50">
        <f>IFERROR(V73/G73,0)</f>
        <v>0</v>
      </c>
      <c r="W74" s="50">
        <f>IFERROR(W73/G73,0)</f>
        <v>0</v>
      </c>
      <c r="X74" s="50">
        <f>IFERROR(X73/G73,0)</f>
        <v>0</v>
      </c>
      <c r="Y74" s="50">
        <f>IFERROR(Y73/G73,0)</f>
        <v>0</v>
      </c>
      <c r="Z74" s="50">
        <f>IFERROR(Z73/G73,0)</f>
        <v>0</v>
      </c>
      <c r="AA74" s="50">
        <f>IFERROR(AA73/G73,0)</f>
        <v>0</v>
      </c>
      <c r="AB74" s="50">
        <f>IFERROR(AB73/G73,0)</f>
        <v>0</v>
      </c>
      <c r="AC74" s="50">
        <f>IFERROR(IF(AC73="",0,AC73),0)</f>
        <v>0</v>
      </c>
      <c r="AD74" s="3"/>
      <c r="AE74" s="72"/>
      <c r="AF74" s="3"/>
      <c r="AG74" s="3"/>
      <c r="AH74" s="3"/>
      <c r="AI74" s="3"/>
      <c r="AJ74" s="3"/>
      <c r="AK74" s="3"/>
      <c r="AL74" s="62"/>
      <c r="AM74" s="62"/>
      <c r="AN74" s="62"/>
      <c r="AO74" s="3"/>
      <c r="AP74" s="3"/>
      <c r="AQ74" s="2"/>
      <c r="AR74" s="2"/>
      <c r="AS74" s="2"/>
      <c r="AT74" s="2"/>
      <c r="AU74" s="20"/>
      <c r="AV74" s="20"/>
      <c r="AW74" s="21"/>
    </row>
    <row r="75" spans="1:82" hidden="1" x14ac:dyDescent="0.2">
      <c r="A75" s="420"/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0"/>
      <c r="M75" s="420"/>
      <c r="N75" s="420"/>
      <c r="O75" s="426" t="s">
        <v>43</v>
      </c>
      <c r="P75" s="427"/>
      <c r="Q75" s="427"/>
      <c r="R75" s="427"/>
      <c r="S75" s="427"/>
      <c r="T75" s="39" t="s">
        <v>0</v>
      </c>
      <c r="U75" s="102">
        <f t="shared" ref="U75:AB75" si="9">IFERROR(SUM(U73:U73),0)</f>
        <v>0</v>
      </c>
      <c r="V75" s="102">
        <f t="shared" si="9"/>
        <v>0</v>
      </c>
      <c r="W75" s="102">
        <f t="shared" si="9"/>
        <v>0</v>
      </c>
      <c r="X75" s="102">
        <f t="shared" si="9"/>
        <v>0</v>
      </c>
      <c r="Y75" s="102">
        <f t="shared" si="9"/>
        <v>0</v>
      </c>
      <c r="Z75" s="102">
        <f t="shared" si="9"/>
        <v>0</v>
      </c>
      <c r="AA75" s="102">
        <f t="shared" si="9"/>
        <v>0</v>
      </c>
      <c r="AB75" s="102">
        <f t="shared" si="9"/>
        <v>0</v>
      </c>
      <c r="AC75" s="50" t="s">
        <v>57</v>
      </c>
      <c r="AD75" s="3"/>
      <c r="AE75" s="72"/>
      <c r="AF75" s="3"/>
      <c r="AG75" s="3"/>
      <c r="AH75" s="3"/>
      <c r="AI75" s="3"/>
      <c r="AJ75" s="3"/>
      <c r="AK75" s="3"/>
      <c r="AL75" s="62"/>
      <c r="AM75" s="62"/>
      <c r="AN75" s="62"/>
      <c r="AO75" s="3"/>
      <c r="AP75" s="3"/>
      <c r="AQ75" s="2"/>
      <c r="AR75" s="2"/>
      <c r="AS75" s="2"/>
      <c r="AT75" s="2"/>
      <c r="AU75" s="20"/>
      <c r="AV75" s="20"/>
      <c r="AW75" s="21"/>
    </row>
    <row r="76" spans="1:82" ht="15" hidden="1" x14ac:dyDescent="0.25">
      <c r="A76" s="428" t="s">
        <v>82</v>
      </c>
      <c r="B76" s="429"/>
      <c r="C76" s="429"/>
      <c r="D76" s="429"/>
      <c r="E76" s="429"/>
      <c r="F76" s="429"/>
      <c r="G76" s="429"/>
      <c r="H76" s="429"/>
      <c r="I76" s="429"/>
      <c r="J76" s="429"/>
      <c r="K76" s="429"/>
      <c r="L76" s="429"/>
      <c r="M76" s="429"/>
      <c r="N76" s="429"/>
      <c r="O76" s="429"/>
      <c r="P76" s="429"/>
      <c r="Q76" s="429"/>
      <c r="R76" s="429"/>
      <c r="S76" s="429"/>
      <c r="T76" s="429"/>
      <c r="U76" s="429"/>
      <c r="V76" s="429"/>
      <c r="W76" s="429"/>
      <c r="X76" s="430"/>
      <c r="Y76" s="430"/>
      <c r="Z76" s="430"/>
      <c r="AA76" s="431"/>
      <c r="AB76" s="431"/>
      <c r="AC76" s="431"/>
      <c r="AD76" s="431"/>
      <c r="AE76" s="432"/>
      <c r="AF76" s="433"/>
      <c r="AG76" s="2"/>
      <c r="AH76" s="2"/>
      <c r="AI76" s="2"/>
      <c r="AJ76" s="2"/>
      <c r="AK76" s="61"/>
      <c r="AL76" s="61"/>
      <c r="AM76" s="61"/>
      <c r="AN76" s="2"/>
      <c r="AO76" s="2"/>
      <c r="AP76" s="2"/>
      <c r="AQ76" s="2"/>
      <c r="AR76" s="2"/>
    </row>
    <row r="77" spans="1:82" ht="22.5" hidden="1" x14ac:dyDescent="0.2">
      <c r="A77" s="79" t="s">
        <v>157</v>
      </c>
      <c r="B77" s="80" t="s">
        <v>158</v>
      </c>
      <c r="C77" s="80">
        <v>4301051788</v>
      </c>
      <c r="D77" s="80">
        <v>4680115884953</v>
      </c>
      <c r="E77" s="81">
        <v>0.37</v>
      </c>
      <c r="F77" s="82">
        <v>6</v>
      </c>
      <c r="G77" s="81">
        <v>2.2200000000000002</v>
      </c>
      <c r="H77" s="81">
        <v>2.472</v>
      </c>
      <c r="I77" s="83">
        <v>182</v>
      </c>
      <c r="J77" s="83" t="s">
        <v>86</v>
      </c>
      <c r="K77" s="84" t="s">
        <v>99</v>
      </c>
      <c r="L77" s="84"/>
      <c r="M77" s="423">
        <v>45</v>
      </c>
      <c r="N77" s="423"/>
      <c r="O77" s="567" t="s">
        <v>159</v>
      </c>
      <c r="P77" s="425"/>
      <c r="Q77" s="425"/>
      <c r="R77" s="425"/>
      <c r="S77" s="425"/>
      <c r="T77" s="85" t="s">
        <v>0</v>
      </c>
      <c r="U77" s="65">
        <v>0</v>
      </c>
      <c r="V77" s="66">
        <f>IFERROR(IF(U77="",0,CEILING((U77/$G77),1)*$G77),"")</f>
        <v>0</v>
      </c>
      <c r="W77" s="65">
        <v>0</v>
      </c>
      <c r="X77" s="66">
        <f>IFERROR(IF(W77="",0,CEILING((W77/$G77),1)*$G77),"")</f>
        <v>0</v>
      </c>
      <c r="Y77" s="65">
        <v>0</v>
      </c>
      <c r="Z77" s="66">
        <f>IFERROR(IF(Y77="",0,CEILING((Y77/$G77),1)*$G77),"")</f>
        <v>0</v>
      </c>
      <c r="AA77" s="65">
        <v>0</v>
      </c>
      <c r="AB77" s="66">
        <f>IFERROR(IF(AA77="",0,CEILING((AA77/$G77),1)*$G77),"")</f>
        <v>0</v>
      </c>
      <c r="AC77" s="67" t="str">
        <f>IF(IFERROR(ROUNDUP(V77/G77,0)*0.00651,0)+IFERROR(ROUNDUP(X77/G77,0)*0.00651,0)+IFERROR(ROUNDUP(Z77/G77,0)*0.00651,0)+IFERROR(ROUNDUP(AB77/G77,0)*0.00651,0)=0,"",IFERROR(ROUNDUP(V77/G77,0)*0.00651,0)+IFERROR(ROUNDUP(X77/G77,0)*0.00651,0)+IFERROR(ROUNDUP(Z77/G77,0)*0.00651,0)+IFERROR(ROUNDUP(AB77/G77,0)*0.00651,0))</f>
        <v/>
      </c>
      <c r="AD77" s="79" t="s">
        <v>57</v>
      </c>
      <c r="AE77" s="79" t="s">
        <v>57</v>
      </c>
      <c r="AF77" s="151" t="s">
        <v>160</v>
      </c>
      <c r="AG77" s="2"/>
      <c r="AH77" s="2"/>
      <c r="AI77" s="2"/>
      <c r="AJ77" s="2"/>
      <c r="AK77" s="2"/>
      <c r="AL77" s="61"/>
      <c r="AM77" s="61"/>
      <c r="AN77" s="61"/>
      <c r="AO77" s="2"/>
      <c r="AP77" s="2"/>
      <c r="AQ77" s="2"/>
      <c r="AR77" s="2"/>
      <c r="AS77" s="2"/>
      <c r="AT77" s="2"/>
      <c r="AU77" s="20"/>
      <c r="AV77" s="20"/>
      <c r="AW77" s="21"/>
      <c r="BB77" s="150" t="s">
        <v>65</v>
      </c>
      <c r="BO77" s="77">
        <f>IFERROR(U77*H77/G77,0)</f>
        <v>0</v>
      </c>
      <c r="BP77" s="77">
        <f>IFERROR(V77*H77/G77,0)</f>
        <v>0</v>
      </c>
      <c r="BQ77" s="77">
        <f>IFERROR(1/I77*(U77/G77),0)</f>
        <v>0</v>
      </c>
      <c r="BR77" s="77">
        <f>IFERROR(1/I77*(V77/G77),0)</f>
        <v>0</v>
      </c>
      <c r="BS77" s="77">
        <f>IFERROR(W77*H77/G77,0)</f>
        <v>0</v>
      </c>
      <c r="BT77" s="77">
        <f>IFERROR(X77*H77/G77,0)</f>
        <v>0</v>
      </c>
      <c r="BU77" s="77">
        <f>IFERROR(1/I77*(W77/G77),0)</f>
        <v>0</v>
      </c>
      <c r="BV77" s="77">
        <f>IFERROR(1/I77*(X77/G77),0)</f>
        <v>0</v>
      </c>
      <c r="BW77" s="77">
        <f>IFERROR(Y77*H77/G77,0)</f>
        <v>0</v>
      </c>
      <c r="BX77" s="77">
        <f>IFERROR(Z77*H77/G77,0)</f>
        <v>0</v>
      </c>
      <c r="BY77" s="77">
        <f>IFERROR(1/I77*(Y77/G77),0)</f>
        <v>0</v>
      </c>
      <c r="BZ77" s="77">
        <f>IFERROR(1/I77*(Z77/G77),0)</f>
        <v>0</v>
      </c>
      <c r="CA77" s="77">
        <f>IFERROR(AA77*H77/G77,0)</f>
        <v>0</v>
      </c>
      <c r="CB77" s="77">
        <f>IFERROR(AB77*H77/G77,0)</f>
        <v>0</v>
      </c>
      <c r="CC77" s="77">
        <f>IFERROR(1/I77*(AA77/G77),0)</f>
        <v>0</v>
      </c>
      <c r="CD77" s="77">
        <f>IFERROR(1/I77*(AB77/G77),0)</f>
        <v>0</v>
      </c>
    </row>
    <row r="78" spans="1:82" hidden="1" x14ac:dyDescent="0.2">
      <c r="A78" s="79" t="s">
        <v>161</v>
      </c>
      <c r="B78" s="80" t="s">
        <v>162</v>
      </c>
      <c r="C78" s="80">
        <v>4301051717</v>
      </c>
      <c r="D78" s="80">
        <v>4607091385731</v>
      </c>
      <c r="E78" s="81">
        <v>0.45</v>
      </c>
      <c r="F78" s="82">
        <v>6</v>
      </c>
      <c r="G78" s="81">
        <v>2.7</v>
      </c>
      <c r="H78" s="81">
        <v>2.952</v>
      </c>
      <c r="I78" s="83">
        <v>182</v>
      </c>
      <c r="J78" s="83" t="s">
        <v>86</v>
      </c>
      <c r="K78" s="84" t="s">
        <v>99</v>
      </c>
      <c r="L78" s="84"/>
      <c r="M78" s="423">
        <v>45</v>
      </c>
      <c r="N78" s="423"/>
      <c r="O78" s="562" t="s">
        <v>163</v>
      </c>
      <c r="P78" s="425"/>
      <c r="Q78" s="425"/>
      <c r="R78" s="425"/>
      <c r="S78" s="425"/>
      <c r="T78" s="85" t="s">
        <v>0</v>
      </c>
      <c r="U78" s="65">
        <v>0</v>
      </c>
      <c r="V78" s="66">
        <f>IFERROR(IF(U78="",0,CEILING((U78/$G78),1)*$G78),"")</f>
        <v>0</v>
      </c>
      <c r="W78" s="65">
        <v>0</v>
      </c>
      <c r="X78" s="66">
        <f>IFERROR(IF(W78="",0,CEILING((W78/$G78),1)*$G78),"")</f>
        <v>0</v>
      </c>
      <c r="Y78" s="65">
        <v>0</v>
      </c>
      <c r="Z78" s="66">
        <f>IFERROR(IF(Y78="",0,CEILING((Y78/$G78),1)*$G78),"")</f>
        <v>0</v>
      </c>
      <c r="AA78" s="65">
        <v>0</v>
      </c>
      <c r="AB78" s="66">
        <f>IFERROR(IF(AA78="",0,CEILING((AA78/$G78),1)*$G78),"")</f>
        <v>0</v>
      </c>
      <c r="AC78" s="67" t="str">
        <f>IF(IFERROR(ROUNDUP(V78/G78,0)*0.00651,0)+IFERROR(ROUNDUP(X78/G78,0)*0.00651,0)+IFERROR(ROUNDUP(Z78/G78,0)*0.00651,0)+IFERROR(ROUNDUP(AB78/G78,0)*0.00651,0)=0,"",IFERROR(ROUNDUP(V78/G78,0)*0.00651,0)+IFERROR(ROUNDUP(X78/G78,0)*0.00651,0)+IFERROR(ROUNDUP(Z78/G78,0)*0.00651,0)+IFERROR(ROUNDUP(AB78/G78,0)*0.00651,0))</f>
        <v/>
      </c>
      <c r="AD78" s="79" t="s">
        <v>57</v>
      </c>
      <c r="AE78" s="79" t="s">
        <v>57</v>
      </c>
      <c r="AF78" s="153" t="s">
        <v>164</v>
      </c>
      <c r="AG78" s="2"/>
      <c r="AH78" s="2"/>
      <c r="AI78" s="2"/>
      <c r="AJ78" s="2"/>
      <c r="AK78" s="2"/>
      <c r="AL78" s="61"/>
      <c r="AM78" s="61"/>
      <c r="AN78" s="61"/>
      <c r="AO78" s="2"/>
      <c r="AP78" s="2"/>
      <c r="AQ78" s="2"/>
      <c r="AR78" s="2"/>
      <c r="AS78" s="2"/>
      <c r="AT78" s="2"/>
      <c r="AU78" s="20"/>
      <c r="AV78" s="20"/>
      <c r="AW78" s="21"/>
      <c r="BB78" s="152" t="s">
        <v>65</v>
      </c>
      <c r="BO78" s="77">
        <f>IFERROR(U78*H78/G78,0)</f>
        <v>0</v>
      </c>
      <c r="BP78" s="77">
        <f>IFERROR(V78*H78/G78,0)</f>
        <v>0</v>
      </c>
      <c r="BQ78" s="77">
        <f>IFERROR(1/I78*(U78/G78),0)</f>
        <v>0</v>
      </c>
      <c r="BR78" s="77">
        <f>IFERROR(1/I78*(V78/G78),0)</f>
        <v>0</v>
      </c>
      <c r="BS78" s="77">
        <f>IFERROR(W78*H78/G78,0)</f>
        <v>0</v>
      </c>
      <c r="BT78" s="77">
        <f>IFERROR(X78*H78/G78,0)</f>
        <v>0</v>
      </c>
      <c r="BU78" s="77">
        <f>IFERROR(1/I78*(W78/G78),0)</f>
        <v>0</v>
      </c>
      <c r="BV78" s="77">
        <f>IFERROR(1/I78*(X78/G78),0)</f>
        <v>0</v>
      </c>
      <c r="BW78" s="77">
        <f>IFERROR(Y78*H78/G78,0)</f>
        <v>0</v>
      </c>
      <c r="BX78" s="77">
        <f>IFERROR(Z78*H78/G78,0)</f>
        <v>0</v>
      </c>
      <c r="BY78" s="77">
        <f>IFERROR(1/I78*(Y78/G78),0)</f>
        <v>0</v>
      </c>
      <c r="BZ78" s="77">
        <f>IFERROR(1/I78*(Z78/G78),0)</f>
        <v>0</v>
      </c>
      <c r="CA78" s="77">
        <f>IFERROR(AA78*H78/G78,0)</f>
        <v>0</v>
      </c>
      <c r="CB78" s="77">
        <f>IFERROR(AB78*H78/G78,0)</f>
        <v>0</v>
      </c>
      <c r="CC78" s="77">
        <f>IFERROR(1/I78*(AA78/G78),0)</f>
        <v>0</v>
      </c>
      <c r="CD78" s="77">
        <f>IFERROR(1/I78*(AB78/G78),0)</f>
        <v>0</v>
      </c>
    </row>
    <row r="79" spans="1:82" ht="22.5" hidden="1" x14ac:dyDescent="0.2">
      <c r="A79" s="79" t="s">
        <v>161</v>
      </c>
      <c r="B79" s="80" t="s">
        <v>165</v>
      </c>
      <c r="C79" s="80">
        <v>4301052039</v>
      </c>
      <c r="D79" s="80">
        <v>4607091385731</v>
      </c>
      <c r="E79" s="81">
        <v>0.45</v>
      </c>
      <c r="F79" s="82">
        <v>6</v>
      </c>
      <c r="G79" s="81">
        <v>2.7</v>
      </c>
      <c r="H79" s="81">
        <v>2.952</v>
      </c>
      <c r="I79" s="83">
        <v>182</v>
      </c>
      <c r="J79" s="83" t="s">
        <v>86</v>
      </c>
      <c r="K79" s="84" t="s">
        <v>99</v>
      </c>
      <c r="L79" s="84"/>
      <c r="M79" s="423">
        <v>45</v>
      </c>
      <c r="N79" s="423"/>
      <c r="O79" s="563" t="s">
        <v>166</v>
      </c>
      <c r="P79" s="425"/>
      <c r="Q79" s="425"/>
      <c r="R79" s="425"/>
      <c r="S79" s="425"/>
      <c r="T79" s="85" t="s">
        <v>0</v>
      </c>
      <c r="U79" s="65">
        <v>0</v>
      </c>
      <c r="V79" s="66">
        <f>IFERROR(IF(U79="",0,CEILING((U79/$G79),1)*$G79),"")</f>
        <v>0</v>
      </c>
      <c r="W79" s="65">
        <v>0</v>
      </c>
      <c r="X79" s="66">
        <f>IFERROR(IF(W79="",0,CEILING((W79/$G79),1)*$G79),"")</f>
        <v>0</v>
      </c>
      <c r="Y79" s="65">
        <v>0</v>
      </c>
      <c r="Z79" s="66">
        <f>IFERROR(IF(Y79="",0,CEILING((Y79/$G79),1)*$G79),"")</f>
        <v>0</v>
      </c>
      <c r="AA79" s="65">
        <v>0</v>
      </c>
      <c r="AB79" s="66">
        <f>IFERROR(IF(AA79="",0,CEILING((AA79/$G79),1)*$G79),"")</f>
        <v>0</v>
      </c>
      <c r="AC79" s="67" t="str">
        <f>IF(IFERROR(ROUNDUP(V79/G79,0)*0.00651,0)+IFERROR(ROUNDUP(X79/G79,0)*0.00651,0)+IFERROR(ROUNDUP(Z79/G79,0)*0.00651,0)+IFERROR(ROUNDUP(AB79/G79,0)*0.00651,0)=0,"",IFERROR(ROUNDUP(V79/G79,0)*0.00651,0)+IFERROR(ROUNDUP(X79/G79,0)*0.00651,0)+IFERROR(ROUNDUP(Z79/G79,0)*0.00651,0)+IFERROR(ROUNDUP(AB79/G79,0)*0.00651,0))</f>
        <v/>
      </c>
      <c r="AD79" s="79" t="s">
        <v>57</v>
      </c>
      <c r="AE79" s="79" t="s">
        <v>57</v>
      </c>
      <c r="AF79" s="155" t="s">
        <v>167</v>
      </c>
      <c r="AG79" s="2"/>
      <c r="AH79" s="2"/>
      <c r="AI79" s="2"/>
      <c r="AJ79" s="2"/>
      <c r="AK79" s="2"/>
      <c r="AL79" s="61"/>
      <c r="AM79" s="61"/>
      <c r="AN79" s="61"/>
      <c r="AO79" s="2"/>
      <c r="AP79" s="2"/>
      <c r="AQ79" s="2"/>
      <c r="AR79" s="2"/>
      <c r="AS79" s="2"/>
      <c r="AT79" s="2"/>
      <c r="AU79" s="20"/>
      <c r="AV79" s="20"/>
      <c r="AW79" s="21"/>
      <c r="BB79" s="154" t="s">
        <v>65</v>
      </c>
      <c r="BO79" s="77">
        <f>IFERROR(U79*H79/G79,0)</f>
        <v>0</v>
      </c>
      <c r="BP79" s="77">
        <f>IFERROR(V79*H79/G79,0)</f>
        <v>0</v>
      </c>
      <c r="BQ79" s="77">
        <f>IFERROR(1/I79*(U79/G79),0)</f>
        <v>0</v>
      </c>
      <c r="BR79" s="77">
        <f>IFERROR(1/I79*(V79/G79),0)</f>
        <v>0</v>
      </c>
      <c r="BS79" s="77">
        <f>IFERROR(W79*H79/G79,0)</f>
        <v>0</v>
      </c>
      <c r="BT79" s="77">
        <f>IFERROR(X79*H79/G79,0)</f>
        <v>0</v>
      </c>
      <c r="BU79" s="77">
        <f>IFERROR(1/I79*(W79/G79),0)</f>
        <v>0</v>
      </c>
      <c r="BV79" s="77">
        <f>IFERROR(1/I79*(X79/G79),0)</f>
        <v>0</v>
      </c>
      <c r="BW79" s="77">
        <f>IFERROR(Y79*H79/G79,0)</f>
        <v>0</v>
      </c>
      <c r="BX79" s="77">
        <f>IFERROR(Z79*H79/G79,0)</f>
        <v>0</v>
      </c>
      <c r="BY79" s="77">
        <f>IFERROR(1/I79*(Y79/G79),0)</f>
        <v>0</v>
      </c>
      <c r="BZ79" s="77">
        <f>IFERROR(1/I79*(Z79/G79),0)</f>
        <v>0</v>
      </c>
      <c r="CA79" s="77">
        <f>IFERROR(AA79*H79/G79,0)</f>
        <v>0</v>
      </c>
      <c r="CB79" s="77">
        <f>IFERROR(AB79*H79/G79,0)</f>
        <v>0</v>
      </c>
      <c r="CC79" s="77">
        <f>IFERROR(1/I79*(AA79/G79),0)</f>
        <v>0</v>
      </c>
      <c r="CD79" s="77">
        <f>IFERROR(1/I79*(AB79/G79),0)</f>
        <v>0</v>
      </c>
    </row>
    <row r="80" spans="1:82" hidden="1" x14ac:dyDescent="0.2">
      <c r="A80" s="79" t="s">
        <v>168</v>
      </c>
      <c r="B80" s="80" t="s">
        <v>169</v>
      </c>
      <c r="C80" s="80">
        <v>4301051438</v>
      </c>
      <c r="D80" s="80">
        <v>4680115880894</v>
      </c>
      <c r="E80" s="81">
        <v>0.33</v>
      </c>
      <c r="F80" s="82">
        <v>6</v>
      </c>
      <c r="G80" s="81">
        <v>1.98</v>
      </c>
      <c r="H80" s="81">
        <v>2.238</v>
      </c>
      <c r="I80" s="83">
        <v>182</v>
      </c>
      <c r="J80" s="83" t="s">
        <v>86</v>
      </c>
      <c r="K80" s="84" t="s">
        <v>99</v>
      </c>
      <c r="L80" s="84"/>
      <c r="M80" s="423">
        <v>45</v>
      </c>
      <c r="N80" s="423"/>
      <c r="O80" s="5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P80" s="425"/>
      <c r="Q80" s="425"/>
      <c r="R80" s="425"/>
      <c r="S80" s="425"/>
      <c r="T80" s="85" t="s">
        <v>0</v>
      </c>
      <c r="U80" s="65">
        <v>0</v>
      </c>
      <c r="V80" s="66">
        <f>IFERROR(IF(U80="",0,CEILING((U80/$G80),1)*$G80),"")</f>
        <v>0</v>
      </c>
      <c r="W80" s="65">
        <v>0</v>
      </c>
      <c r="X80" s="66">
        <f>IFERROR(IF(W80="",0,CEILING((W80/$G80),1)*$G80),"")</f>
        <v>0</v>
      </c>
      <c r="Y80" s="65">
        <v>0</v>
      </c>
      <c r="Z80" s="66">
        <f>IFERROR(IF(Y80="",0,CEILING((Y80/$G80),1)*$G80),"")</f>
        <v>0</v>
      </c>
      <c r="AA80" s="65">
        <v>0</v>
      </c>
      <c r="AB80" s="66">
        <f>IFERROR(IF(AA80="",0,CEILING((AA80/$G80),1)*$G80),"")</f>
        <v>0</v>
      </c>
      <c r="AC80" s="67" t="str">
        <f>IF(IFERROR(ROUNDUP(V80/G80,0)*0.00651,0)+IFERROR(ROUNDUP(X80/G80,0)*0.00651,0)+IFERROR(ROUNDUP(Z80/G80,0)*0.00651,0)+IFERROR(ROUNDUP(AB80/G80,0)*0.00651,0)=0,"",IFERROR(ROUNDUP(V80/G80,0)*0.00651,0)+IFERROR(ROUNDUP(X80/G80,0)*0.00651,0)+IFERROR(ROUNDUP(Z80/G80,0)*0.00651,0)+IFERROR(ROUNDUP(AB80/G80,0)*0.00651,0))</f>
        <v/>
      </c>
      <c r="AD80" s="79" t="s">
        <v>57</v>
      </c>
      <c r="AE80" s="79" t="s">
        <v>57</v>
      </c>
      <c r="AF80" s="157" t="s">
        <v>170</v>
      </c>
      <c r="AG80" s="2"/>
      <c r="AH80" s="2"/>
      <c r="AI80" s="2"/>
      <c r="AJ80" s="2"/>
      <c r="AK80" s="2"/>
      <c r="AL80" s="61"/>
      <c r="AM80" s="61"/>
      <c r="AN80" s="61"/>
      <c r="AO80" s="2"/>
      <c r="AP80" s="2"/>
      <c r="AQ80" s="2"/>
      <c r="AR80" s="2"/>
      <c r="AS80" s="2"/>
      <c r="AT80" s="2"/>
      <c r="AU80" s="20"/>
      <c r="AV80" s="20"/>
      <c r="AW80" s="21"/>
      <c r="BB80" s="156" t="s">
        <v>65</v>
      </c>
      <c r="BO80" s="77">
        <f>IFERROR(U80*H80/G80,0)</f>
        <v>0</v>
      </c>
      <c r="BP80" s="77">
        <f>IFERROR(V80*H80/G80,0)</f>
        <v>0</v>
      </c>
      <c r="BQ80" s="77">
        <f>IFERROR(1/I80*(U80/G80),0)</f>
        <v>0</v>
      </c>
      <c r="BR80" s="77">
        <f>IFERROR(1/I80*(V80/G80),0)</f>
        <v>0</v>
      </c>
      <c r="BS80" s="77">
        <f>IFERROR(W80*H80/G80,0)</f>
        <v>0</v>
      </c>
      <c r="BT80" s="77">
        <f>IFERROR(X80*H80/G80,0)</f>
        <v>0</v>
      </c>
      <c r="BU80" s="77">
        <f>IFERROR(1/I80*(W80/G80),0)</f>
        <v>0</v>
      </c>
      <c r="BV80" s="77">
        <f>IFERROR(1/I80*(X80/G80),0)</f>
        <v>0</v>
      </c>
      <c r="BW80" s="77">
        <f>IFERROR(Y80*H80/G80,0)</f>
        <v>0</v>
      </c>
      <c r="BX80" s="77">
        <f>IFERROR(Z80*H80/G80,0)</f>
        <v>0</v>
      </c>
      <c r="BY80" s="77">
        <f>IFERROR(1/I80*(Y80/G80),0)</f>
        <v>0</v>
      </c>
      <c r="BZ80" s="77">
        <f>IFERROR(1/I80*(Z80/G80),0)</f>
        <v>0</v>
      </c>
      <c r="CA80" s="77">
        <f>IFERROR(AA80*H80/G80,0)</f>
        <v>0</v>
      </c>
      <c r="CB80" s="77">
        <f>IFERROR(AB80*H80/G80,0)</f>
        <v>0</v>
      </c>
      <c r="CC80" s="77">
        <f>IFERROR(1/I80*(AA80/G80),0)</f>
        <v>0</v>
      </c>
      <c r="CD80" s="77">
        <f>IFERROR(1/I80*(AB80/G80),0)</f>
        <v>0</v>
      </c>
    </row>
    <row r="81" spans="1:82" hidden="1" x14ac:dyDescent="0.2">
      <c r="A81" s="79" t="s">
        <v>171</v>
      </c>
      <c r="B81" s="80" t="s">
        <v>172</v>
      </c>
      <c r="C81" s="80">
        <v>4301051687</v>
      </c>
      <c r="D81" s="80">
        <v>4680115880214</v>
      </c>
      <c r="E81" s="81">
        <v>0.45</v>
      </c>
      <c r="F81" s="82">
        <v>4</v>
      </c>
      <c r="G81" s="81">
        <v>1.8</v>
      </c>
      <c r="H81" s="81">
        <v>2.032</v>
      </c>
      <c r="I81" s="83">
        <v>182</v>
      </c>
      <c r="J81" s="83" t="s">
        <v>86</v>
      </c>
      <c r="K81" s="84" t="s">
        <v>99</v>
      </c>
      <c r="L81" s="84"/>
      <c r="M81" s="423">
        <v>45</v>
      </c>
      <c r="N81" s="423"/>
      <c r="O81" s="56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P81" s="425"/>
      <c r="Q81" s="425"/>
      <c r="R81" s="425"/>
      <c r="S81" s="425"/>
      <c r="T81" s="85" t="s">
        <v>0</v>
      </c>
      <c r="U81" s="65">
        <v>0</v>
      </c>
      <c r="V81" s="66">
        <f>IFERROR(IF(U81="",0,CEILING((U81/$G81),1)*$G81),"")</f>
        <v>0</v>
      </c>
      <c r="W81" s="65">
        <v>0</v>
      </c>
      <c r="X81" s="66">
        <f>IFERROR(IF(W81="",0,CEILING((W81/$G81),1)*$G81),"")</f>
        <v>0</v>
      </c>
      <c r="Y81" s="65">
        <v>0</v>
      </c>
      <c r="Z81" s="66">
        <f>IFERROR(IF(Y81="",0,CEILING((Y81/$G81),1)*$G81),"")</f>
        <v>0</v>
      </c>
      <c r="AA81" s="65">
        <v>0</v>
      </c>
      <c r="AB81" s="66">
        <f>IFERROR(IF(AA81="",0,CEILING((AA81/$G81),1)*$G81),"")</f>
        <v>0</v>
      </c>
      <c r="AC81" s="67" t="str">
        <f>IF(IFERROR(ROUNDUP(V81/G81,0)*0.00651,0)+IFERROR(ROUNDUP(X81/G81,0)*0.00651,0)+IFERROR(ROUNDUP(Z81/G81,0)*0.00651,0)+IFERROR(ROUNDUP(AB81/G81,0)*0.00651,0)=0,"",IFERROR(ROUNDUP(V81/G81,0)*0.00651,0)+IFERROR(ROUNDUP(X81/G81,0)*0.00651,0)+IFERROR(ROUNDUP(Z81/G81,0)*0.00651,0)+IFERROR(ROUNDUP(AB81/G81,0)*0.00651,0))</f>
        <v/>
      </c>
      <c r="AD81" s="79" t="s">
        <v>57</v>
      </c>
      <c r="AE81" s="79" t="s">
        <v>57</v>
      </c>
      <c r="AF81" s="159" t="s">
        <v>170</v>
      </c>
      <c r="AG81" s="2"/>
      <c r="AH81" s="2"/>
      <c r="AI81" s="2"/>
      <c r="AJ81" s="2"/>
      <c r="AK81" s="2"/>
      <c r="AL81" s="61"/>
      <c r="AM81" s="61"/>
      <c r="AN81" s="61"/>
      <c r="AO81" s="2"/>
      <c r="AP81" s="2"/>
      <c r="AQ81" s="2"/>
      <c r="AR81" s="2"/>
      <c r="AS81" s="2"/>
      <c r="AT81" s="2"/>
      <c r="AU81" s="20"/>
      <c r="AV81" s="20"/>
      <c r="AW81" s="21"/>
      <c r="BB81" s="158" t="s">
        <v>65</v>
      </c>
      <c r="BO81" s="77">
        <f>IFERROR(U81*H81/G81,0)</f>
        <v>0</v>
      </c>
      <c r="BP81" s="77">
        <f>IFERROR(V81*H81/G81,0)</f>
        <v>0</v>
      </c>
      <c r="BQ81" s="77">
        <f>IFERROR(1/I81*(U81/G81),0)</f>
        <v>0</v>
      </c>
      <c r="BR81" s="77">
        <f>IFERROR(1/I81*(V81/G81),0)</f>
        <v>0</v>
      </c>
      <c r="BS81" s="77">
        <f>IFERROR(W81*H81/G81,0)</f>
        <v>0</v>
      </c>
      <c r="BT81" s="77">
        <f>IFERROR(X81*H81/G81,0)</f>
        <v>0</v>
      </c>
      <c r="BU81" s="77">
        <f>IFERROR(1/I81*(W81/G81),0)</f>
        <v>0</v>
      </c>
      <c r="BV81" s="77">
        <f>IFERROR(1/I81*(X81/G81),0)</f>
        <v>0</v>
      </c>
      <c r="BW81" s="77">
        <f>IFERROR(Y81*H81/G81,0)</f>
        <v>0</v>
      </c>
      <c r="BX81" s="77">
        <f>IFERROR(Z81*H81/G81,0)</f>
        <v>0</v>
      </c>
      <c r="BY81" s="77">
        <f>IFERROR(1/I81*(Y81/G81),0)</f>
        <v>0</v>
      </c>
      <c r="BZ81" s="77">
        <f>IFERROR(1/I81*(Z81/G81),0)</f>
        <v>0</v>
      </c>
      <c r="CA81" s="77">
        <f>IFERROR(AA81*H81/G81,0)</f>
        <v>0</v>
      </c>
      <c r="CB81" s="77">
        <f>IFERROR(AB81*H81/G81,0)</f>
        <v>0</v>
      </c>
      <c r="CC81" s="77">
        <f>IFERROR(1/I81*(AA81/G81),0)</f>
        <v>0</v>
      </c>
      <c r="CD81" s="77">
        <f>IFERROR(1/I81*(AB81/G81),0)</f>
        <v>0</v>
      </c>
    </row>
    <row r="82" spans="1:82" hidden="1" x14ac:dyDescent="0.2">
      <c r="A82" s="420"/>
      <c r="B82" s="420"/>
      <c r="C82" s="420"/>
      <c r="D82" s="420"/>
      <c r="E82" s="420"/>
      <c r="F82" s="420"/>
      <c r="G82" s="420"/>
      <c r="H82" s="420"/>
      <c r="I82" s="420"/>
      <c r="J82" s="420"/>
      <c r="K82" s="420"/>
      <c r="L82" s="420"/>
      <c r="M82" s="420"/>
      <c r="N82" s="420"/>
      <c r="O82" s="426" t="s">
        <v>43</v>
      </c>
      <c r="P82" s="427"/>
      <c r="Q82" s="427"/>
      <c r="R82" s="427"/>
      <c r="S82" s="427"/>
      <c r="T82" s="39" t="s">
        <v>42</v>
      </c>
      <c r="U82" s="50">
        <f>IFERROR(U77/G77,0)+IFERROR(U78/G78,0)+IFERROR(U79/G79,0)+IFERROR(U80/G80,0)+IFERROR(U81/G81,0)</f>
        <v>0</v>
      </c>
      <c r="V82" s="50">
        <f>IFERROR(V77/G77,0)+IFERROR(V78/G78,0)+IFERROR(V79/G79,0)+IFERROR(V80/G80,0)+IFERROR(V81/G81,0)</f>
        <v>0</v>
      </c>
      <c r="W82" s="50">
        <f>IFERROR(W77/G77,0)+IFERROR(W78/G78,0)+IFERROR(W79/G79,0)+IFERROR(W80/G80,0)+IFERROR(W81/G81,0)</f>
        <v>0</v>
      </c>
      <c r="X82" s="50">
        <f>IFERROR(X77/G77,0)+IFERROR(X78/G78,0)+IFERROR(X79/G79,0)+IFERROR(X80/G80,0)+IFERROR(X81/G81,0)</f>
        <v>0</v>
      </c>
      <c r="Y82" s="50">
        <f>IFERROR(Y77/G77,0)+IFERROR(Y78/G78,0)+IFERROR(Y79/G79,0)+IFERROR(Y80/G80,0)+IFERROR(Y81/G81,0)</f>
        <v>0</v>
      </c>
      <c r="Z82" s="50">
        <f>IFERROR(Z77/G77,0)+IFERROR(Z78/G78,0)+IFERROR(Z79/G79,0)+IFERROR(Z80/G80,0)+IFERROR(Z81/G81,0)</f>
        <v>0</v>
      </c>
      <c r="AA82" s="50">
        <f>IFERROR(AA77/G77,0)+IFERROR(AA78/G78,0)+IFERROR(AA79/G79,0)+IFERROR(AA80/G80,0)+IFERROR(AA81/G81,0)</f>
        <v>0</v>
      </c>
      <c r="AB82" s="50">
        <f>IFERROR(AB77/G77,0)+IFERROR(AB78/G78,0)+IFERROR(AB79/G79,0)+IFERROR(AB80/G80,0)+IFERROR(AB81/G81,0)</f>
        <v>0</v>
      </c>
      <c r="AC82" s="50">
        <f>IFERROR(IF(AC77="",0,AC77),0)+IFERROR(IF(AC78="",0,AC78),0)+IFERROR(IF(AC79="",0,AC79),0)+IFERROR(IF(AC80="",0,AC80),0)+IFERROR(IF(AC81="",0,AC81),0)</f>
        <v>0</v>
      </c>
      <c r="AD82" s="3"/>
      <c r="AE82" s="72"/>
      <c r="AF82" s="3"/>
      <c r="AG82" s="3"/>
      <c r="AH82" s="3"/>
      <c r="AI82" s="3"/>
      <c r="AJ82" s="3"/>
      <c r="AK82" s="3"/>
      <c r="AL82" s="62"/>
      <c r="AM82" s="62"/>
      <c r="AN82" s="62"/>
      <c r="AO82" s="3"/>
      <c r="AP82" s="3"/>
      <c r="AQ82" s="2"/>
      <c r="AR82" s="2"/>
      <c r="AS82" s="2"/>
      <c r="AT82" s="2"/>
      <c r="AU82" s="20"/>
      <c r="AV82" s="20"/>
      <c r="AW82" s="21"/>
    </row>
    <row r="83" spans="1:82" hidden="1" x14ac:dyDescent="0.2">
      <c r="A83" s="420"/>
      <c r="B83" s="420"/>
      <c r="C83" s="420"/>
      <c r="D83" s="420"/>
      <c r="E83" s="420"/>
      <c r="F83" s="420"/>
      <c r="G83" s="420"/>
      <c r="H83" s="420"/>
      <c r="I83" s="420"/>
      <c r="J83" s="420"/>
      <c r="K83" s="420"/>
      <c r="L83" s="420"/>
      <c r="M83" s="420"/>
      <c r="N83" s="420"/>
      <c r="O83" s="426" t="s">
        <v>43</v>
      </c>
      <c r="P83" s="427"/>
      <c r="Q83" s="427"/>
      <c r="R83" s="427"/>
      <c r="S83" s="427"/>
      <c r="T83" s="39" t="s">
        <v>0</v>
      </c>
      <c r="U83" s="102">
        <f t="shared" ref="U83:AB83" si="10">IFERROR(SUM(U77:U81),0)</f>
        <v>0</v>
      </c>
      <c r="V83" s="102">
        <f t="shared" si="10"/>
        <v>0</v>
      </c>
      <c r="W83" s="102">
        <f t="shared" si="10"/>
        <v>0</v>
      </c>
      <c r="X83" s="102">
        <f t="shared" si="10"/>
        <v>0</v>
      </c>
      <c r="Y83" s="102">
        <f t="shared" si="10"/>
        <v>0</v>
      </c>
      <c r="Z83" s="102">
        <f t="shared" si="10"/>
        <v>0</v>
      </c>
      <c r="AA83" s="102">
        <f t="shared" si="10"/>
        <v>0</v>
      </c>
      <c r="AB83" s="102">
        <f t="shared" si="10"/>
        <v>0</v>
      </c>
      <c r="AC83" s="50" t="s">
        <v>57</v>
      </c>
      <c r="AD83" s="3"/>
      <c r="AE83" s="72"/>
      <c r="AF83" s="3"/>
      <c r="AG83" s="3"/>
      <c r="AH83" s="3"/>
      <c r="AI83" s="3"/>
      <c r="AJ83" s="3"/>
      <c r="AK83" s="3"/>
      <c r="AL83" s="62"/>
      <c r="AM83" s="62"/>
      <c r="AN83" s="62"/>
      <c r="AO83" s="3"/>
      <c r="AP83" s="3"/>
      <c r="AQ83" s="2"/>
      <c r="AR83" s="2"/>
      <c r="AS83" s="2"/>
      <c r="AT83" s="2"/>
      <c r="AU83" s="20"/>
      <c r="AV83" s="20"/>
      <c r="AW83" s="21"/>
    </row>
    <row r="84" spans="1:82" ht="15" hidden="1" x14ac:dyDescent="0.25">
      <c r="A84" s="443" t="s">
        <v>173</v>
      </c>
      <c r="B84" s="430"/>
      <c r="C84" s="430"/>
      <c r="D84" s="430"/>
      <c r="E84" s="430"/>
      <c r="F84" s="430"/>
      <c r="G84" s="430"/>
      <c r="H84" s="430"/>
      <c r="I84" s="430"/>
      <c r="J84" s="430"/>
      <c r="K84" s="430"/>
      <c r="L84" s="430"/>
      <c r="M84" s="430"/>
      <c r="N84" s="430"/>
      <c r="O84" s="430"/>
      <c r="P84" s="430"/>
      <c r="Q84" s="430"/>
      <c r="R84" s="430"/>
      <c r="S84" s="430"/>
      <c r="T84" s="430"/>
      <c r="U84" s="430"/>
      <c r="V84" s="430"/>
      <c r="W84" s="430"/>
      <c r="X84" s="430"/>
      <c r="Y84" s="430"/>
      <c r="Z84" s="430"/>
      <c r="AA84" s="431"/>
      <c r="AB84" s="431"/>
      <c r="AC84" s="431"/>
      <c r="AD84" s="431"/>
      <c r="AE84" s="432"/>
      <c r="AF84" s="444"/>
      <c r="AG84" s="2"/>
      <c r="AH84" s="2"/>
      <c r="AI84" s="2"/>
      <c r="AJ84" s="2"/>
      <c r="AK84" s="61"/>
      <c r="AL84" s="61"/>
      <c r="AM84" s="61"/>
      <c r="AN84" s="2"/>
      <c r="AO84" s="2"/>
      <c r="AP84" s="2"/>
      <c r="AQ84" s="2"/>
      <c r="AR84" s="2"/>
    </row>
    <row r="85" spans="1:82" ht="15" hidden="1" x14ac:dyDescent="0.25">
      <c r="A85" s="428" t="s">
        <v>96</v>
      </c>
      <c r="B85" s="429"/>
      <c r="C85" s="429"/>
      <c r="D85" s="429"/>
      <c r="E85" s="429"/>
      <c r="F85" s="429"/>
      <c r="G85" s="429"/>
      <c r="H85" s="429"/>
      <c r="I85" s="429"/>
      <c r="J85" s="429"/>
      <c r="K85" s="429"/>
      <c r="L85" s="429"/>
      <c r="M85" s="429"/>
      <c r="N85" s="429"/>
      <c r="O85" s="429"/>
      <c r="P85" s="429"/>
      <c r="Q85" s="429"/>
      <c r="R85" s="429"/>
      <c r="S85" s="429"/>
      <c r="T85" s="429"/>
      <c r="U85" s="429"/>
      <c r="V85" s="429"/>
      <c r="W85" s="429"/>
      <c r="X85" s="430"/>
      <c r="Y85" s="430"/>
      <c r="Z85" s="430"/>
      <c r="AA85" s="431"/>
      <c r="AB85" s="431"/>
      <c r="AC85" s="431"/>
      <c r="AD85" s="431"/>
      <c r="AE85" s="432"/>
      <c r="AF85" s="433"/>
      <c r="AG85" s="2"/>
      <c r="AH85" s="2"/>
      <c r="AI85" s="2"/>
      <c r="AJ85" s="2"/>
      <c r="AK85" s="61"/>
      <c r="AL85" s="61"/>
      <c r="AM85" s="61"/>
      <c r="AN85" s="2"/>
      <c r="AO85" s="2"/>
      <c r="AP85" s="2"/>
      <c r="AQ85" s="2"/>
      <c r="AR85" s="2"/>
    </row>
    <row r="86" spans="1:82" hidden="1" x14ac:dyDescent="0.2">
      <c r="A86" s="79" t="s">
        <v>174</v>
      </c>
      <c r="B86" s="80" t="s">
        <v>175</v>
      </c>
      <c r="C86" s="80">
        <v>4301011485</v>
      </c>
      <c r="D86" s="80">
        <v>4680115880269</v>
      </c>
      <c r="E86" s="81">
        <v>0.375</v>
      </c>
      <c r="F86" s="82">
        <v>10</v>
      </c>
      <c r="G86" s="81">
        <v>3.75</v>
      </c>
      <c r="H86" s="81">
        <v>3.96</v>
      </c>
      <c r="I86" s="83">
        <v>132</v>
      </c>
      <c r="J86" s="83" t="s">
        <v>100</v>
      </c>
      <c r="K86" s="84" t="s">
        <v>85</v>
      </c>
      <c r="L86" s="84"/>
      <c r="M86" s="423">
        <v>50</v>
      </c>
      <c r="N86" s="423"/>
      <c r="O86" s="5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P86" s="425"/>
      <c r="Q86" s="425"/>
      <c r="R86" s="425"/>
      <c r="S86" s="425"/>
      <c r="T86" s="85" t="s">
        <v>0</v>
      </c>
      <c r="U86" s="65">
        <v>0</v>
      </c>
      <c r="V86" s="66">
        <f>IFERROR(IF(U86="",0,CEILING((U86/$G86),1)*$G86),"")</f>
        <v>0</v>
      </c>
      <c r="W86" s="65">
        <v>0</v>
      </c>
      <c r="X86" s="66">
        <f>IFERROR(IF(W86="",0,CEILING((W86/$G86),1)*$G86),"")</f>
        <v>0</v>
      </c>
      <c r="Y86" s="65">
        <v>0</v>
      </c>
      <c r="Z86" s="66">
        <f>IFERROR(IF(Y86="",0,CEILING((Y86/$G86),1)*$G86),"")</f>
        <v>0</v>
      </c>
      <c r="AA86" s="65">
        <v>0</v>
      </c>
      <c r="AB86" s="66">
        <f>IFERROR(IF(AA86="",0,CEILING((AA86/$G86),1)*$G86),"")</f>
        <v>0</v>
      </c>
      <c r="AC86" s="67" t="str">
        <f>IF(IFERROR(ROUNDUP(V86/G86,0)*0.00902,0)+IFERROR(ROUNDUP(X86/G86,0)*0.00902,0)+IFERROR(ROUNDUP(Z86/G86,0)*0.00902,0)+IFERROR(ROUNDUP(AB86/G86,0)*0.00902,0)=0,"",IFERROR(ROUNDUP(V86/G86,0)*0.00902,0)+IFERROR(ROUNDUP(X86/G86,0)*0.00902,0)+IFERROR(ROUNDUP(Z86/G86,0)*0.00902,0)+IFERROR(ROUNDUP(AB86/G86,0)*0.00902,0))</f>
        <v/>
      </c>
      <c r="AD86" s="79" t="s">
        <v>57</v>
      </c>
      <c r="AE86" s="79" t="s">
        <v>57</v>
      </c>
      <c r="AF86" s="161" t="s">
        <v>176</v>
      </c>
      <c r="AG86" s="2"/>
      <c r="AH86" s="2"/>
      <c r="AI86" s="2"/>
      <c r="AJ86" s="2"/>
      <c r="AK86" s="2"/>
      <c r="AL86" s="61"/>
      <c r="AM86" s="61"/>
      <c r="AN86" s="61"/>
      <c r="AO86" s="2"/>
      <c r="AP86" s="2"/>
      <c r="AQ86" s="2"/>
      <c r="AR86" s="2"/>
      <c r="AS86" s="2"/>
      <c r="AT86" s="2"/>
      <c r="AU86" s="20"/>
      <c r="AV86" s="20"/>
      <c r="AW86" s="21"/>
      <c r="BB86" s="160" t="s">
        <v>65</v>
      </c>
      <c r="BO86" s="77">
        <f>IFERROR(U86*H86/G86,0)</f>
        <v>0</v>
      </c>
      <c r="BP86" s="77">
        <f>IFERROR(V86*H86/G86,0)</f>
        <v>0</v>
      </c>
      <c r="BQ86" s="77">
        <f>IFERROR(1/I86*(U86/G86),0)</f>
        <v>0</v>
      </c>
      <c r="BR86" s="77">
        <f>IFERROR(1/I86*(V86/G86),0)</f>
        <v>0</v>
      </c>
      <c r="BS86" s="77">
        <f>IFERROR(W86*H86/G86,0)</f>
        <v>0</v>
      </c>
      <c r="BT86" s="77">
        <f>IFERROR(X86*H86/G86,0)</f>
        <v>0</v>
      </c>
      <c r="BU86" s="77">
        <f>IFERROR(1/I86*(W86/G86),0)</f>
        <v>0</v>
      </c>
      <c r="BV86" s="77">
        <f>IFERROR(1/I86*(X86/G86),0)</f>
        <v>0</v>
      </c>
      <c r="BW86" s="77">
        <f>IFERROR(Y86*H86/G86,0)</f>
        <v>0</v>
      </c>
      <c r="BX86" s="77">
        <f>IFERROR(Z86*H86/G86,0)</f>
        <v>0</v>
      </c>
      <c r="BY86" s="77">
        <f>IFERROR(1/I86*(Y86/G86),0)</f>
        <v>0</v>
      </c>
      <c r="BZ86" s="77">
        <f>IFERROR(1/I86*(Z86/G86),0)</f>
        <v>0</v>
      </c>
      <c r="CA86" s="77">
        <f>IFERROR(AA86*H86/G86,0)</f>
        <v>0</v>
      </c>
      <c r="CB86" s="77">
        <f>IFERROR(AB86*H86/G86,0)</f>
        <v>0</v>
      </c>
      <c r="CC86" s="77">
        <f>IFERROR(1/I86*(AA86/G86),0)</f>
        <v>0</v>
      </c>
      <c r="CD86" s="77">
        <f>IFERROR(1/I86*(AB86/G86),0)</f>
        <v>0</v>
      </c>
    </row>
    <row r="87" spans="1:82" hidden="1" x14ac:dyDescent="0.2">
      <c r="A87" s="420"/>
      <c r="B87" s="420"/>
      <c r="C87" s="420"/>
      <c r="D87" s="420"/>
      <c r="E87" s="420"/>
      <c r="F87" s="420"/>
      <c r="G87" s="420"/>
      <c r="H87" s="420"/>
      <c r="I87" s="420"/>
      <c r="J87" s="420"/>
      <c r="K87" s="420"/>
      <c r="L87" s="420"/>
      <c r="M87" s="420"/>
      <c r="N87" s="420"/>
      <c r="O87" s="426" t="s">
        <v>43</v>
      </c>
      <c r="P87" s="427"/>
      <c r="Q87" s="427"/>
      <c r="R87" s="427"/>
      <c r="S87" s="427"/>
      <c r="T87" s="39" t="s">
        <v>42</v>
      </c>
      <c r="U87" s="50">
        <f>IFERROR(U86/G86,0)</f>
        <v>0</v>
      </c>
      <c r="V87" s="50">
        <f>IFERROR(V86/G86,0)</f>
        <v>0</v>
      </c>
      <c r="W87" s="50">
        <f>IFERROR(W86/G86,0)</f>
        <v>0</v>
      </c>
      <c r="X87" s="50">
        <f>IFERROR(X86/G86,0)</f>
        <v>0</v>
      </c>
      <c r="Y87" s="50">
        <f>IFERROR(Y86/G86,0)</f>
        <v>0</v>
      </c>
      <c r="Z87" s="50">
        <f>IFERROR(Z86/G86,0)</f>
        <v>0</v>
      </c>
      <c r="AA87" s="50">
        <f>IFERROR(AA86/G86,0)</f>
        <v>0</v>
      </c>
      <c r="AB87" s="50">
        <f>IFERROR(AB86/G86,0)</f>
        <v>0</v>
      </c>
      <c r="AC87" s="50">
        <f>IFERROR(IF(AC86="",0,AC86),0)</f>
        <v>0</v>
      </c>
      <c r="AD87" s="3"/>
      <c r="AE87" s="72"/>
      <c r="AF87" s="3"/>
      <c r="AG87" s="3"/>
      <c r="AH87" s="3"/>
      <c r="AI87" s="3"/>
      <c r="AJ87" s="3"/>
      <c r="AK87" s="3"/>
      <c r="AL87" s="62"/>
      <c r="AM87" s="62"/>
      <c r="AN87" s="62"/>
      <c r="AO87" s="3"/>
      <c r="AP87" s="3"/>
      <c r="AQ87" s="2"/>
      <c r="AR87" s="2"/>
      <c r="AS87" s="2"/>
      <c r="AT87" s="2"/>
      <c r="AU87" s="20"/>
      <c r="AV87" s="20"/>
      <c r="AW87" s="21"/>
    </row>
    <row r="88" spans="1:82" hidden="1" x14ac:dyDescent="0.2">
      <c r="A88" s="420"/>
      <c r="B88" s="420"/>
      <c r="C88" s="420"/>
      <c r="D88" s="420"/>
      <c r="E88" s="420"/>
      <c r="F88" s="420"/>
      <c r="G88" s="420"/>
      <c r="H88" s="420"/>
      <c r="I88" s="420"/>
      <c r="J88" s="420"/>
      <c r="K88" s="420"/>
      <c r="L88" s="420"/>
      <c r="M88" s="420"/>
      <c r="N88" s="420"/>
      <c r="O88" s="426" t="s">
        <v>43</v>
      </c>
      <c r="P88" s="427"/>
      <c r="Q88" s="427"/>
      <c r="R88" s="427"/>
      <c r="S88" s="427"/>
      <c r="T88" s="39" t="s">
        <v>0</v>
      </c>
      <c r="U88" s="102">
        <f t="shared" ref="U88:AB88" si="11">IFERROR(SUM(U86:U86),0)</f>
        <v>0</v>
      </c>
      <c r="V88" s="102">
        <f t="shared" si="11"/>
        <v>0</v>
      </c>
      <c r="W88" s="102">
        <f t="shared" si="11"/>
        <v>0</v>
      </c>
      <c r="X88" s="102">
        <f t="shared" si="11"/>
        <v>0</v>
      </c>
      <c r="Y88" s="102">
        <f t="shared" si="11"/>
        <v>0</v>
      </c>
      <c r="Z88" s="102">
        <f t="shared" si="11"/>
        <v>0</v>
      </c>
      <c r="AA88" s="102">
        <f t="shared" si="11"/>
        <v>0</v>
      </c>
      <c r="AB88" s="102">
        <f t="shared" si="11"/>
        <v>0</v>
      </c>
      <c r="AC88" s="50" t="s">
        <v>57</v>
      </c>
      <c r="AD88" s="3"/>
      <c r="AE88" s="72"/>
      <c r="AF88" s="3"/>
      <c r="AG88" s="3"/>
      <c r="AH88" s="3"/>
      <c r="AI88" s="3"/>
      <c r="AJ88" s="3"/>
      <c r="AK88" s="3"/>
      <c r="AL88" s="62"/>
      <c r="AM88" s="62"/>
      <c r="AN88" s="62"/>
      <c r="AO88" s="3"/>
      <c r="AP88" s="3"/>
      <c r="AQ88" s="2"/>
      <c r="AR88" s="2"/>
      <c r="AS88" s="2"/>
      <c r="AT88" s="2"/>
      <c r="AU88" s="20"/>
      <c r="AV88" s="20"/>
      <c r="AW88" s="21"/>
    </row>
    <row r="89" spans="1:82" ht="15" hidden="1" x14ac:dyDescent="0.25">
      <c r="A89" s="428" t="s">
        <v>123</v>
      </c>
      <c r="B89" s="429"/>
      <c r="C89" s="429"/>
      <c r="D89" s="429"/>
      <c r="E89" s="429"/>
      <c r="F89" s="429"/>
      <c r="G89" s="429"/>
      <c r="H89" s="429"/>
      <c r="I89" s="429"/>
      <c r="J89" s="429"/>
      <c r="K89" s="429"/>
      <c r="L89" s="429"/>
      <c r="M89" s="429"/>
      <c r="N89" s="429"/>
      <c r="O89" s="429"/>
      <c r="P89" s="429"/>
      <c r="Q89" s="429"/>
      <c r="R89" s="429"/>
      <c r="S89" s="429"/>
      <c r="T89" s="429"/>
      <c r="U89" s="429"/>
      <c r="V89" s="429"/>
      <c r="W89" s="429"/>
      <c r="X89" s="430"/>
      <c r="Y89" s="430"/>
      <c r="Z89" s="430"/>
      <c r="AA89" s="431"/>
      <c r="AB89" s="431"/>
      <c r="AC89" s="431"/>
      <c r="AD89" s="431"/>
      <c r="AE89" s="432"/>
      <c r="AF89" s="433"/>
      <c r="AG89" s="2"/>
      <c r="AH89" s="2"/>
      <c r="AI89" s="2"/>
      <c r="AJ89" s="2"/>
      <c r="AK89" s="61"/>
      <c r="AL89" s="61"/>
      <c r="AM89" s="61"/>
      <c r="AN89" s="2"/>
      <c r="AO89" s="2"/>
      <c r="AP89" s="2"/>
      <c r="AQ89" s="2"/>
      <c r="AR89" s="2"/>
    </row>
    <row r="90" spans="1:82" hidden="1" x14ac:dyDescent="0.2">
      <c r="A90" s="79" t="s">
        <v>177</v>
      </c>
      <c r="B90" s="80" t="s">
        <v>178</v>
      </c>
      <c r="C90" s="80">
        <v>4301020346</v>
      </c>
      <c r="D90" s="80">
        <v>4680115882775</v>
      </c>
      <c r="E90" s="81">
        <v>0.3</v>
      </c>
      <c r="F90" s="82">
        <v>8</v>
      </c>
      <c r="G90" s="81">
        <v>2.4</v>
      </c>
      <c r="H90" s="81">
        <v>2.5</v>
      </c>
      <c r="I90" s="83">
        <v>234</v>
      </c>
      <c r="J90" s="83" t="s">
        <v>133</v>
      </c>
      <c r="K90" s="84" t="s">
        <v>106</v>
      </c>
      <c r="L90" s="84"/>
      <c r="M90" s="423">
        <v>55</v>
      </c>
      <c r="N90" s="423"/>
      <c r="O90" s="5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P90" s="425"/>
      <c r="Q90" s="425"/>
      <c r="R90" s="425"/>
      <c r="S90" s="425"/>
      <c r="T90" s="85" t="s">
        <v>0</v>
      </c>
      <c r="U90" s="65">
        <v>0</v>
      </c>
      <c r="V90" s="66">
        <f>IFERROR(IF(U90="",0,CEILING((U90/$G90),1)*$G90),"")</f>
        <v>0</v>
      </c>
      <c r="W90" s="65">
        <v>0</v>
      </c>
      <c r="X90" s="66">
        <f>IFERROR(IF(W90="",0,CEILING((W90/$G90),1)*$G90),"")</f>
        <v>0</v>
      </c>
      <c r="Y90" s="65">
        <v>0</v>
      </c>
      <c r="Z90" s="66">
        <f>IFERROR(IF(Y90="",0,CEILING((Y90/$G90),1)*$G90),"")</f>
        <v>0</v>
      </c>
      <c r="AA90" s="65">
        <v>0</v>
      </c>
      <c r="AB90" s="66">
        <f>IFERROR(IF(AA90="",0,CEILING((AA90/$G90),1)*$G90),"")</f>
        <v>0</v>
      </c>
      <c r="AC90" s="67" t="str">
        <f>IF(IFERROR(ROUNDUP(V90/G90,0)*0.00502,0)+IFERROR(ROUNDUP(X90/G90,0)*0.00502,0)+IFERROR(ROUNDUP(Z90/G90,0)*0.00502,0)+IFERROR(ROUNDUP(AB90/G90,0)*0.00502,0)=0,"",IFERROR(ROUNDUP(V90/G90,0)*0.00502,0)+IFERROR(ROUNDUP(X90/G90,0)*0.00502,0)+IFERROR(ROUNDUP(Z90/G90,0)*0.00502,0)+IFERROR(ROUNDUP(AB90/G90,0)*0.00502,0))</f>
        <v/>
      </c>
      <c r="AD90" s="79" t="s">
        <v>57</v>
      </c>
      <c r="AE90" s="79" t="s">
        <v>57</v>
      </c>
      <c r="AF90" s="163" t="s">
        <v>179</v>
      </c>
      <c r="AG90" s="2"/>
      <c r="AH90" s="2"/>
      <c r="AI90" s="2"/>
      <c r="AJ90" s="2"/>
      <c r="AK90" s="2"/>
      <c r="AL90" s="61"/>
      <c r="AM90" s="61"/>
      <c r="AN90" s="61"/>
      <c r="AO90" s="2"/>
      <c r="AP90" s="2"/>
      <c r="AQ90" s="2"/>
      <c r="AR90" s="2"/>
      <c r="AS90" s="2"/>
      <c r="AT90" s="2"/>
      <c r="AU90" s="20"/>
      <c r="AV90" s="20"/>
      <c r="AW90" s="21"/>
      <c r="BB90" s="162" t="s">
        <v>65</v>
      </c>
      <c r="BO90" s="77">
        <f>IFERROR(U90*H90/G90,0)</f>
        <v>0</v>
      </c>
      <c r="BP90" s="77">
        <f>IFERROR(V90*H90/G90,0)</f>
        <v>0</v>
      </c>
      <c r="BQ90" s="77">
        <f>IFERROR(1/I90*(U90/G90),0)</f>
        <v>0</v>
      </c>
      <c r="BR90" s="77">
        <f>IFERROR(1/I90*(V90/G90),0)</f>
        <v>0</v>
      </c>
      <c r="BS90" s="77">
        <f>IFERROR(W90*H90/G90,0)</f>
        <v>0</v>
      </c>
      <c r="BT90" s="77">
        <f>IFERROR(X90*H90/G90,0)</f>
        <v>0</v>
      </c>
      <c r="BU90" s="77">
        <f>IFERROR(1/I90*(W90/G90),0)</f>
        <v>0</v>
      </c>
      <c r="BV90" s="77">
        <f>IFERROR(1/I90*(X90/G90),0)</f>
        <v>0</v>
      </c>
      <c r="BW90" s="77">
        <f>IFERROR(Y90*H90/G90,0)</f>
        <v>0</v>
      </c>
      <c r="BX90" s="77">
        <f>IFERROR(Z90*H90/G90,0)</f>
        <v>0</v>
      </c>
      <c r="BY90" s="77">
        <f>IFERROR(1/I90*(Y90/G90),0)</f>
        <v>0</v>
      </c>
      <c r="BZ90" s="77">
        <f>IFERROR(1/I90*(Z90/G90),0)</f>
        <v>0</v>
      </c>
      <c r="CA90" s="77">
        <f>IFERROR(AA90*H90/G90,0)</f>
        <v>0</v>
      </c>
      <c r="CB90" s="77">
        <f>IFERROR(AB90*H90/G90,0)</f>
        <v>0</v>
      </c>
      <c r="CC90" s="77">
        <f>IFERROR(1/I90*(AA90/G90),0)</f>
        <v>0</v>
      </c>
      <c r="CD90" s="77">
        <f>IFERROR(1/I90*(AB90/G90),0)</f>
        <v>0</v>
      </c>
    </row>
    <row r="91" spans="1:82" hidden="1" x14ac:dyDescent="0.2">
      <c r="A91" s="420"/>
      <c r="B91" s="420"/>
      <c r="C91" s="420"/>
      <c r="D91" s="420"/>
      <c r="E91" s="420"/>
      <c r="F91" s="420"/>
      <c r="G91" s="420"/>
      <c r="H91" s="420"/>
      <c r="I91" s="420"/>
      <c r="J91" s="420"/>
      <c r="K91" s="420"/>
      <c r="L91" s="420"/>
      <c r="M91" s="420"/>
      <c r="N91" s="420"/>
      <c r="O91" s="426" t="s">
        <v>43</v>
      </c>
      <c r="P91" s="427"/>
      <c r="Q91" s="427"/>
      <c r="R91" s="427"/>
      <c r="S91" s="427"/>
      <c r="T91" s="39" t="s">
        <v>42</v>
      </c>
      <c r="U91" s="50">
        <f>IFERROR(U90/G90,0)</f>
        <v>0</v>
      </c>
      <c r="V91" s="50">
        <f>IFERROR(V90/G90,0)</f>
        <v>0</v>
      </c>
      <c r="W91" s="50">
        <f>IFERROR(W90/G90,0)</f>
        <v>0</v>
      </c>
      <c r="X91" s="50">
        <f>IFERROR(X90/G90,0)</f>
        <v>0</v>
      </c>
      <c r="Y91" s="50">
        <f>IFERROR(Y90/G90,0)</f>
        <v>0</v>
      </c>
      <c r="Z91" s="50">
        <f>IFERROR(Z90/G90,0)</f>
        <v>0</v>
      </c>
      <c r="AA91" s="50">
        <f>IFERROR(AA90/G90,0)</f>
        <v>0</v>
      </c>
      <c r="AB91" s="50">
        <f>IFERROR(AB90/G90,0)</f>
        <v>0</v>
      </c>
      <c r="AC91" s="50">
        <f>IFERROR(IF(AC90="",0,AC90),0)</f>
        <v>0</v>
      </c>
      <c r="AD91" s="3"/>
      <c r="AE91" s="72"/>
      <c r="AF91" s="3"/>
      <c r="AG91" s="3"/>
      <c r="AH91" s="3"/>
      <c r="AI91" s="3"/>
      <c r="AJ91" s="3"/>
      <c r="AK91" s="3"/>
      <c r="AL91" s="62"/>
      <c r="AM91" s="62"/>
      <c r="AN91" s="62"/>
      <c r="AO91" s="3"/>
      <c r="AP91" s="3"/>
      <c r="AQ91" s="2"/>
      <c r="AR91" s="2"/>
      <c r="AS91" s="2"/>
      <c r="AT91" s="2"/>
      <c r="AU91" s="20"/>
      <c r="AV91" s="20"/>
      <c r="AW91" s="21"/>
    </row>
    <row r="92" spans="1:82" hidden="1" x14ac:dyDescent="0.2">
      <c r="A92" s="420"/>
      <c r="B92" s="420"/>
      <c r="C92" s="420"/>
      <c r="D92" s="420"/>
      <c r="E92" s="420"/>
      <c r="F92" s="420"/>
      <c r="G92" s="420"/>
      <c r="H92" s="420"/>
      <c r="I92" s="420"/>
      <c r="J92" s="420"/>
      <c r="K92" s="420"/>
      <c r="L92" s="420"/>
      <c r="M92" s="420"/>
      <c r="N92" s="420"/>
      <c r="O92" s="426" t="s">
        <v>43</v>
      </c>
      <c r="P92" s="427"/>
      <c r="Q92" s="427"/>
      <c r="R92" s="427"/>
      <c r="S92" s="427"/>
      <c r="T92" s="39" t="s">
        <v>0</v>
      </c>
      <c r="U92" s="102">
        <f t="shared" ref="U92:AB92" si="12">IFERROR(SUM(U90:U90),0)</f>
        <v>0</v>
      </c>
      <c r="V92" s="102">
        <f t="shared" si="12"/>
        <v>0</v>
      </c>
      <c r="W92" s="102">
        <f t="shared" si="12"/>
        <v>0</v>
      </c>
      <c r="X92" s="102">
        <f t="shared" si="12"/>
        <v>0</v>
      </c>
      <c r="Y92" s="102">
        <f t="shared" si="12"/>
        <v>0</v>
      </c>
      <c r="Z92" s="102">
        <f t="shared" si="12"/>
        <v>0</v>
      </c>
      <c r="AA92" s="102">
        <f t="shared" si="12"/>
        <v>0</v>
      </c>
      <c r="AB92" s="102">
        <f t="shared" si="12"/>
        <v>0</v>
      </c>
      <c r="AC92" s="50" t="s">
        <v>57</v>
      </c>
      <c r="AD92" s="3"/>
      <c r="AE92" s="72"/>
      <c r="AF92" s="3"/>
      <c r="AG92" s="3"/>
      <c r="AH92" s="3"/>
      <c r="AI92" s="3"/>
      <c r="AJ92" s="3"/>
      <c r="AK92" s="3"/>
      <c r="AL92" s="62"/>
      <c r="AM92" s="62"/>
      <c r="AN92" s="62"/>
      <c r="AO92" s="3"/>
      <c r="AP92" s="3"/>
      <c r="AQ92" s="2"/>
      <c r="AR92" s="2"/>
      <c r="AS92" s="2"/>
      <c r="AT92" s="2"/>
      <c r="AU92" s="20"/>
      <c r="AV92" s="20"/>
      <c r="AW92" s="21"/>
    </row>
    <row r="93" spans="1:82" ht="15" hidden="1" x14ac:dyDescent="0.25">
      <c r="A93" s="428" t="s">
        <v>82</v>
      </c>
      <c r="B93" s="429"/>
      <c r="C93" s="429"/>
      <c r="D93" s="429"/>
      <c r="E93" s="429"/>
      <c r="F93" s="429"/>
      <c r="G93" s="429"/>
      <c r="H93" s="429"/>
      <c r="I93" s="429"/>
      <c r="J93" s="429"/>
      <c r="K93" s="429"/>
      <c r="L93" s="429"/>
      <c r="M93" s="429"/>
      <c r="N93" s="429"/>
      <c r="O93" s="429"/>
      <c r="P93" s="429"/>
      <c r="Q93" s="429"/>
      <c r="R93" s="429"/>
      <c r="S93" s="429"/>
      <c r="T93" s="429"/>
      <c r="U93" s="429"/>
      <c r="V93" s="429"/>
      <c r="W93" s="429"/>
      <c r="X93" s="430"/>
      <c r="Y93" s="430"/>
      <c r="Z93" s="430"/>
      <c r="AA93" s="431"/>
      <c r="AB93" s="431"/>
      <c r="AC93" s="431"/>
      <c r="AD93" s="431"/>
      <c r="AE93" s="432"/>
      <c r="AF93" s="433"/>
      <c r="AG93" s="2"/>
      <c r="AH93" s="2"/>
      <c r="AI93" s="2"/>
      <c r="AJ93" s="2"/>
      <c r="AK93" s="61"/>
      <c r="AL93" s="61"/>
      <c r="AM93" s="61"/>
      <c r="AN93" s="2"/>
      <c r="AO93" s="2"/>
      <c r="AP93" s="2"/>
      <c r="AQ93" s="2"/>
      <c r="AR93" s="2"/>
    </row>
    <row r="94" spans="1:82" hidden="1" x14ac:dyDescent="0.2">
      <c r="A94" s="79" t="s">
        <v>180</v>
      </c>
      <c r="B94" s="80" t="s">
        <v>181</v>
      </c>
      <c r="C94" s="80">
        <v>4301051720</v>
      </c>
      <c r="D94" s="80">
        <v>4607091385748</v>
      </c>
      <c r="E94" s="81">
        <v>0.45</v>
      </c>
      <c r="F94" s="82">
        <v>6</v>
      </c>
      <c r="G94" s="81">
        <v>2.7</v>
      </c>
      <c r="H94" s="81">
        <v>2.952</v>
      </c>
      <c r="I94" s="83">
        <v>182</v>
      </c>
      <c r="J94" s="83" t="s">
        <v>86</v>
      </c>
      <c r="K94" s="84" t="s">
        <v>99</v>
      </c>
      <c r="L94" s="84"/>
      <c r="M94" s="423">
        <v>45</v>
      </c>
      <c r="N94" s="423"/>
      <c r="O94" s="558" t="s">
        <v>182</v>
      </c>
      <c r="P94" s="425"/>
      <c r="Q94" s="425"/>
      <c r="R94" s="425"/>
      <c r="S94" s="425"/>
      <c r="T94" s="85" t="s">
        <v>0</v>
      </c>
      <c r="U94" s="65">
        <v>0</v>
      </c>
      <c r="V94" s="66">
        <f>IFERROR(IF(U94="",0,CEILING((U94/$G94),1)*$G94),"")</f>
        <v>0</v>
      </c>
      <c r="W94" s="65">
        <v>0</v>
      </c>
      <c r="X94" s="66">
        <f>IFERROR(IF(W94="",0,CEILING((W94/$G94),1)*$G94),"")</f>
        <v>0</v>
      </c>
      <c r="Y94" s="65">
        <v>0</v>
      </c>
      <c r="Z94" s="66">
        <f>IFERROR(IF(Y94="",0,CEILING((Y94/$G94),1)*$G94),"")</f>
        <v>0</v>
      </c>
      <c r="AA94" s="65">
        <v>0</v>
      </c>
      <c r="AB94" s="66">
        <f>IFERROR(IF(AA94="",0,CEILING((AA94/$G94),1)*$G94),"")</f>
        <v>0</v>
      </c>
      <c r="AC94" s="67" t="str">
        <f>IF(IFERROR(ROUNDUP(V94/G94,0)*0.00651,0)+IFERROR(ROUNDUP(X94/G94,0)*0.00651,0)+IFERROR(ROUNDUP(Z94/G94,0)*0.00651,0)+IFERROR(ROUNDUP(AB94/G94,0)*0.00651,0)=0,"",IFERROR(ROUNDUP(V94/G94,0)*0.00651,0)+IFERROR(ROUNDUP(X94/G94,0)*0.00651,0)+IFERROR(ROUNDUP(Z94/G94,0)*0.00651,0)+IFERROR(ROUNDUP(AB94/G94,0)*0.00651,0))</f>
        <v/>
      </c>
      <c r="AD94" s="79" t="s">
        <v>57</v>
      </c>
      <c r="AE94" s="79" t="s">
        <v>57</v>
      </c>
      <c r="AF94" s="165" t="s">
        <v>183</v>
      </c>
      <c r="AG94" s="2"/>
      <c r="AH94" s="2"/>
      <c r="AI94" s="2"/>
      <c r="AJ94" s="2"/>
      <c r="AK94" s="2"/>
      <c r="AL94" s="61"/>
      <c r="AM94" s="61"/>
      <c r="AN94" s="61"/>
      <c r="AO94" s="2"/>
      <c r="AP94" s="2"/>
      <c r="AQ94" s="2"/>
      <c r="AR94" s="2"/>
      <c r="AS94" s="2"/>
      <c r="AT94" s="2"/>
      <c r="AU94" s="20"/>
      <c r="AV94" s="20"/>
      <c r="AW94" s="21"/>
      <c r="BB94" s="164" t="s">
        <v>65</v>
      </c>
      <c r="BO94" s="77">
        <f>IFERROR(U94*H94/G94,0)</f>
        <v>0</v>
      </c>
      <c r="BP94" s="77">
        <f>IFERROR(V94*H94/G94,0)</f>
        <v>0</v>
      </c>
      <c r="BQ94" s="77">
        <f>IFERROR(1/I94*(U94/G94),0)</f>
        <v>0</v>
      </c>
      <c r="BR94" s="77">
        <f>IFERROR(1/I94*(V94/G94),0)</f>
        <v>0</v>
      </c>
      <c r="BS94" s="77">
        <f>IFERROR(W94*H94/G94,0)</f>
        <v>0</v>
      </c>
      <c r="BT94" s="77">
        <f>IFERROR(X94*H94/G94,0)</f>
        <v>0</v>
      </c>
      <c r="BU94" s="77">
        <f>IFERROR(1/I94*(W94/G94),0)</f>
        <v>0</v>
      </c>
      <c r="BV94" s="77">
        <f>IFERROR(1/I94*(X94/G94),0)</f>
        <v>0</v>
      </c>
      <c r="BW94" s="77">
        <f>IFERROR(Y94*H94/G94,0)</f>
        <v>0</v>
      </c>
      <c r="BX94" s="77">
        <f>IFERROR(Z94*H94/G94,0)</f>
        <v>0</v>
      </c>
      <c r="BY94" s="77">
        <f>IFERROR(1/I94*(Y94/G94),0)</f>
        <v>0</v>
      </c>
      <c r="BZ94" s="77">
        <f>IFERROR(1/I94*(Z94/G94),0)</f>
        <v>0</v>
      </c>
      <c r="CA94" s="77">
        <f>IFERROR(AA94*H94/G94,0)</f>
        <v>0</v>
      </c>
      <c r="CB94" s="77">
        <f>IFERROR(AB94*H94/G94,0)</f>
        <v>0</v>
      </c>
      <c r="CC94" s="77">
        <f>IFERROR(1/I94*(AA94/G94),0)</f>
        <v>0</v>
      </c>
      <c r="CD94" s="77">
        <f>IFERROR(1/I94*(AB94/G94),0)</f>
        <v>0</v>
      </c>
    </row>
    <row r="95" spans="1:82" ht="33.75" hidden="1" x14ac:dyDescent="0.2">
      <c r="A95" s="79" t="s">
        <v>184</v>
      </c>
      <c r="B95" s="80" t="s">
        <v>185</v>
      </c>
      <c r="C95" s="80">
        <v>4301051926</v>
      </c>
      <c r="D95" s="80">
        <v>4680115882645</v>
      </c>
      <c r="E95" s="81">
        <v>0.3</v>
      </c>
      <c r="F95" s="82">
        <v>6</v>
      </c>
      <c r="G95" s="81">
        <v>1.8</v>
      </c>
      <c r="H95" s="81">
        <v>2.64</v>
      </c>
      <c r="I95" s="83">
        <v>182</v>
      </c>
      <c r="J95" s="83" t="s">
        <v>86</v>
      </c>
      <c r="K95" s="84" t="s">
        <v>85</v>
      </c>
      <c r="L95" s="84"/>
      <c r="M95" s="423">
        <v>40</v>
      </c>
      <c r="N95" s="423"/>
      <c r="O95" s="55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P95" s="425"/>
      <c r="Q95" s="425"/>
      <c r="R95" s="425"/>
      <c r="S95" s="425"/>
      <c r="T95" s="85" t="s">
        <v>0</v>
      </c>
      <c r="U95" s="65">
        <v>0</v>
      </c>
      <c r="V95" s="66">
        <f>IFERROR(IF(U95="",0,CEILING((U95/$G95),1)*$G95),"")</f>
        <v>0</v>
      </c>
      <c r="W95" s="65">
        <v>0</v>
      </c>
      <c r="X95" s="66">
        <f>IFERROR(IF(W95="",0,CEILING((W95/$G95),1)*$G95),"")</f>
        <v>0</v>
      </c>
      <c r="Y95" s="65">
        <v>0</v>
      </c>
      <c r="Z95" s="66">
        <f>IFERROR(IF(Y95="",0,CEILING((Y95/$G95),1)*$G95),"")</f>
        <v>0</v>
      </c>
      <c r="AA95" s="65">
        <v>0</v>
      </c>
      <c r="AB95" s="66">
        <f>IFERROR(IF(AA95="",0,CEILING((AA95/$G95),1)*$G95),"")</f>
        <v>0</v>
      </c>
      <c r="AC95" s="67" t="str">
        <f>IF(IFERROR(ROUNDUP(V95/G95,0)*0.00651,0)+IFERROR(ROUNDUP(X95/G95,0)*0.00651,0)+IFERROR(ROUNDUP(Z95/G95,0)*0.00651,0)+IFERROR(ROUNDUP(AB95/G95,0)*0.00651,0)=0,"",IFERROR(ROUNDUP(V95/G95,0)*0.00651,0)+IFERROR(ROUNDUP(X95/G95,0)*0.00651,0)+IFERROR(ROUNDUP(Z95/G95,0)*0.00651,0)+IFERROR(ROUNDUP(AB95/G95,0)*0.00651,0))</f>
        <v/>
      </c>
      <c r="AD95" s="79" t="s">
        <v>57</v>
      </c>
      <c r="AE95" s="79" t="s">
        <v>57</v>
      </c>
      <c r="AF95" s="167" t="s">
        <v>186</v>
      </c>
      <c r="AG95" s="2"/>
      <c r="AH95" s="2"/>
      <c r="AI95" s="2"/>
      <c r="AJ95" s="2"/>
      <c r="AK95" s="2"/>
      <c r="AL95" s="61"/>
      <c r="AM95" s="61"/>
      <c r="AN95" s="61"/>
      <c r="AO95" s="2"/>
      <c r="AP95" s="2"/>
      <c r="AQ95" s="2"/>
      <c r="AR95" s="2"/>
      <c r="AS95" s="2"/>
      <c r="AT95" s="2"/>
      <c r="AU95" s="20"/>
      <c r="AV95" s="20"/>
      <c r="AW95" s="21"/>
      <c r="BB95" s="166" t="s">
        <v>65</v>
      </c>
      <c r="BO95" s="77">
        <f>IFERROR(U95*H95/G95,0)</f>
        <v>0</v>
      </c>
      <c r="BP95" s="77">
        <f>IFERROR(V95*H95/G95,0)</f>
        <v>0</v>
      </c>
      <c r="BQ95" s="77">
        <f>IFERROR(1/I95*(U95/G95),0)</f>
        <v>0</v>
      </c>
      <c r="BR95" s="77">
        <f>IFERROR(1/I95*(V95/G95),0)</f>
        <v>0</v>
      </c>
      <c r="BS95" s="77">
        <f>IFERROR(W95*H95/G95,0)</f>
        <v>0</v>
      </c>
      <c r="BT95" s="77">
        <f>IFERROR(X95*H95/G95,0)</f>
        <v>0</v>
      </c>
      <c r="BU95" s="77">
        <f>IFERROR(1/I95*(W95/G95),0)</f>
        <v>0</v>
      </c>
      <c r="BV95" s="77">
        <f>IFERROR(1/I95*(X95/G95),0)</f>
        <v>0</v>
      </c>
      <c r="BW95" s="77">
        <f>IFERROR(Y95*H95/G95,0)</f>
        <v>0</v>
      </c>
      <c r="BX95" s="77">
        <f>IFERROR(Z95*H95/G95,0)</f>
        <v>0</v>
      </c>
      <c r="BY95" s="77">
        <f>IFERROR(1/I95*(Y95/G95),0)</f>
        <v>0</v>
      </c>
      <c r="BZ95" s="77">
        <f>IFERROR(1/I95*(Z95/G95),0)</f>
        <v>0</v>
      </c>
      <c r="CA95" s="77">
        <f>IFERROR(AA95*H95/G95,0)</f>
        <v>0</v>
      </c>
      <c r="CB95" s="77">
        <f>IFERROR(AB95*H95/G95,0)</f>
        <v>0</v>
      </c>
      <c r="CC95" s="77">
        <f>IFERROR(1/I95*(AA95/G95),0)</f>
        <v>0</v>
      </c>
      <c r="CD95" s="77">
        <f>IFERROR(1/I95*(AB95/G95),0)</f>
        <v>0</v>
      </c>
    </row>
    <row r="96" spans="1:82" hidden="1" x14ac:dyDescent="0.2">
      <c r="A96" s="420"/>
      <c r="B96" s="420"/>
      <c r="C96" s="420"/>
      <c r="D96" s="420"/>
      <c r="E96" s="420"/>
      <c r="F96" s="420"/>
      <c r="G96" s="420"/>
      <c r="H96" s="420"/>
      <c r="I96" s="420"/>
      <c r="J96" s="420"/>
      <c r="K96" s="420"/>
      <c r="L96" s="420"/>
      <c r="M96" s="420"/>
      <c r="N96" s="420"/>
      <c r="O96" s="426" t="s">
        <v>43</v>
      </c>
      <c r="P96" s="427"/>
      <c r="Q96" s="427"/>
      <c r="R96" s="427"/>
      <c r="S96" s="427"/>
      <c r="T96" s="39" t="s">
        <v>42</v>
      </c>
      <c r="U96" s="50">
        <f>IFERROR(U94/G94,0)+IFERROR(U95/G95,0)</f>
        <v>0</v>
      </c>
      <c r="V96" s="50">
        <f>IFERROR(V94/G94,0)+IFERROR(V95/G95,0)</f>
        <v>0</v>
      </c>
      <c r="W96" s="50">
        <f>IFERROR(W94/G94,0)+IFERROR(W95/G95,0)</f>
        <v>0</v>
      </c>
      <c r="X96" s="50">
        <f>IFERROR(X94/G94,0)+IFERROR(X95/G95,0)</f>
        <v>0</v>
      </c>
      <c r="Y96" s="50">
        <f>IFERROR(Y94/G94,0)+IFERROR(Y95/G95,0)</f>
        <v>0</v>
      </c>
      <c r="Z96" s="50">
        <f>IFERROR(Z94/G94,0)+IFERROR(Z95/G95,0)</f>
        <v>0</v>
      </c>
      <c r="AA96" s="50">
        <f>IFERROR(AA94/G94,0)+IFERROR(AA95/G95,0)</f>
        <v>0</v>
      </c>
      <c r="AB96" s="50">
        <f>IFERROR(AB94/G94,0)+IFERROR(AB95/G95,0)</f>
        <v>0</v>
      </c>
      <c r="AC96" s="50">
        <f>IFERROR(IF(AC94="",0,AC94),0)+IFERROR(IF(AC95="",0,AC95),0)</f>
        <v>0</v>
      </c>
      <c r="AD96" s="3"/>
      <c r="AE96" s="72"/>
      <c r="AF96" s="3"/>
      <c r="AG96" s="3"/>
      <c r="AH96" s="3"/>
      <c r="AI96" s="3"/>
      <c r="AJ96" s="3"/>
      <c r="AK96" s="3"/>
      <c r="AL96" s="62"/>
      <c r="AM96" s="62"/>
      <c r="AN96" s="62"/>
      <c r="AO96" s="3"/>
      <c r="AP96" s="3"/>
      <c r="AQ96" s="2"/>
      <c r="AR96" s="2"/>
      <c r="AS96" s="2"/>
      <c r="AT96" s="2"/>
      <c r="AU96" s="20"/>
      <c r="AV96" s="20"/>
      <c r="AW96" s="21"/>
    </row>
    <row r="97" spans="1:82" hidden="1" x14ac:dyDescent="0.2">
      <c r="A97" s="420"/>
      <c r="B97" s="420"/>
      <c r="C97" s="420"/>
      <c r="D97" s="420"/>
      <c r="E97" s="420"/>
      <c r="F97" s="420"/>
      <c r="G97" s="420"/>
      <c r="H97" s="420"/>
      <c r="I97" s="420"/>
      <c r="J97" s="420"/>
      <c r="K97" s="420"/>
      <c r="L97" s="420"/>
      <c r="M97" s="420"/>
      <c r="N97" s="420"/>
      <c r="O97" s="426" t="s">
        <v>43</v>
      </c>
      <c r="P97" s="427"/>
      <c r="Q97" s="427"/>
      <c r="R97" s="427"/>
      <c r="S97" s="427"/>
      <c r="T97" s="39" t="s">
        <v>0</v>
      </c>
      <c r="U97" s="102">
        <f t="shared" ref="U97:AB97" si="13">IFERROR(SUM(U94:U95),0)</f>
        <v>0</v>
      </c>
      <c r="V97" s="102">
        <f t="shared" si="13"/>
        <v>0</v>
      </c>
      <c r="W97" s="102">
        <f t="shared" si="13"/>
        <v>0</v>
      </c>
      <c r="X97" s="102">
        <f t="shared" si="13"/>
        <v>0</v>
      </c>
      <c r="Y97" s="102">
        <f t="shared" si="13"/>
        <v>0</v>
      </c>
      <c r="Z97" s="102">
        <f t="shared" si="13"/>
        <v>0</v>
      </c>
      <c r="AA97" s="102">
        <f t="shared" si="13"/>
        <v>0</v>
      </c>
      <c r="AB97" s="102">
        <f t="shared" si="13"/>
        <v>0</v>
      </c>
      <c r="AC97" s="50" t="s">
        <v>57</v>
      </c>
      <c r="AD97" s="3"/>
      <c r="AE97" s="72"/>
      <c r="AF97" s="3"/>
      <c r="AG97" s="3"/>
      <c r="AH97" s="3"/>
      <c r="AI97" s="3"/>
      <c r="AJ97" s="3"/>
      <c r="AK97" s="3"/>
      <c r="AL97" s="62"/>
      <c r="AM97" s="62"/>
      <c r="AN97" s="62"/>
      <c r="AO97" s="3"/>
      <c r="AP97" s="3"/>
      <c r="AQ97" s="2"/>
      <c r="AR97" s="2"/>
      <c r="AS97" s="2"/>
      <c r="AT97" s="2"/>
      <c r="AU97" s="20"/>
      <c r="AV97" s="20"/>
      <c r="AW97" s="21"/>
    </row>
    <row r="98" spans="1:82" ht="15" hidden="1" x14ac:dyDescent="0.25">
      <c r="A98" s="428" t="s">
        <v>146</v>
      </c>
      <c r="B98" s="429"/>
      <c r="C98" s="429"/>
      <c r="D98" s="429"/>
      <c r="E98" s="429"/>
      <c r="F98" s="429"/>
      <c r="G98" s="429"/>
      <c r="H98" s="429"/>
      <c r="I98" s="429"/>
      <c r="J98" s="429"/>
      <c r="K98" s="429"/>
      <c r="L98" s="429"/>
      <c r="M98" s="429"/>
      <c r="N98" s="429"/>
      <c r="O98" s="429"/>
      <c r="P98" s="429"/>
      <c r="Q98" s="429"/>
      <c r="R98" s="429"/>
      <c r="S98" s="429"/>
      <c r="T98" s="429"/>
      <c r="U98" s="429"/>
      <c r="V98" s="429"/>
      <c r="W98" s="429"/>
      <c r="X98" s="430"/>
      <c r="Y98" s="430"/>
      <c r="Z98" s="430"/>
      <c r="AA98" s="431"/>
      <c r="AB98" s="431"/>
      <c r="AC98" s="431"/>
      <c r="AD98" s="431"/>
      <c r="AE98" s="432"/>
      <c r="AF98" s="433"/>
      <c r="AG98" s="2"/>
      <c r="AH98" s="2"/>
      <c r="AI98" s="2"/>
      <c r="AJ98" s="2"/>
      <c r="AK98" s="61"/>
      <c r="AL98" s="61"/>
      <c r="AM98" s="61"/>
      <c r="AN98" s="2"/>
      <c r="AO98" s="2"/>
      <c r="AP98" s="2"/>
      <c r="AQ98" s="2"/>
      <c r="AR98" s="2"/>
    </row>
    <row r="99" spans="1:82" ht="33.75" hidden="1" x14ac:dyDescent="0.2">
      <c r="A99" s="79" t="s">
        <v>187</v>
      </c>
      <c r="B99" s="80" t="s">
        <v>188</v>
      </c>
      <c r="C99" s="80">
        <v>4301060358</v>
      </c>
      <c r="D99" s="80">
        <v>4680115882652</v>
      </c>
      <c r="E99" s="81">
        <v>0.33</v>
      </c>
      <c r="F99" s="82">
        <v>6</v>
      </c>
      <c r="G99" s="81">
        <v>1.98</v>
      </c>
      <c r="H99" s="81">
        <v>2.82</v>
      </c>
      <c r="I99" s="83">
        <v>182</v>
      </c>
      <c r="J99" s="83" t="s">
        <v>86</v>
      </c>
      <c r="K99" s="84" t="s">
        <v>85</v>
      </c>
      <c r="L99" s="84"/>
      <c r="M99" s="423">
        <v>40</v>
      </c>
      <c r="N99" s="423"/>
      <c r="O99" s="55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P99" s="425"/>
      <c r="Q99" s="425"/>
      <c r="R99" s="425"/>
      <c r="S99" s="425"/>
      <c r="T99" s="85" t="s">
        <v>0</v>
      </c>
      <c r="U99" s="65">
        <v>0</v>
      </c>
      <c r="V99" s="66">
        <f>IFERROR(IF(U99="",0,CEILING((U99/$G99),1)*$G99),"")</f>
        <v>0</v>
      </c>
      <c r="W99" s="65">
        <v>0</v>
      </c>
      <c r="X99" s="66">
        <f>IFERROR(IF(W99="",0,CEILING((W99/$G99),1)*$G99),"")</f>
        <v>0</v>
      </c>
      <c r="Y99" s="65">
        <v>0</v>
      </c>
      <c r="Z99" s="66">
        <f>IFERROR(IF(Y99="",0,CEILING((Y99/$G99),1)*$G99),"")</f>
        <v>0</v>
      </c>
      <c r="AA99" s="65">
        <v>0</v>
      </c>
      <c r="AB99" s="66">
        <f>IFERROR(IF(AA99="",0,CEILING((AA99/$G99),1)*$G99),"")</f>
        <v>0</v>
      </c>
      <c r="AC99" s="67" t="str">
        <f>IF(IFERROR(ROUNDUP(V99/G99,0)*0.00651,0)+IFERROR(ROUNDUP(X99/G99,0)*0.00651,0)+IFERROR(ROUNDUP(Z99/G99,0)*0.00651,0)+IFERROR(ROUNDUP(AB99/G99,0)*0.00651,0)=0,"",IFERROR(ROUNDUP(V99/G99,0)*0.00651,0)+IFERROR(ROUNDUP(X99/G99,0)*0.00651,0)+IFERROR(ROUNDUP(Z99/G99,0)*0.00651,0)+IFERROR(ROUNDUP(AB99/G99,0)*0.00651,0))</f>
        <v/>
      </c>
      <c r="AD99" s="79" t="s">
        <v>57</v>
      </c>
      <c r="AE99" s="79" t="s">
        <v>57</v>
      </c>
      <c r="AF99" s="169" t="s">
        <v>189</v>
      </c>
      <c r="AG99" s="2"/>
      <c r="AH99" s="2"/>
      <c r="AI99" s="2"/>
      <c r="AJ99" s="2"/>
      <c r="AK99" s="2"/>
      <c r="AL99" s="61"/>
      <c r="AM99" s="61"/>
      <c r="AN99" s="61"/>
      <c r="AO99" s="2"/>
      <c r="AP99" s="2"/>
      <c r="AQ99" s="2"/>
      <c r="AR99" s="2"/>
      <c r="AS99" s="2"/>
      <c r="AT99" s="2"/>
      <c r="AU99" s="20"/>
      <c r="AV99" s="20"/>
      <c r="AW99" s="21"/>
      <c r="BB99" s="168" t="s">
        <v>65</v>
      </c>
      <c r="BO99" s="77">
        <f>IFERROR(U99*H99/G99,0)</f>
        <v>0</v>
      </c>
      <c r="BP99" s="77">
        <f>IFERROR(V99*H99/G99,0)</f>
        <v>0</v>
      </c>
      <c r="BQ99" s="77">
        <f>IFERROR(1/I99*(U99/G99),0)</f>
        <v>0</v>
      </c>
      <c r="BR99" s="77">
        <f>IFERROR(1/I99*(V99/G99),0)</f>
        <v>0</v>
      </c>
      <c r="BS99" s="77">
        <f>IFERROR(W99*H99/G99,0)</f>
        <v>0</v>
      </c>
      <c r="BT99" s="77">
        <f>IFERROR(X99*H99/G99,0)</f>
        <v>0</v>
      </c>
      <c r="BU99" s="77">
        <f>IFERROR(1/I99*(W99/G99),0)</f>
        <v>0</v>
      </c>
      <c r="BV99" s="77">
        <f>IFERROR(1/I99*(X99/G99),0)</f>
        <v>0</v>
      </c>
      <c r="BW99" s="77">
        <f>IFERROR(Y99*H99/G99,0)</f>
        <v>0</v>
      </c>
      <c r="BX99" s="77">
        <f>IFERROR(Z99*H99/G99,0)</f>
        <v>0</v>
      </c>
      <c r="BY99" s="77">
        <f>IFERROR(1/I99*(Y99/G99),0)</f>
        <v>0</v>
      </c>
      <c r="BZ99" s="77">
        <f>IFERROR(1/I99*(Z99/G99),0)</f>
        <v>0</v>
      </c>
      <c r="CA99" s="77">
        <f>IFERROR(AA99*H99/G99,0)</f>
        <v>0</v>
      </c>
      <c r="CB99" s="77">
        <f>IFERROR(AB99*H99/G99,0)</f>
        <v>0</v>
      </c>
      <c r="CC99" s="77">
        <f>IFERROR(1/I99*(AA99/G99),0)</f>
        <v>0</v>
      </c>
      <c r="CD99" s="77">
        <f>IFERROR(1/I99*(AB99/G99),0)</f>
        <v>0</v>
      </c>
    </row>
    <row r="100" spans="1:82" ht="22.5" hidden="1" x14ac:dyDescent="0.2">
      <c r="A100" s="79" t="s">
        <v>190</v>
      </c>
      <c r="B100" s="80" t="s">
        <v>191</v>
      </c>
      <c r="C100" s="80">
        <v>4301060317</v>
      </c>
      <c r="D100" s="80">
        <v>4680115880238</v>
      </c>
      <c r="E100" s="81">
        <v>0.33</v>
      </c>
      <c r="F100" s="82">
        <v>6</v>
      </c>
      <c r="G100" s="81">
        <v>1.98</v>
      </c>
      <c r="H100" s="81">
        <v>2.238</v>
      </c>
      <c r="I100" s="83">
        <v>182</v>
      </c>
      <c r="J100" s="83" t="s">
        <v>86</v>
      </c>
      <c r="K100" s="84" t="s">
        <v>99</v>
      </c>
      <c r="L100" s="84"/>
      <c r="M100" s="423">
        <v>40</v>
      </c>
      <c r="N100" s="423"/>
      <c r="O100" s="55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P100" s="425"/>
      <c r="Q100" s="425"/>
      <c r="R100" s="425"/>
      <c r="S100" s="425"/>
      <c r="T100" s="85" t="s">
        <v>0</v>
      </c>
      <c r="U100" s="65">
        <v>0</v>
      </c>
      <c r="V100" s="66">
        <f>IFERROR(IF(U100="",0,CEILING((U100/$G100),1)*$G100),"")</f>
        <v>0</v>
      </c>
      <c r="W100" s="65">
        <v>0</v>
      </c>
      <c r="X100" s="66">
        <f>IFERROR(IF(W100="",0,CEILING((W100/$G100),1)*$G100),"")</f>
        <v>0</v>
      </c>
      <c r="Y100" s="65">
        <v>0</v>
      </c>
      <c r="Z100" s="66">
        <f>IFERROR(IF(Y100="",0,CEILING((Y100/$G100),1)*$G100),"")</f>
        <v>0</v>
      </c>
      <c r="AA100" s="65">
        <v>0</v>
      </c>
      <c r="AB100" s="66">
        <f>IFERROR(IF(AA100="",0,CEILING((AA100/$G100),1)*$G100),"")</f>
        <v>0</v>
      </c>
      <c r="AC100" s="67" t="str">
        <f>IF(IFERROR(ROUNDUP(V100/G100,0)*0.00651,0)+IFERROR(ROUNDUP(X100/G100,0)*0.00651,0)+IFERROR(ROUNDUP(Z100/G100,0)*0.00651,0)+IFERROR(ROUNDUP(AB100/G100,0)*0.00651,0)=0,"",IFERROR(ROUNDUP(V100/G100,0)*0.00651,0)+IFERROR(ROUNDUP(X100/G100,0)*0.00651,0)+IFERROR(ROUNDUP(Z100/G100,0)*0.00651,0)+IFERROR(ROUNDUP(AB100/G100,0)*0.00651,0))</f>
        <v/>
      </c>
      <c r="AD100" s="79" t="s">
        <v>57</v>
      </c>
      <c r="AE100" s="79" t="s">
        <v>57</v>
      </c>
      <c r="AF100" s="171" t="s">
        <v>192</v>
      </c>
      <c r="AG100" s="2"/>
      <c r="AH100" s="2"/>
      <c r="AI100" s="2"/>
      <c r="AJ100" s="2"/>
      <c r="AK100" s="2"/>
      <c r="AL100" s="61"/>
      <c r="AM100" s="61"/>
      <c r="AN100" s="61"/>
      <c r="AO100" s="2"/>
      <c r="AP100" s="2"/>
      <c r="AQ100" s="2"/>
      <c r="AR100" s="2"/>
      <c r="AS100" s="2"/>
      <c r="AT100" s="2"/>
      <c r="AU100" s="20"/>
      <c r="AV100" s="20"/>
      <c r="AW100" s="21"/>
      <c r="BB100" s="170" t="s">
        <v>65</v>
      </c>
      <c r="BO100" s="77">
        <f>IFERROR(U100*H100/G100,0)</f>
        <v>0</v>
      </c>
      <c r="BP100" s="77">
        <f>IFERROR(V100*H100/G100,0)</f>
        <v>0</v>
      </c>
      <c r="BQ100" s="77">
        <f>IFERROR(1/I100*(U100/G100),0)</f>
        <v>0</v>
      </c>
      <c r="BR100" s="77">
        <f>IFERROR(1/I100*(V100/G100),0)</f>
        <v>0</v>
      </c>
      <c r="BS100" s="77">
        <f>IFERROR(W100*H100/G100,0)</f>
        <v>0</v>
      </c>
      <c r="BT100" s="77">
        <f>IFERROR(X100*H100/G100,0)</f>
        <v>0</v>
      </c>
      <c r="BU100" s="77">
        <f>IFERROR(1/I100*(W100/G100),0)</f>
        <v>0</v>
      </c>
      <c r="BV100" s="77">
        <f>IFERROR(1/I100*(X100/G100),0)</f>
        <v>0</v>
      </c>
      <c r="BW100" s="77">
        <f>IFERROR(Y100*H100/G100,0)</f>
        <v>0</v>
      </c>
      <c r="BX100" s="77">
        <f>IFERROR(Z100*H100/G100,0)</f>
        <v>0</v>
      </c>
      <c r="BY100" s="77">
        <f>IFERROR(1/I100*(Y100/G100),0)</f>
        <v>0</v>
      </c>
      <c r="BZ100" s="77">
        <f>IFERROR(1/I100*(Z100/G100),0)</f>
        <v>0</v>
      </c>
      <c r="CA100" s="77">
        <f>IFERROR(AA100*H100/G100,0)</f>
        <v>0</v>
      </c>
      <c r="CB100" s="77">
        <f>IFERROR(AB100*H100/G100,0)</f>
        <v>0</v>
      </c>
      <c r="CC100" s="77">
        <f>IFERROR(1/I100*(AA100/G100),0)</f>
        <v>0</v>
      </c>
      <c r="CD100" s="77">
        <f>IFERROR(1/I100*(AB100/G100),0)</f>
        <v>0</v>
      </c>
    </row>
    <row r="101" spans="1:82" hidden="1" x14ac:dyDescent="0.2">
      <c r="A101" s="420"/>
      <c r="B101" s="420"/>
      <c r="C101" s="420"/>
      <c r="D101" s="420"/>
      <c r="E101" s="420"/>
      <c r="F101" s="420"/>
      <c r="G101" s="420"/>
      <c r="H101" s="420"/>
      <c r="I101" s="420"/>
      <c r="J101" s="420"/>
      <c r="K101" s="420"/>
      <c r="L101" s="420"/>
      <c r="M101" s="420"/>
      <c r="N101" s="420"/>
      <c r="O101" s="426" t="s">
        <v>43</v>
      </c>
      <c r="P101" s="427"/>
      <c r="Q101" s="427"/>
      <c r="R101" s="427"/>
      <c r="S101" s="427"/>
      <c r="T101" s="39" t="s">
        <v>42</v>
      </c>
      <c r="U101" s="50">
        <f>IFERROR(U99/G99,0)+IFERROR(U100/G100,0)</f>
        <v>0</v>
      </c>
      <c r="V101" s="50">
        <f>IFERROR(V99/G99,0)+IFERROR(V100/G100,0)</f>
        <v>0</v>
      </c>
      <c r="W101" s="50">
        <f>IFERROR(W99/G99,0)+IFERROR(W100/G100,0)</f>
        <v>0</v>
      </c>
      <c r="X101" s="50">
        <f>IFERROR(X99/G99,0)+IFERROR(X100/G100,0)</f>
        <v>0</v>
      </c>
      <c r="Y101" s="50">
        <f>IFERROR(Y99/G99,0)+IFERROR(Y100/G100,0)</f>
        <v>0</v>
      </c>
      <c r="Z101" s="50">
        <f>IFERROR(Z99/G99,0)+IFERROR(Z100/G100,0)</f>
        <v>0</v>
      </c>
      <c r="AA101" s="50">
        <f>IFERROR(AA99/G99,0)+IFERROR(AA100/G100,0)</f>
        <v>0</v>
      </c>
      <c r="AB101" s="50">
        <f>IFERROR(AB99/G99,0)+IFERROR(AB100/G100,0)</f>
        <v>0</v>
      </c>
      <c r="AC101" s="50">
        <f>IFERROR(IF(AC99="",0,AC99),0)+IFERROR(IF(AC100="",0,AC100),0)</f>
        <v>0</v>
      </c>
      <c r="AD101" s="3"/>
      <c r="AE101" s="72"/>
      <c r="AF101" s="3"/>
      <c r="AG101" s="3"/>
      <c r="AH101" s="3"/>
      <c r="AI101" s="3"/>
      <c r="AJ101" s="3"/>
      <c r="AK101" s="3"/>
      <c r="AL101" s="62"/>
      <c r="AM101" s="62"/>
      <c r="AN101" s="62"/>
      <c r="AO101" s="3"/>
      <c r="AP101" s="3"/>
      <c r="AQ101" s="2"/>
      <c r="AR101" s="2"/>
      <c r="AS101" s="2"/>
      <c r="AT101" s="2"/>
      <c r="AU101" s="20"/>
      <c r="AV101" s="20"/>
      <c r="AW101" s="21"/>
    </row>
    <row r="102" spans="1:82" hidden="1" x14ac:dyDescent="0.2">
      <c r="A102" s="420"/>
      <c r="B102" s="420"/>
      <c r="C102" s="420"/>
      <c r="D102" s="420"/>
      <c r="E102" s="420"/>
      <c r="F102" s="420"/>
      <c r="G102" s="420"/>
      <c r="H102" s="420"/>
      <c r="I102" s="420"/>
      <c r="J102" s="420"/>
      <c r="K102" s="420"/>
      <c r="L102" s="420"/>
      <c r="M102" s="420"/>
      <c r="N102" s="420"/>
      <c r="O102" s="426" t="s">
        <v>43</v>
      </c>
      <c r="P102" s="427"/>
      <c r="Q102" s="427"/>
      <c r="R102" s="427"/>
      <c r="S102" s="427"/>
      <c r="T102" s="39" t="s">
        <v>0</v>
      </c>
      <c r="U102" s="102">
        <f t="shared" ref="U102:AB102" si="14">IFERROR(SUM(U99:U100),0)</f>
        <v>0</v>
      </c>
      <c r="V102" s="102">
        <f t="shared" si="14"/>
        <v>0</v>
      </c>
      <c r="W102" s="102">
        <f t="shared" si="14"/>
        <v>0</v>
      </c>
      <c r="X102" s="102">
        <f t="shared" si="14"/>
        <v>0</v>
      </c>
      <c r="Y102" s="102">
        <f t="shared" si="14"/>
        <v>0</v>
      </c>
      <c r="Z102" s="102">
        <f t="shared" si="14"/>
        <v>0</v>
      </c>
      <c r="AA102" s="102">
        <f t="shared" si="14"/>
        <v>0</v>
      </c>
      <c r="AB102" s="102">
        <f t="shared" si="14"/>
        <v>0</v>
      </c>
      <c r="AC102" s="50" t="s">
        <v>57</v>
      </c>
      <c r="AD102" s="3"/>
      <c r="AE102" s="72"/>
      <c r="AF102" s="3"/>
      <c r="AG102" s="3"/>
      <c r="AH102" s="3"/>
      <c r="AI102" s="3"/>
      <c r="AJ102" s="3"/>
      <c r="AK102" s="3"/>
      <c r="AL102" s="62"/>
      <c r="AM102" s="62"/>
      <c r="AN102" s="62"/>
      <c r="AO102" s="3"/>
      <c r="AP102" s="3"/>
      <c r="AQ102" s="2"/>
      <c r="AR102" s="2"/>
      <c r="AS102" s="2"/>
      <c r="AT102" s="2"/>
      <c r="AU102" s="20"/>
      <c r="AV102" s="20"/>
      <c r="AW102" s="21"/>
    </row>
    <row r="103" spans="1:82" ht="15" hidden="1" x14ac:dyDescent="0.25">
      <c r="A103" s="443" t="s">
        <v>94</v>
      </c>
      <c r="B103" s="430"/>
      <c r="C103" s="430"/>
      <c r="D103" s="430"/>
      <c r="E103" s="430"/>
      <c r="F103" s="430"/>
      <c r="G103" s="430"/>
      <c r="H103" s="430"/>
      <c r="I103" s="430"/>
      <c r="J103" s="430"/>
      <c r="K103" s="430"/>
      <c r="L103" s="430"/>
      <c r="M103" s="430"/>
      <c r="N103" s="430"/>
      <c r="O103" s="430"/>
      <c r="P103" s="430"/>
      <c r="Q103" s="430"/>
      <c r="R103" s="430"/>
      <c r="S103" s="430"/>
      <c r="T103" s="430"/>
      <c r="U103" s="430"/>
      <c r="V103" s="430"/>
      <c r="W103" s="430"/>
      <c r="X103" s="430"/>
      <c r="Y103" s="430"/>
      <c r="Z103" s="430"/>
      <c r="AA103" s="431"/>
      <c r="AB103" s="431"/>
      <c r="AC103" s="431"/>
      <c r="AD103" s="431"/>
      <c r="AE103" s="432"/>
      <c r="AF103" s="444"/>
      <c r="AG103" s="2"/>
      <c r="AH103" s="2"/>
      <c r="AI103" s="2"/>
      <c r="AJ103" s="2"/>
      <c r="AK103" s="61"/>
      <c r="AL103" s="61"/>
      <c r="AM103" s="61"/>
      <c r="AN103" s="2"/>
      <c r="AO103" s="2"/>
      <c r="AP103" s="2"/>
      <c r="AQ103" s="2"/>
      <c r="AR103" s="2"/>
    </row>
    <row r="104" spans="1:82" ht="15" hidden="1" x14ac:dyDescent="0.25">
      <c r="A104" s="428" t="s">
        <v>129</v>
      </c>
      <c r="B104" s="429"/>
      <c r="C104" s="429"/>
      <c r="D104" s="429"/>
      <c r="E104" s="429"/>
      <c r="F104" s="429"/>
      <c r="G104" s="429"/>
      <c r="H104" s="429"/>
      <c r="I104" s="429"/>
      <c r="J104" s="429"/>
      <c r="K104" s="429"/>
      <c r="L104" s="429"/>
      <c r="M104" s="429"/>
      <c r="N104" s="429"/>
      <c r="O104" s="429"/>
      <c r="P104" s="429"/>
      <c r="Q104" s="429"/>
      <c r="R104" s="429"/>
      <c r="S104" s="429"/>
      <c r="T104" s="429"/>
      <c r="U104" s="429"/>
      <c r="V104" s="429"/>
      <c r="W104" s="429"/>
      <c r="X104" s="430"/>
      <c r="Y104" s="430"/>
      <c r="Z104" s="430"/>
      <c r="AA104" s="431"/>
      <c r="AB104" s="431"/>
      <c r="AC104" s="431"/>
      <c r="AD104" s="431"/>
      <c r="AE104" s="432"/>
      <c r="AF104" s="433"/>
      <c r="AG104" s="2"/>
      <c r="AH104" s="2"/>
      <c r="AI104" s="2"/>
      <c r="AJ104" s="2"/>
      <c r="AK104" s="61"/>
      <c r="AL104" s="61"/>
      <c r="AM104" s="61"/>
      <c r="AN104" s="2"/>
      <c r="AO104" s="2"/>
      <c r="AP104" s="2"/>
      <c r="AQ104" s="2"/>
      <c r="AR104" s="2"/>
    </row>
    <row r="105" spans="1:82" hidden="1" x14ac:dyDescent="0.2">
      <c r="A105" s="79" t="s">
        <v>193</v>
      </c>
      <c r="B105" s="80" t="s">
        <v>194</v>
      </c>
      <c r="C105" s="80">
        <v>4301030895</v>
      </c>
      <c r="D105" s="80">
        <v>4607091387667</v>
      </c>
      <c r="E105" s="81">
        <v>0.9</v>
      </c>
      <c r="F105" s="82">
        <v>10</v>
      </c>
      <c r="G105" s="81">
        <v>9</v>
      </c>
      <c r="H105" s="81">
        <v>9.5850000000000009</v>
      </c>
      <c r="I105" s="83">
        <v>64</v>
      </c>
      <c r="J105" s="83" t="s">
        <v>114</v>
      </c>
      <c r="K105" s="84" t="s">
        <v>106</v>
      </c>
      <c r="L105" s="84"/>
      <c r="M105" s="423">
        <v>40</v>
      </c>
      <c r="N105" s="423"/>
      <c r="O105" s="5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P105" s="425"/>
      <c r="Q105" s="425"/>
      <c r="R105" s="425"/>
      <c r="S105" s="425"/>
      <c r="T105" s="85" t="s">
        <v>0</v>
      </c>
      <c r="U105" s="65">
        <v>0</v>
      </c>
      <c r="V105" s="66">
        <f>IFERROR(IF(U105="",0,CEILING((U105/$G105),1)*$G105),"")</f>
        <v>0</v>
      </c>
      <c r="W105" s="65">
        <v>0</v>
      </c>
      <c r="X105" s="66">
        <f>IFERROR(IF(W105="",0,CEILING((W105/$G105),1)*$G105),"")</f>
        <v>0</v>
      </c>
      <c r="Y105" s="65">
        <v>0</v>
      </c>
      <c r="Z105" s="66">
        <f>IFERROR(IF(Y105="",0,CEILING((Y105/$G105),1)*$G105),"")</f>
        <v>0</v>
      </c>
      <c r="AA105" s="65">
        <v>0</v>
      </c>
      <c r="AB105" s="66">
        <f>IFERROR(IF(AA105="",0,CEILING((AA105/$G105),1)*$G105),"")</f>
        <v>0</v>
      </c>
      <c r="AC105" s="67" t="str">
        <f>IF(IFERROR(ROUNDUP(V105/G105,0)*0.01898,0)+IFERROR(ROUNDUP(X105/G105,0)*0.01898,0)+IFERROR(ROUNDUP(Z105/G105,0)*0.01898,0)+IFERROR(ROUNDUP(AB105/G105,0)*0.01898,0)=0,"",IFERROR(ROUNDUP(V105/G105,0)*0.01898,0)+IFERROR(ROUNDUP(X105/G105,0)*0.01898,0)+IFERROR(ROUNDUP(Z105/G105,0)*0.01898,0)+IFERROR(ROUNDUP(AB105/G105,0)*0.01898,0))</f>
        <v/>
      </c>
      <c r="AD105" s="79" t="s">
        <v>57</v>
      </c>
      <c r="AE105" s="79" t="s">
        <v>57</v>
      </c>
      <c r="AF105" s="173" t="s">
        <v>195</v>
      </c>
      <c r="AG105" s="2"/>
      <c r="AH105" s="2"/>
      <c r="AI105" s="2"/>
      <c r="AJ105" s="2"/>
      <c r="AK105" s="2"/>
      <c r="AL105" s="61"/>
      <c r="AM105" s="61"/>
      <c r="AN105" s="61"/>
      <c r="AO105" s="2"/>
      <c r="AP105" s="2"/>
      <c r="AQ105" s="2"/>
      <c r="AR105" s="2"/>
      <c r="AS105" s="2"/>
      <c r="AT105" s="2"/>
      <c r="AU105" s="20"/>
      <c r="AV105" s="20"/>
      <c r="AW105" s="21"/>
      <c r="BB105" s="172" t="s">
        <v>65</v>
      </c>
      <c r="BO105" s="77">
        <f>IFERROR(U105*H105/G105,0)</f>
        <v>0</v>
      </c>
      <c r="BP105" s="77">
        <f>IFERROR(V105*H105/G105,0)</f>
        <v>0</v>
      </c>
      <c r="BQ105" s="77">
        <f>IFERROR(1/I105*(U105/G105),0)</f>
        <v>0</v>
      </c>
      <c r="BR105" s="77">
        <f>IFERROR(1/I105*(V105/G105),0)</f>
        <v>0</v>
      </c>
      <c r="BS105" s="77">
        <f>IFERROR(W105*H105/G105,0)</f>
        <v>0</v>
      </c>
      <c r="BT105" s="77">
        <f>IFERROR(X105*H105/G105,0)</f>
        <v>0</v>
      </c>
      <c r="BU105" s="77">
        <f>IFERROR(1/I105*(W105/G105),0)</f>
        <v>0</v>
      </c>
      <c r="BV105" s="77">
        <f>IFERROR(1/I105*(X105/G105),0)</f>
        <v>0</v>
      </c>
      <c r="BW105" s="77">
        <f>IFERROR(Y105*H105/G105,0)</f>
        <v>0</v>
      </c>
      <c r="BX105" s="77">
        <f>IFERROR(Z105*H105/G105,0)</f>
        <v>0</v>
      </c>
      <c r="BY105" s="77">
        <f>IFERROR(1/I105*(Y105/G105),0)</f>
        <v>0</v>
      </c>
      <c r="BZ105" s="77">
        <f>IFERROR(1/I105*(Z105/G105),0)</f>
        <v>0</v>
      </c>
      <c r="CA105" s="77">
        <f>IFERROR(AA105*H105/G105,0)</f>
        <v>0</v>
      </c>
      <c r="CB105" s="77">
        <f>IFERROR(AB105*H105/G105,0)</f>
        <v>0</v>
      </c>
      <c r="CC105" s="77">
        <f>IFERROR(1/I105*(AA105/G105),0)</f>
        <v>0</v>
      </c>
      <c r="CD105" s="77">
        <f>IFERROR(1/I105*(AB105/G105),0)</f>
        <v>0</v>
      </c>
    </row>
    <row r="106" spans="1:82" hidden="1" x14ac:dyDescent="0.2">
      <c r="A106" s="79" t="s">
        <v>196</v>
      </c>
      <c r="B106" s="80" t="s">
        <v>197</v>
      </c>
      <c r="C106" s="80">
        <v>4301030961</v>
      </c>
      <c r="D106" s="80">
        <v>4607091387636</v>
      </c>
      <c r="E106" s="81">
        <v>0.7</v>
      </c>
      <c r="F106" s="82">
        <v>6</v>
      </c>
      <c r="G106" s="81">
        <v>4.2</v>
      </c>
      <c r="H106" s="81">
        <v>4.47</v>
      </c>
      <c r="I106" s="83">
        <v>182</v>
      </c>
      <c r="J106" s="83" t="s">
        <v>86</v>
      </c>
      <c r="K106" s="84" t="s">
        <v>132</v>
      </c>
      <c r="L106" s="84"/>
      <c r="M106" s="423">
        <v>40</v>
      </c>
      <c r="N106" s="423"/>
      <c r="O106" s="55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P106" s="425"/>
      <c r="Q106" s="425"/>
      <c r="R106" s="425"/>
      <c r="S106" s="425"/>
      <c r="T106" s="85" t="s">
        <v>0</v>
      </c>
      <c r="U106" s="65">
        <v>0</v>
      </c>
      <c r="V106" s="66">
        <f>IFERROR(IF(U106="",0,CEILING((U106/$G106),1)*$G106),"")</f>
        <v>0</v>
      </c>
      <c r="W106" s="65">
        <v>0</v>
      </c>
      <c r="X106" s="66">
        <f>IFERROR(IF(W106="",0,CEILING((W106/$G106),1)*$G106),"")</f>
        <v>0</v>
      </c>
      <c r="Y106" s="65">
        <v>0</v>
      </c>
      <c r="Z106" s="66">
        <f>IFERROR(IF(Y106="",0,CEILING((Y106/$G106),1)*$G106),"")</f>
        <v>0</v>
      </c>
      <c r="AA106" s="65">
        <v>0</v>
      </c>
      <c r="AB106" s="66">
        <f>IFERROR(IF(AA106="",0,CEILING((AA106/$G106),1)*$G106),"")</f>
        <v>0</v>
      </c>
      <c r="AC106" s="67" t="str">
        <f>IF(IFERROR(ROUNDUP(V106/G106,0)*0.00651,0)+IFERROR(ROUNDUP(X106/G106,0)*0.00651,0)+IFERROR(ROUNDUP(Z106/G106,0)*0.00651,0)+IFERROR(ROUNDUP(AB106/G106,0)*0.00651,0)=0,"",IFERROR(ROUNDUP(V106/G106,0)*0.00651,0)+IFERROR(ROUNDUP(X106/G106,0)*0.00651,0)+IFERROR(ROUNDUP(Z106/G106,0)*0.00651,0)+IFERROR(ROUNDUP(AB106/G106,0)*0.00651,0))</f>
        <v/>
      </c>
      <c r="AD106" s="79" t="s">
        <v>57</v>
      </c>
      <c r="AE106" s="79" t="s">
        <v>57</v>
      </c>
      <c r="AF106" s="175" t="s">
        <v>198</v>
      </c>
      <c r="AG106" s="2"/>
      <c r="AH106" s="2"/>
      <c r="AI106" s="2"/>
      <c r="AJ106" s="2"/>
      <c r="AK106" s="2"/>
      <c r="AL106" s="61"/>
      <c r="AM106" s="61"/>
      <c r="AN106" s="61"/>
      <c r="AO106" s="2"/>
      <c r="AP106" s="2"/>
      <c r="AQ106" s="2"/>
      <c r="AR106" s="2"/>
      <c r="AS106" s="2"/>
      <c r="AT106" s="2"/>
      <c r="AU106" s="20"/>
      <c r="AV106" s="20"/>
      <c r="AW106" s="21"/>
      <c r="BB106" s="174" t="s">
        <v>65</v>
      </c>
      <c r="BO106" s="77">
        <f>IFERROR(U106*H106/G106,0)</f>
        <v>0</v>
      </c>
      <c r="BP106" s="77">
        <f>IFERROR(V106*H106/G106,0)</f>
        <v>0</v>
      </c>
      <c r="BQ106" s="77">
        <f>IFERROR(1/I106*(U106/G106),0)</f>
        <v>0</v>
      </c>
      <c r="BR106" s="77">
        <f>IFERROR(1/I106*(V106/G106),0)</f>
        <v>0</v>
      </c>
      <c r="BS106" s="77">
        <f>IFERROR(W106*H106/G106,0)</f>
        <v>0</v>
      </c>
      <c r="BT106" s="77">
        <f>IFERROR(X106*H106/G106,0)</f>
        <v>0</v>
      </c>
      <c r="BU106" s="77">
        <f>IFERROR(1/I106*(W106/G106),0)</f>
        <v>0</v>
      </c>
      <c r="BV106" s="77">
        <f>IFERROR(1/I106*(X106/G106),0)</f>
        <v>0</v>
      </c>
      <c r="BW106" s="77">
        <f>IFERROR(Y106*H106/G106,0)</f>
        <v>0</v>
      </c>
      <c r="BX106" s="77">
        <f>IFERROR(Z106*H106/G106,0)</f>
        <v>0</v>
      </c>
      <c r="BY106" s="77">
        <f>IFERROR(1/I106*(Y106/G106),0)</f>
        <v>0</v>
      </c>
      <c r="BZ106" s="77">
        <f>IFERROR(1/I106*(Z106/G106),0)</f>
        <v>0</v>
      </c>
      <c r="CA106" s="77">
        <f>IFERROR(AA106*H106/G106,0)</f>
        <v>0</v>
      </c>
      <c r="CB106" s="77">
        <f>IFERROR(AB106*H106/G106,0)</f>
        <v>0</v>
      </c>
      <c r="CC106" s="77">
        <f>IFERROR(1/I106*(AA106/G106),0)</f>
        <v>0</v>
      </c>
      <c r="CD106" s="77">
        <f>IFERROR(1/I106*(AB106/G106),0)</f>
        <v>0</v>
      </c>
    </row>
    <row r="107" spans="1:82" hidden="1" x14ac:dyDescent="0.2">
      <c r="A107" s="79" t="s">
        <v>199</v>
      </c>
      <c r="B107" s="80" t="s">
        <v>200</v>
      </c>
      <c r="C107" s="80">
        <v>4301030963</v>
      </c>
      <c r="D107" s="80">
        <v>4607091382426</v>
      </c>
      <c r="E107" s="81">
        <v>0.9</v>
      </c>
      <c r="F107" s="82">
        <v>10</v>
      </c>
      <c r="G107" s="81">
        <v>9</v>
      </c>
      <c r="H107" s="81">
        <v>9.5850000000000009</v>
      </c>
      <c r="I107" s="83">
        <v>64</v>
      </c>
      <c r="J107" s="83" t="s">
        <v>114</v>
      </c>
      <c r="K107" s="84" t="s">
        <v>132</v>
      </c>
      <c r="L107" s="84"/>
      <c r="M107" s="423">
        <v>40</v>
      </c>
      <c r="N107" s="423"/>
      <c r="O107" s="5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P107" s="425"/>
      <c r="Q107" s="425"/>
      <c r="R107" s="425"/>
      <c r="S107" s="425"/>
      <c r="T107" s="85" t="s">
        <v>0</v>
      </c>
      <c r="U107" s="65">
        <v>0</v>
      </c>
      <c r="V107" s="66">
        <f>IFERROR(IF(U107="",0,CEILING((U107/$G107),1)*$G107),"")</f>
        <v>0</v>
      </c>
      <c r="W107" s="65">
        <v>0</v>
      </c>
      <c r="X107" s="66">
        <f>IFERROR(IF(W107="",0,CEILING((W107/$G107),1)*$G107),"")</f>
        <v>0</v>
      </c>
      <c r="Y107" s="65">
        <v>0</v>
      </c>
      <c r="Z107" s="66">
        <f>IFERROR(IF(Y107="",0,CEILING((Y107/$G107),1)*$G107),"")</f>
        <v>0</v>
      </c>
      <c r="AA107" s="65">
        <v>0</v>
      </c>
      <c r="AB107" s="66">
        <f>IFERROR(IF(AA107="",0,CEILING((AA107/$G107),1)*$G107),"")</f>
        <v>0</v>
      </c>
      <c r="AC107" s="67" t="str">
        <f>IF(IFERROR(ROUNDUP(V107/G107,0)*0.01898,0)+IFERROR(ROUNDUP(X107/G107,0)*0.01898,0)+IFERROR(ROUNDUP(Z107/G107,0)*0.01898,0)+IFERROR(ROUNDUP(AB107/G107,0)*0.01898,0)=0,"",IFERROR(ROUNDUP(V107/G107,0)*0.01898,0)+IFERROR(ROUNDUP(X107/G107,0)*0.01898,0)+IFERROR(ROUNDUP(Z107/G107,0)*0.01898,0)+IFERROR(ROUNDUP(AB107/G107,0)*0.01898,0))</f>
        <v/>
      </c>
      <c r="AD107" s="79" t="s">
        <v>57</v>
      </c>
      <c r="AE107" s="79" t="s">
        <v>57</v>
      </c>
      <c r="AF107" s="177" t="s">
        <v>201</v>
      </c>
      <c r="AG107" s="2"/>
      <c r="AH107" s="2"/>
      <c r="AI107" s="2"/>
      <c r="AJ107" s="2"/>
      <c r="AK107" s="2"/>
      <c r="AL107" s="61"/>
      <c r="AM107" s="61"/>
      <c r="AN107" s="61"/>
      <c r="AO107" s="2"/>
      <c r="AP107" s="2"/>
      <c r="AQ107" s="2"/>
      <c r="AR107" s="2"/>
      <c r="AS107" s="2"/>
      <c r="AT107" s="2"/>
      <c r="AU107" s="20"/>
      <c r="AV107" s="20"/>
      <c r="AW107" s="21"/>
      <c r="BB107" s="176" t="s">
        <v>65</v>
      </c>
      <c r="BO107" s="77">
        <f>IFERROR(U107*H107/G107,0)</f>
        <v>0</v>
      </c>
      <c r="BP107" s="77">
        <f>IFERROR(V107*H107/G107,0)</f>
        <v>0</v>
      </c>
      <c r="BQ107" s="77">
        <f>IFERROR(1/I107*(U107/G107),0)</f>
        <v>0</v>
      </c>
      <c r="BR107" s="77">
        <f>IFERROR(1/I107*(V107/G107),0)</f>
        <v>0</v>
      </c>
      <c r="BS107" s="77">
        <f>IFERROR(W107*H107/G107,0)</f>
        <v>0</v>
      </c>
      <c r="BT107" s="77">
        <f>IFERROR(X107*H107/G107,0)</f>
        <v>0</v>
      </c>
      <c r="BU107" s="77">
        <f>IFERROR(1/I107*(W107/G107),0)</f>
        <v>0</v>
      </c>
      <c r="BV107" s="77">
        <f>IFERROR(1/I107*(X107/G107),0)</f>
        <v>0</v>
      </c>
      <c r="BW107" s="77">
        <f>IFERROR(Y107*H107/G107,0)</f>
        <v>0</v>
      </c>
      <c r="BX107" s="77">
        <f>IFERROR(Z107*H107/G107,0)</f>
        <v>0</v>
      </c>
      <c r="BY107" s="77">
        <f>IFERROR(1/I107*(Y107/G107),0)</f>
        <v>0</v>
      </c>
      <c r="BZ107" s="77">
        <f>IFERROR(1/I107*(Z107/G107),0)</f>
        <v>0</v>
      </c>
      <c r="CA107" s="77">
        <f>IFERROR(AA107*H107/G107,0)</f>
        <v>0</v>
      </c>
      <c r="CB107" s="77">
        <f>IFERROR(AB107*H107/G107,0)</f>
        <v>0</v>
      </c>
      <c r="CC107" s="77">
        <f>IFERROR(1/I107*(AA107/G107),0)</f>
        <v>0</v>
      </c>
      <c r="CD107" s="77">
        <f>IFERROR(1/I107*(AB107/G107),0)</f>
        <v>0</v>
      </c>
    </row>
    <row r="108" spans="1:82" hidden="1" x14ac:dyDescent="0.2">
      <c r="A108" s="79" t="s">
        <v>202</v>
      </c>
      <c r="B108" s="80" t="s">
        <v>203</v>
      </c>
      <c r="C108" s="80">
        <v>4301030962</v>
      </c>
      <c r="D108" s="80">
        <v>4607091386547</v>
      </c>
      <c r="E108" s="81">
        <v>0.35</v>
      </c>
      <c r="F108" s="82">
        <v>8</v>
      </c>
      <c r="G108" s="81">
        <v>2.8</v>
      </c>
      <c r="H108" s="81">
        <v>2.94</v>
      </c>
      <c r="I108" s="83">
        <v>234</v>
      </c>
      <c r="J108" s="83" t="s">
        <v>133</v>
      </c>
      <c r="K108" s="84" t="s">
        <v>132</v>
      </c>
      <c r="L108" s="84"/>
      <c r="M108" s="423">
        <v>40</v>
      </c>
      <c r="N108" s="423"/>
      <c r="O108" s="55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P108" s="425"/>
      <c r="Q108" s="425"/>
      <c r="R108" s="425"/>
      <c r="S108" s="425"/>
      <c r="T108" s="85" t="s">
        <v>0</v>
      </c>
      <c r="U108" s="65">
        <v>0</v>
      </c>
      <c r="V108" s="66">
        <f>IFERROR(IF(U108="",0,CEILING((U108/$G108),1)*$G108),"")</f>
        <v>0</v>
      </c>
      <c r="W108" s="65">
        <v>0</v>
      </c>
      <c r="X108" s="66">
        <f>IFERROR(IF(W108="",0,CEILING((W108/$G108),1)*$G108),"")</f>
        <v>0</v>
      </c>
      <c r="Y108" s="65">
        <v>0</v>
      </c>
      <c r="Z108" s="66">
        <f>IFERROR(IF(Y108="",0,CEILING((Y108/$G108),1)*$G108),"")</f>
        <v>0</v>
      </c>
      <c r="AA108" s="65">
        <v>0</v>
      </c>
      <c r="AB108" s="66">
        <f>IFERROR(IF(AA108="",0,CEILING((AA108/$G108),1)*$G108),"")</f>
        <v>0</v>
      </c>
      <c r="AC108" s="67" t="str">
        <f>IF(IFERROR(ROUNDUP(V108/G108,0)*0.00502,0)+IFERROR(ROUNDUP(X108/G108,0)*0.00502,0)+IFERROR(ROUNDUP(Z108/G108,0)*0.00502,0)+IFERROR(ROUNDUP(AB108/G108,0)*0.00502,0)=0,"",IFERROR(ROUNDUP(V108/G108,0)*0.00502,0)+IFERROR(ROUNDUP(X108/G108,0)*0.00502,0)+IFERROR(ROUNDUP(Z108/G108,0)*0.00502,0)+IFERROR(ROUNDUP(AB108/G108,0)*0.00502,0))</f>
        <v/>
      </c>
      <c r="AD108" s="79" t="s">
        <v>57</v>
      </c>
      <c r="AE108" s="79" t="s">
        <v>57</v>
      </c>
      <c r="AF108" s="179" t="s">
        <v>198</v>
      </c>
      <c r="AG108" s="2"/>
      <c r="AH108" s="2"/>
      <c r="AI108" s="2"/>
      <c r="AJ108" s="2"/>
      <c r="AK108" s="2"/>
      <c r="AL108" s="61"/>
      <c r="AM108" s="61"/>
      <c r="AN108" s="61"/>
      <c r="AO108" s="2"/>
      <c r="AP108" s="2"/>
      <c r="AQ108" s="2"/>
      <c r="AR108" s="2"/>
      <c r="AS108" s="2"/>
      <c r="AT108" s="2"/>
      <c r="AU108" s="20"/>
      <c r="AV108" s="20"/>
      <c r="AW108" s="21"/>
      <c r="BB108" s="178" t="s">
        <v>65</v>
      </c>
      <c r="BO108" s="77">
        <f>IFERROR(U108*H108/G108,0)</f>
        <v>0</v>
      </c>
      <c r="BP108" s="77">
        <f>IFERROR(V108*H108/G108,0)</f>
        <v>0</v>
      </c>
      <c r="BQ108" s="77">
        <f>IFERROR(1/I108*(U108/G108),0)</f>
        <v>0</v>
      </c>
      <c r="BR108" s="77">
        <f>IFERROR(1/I108*(V108/G108),0)</f>
        <v>0</v>
      </c>
      <c r="BS108" s="77">
        <f>IFERROR(W108*H108/G108,0)</f>
        <v>0</v>
      </c>
      <c r="BT108" s="77">
        <f>IFERROR(X108*H108/G108,0)</f>
        <v>0</v>
      </c>
      <c r="BU108" s="77">
        <f>IFERROR(1/I108*(W108/G108),0)</f>
        <v>0</v>
      </c>
      <c r="BV108" s="77">
        <f>IFERROR(1/I108*(X108/G108),0)</f>
        <v>0</v>
      </c>
      <c r="BW108" s="77">
        <f>IFERROR(Y108*H108/G108,0)</f>
        <v>0</v>
      </c>
      <c r="BX108" s="77">
        <f>IFERROR(Z108*H108/G108,0)</f>
        <v>0</v>
      </c>
      <c r="BY108" s="77">
        <f>IFERROR(1/I108*(Y108/G108),0)</f>
        <v>0</v>
      </c>
      <c r="BZ108" s="77">
        <f>IFERROR(1/I108*(Z108/G108),0)</f>
        <v>0</v>
      </c>
      <c r="CA108" s="77">
        <f>IFERROR(AA108*H108/G108,0)</f>
        <v>0</v>
      </c>
      <c r="CB108" s="77">
        <f>IFERROR(AB108*H108/G108,0)</f>
        <v>0</v>
      </c>
      <c r="CC108" s="77">
        <f>IFERROR(1/I108*(AA108/G108),0)</f>
        <v>0</v>
      </c>
      <c r="CD108" s="77">
        <f>IFERROR(1/I108*(AB108/G108),0)</f>
        <v>0</v>
      </c>
    </row>
    <row r="109" spans="1:82" hidden="1" x14ac:dyDescent="0.2">
      <c r="A109" s="420"/>
      <c r="B109" s="420"/>
      <c r="C109" s="420"/>
      <c r="D109" s="420"/>
      <c r="E109" s="420"/>
      <c r="F109" s="420"/>
      <c r="G109" s="420"/>
      <c r="H109" s="420"/>
      <c r="I109" s="420"/>
      <c r="J109" s="420"/>
      <c r="K109" s="420"/>
      <c r="L109" s="420"/>
      <c r="M109" s="420"/>
      <c r="N109" s="420"/>
      <c r="O109" s="426" t="s">
        <v>43</v>
      </c>
      <c r="P109" s="427"/>
      <c r="Q109" s="427"/>
      <c r="R109" s="427"/>
      <c r="S109" s="427"/>
      <c r="T109" s="39" t="s">
        <v>42</v>
      </c>
      <c r="U109" s="50">
        <f>IFERROR(U105/G105,0)+IFERROR(U106/G106,0)+IFERROR(U107/G107,0)+IFERROR(U108/G108,0)</f>
        <v>0</v>
      </c>
      <c r="V109" s="50">
        <f>IFERROR(V105/G105,0)+IFERROR(V106/G106,0)+IFERROR(V107/G107,0)+IFERROR(V108/G108,0)</f>
        <v>0</v>
      </c>
      <c r="W109" s="50">
        <f>IFERROR(W105/G105,0)+IFERROR(W106/G106,0)+IFERROR(W107/G107,0)+IFERROR(W108/G108,0)</f>
        <v>0</v>
      </c>
      <c r="X109" s="50">
        <f>IFERROR(X105/G105,0)+IFERROR(X106/G106,0)+IFERROR(X107/G107,0)+IFERROR(X108/G108,0)</f>
        <v>0</v>
      </c>
      <c r="Y109" s="50">
        <f>IFERROR(Y105/G105,0)+IFERROR(Y106/G106,0)+IFERROR(Y107/G107,0)+IFERROR(Y108/G108,0)</f>
        <v>0</v>
      </c>
      <c r="Z109" s="50">
        <f>IFERROR(Z105/G105,0)+IFERROR(Z106/G106,0)+IFERROR(Z107/G107,0)+IFERROR(Z108/G108,0)</f>
        <v>0</v>
      </c>
      <c r="AA109" s="50">
        <f>IFERROR(AA105/G105,0)+IFERROR(AA106/G106,0)+IFERROR(AA107/G107,0)+IFERROR(AA108/G108,0)</f>
        <v>0</v>
      </c>
      <c r="AB109" s="50">
        <f>IFERROR(AB105/G105,0)+IFERROR(AB106/G106,0)+IFERROR(AB107/G107,0)+IFERROR(AB108/G108,0)</f>
        <v>0</v>
      </c>
      <c r="AC109" s="50">
        <f>IFERROR(IF(AC105="",0,AC105),0)+IFERROR(IF(AC106="",0,AC106),0)+IFERROR(IF(AC107="",0,AC107),0)+IFERROR(IF(AC108="",0,AC108),0)</f>
        <v>0</v>
      </c>
      <c r="AD109" s="3"/>
      <c r="AE109" s="72"/>
      <c r="AF109" s="3"/>
      <c r="AG109" s="3"/>
      <c r="AH109" s="3"/>
      <c r="AI109" s="3"/>
      <c r="AJ109" s="3"/>
      <c r="AK109" s="3"/>
      <c r="AL109" s="62"/>
      <c r="AM109" s="62"/>
      <c r="AN109" s="62"/>
      <c r="AO109" s="3"/>
      <c r="AP109" s="3"/>
      <c r="AQ109" s="2"/>
      <c r="AR109" s="2"/>
      <c r="AS109" s="2"/>
      <c r="AT109" s="2"/>
      <c r="AU109" s="20"/>
      <c r="AV109" s="20"/>
      <c r="AW109" s="21"/>
    </row>
    <row r="110" spans="1:82" hidden="1" x14ac:dyDescent="0.2">
      <c r="A110" s="420"/>
      <c r="B110" s="420"/>
      <c r="C110" s="420"/>
      <c r="D110" s="420"/>
      <c r="E110" s="420"/>
      <c r="F110" s="420"/>
      <c r="G110" s="420"/>
      <c r="H110" s="420"/>
      <c r="I110" s="420"/>
      <c r="J110" s="420"/>
      <c r="K110" s="420"/>
      <c r="L110" s="420"/>
      <c r="M110" s="420"/>
      <c r="N110" s="420"/>
      <c r="O110" s="426" t="s">
        <v>43</v>
      </c>
      <c r="P110" s="427"/>
      <c r="Q110" s="427"/>
      <c r="R110" s="427"/>
      <c r="S110" s="427"/>
      <c r="T110" s="39" t="s">
        <v>0</v>
      </c>
      <c r="U110" s="102">
        <f t="shared" ref="U110:AB110" si="15">IFERROR(SUM(U105:U108),0)</f>
        <v>0</v>
      </c>
      <c r="V110" s="102">
        <f t="shared" si="15"/>
        <v>0</v>
      </c>
      <c r="W110" s="102">
        <f t="shared" si="15"/>
        <v>0</v>
      </c>
      <c r="X110" s="102">
        <f t="shared" si="15"/>
        <v>0</v>
      </c>
      <c r="Y110" s="102">
        <f t="shared" si="15"/>
        <v>0</v>
      </c>
      <c r="Z110" s="102">
        <f t="shared" si="15"/>
        <v>0</v>
      </c>
      <c r="AA110" s="102">
        <f t="shared" si="15"/>
        <v>0</v>
      </c>
      <c r="AB110" s="102">
        <f t="shared" si="15"/>
        <v>0</v>
      </c>
      <c r="AC110" s="50" t="s">
        <v>57</v>
      </c>
      <c r="AD110" s="3"/>
      <c r="AE110" s="72"/>
      <c r="AF110" s="3"/>
      <c r="AG110" s="3"/>
      <c r="AH110" s="3"/>
      <c r="AI110" s="3"/>
      <c r="AJ110" s="3"/>
      <c r="AK110" s="3"/>
      <c r="AL110" s="62"/>
      <c r="AM110" s="62"/>
      <c r="AN110" s="62"/>
      <c r="AO110" s="3"/>
      <c r="AP110" s="3"/>
      <c r="AQ110" s="2"/>
      <c r="AR110" s="2"/>
      <c r="AS110" s="2"/>
      <c r="AT110" s="2"/>
      <c r="AU110" s="20"/>
      <c r="AV110" s="20"/>
      <c r="AW110" s="21"/>
    </row>
    <row r="111" spans="1:82" ht="27.75" hidden="1" customHeight="1" x14ac:dyDescent="0.2">
      <c r="A111" s="456" t="s">
        <v>204</v>
      </c>
      <c r="B111" s="457"/>
      <c r="C111" s="457"/>
      <c r="D111" s="457"/>
      <c r="E111" s="457"/>
      <c r="F111" s="457"/>
      <c r="G111" s="457"/>
      <c r="H111" s="457"/>
      <c r="I111" s="457"/>
      <c r="J111" s="457"/>
      <c r="K111" s="457"/>
      <c r="L111" s="457"/>
      <c r="M111" s="457"/>
      <c r="N111" s="457"/>
      <c r="O111" s="457"/>
      <c r="P111" s="457"/>
      <c r="Q111" s="457"/>
      <c r="R111" s="457"/>
      <c r="S111" s="457"/>
      <c r="T111" s="457"/>
      <c r="U111" s="457"/>
      <c r="V111" s="457"/>
      <c r="W111" s="458"/>
      <c r="X111" s="458"/>
      <c r="Y111" s="458"/>
      <c r="Z111" s="458"/>
      <c r="AA111" s="431"/>
      <c r="AB111" s="431"/>
      <c r="AC111" s="431"/>
      <c r="AD111" s="431"/>
      <c r="AE111" s="432"/>
      <c r="AF111" s="459"/>
      <c r="AG111" s="2"/>
      <c r="AH111" s="2"/>
      <c r="AI111" s="2"/>
      <c r="AJ111" s="2"/>
      <c r="AK111" s="61"/>
      <c r="AL111" s="61"/>
      <c r="AM111" s="61"/>
      <c r="AN111" s="2"/>
      <c r="AO111" s="2"/>
      <c r="AP111" s="2"/>
      <c r="AQ111" s="2"/>
      <c r="AR111" s="2"/>
    </row>
    <row r="112" spans="1:82" ht="15" hidden="1" x14ac:dyDescent="0.25">
      <c r="A112" s="443" t="s">
        <v>205</v>
      </c>
      <c r="B112" s="430"/>
      <c r="C112" s="430"/>
      <c r="D112" s="430"/>
      <c r="E112" s="430"/>
      <c r="F112" s="430"/>
      <c r="G112" s="430"/>
      <c r="H112" s="430"/>
      <c r="I112" s="430"/>
      <c r="J112" s="430"/>
      <c r="K112" s="430"/>
      <c r="L112" s="430"/>
      <c r="M112" s="430"/>
      <c r="N112" s="430"/>
      <c r="O112" s="430"/>
      <c r="P112" s="430"/>
      <c r="Q112" s="430"/>
      <c r="R112" s="430"/>
      <c r="S112" s="430"/>
      <c r="T112" s="430"/>
      <c r="U112" s="430"/>
      <c r="V112" s="430"/>
      <c r="W112" s="430"/>
      <c r="X112" s="430"/>
      <c r="Y112" s="430"/>
      <c r="Z112" s="430"/>
      <c r="AA112" s="431"/>
      <c r="AB112" s="431"/>
      <c r="AC112" s="431"/>
      <c r="AD112" s="431"/>
      <c r="AE112" s="432"/>
      <c r="AF112" s="444"/>
      <c r="AG112" s="2"/>
      <c r="AH112" s="2"/>
      <c r="AI112" s="2"/>
      <c r="AJ112" s="2"/>
      <c r="AK112" s="61"/>
      <c r="AL112" s="61"/>
      <c r="AM112" s="61"/>
      <c r="AN112" s="2"/>
      <c r="AO112" s="2"/>
      <c r="AP112" s="2"/>
      <c r="AQ112" s="2"/>
      <c r="AR112" s="2"/>
    </row>
    <row r="113" spans="1:82" ht="15" hidden="1" x14ac:dyDescent="0.25">
      <c r="A113" s="428" t="s">
        <v>123</v>
      </c>
      <c r="B113" s="429"/>
      <c r="C113" s="429"/>
      <c r="D113" s="429"/>
      <c r="E113" s="429"/>
      <c r="F113" s="429"/>
      <c r="G113" s="429"/>
      <c r="H113" s="429"/>
      <c r="I113" s="429"/>
      <c r="J113" s="429"/>
      <c r="K113" s="429"/>
      <c r="L113" s="429"/>
      <c r="M113" s="429"/>
      <c r="N113" s="429"/>
      <c r="O113" s="429"/>
      <c r="P113" s="429"/>
      <c r="Q113" s="429"/>
      <c r="R113" s="429"/>
      <c r="S113" s="429"/>
      <c r="T113" s="429"/>
      <c r="U113" s="429"/>
      <c r="V113" s="429"/>
      <c r="W113" s="429"/>
      <c r="X113" s="430"/>
      <c r="Y113" s="430"/>
      <c r="Z113" s="430"/>
      <c r="AA113" s="431"/>
      <c r="AB113" s="431"/>
      <c r="AC113" s="431"/>
      <c r="AD113" s="431"/>
      <c r="AE113" s="432"/>
      <c r="AF113" s="433"/>
      <c r="AG113" s="2"/>
      <c r="AH113" s="2"/>
      <c r="AI113" s="2"/>
      <c r="AJ113" s="2"/>
      <c r="AK113" s="61"/>
      <c r="AL113" s="61"/>
      <c r="AM113" s="61"/>
      <c r="AN113" s="2"/>
      <c r="AO113" s="2"/>
      <c r="AP113" s="2"/>
      <c r="AQ113" s="2"/>
      <c r="AR113" s="2"/>
    </row>
    <row r="114" spans="1:82" hidden="1" x14ac:dyDescent="0.2">
      <c r="A114" s="79" t="s">
        <v>206</v>
      </c>
      <c r="B114" s="80" t="s">
        <v>207</v>
      </c>
      <c r="C114" s="80">
        <v>4301020323</v>
      </c>
      <c r="D114" s="80">
        <v>4680115886223</v>
      </c>
      <c r="E114" s="81">
        <v>0.33</v>
      </c>
      <c r="F114" s="82">
        <v>6</v>
      </c>
      <c r="G114" s="81">
        <v>1.98</v>
      </c>
      <c r="H114" s="81">
        <v>2.08</v>
      </c>
      <c r="I114" s="83">
        <v>234</v>
      </c>
      <c r="J114" s="83" t="s">
        <v>133</v>
      </c>
      <c r="K114" s="84" t="s">
        <v>132</v>
      </c>
      <c r="L114" s="84"/>
      <c r="M114" s="423">
        <v>40</v>
      </c>
      <c r="N114" s="423"/>
      <c r="O114" s="5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P114" s="425"/>
      <c r="Q114" s="425"/>
      <c r="R114" s="425"/>
      <c r="S114" s="425"/>
      <c r="T114" s="85" t="s">
        <v>0</v>
      </c>
      <c r="U114" s="65">
        <v>0</v>
      </c>
      <c r="V114" s="66">
        <f>IFERROR(IF(U114="",0,CEILING((U114/$G114),1)*$G114),"")</f>
        <v>0</v>
      </c>
      <c r="W114" s="65">
        <v>0</v>
      </c>
      <c r="X114" s="66">
        <f>IFERROR(IF(W114="",0,CEILING((W114/$G114),1)*$G114),"")</f>
        <v>0</v>
      </c>
      <c r="Y114" s="65">
        <v>0</v>
      </c>
      <c r="Z114" s="66">
        <f>IFERROR(IF(Y114="",0,CEILING((Y114/$G114),1)*$G114),"")</f>
        <v>0</v>
      </c>
      <c r="AA114" s="65">
        <v>0</v>
      </c>
      <c r="AB114" s="66">
        <f>IFERROR(IF(AA114="",0,CEILING((AA114/$G114),1)*$G114),"")</f>
        <v>0</v>
      </c>
      <c r="AC114" s="67" t="str">
        <f>IF(IFERROR(ROUNDUP(V114/G114,0)*0.00502,0)+IFERROR(ROUNDUP(X114/G114,0)*0.00502,0)+IFERROR(ROUNDUP(Z114/G114,0)*0.00502,0)+IFERROR(ROUNDUP(AB114/G114,0)*0.00502,0)=0,"",IFERROR(ROUNDUP(V114/G114,0)*0.00502,0)+IFERROR(ROUNDUP(X114/G114,0)*0.00502,0)+IFERROR(ROUNDUP(Z114/G114,0)*0.00502,0)+IFERROR(ROUNDUP(AB114/G114,0)*0.00502,0))</f>
        <v/>
      </c>
      <c r="AD114" s="79" t="s">
        <v>57</v>
      </c>
      <c r="AE114" s="79" t="s">
        <v>57</v>
      </c>
      <c r="AF114" s="181" t="s">
        <v>208</v>
      </c>
      <c r="AG114" s="2"/>
      <c r="AH114" s="2"/>
      <c r="AI114" s="2"/>
      <c r="AJ114" s="2"/>
      <c r="AK114" s="2"/>
      <c r="AL114" s="61"/>
      <c r="AM114" s="61"/>
      <c r="AN114" s="61"/>
      <c r="AO114" s="2"/>
      <c r="AP114" s="2"/>
      <c r="AQ114" s="2"/>
      <c r="AR114" s="2"/>
      <c r="AS114" s="2"/>
      <c r="AT114" s="2"/>
      <c r="AU114" s="20"/>
      <c r="AV114" s="20"/>
      <c r="AW114" s="21"/>
      <c r="BB114" s="180" t="s">
        <v>65</v>
      </c>
      <c r="BO114" s="77">
        <f>IFERROR(U114*H114/G114,0)</f>
        <v>0</v>
      </c>
      <c r="BP114" s="77">
        <f>IFERROR(V114*H114/G114,0)</f>
        <v>0</v>
      </c>
      <c r="BQ114" s="77">
        <f>IFERROR(1/I114*(U114/G114),0)</f>
        <v>0</v>
      </c>
      <c r="BR114" s="77">
        <f>IFERROR(1/I114*(V114/G114),0)</f>
        <v>0</v>
      </c>
      <c r="BS114" s="77">
        <f>IFERROR(W114*H114/G114,0)</f>
        <v>0</v>
      </c>
      <c r="BT114" s="77">
        <f>IFERROR(X114*H114/G114,0)</f>
        <v>0</v>
      </c>
      <c r="BU114" s="77">
        <f>IFERROR(1/I114*(W114/G114),0)</f>
        <v>0</v>
      </c>
      <c r="BV114" s="77">
        <f>IFERROR(1/I114*(X114/G114),0)</f>
        <v>0</v>
      </c>
      <c r="BW114" s="77">
        <f>IFERROR(Y114*H114/G114,0)</f>
        <v>0</v>
      </c>
      <c r="BX114" s="77">
        <f>IFERROR(Z114*H114/G114,0)</f>
        <v>0</v>
      </c>
      <c r="BY114" s="77">
        <f>IFERROR(1/I114*(Y114/G114),0)</f>
        <v>0</v>
      </c>
      <c r="BZ114" s="77">
        <f>IFERROR(1/I114*(Z114/G114),0)</f>
        <v>0</v>
      </c>
      <c r="CA114" s="77">
        <f>IFERROR(AA114*H114/G114,0)</f>
        <v>0</v>
      </c>
      <c r="CB114" s="77">
        <f>IFERROR(AB114*H114/G114,0)</f>
        <v>0</v>
      </c>
      <c r="CC114" s="77">
        <f>IFERROR(1/I114*(AA114/G114),0)</f>
        <v>0</v>
      </c>
      <c r="CD114" s="77">
        <f>IFERROR(1/I114*(AB114/G114),0)</f>
        <v>0</v>
      </c>
    </row>
    <row r="115" spans="1:82" hidden="1" x14ac:dyDescent="0.2">
      <c r="A115" s="420"/>
      <c r="B115" s="420"/>
      <c r="C115" s="420"/>
      <c r="D115" s="420"/>
      <c r="E115" s="420"/>
      <c r="F115" s="420"/>
      <c r="G115" s="420"/>
      <c r="H115" s="420"/>
      <c r="I115" s="420"/>
      <c r="J115" s="420"/>
      <c r="K115" s="420"/>
      <c r="L115" s="420"/>
      <c r="M115" s="420"/>
      <c r="N115" s="420"/>
      <c r="O115" s="426" t="s">
        <v>43</v>
      </c>
      <c r="P115" s="427"/>
      <c r="Q115" s="427"/>
      <c r="R115" s="427"/>
      <c r="S115" s="427"/>
      <c r="T115" s="39" t="s">
        <v>42</v>
      </c>
      <c r="U115" s="50">
        <f>IFERROR(U114/G114,0)</f>
        <v>0</v>
      </c>
      <c r="V115" s="50">
        <f>IFERROR(V114/G114,0)</f>
        <v>0</v>
      </c>
      <c r="W115" s="50">
        <f>IFERROR(W114/G114,0)</f>
        <v>0</v>
      </c>
      <c r="X115" s="50">
        <f>IFERROR(X114/G114,0)</f>
        <v>0</v>
      </c>
      <c r="Y115" s="50">
        <f>IFERROR(Y114/G114,0)</f>
        <v>0</v>
      </c>
      <c r="Z115" s="50">
        <f>IFERROR(Z114/G114,0)</f>
        <v>0</v>
      </c>
      <c r="AA115" s="50">
        <f>IFERROR(AA114/G114,0)</f>
        <v>0</v>
      </c>
      <c r="AB115" s="50">
        <f>IFERROR(AB114/G114,0)</f>
        <v>0</v>
      </c>
      <c r="AC115" s="50">
        <f>IFERROR(IF(AC114="",0,AC114),0)</f>
        <v>0</v>
      </c>
      <c r="AD115" s="3"/>
      <c r="AE115" s="72"/>
      <c r="AF115" s="3"/>
      <c r="AG115" s="3"/>
      <c r="AH115" s="3"/>
      <c r="AI115" s="3"/>
      <c r="AJ115" s="3"/>
      <c r="AK115" s="3"/>
      <c r="AL115" s="62"/>
      <c r="AM115" s="62"/>
      <c r="AN115" s="62"/>
      <c r="AO115" s="3"/>
      <c r="AP115" s="3"/>
      <c r="AQ115" s="2"/>
      <c r="AR115" s="2"/>
      <c r="AS115" s="2"/>
      <c r="AT115" s="2"/>
      <c r="AU115" s="20"/>
      <c r="AV115" s="20"/>
      <c r="AW115" s="21"/>
    </row>
    <row r="116" spans="1:82" hidden="1" x14ac:dyDescent="0.2">
      <c r="A116" s="420"/>
      <c r="B116" s="420"/>
      <c r="C116" s="420"/>
      <c r="D116" s="420"/>
      <c r="E116" s="420"/>
      <c r="F116" s="420"/>
      <c r="G116" s="420"/>
      <c r="H116" s="420"/>
      <c r="I116" s="420"/>
      <c r="J116" s="420"/>
      <c r="K116" s="420"/>
      <c r="L116" s="420"/>
      <c r="M116" s="420"/>
      <c r="N116" s="420"/>
      <c r="O116" s="426" t="s">
        <v>43</v>
      </c>
      <c r="P116" s="427"/>
      <c r="Q116" s="427"/>
      <c r="R116" s="427"/>
      <c r="S116" s="427"/>
      <c r="T116" s="39" t="s">
        <v>0</v>
      </c>
      <c r="U116" s="102">
        <f t="shared" ref="U116:AB116" si="16">IFERROR(SUM(U114:U114),0)</f>
        <v>0</v>
      </c>
      <c r="V116" s="102">
        <f t="shared" si="16"/>
        <v>0</v>
      </c>
      <c r="W116" s="102">
        <f t="shared" si="16"/>
        <v>0</v>
      </c>
      <c r="X116" s="102">
        <f t="shared" si="16"/>
        <v>0</v>
      </c>
      <c r="Y116" s="102">
        <f t="shared" si="16"/>
        <v>0</v>
      </c>
      <c r="Z116" s="102">
        <f t="shared" si="16"/>
        <v>0</v>
      </c>
      <c r="AA116" s="102">
        <f t="shared" si="16"/>
        <v>0</v>
      </c>
      <c r="AB116" s="102">
        <f t="shared" si="16"/>
        <v>0</v>
      </c>
      <c r="AC116" s="50" t="s">
        <v>57</v>
      </c>
      <c r="AD116" s="3"/>
      <c r="AE116" s="72"/>
      <c r="AF116" s="3"/>
      <c r="AG116" s="3"/>
      <c r="AH116" s="3"/>
      <c r="AI116" s="3"/>
      <c r="AJ116" s="3"/>
      <c r="AK116" s="3"/>
      <c r="AL116" s="62"/>
      <c r="AM116" s="62"/>
      <c r="AN116" s="62"/>
      <c r="AO116" s="3"/>
      <c r="AP116" s="3"/>
      <c r="AQ116" s="2"/>
      <c r="AR116" s="2"/>
      <c r="AS116" s="2"/>
      <c r="AT116" s="2"/>
      <c r="AU116" s="20"/>
      <c r="AV116" s="20"/>
      <c r="AW116" s="21"/>
    </row>
    <row r="117" spans="1:82" ht="15" hidden="1" x14ac:dyDescent="0.25">
      <c r="A117" s="428" t="s">
        <v>129</v>
      </c>
      <c r="B117" s="429"/>
      <c r="C117" s="429"/>
      <c r="D117" s="429"/>
      <c r="E117" s="429"/>
      <c r="F117" s="429"/>
      <c r="G117" s="429"/>
      <c r="H117" s="429"/>
      <c r="I117" s="429"/>
      <c r="J117" s="429"/>
      <c r="K117" s="429"/>
      <c r="L117" s="429"/>
      <c r="M117" s="429"/>
      <c r="N117" s="429"/>
      <c r="O117" s="429"/>
      <c r="P117" s="429"/>
      <c r="Q117" s="429"/>
      <c r="R117" s="429"/>
      <c r="S117" s="429"/>
      <c r="T117" s="429"/>
      <c r="U117" s="429"/>
      <c r="V117" s="429"/>
      <c r="W117" s="429"/>
      <c r="X117" s="430"/>
      <c r="Y117" s="430"/>
      <c r="Z117" s="430"/>
      <c r="AA117" s="431"/>
      <c r="AB117" s="431"/>
      <c r="AC117" s="431"/>
      <c r="AD117" s="431"/>
      <c r="AE117" s="432"/>
      <c r="AF117" s="433"/>
      <c r="AG117" s="2"/>
      <c r="AH117" s="2"/>
      <c r="AI117" s="2"/>
      <c r="AJ117" s="2"/>
      <c r="AK117" s="61"/>
      <c r="AL117" s="61"/>
      <c r="AM117" s="61"/>
      <c r="AN117" s="2"/>
      <c r="AO117" s="2"/>
      <c r="AP117" s="2"/>
      <c r="AQ117" s="2"/>
      <c r="AR117" s="2"/>
    </row>
    <row r="118" spans="1:82" hidden="1" x14ac:dyDescent="0.2">
      <c r="A118" s="79" t="s">
        <v>209</v>
      </c>
      <c r="B118" s="80" t="s">
        <v>210</v>
      </c>
      <c r="C118" s="80">
        <v>4301031204</v>
      </c>
      <c r="D118" s="80">
        <v>4680115881761</v>
      </c>
      <c r="E118" s="81">
        <v>0.7</v>
      </c>
      <c r="F118" s="82">
        <v>6</v>
      </c>
      <c r="G118" s="81">
        <v>4.2</v>
      </c>
      <c r="H118" s="81">
        <v>4.47</v>
      </c>
      <c r="I118" s="83">
        <v>132</v>
      </c>
      <c r="J118" s="83" t="s">
        <v>100</v>
      </c>
      <c r="K118" s="84" t="s">
        <v>132</v>
      </c>
      <c r="L118" s="84"/>
      <c r="M118" s="423">
        <v>40</v>
      </c>
      <c r="N118" s="423"/>
      <c r="O118" s="5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P118" s="425"/>
      <c r="Q118" s="425"/>
      <c r="R118" s="425"/>
      <c r="S118" s="425"/>
      <c r="T118" s="85" t="s">
        <v>0</v>
      </c>
      <c r="U118" s="65">
        <v>0</v>
      </c>
      <c r="V118" s="66">
        <f>IFERROR(IF(U118="",0,CEILING((U118/$G118),1)*$G118),"")</f>
        <v>0</v>
      </c>
      <c r="W118" s="65">
        <v>0</v>
      </c>
      <c r="X118" s="66">
        <f>IFERROR(IF(W118="",0,CEILING((W118/$G118),1)*$G118),"")</f>
        <v>0</v>
      </c>
      <c r="Y118" s="65">
        <v>0</v>
      </c>
      <c r="Z118" s="66">
        <f>IFERROR(IF(Y118="",0,CEILING((Y118/$G118),1)*$G118),"")</f>
        <v>0</v>
      </c>
      <c r="AA118" s="65">
        <v>0</v>
      </c>
      <c r="AB118" s="66">
        <f>IFERROR(IF(AA118="",0,CEILING((AA118/$G118),1)*$G118),"")</f>
        <v>0</v>
      </c>
      <c r="AC118" s="67" t="str">
        <f>IF(IFERROR(ROUNDUP(V118/G118,0)*0.00902,0)+IFERROR(ROUNDUP(X118/G118,0)*0.00902,0)+IFERROR(ROUNDUP(Z118/G118,0)*0.00902,0)+IFERROR(ROUNDUP(AB118/G118,0)*0.00902,0)=0,"",IFERROR(ROUNDUP(V118/G118,0)*0.00902,0)+IFERROR(ROUNDUP(X118/G118,0)*0.00902,0)+IFERROR(ROUNDUP(Z118/G118,0)*0.00902,0)+IFERROR(ROUNDUP(AB118/G118,0)*0.00902,0))</f>
        <v/>
      </c>
      <c r="AD118" s="79" t="s">
        <v>57</v>
      </c>
      <c r="AE118" s="79" t="s">
        <v>57</v>
      </c>
      <c r="AF118" s="183" t="s">
        <v>211</v>
      </c>
      <c r="AG118" s="2"/>
      <c r="AH118" s="2"/>
      <c r="AI118" s="2"/>
      <c r="AJ118" s="2"/>
      <c r="AK118" s="2"/>
      <c r="AL118" s="61"/>
      <c r="AM118" s="61"/>
      <c r="AN118" s="61"/>
      <c r="AO118" s="2"/>
      <c r="AP118" s="2"/>
      <c r="AQ118" s="2"/>
      <c r="AR118" s="2"/>
      <c r="AS118" s="2"/>
      <c r="AT118" s="2"/>
      <c r="AU118" s="20"/>
      <c r="AV118" s="20"/>
      <c r="AW118" s="21"/>
      <c r="BB118" s="182" t="s">
        <v>65</v>
      </c>
      <c r="BO118" s="77">
        <f>IFERROR(U118*H118/G118,0)</f>
        <v>0</v>
      </c>
      <c r="BP118" s="77">
        <f>IFERROR(V118*H118/G118,0)</f>
        <v>0</v>
      </c>
      <c r="BQ118" s="77">
        <f>IFERROR(1/I118*(U118/G118),0)</f>
        <v>0</v>
      </c>
      <c r="BR118" s="77">
        <f>IFERROR(1/I118*(V118/G118),0)</f>
        <v>0</v>
      </c>
      <c r="BS118" s="77">
        <f>IFERROR(W118*H118/G118,0)</f>
        <v>0</v>
      </c>
      <c r="BT118" s="77">
        <f>IFERROR(X118*H118/G118,0)</f>
        <v>0</v>
      </c>
      <c r="BU118" s="77">
        <f>IFERROR(1/I118*(W118/G118),0)</f>
        <v>0</v>
      </c>
      <c r="BV118" s="77">
        <f>IFERROR(1/I118*(X118/G118),0)</f>
        <v>0</v>
      </c>
      <c r="BW118" s="77">
        <f>IFERROR(Y118*H118/G118,0)</f>
        <v>0</v>
      </c>
      <c r="BX118" s="77">
        <f>IFERROR(Z118*H118/G118,0)</f>
        <v>0</v>
      </c>
      <c r="BY118" s="77">
        <f>IFERROR(1/I118*(Y118/G118),0)</f>
        <v>0</v>
      </c>
      <c r="BZ118" s="77">
        <f>IFERROR(1/I118*(Z118/G118),0)</f>
        <v>0</v>
      </c>
      <c r="CA118" s="77">
        <f>IFERROR(AA118*H118/G118,0)</f>
        <v>0</v>
      </c>
      <c r="CB118" s="77">
        <f>IFERROR(AB118*H118/G118,0)</f>
        <v>0</v>
      </c>
      <c r="CC118" s="77">
        <f>IFERROR(1/I118*(AA118/G118),0)</f>
        <v>0</v>
      </c>
      <c r="CD118" s="77">
        <f>IFERROR(1/I118*(AB118/G118),0)</f>
        <v>0</v>
      </c>
    </row>
    <row r="119" spans="1:82" hidden="1" x14ac:dyDescent="0.2">
      <c r="A119" s="79" t="s">
        <v>212</v>
      </c>
      <c r="B119" s="80" t="s">
        <v>213</v>
      </c>
      <c r="C119" s="80">
        <v>4301031199</v>
      </c>
      <c r="D119" s="80">
        <v>4680115880986</v>
      </c>
      <c r="E119" s="81">
        <v>0.35</v>
      </c>
      <c r="F119" s="82">
        <v>6</v>
      </c>
      <c r="G119" s="81">
        <v>2.1</v>
      </c>
      <c r="H119" s="81">
        <v>2.23</v>
      </c>
      <c r="I119" s="83">
        <v>234</v>
      </c>
      <c r="J119" s="83" t="s">
        <v>133</v>
      </c>
      <c r="K119" s="84" t="s">
        <v>132</v>
      </c>
      <c r="L119" s="84"/>
      <c r="M119" s="423">
        <v>40</v>
      </c>
      <c r="N119" s="423"/>
      <c r="O119" s="5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P119" s="425"/>
      <c r="Q119" s="425"/>
      <c r="R119" s="425"/>
      <c r="S119" s="425"/>
      <c r="T119" s="85" t="s">
        <v>0</v>
      </c>
      <c r="U119" s="65">
        <v>0</v>
      </c>
      <c r="V119" s="66">
        <f>IFERROR(IF(U119="",0,CEILING((U119/$G119),1)*$G119),"")</f>
        <v>0</v>
      </c>
      <c r="W119" s="65">
        <v>0</v>
      </c>
      <c r="X119" s="66">
        <f>IFERROR(IF(W119="",0,CEILING((W119/$G119),1)*$G119),"")</f>
        <v>0</v>
      </c>
      <c r="Y119" s="65">
        <v>0</v>
      </c>
      <c r="Z119" s="66">
        <f>IFERROR(IF(Y119="",0,CEILING((Y119/$G119),1)*$G119),"")</f>
        <v>0</v>
      </c>
      <c r="AA119" s="65">
        <v>0</v>
      </c>
      <c r="AB119" s="66">
        <f>IFERROR(IF(AA119="",0,CEILING((AA119/$G119),1)*$G119),"")</f>
        <v>0</v>
      </c>
      <c r="AC119" s="67" t="str">
        <f>IF(IFERROR(ROUNDUP(V119/G119,0)*0.00502,0)+IFERROR(ROUNDUP(X119/G119,0)*0.00502,0)+IFERROR(ROUNDUP(Z119/G119,0)*0.00502,0)+IFERROR(ROUNDUP(AB119/G119,0)*0.00502,0)=0,"",IFERROR(ROUNDUP(V119/G119,0)*0.00502,0)+IFERROR(ROUNDUP(X119/G119,0)*0.00502,0)+IFERROR(ROUNDUP(Z119/G119,0)*0.00502,0)+IFERROR(ROUNDUP(AB119/G119,0)*0.00502,0))</f>
        <v/>
      </c>
      <c r="AD119" s="79" t="s">
        <v>57</v>
      </c>
      <c r="AE119" s="79" t="s">
        <v>57</v>
      </c>
      <c r="AF119" s="185" t="s">
        <v>214</v>
      </c>
      <c r="AG119" s="2"/>
      <c r="AH119" s="2"/>
      <c r="AI119" s="2"/>
      <c r="AJ119" s="2"/>
      <c r="AK119" s="2"/>
      <c r="AL119" s="61"/>
      <c r="AM119" s="61"/>
      <c r="AN119" s="61"/>
      <c r="AO119" s="2"/>
      <c r="AP119" s="2"/>
      <c r="AQ119" s="2"/>
      <c r="AR119" s="2"/>
      <c r="AS119" s="2"/>
      <c r="AT119" s="2"/>
      <c r="AU119" s="20"/>
      <c r="AV119" s="20"/>
      <c r="AW119" s="21"/>
      <c r="BB119" s="184" t="s">
        <v>65</v>
      </c>
      <c r="BO119" s="77">
        <f>IFERROR(U119*H119/G119,0)</f>
        <v>0</v>
      </c>
      <c r="BP119" s="77">
        <f>IFERROR(V119*H119/G119,0)</f>
        <v>0</v>
      </c>
      <c r="BQ119" s="77">
        <f>IFERROR(1/I119*(U119/G119),0)</f>
        <v>0</v>
      </c>
      <c r="BR119" s="77">
        <f>IFERROR(1/I119*(V119/G119),0)</f>
        <v>0</v>
      </c>
      <c r="BS119" s="77">
        <f>IFERROR(W119*H119/G119,0)</f>
        <v>0</v>
      </c>
      <c r="BT119" s="77">
        <f>IFERROR(X119*H119/G119,0)</f>
        <v>0</v>
      </c>
      <c r="BU119" s="77">
        <f>IFERROR(1/I119*(W119/G119),0)</f>
        <v>0</v>
      </c>
      <c r="BV119" s="77">
        <f>IFERROR(1/I119*(X119/G119),0)</f>
        <v>0</v>
      </c>
      <c r="BW119" s="77">
        <f>IFERROR(Y119*H119/G119,0)</f>
        <v>0</v>
      </c>
      <c r="BX119" s="77">
        <f>IFERROR(Z119*H119/G119,0)</f>
        <v>0</v>
      </c>
      <c r="BY119" s="77">
        <f>IFERROR(1/I119*(Y119/G119),0)</f>
        <v>0</v>
      </c>
      <c r="BZ119" s="77">
        <f>IFERROR(1/I119*(Z119/G119),0)</f>
        <v>0</v>
      </c>
      <c r="CA119" s="77">
        <f>IFERROR(AA119*H119/G119,0)</f>
        <v>0</v>
      </c>
      <c r="CB119" s="77">
        <f>IFERROR(AB119*H119/G119,0)</f>
        <v>0</v>
      </c>
      <c r="CC119" s="77">
        <f>IFERROR(1/I119*(AA119/G119),0)</f>
        <v>0</v>
      </c>
      <c r="CD119" s="77">
        <f>IFERROR(1/I119*(AB119/G119),0)</f>
        <v>0</v>
      </c>
    </row>
    <row r="120" spans="1:82" hidden="1" x14ac:dyDescent="0.2">
      <c r="A120" s="79" t="s">
        <v>215</v>
      </c>
      <c r="B120" s="80" t="s">
        <v>216</v>
      </c>
      <c r="C120" s="80">
        <v>4301031202</v>
      </c>
      <c r="D120" s="80">
        <v>4680115881679</v>
      </c>
      <c r="E120" s="81">
        <v>0.35</v>
      </c>
      <c r="F120" s="82">
        <v>6</v>
      </c>
      <c r="G120" s="81">
        <v>2.1</v>
      </c>
      <c r="H120" s="81">
        <v>2.2000000000000002</v>
      </c>
      <c r="I120" s="83">
        <v>234</v>
      </c>
      <c r="J120" s="83" t="s">
        <v>133</v>
      </c>
      <c r="K120" s="84" t="s">
        <v>132</v>
      </c>
      <c r="L120" s="84"/>
      <c r="M120" s="423">
        <v>40</v>
      </c>
      <c r="N120" s="423"/>
      <c r="O120" s="5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P120" s="425"/>
      <c r="Q120" s="425"/>
      <c r="R120" s="425"/>
      <c r="S120" s="425"/>
      <c r="T120" s="85" t="s">
        <v>0</v>
      </c>
      <c r="U120" s="65">
        <v>0</v>
      </c>
      <c r="V120" s="66">
        <f>IFERROR(IF(U120="",0,CEILING((U120/$G120),1)*$G120),"")</f>
        <v>0</v>
      </c>
      <c r="W120" s="65">
        <v>0</v>
      </c>
      <c r="X120" s="66">
        <f>IFERROR(IF(W120="",0,CEILING((W120/$G120),1)*$G120),"")</f>
        <v>0</v>
      </c>
      <c r="Y120" s="65">
        <v>0</v>
      </c>
      <c r="Z120" s="66">
        <f>IFERROR(IF(Y120="",0,CEILING((Y120/$G120),1)*$G120),"")</f>
        <v>0</v>
      </c>
      <c r="AA120" s="65">
        <v>0</v>
      </c>
      <c r="AB120" s="66">
        <f>IFERROR(IF(AA120="",0,CEILING((AA120/$G120),1)*$G120),"")</f>
        <v>0</v>
      </c>
      <c r="AC120" s="67" t="str">
        <f>IF(IFERROR(ROUNDUP(V120/G120,0)*0.00502,0)+IFERROR(ROUNDUP(X120/G120,0)*0.00502,0)+IFERROR(ROUNDUP(Z120/G120,0)*0.00502,0)+IFERROR(ROUNDUP(AB120/G120,0)*0.00502,0)=0,"",IFERROR(ROUNDUP(V120/G120,0)*0.00502,0)+IFERROR(ROUNDUP(X120/G120,0)*0.00502,0)+IFERROR(ROUNDUP(Z120/G120,0)*0.00502,0)+IFERROR(ROUNDUP(AB120/G120,0)*0.00502,0))</f>
        <v/>
      </c>
      <c r="AD120" s="79" t="s">
        <v>57</v>
      </c>
      <c r="AE120" s="79" t="s">
        <v>57</v>
      </c>
      <c r="AF120" s="187" t="s">
        <v>217</v>
      </c>
      <c r="AG120" s="2"/>
      <c r="AH120" s="2"/>
      <c r="AI120" s="2"/>
      <c r="AJ120" s="2"/>
      <c r="AK120" s="2"/>
      <c r="AL120" s="61"/>
      <c r="AM120" s="61"/>
      <c r="AN120" s="61"/>
      <c r="AO120" s="2"/>
      <c r="AP120" s="2"/>
      <c r="AQ120" s="2"/>
      <c r="AR120" s="2"/>
      <c r="AS120" s="2"/>
      <c r="AT120" s="2"/>
      <c r="AU120" s="20"/>
      <c r="AV120" s="20"/>
      <c r="AW120" s="21"/>
      <c r="BB120" s="186" t="s">
        <v>65</v>
      </c>
      <c r="BO120" s="77">
        <f>IFERROR(U120*H120/G120,0)</f>
        <v>0</v>
      </c>
      <c r="BP120" s="77">
        <f>IFERROR(V120*H120/G120,0)</f>
        <v>0</v>
      </c>
      <c r="BQ120" s="77">
        <f>IFERROR(1/I120*(U120/G120),0)</f>
        <v>0</v>
      </c>
      <c r="BR120" s="77">
        <f>IFERROR(1/I120*(V120/G120),0)</f>
        <v>0</v>
      </c>
      <c r="BS120" s="77">
        <f>IFERROR(W120*H120/G120,0)</f>
        <v>0</v>
      </c>
      <c r="BT120" s="77">
        <f>IFERROR(X120*H120/G120,0)</f>
        <v>0</v>
      </c>
      <c r="BU120" s="77">
        <f>IFERROR(1/I120*(W120/G120),0)</f>
        <v>0</v>
      </c>
      <c r="BV120" s="77">
        <f>IFERROR(1/I120*(X120/G120),0)</f>
        <v>0</v>
      </c>
      <c r="BW120" s="77">
        <f>IFERROR(Y120*H120/G120,0)</f>
        <v>0</v>
      </c>
      <c r="BX120" s="77">
        <f>IFERROR(Z120*H120/G120,0)</f>
        <v>0</v>
      </c>
      <c r="BY120" s="77">
        <f>IFERROR(1/I120*(Y120/G120),0)</f>
        <v>0</v>
      </c>
      <c r="BZ120" s="77">
        <f>IFERROR(1/I120*(Z120/G120),0)</f>
        <v>0</v>
      </c>
      <c r="CA120" s="77">
        <f>IFERROR(AA120*H120/G120,0)</f>
        <v>0</v>
      </c>
      <c r="CB120" s="77">
        <f>IFERROR(AB120*H120/G120,0)</f>
        <v>0</v>
      </c>
      <c r="CC120" s="77">
        <f>IFERROR(1/I120*(AA120/G120),0)</f>
        <v>0</v>
      </c>
      <c r="CD120" s="77">
        <f>IFERROR(1/I120*(AB120/G120),0)</f>
        <v>0</v>
      </c>
    </row>
    <row r="121" spans="1:82" hidden="1" x14ac:dyDescent="0.2">
      <c r="A121" s="79" t="s">
        <v>218</v>
      </c>
      <c r="B121" s="80" t="s">
        <v>219</v>
      </c>
      <c r="C121" s="80">
        <v>4301031245</v>
      </c>
      <c r="D121" s="80">
        <v>4680115883963</v>
      </c>
      <c r="E121" s="81">
        <v>0.28000000000000003</v>
      </c>
      <c r="F121" s="82">
        <v>6</v>
      </c>
      <c r="G121" s="81">
        <v>1.68</v>
      </c>
      <c r="H121" s="81">
        <v>1.78</v>
      </c>
      <c r="I121" s="83">
        <v>234</v>
      </c>
      <c r="J121" s="83" t="s">
        <v>133</v>
      </c>
      <c r="K121" s="84" t="s">
        <v>132</v>
      </c>
      <c r="L121" s="84"/>
      <c r="M121" s="423">
        <v>40</v>
      </c>
      <c r="N121" s="423"/>
      <c r="O121" s="5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P121" s="425"/>
      <c r="Q121" s="425"/>
      <c r="R121" s="425"/>
      <c r="S121" s="425"/>
      <c r="T121" s="85" t="s">
        <v>0</v>
      </c>
      <c r="U121" s="65">
        <v>0</v>
      </c>
      <c r="V121" s="66">
        <f>IFERROR(IF(U121="",0,CEILING((U121/$G121),1)*$G121),"")</f>
        <v>0</v>
      </c>
      <c r="W121" s="65">
        <v>0</v>
      </c>
      <c r="X121" s="66">
        <f>IFERROR(IF(W121="",0,CEILING((W121/$G121),1)*$G121),"")</f>
        <v>0</v>
      </c>
      <c r="Y121" s="65">
        <v>0</v>
      </c>
      <c r="Z121" s="66">
        <f>IFERROR(IF(Y121="",0,CEILING((Y121/$G121),1)*$G121),"")</f>
        <v>0</v>
      </c>
      <c r="AA121" s="65">
        <v>0</v>
      </c>
      <c r="AB121" s="66">
        <f>IFERROR(IF(AA121="",0,CEILING((AA121/$G121),1)*$G121),"")</f>
        <v>0</v>
      </c>
      <c r="AC121" s="67" t="str">
        <f>IF(IFERROR(ROUNDUP(V121/G121,0)*0.00502,0)+IFERROR(ROUNDUP(X121/G121,0)*0.00502,0)+IFERROR(ROUNDUP(Z121/G121,0)*0.00502,0)+IFERROR(ROUNDUP(AB121/G121,0)*0.00502,0)=0,"",IFERROR(ROUNDUP(V121/G121,0)*0.00502,0)+IFERROR(ROUNDUP(X121/G121,0)*0.00502,0)+IFERROR(ROUNDUP(Z121/G121,0)*0.00502,0)+IFERROR(ROUNDUP(AB121/G121,0)*0.00502,0))</f>
        <v/>
      </c>
      <c r="AD121" s="79" t="s">
        <v>57</v>
      </c>
      <c r="AE121" s="79" t="s">
        <v>57</v>
      </c>
      <c r="AF121" s="189" t="s">
        <v>220</v>
      </c>
      <c r="AG121" s="2"/>
      <c r="AH121" s="2"/>
      <c r="AI121" s="2"/>
      <c r="AJ121" s="2"/>
      <c r="AK121" s="2"/>
      <c r="AL121" s="61"/>
      <c r="AM121" s="61"/>
      <c r="AN121" s="61"/>
      <c r="AO121" s="2"/>
      <c r="AP121" s="2"/>
      <c r="AQ121" s="2"/>
      <c r="AR121" s="2"/>
      <c r="AS121" s="2"/>
      <c r="AT121" s="2"/>
      <c r="AU121" s="20"/>
      <c r="AV121" s="20"/>
      <c r="AW121" s="21"/>
      <c r="BB121" s="188" t="s">
        <v>65</v>
      </c>
      <c r="BO121" s="77">
        <f>IFERROR(U121*H121/G121,0)</f>
        <v>0</v>
      </c>
      <c r="BP121" s="77">
        <f>IFERROR(V121*H121/G121,0)</f>
        <v>0</v>
      </c>
      <c r="BQ121" s="77">
        <f>IFERROR(1/I121*(U121/G121),0)</f>
        <v>0</v>
      </c>
      <c r="BR121" s="77">
        <f>IFERROR(1/I121*(V121/G121),0)</f>
        <v>0</v>
      </c>
      <c r="BS121" s="77">
        <f>IFERROR(W121*H121/G121,0)</f>
        <v>0</v>
      </c>
      <c r="BT121" s="77">
        <f>IFERROR(X121*H121/G121,0)</f>
        <v>0</v>
      </c>
      <c r="BU121" s="77">
        <f>IFERROR(1/I121*(W121/G121),0)</f>
        <v>0</v>
      </c>
      <c r="BV121" s="77">
        <f>IFERROR(1/I121*(X121/G121),0)</f>
        <v>0</v>
      </c>
      <c r="BW121" s="77">
        <f>IFERROR(Y121*H121/G121,0)</f>
        <v>0</v>
      </c>
      <c r="BX121" s="77">
        <f>IFERROR(Z121*H121/G121,0)</f>
        <v>0</v>
      </c>
      <c r="BY121" s="77">
        <f>IFERROR(1/I121*(Y121/G121),0)</f>
        <v>0</v>
      </c>
      <c r="BZ121" s="77">
        <f>IFERROR(1/I121*(Z121/G121),0)</f>
        <v>0</v>
      </c>
      <c r="CA121" s="77">
        <f>IFERROR(AA121*H121/G121,0)</f>
        <v>0</v>
      </c>
      <c r="CB121" s="77">
        <f>IFERROR(AB121*H121/G121,0)</f>
        <v>0</v>
      </c>
      <c r="CC121" s="77">
        <f>IFERROR(1/I121*(AA121/G121),0)</f>
        <v>0</v>
      </c>
      <c r="CD121" s="77">
        <f>IFERROR(1/I121*(AB121/G121),0)</f>
        <v>0</v>
      </c>
    </row>
    <row r="122" spans="1:82" hidden="1" x14ac:dyDescent="0.2">
      <c r="A122" s="420"/>
      <c r="B122" s="420"/>
      <c r="C122" s="420"/>
      <c r="D122" s="420"/>
      <c r="E122" s="420"/>
      <c r="F122" s="420"/>
      <c r="G122" s="420"/>
      <c r="H122" s="420"/>
      <c r="I122" s="420"/>
      <c r="J122" s="420"/>
      <c r="K122" s="420"/>
      <c r="L122" s="420"/>
      <c r="M122" s="420"/>
      <c r="N122" s="420"/>
      <c r="O122" s="426" t="s">
        <v>43</v>
      </c>
      <c r="P122" s="427"/>
      <c r="Q122" s="427"/>
      <c r="R122" s="427"/>
      <c r="S122" s="427"/>
      <c r="T122" s="39" t="s">
        <v>42</v>
      </c>
      <c r="U122" s="50">
        <f>IFERROR(U118/G118,0)+IFERROR(U119/G119,0)+IFERROR(U120/G120,0)+IFERROR(U121/G121,0)</f>
        <v>0</v>
      </c>
      <c r="V122" s="50">
        <f>IFERROR(V118/G118,0)+IFERROR(V119/G119,0)+IFERROR(V120/G120,0)+IFERROR(V121/G121,0)</f>
        <v>0</v>
      </c>
      <c r="W122" s="50">
        <f>IFERROR(W118/G118,0)+IFERROR(W119/G119,0)+IFERROR(W120/G120,0)+IFERROR(W121/G121,0)</f>
        <v>0</v>
      </c>
      <c r="X122" s="50">
        <f>IFERROR(X118/G118,0)+IFERROR(X119/G119,0)+IFERROR(X120/G120,0)+IFERROR(X121/G121,0)</f>
        <v>0</v>
      </c>
      <c r="Y122" s="50">
        <f>IFERROR(Y118/G118,0)+IFERROR(Y119/G119,0)+IFERROR(Y120/G120,0)+IFERROR(Y121/G121,0)</f>
        <v>0</v>
      </c>
      <c r="Z122" s="50">
        <f>IFERROR(Z118/G118,0)+IFERROR(Z119/G119,0)+IFERROR(Z120/G120,0)+IFERROR(Z121/G121,0)</f>
        <v>0</v>
      </c>
      <c r="AA122" s="50">
        <f>IFERROR(AA118/G118,0)+IFERROR(AA119/G119,0)+IFERROR(AA120/G120,0)+IFERROR(AA121/G121,0)</f>
        <v>0</v>
      </c>
      <c r="AB122" s="50">
        <f>IFERROR(AB118/G118,0)+IFERROR(AB119/G119,0)+IFERROR(AB120/G120,0)+IFERROR(AB121/G121,0)</f>
        <v>0</v>
      </c>
      <c r="AC122" s="50">
        <f>IFERROR(IF(AC118="",0,AC118),0)+IFERROR(IF(AC119="",0,AC119),0)+IFERROR(IF(AC120="",0,AC120),0)+IFERROR(IF(AC121="",0,AC121),0)</f>
        <v>0</v>
      </c>
      <c r="AD122" s="3"/>
      <c r="AE122" s="72"/>
      <c r="AF122" s="3"/>
      <c r="AG122" s="3"/>
      <c r="AH122" s="3"/>
      <c r="AI122" s="3"/>
      <c r="AJ122" s="3"/>
      <c r="AK122" s="3"/>
      <c r="AL122" s="62"/>
      <c r="AM122" s="62"/>
      <c r="AN122" s="62"/>
      <c r="AO122" s="3"/>
      <c r="AP122" s="3"/>
      <c r="AQ122" s="2"/>
      <c r="AR122" s="2"/>
      <c r="AS122" s="2"/>
      <c r="AT122" s="2"/>
      <c r="AU122" s="20"/>
      <c r="AV122" s="20"/>
      <c r="AW122" s="21"/>
    </row>
    <row r="123" spans="1:82" hidden="1" x14ac:dyDescent="0.2">
      <c r="A123" s="420"/>
      <c r="B123" s="420"/>
      <c r="C123" s="420"/>
      <c r="D123" s="420"/>
      <c r="E123" s="420"/>
      <c r="F123" s="420"/>
      <c r="G123" s="420"/>
      <c r="H123" s="420"/>
      <c r="I123" s="420"/>
      <c r="J123" s="420"/>
      <c r="K123" s="420"/>
      <c r="L123" s="420"/>
      <c r="M123" s="420"/>
      <c r="N123" s="420"/>
      <c r="O123" s="426" t="s">
        <v>43</v>
      </c>
      <c r="P123" s="427"/>
      <c r="Q123" s="427"/>
      <c r="R123" s="427"/>
      <c r="S123" s="427"/>
      <c r="T123" s="39" t="s">
        <v>0</v>
      </c>
      <c r="U123" s="102">
        <f t="shared" ref="U123:AB123" si="17">IFERROR(SUM(U118:U121),0)</f>
        <v>0</v>
      </c>
      <c r="V123" s="102">
        <f t="shared" si="17"/>
        <v>0</v>
      </c>
      <c r="W123" s="102">
        <f t="shared" si="17"/>
        <v>0</v>
      </c>
      <c r="X123" s="102">
        <f t="shared" si="17"/>
        <v>0</v>
      </c>
      <c r="Y123" s="102">
        <f t="shared" si="17"/>
        <v>0</v>
      </c>
      <c r="Z123" s="102">
        <f t="shared" si="17"/>
        <v>0</v>
      </c>
      <c r="AA123" s="102">
        <f t="shared" si="17"/>
        <v>0</v>
      </c>
      <c r="AB123" s="102">
        <f t="shared" si="17"/>
        <v>0</v>
      </c>
      <c r="AC123" s="50" t="s">
        <v>57</v>
      </c>
      <c r="AD123" s="3"/>
      <c r="AE123" s="72"/>
      <c r="AF123" s="3"/>
      <c r="AG123" s="3"/>
      <c r="AH123" s="3"/>
      <c r="AI123" s="3"/>
      <c r="AJ123" s="3"/>
      <c r="AK123" s="3"/>
      <c r="AL123" s="62"/>
      <c r="AM123" s="62"/>
      <c r="AN123" s="62"/>
      <c r="AO123" s="3"/>
      <c r="AP123" s="3"/>
      <c r="AQ123" s="2"/>
      <c r="AR123" s="2"/>
      <c r="AS123" s="2"/>
      <c r="AT123" s="2"/>
      <c r="AU123" s="20"/>
      <c r="AV123" s="20"/>
      <c r="AW123" s="21"/>
    </row>
    <row r="124" spans="1:82" ht="15" hidden="1" x14ac:dyDescent="0.25">
      <c r="A124" s="443" t="s">
        <v>221</v>
      </c>
      <c r="B124" s="430"/>
      <c r="C124" s="430"/>
      <c r="D124" s="430"/>
      <c r="E124" s="430"/>
      <c r="F124" s="430"/>
      <c r="G124" s="430"/>
      <c r="H124" s="430"/>
      <c r="I124" s="430"/>
      <c r="J124" s="430"/>
      <c r="K124" s="430"/>
      <c r="L124" s="430"/>
      <c r="M124" s="430"/>
      <c r="N124" s="430"/>
      <c r="O124" s="430"/>
      <c r="P124" s="430"/>
      <c r="Q124" s="430"/>
      <c r="R124" s="430"/>
      <c r="S124" s="430"/>
      <c r="T124" s="430"/>
      <c r="U124" s="430"/>
      <c r="V124" s="430"/>
      <c r="W124" s="430"/>
      <c r="X124" s="430"/>
      <c r="Y124" s="430"/>
      <c r="Z124" s="430"/>
      <c r="AA124" s="431"/>
      <c r="AB124" s="431"/>
      <c r="AC124" s="431"/>
      <c r="AD124" s="431"/>
      <c r="AE124" s="432"/>
      <c r="AF124" s="444"/>
      <c r="AG124" s="2"/>
      <c r="AH124" s="2"/>
      <c r="AI124" s="2"/>
      <c r="AJ124" s="2"/>
      <c r="AK124" s="61"/>
      <c r="AL124" s="61"/>
      <c r="AM124" s="61"/>
      <c r="AN124" s="2"/>
      <c r="AO124" s="2"/>
      <c r="AP124" s="2"/>
      <c r="AQ124" s="2"/>
      <c r="AR124" s="2"/>
    </row>
    <row r="125" spans="1:82" ht="15" hidden="1" x14ac:dyDescent="0.25">
      <c r="A125" s="428" t="s">
        <v>123</v>
      </c>
      <c r="B125" s="429"/>
      <c r="C125" s="429"/>
      <c r="D125" s="429"/>
      <c r="E125" s="429"/>
      <c r="F125" s="429"/>
      <c r="G125" s="429"/>
      <c r="H125" s="429"/>
      <c r="I125" s="429"/>
      <c r="J125" s="429"/>
      <c r="K125" s="429"/>
      <c r="L125" s="429"/>
      <c r="M125" s="429"/>
      <c r="N125" s="429"/>
      <c r="O125" s="429"/>
      <c r="P125" s="429"/>
      <c r="Q125" s="429"/>
      <c r="R125" s="429"/>
      <c r="S125" s="429"/>
      <c r="T125" s="429"/>
      <c r="U125" s="429"/>
      <c r="V125" s="429"/>
      <c r="W125" s="429"/>
      <c r="X125" s="430"/>
      <c r="Y125" s="430"/>
      <c r="Z125" s="430"/>
      <c r="AA125" s="431"/>
      <c r="AB125" s="431"/>
      <c r="AC125" s="431"/>
      <c r="AD125" s="431"/>
      <c r="AE125" s="432"/>
      <c r="AF125" s="433"/>
      <c r="AG125" s="2"/>
      <c r="AH125" s="2"/>
      <c r="AI125" s="2"/>
      <c r="AJ125" s="2"/>
      <c r="AK125" s="61"/>
      <c r="AL125" s="61"/>
      <c r="AM125" s="61"/>
      <c r="AN125" s="2"/>
      <c r="AO125" s="2"/>
      <c r="AP125" s="2"/>
      <c r="AQ125" s="2"/>
      <c r="AR125" s="2"/>
    </row>
    <row r="126" spans="1:82" hidden="1" x14ac:dyDescent="0.2">
      <c r="A126" s="79" t="s">
        <v>222</v>
      </c>
      <c r="B126" s="80" t="s">
        <v>223</v>
      </c>
      <c r="C126" s="80">
        <v>4301020220</v>
      </c>
      <c r="D126" s="80">
        <v>4680115880764</v>
      </c>
      <c r="E126" s="81">
        <v>0.35</v>
      </c>
      <c r="F126" s="82">
        <v>6</v>
      </c>
      <c r="G126" s="81">
        <v>2.1</v>
      </c>
      <c r="H126" s="81">
        <v>2.2799999999999998</v>
      </c>
      <c r="I126" s="83">
        <v>182</v>
      </c>
      <c r="J126" s="83" t="s">
        <v>86</v>
      </c>
      <c r="K126" s="84" t="s">
        <v>106</v>
      </c>
      <c r="L126" s="84"/>
      <c r="M126" s="423">
        <v>50</v>
      </c>
      <c r="N126" s="423"/>
      <c r="O126" s="5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P126" s="425"/>
      <c r="Q126" s="425"/>
      <c r="R126" s="425"/>
      <c r="S126" s="425"/>
      <c r="T126" s="85" t="s">
        <v>0</v>
      </c>
      <c r="U126" s="65">
        <v>0</v>
      </c>
      <c r="V126" s="66">
        <f>IFERROR(IF(U126="",0,CEILING((U126/$G126),1)*$G126),"")</f>
        <v>0</v>
      </c>
      <c r="W126" s="65">
        <v>0</v>
      </c>
      <c r="X126" s="66">
        <f>IFERROR(IF(W126="",0,CEILING((W126/$G126),1)*$G126),"")</f>
        <v>0</v>
      </c>
      <c r="Y126" s="65">
        <v>0</v>
      </c>
      <c r="Z126" s="66">
        <f>IFERROR(IF(Y126="",0,CEILING((Y126/$G126),1)*$G126),"")</f>
        <v>0</v>
      </c>
      <c r="AA126" s="65">
        <v>0</v>
      </c>
      <c r="AB126" s="66">
        <f>IFERROR(IF(AA126="",0,CEILING((AA126/$G126),1)*$G126),"")</f>
        <v>0</v>
      </c>
      <c r="AC126" s="67" t="str">
        <f>IF(IFERROR(ROUNDUP(V126/G126,0)*0.00651,0)+IFERROR(ROUNDUP(X126/G126,0)*0.00651,0)+IFERROR(ROUNDUP(Z126/G126,0)*0.00651,0)+IFERROR(ROUNDUP(AB126/G126,0)*0.00651,0)=0,"",IFERROR(ROUNDUP(V126/G126,0)*0.00651,0)+IFERROR(ROUNDUP(X126/G126,0)*0.00651,0)+IFERROR(ROUNDUP(Z126/G126,0)*0.00651,0)+IFERROR(ROUNDUP(AB126/G126,0)*0.00651,0))</f>
        <v/>
      </c>
      <c r="AD126" s="79" t="s">
        <v>57</v>
      </c>
      <c r="AE126" s="79" t="s">
        <v>57</v>
      </c>
      <c r="AF126" s="191" t="s">
        <v>224</v>
      </c>
      <c r="AG126" s="2"/>
      <c r="AH126" s="2"/>
      <c r="AI126" s="2"/>
      <c r="AJ126" s="2"/>
      <c r="AK126" s="2"/>
      <c r="AL126" s="61"/>
      <c r="AM126" s="61"/>
      <c r="AN126" s="61"/>
      <c r="AO126" s="2"/>
      <c r="AP126" s="2"/>
      <c r="AQ126" s="2"/>
      <c r="AR126" s="2"/>
      <c r="AS126" s="2"/>
      <c r="AT126" s="2"/>
      <c r="AU126" s="20"/>
      <c r="AV126" s="20"/>
      <c r="AW126" s="21"/>
      <c r="BB126" s="190" t="s">
        <v>65</v>
      </c>
      <c r="BO126" s="77">
        <f>IFERROR(U126*H126/G126,0)</f>
        <v>0</v>
      </c>
      <c r="BP126" s="77">
        <f>IFERROR(V126*H126/G126,0)</f>
        <v>0</v>
      </c>
      <c r="BQ126" s="77">
        <f>IFERROR(1/I126*(U126/G126),0)</f>
        <v>0</v>
      </c>
      <c r="BR126" s="77">
        <f>IFERROR(1/I126*(V126/G126),0)</f>
        <v>0</v>
      </c>
      <c r="BS126" s="77">
        <f>IFERROR(W126*H126/G126,0)</f>
        <v>0</v>
      </c>
      <c r="BT126" s="77">
        <f>IFERROR(X126*H126/G126,0)</f>
        <v>0</v>
      </c>
      <c r="BU126" s="77">
        <f>IFERROR(1/I126*(W126/G126),0)</f>
        <v>0</v>
      </c>
      <c r="BV126" s="77">
        <f>IFERROR(1/I126*(X126/G126),0)</f>
        <v>0</v>
      </c>
      <c r="BW126" s="77">
        <f>IFERROR(Y126*H126/G126,0)</f>
        <v>0</v>
      </c>
      <c r="BX126" s="77">
        <f>IFERROR(Z126*H126/G126,0)</f>
        <v>0</v>
      </c>
      <c r="BY126" s="77">
        <f>IFERROR(1/I126*(Y126/G126),0)</f>
        <v>0</v>
      </c>
      <c r="BZ126" s="77">
        <f>IFERROR(1/I126*(Z126/G126),0)</f>
        <v>0</v>
      </c>
      <c r="CA126" s="77">
        <f>IFERROR(AA126*H126/G126,0)</f>
        <v>0</v>
      </c>
      <c r="CB126" s="77">
        <f>IFERROR(AB126*H126/G126,0)</f>
        <v>0</v>
      </c>
      <c r="CC126" s="77">
        <f>IFERROR(1/I126*(AA126/G126),0)</f>
        <v>0</v>
      </c>
      <c r="CD126" s="77">
        <f>IFERROR(1/I126*(AB126/G126),0)</f>
        <v>0</v>
      </c>
    </row>
    <row r="127" spans="1:82" hidden="1" x14ac:dyDescent="0.2">
      <c r="A127" s="420"/>
      <c r="B127" s="420"/>
      <c r="C127" s="420"/>
      <c r="D127" s="420"/>
      <c r="E127" s="420"/>
      <c r="F127" s="420"/>
      <c r="G127" s="420"/>
      <c r="H127" s="420"/>
      <c r="I127" s="420"/>
      <c r="J127" s="420"/>
      <c r="K127" s="420"/>
      <c r="L127" s="420"/>
      <c r="M127" s="420"/>
      <c r="N127" s="420"/>
      <c r="O127" s="426" t="s">
        <v>43</v>
      </c>
      <c r="P127" s="427"/>
      <c r="Q127" s="427"/>
      <c r="R127" s="427"/>
      <c r="S127" s="427"/>
      <c r="T127" s="39" t="s">
        <v>42</v>
      </c>
      <c r="U127" s="50">
        <f>IFERROR(U126/G126,0)</f>
        <v>0</v>
      </c>
      <c r="V127" s="50">
        <f>IFERROR(V126/G126,0)</f>
        <v>0</v>
      </c>
      <c r="W127" s="50">
        <f>IFERROR(W126/G126,0)</f>
        <v>0</v>
      </c>
      <c r="X127" s="50">
        <f>IFERROR(X126/G126,0)</f>
        <v>0</v>
      </c>
      <c r="Y127" s="50">
        <f>IFERROR(Y126/G126,0)</f>
        <v>0</v>
      </c>
      <c r="Z127" s="50">
        <f>IFERROR(Z126/G126,0)</f>
        <v>0</v>
      </c>
      <c r="AA127" s="50">
        <f>IFERROR(AA126/G126,0)</f>
        <v>0</v>
      </c>
      <c r="AB127" s="50">
        <f>IFERROR(AB126/G126,0)</f>
        <v>0</v>
      </c>
      <c r="AC127" s="50">
        <f>IFERROR(IF(AC126="",0,AC126),0)</f>
        <v>0</v>
      </c>
      <c r="AD127" s="3"/>
      <c r="AE127" s="72"/>
      <c r="AF127" s="3"/>
      <c r="AG127" s="3"/>
      <c r="AH127" s="3"/>
      <c r="AI127" s="3"/>
      <c r="AJ127" s="3"/>
      <c r="AK127" s="3"/>
      <c r="AL127" s="62"/>
      <c r="AM127" s="62"/>
      <c r="AN127" s="62"/>
      <c r="AO127" s="3"/>
      <c r="AP127" s="3"/>
      <c r="AQ127" s="2"/>
      <c r="AR127" s="2"/>
      <c r="AS127" s="2"/>
      <c r="AT127" s="2"/>
      <c r="AU127" s="20"/>
      <c r="AV127" s="20"/>
      <c r="AW127" s="21"/>
    </row>
    <row r="128" spans="1:82" hidden="1" x14ac:dyDescent="0.2">
      <c r="A128" s="420"/>
      <c r="B128" s="420"/>
      <c r="C128" s="420"/>
      <c r="D128" s="420"/>
      <c r="E128" s="420"/>
      <c r="F128" s="420"/>
      <c r="G128" s="420"/>
      <c r="H128" s="420"/>
      <c r="I128" s="420"/>
      <c r="J128" s="420"/>
      <c r="K128" s="420"/>
      <c r="L128" s="420"/>
      <c r="M128" s="420"/>
      <c r="N128" s="420"/>
      <c r="O128" s="426" t="s">
        <v>43</v>
      </c>
      <c r="P128" s="427"/>
      <c r="Q128" s="427"/>
      <c r="R128" s="427"/>
      <c r="S128" s="427"/>
      <c r="T128" s="39" t="s">
        <v>0</v>
      </c>
      <c r="U128" s="102">
        <f t="shared" ref="U128:AB128" si="18">IFERROR(SUM(U126:U126),0)</f>
        <v>0</v>
      </c>
      <c r="V128" s="102">
        <f t="shared" si="18"/>
        <v>0</v>
      </c>
      <c r="W128" s="102">
        <f t="shared" si="18"/>
        <v>0</v>
      </c>
      <c r="X128" s="102">
        <f t="shared" si="18"/>
        <v>0</v>
      </c>
      <c r="Y128" s="102">
        <f t="shared" si="18"/>
        <v>0</v>
      </c>
      <c r="Z128" s="102">
        <f t="shared" si="18"/>
        <v>0</v>
      </c>
      <c r="AA128" s="102">
        <f t="shared" si="18"/>
        <v>0</v>
      </c>
      <c r="AB128" s="102">
        <f t="shared" si="18"/>
        <v>0</v>
      </c>
      <c r="AC128" s="50" t="s">
        <v>57</v>
      </c>
      <c r="AD128" s="3"/>
      <c r="AE128" s="72"/>
      <c r="AF128" s="3"/>
      <c r="AG128" s="3"/>
      <c r="AH128" s="3"/>
      <c r="AI128" s="3"/>
      <c r="AJ128" s="3"/>
      <c r="AK128" s="3"/>
      <c r="AL128" s="62"/>
      <c r="AM128" s="62"/>
      <c r="AN128" s="62"/>
      <c r="AO128" s="3"/>
      <c r="AP128" s="3"/>
      <c r="AQ128" s="2"/>
      <c r="AR128" s="2"/>
      <c r="AS128" s="2"/>
      <c r="AT128" s="2"/>
      <c r="AU128" s="20"/>
      <c r="AV128" s="20"/>
      <c r="AW128" s="21"/>
    </row>
    <row r="129" spans="1:82" ht="15" hidden="1" x14ac:dyDescent="0.25">
      <c r="A129" s="428" t="s">
        <v>129</v>
      </c>
      <c r="B129" s="429"/>
      <c r="C129" s="429"/>
      <c r="D129" s="429"/>
      <c r="E129" s="429"/>
      <c r="F129" s="429"/>
      <c r="G129" s="429"/>
      <c r="H129" s="429"/>
      <c r="I129" s="429"/>
      <c r="J129" s="429"/>
      <c r="K129" s="429"/>
      <c r="L129" s="429"/>
      <c r="M129" s="429"/>
      <c r="N129" s="429"/>
      <c r="O129" s="429"/>
      <c r="P129" s="429"/>
      <c r="Q129" s="429"/>
      <c r="R129" s="429"/>
      <c r="S129" s="429"/>
      <c r="T129" s="429"/>
      <c r="U129" s="429"/>
      <c r="V129" s="429"/>
      <c r="W129" s="429"/>
      <c r="X129" s="430"/>
      <c r="Y129" s="430"/>
      <c r="Z129" s="430"/>
      <c r="AA129" s="431"/>
      <c r="AB129" s="431"/>
      <c r="AC129" s="431"/>
      <c r="AD129" s="431"/>
      <c r="AE129" s="432"/>
      <c r="AF129" s="433"/>
      <c r="AG129" s="2"/>
      <c r="AH129" s="2"/>
      <c r="AI129" s="2"/>
      <c r="AJ129" s="2"/>
      <c r="AK129" s="61"/>
      <c r="AL129" s="61"/>
      <c r="AM129" s="61"/>
      <c r="AN129" s="2"/>
      <c r="AO129" s="2"/>
      <c r="AP129" s="2"/>
      <c r="AQ129" s="2"/>
      <c r="AR129" s="2"/>
    </row>
    <row r="130" spans="1:82" hidden="1" x14ac:dyDescent="0.2">
      <c r="A130" s="79" t="s">
        <v>225</v>
      </c>
      <c r="B130" s="80" t="s">
        <v>226</v>
      </c>
      <c r="C130" s="80">
        <v>4301031223</v>
      </c>
      <c r="D130" s="80">
        <v>4680115884014</v>
      </c>
      <c r="E130" s="81">
        <v>0.3</v>
      </c>
      <c r="F130" s="82">
        <v>6</v>
      </c>
      <c r="G130" s="81">
        <v>1.8</v>
      </c>
      <c r="H130" s="81">
        <v>1.93</v>
      </c>
      <c r="I130" s="83">
        <v>234</v>
      </c>
      <c r="J130" s="83" t="s">
        <v>133</v>
      </c>
      <c r="K130" s="84" t="s">
        <v>132</v>
      </c>
      <c r="L130" s="84"/>
      <c r="M130" s="423">
        <v>40</v>
      </c>
      <c r="N130" s="423"/>
      <c r="O130" s="5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P130" s="425"/>
      <c r="Q130" s="425"/>
      <c r="R130" s="425"/>
      <c r="S130" s="425"/>
      <c r="T130" s="85" t="s">
        <v>0</v>
      </c>
      <c r="U130" s="65">
        <v>0</v>
      </c>
      <c r="V130" s="66">
        <f>IFERROR(IF(U130="",0,CEILING((U130/$G130),1)*$G130),"")</f>
        <v>0</v>
      </c>
      <c r="W130" s="65">
        <v>0</v>
      </c>
      <c r="X130" s="66">
        <f>IFERROR(IF(W130="",0,CEILING((W130/$G130),1)*$G130),"")</f>
        <v>0</v>
      </c>
      <c r="Y130" s="65">
        <v>0</v>
      </c>
      <c r="Z130" s="66">
        <f>IFERROR(IF(Y130="",0,CEILING((Y130/$G130),1)*$G130),"")</f>
        <v>0</v>
      </c>
      <c r="AA130" s="65">
        <v>0</v>
      </c>
      <c r="AB130" s="66">
        <f>IFERROR(IF(AA130="",0,CEILING((AA130/$G130),1)*$G130),"")</f>
        <v>0</v>
      </c>
      <c r="AC130" s="67" t="str">
        <f>IF(IFERROR(ROUNDUP(V130/G130,0)*0.00502,0)+IFERROR(ROUNDUP(X130/G130,0)*0.00502,0)+IFERROR(ROUNDUP(Z130/G130,0)*0.00502,0)+IFERROR(ROUNDUP(AB130/G130,0)*0.00502,0)=0,"",IFERROR(ROUNDUP(V130/G130,0)*0.00502,0)+IFERROR(ROUNDUP(X130/G130,0)*0.00502,0)+IFERROR(ROUNDUP(Z130/G130,0)*0.00502,0)+IFERROR(ROUNDUP(AB130/G130,0)*0.00502,0))</f>
        <v/>
      </c>
      <c r="AD130" s="79" t="s">
        <v>57</v>
      </c>
      <c r="AE130" s="79" t="s">
        <v>57</v>
      </c>
      <c r="AF130" s="193" t="s">
        <v>227</v>
      </c>
      <c r="AG130" s="2"/>
      <c r="AH130" s="2"/>
      <c r="AI130" s="2"/>
      <c r="AJ130" s="2"/>
      <c r="AK130" s="2"/>
      <c r="AL130" s="61"/>
      <c r="AM130" s="61"/>
      <c r="AN130" s="61"/>
      <c r="AO130" s="2"/>
      <c r="AP130" s="2"/>
      <c r="AQ130" s="2"/>
      <c r="AR130" s="2"/>
      <c r="AS130" s="2"/>
      <c r="AT130" s="2"/>
      <c r="AU130" s="20"/>
      <c r="AV130" s="20"/>
      <c r="AW130" s="21"/>
      <c r="BB130" s="192" t="s">
        <v>65</v>
      </c>
      <c r="BO130" s="77">
        <f>IFERROR(U130*H130/G130,0)</f>
        <v>0</v>
      </c>
      <c r="BP130" s="77">
        <f>IFERROR(V130*H130/G130,0)</f>
        <v>0</v>
      </c>
      <c r="BQ130" s="77">
        <f>IFERROR(1/I130*(U130/G130),0)</f>
        <v>0</v>
      </c>
      <c r="BR130" s="77">
        <f>IFERROR(1/I130*(V130/G130),0)</f>
        <v>0</v>
      </c>
      <c r="BS130" s="77">
        <f>IFERROR(W130*H130/G130,0)</f>
        <v>0</v>
      </c>
      <c r="BT130" s="77">
        <f>IFERROR(X130*H130/G130,0)</f>
        <v>0</v>
      </c>
      <c r="BU130" s="77">
        <f>IFERROR(1/I130*(W130/G130),0)</f>
        <v>0</v>
      </c>
      <c r="BV130" s="77">
        <f>IFERROR(1/I130*(X130/G130),0)</f>
        <v>0</v>
      </c>
      <c r="BW130" s="77">
        <f>IFERROR(Y130*H130/G130,0)</f>
        <v>0</v>
      </c>
      <c r="BX130" s="77">
        <f>IFERROR(Z130*H130/G130,0)</f>
        <v>0</v>
      </c>
      <c r="BY130" s="77">
        <f>IFERROR(1/I130*(Y130/G130),0)</f>
        <v>0</v>
      </c>
      <c r="BZ130" s="77">
        <f>IFERROR(1/I130*(Z130/G130),0)</f>
        <v>0</v>
      </c>
      <c r="CA130" s="77">
        <f>IFERROR(AA130*H130/G130,0)</f>
        <v>0</v>
      </c>
      <c r="CB130" s="77">
        <f>IFERROR(AB130*H130/G130,0)</f>
        <v>0</v>
      </c>
      <c r="CC130" s="77">
        <f>IFERROR(1/I130*(AA130/G130),0)</f>
        <v>0</v>
      </c>
      <c r="CD130" s="77">
        <f>IFERROR(1/I130*(AB130/G130),0)</f>
        <v>0</v>
      </c>
    </row>
    <row r="131" spans="1:82" hidden="1" x14ac:dyDescent="0.2">
      <c r="A131" s="79" t="s">
        <v>228</v>
      </c>
      <c r="B131" s="80" t="s">
        <v>229</v>
      </c>
      <c r="C131" s="80">
        <v>4301031376</v>
      </c>
      <c r="D131" s="80">
        <v>4680115884038</v>
      </c>
      <c r="E131" s="81">
        <v>0.3</v>
      </c>
      <c r="F131" s="82">
        <v>6</v>
      </c>
      <c r="G131" s="81">
        <v>1.8</v>
      </c>
      <c r="H131" s="81">
        <v>1.9</v>
      </c>
      <c r="I131" s="83">
        <v>234</v>
      </c>
      <c r="J131" s="83" t="s">
        <v>133</v>
      </c>
      <c r="K131" s="84" t="s">
        <v>132</v>
      </c>
      <c r="L131" s="84"/>
      <c r="M131" s="423">
        <v>40</v>
      </c>
      <c r="N131" s="423"/>
      <c r="O131" s="544" t="str">
        <f>HYPERLINK("https://abi.ru/products/Охлажденные/Стародворье/Сочинка/Копченые колбасы/P004666/","П/к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P131" s="425"/>
      <c r="Q131" s="425"/>
      <c r="R131" s="425"/>
      <c r="S131" s="425"/>
      <c r="T131" s="85" t="s">
        <v>0</v>
      </c>
      <c r="U131" s="65">
        <v>0</v>
      </c>
      <c r="V131" s="66">
        <f>IFERROR(IF(U131="",0,CEILING((U131/$G131),1)*$G131),"")</f>
        <v>0</v>
      </c>
      <c r="W131" s="65">
        <v>0</v>
      </c>
      <c r="X131" s="66">
        <f>IFERROR(IF(W131="",0,CEILING((W131/$G131),1)*$G131),"")</f>
        <v>0</v>
      </c>
      <c r="Y131" s="65">
        <v>0</v>
      </c>
      <c r="Z131" s="66">
        <f>IFERROR(IF(Y131="",0,CEILING((Y131/$G131),1)*$G131),"")</f>
        <v>0</v>
      </c>
      <c r="AA131" s="65">
        <v>0</v>
      </c>
      <c r="AB131" s="66">
        <f>IFERROR(IF(AA131="",0,CEILING((AA131/$G131),1)*$G131),"")</f>
        <v>0</v>
      </c>
      <c r="AC131" s="67" t="str">
        <f>IF(IFERROR(ROUNDUP(V131/G131,0)*0.00502,0)+IFERROR(ROUNDUP(X131/G131,0)*0.00502,0)+IFERROR(ROUNDUP(Z131/G131,0)*0.00502,0)+IFERROR(ROUNDUP(AB131/G131,0)*0.00502,0)=0,"",IFERROR(ROUNDUP(V131/G131,0)*0.00502,0)+IFERROR(ROUNDUP(X131/G131,0)*0.00502,0)+IFERROR(ROUNDUP(Z131/G131,0)*0.00502,0)+IFERROR(ROUNDUP(AB131/G131,0)*0.00502,0))</f>
        <v/>
      </c>
      <c r="AD131" s="79" t="s">
        <v>57</v>
      </c>
      <c r="AE131" s="79" t="s">
        <v>57</v>
      </c>
      <c r="AF131" s="195" t="s">
        <v>230</v>
      </c>
      <c r="AG131" s="2"/>
      <c r="AH131" s="2"/>
      <c r="AI131" s="2"/>
      <c r="AJ131" s="2"/>
      <c r="AK131" s="2"/>
      <c r="AL131" s="61"/>
      <c r="AM131" s="61"/>
      <c r="AN131" s="61"/>
      <c r="AO131" s="2"/>
      <c r="AP131" s="2"/>
      <c r="AQ131" s="2"/>
      <c r="AR131" s="2"/>
      <c r="AS131" s="2"/>
      <c r="AT131" s="2"/>
      <c r="AU131" s="20"/>
      <c r="AV131" s="20"/>
      <c r="AW131" s="21"/>
      <c r="BB131" s="194" t="s">
        <v>65</v>
      </c>
      <c r="BO131" s="77">
        <f>IFERROR(U131*H131/G131,0)</f>
        <v>0</v>
      </c>
      <c r="BP131" s="77">
        <f>IFERROR(V131*H131/G131,0)</f>
        <v>0</v>
      </c>
      <c r="BQ131" s="77">
        <f>IFERROR(1/I131*(U131/G131),0)</f>
        <v>0</v>
      </c>
      <c r="BR131" s="77">
        <f>IFERROR(1/I131*(V131/G131),0)</f>
        <v>0</v>
      </c>
      <c r="BS131" s="77">
        <f>IFERROR(W131*H131/G131,0)</f>
        <v>0</v>
      </c>
      <c r="BT131" s="77">
        <f>IFERROR(X131*H131/G131,0)</f>
        <v>0</v>
      </c>
      <c r="BU131" s="77">
        <f>IFERROR(1/I131*(W131/G131),0)</f>
        <v>0</v>
      </c>
      <c r="BV131" s="77">
        <f>IFERROR(1/I131*(X131/G131),0)</f>
        <v>0</v>
      </c>
      <c r="BW131" s="77">
        <f>IFERROR(Y131*H131/G131,0)</f>
        <v>0</v>
      </c>
      <c r="BX131" s="77">
        <f>IFERROR(Z131*H131/G131,0)</f>
        <v>0</v>
      </c>
      <c r="BY131" s="77">
        <f>IFERROR(1/I131*(Y131/G131),0)</f>
        <v>0</v>
      </c>
      <c r="BZ131" s="77">
        <f>IFERROR(1/I131*(Z131/G131),0)</f>
        <v>0</v>
      </c>
      <c r="CA131" s="77">
        <f>IFERROR(AA131*H131/G131,0)</f>
        <v>0</v>
      </c>
      <c r="CB131" s="77">
        <f>IFERROR(AB131*H131/G131,0)</f>
        <v>0</v>
      </c>
      <c r="CC131" s="77">
        <f>IFERROR(1/I131*(AA131/G131),0)</f>
        <v>0</v>
      </c>
      <c r="CD131" s="77">
        <f>IFERROR(1/I131*(AB131/G131),0)</f>
        <v>0</v>
      </c>
    </row>
    <row r="132" spans="1:82" hidden="1" x14ac:dyDescent="0.2">
      <c r="A132" s="79" t="s">
        <v>231</v>
      </c>
      <c r="B132" s="80" t="s">
        <v>232</v>
      </c>
      <c r="C132" s="80">
        <v>4301031225</v>
      </c>
      <c r="D132" s="80">
        <v>4680115884021</v>
      </c>
      <c r="E132" s="81">
        <v>0.3</v>
      </c>
      <c r="F132" s="82">
        <v>6</v>
      </c>
      <c r="G132" s="81">
        <v>1.8</v>
      </c>
      <c r="H132" s="81">
        <v>1.9</v>
      </c>
      <c r="I132" s="83">
        <v>234</v>
      </c>
      <c r="J132" s="83" t="s">
        <v>133</v>
      </c>
      <c r="K132" s="84" t="s">
        <v>132</v>
      </c>
      <c r="L132" s="84"/>
      <c r="M132" s="423">
        <v>40</v>
      </c>
      <c r="N132" s="423"/>
      <c r="O132" s="5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P132" s="425"/>
      <c r="Q132" s="425"/>
      <c r="R132" s="425"/>
      <c r="S132" s="425"/>
      <c r="T132" s="85" t="s">
        <v>0</v>
      </c>
      <c r="U132" s="65">
        <v>0</v>
      </c>
      <c r="V132" s="66">
        <f>IFERROR(IF(U132="",0,CEILING((U132/$G132),1)*$G132),"")</f>
        <v>0</v>
      </c>
      <c r="W132" s="65">
        <v>0</v>
      </c>
      <c r="X132" s="66">
        <f>IFERROR(IF(W132="",0,CEILING((W132/$G132),1)*$G132),"")</f>
        <v>0</v>
      </c>
      <c r="Y132" s="65">
        <v>0</v>
      </c>
      <c r="Z132" s="66">
        <f>IFERROR(IF(Y132="",0,CEILING((Y132/$G132),1)*$G132),"")</f>
        <v>0</v>
      </c>
      <c r="AA132" s="65">
        <v>0</v>
      </c>
      <c r="AB132" s="66">
        <f>IFERROR(IF(AA132="",0,CEILING((AA132/$G132),1)*$G132),"")</f>
        <v>0</v>
      </c>
      <c r="AC132" s="67" t="str">
        <f>IF(IFERROR(ROUNDUP(V132/G132,0)*0.00502,0)+IFERROR(ROUNDUP(X132/G132,0)*0.00502,0)+IFERROR(ROUNDUP(Z132/G132,0)*0.00502,0)+IFERROR(ROUNDUP(AB132/G132,0)*0.00502,0)=0,"",IFERROR(ROUNDUP(V132/G132,0)*0.00502,0)+IFERROR(ROUNDUP(X132/G132,0)*0.00502,0)+IFERROR(ROUNDUP(Z132/G132,0)*0.00502,0)+IFERROR(ROUNDUP(AB132/G132,0)*0.00502,0))</f>
        <v/>
      </c>
      <c r="AD132" s="79" t="s">
        <v>57</v>
      </c>
      <c r="AE132" s="79" t="s">
        <v>57</v>
      </c>
      <c r="AF132" s="197" t="s">
        <v>233</v>
      </c>
      <c r="AG132" s="2"/>
      <c r="AH132" s="2"/>
      <c r="AI132" s="2"/>
      <c r="AJ132" s="2"/>
      <c r="AK132" s="2"/>
      <c r="AL132" s="61"/>
      <c r="AM132" s="61"/>
      <c r="AN132" s="61"/>
      <c r="AO132" s="2"/>
      <c r="AP132" s="2"/>
      <c r="AQ132" s="2"/>
      <c r="AR132" s="2"/>
      <c r="AS132" s="2"/>
      <c r="AT132" s="2"/>
      <c r="AU132" s="20"/>
      <c r="AV132" s="20"/>
      <c r="AW132" s="21"/>
      <c r="BB132" s="196" t="s">
        <v>65</v>
      </c>
      <c r="BO132" s="77">
        <f>IFERROR(U132*H132/G132,0)</f>
        <v>0</v>
      </c>
      <c r="BP132" s="77">
        <f>IFERROR(V132*H132/G132,0)</f>
        <v>0</v>
      </c>
      <c r="BQ132" s="77">
        <f>IFERROR(1/I132*(U132/G132),0)</f>
        <v>0</v>
      </c>
      <c r="BR132" s="77">
        <f>IFERROR(1/I132*(V132/G132),0)</f>
        <v>0</v>
      </c>
      <c r="BS132" s="77">
        <f>IFERROR(W132*H132/G132,0)</f>
        <v>0</v>
      </c>
      <c r="BT132" s="77">
        <f>IFERROR(X132*H132/G132,0)</f>
        <v>0</v>
      </c>
      <c r="BU132" s="77">
        <f>IFERROR(1/I132*(W132/G132),0)</f>
        <v>0</v>
      </c>
      <c r="BV132" s="77">
        <f>IFERROR(1/I132*(X132/G132),0)</f>
        <v>0</v>
      </c>
      <c r="BW132" s="77">
        <f>IFERROR(Y132*H132/G132,0)</f>
        <v>0</v>
      </c>
      <c r="BX132" s="77">
        <f>IFERROR(Z132*H132/G132,0)</f>
        <v>0</v>
      </c>
      <c r="BY132" s="77">
        <f>IFERROR(1/I132*(Y132/G132),0)</f>
        <v>0</v>
      </c>
      <c r="BZ132" s="77">
        <f>IFERROR(1/I132*(Z132/G132),0)</f>
        <v>0</v>
      </c>
      <c r="CA132" s="77">
        <f>IFERROR(AA132*H132/G132,0)</f>
        <v>0</v>
      </c>
      <c r="CB132" s="77">
        <f>IFERROR(AB132*H132/G132,0)</f>
        <v>0</v>
      </c>
      <c r="CC132" s="77">
        <f>IFERROR(1/I132*(AA132/G132),0)</f>
        <v>0</v>
      </c>
      <c r="CD132" s="77">
        <f>IFERROR(1/I132*(AB132/G132),0)</f>
        <v>0</v>
      </c>
    </row>
    <row r="133" spans="1:82" hidden="1" x14ac:dyDescent="0.2">
      <c r="A133" s="420"/>
      <c r="B133" s="420"/>
      <c r="C133" s="420"/>
      <c r="D133" s="420"/>
      <c r="E133" s="420"/>
      <c r="F133" s="420"/>
      <c r="G133" s="420"/>
      <c r="H133" s="420"/>
      <c r="I133" s="420"/>
      <c r="J133" s="420"/>
      <c r="K133" s="420"/>
      <c r="L133" s="420"/>
      <c r="M133" s="420"/>
      <c r="N133" s="420"/>
      <c r="O133" s="426" t="s">
        <v>43</v>
      </c>
      <c r="P133" s="427"/>
      <c r="Q133" s="427"/>
      <c r="R133" s="427"/>
      <c r="S133" s="427"/>
      <c r="T133" s="39" t="s">
        <v>42</v>
      </c>
      <c r="U133" s="50">
        <f>IFERROR(U130/G130,0)+IFERROR(U131/G131,0)+IFERROR(U132/G132,0)</f>
        <v>0</v>
      </c>
      <c r="V133" s="50">
        <f>IFERROR(V130/G130,0)+IFERROR(V131/G131,0)+IFERROR(V132/G132,0)</f>
        <v>0</v>
      </c>
      <c r="W133" s="50">
        <f>IFERROR(W130/G130,0)+IFERROR(W131/G131,0)+IFERROR(W132/G132,0)</f>
        <v>0</v>
      </c>
      <c r="X133" s="50">
        <f>IFERROR(X130/G130,0)+IFERROR(X131/G131,0)+IFERROR(X132/G132,0)</f>
        <v>0</v>
      </c>
      <c r="Y133" s="50">
        <f>IFERROR(Y130/G130,0)+IFERROR(Y131/G131,0)+IFERROR(Y132/G132,0)</f>
        <v>0</v>
      </c>
      <c r="Z133" s="50">
        <f>IFERROR(Z130/G130,0)+IFERROR(Z131/G131,0)+IFERROR(Z132/G132,0)</f>
        <v>0</v>
      </c>
      <c r="AA133" s="50">
        <f>IFERROR(AA130/G130,0)+IFERROR(AA131/G131,0)+IFERROR(AA132/G132,0)</f>
        <v>0</v>
      </c>
      <c r="AB133" s="50">
        <f>IFERROR(AB130/G130,0)+IFERROR(AB131/G131,0)+IFERROR(AB132/G132,0)</f>
        <v>0</v>
      </c>
      <c r="AC133" s="50">
        <f>IFERROR(IF(AC130="",0,AC130),0)+IFERROR(IF(AC131="",0,AC131),0)+IFERROR(IF(AC132="",0,AC132),0)</f>
        <v>0</v>
      </c>
      <c r="AD133" s="3"/>
      <c r="AE133" s="72"/>
      <c r="AF133" s="3"/>
      <c r="AG133" s="3"/>
      <c r="AH133" s="3"/>
      <c r="AI133" s="3"/>
      <c r="AJ133" s="3"/>
      <c r="AK133" s="3"/>
      <c r="AL133" s="62"/>
      <c r="AM133" s="62"/>
      <c r="AN133" s="62"/>
      <c r="AO133" s="3"/>
      <c r="AP133" s="3"/>
      <c r="AQ133" s="2"/>
      <c r="AR133" s="2"/>
      <c r="AS133" s="2"/>
      <c r="AT133" s="2"/>
      <c r="AU133" s="20"/>
      <c r="AV133" s="20"/>
      <c r="AW133" s="21"/>
    </row>
    <row r="134" spans="1:82" hidden="1" x14ac:dyDescent="0.2">
      <c r="A134" s="420"/>
      <c r="B134" s="420"/>
      <c r="C134" s="420"/>
      <c r="D134" s="420"/>
      <c r="E134" s="420"/>
      <c r="F134" s="420"/>
      <c r="G134" s="420"/>
      <c r="H134" s="420"/>
      <c r="I134" s="420"/>
      <c r="J134" s="420"/>
      <c r="K134" s="420"/>
      <c r="L134" s="420"/>
      <c r="M134" s="420"/>
      <c r="N134" s="420"/>
      <c r="O134" s="426" t="s">
        <v>43</v>
      </c>
      <c r="P134" s="427"/>
      <c r="Q134" s="427"/>
      <c r="R134" s="427"/>
      <c r="S134" s="427"/>
      <c r="T134" s="39" t="s">
        <v>0</v>
      </c>
      <c r="U134" s="102">
        <f t="shared" ref="U134:AB134" si="19">IFERROR(SUM(U130:U132),0)</f>
        <v>0</v>
      </c>
      <c r="V134" s="102">
        <f t="shared" si="19"/>
        <v>0</v>
      </c>
      <c r="W134" s="102">
        <f t="shared" si="19"/>
        <v>0</v>
      </c>
      <c r="X134" s="102">
        <f t="shared" si="19"/>
        <v>0</v>
      </c>
      <c r="Y134" s="102">
        <f t="shared" si="19"/>
        <v>0</v>
      </c>
      <c r="Z134" s="102">
        <f t="shared" si="19"/>
        <v>0</v>
      </c>
      <c r="AA134" s="102">
        <f t="shared" si="19"/>
        <v>0</v>
      </c>
      <c r="AB134" s="102">
        <f t="shared" si="19"/>
        <v>0</v>
      </c>
      <c r="AC134" s="50" t="s">
        <v>57</v>
      </c>
      <c r="AD134" s="3"/>
      <c r="AE134" s="72"/>
      <c r="AF134" s="3"/>
      <c r="AG134" s="3"/>
      <c r="AH134" s="3"/>
      <c r="AI134" s="3"/>
      <c r="AJ134" s="3"/>
      <c r="AK134" s="3"/>
      <c r="AL134" s="62"/>
      <c r="AM134" s="62"/>
      <c r="AN134" s="62"/>
      <c r="AO134" s="3"/>
      <c r="AP134" s="3"/>
      <c r="AQ134" s="2"/>
      <c r="AR134" s="2"/>
      <c r="AS134" s="2"/>
      <c r="AT134" s="2"/>
      <c r="AU134" s="20"/>
      <c r="AV134" s="20"/>
      <c r="AW134" s="21"/>
    </row>
    <row r="135" spans="1:82" ht="15" hidden="1" x14ac:dyDescent="0.25">
      <c r="A135" s="428" t="s">
        <v>82</v>
      </c>
      <c r="B135" s="429"/>
      <c r="C135" s="429"/>
      <c r="D135" s="429"/>
      <c r="E135" s="429"/>
      <c r="F135" s="429"/>
      <c r="G135" s="429"/>
      <c r="H135" s="429"/>
      <c r="I135" s="429"/>
      <c r="J135" s="429"/>
      <c r="K135" s="429"/>
      <c r="L135" s="429"/>
      <c r="M135" s="429"/>
      <c r="N135" s="429"/>
      <c r="O135" s="429"/>
      <c r="P135" s="429"/>
      <c r="Q135" s="429"/>
      <c r="R135" s="429"/>
      <c r="S135" s="429"/>
      <c r="T135" s="429"/>
      <c r="U135" s="429"/>
      <c r="V135" s="429"/>
      <c r="W135" s="429"/>
      <c r="X135" s="430"/>
      <c r="Y135" s="430"/>
      <c r="Z135" s="430"/>
      <c r="AA135" s="431"/>
      <c r="AB135" s="431"/>
      <c r="AC135" s="431"/>
      <c r="AD135" s="431"/>
      <c r="AE135" s="432"/>
      <c r="AF135" s="433"/>
      <c r="AG135" s="2"/>
      <c r="AH135" s="2"/>
      <c r="AI135" s="2"/>
      <c r="AJ135" s="2"/>
      <c r="AK135" s="61"/>
      <c r="AL135" s="61"/>
      <c r="AM135" s="61"/>
      <c r="AN135" s="2"/>
      <c r="AO135" s="2"/>
      <c r="AP135" s="2"/>
      <c r="AQ135" s="2"/>
      <c r="AR135" s="2"/>
    </row>
    <row r="136" spans="1:82" hidden="1" x14ac:dyDescent="0.2">
      <c r="A136" s="79" t="s">
        <v>234</v>
      </c>
      <c r="B136" s="80" t="s">
        <v>235</v>
      </c>
      <c r="C136" s="80">
        <v>4301051667</v>
      </c>
      <c r="D136" s="80">
        <v>4680115880092</v>
      </c>
      <c r="E136" s="81">
        <v>0.4</v>
      </c>
      <c r="F136" s="82">
        <v>6</v>
      </c>
      <c r="G136" s="81">
        <v>2.4</v>
      </c>
      <c r="H136" s="81">
        <v>2.6520000000000001</v>
      </c>
      <c r="I136" s="83">
        <v>182</v>
      </c>
      <c r="J136" s="83" t="s">
        <v>86</v>
      </c>
      <c r="K136" s="84" t="s">
        <v>85</v>
      </c>
      <c r="L136" s="84"/>
      <c r="M136" s="423">
        <v>45</v>
      </c>
      <c r="N136" s="423"/>
      <c r="O136" s="54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P136" s="425"/>
      <c r="Q136" s="425"/>
      <c r="R136" s="425"/>
      <c r="S136" s="425"/>
      <c r="T136" s="85" t="s">
        <v>0</v>
      </c>
      <c r="U136" s="65">
        <v>0</v>
      </c>
      <c r="V136" s="66">
        <f>IFERROR(IF(U136="",0,CEILING((U136/$G136),1)*$G136),"")</f>
        <v>0</v>
      </c>
      <c r="W136" s="65">
        <v>0</v>
      </c>
      <c r="X136" s="66">
        <f>IFERROR(IF(W136="",0,CEILING((W136/$G136),1)*$G136),"")</f>
        <v>0</v>
      </c>
      <c r="Y136" s="65">
        <v>0</v>
      </c>
      <c r="Z136" s="66">
        <f>IFERROR(IF(Y136="",0,CEILING((Y136/$G136),1)*$G136),"")</f>
        <v>0</v>
      </c>
      <c r="AA136" s="65">
        <v>0</v>
      </c>
      <c r="AB136" s="66">
        <f>IFERROR(IF(AA136="",0,CEILING((AA136/$G136),1)*$G136),"")</f>
        <v>0</v>
      </c>
      <c r="AC136" s="67" t="str">
        <f>IF(IFERROR(ROUNDUP(V136/G136,0)*0.00651,0)+IFERROR(ROUNDUP(X136/G136,0)*0.00651,0)+IFERROR(ROUNDUP(Z136/G136,0)*0.00651,0)+IFERROR(ROUNDUP(AB136/G136,0)*0.00651,0)=0,"",IFERROR(ROUNDUP(V136/G136,0)*0.00651,0)+IFERROR(ROUNDUP(X136/G136,0)*0.00651,0)+IFERROR(ROUNDUP(Z136/G136,0)*0.00651,0)+IFERROR(ROUNDUP(AB136/G136,0)*0.00651,0))</f>
        <v/>
      </c>
      <c r="AD136" s="79" t="s">
        <v>57</v>
      </c>
      <c r="AE136" s="79" t="s">
        <v>57</v>
      </c>
      <c r="AF136" s="199" t="s">
        <v>236</v>
      </c>
      <c r="AG136" s="2"/>
      <c r="AH136" s="2"/>
      <c r="AI136" s="2"/>
      <c r="AJ136" s="2"/>
      <c r="AK136" s="2"/>
      <c r="AL136" s="61"/>
      <c r="AM136" s="61"/>
      <c r="AN136" s="61"/>
      <c r="AO136" s="2"/>
      <c r="AP136" s="2"/>
      <c r="AQ136" s="2"/>
      <c r="AR136" s="2"/>
      <c r="AS136" s="2"/>
      <c r="AT136" s="2"/>
      <c r="AU136" s="20"/>
      <c r="AV136" s="20"/>
      <c r="AW136" s="21"/>
      <c r="BB136" s="198" t="s">
        <v>65</v>
      </c>
      <c r="BO136" s="77">
        <f>IFERROR(U136*H136/G136,0)</f>
        <v>0</v>
      </c>
      <c r="BP136" s="77">
        <f>IFERROR(V136*H136/G136,0)</f>
        <v>0</v>
      </c>
      <c r="BQ136" s="77">
        <f>IFERROR(1/I136*(U136/G136),0)</f>
        <v>0</v>
      </c>
      <c r="BR136" s="77">
        <f>IFERROR(1/I136*(V136/G136),0)</f>
        <v>0</v>
      </c>
      <c r="BS136" s="77">
        <f>IFERROR(W136*H136/G136,0)</f>
        <v>0</v>
      </c>
      <c r="BT136" s="77">
        <f>IFERROR(X136*H136/G136,0)</f>
        <v>0</v>
      </c>
      <c r="BU136" s="77">
        <f>IFERROR(1/I136*(W136/G136),0)</f>
        <v>0</v>
      </c>
      <c r="BV136" s="77">
        <f>IFERROR(1/I136*(X136/G136),0)</f>
        <v>0</v>
      </c>
      <c r="BW136" s="77">
        <f>IFERROR(Y136*H136/G136,0)</f>
        <v>0</v>
      </c>
      <c r="BX136" s="77">
        <f>IFERROR(Z136*H136/G136,0)</f>
        <v>0</v>
      </c>
      <c r="BY136" s="77">
        <f>IFERROR(1/I136*(Y136/G136),0)</f>
        <v>0</v>
      </c>
      <c r="BZ136" s="77">
        <f>IFERROR(1/I136*(Z136/G136),0)</f>
        <v>0</v>
      </c>
      <c r="CA136" s="77">
        <f>IFERROR(AA136*H136/G136,0)</f>
        <v>0</v>
      </c>
      <c r="CB136" s="77">
        <f>IFERROR(AB136*H136/G136,0)</f>
        <v>0</v>
      </c>
      <c r="CC136" s="77">
        <f>IFERROR(1/I136*(AA136/G136),0)</f>
        <v>0</v>
      </c>
      <c r="CD136" s="77">
        <f>IFERROR(1/I136*(AB136/G136),0)</f>
        <v>0</v>
      </c>
    </row>
    <row r="137" spans="1:82" hidden="1" x14ac:dyDescent="0.2">
      <c r="A137" s="79" t="s">
        <v>237</v>
      </c>
      <c r="B137" s="80" t="s">
        <v>238</v>
      </c>
      <c r="C137" s="80">
        <v>4301051669</v>
      </c>
      <c r="D137" s="80">
        <v>4680115880221</v>
      </c>
      <c r="E137" s="81">
        <v>0.4</v>
      </c>
      <c r="F137" s="82">
        <v>6</v>
      </c>
      <c r="G137" s="81">
        <v>2.4</v>
      </c>
      <c r="H137" s="81">
        <v>2.6520000000000001</v>
      </c>
      <c r="I137" s="83">
        <v>182</v>
      </c>
      <c r="J137" s="83" t="s">
        <v>86</v>
      </c>
      <c r="K137" s="84" t="s">
        <v>85</v>
      </c>
      <c r="L137" s="84"/>
      <c r="M137" s="423">
        <v>45</v>
      </c>
      <c r="N137" s="423"/>
      <c r="O137" s="5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P137" s="425"/>
      <c r="Q137" s="425"/>
      <c r="R137" s="425"/>
      <c r="S137" s="425"/>
      <c r="T137" s="85" t="s">
        <v>0</v>
      </c>
      <c r="U137" s="65">
        <v>0</v>
      </c>
      <c r="V137" s="66">
        <f>IFERROR(IF(U137="",0,CEILING((U137/$G137),1)*$G137),"")</f>
        <v>0</v>
      </c>
      <c r="W137" s="65">
        <v>0</v>
      </c>
      <c r="X137" s="66">
        <f>IFERROR(IF(W137="",0,CEILING((W137/$G137),1)*$G137),"")</f>
        <v>0</v>
      </c>
      <c r="Y137" s="65">
        <v>0</v>
      </c>
      <c r="Z137" s="66">
        <f>IFERROR(IF(Y137="",0,CEILING((Y137/$G137),1)*$G137),"")</f>
        <v>0</v>
      </c>
      <c r="AA137" s="65">
        <v>0</v>
      </c>
      <c r="AB137" s="66">
        <f>IFERROR(IF(AA137="",0,CEILING((AA137/$G137),1)*$G137),"")</f>
        <v>0</v>
      </c>
      <c r="AC137" s="67" t="str">
        <f>IF(IFERROR(ROUNDUP(V137/G137,0)*0.00651,0)+IFERROR(ROUNDUP(X137/G137,0)*0.00651,0)+IFERROR(ROUNDUP(Z137/G137,0)*0.00651,0)+IFERROR(ROUNDUP(AB137/G137,0)*0.00651,0)=0,"",IFERROR(ROUNDUP(V137/G137,0)*0.00651,0)+IFERROR(ROUNDUP(X137/G137,0)*0.00651,0)+IFERROR(ROUNDUP(Z137/G137,0)*0.00651,0)+IFERROR(ROUNDUP(AB137/G137,0)*0.00651,0))</f>
        <v/>
      </c>
      <c r="AD137" s="79" t="s">
        <v>57</v>
      </c>
      <c r="AE137" s="79" t="s">
        <v>57</v>
      </c>
      <c r="AF137" s="201" t="s">
        <v>236</v>
      </c>
      <c r="AG137" s="2"/>
      <c r="AH137" s="2"/>
      <c r="AI137" s="2"/>
      <c r="AJ137" s="2"/>
      <c r="AK137" s="2"/>
      <c r="AL137" s="61"/>
      <c r="AM137" s="61"/>
      <c r="AN137" s="61"/>
      <c r="AO137" s="2"/>
      <c r="AP137" s="2"/>
      <c r="AQ137" s="2"/>
      <c r="AR137" s="2"/>
      <c r="AS137" s="2"/>
      <c r="AT137" s="2"/>
      <c r="AU137" s="20"/>
      <c r="AV137" s="20"/>
      <c r="AW137" s="21"/>
      <c r="BB137" s="200" t="s">
        <v>65</v>
      </c>
      <c r="BO137" s="77">
        <f>IFERROR(U137*H137/G137,0)</f>
        <v>0</v>
      </c>
      <c r="BP137" s="77">
        <f>IFERROR(V137*H137/G137,0)</f>
        <v>0</v>
      </c>
      <c r="BQ137" s="77">
        <f>IFERROR(1/I137*(U137/G137),0)</f>
        <v>0</v>
      </c>
      <c r="BR137" s="77">
        <f>IFERROR(1/I137*(V137/G137),0)</f>
        <v>0</v>
      </c>
      <c r="BS137" s="77">
        <f>IFERROR(W137*H137/G137,0)</f>
        <v>0</v>
      </c>
      <c r="BT137" s="77">
        <f>IFERROR(X137*H137/G137,0)</f>
        <v>0</v>
      </c>
      <c r="BU137" s="77">
        <f>IFERROR(1/I137*(W137/G137),0)</f>
        <v>0</v>
      </c>
      <c r="BV137" s="77">
        <f>IFERROR(1/I137*(X137/G137),0)</f>
        <v>0</v>
      </c>
      <c r="BW137" s="77">
        <f>IFERROR(Y137*H137/G137,0)</f>
        <v>0</v>
      </c>
      <c r="BX137" s="77">
        <f>IFERROR(Z137*H137/G137,0)</f>
        <v>0</v>
      </c>
      <c r="BY137" s="77">
        <f>IFERROR(1/I137*(Y137/G137),0)</f>
        <v>0</v>
      </c>
      <c r="BZ137" s="77">
        <f>IFERROR(1/I137*(Z137/G137),0)</f>
        <v>0</v>
      </c>
      <c r="CA137" s="77">
        <f>IFERROR(AA137*H137/G137,0)</f>
        <v>0</v>
      </c>
      <c r="CB137" s="77">
        <f>IFERROR(AB137*H137/G137,0)</f>
        <v>0</v>
      </c>
      <c r="CC137" s="77">
        <f>IFERROR(1/I137*(AA137/G137),0)</f>
        <v>0</v>
      </c>
      <c r="CD137" s="77">
        <f>IFERROR(1/I137*(AB137/G137),0)</f>
        <v>0</v>
      </c>
    </row>
    <row r="138" spans="1:82" hidden="1" x14ac:dyDescent="0.2">
      <c r="A138" s="420"/>
      <c r="B138" s="420"/>
      <c r="C138" s="420"/>
      <c r="D138" s="420"/>
      <c r="E138" s="420"/>
      <c r="F138" s="420"/>
      <c r="G138" s="420"/>
      <c r="H138" s="420"/>
      <c r="I138" s="420"/>
      <c r="J138" s="420"/>
      <c r="K138" s="420"/>
      <c r="L138" s="420"/>
      <c r="M138" s="420"/>
      <c r="N138" s="420"/>
      <c r="O138" s="426" t="s">
        <v>43</v>
      </c>
      <c r="P138" s="427"/>
      <c r="Q138" s="427"/>
      <c r="R138" s="427"/>
      <c r="S138" s="427"/>
      <c r="T138" s="39" t="s">
        <v>42</v>
      </c>
      <c r="U138" s="50">
        <f>IFERROR(U136/G136,0)+IFERROR(U137/G137,0)</f>
        <v>0</v>
      </c>
      <c r="V138" s="50">
        <f>IFERROR(V136/G136,0)+IFERROR(V137/G137,0)</f>
        <v>0</v>
      </c>
      <c r="W138" s="50">
        <f>IFERROR(W136/G136,0)+IFERROR(W137/G137,0)</f>
        <v>0</v>
      </c>
      <c r="X138" s="50">
        <f>IFERROR(X136/G136,0)+IFERROR(X137/G137,0)</f>
        <v>0</v>
      </c>
      <c r="Y138" s="50">
        <f>IFERROR(Y136/G136,0)+IFERROR(Y137/G137,0)</f>
        <v>0</v>
      </c>
      <c r="Z138" s="50">
        <f>IFERROR(Z136/G136,0)+IFERROR(Z137/G137,0)</f>
        <v>0</v>
      </c>
      <c r="AA138" s="50">
        <f>IFERROR(AA136/G136,0)+IFERROR(AA137/G137,0)</f>
        <v>0</v>
      </c>
      <c r="AB138" s="50">
        <f>IFERROR(AB136/G136,0)+IFERROR(AB137/G137,0)</f>
        <v>0</v>
      </c>
      <c r="AC138" s="50">
        <f>IFERROR(IF(AC136="",0,AC136),0)+IFERROR(IF(AC137="",0,AC137),0)</f>
        <v>0</v>
      </c>
      <c r="AD138" s="3"/>
      <c r="AE138" s="72"/>
      <c r="AF138" s="3"/>
      <c r="AG138" s="3"/>
      <c r="AH138" s="3"/>
      <c r="AI138" s="3"/>
      <c r="AJ138" s="3"/>
      <c r="AK138" s="3"/>
      <c r="AL138" s="62"/>
      <c r="AM138" s="62"/>
      <c r="AN138" s="62"/>
      <c r="AO138" s="3"/>
      <c r="AP138" s="3"/>
      <c r="AQ138" s="2"/>
      <c r="AR138" s="2"/>
      <c r="AS138" s="2"/>
      <c r="AT138" s="2"/>
      <c r="AU138" s="20"/>
      <c r="AV138" s="20"/>
      <c r="AW138" s="21"/>
    </row>
    <row r="139" spans="1:82" hidden="1" x14ac:dyDescent="0.2">
      <c r="A139" s="420"/>
      <c r="B139" s="420"/>
      <c r="C139" s="420"/>
      <c r="D139" s="420"/>
      <c r="E139" s="420"/>
      <c r="F139" s="420"/>
      <c r="G139" s="420"/>
      <c r="H139" s="420"/>
      <c r="I139" s="420"/>
      <c r="J139" s="420"/>
      <c r="K139" s="420"/>
      <c r="L139" s="420"/>
      <c r="M139" s="420"/>
      <c r="N139" s="420"/>
      <c r="O139" s="426" t="s">
        <v>43</v>
      </c>
      <c r="P139" s="427"/>
      <c r="Q139" s="427"/>
      <c r="R139" s="427"/>
      <c r="S139" s="427"/>
      <c r="T139" s="39" t="s">
        <v>0</v>
      </c>
      <c r="U139" s="102">
        <f t="shared" ref="U139:AB139" si="20">IFERROR(SUM(U136:U137),0)</f>
        <v>0</v>
      </c>
      <c r="V139" s="102">
        <f t="shared" si="20"/>
        <v>0</v>
      </c>
      <c r="W139" s="102">
        <f t="shared" si="20"/>
        <v>0</v>
      </c>
      <c r="X139" s="102">
        <f t="shared" si="20"/>
        <v>0</v>
      </c>
      <c r="Y139" s="102">
        <f t="shared" si="20"/>
        <v>0</v>
      </c>
      <c r="Z139" s="102">
        <f t="shared" si="20"/>
        <v>0</v>
      </c>
      <c r="AA139" s="102">
        <f t="shared" si="20"/>
        <v>0</v>
      </c>
      <c r="AB139" s="102">
        <f t="shared" si="20"/>
        <v>0</v>
      </c>
      <c r="AC139" s="50" t="s">
        <v>57</v>
      </c>
      <c r="AD139" s="3"/>
      <c r="AE139" s="72"/>
      <c r="AF139" s="3"/>
      <c r="AG139" s="3"/>
      <c r="AH139" s="3"/>
      <c r="AI139" s="3"/>
      <c r="AJ139" s="3"/>
      <c r="AK139" s="3"/>
      <c r="AL139" s="62"/>
      <c r="AM139" s="62"/>
      <c r="AN139" s="62"/>
      <c r="AO139" s="3"/>
      <c r="AP139" s="3"/>
      <c r="AQ139" s="2"/>
      <c r="AR139" s="2"/>
      <c r="AS139" s="2"/>
      <c r="AT139" s="2"/>
      <c r="AU139" s="20"/>
      <c r="AV139" s="20"/>
      <c r="AW139" s="21"/>
    </row>
    <row r="140" spans="1:82" ht="15" hidden="1" x14ac:dyDescent="0.25">
      <c r="A140" s="428" t="s">
        <v>146</v>
      </c>
      <c r="B140" s="429"/>
      <c r="C140" s="429"/>
      <c r="D140" s="429"/>
      <c r="E140" s="429"/>
      <c r="F140" s="429"/>
      <c r="G140" s="429"/>
      <c r="H140" s="429"/>
      <c r="I140" s="429"/>
      <c r="J140" s="429"/>
      <c r="K140" s="429"/>
      <c r="L140" s="429"/>
      <c r="M140" s="429"/>
      <c r="N140" s="429"/>
      <c r="O140" s="429"/>
      <c r="P140" s="429"/>
      <c r="Q140" s="429"/>
      <c r="R140" s="429"/>
      <c r="S140" s="429"/>
      <c r="T140" s="429"/>
      <c r="U140" s="429"/>
      <c r="V140" s="429"/>
      <c r="W140" s="429"/>
      <c r="X140" s="430"/>
      <c r="Y140" s="430"/>
      <c r="Z140" s="430"/>
      <c r="AA140" s="431"/>
      <c r="AB140" s="431"/>
      <c r="AC140" s="431"/>
      <c r="AD140" s="431"/>
      <c r="AE140" s="432"/>
      <c r="AF140" s="433"/>
      <c r="AG140" s="2"/>
      <c r="AH140" s="2"/>
      <c r="AI140" s="2"/>
      <c r="AJ140" s="2"/>
      <c r="AK140" s="61"/>
      <c r="AL140" s="61"/>
      <c r="AM140" s="61"/>
      <c r="AN140" s="2"/>
      <c r="AO140" s="2"/>
      <c r="AP140" s="2"/>
      <c r="AQ140" s="2"/>
      <c r="AR140" s="2"/>
    </row>
    <row r="141" spans="1:82" ht="22.5" hidden="1" x14ac:dyDescent="0.2">
      <c r="A141" s="79" t="s">
        <v>239</v>
      </c>
      <c r="B141" s="80" t="s">
        <v>240</v>
      </c>
      <c r="C141" s="80">
        <v>4301060380</v>
      </c>
      <c r="D141" s="80">
        <v>4680115880801</v>
      </c>
      <c r="E141" s="81">
        <v>0.4</v>
      </c>
      <c r="F141" s="82">
        <v>6</v>
      </c>
      <c r="G141" s="81">
        <v>2.4</v>
      </c>
      <c r="H141" s="81">
        <v>2.6520000000000001</v>
      </c>
      <c r="I141" s="83">
        <v>182</v>
      </c>
      <c r="J141" s="83" t="s">
        <v>86</v>
      </c>
      <c r="K141" s="84" t="s">
        <v>85</v>
      </c>
      <c r="L141" s="84"/>
      <c r="M141" s="423">
        <v>40</v>
      </c>
      <c r="N141" s="423"/>
      <c r="O141" s="5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P141" s="425"/>
      <c r="Q141" s="425"/>
      <c r="R141" s="425"/>
      <c r="S141" s="425"/>
      <c r="T141" s="85" t="s">
        <v>0</v>
      </c>
      <c r="U141" s="65">
        <v>0</v>
      </c>
      <c r="V141" s="66">
        <f>IFERROR(IF(U141="",0,CEILING((U141/$G141),1)*$G141),"")</f>
        <v>0</v>
      </c>
      <c r="W141" s="65">
        <v>0</v>
      </c>
      <c r="X141" s="66">
        <f>IFERROR(IF(W141="",0,CEILING((W141/$G141),1)*$G141),"")</f>
        <v>0</v>
      </c>
      <c r="Y141" s="65">
        <v>0</v>
      </c>
      <c r="Z141" s="66">
        <f>IFERROR(IF(Y141="",0,CEILING((Y141/$G141),1)*$G141),"")</f>
        <v>0</v>
      </c>
      <c r="AA141" s="65">
        <v>0</v>
      </c>
      <c r="AB141" s="66">
        <f>IFERROR(IF(AA141="",0,CEILING((AA141/$G141),1)*$G141),"")</f>
        <v>0</v>
      </c>
      <c r="AC141" s="67" t="str">
        <f>IF(IFERROR(ROUNDUP(V141/G141,0)*0.00651,0)+IFERROR(ROUNDUP(X141/G141,0)*0.00651,0)+IFERROR(ROUNDUP(Z141/G141,0)*0.00651,0)+IFERROR(ROUNDUP(AB141/G141,0)*0.00651,0)=0,"",IFERROR(ROUNDUP(V141/G141,0)*0.00651,0)+IFERROR(ROUNDUP(X141/G141,0)*0.00651,0)+IFERROR(ROUNDUP(Z141/G141,0)*0.00651,0)+IFERROR(ROUNDUP(AB141/G141,0)*0.00651,0))</f>
        <v/>
      </c>
      <c r="AD141" s="79" t="s">
        <v>57</v>
      </c>
      <c r="AE141" s="79" t="s">
        <v>57</v>
      </c>
      <c r="AF141" s="203" t="s">
        <v>241</v>
      </c>
      <c r="AG141" s="2"/>
      <c r="AH141" s="2"/>
      <c r="AI141" s="2"/>
      <c r="AJ141" s="2"/>
      <c r="AK141" s="2"/>
      <c r="AL141" s="61"/>
      <c r="AM141" s="61"/>
      <c r="AN141" s="61"/>
      <c r="AO141" s="2"/>
      <c r="AP141" s="2"/>
      <c r="AQ141" s="2"/>
      <c r="AR141" s="2"/>
      <c r="AS141" s="2"/>
      <c r="AT141" s="2"/>
      <c r="AU141" s="20"/>
      <c r="AV141" s="20"/>
      <c r="AW141" s="21"/>
      <c r="BB141" s="202" t="s">
        <v>65</v>
      </c>
      <c r="BO141" s="77">
        <f>IFERROR(U141*H141/G141,0)</f>
        <v>0</v>
      </c>
      <c r="BP141" s="77">
        <f>IFERROR(V141*H141/G141,0)</f>
        <v>0</v>
      </c>
      <c r="BQ141" s="77">
        <f>IFERROR(1/I141*(U141/G141),0)</f>
        <v>0</v>
      </c>
      <c r="BR141" s="77">
        <f>IFERROR(1/I141*(V141/G141),0)</f>
        <v>0</v>
      </c>
      <c r="BS141" s="77">
        <f>IFERROR(W141*H141/G141,0)</f>
        <v>0</v>
      </c>
      <c r="BT141" s="77">
        <f>IFERROR(X141*H141/G141,0)</f>
        <v>0</v>
      </c>
      <c r="BU141" s="77">
        <f>IFERROR(1/I141*(W141/G141),0)</f>
        <v>0</v>
      </c>
      <c r="BV141" s="77">
        <f>IFERROR(1/I141*(X141/G141),0)</f>
        <v>0</v>
      </c>
      <c r="BW141" s="77">
        <f>IFERROR(Y141*H141/G141,0)</f>
        <v>0</v>
      </c>
      <c r="BX141" s="77">
        <f>IFERROR(Z141*H141/G141,0)</f>
        <v>0</v>
      </c>
      <c r="BY141" s="77">
        <f>IFERROR(1/I141*(Y141/G141),0)</f>
        <v>0</v>
      </c>
      <c r="BZ141" s="77">
        <f>IFERROR(1/I141*(Z141/G141),0)</f>
        <v>0</v>
      </c>
      <c r="CA141" s="77">
        <f>IFERROR(AA141*H141/G141,0)</f>
        <v>0</v>
      </c>
      <c r="CB141" s="77">
        <f>IFERROR(AB141*H141/G141,0)</f>
        <v>0</v>
      </c>
      <c r="CC141" s="77">
        <f>IFERROR(1/I141*(AA141/G141),0)</f>
        <v>0</v>
      </c>
      <c r="CD141" s="77">
        <f>IFERROR(1/I141*(AB141/G141),0)</f>
        <v>0</v>
      </c>
    </row>
    <row r="142" spans="1:82" hidden="1" x14ac:dyDescent="0.2">
      <c r="A142" s="420"/>
      <c r="B142" s="420"/>
      <c r="C142" s="420"/>
      <c r="D142" s="420"/>
      <c r="E142" s="420"/>
      <c r="F142" s="420"/>
      <c r="G142" s="420"/>
      <c r="H142" s="420"/>
      <c r="I142" s="420"/>
      <c r="J142" s="420"/>
      <c r="K142" s="420"/>
      <c r="L142" s="420"/>
      <c r="M142" s="420"/>
      <c r="N142" s="420"/>
      <c r="O142" s="426" t="s">
        <v>43</v>
      </c>
      <c r="P142" s="427"/>
      <c r="Q142" s="427"/>
      <c r="R142" s="427"/>
      <c r="S142" s="427"/>
      <c r="T142" s="39" t="s">
        <v>42</v>
      </c>
      <c r="U142" s="50">
        <f>IFERROR(U141/G141,0)</f>
        <v>0</v>
      </c>
      <c r="V142" s="50">
        <f>IFERROR(V141/G141,0)</f>
        <v>0</v>
      </c>
      <c r="W142" s="50">
        <f>IFERROR(W141/G141,0)</f>
        <v>0</v>
      </c>
      <c r="X142" s="50">
        <f>IFERROR(X141/G141,0)</f>
        <v>0</v>
      </c>
      <c r="Y142" s="50">
        <f>IFERROR(Y141/G141,0)</f>
        <v>0</v>
      </c>
      <c r="Z142" s="50">
        <f>IFERROR(Z141/G141,0)</f>
        <v>0</v>
      </c>
      <c r="AA142" s="50">
        <f>IFERROR(AA141/G141,0)</f>
        <v>0</v>
      </c>
      <c r="AB142" s="50">
        <f>IFERROR(AB141/G141,0)</f>
        <v>0</v>
      </c>
      <c r="AC142" s="50">
        <f>IFERROR(IF(AC141="",0,AC141),0)</f>
        <v>0</v>
      </c>
      <c r="AD142" s="3"/>
      <c r="AE142" s="72"/>
      <c r="AF142" s="3"/>
      <c r="AG142" s="3"/>
      <c r="AH142" s="3"/>
      <c r="AI142" s="3"/>
      <c r="AJ142" s="3"/>
      <c r="AK142" s="3"/>
      <c r="AL142" s="62"/>
      <c r="AM142" s="62"/>
      <c r="AN142" s="62"/>
      <c r="AO142" s="3"/>
      <c r="AP142" s="3"/>
      <c r="AQ142" s="2"/>
      <c r="AR142" s="2"/>
      <c r="AS142" s="2"/>
      <c r="AT142" s="2"/>
      <c r="AU142" s="20"/>
      <c r="AV142" s="20"/>
      <c r="AW142" s="21"/>
    </row>
    <row r="143" spans="1:82" hidden="1" x14ac:dyDescent="0.2">
      <c r="A143" s="420"/>
      <c r="B143" s="420"/>
      <c r="C143" s="420"/>
      <c r="D143" s="420"/>
      <c r="E143" s="420"/>
      <c r="F143" s="420"/>
      <c r="G143" s="420"/>
      <c r="H143" s="420"/>
      <c r="I143" s="420"/>
      <c r="J143" s="420"/>
      <c r="K143" s="420"/>
      <c r="L143" s="420"/>
      <c r="M143" s="420"/>
      <c r="N143" s="420"/>
      <c r="O143" s="426" t="s">
        <v>43</v>
      </c>
      <c r="P143" s="427"/>
      <c r="Q143" s="427"/>
      <c r="R143" s="427"/>
      <c r="S143" s="427"/>
      <c r="T143" s="39" t="s">
        <v>0</v>
      </c>
      <c r="U143" s="102">
        <f t="shared" ref="U143:AB143" si="21">IFERROR(SUM(U141:U141),0)</f>
        <v>0</v>
      </c>
      <c r="V143" s="102">
        <f t="shared" si="21"/>
        <v>0</v>
      </c>
      <c r="W143" s="102">
        <f t="shared" si="21"/>
        <v>0</v>
      </c>
      <c r="X143" s="102">
        <f t="shared" si="21"/>
        <v>0</v>
      </c>
      <c r="Y143" s="102">
        <f t="shared" si="21"/>
        <v>0</v>
      </c>
      <c r="Z143" s="102">
        <f t="shared" si="21"/>
        <v>0</v>
      </c>
      <c r="AA143" s="102">
        <f t="shared" si="21"/>
        <v>0</v>
      </c>
      <c r="AB143" s="102">
        <f t="shared" si="21"/>
        <v>0</v>
      </c>
      <c r="AC143" s="50" t="s">
        <v>57</v>
      </c>
      <c r="AD143" s="3"/>
      <c r="AE143" s="72"/>
      <c r="AF143" s="3"/>
      <c r="AG143" s="3"/>
      <c r="AH143" s="3"/>
      <c r="AI143" s="3"/>
      <c r="AJ143" s="3"/>
      <c r="AK143" s="3"/>
      <c r="AL143" s="62"/>
      <c r="AM143" s="62"/>
      <c r="AN143" s="62"/>
      <c r="AO143" s="3"/>
      <c r="AP143" s="3"/>
      <c r="AQ143" s="2"/>
      <c r="AR143" s="2"/>
      <c r="AS143" s="2"/>
      <c r="AT143" s="2"/>
      <c r="AU143" s="20"/>
      <c r="AV143" s="20"/>
      <c r="AW143" s="21"/>
    </row>
    <row r="144" spans="1:82" ht="15" hidden="1" x14ac:dyDescent="0.25">
      <c r="A144" s="443" t="s">
        <v>242</v>
      </c>
      <c r="B144" s="430"/>
      <c r="C144" s="430"/>
      <c r="D144" s="430"/>
      <c r="E144" s="430"/>
      <c r="F144" s="430"/>
      <c r="G144" s="430"/>
      <c r="H144" s="430"/>
      <c r="I144" s="430"/>
      <c r="J144" s="430"/>
      <c r="K144" s="430"/>
      <c r="L144" s="430"/>
      <c r="M144" s="430"/>
      <c r="N144" s="430"/>
      <c r="O144" s="430"/>
      <c r="P144" s="430"/>
      <c r="Q144" s="430"/>
      <c r="R144" s="430"/>
      <c r="S144" s="430"/>
      <c r="T144" s="430"/>
      <c r="U144" s="430"/>
      <c r="V144" s="430"/>
      <c r="W144" s="430"/>
      <c r="X144" s="430"/>
      <c r="Y144" s="430"/>
      <c r="Z144" s="430"/>
      <c r="AA144" s="431"/>
      <c r="AB144" s="431"/>
      <c r="AC144" s="431"/>
      <c r="AD144" s="431"/>
      <c r="AE144" s="432"/>
      <c r="AF144" s="444"/>
      <c r="AG144" s="2"/>
      <c r="AH144" s="2"/>
      <c r="AI144" s="2"/>
      <c r="AJ144" s="2"/>
      <c r="AK144" s="61"/>
      <c r="AL144" s="61"/>
      <c r="AM144" s="61"/>
      <c r="AN144" s="2"/>
      <c r="AO144" s="2"/>
      <c r="AP144" s="2"/>
      <c r="AQ144" s="2"/>
      <c r="AR144" s="2"/>
    </row>
    <row r="145" spans="1:82" ht="15" hidden="1" x14ac:dyDescent="0.25">
      <c r="A145" s="428" t="s">
        <v>96</v>
      </c>
      <c r="B145" s="429"/>
      <c r="C145" s="429"/>
      <c r="D145" s="429"/>
      <c r="E145" s="429"/>
      <c r="F145" s="429"/>
      <c r="G145" s="429"/>
      <c r="H145" s="429"/>
      <c r="I145" s="429"/>
      <c r="J145" s="429"/>
      <c r="K145" s="429"/>
      <c r="L145" s="429"/>
      <c r="M145" s="429"/>
      <c r="N145" s="429"/>
      <c r="O145" s="429"/>
      <c r="P145" s="429"/>
      <c r="Q145" s="429"/>
      <c r="R145" s="429"/>
      <c r="S145" s="429"/>
      <c r="T145" s="429"/>
      <c r="U145" s="429"/>
      <c r="V145" s="429"/>
      <c r="W145" s="429"/>
      <c r="X145" s="430"/>
      <c r="Y145" s="430"/>
      <c r="Z145" s="430"/>
      <c r="AA145" s="431"/>
      <c r="AB145" s="431"/>
      <c r="AC145" s="431"/>
      <c r="AD145" s="431"/>
      <c r="AE145" s="432"/>
      <c r="AF145" s="433"/>
      <c r="AG145" s="2"/>
      <c r="AH145" s="2"/>
      <c r="AI145" s="2"/>
      <c r="AJ145" s="2"/>
      <c r="AK145" s="61"/>
      <c r="AL145" s="61"/>
      <c r="AM145" s="61"/>
      <c r="AN145" s="2"/>
      <c r="AO145" s="2"/>
      <c r="AP145" s="2"/>
      <c r="AQ145" s="2"/>
      <c r="AR145" s="2"/>
    </row>
    <row r="146" spans="1:82" hidden="1" x14ac:dyDescent="0.2">
      <c r="A146" s="79" t="s">
        <v>243</v>
      </c>
      <c r="B146" s="80" t="s">
        <v>244</v>
      </c>
      <c r="C146" s="80">
        <v>4301011718</v>
      </c>
      <c r="D146" s="80">
        <v>4680115884281</v>
      </c>
      <c r="E146" s="81">
        <v>0.4</v>
      </c>
      <c r="F146" s="82">
        <v>10</v>
      </c>
      <c r="G146" s="81">
        <v>4</v>
      </c>
      <c r="H146" s="81">
        <v>4.21</v>
      </c>
      <c r="I146" s="83">
        <v>132</v>
      </c>
      <c r="J146" s="83" t="s">
        <v>100</v>
      </c>
      <c r="K146" s="84" t="s">
        <v>106</v>
      </c>
      <c r="L146" s="84"/>
      <c r="M146" s="423">
        <v>55</v>
      </c>
      <c r="N146" s="423"/>
      <c r="O146" s="540" t="str">
        <f>HYPERLINK("https://abi.ru/products/Охлажденные/Стародворье/Филедворская/Вареные колбасы/P003942/","Вареные колбасы «Филедворская с молоком» ф/в 0,4 п/а ТМ «Стародворье»")</f>
        <v>Вареные колбасы «Филедворская с молоком» ф/в 0,4 п/а ТМ «Стародворье»</v>
      </c>
      <c r="P146" s="425"/>
      <c r="Q146" s="425"/>
      <c r="R146" s="425"/>
      <c r="S146" s="425"/>
      <c r="T146" s="85" t="s">
        <v>0</v>
      </c>
      <c r="U146" s="65">
        <v>0</v>
      </c>
      <c r="V146" s="66">
        <f>IFERROR(IF(U146="",0,CEILING((U146/$G146),1)*$G146),"")</f>
        <v>0</v>
      </c>
      <c r="W146" s="65">
        <v>0</v>
      </c>
      <c r="X146" s="66">
        <f>IFERROR(IF(W146="",0,CEILING((W146/$G146),1)*$G146),"")</f>
        <v>0</v>
      </c>
      <c r="Y146" s="65">
        <v>0</v>
      </c>
      <c r="Z146" s="66">
        <f>IFERROR(IF(Y146="",0,CEILING((Y146/$G146),1)*$G146),"")</f>
        <v>0</v>
      </c>
      <c r="AA146" s="65">
        <v>0</v>
      </c>
      <c r="AB146" s="66">
        <f>IFERROR(IF(AA146="",0,CEILING((AA146/$G146),1)*$G146),"")</f>
        <v>0</v>
      </c>
      <c r="AC146" s="67" t="str">
        <f>IF(IFERROR(ROUNDUP(V146/G146,0)*0.00902,0)+IFERROR(ROUNDUP(X146/G146,0)*0.00902,0)+IFERROR(ROUNDUP(Z146/G146,0)*0.00902,0)+IFERROR(ROUNDUP(AB146/G146,0)*0.00902,0)=0,"",IFERROR(ROUNDUP(V146/G146,0)*0.00902,0)+IFERROR(ROUNDUP(X146/G146,0)*0.00902,0)+IFERROR(ROUNDUP(Z146/G146,0)*0.00902,0)+IFERROR(ROUNDUP(AB146/G146,0)*0.00902,0))</f>
        <v/>
      </c>
      <c r="AD146" s="79" t="s">
        <v>57</v>
      </c>
      <c r="AE146" s="79" t="s">
        <v>57</v>
      </c>
      <c r="AF146" s="205" t="s">
        <v>245</v>
      </c>
      <c r="AG146" s="2"/>
      <c r="AH146" s="2"/>
      <c r="AI146" s="2"/>
      <c r="AJ146" s="2"/>
      <c r="AK146" s="2"/>
      <c r="AL146" s="61"/>
      <c r="AM146" s="61"/>
      <c r="AN146" s="61"/>
      <c r="AO146" s="2"/>
      <c r="AP146" s="2"/>
      <c r="AQ146" s="2"/>
      <c r="AR146" s="2"/>
      <c r="AS146" s="2"/>
      <c r="AT146" s="2"/>
      <c r="AU146" s="20"/>
      <c r="AV146" s="20"/>
      <c r="AW146" s="21"/>
      <c r="BB146" s="204" t="s">
        <v>65</v>
      </c>
      <c r="BO146" s="77">
        <f>IFERROR(U146*H146/G146,0)</f>
        <v>0</v>
      </c>
      <c r="BP146" s="77">
        <f>IFERROR(V146*H146/G146,0)</f>
        <v>0</v>
      </c>
      <c r="BQ146" s="77">
        <f>IFERROR(1/I146*(U146/G146),0)</f>
        <v>0</v>
      </c>
      <c r="BR146" s="77">
        <f>IFERROR(1/I146*(V146/G146),0)</f>
        <v>0</v>
      </c>
      <c r="BS146" s="77">
        <f>IFERROR(W146*H146/G146,0)</f>
        <v>0</v>
      </c>
      <c r="BT146" s="77">
        <f>IFERROR(X146*H146/G146,0)</f>
        <v>0</v>
      </c>
      <c r="BU146" s="77">
        <f>IFERROR(1/I146*(W146/G146),0)</f>
        <v>0</v>
      </c>
      <c r="BV146" s="77">
        <f>IFERROR(1/I146*(X146/G146),0)</f>
        <v>0</v>
      </c>
      <c r="BW146" s="77">
        <f>IFERROR(Y146*H146/G146,0)</f>
        <v>0</v>
      </c>
      <c r="BX146" s="77">
        <f>IFERROR(Z146*H146/G146,0)</f>
        <v>0</v>
      </c>
      <c r="BY146" s="77">
        <f>IFERROR(1/I146*(Y146/G146),0)</f>
        <v>0</v>
      </c>
      <c r="BZ146" s="77">
        <f>IFERROR(1/I146*(Z146/G146),0)</f>
        <v>0</v>
      </c>
      <c r="CA146" s="77">
        <f>IFERROR(AA146*H146/G146,0)</f>
        <v>0</v>
      </c>
      <c r="CB146" s="77">
        <f>IFERROR(AB146*H146/G146,0)</f>
        <v>0</v>
      </c>
      <c r="CC146" s="77">
        <f>IFERROR(1/I146*(AA146/G146),0)</f>
        <v>0</v>
      </c>
      <c r="CD146" s="77">
        <f>IFERROR(1/I146*(AB146/G146),0)</f>
        <v>0</v>
      </c>
    </row>
    <row r="147" spans="1:82" hidden="1" x14ac:dyDescent="0.2">
      <c r="A147" s="79" t="s">
        <v>246</v>
      </c>
      <c r="B147" s="80" t="s">
        <v>247</v>
      </c>
      <c r="C147" s="80">
        <v>4301011716</v>
      </c>
      <c r="D147" s="80">
        <v>4680115884267</v>
      </c>
      <c r="E147" s="81">
        <v>0.4</v>
      </c>
      <c r="F147" s="82">
        <v>10</v>
      </c>
      <c r="G147" s="81">
        <v>4</v>
      </c>
      <c r="H147" s="81">
        <v>4.21</v>
      </c>
      <c r="I147" s="83">
        <v>132</v>
      </c>
      <c r="J147" s="83" t="s">
        <v>100</v>
      </c>
      <c r="K147" s="84" t="s">
        <v>106</v>
      </c>
      <c r="L147" s="84"/>
      <c r="M147" s="423">
        <v>55</v>
      </c>
      <c r="N147" s="423"/>
      <c r="O147" s="537" t="str">
        <f>HYPERLINK("https://abi.ru/products/Охлажденные/Стародворье/Филедворская/Вареные колбасы/P003940/","Вареные колбасы «Филедворская» ф/в 0,4 п/а ТМ «Стародворье»")</f>
        <v>Вареные колбасы «Филедворская» ф/в 0,4 п/а ТМ «Стародворье»</v>
      </c>
      <c r="P147" s="425"/>
      <c r="Q147" s="425"/>
      <c r="R147" s="425"/>
      <c r="S147" s="425"/>
      <c r="T147" s="85" t="s">
        <v>0</v>
      </c>
      <c r="U147" s="65">
        <v>0</v>
      </c>
      <c r="V147" s="66">
        <f>IFERROR(IF(U147="",0,CEILING((U147/$G147),1)*$G147),"")</f>
        <v>0</v>
      </c>
      <c r="W147" s="65">
        <v>0</v>
      </c>
      <c r="X147" s="66">
        <f>IFERROR(IF(W147="",0,CEILING((W147/$G147),1)*$G147),"")</f>
        <v>0</v>
      </c>
      <c r="Y147" s="65">
        <v>0</v>
      </c>
      <c r="Z147" s="66">
        <f>IFERROR(IF(Y147="",0,CEILING((Y147/$G147),1)*$G147),"")</f>
        <v>0</v>
      </c>
      <c r="AA147" s="65">
        <v>0</v>
      </c>
      <c r="AB147" s="66">
        <f>IFERROR(IF(AA147="",0,CEILING((AA147/$G147),1)*$G147),"")</f>
        <v>0</v>
      </c>
      <c r="AC147" s="67" t="str">
        <f>IF(IFERROR(ROUNDUP(V147/G147,0)*0.00902,0)+IFERROR(ROUNDUP(X147/G147,0)*0.00902,0)+IFERROR(ROUNDUP(Z147/G147,0)*0.00902,0)+IFERROR(ROUNDUP(AB147/G147,0)*0.00902,0)=0,"",IFERROR(ROUNDUP(V147/G147,0)*0.00902,0)+IFERROR(ROUNDUP(X147/G147,0)*0.00902,0)+IFERROR(ROUNDUP(Z147/G147,0)*0.00902,0)+IFERROR(ROUNDUP(AB147/G147,0)*0.00902,0))</f>
        <v/>
      </c>
      <c r="AD147" s="79" t="s">
        <v>57</v>
      </c>
      <c r="AE147" s="79" t="s">
        <v>57</v>
      </c>
      <c r="AF147" s="207" t="s">
        <v>248</v>
      </c>
      <c r="AG147" s="2"/>
      <c r="AH147" s="2"/>
      <c r="AI147" s="2"/>
      <c r="AJ147" s="2"/>
      <c r="AK147" s="2"/>
      <c r="AL147" s="61"/>
      <c r="AM147" s="61"/>
      <c r="AN147" s="61"/>
      <c r="AO147" s="2"/>
      <c r="AP147" s="2"/>
      <c r="AQ147" s="2"/>
      <c r="AR147" s="2"/>
      <c r="AS147" s="2"/>
      <c r="AT147" s="2"/>
      <c r="AU147" s="20"/>
      <c r="AV147" s="20"/>
      <c r="AW147" s="21"/>
      <c r="BB147" s="206" t="s">
        <v>65</v>
      </c>
      <c r="BO147" s="77">
        <f>IFERROR(U147*H147/G147,0)</f>
        <v>0</v>
      </c>
      <c r="BP147" s="77">
        <f>IFERROR(V147*H147/G147,0)</f>
        <v>0</v>
      </c>
      <c r="BQ147" s="77">
        <f>IFERROR(1/I147*(U147/G147),0)</f>
        <v>0</v>
      </c>
      <c r="BR147" s="77">
        <f>IFERROR(1/I147*(V147/G147),0)</f>
        <v>0</v>
      </c>
      <c r="BS147" s="77">
        <f>IFERROR(W147*H147/G147,0)</f>
        <v>0</v>
      </c>
      <c r="BT147" s="77">
        <f>IFERROR(X147*H147/G147,0)</f>
        <v>0</v>
      </c>
      <c r="BU147" s="77">
        <f>IFERROR(1/I147*(W147/G147),0)</f>
        <v>0</v>
      </c>
      <c r="BV147" s="77">
        <f>IFERROR(1/I147*(X147/G147),0)</f>
        <v>0</v>
      </c>
      <c r="BW147" s="77">
        <f>IFERROR(Y147*H147/G147,0)</f>
        <v>0</v>
      </c>
      <c r="BX147" s="77">
        <f>IFERROR(Z147*H147/G147,0)</f>
        <v>0</v>
      </c>
      <c r="BY147" s="77">
        <f>IFERROR(1/I147*(Y147/G147),0)</f>
        <v>0</v>
      </c>
      <c r="BZ147" s="77">
        <f>IFERROR(1/I147*(Z147/G147),0)</f>
        <v>0</v>
      </c>
      <c r="CA147" s="77">
        <f>IFERROR(AA147*H147/G147,0)</f>
        <v>0</v>
      </c>
      <c r="CB147" s="77">
        <f>IFERROR(AB147*H147/G147,0)</f>
        <v>0</v>
      </c>
      <c r="CC147" s="77">
        <f>IFERROR(1/I147*(AA147/G147),0)</f>
        <v>0</v>
      </c>
      <c r="CD147" s="77">
        <f>IFERROR(1/I147*(AB147/G147),0)</f>
        <v>0</v>
      </c>
    </row>
    <row r="148" spans="1:82" hidden="1" x14ac:dyDescent="0.2">
      <c r="A148" s="420"/>
      <c r="B148" s="420"/>
      <c r="C148" s="420"/>
      <c r="D148" s="420"/>
      <c r="E148" s="420"/>
      <c r="F148" s="420"/>
      <c r="G148" s="420"/>
      <c r="H148" s="420"/>
      <c r="I148" s="420"/>
      <c r="J148" s="420"/>
      <c r="K148" s="420"/>
      <c r="L148" s="420"/>
      <c r="M148" s="420"/>
      <c r="N148" s="420"/>
      <c r="O148" s="426" t="s">
        <v>43</v>
      </c>
      <c r="P148" s="427"/>
      <c r="Q148" s="427"/>
      <c r="R148" s="427"/>
      <c r="S148" s="427"/>
      <c r="T148" s="39" t="s">
        <v>42</v>
      </c>
      <c r="U148" s="50">
        <f>IFERROR(U146/G146,0)+IFERROR(U147/G147,0)</f>
        <v>0</v>
      </c>
      <c r="V148" s="50">
        <f>IFERROR(V146/G146,0)+IFERROR(V147/G147,0)</f>
        <v>0</v>
      </c>
      <c r="W148" s="50">
        <f>IFERROR(W146/G146,0)+IFERROR(W147/G147,0)</f>
        <v>0</v>
      </c>
      <c r="X148" s="50">
        <f>IFERROR(X146/G146,0)+IFERROR(X147/G147,0)</f>
        <v>0</v>
      </c>
      <c r="Y148" s="50">
        <f>IFERROR(Y146/G146,0)+IFERROR(Y147/G147,0)</f>
        <v>0</v>
      </c>
      <c r="Z148" s="50">
        <f>IFERROR(Z146/G146,0)+IFERROR(Z147/G147,0)</f>
        <v>0</v>
      </c>
      <c r="AA148" s="50">
        <f>IFERROR(AA146/G146,0)+IFERROR(AA147/G147,0)</f>
        <v>0</v>
      </c>
      <c r="AB148" s="50">
        <f>IFERROR(AB146/G146,0)+IFERROR(AB147/G147,0)</f>
        <v>0</v>
      </c>
      <c r="AC148" s="50">
        <f>IFERROR(IF(AC146="",0,AC146),0)+IFERROR(IF(AC147="",0,AC147),0)</f>
        <v>0</v>
      </c>
      <c r="AD148" s="3"/>
      <c r="AE148" s="72"/>
      <c r="AF148" s="3"/>
      <c r="AG148" s="3"/>
      <c r="AH148" s="3"/>
      <c r="AI148" s="3"/>
      <c r="AJ148" s="3"/>
      <c r="AK148" s="3"/>
      <c r="AL148" s="62"/>
      <c r="AM148" s="62"/>
      <c r="AN148" s="62"/>
      <c r="AO148" s="3"/>
      <c r="AP148" s="3"/>
      <c r="AQ148" s="2"/>
      <c r="AR148" s="2"/>
      <c r="AS148" s="2"/>
      <c r="AT148" s="2"/>
      <c r="AU148" s="20"/>
      <c r="AV148" s="20"/>
      <c r="AW148" s="21"/>
    </row>
    <row r="149" spans="1:82" hidden="1" x14ac:dyDescent="0.2">
      <c r="A149" s="420"/>
      <c r="B149" s="420"/>
      <c r="C149" s="420"/>
      <c r="D149" s="420"/>
      <c r="E149" s="420"/>
      <c r="F149" s="420"/>
      <c r="G149" s="420"/>
      <c r="H149" s="420"/>
      <c r="I149" s="420"/>
      <c r="J149" s="420"/>
      <c r="K149" s="420"/>
      <c r="L149" s="420"/>
      <c r="M149" s="420"/>
      <c r="N149" s="420"/>
      <c r="O149" s="426" t="s">
        <v>43</v>
      </c>
      <c r="P149" s="427"/>
      <c r="Q149" s="427"/>
      <c r="R149" s="427"/>
      <c r="S149" s="427"/>
      <c r="T149" s="39" t="s">
        <v>0</v>
      </c>
      <c r="U149" s="102">
        <f t="shared" ref="U149:AB149" si="22">IFERROR(SUM(U146:U147),0)</f>
        <v>0</v>
      </c>
      <c r="V149" s="102">
        <f t="shared" si="22"/>
        <v>0</v>
      </c>
      <c r="W149" s="102">
        <f t="shared" si="22"/>
        <v>0</v>
      </c>
      <c r="X149" s="102">
        <f t="shared" si="22"/>
        <v>0</v>
      </c>
      <c r="Y149" s="102">
        <f t="shared" si="22"/>
        <v>0</v>
      </c>
      <c r="Z149" s="102">
        <f t="shared" si="22"/>
        <v>0</v>
      </c>
      <c r="AA149" s="102">
        <f t="shared" si="22"/>
        <v>0</v>
      </c>
      <c r="AB149" s="102">
        <f t="shared" si="22"/>
        <v>0</v>
      </c>
      <c r="AC149" s="50" t="s">
        <v>57</v>
      </c>
      <c r="AD149" s="3"/>
      <c r="AE149" s="72"/>
      <c r="AF149" s="3"/>
      <c r="AG149" s="3"/>
      <c r="AH149" s="3"/>
      <c r="AI149" s="3"/>
      <c r="AJ149" s="3"/>
      <c r="AK149" s="3"/>
      <c r="AL149" s="62"/>
      <c r="AM149" s="62"/>
      <c r="AN149" s="62"/>
      <c r="AO149" s="3"/>
      <c r="AP149" s="3"/>
      <c r="AQ149" s="2"/>
      <c r="AR149" s="2"/>
      <c r="AS149" s="2"/>
      <c r="AT149" s="2"/>
      <c r="AU149" s="20"/>
      <c r="AV149" s="20"/>
      <c r="AW149" s="21"/>
    </row>
    <row r="150" spans="1:82" ht="15" hidden="1" x14ac:dyDescent="0.25">
      <c r="A150" s="443" t="s">
        <v>249</v>
      </c>
      <c r="B150" s="430"/>
      <c r="C150" s="430"/>
      <c r="D150" s="430"/>
      <c r="E150" s="430"/>
      <c r="F150" s="430"/>
      <c r="G150" s="430"/>
      <c r="H150" s="430"/>
      <c r="I150" s="430"/>
      <c r="J150" s="430"/>
      <c r="K150" s="430"/>
      <c r="L150" s="430"/>
      <c r="M150" s="430"/>
      <c r="N150" s="430"/>
      <c r="O150" s="430"/>
      <c r="P150" s="430"/>
      <c r="Q150" s="430"/>
      <c r="R150" s="430"/>
      <c r="S150" s="430"/>
      <c r="T150" s="430"/>
      <c r="U150" s="430"/>
      <c r="V150" s="430"/>
      <c r="W150" s="430"/>
      <c r="X150" s="430"/>
      <c r="Y150" s="430"/>
      <c r="Z150" s="430"/>
      <c r="AA150" s="431"/>
      <c r="AB150" s="431"/>
      <c r="AC150" s="431"/>
      <c r="AD150" s="431"/>
      <c r="AE150" s="432"/>
      <c r="AF150" s="444"/>
      <c r="AG150" s="2"/>
      <c r="AH150" s="2"/>
      <c r="AI150" s="2"/>
      <c r="AJ150" s="2"/>
      <c r="AK150" s="61"/>
      <c r="AL150" s="61"/>
      <c r="AM150" s="61"/>
      <c r="AN150" s="2"/>
      <c r="AO150" s="2"/>
      <c r="AP150" s="2"/>
      <c r="AQ150" s="2"/>
      <c r="AR150" s="2"/>
    </row>
    <row r="151" spans="1:82" ht="15" hidden="1" x14ac:dyDescent="0.25">
      <c r="A151" s="428" t="s">
        <v>96</v>
      </c>
      <c r="B151" s="429"/>
      <c r="C151" s="429"/>
      <c r="D151" s="429"/>
      <c r="E151" s="429"/>
      <c r="F151" s="429"/>
      <c r="G151" s="429"/>
      <c r="H151" s="429"/>
      <c r="I151" s="429"/>
      <c r="J151" s="429"/>
      <c r="K151" s="429"/>
      <c r="L151" s="429"/>
      <c r="M151" s="429"/>
      <c r="N151" s="429"/>
      <c r="O151" s="429"/>
      <c r="P151" s="429"/>
      <c r="Q151" s="429"/>
      <c r="R151" s="429"/>
      <c r="S151" s="429"/>
      <c r="T151" s="429"/>
      <c r="U151" s="429"/>
      <c r="V151" s="429"/>
      <c r="W151" s="429"/>
      <c r="X151" s="430"/>
      <c r="Y151" s="430"/>
      <c r="Z151" s="430"/>
      <c r="AA151" s="431"/>
      <c r="AB151" s="431"/>
      <c r="AC151" s="431"/>
      <c r="AD151" s="431"/>
      <c r="AE151" s="432"/>
      <c r="AF151" s="433"/>
      <c r="AG151" s="2"/>
      <c r="AH151" s="2"/>
      <c r="AI151" s="2"/>
      <c r="AJ151" s="2"/>
      <c r="AK151" s="61"/>
      <c r="AL151" s="61"/>
      <c r="AM151" s="61"/>
      <c r="AN151" s="2"/>
      <c r="AO151" s="2"/>
      <c r="AP151" s="2"/>
      <c r="AQ151" s="2"/>
      <c r="AR151" s="2"/>
    </row>
    <row r="152" spans="1:82" hidden="1" x14ac:dyDescent="0.2">
      <c r="A152" s="79" t="s">
        <v>250</v>
      </c>
      <c r="B152" s="80" t="s">
        <v>251</v>
      </c>
      <c r="C152" s="80">
        <v>4301011963</v>
      </c>
      <c r="D152" s="80">
        <v>4680115885288</v>
      </c>
      <c r="E152" s="81">
        <v>0.37</v>
      </c>
      <c r="F152" s="82">
        <v>10</v>
      </c>
      <c r="G152" s="81">
        <v>3.7</v>
      </c>
      <c r="H152" s="81">
        <v>3.91</v>
      </c>
      <c r="I152" s="83">
        <v>132</v>
      </c>
      <c r="J152" s="83" t="s">
        <v>100</v>
      </c>
      <c r="K152" s="84" t="s">
        <v>106</v>
      </c>
      <c r="L152" s="84"/>
      <c r="M152" s="423">
        <v>55</v>
      </c>
      <c r="N152" s="423"/>
      <c r="O152" s="538" t="str">
        <f>HYPERLINK("https://abi.ru/products/Охлажденные/Стародворье/Стародворская/Вареные колбасы/P004417/","Вареные колбасы «Стародворская Мясная» ф/в 0,37 п/а ТМ «Стародворье»")</f>
        <v>Вареные колбасы «Стародворская Мясная» ф/в 0,37 п/а ТМ «Стародворье»</v>
      </c>
      <c r="P152" s="425"/>
      <c r="Q152" s="425"/>
      <c r="R152" s="425"/>
      <c r="S152" s="425"/>
      <c r="T152" s="85" t="s">
        <v>0</v>
      </c>
      <c r="U152" s="65">
        <v>0</v>
      </c>
      <c r="V152" s="66">
        <f>IFERROR(IF(U152="",0,CEILING((U152/$G152),1)*$G152),"")</f>
        <v>0</v>
      </c>
      <c r="W152" s="65">
        <v>0</v>
      </c>
      <c r="X152" s="66">
        <f>IFERROR(IF(W152="",0,CEILING((W152/$G152),1)*$G152),"")</f>
        <v>0</v>
      </c>
      <c r="Y152" s="65">
        <v>0</v>
      </c>
      <c r="Z152" s="66">
        <f>IFERROR(IF(Y152="",0,CEILING((Y152/$G152),1)*$G152),"")</f>
        <v>0</v>
      </c>
      <c r="AA152" s="65">
        <v>0</v>
      </c>
      <c r="AB152" s="66">
        <f>IFERROR(IF(AA152="",0,CEILING((AA152/$G152),1)*$G152),"")</f>
        <v>0</v>
      </c>
      <c r="AC152" s="67" t="str">
        <f>IF(IFERROR(ROUNDUP(V152/G152,0)*0.00902,0)+IFERROR(ROUNDUP(X152/G152,0)*0.00902,0)+IFERROR(ROUNDUP(Z152/G152,0)*0.00902,0)+IFERROR(ROUNDUP(AB152/G152,0)*0.00902,0)=0,"",IFERROR(ROUNDUP(V152/G152,0)*0.00902,0)+IFERROR(ROUNDUP(X152/G152,0)*0.00902,0)+IFERROR(ROUNDUP(Z152/G152,0)*0.00902,0)+IFERROR(ROUNDUP(AB152/G152,0)*0.00902,0))</f>
        <v/>
      </c>
      <c r="AD152" s="79" t="s">
        <v>57</v>
      </c>
      <c r="AE152" s="79" t="s">
        <v>57</v>
      </c>
      <c r="AF152" s="209" t="s">
        <v>252</v>
      </c>
      <c r="AG152" s="2"/>
      <c r="AH152" s="2"/>
      <c r="AI152" s="2"/>
      <c r="AJ152" s="2"/>
      <c r="AK152" s="2"/>
      <c r="AL152" s="61"/>
      <c r="AM152" s="61"/>
      <c r="AN152" s="61"/>
      <c r="AO152" s="2"/>
      <c r="AP152" s="2"/>
      <c r="AQ152" s="2"/>
      <c r="AR152" s="2"/>
      <c r="AS152" s="2"/>
      <c r="AT152" s="2"/>
      <c r="AU152" s="20"/>
      <c r="AV152" s="20"/>
      <c r="AW152" s="21"/>
      <c r="BB152" s="208" t="s">
        <v>65</v>
      </c>
      <c r="BO152" s="77">
        <f>IFERROR(U152*H152/G152,0)</f>
        <v>0</v>
      </c>
      <c r="BP152" s="77">
        <f>IFERROR(V152*H152/G152,0)</f>
        <v>0</v>
      </c>
      <c r="BQ152" s="77">
        <f>IFERROR(1/I152*(U152/G152),0)</f>
        <v>0</v>
      </c>
      <c r="BR152" s="77">
        <f>IFERROR(1/I152*(V152/G152),0)</f>
        <v>0</v>
      </c>
      <c r="BS152" s="77">
        <f>IFERROR(W152*H152/G152,0)</f>
        <v>0</v>
      </c>
      <c r="BT152" s="77">
        <f>IFERROR(X152*H152/G152,0)</f>
        <v>0</v>
      </c>
      <c r="BU152" s="77">
        <f>IFERROR(1/I152*(W152/G152),0)</f>
        <v>0</v>
      </c>
      <c r="BV152" s="77">
        <f>IFERROR(1/I152*(X152/G152),0)</f>
        <v>0</v>
      </c>
      <c r="BW152" s="77">
        <f>IFERROR(Y152*H152/G152,0)</f>
        <v>0</v>
      </c>
      <c r="BX152" s="77">
        <f>IFERROR(Z152*H152/G152,0)</f>
        <v>0</v>
      </c>
      <c r="BY152" s="77">
        <f>IFERROR(1/I152*(Y152/G152),0)</f>
        <v>0</v>
      </c>
      <c r="BZ152" s="77">
        <f>IFERROR(1/I152*(Z152/G152),0)</f>
        <v>0</v>
      </c>
      <c r="CA152" s="77">
        <f>IFERROR(AA152*H152/G152,0)</f>
        <v>0</v>
      </c>
      <c r="CB152" s="77">
        <f>IFERROR(AB152*H152/G152,0)</f>
        <v>0</v>
      </c>
      <c r="CC152" s="77">
        <f>IFERROR(1/I152*(AA152/G152),0)</f>
        <v>0</v>
      </c>
      <c r="CD152" s="77">
        <f>IFERROR(1/I152*(AB152/G152),0)</f>
        <v>0</v>
      </c>
    </row>
    <row r="153" spans="1:82" hidden="1" x14ac:dyDescent="0.2">
      <c r="A153" s="420"/>
      <c r="B153" s="420"/>
      <c r="C153" s="420"/>
      <c r="D153" s="420"/>
      <c r="E153" s="420"/>
      <c r="F153" s="420"/>
      <c r="G153" s="420"/>
      <c r="H153" s="420"/>
      <c r="I153" s="420"/>
      <c r="J153" s="420"/>
      <c r="K153" s="420"/>
      <c r="L153" s="420"/>
      <c r="M153" s="420"/>
      <c r="N153" s="420"/>
      <c r="O153" s="426" t="s">
        <v>43</v>
      </c>
      <c r="P153" s="427"/>
      <c r="Q153" s="427"/>
      <c r="R153" s="427"/>
      <c r="S153" s="427"/>
      <c r="T153" s="39" t="s">
        <v>42</v>
      </c>
      <c r="U153" s="50">
        <f>IFERROR(U152/G152,0)</f>
        <v>0</v>
      </c>
      <c r="V153" s="50">
        <f>IFERROR(V152/G152,0)</f>
        <v>0</v>
      </c>
      <c r="W153" s="50">
        <f>IFERROR(W152/G152,0)</f>
        <v>0</v>
      </c>
      <c r="X153" s="50">
        <f>IFERROR(X152/G152,0)</f>
        <v>0</v>
      </c>
      <c r="Y153" s="50">
        <f>IFERROR(Y152/G152,0)</f>
        <v>0</v>
      </c>
      <c r="Z153" s="50">
        <f>IFERROR(Z152/G152,0)</f>
        <v>0</v>
      </c>
      <c r="AA153" s="50">
        <f>IFERROR(AA152/G152,0)</f>
        <v>0</v>
      </c>
      <c r="AB153" s="50">
        <f>IFERROR(AB152/G152,0)</f>
        <v>0</v>
      </c>
      <c r="AC153" s="50">
        <f>IFERROR(IF(AC152="",0,AC152),0)</f>
        <v>0</v>
      </c>
      <c r="AD153" s="3"/>
      <c r="AE153" s="72"/>
      <c r="AF153" s="3"/>
      <c r="AG153" s="3"/>
      <c r="AH153" s="3"/>
      <c r="AI153" s="3"/>
      <c r="AJ153" s="3"/>
      <c r="AK153" s="3"/>
      <c r="AL153" s="62"/>
      <c r="AM153" s="62"/>
      <c r="AN153" s="62"/>
      <c r="AO153" s="3"/>
      <c r="AP153" s="3"/>
      <c r="AQ153" s="2"/>
      <c r="AR153" s="2"/>
      <c r="AS153" s="2"/>
      <c r="AT153" s="2"/>
      <c r="AU153" s="20"/>
      <c r="AV153" s="20"/>
      <c r="AW153" s="21"/>
    </row>
    <row r="154" spans="1:82" hidden="1" x14ac:dyDescent="0.2">
      <c r="A154" s="420"/>
      <c r="B154" s="420"/>
      <c r="C154" s="420"/>
      <c r="D154" s="420"/>
      <c r="E154" s="420"/>
      <c r="F154" s="420"/>
      <c r="G154" s="420"/>
      <c r="H154" s="420"/>
      <c r="I154" s="420"/>
      <c r="J154" s="420"/>
      <c r="K154" s="420"/>
      <c r="L154" s="420"/>
      <c r="M154" s="420"/>
      <c r="N154" s="420"/>
      <c r="O154" s="426" t="s">
        <v>43</v>
      </c>
      <c r="P154" s="427"/>
      <c r="Q154" s="427"/>
      <c r="R154" s="427"/>
      <c r="S154" s="427"/>
      <c r="T154" s="39" t="s">
        <v>0</v>
      </c>
      <c r="U154" s="102">
        <f t="shared" ref="U154:AB154" si="23">IFERROR(SUM(U152:U152),0)</f>
        <v>0</v>
      </c>
      <c r="V154" s="102">
        <f t="shared" si="23"/>
        <v>0</v>
      </c>
      <c r="W154" s="102">
        <f t="shared" si="23"/>
        <v>0</v>
      </c>
      <c r="X154" s="102">
        <f t="shared" si="23"/>
        <v>0</v>
      </c>
      <c r="Y154" s="102">
        <f t="shared" si="23"/>
        <v>0</v>
      </c>
      <c r="Z154" s="102">
        <f t="shared" si="23"/>
        <v>0</v>
      </c>
      <c r="AA154" s="102">
        <f t="shared" si="23"/>
        <v>0</v>
      </c>
      <c r="AB154" s="102">
        <f t="shared" si="23"/>
        <v>0</v>
      </c>
      <c r="AC154" s="50" t="s">
        <v>57</v>
      </c>
      <c r="AD154" s="3"/>
      <c r="AE154" s="72"/>
      <c r="AF154" s="3"/>
      <c r="AG154" s="3"/>
      <c r="AH154" s="3"/>
      <c r="AI154" s="3"/>
      <c r="AJ154" s="3"/>
      <c r="AK154" s="3"/>
      <c r="AL154" s="62"/>
      <c r="AM154" s="62"/>
      <c r="AN154" s="62"/>
      <c r="AO154" s="3"/>
      <c r="AP154" s="3"/>
      <c r="AQ154" s="2"/>
      <c r="AR154" s="2"/>
      <c r="AS154" s="2"/>
      <c r="AT154" s="2"/>
      <c r="AU154" s="20"/>
      <c r="AV154" s="20"/>
      <c r="AW154" s="21"/>
    </row>
    <row r="155" spans="1:82" ht="15" hidden="1" x14ac:dyDescent="0.25">
      <c r="A155" s="428" t="s">
        <v>123</v>
      </c>
      <c r="B155" s="429"/>
      <c r="C155" s="429"/>
      <c r="D155" s="429"/>
      <c r="E155" s="429"/>
      <c r="F155" s="429"/>
      <c r="G155" s="429"/>
      <c r="H155" s="429"/>
      <c r="I155" s="429"/>
      <c r="J155" s="429"/>
      <c r="K155" s="429"/>
      <c r="L155" s="429"/>
      <c r="M155" s="429"/>
      <c r="N155" s="429"/>
      <c r="O155" s="429"/>
      <c r="P155" s="429"/>
      <c r="Q155" s="429"/>
      <c r="R155" s="429"/>
      <c r="S155" s="429"/>
      <c r="T155" s="429"/>
      <c r="U155" s="429"/>
      <c r="V155" s="429"/>
      <c r="W155" s="429"/>
      <c r="X155" s="430"/>
      <c r="Y155" s="430"/>
      <c r="Z155" s="430"/>
      <c r="AA155" s="431"/>
      <c r="AB155" s="431"/>
      <c r="AC155" s="431"/>
      <c r="AD155" s="431"/>
      <c r="AE155" s="432"/>
      <c r="AF155" s="433"/>
      <c r="AG155" s="2"/>
      <c r="AH155" s="2"/>
      <c r="AI155" s="2"/>
      <c r="AJ155" s="2"/>
      <c r="AK155" s="61"/>
      <c r="AL155" s="61"/>
      <c r="AM155" s="61"/>
      <c r="AN155" s="2"/>
      <c r="AO155" s="2"/>
      <c r="AP155" s="2"/>
      <c r="AQ155" s="2"/>
      <c r="AR155" s="2"/>
    </row>
    <row r="156" spans="1:82" hidden="1" x14ac:dyDescent="0.2">
      <c r="A156" s="79" t="s">
        <v>253</v>
      </c>
      <c r="B156" s="80" t="s">
        <v>254</v>
      </c>
      <c r="C156" s="80">
        <v>4301020340</v>
      </c>
      <c r="D156" s="80">
        <v>4680115885721</v>
      </c>
      <c r="E156" s="81">
        <v>0.33</v>
      </c>
      <c r="F156" s="82">
        <v>6</v>
      </c>
      <c r="G156" s="81">
        <v>1.98</v>
      </c>
      <c r="H156" s="81">
        <v>2.08</v>
      </c>
      <c r="I156" s="83">
        <v>234</v>
      </c>
      <c r="J156" s="83" t="s">
        <v>133</v>
      </c>
      <c r="K156" s="84" t="s">
        <v>99</v>
      </c>
      <c r="L156" s="84"/>
      <c r="M156" s="423">
        <v>50</v>
      </c>
      <c r="N156" s="423"/>
      <c r="O156" s="53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P156" s="425"/>
      <c r="Q156" s="425"/>
      <c r="R156" s="425"/>
      <c r="S156" s="425"/>
      <c r="T156" s="85" t="s">
        <v>0</v>
      </c>
      <c r="U156" s="65">
        <v>0</v>
      </c>
      <c r="V156" s="66">
        <f>IFERROR(IF(U156="",0,CEILING((U156/$G156),1)*$G156),"")</f>
        <v>0</v>
      </c>
      <c r="W156" s="65">
        <v>0</v>
      </c>
      <c r="X156" s="66">
        <f>IFERROR(IF(W156="",0,CEILING((W156/$G156),1)*$G156),"")</f>
        <v>0</v>
      </c>
      <c r="Y156" s="65">
        <v>0</v>
      </c>
      <c r="Z156" s="66">
        <f>IFERROR(IF(Y156="",0,CEILING((Y156/$G156),1)*$G156),"")</f>
        <v>0</v>
      </c>
      <c r="AA156" s="65">
        <v>0</v>
      </c>
      <c r="AB156" s="66">
        <f>IFERROR(IF(AA156="",0,CEILING((AA156/$G156),1)*$G156),"")</f>
        <v>0</v>
      </c>
      <c r="AC156" s="67" t="str">
        <f>IF(IFERROR(ROUNDUP(V156/G156,0)*0.00502,0)+IFERROR(ROUNDUP(X156/G156,0)*0.00502,0)+IFERROR(ROUNDUP(Z156/G156,0)*0.00502,0)+IFERROR(ROUNDUP(AB156/G156,0)*0.00502,0)=0,"",IFERROR(ROUNDUP(V156/G156,0)*0.00502,0)+IFERROR(ROUNDUP(X156/G156,0)*0.00502,0)+IFERROR(ROUNDUP(Z156/G156,0)*0.00502,0)+IFERROR(ROUNDUP(AB156/G156,0)*0.00502,0))</f>
        <v/>
      </c>
      <c r="AD156" s="79" t="s">
        <v>57</v>
      </c>
      <c r="AE156" s="79" t="s">
        <v>57</v>
      </c>
      <c r="AF156" s="211" t="s">
        <v>255</v>
      </c>
      <c r="AG156" s="2"/>
      <c r="AH156" s="2"/>
      <c r="AI156" s="2"/>
      <c r="AJ156" s="2"/>
      <c r="AK156" s="2"/>
      <c r="AL156" s="61"/>
      <c r="AM156" s="61"/>
      <c r="AN156" s="61"/>
      <c r="AO156" s="2"/>
      <c r="AP156" s="2"/>
      <c r="AQ156" s="2"/>
      <c r="AR156" s="2"/>
      <c r="AS156" s="2"/>
      <c r="AT156" s="2"/>
      <c r="AU156" s="20"/>
      <c r="AV156" s="20"/>
      <c r="AW156" s="21"/>
      <c r="BB156" s="210" t="s">
        <v>65</v>
      </c>
      <c r="BO156" s="77">
        <f>IFERROR(U156*H156/G156,0)</f>
        <v>0</v>
      </c>
      <c r="BP156" s="77">
        <f>IFERROR(V156*H156/G156,0)</f>
        <v>0</v>
      </c>
      <c r="BQ156" s="77">
        <f>IFERROR(1/I156*(U156/G156),0)</f>
        <v>0</v>
      </c>
      <c r="BR156" s="77">
        <f>IFERROR(1/I156*(V156/G156),0)</f>
        <v>0</v>
      </c>
      <c r="BS156" s="77">
        <f>IFERROR(W156*H156/G156,0)</f>
        <v>0</v>
      </c>
      <c r="BT156" s="77">
        <f>IFERROR(X156*H156/G156,0)</f>
        <v>0</v>
      </c>
      <c r="BU156" s="77">
        <f>IFERROR(1/I156*(W156/G156),0)</f>
        <v>0</v>
      </c>
      <c r="BV156" s="77">
        <f>IFERROR(1/I156*(X156/G156),0)</f>
        <v>0</v>
      </c>
      <c r="BW156" s="77">
        <f>IFERROR(Y156*H156/G156,0)</f>
        <v>0</v>
      </c>
      <c r="BX156" s="77">
        <f>IFERROR(Z156*H156/G156,0)</f>
        <v>0</v>
      </c>
      <c r="BY156" s="77">
        <f>IFERROR(1/I156*(Y156/G156),0)</f>
        <v>0</v>
      </c>
      <c r="BZ156" s="77">
        <f>IFERROR(1/I156*(Z156/G156),0)</f>
        <v>0</v>
      </c>
      <c r="CA156" s="77">
        <f>IFERROR(AA156*H156/G156,0)</f>
        <v>0</v>
      </c>
      <c r="CB156" s="77">
        <f>IFERROR(AB156*H156/G156,0)</f>
        <v>0</v>
      </c>
      <c r="CC156" s="77">
        <f>IFERROR(1/I156*(AA156/G156),0)</f>
        <v>0</v>
      </c>
      <c r="CD156" s="77">
        <f>IFERROR(1/I156*(AB156/G156),0)</f>
        <v>0</v>
      </c>
    </row>
    <row r="157" spans="1:82" hidden="1" x14ac:dyDescent="0.2">
      <c r="A157" s="420"/>
      <c r="B157" s="420"/>
      <c r="C157" s="420"/>
      <c r="D157" s="420"/>
      <c r="E157" s="420"/>
      <c r="F157" s="420"/>
      <c r="G157" s="420"/>
      <c r="H157" s="420"/>
      <c r="I157" s="420"/>
      <c r="J157" s="420"/>
      <c r="K157" s="420"/>
      <c r="L157" s="420"/>
      <c r="M157" s="420"/>
      <c r="N157" s="420"/>
      <c r="O157" s="426" t="s">
        <v>43</v>
      </c>
      <c r="P157" s="427"/>
      <c r="Q157" s="427"/>
      <c r="R157" s="427"/>
      <c r="S157" s="427"/>
      <c r="T157" s="39" t="s">
        <v>42</v>
      </c>
      <c r="U157" s="50">
        <f>IFERROR(U156/G156,0)</f>
        <v>0</v>
      </c>
      <c r="V157" s="50">
        <f>IFERROR(V156/G156,0)</f>
        <v>0</v>
      </c>
      <c r="W157" s="50">
        <f>IFERROR(W156/G156,0)</f>
        <v>0</v>
      </c>
      <c r="X157" s="50">
        <f>IFERROR(X156/G156,0)</f>
        <v>0</v>
      </c>
      <c r="Y157" s="50">
        <f>IFERROR(Y156/G156,0)</f>
        <v>0</v>
      </c>
      <c r="Z157" s="50">
        <f>IFERROR(Z156/G156,0)</f>
        <v>0</v>
      </c>
      <c r="AA157" s="50">
        <f>IFERROR(AA156/G156,0)</f>
        <v>0</v>
      </c>
      <c r="AB157" s="50">
        <f>IFERROR(AB156/G156,0)</f>
        <v>0</v>
      </c>
      <c r="AC157" s="50">
        <f>IFERROR(IF(AC156="",0,AC156),0)</f>
        <v>0</v>
      </c>
      <c r="AD157" s="3"/>
      <c r="AE157" s="72"/>
      <c r="AF157" s="3"/>
      <c r="AG157" s="3"/>
      <c r="AH157" s="3"/>
      <c r="AI157" s="3"/>
      <c r="AJ157" s="3"/>
      <c r="AK157" s="3"/>
      <c r="AL157" s="62"/>
      <c r="AM157" s="62"/>
      <c r="AN157" s="62"/>
      <c r="AO157" s="3"/>
      <c r="AP157" s="3"/>
      <c r="AQ157" s="2"/>
      <c r="AR157" s="2"/>
      <c r="AS157" s="2"/>
      <c r="AT157" s="2"/>
      <c r="AU157" s="20"/>
      <c r="AV157" s="20"/>
      <c r="AW157" s="21"/>
    </row>
    <row r="158" spans="1:82" hidden="1" x14ac:dyDescent="0.2">
      <c r="A158" s="420"/>
      <c r="B158" s="420"/>
      <c r="C158" s="420"/>
      <c r="D158" s="420"/>
      <c r="E158" s="420"/>
      <c r="F158" s="420"/>
      <c r="G158" s="420"/>
      <c r="H158" s="420"/>
      <c r="I158" s="420"/>
      <c r="J158" s="420"/>
      <c r="K158" s="420"/>
      <c r="L158" s="420"/>
      <c r="M158" s="420"/>
      <c r="N158" s="420"/>
      <c r="O158" s="426" t="s">
        <v>43</v>
      </c>
      <c r="P158" s="427"/>
      <c r="Q158" s="427"/>
      <c r="R158" s="427"/>
      <c r="S158" s="427"/>
      <c r="T158" s="39" t="s">
        <v>0</v>
      </c>
      <c r="U158" s="102">
        <f t="shared" ref="U158:AB158" si="24">IFERROR(SUM(U156:U156),0)</f>
        <v>0</v>
      </c>
      <c r="V158" s="102">
        <f t="shared" si="24"/>
        <v>0</v>
      </c>
      <c r="W158" s="102">
        <f t="shared" si="24"/>
        <v>0</v>
      </c>
      <c r="X158" s="102">
        <f t="shared" si="24"/>
        <v>0</v>
      </c>
      <c r="Y158" s="102">
        <f t="shared" si="24"/>
        <v>0</v>
      </c>
      <c r="Z158" s="102">
        <f t="shared" si="24"/>
        <v>0</v>
      </c>
      <c r="AA158" s="102">
        <f t="shared" si="24"/>
        <v>0</v>
      </c>
      <c r="AB158" s="102">
        <f t="shared" si="24"/>
        <v>0</v>
      </c>
      <c r="AC158" s="50" t="s">
        <v>57</v>
      </c>
      <c r="AD158" s="3"/>
      <c r="AE158" s="72"/>
      <c r="AF158" s="3"/>
      <c r="AG158" s="3"/>
      <c r="AH158" s="3"/>
      <c r="AI158" s="3"/>
      <c r="AJ158" s="3"/>
      <c r="AK158" s="3"/>
      <c r="AL158" s="62"/>
      <c r="AM158" s="62"/>
      <c r="AN158" s="62"/>
      <c r="AO158" s="3"/>
      <c r="AP158" s="3"/>
      <c r="AQ158" s="2"/>
      <c r="AR158" s="2"/>
      <c r="AS158" s="2"/>
      <c r="AT158" s="2"/>
      <c r="AU158" s="20"/>
      <c r="AV158" s="20"/>
      <c r="AW158" s="21"/>
    </row>
    <row r="159" spans="1:82" ht="15" hidden="1" x14ac:dyDescent="0.25">
      <c r="A159" s="428" t="s">
        <v>256</v>
      </c>
      <c r="B159" s="429"/>
      <c r="C159" s="429"/>
      <c r="D159" s="429"/>
      <c r="E159" s="429"/>
      <c r="F159" s="429"/>
      <c r="G159" s="429"/>
      <c r="H159" s="429"/>
      <c r="I159" s="429"/>
      <c r="J159" s="429"/>
      <c r="K159" s="429"/>
      <c r="L159" s="429"/>
      <c r="M159" s="429"/>
      <c r="N159" s="429"/>
      <c r="O159" s="429"/>
      <c r="P159" s="429"/>
      <c r="Q159" s="429"/>
      <c r="R159" s="429"/>
      <c r="S159" s="429"/>
      <c r="T159" s="429"/>
      <c r="U159" s="429"/>
      <c r="V159" s="429"/>
      <c r="W159" s="429"/>
      <c r="X159" s="430"/>
      <c r="Y159" s="430"/>
      <c r="Z159" s="430"/>
      <c r="AA159" s="431"/>
      <c r="AB159" s="431"/>
      <c r="AC159" s="431"/>
      <c r="AD159" s="431"/>
      <c r="AE159" s="432"/>
      <c r="AF159" s="433"/>
      <c r="AG159" s="2"/>
      <c r="AH159" s="2"/>
      <c r="AI159" s="2"/>
      <c r="AJ159" s="2"/>
      <c r="AK159" s="61"/>
      <c r="AL159" s="61"/>
      <c r="AM159" s="61"/>
      <c r="AN159" s="2"/>
      <c r="AO159" s="2"/>
      <c r="AP159" s="2"/>
      <c r="AQ159" s="2"/>
      <c r="AR159" s="2"/>
    </row>
    <row r="160" spans="1:82" x14ac:dyDescent="0.2">
      <c r="A160" s="79" t="s">
        <v>257</v>
      </c>
      <c r="B160" s="80" t="s">
        <v>258</v>
      </c>
      <c r="C160" s="80">
        <v>4301040361</v>
      </c>
      <c r="D160" s="80">
        <v>4680115886803</v>
      </c>
      <c r="E160" s="81">
        <v>0.12</v>
      </c>
      <c r="F160" s="82">
        <v>18</v>
      </c>
      <c r="G160" s="81">
        <v>2.16</v>
      </c>
      <c r="H160" s="81">
        <v>2.35</v>
      </c>
      <c r="I160" s="83">
        <v>216</v>
      </c>
      <c r="J160" s="83" t="s">
        <v>261</v>
      </c>
      <c r="K160" s="84" t="s">
        <v>260</v>
      </c>
      <c r="L160" s="84"/>
      <c r="M160" s="423">
        <v>45</v>
      </c>
      <c r="N160" s="423"/>
      <c r="O160" s="534" t="s">
        <v>259</v>
      </c>
      <c r="P160" s="425"/>
      <c r="Q160" s="425"/>
      <c r="R160" s="425"/>
      <c r="S160" s="425"/>
      <c r="T160" s="85" t="s">
        <v>0</v>
      </c>
      <c r="U160" s="65">
        <v>20</v>
      </c>
      <c r="V160" s="66">
        <f>IFERROR(IF(U160="",0,CEILING((U160/$G160),1)*$G160),"")</f>
        <v>21.6</v>
      </c>
      <c r="W160" s="65">
        <v>0</v>
      </c>
      <c r="X160" s="66">
        <f>IFERROR(IF(W160="",0,CEILING((W160/$G160),1)*$G160),"")</f>
        <v>0</v>
      </c>
      <c r="Y160" s="65">
        <v>0</v>
      </c>
      <c r="Z160" s="66">
        <f>IFERROR(IF(Y160="",0,CEILING((Y160/$G160),1)*$G160),"")</f>
        <v>0</v>
      </c>
      <c r="AA160" s="65">
        <v>0</v>
      </c>
      <c r="AB160" s="66">
        <f>IFERROR(IF(AA160="",0,CEILING((AA160/$G160),1)*$G160),"")</f>
        <v>0</v>
      </c>
      <c r="AC160" s="67">
        <f>IF(IFERROR(ROUNDUP(V160/G160,0)*0.0059,0)+IFERROR(ROUNDUP(X160/G160,0)*0.0059,0)+IFERROR(ROUNDUP(Z160/G160,0)*0.0059,0)+IFERROR(ROUNDUP(AB160/G160,0)*0.0059,0)=0,"",IFERROR(ROUNDUP(V160/G160,0)*0.0059,0)+IFERROR(ROUNDUP(X160/G160,0)*0.0059,0)+IFERROR(ROUNDUP(Z160/G160,0)*0.0059,0)+IFERROR(ROUNDUP(AB160/G160,0)*0.0059,0))</f>
        <v>5.8999999999999997E-2</v>
      </c>
      <c r="AD160" s="79" t="s">
        <v>57</v>
      </c>
      <c r="AE160" s="79" t="s">
        <v>57</v>
      </c>
      <c r="AF160" s="213" t="s">
        <v>262</v>
      </c>
      <c r="AG160" s="2"/>
      <c r="AH160" s="2"/>
      <c r="AI160" s="2"/>
      <c r="AJ160" s="2"/>
      <c r="AK160" s="2"/>
      <c r="AL160" s="61"/>
      <c r="AM160" s="61"/>
      <c r="AN160" s="61"/>
      <c r="AO160" s="2"/>
      <c r="AP160" s="2"/>
      <c r="AQ160" s="2"/>
      <c r="AR160" s="2"/>
      <c r="AS160" s="2"/>
      <c r="AT160" s="2"/>
      <c r="AU160" s="20"/>
      <c r="AV160" s="20"/>
      <c r="AW160" s="21"/>
      <c r="BB160" s="212" t="s">
        <v>65</v>
      </c>
      <c r="BO160" s="77">
        <f>IFERROR(U160*H160/G160,0)</f>
        <v>21.75925925925926</v>
      </c>
      <c r="BP160" s="77">
        <f>IFERROR(V160*H160/G160,0)</f>
        <v>23.5</v>
      </c>
      <c r="BQ160" s="77">
        <f>IFERROR(1/I160*(U160/G160),0)</f>
        <v>4.2866941015089165E-2</v>
      </c>
      <c r="BR160" s="77">
        <f>IFERROR(1/I160*(V160/G160),0)</f>
        <v>4.6296296296296294E-2</v>
      </c>
      <c r="BS160" s="77">
        <f>IFERROR(W160*H160/G160,0)</f>
        <v>0</v>
      </c>
      <c r="BT160" s="77">
        <f>IFERROR(X160*H160/G160,0)</f>
        <v>0</v>
      </c>
      <c r="BU160" s="77">
        <f>IFERROR(1/I160*(W160/G160),0)</f>
        <v>0</v>
      </c>
      <c r="BV160" s="77">
        <f>IFERROR(1/I160*(X160/G160),0)</f>
        <v>0</v>
      </c>
      <c r="BW160" s="77">
        <f>IFERROR(Y160*H160/G160,0)</f>
        <v>0</v>
      </c>
      <c r="BX160" s="77">
        <f>IFERROR(Z160*H160/G160,0)</f>
        <v>0</v>
      </c>
      <c r="BY160" s="77">
        <f>IFERROR(1/I160*(Y160/G160),0)</f>
        <v>0</v>
      </c>
      <c r="BZ160" s="77">
        <f>IFERROR(1/I160*(Z160/G160),0)</f>
        <v>0</v>
      </c>
      <c r="CA160" s="77">
        <f>IFERROR(AA160*H160/G160,0)</f>
        <v>0</v>
      </c>
      <c r="CB160" s="77">
        <f>IFERROR(AB160*H160/G160,0)</f>
        <v>0</v>
      </c>
      <c r="CC160" s="77">
        <f>IFERROR(1/I160*(AA160/G160),0)</f>
        <v>0</v>
      </c>
      <c r="CD160" s="77">
        <f>IFERROR(1/I160*(AB160/G160),0)</f>
        <v>0</v>
      </c>
    </row>
    <row r="161" spans="1:82" x14ac:dyDescent="0.2">
      <c r="A161" s="420"/>
      <c r="B161" s="420"/>
      <c r="C161" s="420"/>
      <c r="D161" s="420"/>
      <c r="E161" s="420"/>
      <c r="F161" s="420"/>
      <c r="G161" s="420"/>
      <c r="H161" s="420"/>
      <c r="I161" s="420"/>
      <c r="J161" s="420"/>
      <c r="K161" s="420"/>
      <c r="L161" s="420"/>
      <c r="M161" s="420"/>
      <c r="N161" s="420"/>
      <c r="O161" s="426" t="s">
        <v>43</v>
      </c>
      <c r="P161" s="427"/>
      <c r="Q161" s="427"/>
      <c r="R161" s="427"/>
      <c r="S161" s="427"/>
      <c r="T161" s="39" t="s">
        <v>42</v>
      </c>
      <c r="U161" s="50">
        <f>IFERROR(U160/G160,0)</f>
        <v>9.2592592592592595</v>
      </c>
      <c r="V161" s="50">
        <f>IFERROR(V160/G160,0)</f>
        <v>10</v>
      </c>
      <c r="W161" s="50">
        <f>IFERROR(W160/G160,0)</f>
        <v>0</v>
      </c>
      <c r="X161" s="50">
        <f>IFERROR(X160/G160,0)</f>
        <v>0</v>
      </c>
      <c r="Y161" s="50">
        <f>IFERROR(Y160/G160,0)</f>
        <v>0</v>
      </c>
      <c r="Z161" s="50">
        <f>IFERROR(Z160/G160,0)</f>
        <v>0</v>
      </c>
      <c r="AA161" s="50">
        <f>IFERROR(AA160/G160,0)</f>
        <v>0</v>
      </c>
      <c r="AB161" s="50">
        <f>IFERROR(AB160/G160,0)</f>
        <v>0</v>
      </c>
      <c r="AC161" s="50">
        <f>IFERROR(IF(AC160="",0,AC160),0)</f>
        <v>5.8999999999999997E-2</v>
      </c>
      <c r="AD161" s="3"/>
      <c r="AE161" s="72"/>
      <c r="AF161" s="3"/>
      <c r="AG161" s="3"/>
      <c r="AH161" s="3"/>
      <c r="AI161" s="3"/>
      <c r="AJ161" s="3"/>
      <c r="AK161" s="3"/>
      <c r="AL161" s="62"/>
      <c r="AM161" s="62"/>
      <c r="AN161" s="62"/>
      <c r="AO161" s="3"/>
      <c r="AP161" s="3"/>
      <c r="AQ161" s="2"/>
      <c r="AR161" s="2"/>
      <c r="AS161" s="2"/>
      <c r="AT161" s="2"/>
      <c r="AU161" s="20"/>
      <c r="AV161" s="20"/>
      <c r="AW161" s="21"/>
    </row>
    <row r="162" spans="1:82" x14ac:dyDescent="0.2">
      <c r="A162" s="420"/>
      <c r="B162" s="420"/>
      <c r="C162" s="420"/>
      <c r="D162" s="420"/>
      <c r="E162" s="420"/>
      <c r="F162" s="420"/>
      <c r="G162" s="420"/>
      <c r="H162" s="420"/>
      <c r="I162" s="420"/>
      <c r="J162" s="420"/>
      <c r="K162" s="420"/>
      <c r="L162" s="420"/>
      <c r="M162" s="420"/>
      <c r="N162" s="420"/>
      <c r="O162" s="426" t="s">
        <v>43</v>
      </c>
      <c r="P162" s="427"/>
      <c r="Q162" s="427"/>
      <c r="R162" s="427"/>
      <c r="S162" s="427"/>
      <c r="T162" s="39" t="s">
        <v>0</v>
      </c>
      <c r="U162" s="102">
        <f t="shared" ref="U162:AB162" si="25">IFERROR(SUM(U160:U160),0)</f>
        <v>20</v>
      </c>
      <c r="V162" s="102">
        <f t="shared" si="25"/>
        <v>21.6</v>
      </c>
      <c r="W162" s="102">
        <f t="shared" si="25"/>
        <v>0</v>
      </c>
      <c r="X162" s="102">
        <f t="shared" si="25"/>
        <v>0</v>
      </c>
      <c r="Y162" s="102">
        <f t="shared" si="25"/>
        <v>0</v>
      </c>
      <c r="Z162" s="102">
        <f t="shared" si="25"/>
        <v>0</v>
      </c>
      <c r="AA162" s="102">
        <f t="shared" si="25"/>
        <v>0</v>
      </c>
      <c r="AB162" s="102">
        <f t="shared" si="25"/>
        <v>0</v>
      </c>
      <c r="AC162" s="50" t="s">
        <v>57</v>
      </c>
      <c r="AD162" s="3"/>
      <c r="AE162" s="72"/>
      <c r="AF162" s="3"/>
      <c r="AG162" s="3"/>
      <c r="AH162" s="3"/>
      <c r="AI162" s="3"/>
      <c r="AJ162" s="3"/>
      <c r="AK162" s="3"/>
      <c r="AL162" s="62"/>
      <c r="AM162" s="62"/>
      <c r="AN162" s="62"/>
      <c r="AO162" s="3"/>
      <c r="AP162" s="3"/>
      <c r="AQ162" s="2"/>
      <c r="AR162" s="2"/>
      <c r="AS162" s="2"/>
      <c r="AT162" s="2"/>
      <c r="AU162" s="20"/>
      <c r="AV162" s="20"/>
      <c r="AW162" s="21"/>
    </row>
    <row r="163" spans="1:82" ht="15" hidden="1" x14ac:dyDescent="0.25">
      <c r="A163" s="443" t="s">
        <v>263</v>
      </c>
      <c r="B163" s="430"/>
      <c r="C163" s="430"/>
      <c r="D163" s="430"/>
      <c r="E163" s="430"/>
      <c r="F163" s="430"/>
      <c r="G163" s="430"/>
      <c r="H163" s="430"/>
      <c r="I163" s="430"/>
      <c r="J163" s="430"/>
      <c r="K163" s="430"/>
      <c r="L163" s="430"/>
      <c r="M163" s="430"/>
      <c r="N163" s="430"/>
      <c r="O163" s="430"/>
      <c r="P163" s="430"/>
      <c r="Q163" s="430"/>
      <c r="R163" s="430"/>
      <c r="S163" s="430"/>
      <c r="T163" s="430"/>
      <c r="U163" s="430"/>
      <c r="V163" s="430"/>
      <c r="W163" s="430"/>
      <c r="X163" s="430"/>
      <c r="Y163" s="430"/>
      <c r="Z163" s="430"/>
      <c r="AA163" s="431"/>
      <c r="AB163" s="431"/>
      <c r="AC163" s="431"/>
      <c r="AD163" s="431"/>
      <c r="AE163" s="432"/>
      <c r="AF163" s="444"/>
      <c r="AG163" s="2"/>
      <c r="AH163" s="2"/>
      <c r="AI163" s="2"/>
      <c r="AJ163" s="2"/>
      <c r="AK163" s="61"/>
      <c r="AL163" s="61"/>
      <c r="AM163" s="61"/>
      <c r="AN163" s="2"/>
      <c r="AO163" s="2"/>
      <c r="AP163" s="2"/>
      <c r="AQ163" s="2"/>
      <c r="AR163" s="2"/>
    </row>
    <row r="164" spans="1:82" ht="15" hidden="1" x14ac:dyDescent="0.25">
      <c r="A164" s="428" t="s">
        <v>96</v>
      </c>
      <c r="B164" s="429"/>
      <c r="C164" s="429"/>
      <c r="D164" s="429"/>
      <c r="E164" s="429"/>
      <c r="F164" s="429"/>
      <c r="G164" s="429"/>
      <c r="H164" s="429"/>
      <c r="I164" s="429"/>
      <c r="J164" s="429"/>
      <c r="K164" s="429"/>
      <c r="L164" s="429"/>
      <c r="M164" s="429"/>
      <c r="N164" s="429"/>
      <c r="O164" s="429"/>
      <c r="P164" s="429"/>
      <c r="Q164" s="429"/>
      <c r="R164" s="429"/>
      <c r="S164" s="429"/>
      <c r="T164" s="429"/>
      <c r="U164" s="429"/>
      <c r="V164" s="429"/>
      <c r="W164" s="429"/>
      <c r="X164" s="430"/>
      <c r="Y164" s="430"/>
      <c r="Z164" s="430"/>
      <c r="AA164" s="431"/>
      <c r="AB164" s="431"/>
      <c r="AC164" s="431"/>
      <c r="AD164" s="431"/>
      <c r="AE164" s="432"/>
      <c r="AF164" s="433"/>
      <c r="AG164" s="2"/>
      <c r="AH164" s="2"/>
      <c r="AI164" s="2"/>
      <c r="AJ164" s="2"/>
      <c r="AK164" s="61"/>
      <c r="AL164" s="61"/>
      <c r="AM164" s="61"/>
      <c r="AN164" s="2"/>
      <c r="AO164" s="2"/>
      <c r="AP164" s="2"/>
      <c r="AQ164" s="2"/>
      <c r="AR164" s="2"/>
    </row>
    <row r="165" spans="1:82" hidden="1" x14ac:dyDescent="0.2">
      <c r="A165" s="79" t="s">
        <v>264</v>
      </c>
      <c r="B165" s="80" t="s">
        <v>265</v>
      </c>
      <c r="C165" s="80">
        <v>4301011852</v>
      </c>
      <c r="D165" s="80">
        <v>4680115885844</v>
      </c>
      <c r="E165" s="81">
        <v>0.4</v>
      </c>
      <c r="F165" s="82">
        <v>10</v>
      </c>
      <c r="G165" s="81">
        <v>4</v>
      </c>
      <c r="H165" s="81">
        <v>4.21</v>
      </c>
      <c r="I165" s="83">
        <v>132</v>
      </c>
      <c r="J165" s="83" t="s">
        <v>100</v>
      </c>
      <c r="K165" s="84" t="s">
        <v>106</v>
      </c>
      <c r="L165" s="84"/>
      <c r="M165" s="423">
        <v>55</v>
      </c>
      <c r="N165" s="423"/>
      <c r="O165" s="53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P165" s="425"/>
      <c r="Q165" s="425"/>
      <c r="R165" s="425"/>
      <c r="S165" s="425"/>
      <c r="T165" s="85" t="s">
        <v>0</v>
      </c>
      <c r="U165" s="65">
        <v>0</v>
      </c>
      <c r="V165" s="66">
        <f>IFERROR(IF(U165="",0,CEILING((U165/$G165),1)*$G165),"")</f>
        <v>0</v>
      </c>
      <c r="W165" s="65">
        <v>0</v>
      </c>
      <c r="X165" s="66">
        <f>IFERROR(IF(W165="",0,CEILING((W165/$G165),1)*$G165),"")</f>
        <v>0</v>
      </c>
      <c r="Y165" s="65">
        <v>0</v>
      </c>
      <c r="Z165" s="66">
        <f>IFERROR(IF(Y165="",0,CEILING((Y165/$G165),1)*$G165),"")</f>
        <v>0</v>
      </c>
      <c r="AA165" s="65">
        <v>0</v>
      </c>
      <c r="AB165" s="66">
        <f>IFERROR(IF(AA165="",0,CEILING((AA165/$G165),1)*$G165),"")</f>
        <v>0</v>
      </c>
      <c r="AC165" s="67" t="str">
        <f>IF(IFERROR(ROUNDUP(V165/G165,0)*0.00902,0)+IFERROR(ROUNDUP(X165/G165,0)*0.00902,0)+IFERROR(ROUNDUP(Z165/G165,0)*0.00902,0)+IFERROR(ROUNDUP(AB165/G165,0)*0.00902,0)=0,"",IFERROR(ROUNDUP(V165/G165,0)*0.00902,0)+IFERROR(ROUNDUP(X165/G165,0)*0.00902,0)+IFERROR(ROUNDUP(Z165/G165,0)*0.00902,0)+IFERROR(ROUNDUP(AB165/G165,0)*0.00902,0))</f>
        <v/>
      </c>
      <c r="AD165" s="79" t="s">
        <v>57</v>
      </c>
      <c r="AE165" s="79" t="s">
        <v>57</v>
      </c>
      <c r="AF165" s="215" t="s">
        <v>266</v>
      </c>
      <c r="AG165" s="2"/>
      <c r="AH165" s="2"/>
      <c r="AI165" s="2"/>
      <c r="AJ165" s="2"/>
      <c r="AK165" s="2"/>
      <c r="AL165" s="61"/>
      <c r="AM165" s="61"/>
      <c r="AN165" s="61"/>
      <c r="AO165" s="2"/>
      <c r="AP165" s="2"/>
      <c r="AQ165" s="2"/>
      <c r="AR165" s="2"/>
      <c r="AS165" s="2"/>
      <c r="AT165" s="2"/>
      <c r="AU165" s="20"/>
      <c r="AV165" s="20"/>
      <c r="AW165" s="21"/>
      <c r="BB165" s="214" t="s">
        <v>65</v>
      </c>
      <c r="BO165" s="77">
        <f>IFERROR(U165*H165/G165,0)</f>
        <v>0</v>
      </c>
      <c r="BP165" s="77">
        <f>IFERROR(V165*H165/G165,0)</f>
        <v>0</v>
      </c>
      <c r="BQ165" s="77">
        <f>IFERROR(1/I165*(U165/G165),0)</f>
        <v>0</v>
      </c>
      <c r="BR165" s="77">
        <f>IFERROR(1/I165*(V165/G165),0)</f>
        <v>0</v>
      </c>
      <c r="BS165" s="77">
        <f>IFERROR(W165*H165/G165,0)</f>
        <v>0</v>
      </c>
      <c r="BT165" s="77">
        <f>IFERROR(X165*H165/G165,0)</f>
        <v>0</v>
      </c>
      <c r="BU165" s="77">
        <f>IFERROR(1/I165*(W165/G165),0)</f>
        <v>0</v>
      </c>
      <c r="BV165" s="77">
        <f>IFERROR(1/I165*(X165/G165),0)</f>
        <v>0</v>
      </c>
      <c r="BW165" s="77">
        <f>IFERROR(Y165*H165/G165,0)</f>
        <v>0</v>
      </c>
      <c r="BX165" s="77">
        <f>IFERROR(Z165*H165/G165,0)</f>
        <v>0</v>
      </c>
      <c r="BY165" s="77">
        <f>IFERROR(1/I165*(Y165/G165),0)</f>
        <v>0</v>
      </c>
      <c r="BZ165" s="77">
        <f>IFERROR(1/I165*(Z165/G165),0)</f>
        <v>0</v>
      </c>
      <c r="CA165" s="77">
        <f>IFERROR(AA165*H165/G165,0)</f>
        <v>0</v>
      </c>
      <c r="CB165" s="77">
        <f>IFERROR(AB165*H165/G165,0)</f>
        <v>0</v>
      </c>
      <c r="CC165" s="77">
        <f>IFERROR(1/I165*(AA165/G165),0)</f>
        <v>0</v>
      </c>
      <c r="CD165" s="77">
        <f>IFERROR(1/I165*(AB165/G165),0)</f>
        <v>0</v>
      </c>
    </row>
    <row r="166" spans="1:82" hidden="1" x14ac:dyDescent="0.2">
      <c r="A166" s="79" t="s">
        <v>267</v>
      </c>
      <c r="B166" s="80" t="s">
        <v>268</v>
      </c>
      <c r="C166" s="80">
        <v>4301011851</v>
      </c>
      <c r="D166" s="80">
        <v>4680115885820</v>
      </c>
      <c r="E166" s="81">
        <v>0.4</v>
      </c>
      <c r="F166" s="82">
        <v>10</v>
      </c>
      <c r="G166" s="81">
        <v>4</v>
      </c>
      <c r="H166" s="81">
        <v>4.21</v>
      </c>
      <c r="I166" s="83">
        <v>132</v>
      </c>
      <c r="J166" s="83" t="s">
        <v>100</v>
      </c>
      <c r="K166" s="84" t="s">
        <v>106</v>
      </c>
      <c r="L166" s="84"/>
      <c r="M166" s="423">
        <v>55</v>
      </c>
      <c r="N166" s="423"/>
      <c r="O166" s="5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P166" s="425"/>
      <c r="Q166" s="425"/>
      <c r="R166" s="425"/>
      <c r="S166" s="425"/>
      <c r="T166" s="85" t="s">
        <v>0</v>
      </c>
      <c r="U166" s="65">
        <v>0</v>
      </c>
      <c r="V166" s="66">
        <f>IFERROR(IF(U166="",0,CEILING((U166/$G166),1)*$G166),"")</f>
        <v>0</v>
      </c>
      <c r="W166" s="65">
        <v>0</v>
      </c>
      <c r="X166" s="66">
        <f>IFERROR(IF(W166="",0,CEILING((W166/$G166),1)*$G166),"")</f>
        <v>0</v>
      </c>
      <c r="Y166" s="65">
        <v>0</v>
      </c>
      <c r="Z166" s="66">
        <f>IFERROR(IF(Y166="",0,CEILING((Y166/$G166),1)*$G166),"")</f>
        <v>0</v>
      </c>
      <c r="AA166" s="65">
        <v>0</v>
      </c>
      <c r="AB166" s="66">
        <f>IFERROR(IF(AA166="",0,CEILING((AA166/$G166),1)*$G166),"")</f>
        <v>0</v>
      </c>
      <c r="AC166" s="67" t="str">
        <f>IF(IFERROR(ROUNDUP(V166/G166,0)*0.00902,0)+IFERROR(ROUNDUP(X166/G166,0)*0.00902,0)+IFERROR(ROUNDUP(Z166/G166,0)*0.00902,0)+IFERROR(ROUNDUP(AB166/G166,0)*0.00902,0)=0,"",IFERROR(ROUNDUP(V166/G166,0)*0.00902,0)+IFERROR(ROUNDUP(X166/G166,0)*0.00902,0)+IFERROR(ROUNDUP(Z166/G166,0)*0.00902,0)+IFERROR(ROUNDUP(AB166/G166,0)*0.00902,0))</f>
        <v/>
      </c>
      <c r="AD166" s="79" t="s">
        <v>57</v>
      </c>
      <c r="AE166" s="79" t="s">
        <v>57</v>
      </c>
      <c r="AF166" s="217" t="s">
        <v>269</v>
      </c>
      <c r="AG166" s="2"/>
      <c r="AH166" s="2"/>
      <c r="AI166" s="2"/>
      <c r="AJ166" s="2"/>
      <c r="AK166" s="2"/>
      <c r="AL166" s="61"/>
      <c r="AM166" s="61"/>
      <c r="AN166" s="61"/>
      <c r="AO166" s="2"/>
      <c r="AP166" s="2"/>
      <c r="AQ166" s="2"/>
      <c r="AR166" s="2"/>
      <c r="AS166" s="2"/>
      <c r="AT166" s="2"/>
      <c r="AU166" s="20"/>
      <c r="AV166" s="20"/>
      <c r="AW166" s="21"/>
      <c r="BB166" s="216" t="s">
        <v>65</v>
      </c>
      <c r="BO166" s="77">
        <f>IFERROR(U166*H166/G166,0)</f>
        <v>0</v>
      </c>
      <c r="BP166" s="77">
        <f>IFERROR(V166*H166/G166,0)</f>
        <v>0</v>
      </c>
      <c r="BQ166" s="77">
        <f>IFERROR(1/I166*(U166/G166),0)</f>
        <v>0</v>
      </c>
      <c r="BR166" s="77">
        <f>IFERROR(1/I166*(V166/G166),0)</f>
        <v>0</v>
      </c>
      <c r="BS166" s="77">
        <f>IFERROR(W166*H166/G166,0)</f>
        <v>0</v>
      </c>
      <c r="BT166" s="77">
        <f>IFERROR(X166*H166/G166,0)</f>
        <v>0</v>
      </c>
      <c r="BU166" s="77">
        <f>IFERROR(1/I166*(W166/G166),0)</f>
        <v>0</v>
      </c>
      <c r="BV166" s="77">
        <f>IFERROR(1/I166*(X166/G166),0)</f>
        <v>0</v>
      </c>
      <c r="BW166" s="77">
        <f>IFERROR(Y166*H166/G166,0)</f>
        <v>0</v>
      </c>
      <c r="BX166" s="77">
        <f>IFERROR(Z166*H166/G166,0)</f>
        <v>0</v>
      </c>
      <c r="BY166" s="77">
        <f>IFERROR(1/I166*(Y166/G166),0)</f>
        <v>0</v>
      </c>
      <c r="BZ166" s="77">
        <f>IFERROR(1/I166*(Z166/G166),0)</f>
        <v>0</v>
      </c>
      <c r="CA166" s="77">
        <f>IFERROR(AA166*H166/G166,0)</f>
        <v>0</v>
      </c>
      <c r="CB166" s="77">
        <f>IFERROR(AB166*H166/G166,0)</f>
        <v>0</v>
      </c>
      <c r="CC166" s="77">
        <f>IFERROR(1/I166*(AA166/G166),0)</f>
        <v>0</v>
      </c>
      <c r="CD166" s="77">
        <f>IFERROR(1/I166*(AB166/G166),0)</f>
        <v>0</v>
      </c>
    </row>
    <row r="167" spans="1:82" hidden="1" x14ac:dyDescent="0.2">
      <c r="A167" s="79" t="s">
        <v>270</v>
      </c>
      <c r="B167" s="80" t="s">
        <v>271</v>
      </c>
      <c r="C167" s="80">
        <v>4301011316</v>
      </c>
      <c r="D167" s="80">
        <v>4607091387438</v>
      </c>
      <c r="E167" s="81">
        <v>0.5</v>
      </c>
      <c r="F167" s="82">
        <v>10</v>
      </c>
      <c r="G167" s="81">
        <v>5</v>
      </c>
      <c r="H167" s="81">
        <v>5.21</v>
      </c>
      <c r="I167" s="83">
        <v>132</v>
      </c>
      <c r="J167" s="83" t="s">
        <v>100</v>
      </c>
      <c r="K167" s="84" t="s">
        <v>106</v>
      </c>
      <c r="L167" s="84"/>
      <c r="M167" s="423">
        <v>55</v>
      </c>
      <c r="N167" s="423"/>
      <c r="O167" s="533" t="str">
        <f>HYPERLINK("https://abi.ru/products/Охлажденные/Стародворье/Филедворская по-стародворски/Вареные колбасы/P001794/","Вареные колбасы Докторская По-стародворски Фирменная Фикс.вес 0,5 П/а Стародворье")</f>
        <v>Вареные колбасы Докторская По-стародворски Фирменная Фикс.вес 0,5 П/а Стародворье</v>
      </c>
      <c r="P167" s="425"/>
      <c r="Q167" s="425"/>
      <c r="R167" s="425"/>
      <c r="S167" s="425"/>
      <c r="T167" s="85" t="s">
        <v>0</v>
      </c>
      <c r="U167" s="65">
        <v>0</v>
      </c>
      <c r="V167" s="66">
        <f>IFERROR(IF(U167="",0,CEILING((U167/$G167),1)*$G167),"")</f>
        <v>0</v>
      </c>
      <c r="W167" s="65">
        <v>0</v>
      </c>
      <c r="X167" s="66">
        <f>IFERROR(IF(W167="",0,CEILING((W167/$G167),1)*$G167),"")</f>
        <v>0</v>
      </c>
      <c r="Y167" s="65">
        <v>0</v>
      </c>
      <c r="Z167" s="66">
        <f>IFERROR(IF(Y167="",0,CEILING((Y167/$G167),1)*$G167),"")</f>
        <v>0</v>
      </c>
      <c r="AA167" s="65">
        <v>0</v>
      </c>
      <c r="AB167" s="66">
        <f>IFERROR(IF(AA167="",0,CEILING((AA167/$G167),1)*$G167),"")</f>
        <v>0</v>
      </c>
      <c r="AC167" s="67" t="str">
        <f>IF(IFERROR(ROUNDUP(V167/G167,0)*0.00902,0)+IFERROR(ROUNDUP(X167/G167,0)*0.00902,0)+IFERROR(ROUNDUP(Z167/G167,0)*0.00902,0)+IFERROR(ROUNDUP(AB167/G167,0)*0.00902,0)=0,"",IFERROR(ROUNDUP(V167/G167,0)*0.00902,0)+IFERROR(ROUNDUP(X167/G167,0)*0.00902,0)+IFERROR(ROUNDUP(Z167/G167,0)*0.00902,0)+IFERROR(ROUNDUP(AB167/G167,0)*0.00902,0))</f>
        <v/>
      </c>
      <c r="AD167" s="79" t="s">
        <v>57</v>
      </c>
      <c r="AE167" s="79" t="s">
        <v>57</v>
      </c>
      <c r="AF167" s="219" t="s">
        <v>272</v>
      </c>
      <c r="AG167" s="2"/>
      <c r="AH167" s="2"/>
      <c r="AI167" s="2"/>
      <c r="AJ167" s="2"/>
      <c r="AK167" s="2"/>
      <c r="AL167" s="61"/>
      <c r="AM167" s="61"/>
      <c r="AN167" s="61"/>
      <c r="AO167" s="2"/>
      <c r="AP167" s="2"/>
      <c r="AQ167" s="2"/>
      <c r="AR167" s="2"/>
      <c r="AS167" s="2"/>
      <c r="AT167" s="2"/>
      <c r="AU167" s="20"/>
      <c r="AV167" s="20"/>
      <c r="AW167" s="21"/>
      <c r="BB167" s="218" t="s">
        <v>65</v>
      </c>
      <c r="BO167" s="77">
        <f>IFERROR(U167*H167/G167,0)</f>
        <v>0</v>
      </c>
      <c r="BP167" s="77">
        <f>IFERROR(V167*H167/G167,0)</f>
        <v>0</v>
      </c>
      <c r="BQ167" s="77">
        <f>IFERROR(1/I167*(U167/G167),0)</f>
        <v>0</v>
      </c>
      <c r="BR167" s="77">
        <f>IFERROR(1/I167*(V167/G167),0)</f>
        <v>0</v>
      </c>
      <c r="BS167" s="77">
        <f>IFERROR(W167*H167/G167,0)</f>
        <v>0</v>
      </c>
      <c r="BT167" s="77">
        <f>IFERROR(X167*H167/G167,0)</f>
        <v>0</v>
      </c>
      <c r="BU167" s="77">
        <f>IFERROR(1/I167*(W167/G167),0)</f>
        <v>0</v>
      </c>
      <c r="BV167" s="77">
        <f>IFERROR(1/I167*(X167/G167),0)</f>
        <v>0</v>
      </c>
      <c r="BW167" s="77">
        <f>IFERROR(Y167*H167/G167,0)</f>
        <v>0</v>
      </c>
      <c r="BX167" s="77">
        <f>IFERROR(Z167*H167/G167,0)</f>
        <v>0</v>
      </c>
      <c r="BY167" s="77">
        <f>IFERROR(1/I167*(Y167/G167),0)</f>
        <v>0</v>
      </c>
      <c r="BZ167" s="77">
        <f>IFERROR(1/I167*(Z167/G167),0)</f>
        <v>0</v>
      </c>
      <c r="CA167" s="77">
        <f>IFERROR(AA167*H167/G167,0)</f>
        <v>0</v>
      </c>
      <c r="CB167" s="77">
        <f>IFERROR(AB167*H167/G167,0)</f>
        <v>0</v>
      </c>
      <c r="CC167" s="77">
        <f>IFERROR(1/I167*(AA167/G167),0)</f>
        <v>0</v>
      </c>
      <c r="CD167" s="77">
        <f>IFERROR(1/I167*(AB167/G167),0)</f>
        <v>0</v>
      </c>
    </row>
    <row r="168" spans="1:82" hidden="1" x14ac:dyDescent="0.2">
      <c r="A168" s="420"/>
      <c r="B168" s="420"/>
      <c r="C168" s="420"/>
      <c r="D168" s="420"/>
      <c r="E168" s="420"/>
      <c r="F168" s="420"/>
      <c r="G168" s="420"/>
      <c r="H168" s="420"/>
      <c r="I168" s="420"/>
      <c r="J168" s="420"/>
      <c r="K168" s="420"/>
      <c r="L168" s="420"/>
      <c r="M168" s="420"/>
      <c r="N168" s="420"/>
      <c r="O168" s="426" t="s">
        <v>43</v>
      </c>
      <c r="P168" s="427"/>
      <c r="Q168" s="427"/>
      <c r="R168" s="427"/>
      <c r="S168" s="427"/>
      <c r="T168" s="39" t="s">
        <v>42</v>
      </c>
      <c r="U168" s="50">
        <f>IFERROR(U165/G165,0)+IFERROR(U166/G166,0)+IFERROR(U167/G167,0)</f>
        <v>0</v>
      </c>
      <c r="V168" s="50">
        <f>IFERROR(V165/G165,0)+IFERROR(V166/G166,0)+IFERROR(V167/G167,0)</f>
        <v>0</v>
      </c>
      <c r="W168" s="50">
        <f>IFERROR(W165/G165,0)+IFERROR(W166/G166,0)+IFERROR(W167/G167,0)</f>
        <v>0</v>
      </c>
      <c r="X168" s="50">
        <f>IFERROR(X165/G165,0)+IFERROR(X166/G166,0)+IFERROR(X167/G167,0)</f>
        <v>0</v>
      </c>
      <c r="Y168" s="50">
        <f>IFERROR(Y165/G165,0)+IFERROR(Y166/G166,0)+IFERROR(Y167/G167,0)</f>
        <v>0</v>
      </c>
      <c r="Z168" s="50">
        <f>IFERROR(Z165/G165,0)+IFERROR(Z166/G166,0)+IFERROR(Z167/G167,0)</f>
        <v>0</v>
      </c>
      <c r="AA168" s="50">
        <f>IFERROR(AA165/G165,0)+IFERROR(AA166/G166,0)+IFERROR(AA167/G167,0)</f>
        <v>0</v>
      </c>
      <c r="AB168" s="50">
        <f>IFERROR(AB165/G165,0)+IFERROR(AB166/G166,0)+IFERROR(AB167/G167,0)</f>
        <v>0</v>
      </c>
      <c r="AC168" s="50">
        <f>IFERROR(IF(AC165="",0,AC165),0)+IFERROR(IF(AC166="",0,AC166),0)+IFERROR(IF(AC167="",0,AC167),0)</f>
        <v>0</v>
      </c>
      <c r="AD168" s="3"/>
      <c r="AE168" s="72"/>
      <c r="AF168" s="3"/>
      <c r="AG168" s="3"/>
      <c r="AH168" s="3"/>
      <c r="AI168" s="3"/>
      <c r="AJ168" s="3"/>
      <c r="AK168" s="3"/>
      <c r="AL168" s="62"/>
      <c r="AM168" s="62"/>
      <c r="AN168" s="62"/>
      <c r="AO168" s="3"/>
      <c r="AP168" s="3"/>
      <c r="AQ168" s="2"/>
      <c r="AR168" s="2"/>
      <c r="AS168" s="2"/>
      <c r="AT168" s="2"/>
      <c r="AU168" s="20"/>
      <c r="AV168" s="20"/>
      <c r="AW168" s="21"/>
    </row>
    <row r="169" spans="1:82" hidden="1" x14ac:dyDescent="0.2">
      <c r="A169" s="420"/>
      <c r="B169" s="420"/>
      <c r="C169" s="420"/>
      <c r="D169" s="420"/>
      <c r="E169" s="420"/>
      <c r="F169" s="420"/>
      <c r="G169" s="420"/>
      <c r="H169" s="420"/>
      <c r="I169" s="420"/>
      <c r="J169" s="420"/>
      <c r="K169" s="420"/>
      <c r="L169" s="420"/>
      <c r="M169" s="420"/>
      <c r="N169" s="420"/>
      <c r="O169" s="426" t="s">
        <v>43</v>
      </c>
      <c r="P169" s="427"/>
      <c r="Q169" s="427"/>
      <c r="R169" s="427"/>
      <c r="S169" s="427"/>
      <c r="T169" s="39" t="s">
        <v>0</v>
      </c>
      <c r="U169" s="102">
        <f t="shared" ref="U169:AB169" si="26">IFERROR(SUM(U165:U167),0)</f>
        <v>0</v>
      </c>
      <c r="V169" s="102">
        <f t="shared" si="26"/>
        <v>0</v>
      </c>
      <c r="W169" s="102">
        <f t="shared" si="26"/>
        <v>0</v>
      </c>
      <c r="X169" s="102">
        <f t="shared" si="26"/>
        <v>0</v>
      </c>
      <c r="Y169" s="102">
        <f t="shared" si="26"/>
        <v>0</v>
      </c>
      <c r="Z169" s="102">
        <f t="shared" si="26"/>
        <v>0</v>
      </c>
      <c r="AA169" s="102">
        <f t="shared" si="26"/>
        <v>0</v>
      </c>
      <c r="AB169" s="102">
        <f t="shared" si="26"/>
        <v>0</v>
      </c>
      <c r="AC169" s="50" t="s">
        <v>57</v>
      </c>
      <c r="AD169" s="3"/>
      <c r="AE169" s="72"/>
      <c r="AF169" s="3"/>
      <c r="AG169" s="3"/>
      <c r="AH169" s="3"/>
      <c r="AI169" s="3"/>
      <c r="AJ169" s="3"/>
      <c r="AK169" s="3"/>
      <c r="AL169" s="62"/>
      <c r="AM169" s="62"/>
      <c r="AN169" s="62"/>
      <c r="AO169" s="3"/>
      <c r="AP169" s="3"/>
      <c r="AQ169" s="2"/>
      <c r="AR169" s="2"/>
      <c r="AS169" s="2"/>
      <c r="AT169" s="2"/>
      <c r="AU169" s="20"/>
      <c r="AV169" s="20"/>
      <c r="AW169" s="21"/>
    </row>
    <row r="170" spans="1:82" ht="15" hidden="1" x14ac:dyDescent="0.25">
      <c r="A170" s="443" t="s">
        <v>273</v>
      </c>
      <c r="B170" s="430"/>
      <c r="C170" s="430"/>
      <c r="D170" s="430"/>
      <c r="E170" s="430"/>
      <c r="F170" s="430"/>
      <c r="G170" s="430"/>
      <c r="H170" s="430"/>
      <c r="I170" s="430"/>
      <c r="J170" s="430"/>
      <c r="K170" s="430"/>
      <c r="L170" s="430"/>
      <c r="M170" s="430"/>
      <c r="N170" s="430"/>
      <c r="O170" s="430"/>
      <c r="P170" s="430"/>
      <c r="Q170" s="430"/>
      <c r="R170" s="430"/>
      <c r="S170" s="430"/>
      <c r="T170" s="430"/>
      <c r="U170" s="430"/>
      <c r="V170" s="430"/>
      <c r="W170" s="430"/>
      <c r="X170" s="430"/>
      <c r="Y170" s="430"/>
      <c r="Z170" s="430"/>
      <c r="AA170" s="431"/>
      <c r="AB170" s="431"/>
      <c r="AC170" s="431"/>
      <c r="AD170" s="431"/>
      <c r="AE170" s="432"/>
      <c r="AF170" s="444"/>
      <c r="AG170" s="2"/>
      <c r="AH170" s="2"/>
      <c r="AI170" s="2"/>
      <c r="AJ170" s="2"/>
      <c r="AK170" s="61"/>
      <c r="AL170" s="61"/>
      <c r="AM170" s="61"/>
      <c r="AN170" s="2"/>
      <c r="AO170" s="2"/>
      <c r="AP170" s="2"/>
      <c r="AQ170" s="2"/>
      <c r="AR170" s="2"/>
    </row>
    <row r="171" spans="1:82" ht="15" hidden="1" x14ac:dyDescent="0.25">
      <c r="A171" s="428" t="s">
        <v>82</v>
      </c>
      <c r="B171" s="429"/>
      <c r="C171" s="429"/>
      <c r="D171" s="429"/>
      <c r="E171" s="429"/>
      <c r="F171" s="429"/>
      <c r="G171" s="429"/>
      <c r="H171" s="429"/>
      <c r="I171" s="429"/>
      <c r="J171" s="429"/>
      <c r="K171" s="429"/>
      <c r="L171" s="429"/>
      <c r="M171" s="429"/>
      <c r="N171" s="429"/>
      <c r="O171" s="429"/>
      <c r="P171" s="429"/>
      <c r="Q171" s="429"/>
      <c r="R171" s="429"/>
      <c r="S171" s="429"/>
      <c r="T171" s="429"/>
      <c r="U171" s="429"/>
      <c r="V171" s="429"/>
      <c r="W171" s="429"/>
      <c r="X171" s="430"/>
      <c r="Y171" s="430"/>
      <c r="Z171" s="430"/>
      <c r="AA171" s="431"/>
      <c r="AB171" s="431"/>
      <c r="AC171" s="431"/>
      <c r="AD171" s="431"/>
      <c r="AE171" s="432"/>
      <c r="AF171" s="433"/>
      <c r="AG171" s="2"/>
      <c r="AH171" s="2"/>
      <c r="AI171" s="2"/>
      <c r="AJ171" s="2"/>
      <c r="AK171" s="61"/>
      <c r="AL171" s="61"/>
      <c r="AM171" s="61"/>
      <c r="AN171" s="2"/>
      <c r="AO171" s="2"/>
      <c r="AP171" s="2"/>
      <c r="AQ171" s="2"/>
      <c r="AR171" s="2"/>
    </row>
    <row r="172" spans="1:82" hidden="1" x14ac:dyDescent="0.2">
      <c r="A172" s="79" t="s">
        <v>274</v>
      </c>
      <c r="B172" s="80" t="s">
        <v>275</v>
      </c>
      <c r="C172" s="80">
        <v>4301051940</v>
      </c>
      <c r="D172" s="80">
        <v>4680115881037</v>
      </c>
      <c r="E172" s="81">
        <v>0.84</v>
      </c>
      <c r="F172" s="82">
        <v>4</v>
      </c>
      <c r="G172" s="81">
        <v>3.36</v>
      </c>
      <c r="H172" s="81">
        <v>3.6179999999999999</v>
      </c>
      <c r="I172" s="83">
        <v>132</v>
      </c>
      <c r="J172" s="83" t="s">
        <v>100</v>
      </c>
      <c r="K172" s="84" t="s">
        <v>85</v>
      </c>
      <c r="L172" s="84"/>
      <c r="M172" s="423">
        <v>40</v>
      </c>
      <c r="N172" s="423"/>
      <c r="O172" s="52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P172" s="425"/>
      <c r="Q172" s="425"/>
      <c r="R172" s="425"/>
      <c r="S172" s="425"/>
      <c r="T172" s="85" t="s">
        <v>0</v>
      </c>
      <c r="U172" s="65">
        <v>0</v>
      </c>
      <c r="V172" s="66">
        <f t="shared" ref="V172:V177" si="27">IFERROR(IF(U172="",0,CEILING((U172/$G172),1)*$G172),"")</f>
        <v>0</v>
      </c>
      <c r="W172" s="65">
        <v>0</v>
      </c>
      <c r="X172" s="66">
        <f t="shared" ref="X172:X177" si="28">IFERROR(IF(W172="",0,CEILING((W172/$G172),1)*$G172),"")</f>
        <v>0</v>
      </c>
      <c r="Y172" s="65">
        <v>0</v>
      </c>
      <c r="Z172" s="66">
        <f t="shared" ref="Z172:Z177" si="29">IFERROR(IF(Y172="",0,CEILING((Y172/$G172),1)*$G172),"")</f>
        <v>0</v>
      </c>
      <c r="AA172" s="65">
        <v>0</v>
      </c>
      <c r="AB172" s="66">
        <f t="shared" ref="AB172:AB177" si="30">IFERROR(IF(AA172="",0,CEILING((AA172/$G172),1)*$G172),"")</f>
        <v>0</v>
      </c>
      <c r="AC172" s="67" t="str">
        <f>IF(IFERROR(ROUNDUP(V172/G172,0)*0.00902,0)+IFERROR(ROUNDUP(X172/G172,0)*0.00902,0)+IFERROR(ROUNDUP(Z172/G172,0)*0.00902,0)+IFERROR(ROUNDUP(AB172/G172,0)*0.00902,0)=0,"",IFERROR(ROUNDUP(V172/G172,0)*0.00902,0)+IFERROR(ROUNDUP(X172/G172,0)*0.00902,0)+IFERROR(ROUNDUP(Z172/G172,0)*0.00902,0)+IFERROR(ROUNDUP(AB172/G172,0)*0.00902,0))</f>
        <v/>
      </c>
      <c r="AD172" s="79" t="s">
        <v>57</v>
      </c>
      <c r="AE172" s="79" t="s">
        <v>57</v>
      </c>
      <c r="AF172" s="221" t="s">
        <v>276</v>
      </c>
      <c r="AG172" s="2"/>
      <c r="AH172" s="2"/>
      <c r="AI172" s="2"/>
      <c r="AJ172" s="2"/>
      <c r="AK172" s="2"/>
      <c r="AL172" s="61"/>
      <c r="AM172" s="61"/>
      <c r="AN172" s="61"/>
      <c r="AO172" s="2"/>
      <c r="AP172" s="2"/>
      <c r="AQ172" s="2"/>
      <c r="AR172" s="2"/>
      <c r="AS172" s="2"/>
      <c r="AT172" s="2"/>
      <c r="AU172" s="20"/>
      <c r="AV172" s="20"/>
      <c r="AW172" s="21"/>
      <c r="BB172" s="220" t="s">
        <v>65</v>
      </c>
      <c r="BO172" s="77">
        <f t="shared" ref="BO172:BO177" si="31">IFERROR(U172*H172/G172,0)</f>
        <v>0</v>
      </c>
      <c r="BP172" s="77">
        <f t="shared" ref="BP172:BP177" si="32">IFERROR(V172*H172/G172,0)</f>
        <v>0</v>
      </c>
      <c r="BQ172" s="77">
        <f t="shared" ref="BQ172:BQ177" si="33">IFERROR(1/I172*(U172/G172),0)</f>
        <v>0</v>
      </c>
      <c r="BR172" s="77">
        <f t="shared" ref="BR172:BR177" si="34">IFERROR(1/I172*(V172/G172),0)</f>
        <v>0</v>
      </c>
      <c r="BS172" s="77">
        <f t="shared" ref="BS172:BS177" si="35">IFERROR(W172*H172/G172,0)</f>
        <v>0</v>
      </c>
      <c r="BT172" s="77">
        <f t="shared" ref="BT172:BT177" si="36">IFERROR(X172*H172/G172,0)</f>
        <v>0</v>
      </c>
      <c r="BU172" s="77">
        <f t="shared" ref="BU172:BU177" si="37">IFERROR(1/I172*(W172/G172),0)</f>
        <v>0</v>
      </c>
      <c r="BV172" s="77">
        <f t="shared" ref="BV172:BV177" si="38">IFERROR(1/I172*(X172/G172),0)</f>
        <v>0</v>
      </c>
      <c r="BW172" s="77">
        <f t="shared" ref="BW172:BW177" si="39">IFERROR(Y172*H172/G172,0)</f>
        <v>0</v>
      </c>
      <c r="BX172" s="77">
        <f t="shared" ref="BX172:BX177" si="40">IFERROR(Z172*H172/G172,0)</f>
        <v>0</v>
      </c>
      <c r="BY172" s="77">
        <f t="shared" ref="BY172:BY177" si="41">IFERROR(1/I172*(Y172/G172),0)</f>
        <v>0</v>
      </c>
      <c r="BZ172" s="77">
        <f t="shared" ref="BZ172:BZ177" si="42">IFERROR(1/I172*(Z172/G172),0)</f>
        <v>0</v>
      </c>
      <c r="CA172" s="77">
        <f t="shared" ref="CA172:CA177" si="43">IFERROR(AA172*H172/G172,0)</f>
        <v>0</v>
      </c>
      <c r="CB172" s="77">
        <f t="shared" ref="CB172:CB177" si="44">IFERROR(AB172*H172/G172,0)</f>
        <v>0</v>
      </c>
      <c r="CC172" s="77">
        <f t="shared" ref="CC172:CC177" si="45">IFERROR(1/I172*(AA172/G172),0)</f>
        <v>0</v>
      </c>
      <c r="CD172" s="77">
        <f t="shared" ref="CD172:CD177" si="46">IFERROR(1/I172*(AB172/G172),0)</f>
        <v>0</v>
      </c>
    </row>
    <row r="173" spans="1:82" ht="22.5" hidden="1" x14ac:dyDescent="0.2">
      <c r="A173" s="79" t="s">
        <v>277</v>
      </c>
      <c r="B173" s="80" t="s">
        <v>278</v>
      </c>
      <c r="C173" s="80">
        <v>4301051893</v>
      </c>
      <c r="D173" s="80">
        <v>4680115886186</v>
      </c>
      <c r="E173" s="81">
        <v>0.3</v>
      </c>
      <c r="F173" s="82">
        <v>6</v>
      </c>
      <c r="G173" s="81">
        <v>1.8</v>
      </c>
      <c r="H173" s="81">
        <v>1.98</v>
      </c>
      <c r="I173" s="83">
        <v>182</v>
      </c>
      <c r="J173" s="83" t="s">
        <v>86</v>
      </c>
      <c r="K173" s="84" t="s">
        <v>99</v>
      </c>
      <c r="L173" s="84"/>
      <c r="M173" s="423">
        <v>45</v>
      </c>
      <c r="N173" s="423"/>
      <c r="O173" s="5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P173" s="425"/>
      <c r="Q173" s="425"/>
      <c r="R173" s="425"/>
      <c r="S173" s="425"/>
      <c r="T173" s="85" t="s">
        <v>0</v>
      </c>
      <c r="U173" s="65">
        <v>0</v>
      </c>
      <c r="V173" s="66">
        <f t="shared" si="27"/>
        <v>0</v>
      </c>
      <c r="W173" s="65">
        <v>0</v>
      </c>
      <c r="X173" s="66">
        <f t="shared" si="28"/>
        <v>0</v>
      </c>
      <c r="Y173" s="65">
        <v>0</v>
      </c>
      <c r="Z173" s="66">
        <f t="shared" si="29"/>
        <v>0</v>
      </c>
      <c r="AA173" s="65">
        <v>0</v>
      </c>
      <c r="AB173" s="66">
        <f t="shared" si="30"/>
        <v>0</v>
      </c>
      <c r="AC173" s="67" t="str">
        <f>IF(IFERROR(ROUNDUP(V173/G173,0)*0.00651,0)+IFERROR(ROUNDUP(X173/G173,0)*0.00651,0)+IFERROR(ROUNDUP(Z173/G173,0)*0.00651,0)+IFERROR(ROUNDUP(AB173/G173,0)*0.00651,0)=0,"",IFERROR(ROUNDUP(V173/G173,0)*0.00651,0)+IFERROR(ROUNDUP(X173/G173,0)*0.00651,0)+IFERROR(ROUNDUP(Z173/G173,0)*0.00651,0)+IFERROR(ROUNDUP(AB173/G173,0)*0.00651,0))</f>
        <v/>
      </c>
      <c r="AD173" s="79" t="s">
        <v>57</v>
      </c>
      <c r="AE173" s="79" t="s">
        <v>57</v>
      </c>
      <c r="AF173" s="223" t="s">
        <v>279</v>
      </c>
      <c r="AG173" s="2"/>
      <c r="AH173" s="2"/>
      <c r="AI173" s="2"/>
      <c r="AJ173" s="2"/>
      <c r="AK173" s="2"/>
      <c r="AL173" s="61"/>
      <c r="AM173" s="61"/>
      <c r="AN173" s="61"/>
      <c r="AO173" s="2"/>
      <c r="AP173" s="2"/>
      <c r="AQ173" s="2"/>
      <c r="AR173" s="2"/>
      <c r="AS173" s="2"/>
      <c r="AT173" s="2"/>
      <c r="AU173" s="20"/>
      <c r="AV173" s="20"/>
      <c r="AW173" s="21"/>
      <c r="BB173" s="222" t="s">
        <v>65</v>
      </c>
      <c r="BO173" s="77">
        <f t="shared" si="31"/>
        <v>0</v>
      </c>
      <c r="BP173" s="77">
        <f t="shared" si="32"/>
        <v>0</v>
      </c>
      <c r="BQ173" s="77">
        <f t="shared" si="33"/>
        <v>0</v>
      </c>
      <c r="BR173" s="77">
        <f t="shared" si="34"/>
        <v>0</v>
      </c>
      <c r="BS173" s="77">
        <f t="shared" si="35"/>
        <v>0</v>
      </c>
      <c r="BT173" s="77">
        <f t="shared" si="36"/>
        <v>0</v>
      </c>
      <c r="BU173" s="77">
        <f t="shared" si="37"/>
        <v>0</v>
      </c>
      <c r="BV173" s="77">
        <f t="shared" si="38"/>
        <v>0</v>
      </c>
      <c r="BW173" s="77">
        <f t="shared" si="39"/>
        <v>0</v>
      </c>
      <c r="BX173" s="77">
        <f t="shared" si="40"/>
        <v>0</v>
      </c>
      <c r="BY173" s="77">
        <f t="shared" si="41"/>
        <v>0</v>
      </c>
      <c r="BZ173" s="77">
        <f t="shared" si="42"/>
        <v>0</v>
      </c>
      <c r="CA173" s="77">
        <f t="shared" si="43"/>
        <v>0</v>
      </c>
      <c r="CB173" s="77">
        <f t="shared" si="44"/>
        <v>0</v>
      </c>
      <c r="CC173" s="77">
        <f t="shared" si="45"/>
        <v>0</v>
      </c>
      <c r="CD173" s="77">
        <f t="shared" si="46"/>
        <v>0</v>
      </c>
    </row>
    <row r="174" spans="1:82" hidden="1" x14ac:dyDescent="0.2">
      <c r="A174" s="79" t="s">
        <v>280</v>
      </c>
      <c r="B174" s="80" t="s">
        <v>281</v>
      </c>
      <c r="C174" s="80">
        <v>4301051795</v>
      </c>
      <c r="D174" s="80">
        <v>4680115881228</v>
      </c>
      <c r="E174" s="81">
        <v>0.4</v>
      </c>
      <c r="F174" s="82">
        <v>6</v>
      </c>
      <c r="G174" s="81">
        <v>2.4</v>
      </c>
      <c r="H174" s="81">
        <v>2.6520000000000001</v>
      </c>
      <c r="I174" s="83">
        <v>182</v>
      </c>
      <c r="J174" s="83" t="s">
        <v>86</v>
      </c>
      <c r="K174" s="84" t="s">
        <v>85</v>
      </c>
      <c r="L174" s="84"/>
      <c r="M174" s="423">
        <v>40</v>
      </c>
      <c r="N174" s="423"/>
      <c r="O174" s="52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P174" s="425"/>
      <c r="Q174" s="425"/>
      <c r="R174" s="425"/>
      <c r="S174" s="425"/>
      <c r="T174" s="85" t="s">
        <v>0</v>
      </c>
      <c r="U174" s="65">
        <v>0</v>
      </c>
      <c r="V174" s="66">
        <f t="shared" si="27"/>
        <v>0</v>
      </c>
      <c r="W174" s="65">
        <v>0</v>
      </c>
      <c r="X174" s="66">
        <f t="shared" si="28"/>
        <v>0</v>
      </c>
      <c r="Y174" s="65">
        <v>0</v>
      </c>
      <c r="Z174" s="66">
        <f t="shared" si="29"/>
        <v>0</v>
      </c>
      <c r="AA174" s="65">
        <v>0</v>
      </c>
      <c r="AB174" s="66">
        <f t="shared" si="30"/>
        <v>0</v>
      </c>
      <c r="AC174" s="67" t="str">
        <f>IF(IFERROR(ROUNDUP(V174/G174,0)*0.00651,0)+IFERROR(ROUNDUP(X174/G174,0)*0.00651,0)+IFERROR(ROUNDUP(Z174/G174,0)*0.00651,0)+IFERROR(ROUNDUP(AB174/G174,0)*0.00651,0)=0,"",IFERROR(ROUNDUP(V174/G174,0)*0.00651,0)+IFERROR(ROUNDUP(X174/G174,0)*0.00651,0)+IFERROR(ROUNDUP(Z174/G174,0)*0.00651,0)+IFERROR(ROUNDUP(AB174/G174,0)*0.00651,0))</f>
        <v/>
      </c>
      <c r="AD174" s="79" t="s">
        <v>57</v>
      </c>
      <c r="AE174" s="79" t="s">
        <v>57</v>
      </c>
      <c r="AF174" s="225" t="s">
        <v>276</v>
      </c>
      <c r="AG174" s="2"/>
      <c r="AH174" s="2"/>
      <c r="AI174" s="2"/>
      <c r="AJ174" s="2"/>
      <c r="AK174" s="2"/>
      <c r="AL174" s="61"/>
      <c r="AM174" s="61"/>
      <c r="AN174" s="61"/>
      <c r="AO174" s="2"/>
      <c r="AP174" s="2"/>
      <c r="AQ174" s="2"/>
      <c r="AR174" s="2"/>
      <c r="AS174" s="2"/>
      <c r="AT174" s="2"/>
      <c r="AU174" s="20"/>
      <c r="AV174" s="20"/>
      <c r="AW174" s="21"/>
      <c r="BB174" s="224" t="s">
        <v>65</v>
      </c>
      <c r="BO174" s="77">
        <f t="shared" si="31"/>
        <v>0</v>
      </c>
      <c r="BP174" s="77">
        <f t="shared" si="32"/>
        <v>0</v>
      </c>
      <c r="BQ174" s="77">
        <f t="shared" si="33"/>
        <v>0</v>
      </c>
      <c r="BR174" s="77">
        <f t="shared" si="34"/>
        <v>0</v>
      </c>
      <c r="BS174" s="77">
        <f t="shared" si="35"/>
        <v>0</v>
      </c>
      <c r="BT174" s="77">
        <f t="shared" si="36"/>
        <v>0</v>
      </c>
      <c r="BU174" s="77">
        <f t="shared" si="37"/>
        <v>0</v>
      </c>
      <c r="BV174" s="77">
        <f t="shared" si="38"/>
        <v>0</v>
      </c>
      <c r="BW174" s="77">
        <f t="shared" si="39"/>
        <v>0</v>
      </c>
      <c r="BX174" s="77">
        <f t="shared" si="40"/>
        <v>0</v>
      </c>
      <c r="BY174" s="77">
        <f t="shared" si="41"/>
        <v>0</v>
      </c>
      <c r="BZ174" s="77">
        <f t="shared" si="42"/>
        <v>0</v>
      </c>
      <c r="CA174" s="77">
        <f t="shared" si="43"/>
        <v>0</v>
      </c>
      <c r="CB174" s="77">
        <f t="shared" si="44"/>
        <v>0</v>
      </c>
      <c r="CC174" s="77">
        <f t="shared" si="45"/>
        <v>0</v>
      </c>
      <c r="CD174" s="77">
        <f t="shared" si="46"/>
        <v>0</v>
      </c>
    </row>
    <row r="175" spans="1:82" ht="33.75" hidden="1" x14ac:dyDescent="0.2">
      <c r="A175" s="79" t="s">
        <v>282</v>
      </c>
      <c r="B175" s="80" t="s">
        <v>283</v>
      </c>
      <c r="C175" s="80">
        <v>4301051388</v>
      </c>
      <c r="D175" s="80">
        <v>4680115881211</v>
      </c>
      <c r="E175" s="81">
        <v>0.4</v>
      </c>
      <c r="F175" s="82">
        <v>6</v>
      </c>
      <c r="G175" s="81">
        <v>2.4</v>
      </c>
      <c r="H175" s="81">
        <v>2.58</v>
      </c>
      <c r="I175" s="83">
        <v>182</v>
      </c>
      <c r="J175" s="83" t="s">
        <v>86</v>
      </c>
      <c r="K175" s="84" t="s">
        <v>99</v>
      </c>
      <c r="L175" s="84"/>
      <c r="M175" s="423">
        <v>45</v>
      </c>
      <c r="N175" s="423"/>
      <c r="O175" s="5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P175" s="425"/>
      <c r="Q175" s="425"/>
      <c r="R175" s="425"/>
      <c r="S175" s="425"/>
      <c r="T175" s="85" t="s">
        <v>0</v>
      </c>
      <c r="U175" s="65">
        <v>0</v>
      </c>
      <c r="V175" s="66">
        <f t="shared" si="27"/>
        <v>0</v>
      </c>
      <c r="W175" s="65">
        <v>0</v>
      </c>
      <c r="X175" s="66">
        <f t="shared" si="28"/>
        <v>0</v>
      </c>
      <c r="Y175" s="65">
        <v>0</v>
      </c>
      <c r="Z175" s="66">
        <f t="shared" si="29"/>
        <v>0</v>
      </c>
      <c r="AA175" s="65">
        <v>0</v>
      </c>
      <c r="AB175" s="66">
        <f t="shared" si="30"/>
        <v>0</v>
      </c>
      <c r="AC175" s="67" t="str">
        <f>IF(IFERROR(ROUNDUP(V175/G175,0)*0.00651,0)+IFERROR(ROUNDUP(X175/G175,0)*0.00651,0)+IFERROR(ROUNDUP(Z175/G175,0)*0.00651,0)+IFERROR(ROUNDUP(AB175/G175,0)*0.00651,0)=0,"",IFERROR(ROUNDUP(V175/G175,0)*0.00651,0)+IFERROR(ROUNDUP(X175/G175,0)*0.00651,0)+IFERROR(ROUNDUP(Z175/G175,0)*0.00651,0)+IFERROR(ROUNDUP(AB175/G175,0)*0.00651,0))</f>
        <v/>
      </c>
      <c r="AD175" s="79" t="s">
        <v>57</v>
      </c>
      <c r="AE175" s="79" t="s">
        <v>57</v>
      </c>
      <c r="AF175" s="227" t="s">
        <v>284</v>
      </c>
      <c r="AG175" s="2"/>
      <c r="AH175" s="2"/>
      <c r="AI175" s="2"/>
      <c r="AJ175" s="2"/>
      <c r="AK175" s="2"/>
      <c r="AL175" s="61"/>
      <c r="AM175" s="61"/>
      <c r="AN175" s="61"/>
      <c r="AO175" s="2"/>
      <c r="AP175" s="2"/>
      <c r="AQ175" s="2"/>
      <c r="AR175" s="2"/>
      <c r="AS175" s="2"/>
      <c r="AT175" s="2"/>
      <c r="AU175" s="20"/>
      <c r="AV175" s="20"/>
      <c r="AW175" s="21"/>
      <c r="BB175" s="226" t="s">
        <v>65</v>
      </c>
      <c r="BO175" s="77">
        <f t="shared" si="31"/>
        <v>0</v>
      </c>
      <c r="BP175" s="77">
        <f t="shared" si="32"/>
        <v>0</v>
      </c>
      <c r="BQ175" s="77">
        <f t="shared" si="33"/>
        <v>0</v>
      </c>
      <c r="BR175" s="77">
        <f t="shared" si="34"/>
        <v>0</v>
      </c>
      <c r="BS175" s="77">
        <f t="shared" si="35"/>
        <v>0</v>
      </c>
      <c r="BT175" s="77">
        <f t="shared" si="36"/>
        <v>0</v>
      </c>
      <c r="BU175" s="77">
        <f t="shared" si="37"/>
        <v>0</v>
      </c>
      <c r="BV175" s="77">
        <f t="shared" si="38"/>
        <v>0</v>
      </c>
      <c r="BW175" s="77">
        <f t="shared" si="39"/>
        <v>0</v>
      </c>
      <c r="BX175" s="77">
        <f t="shared" si="40"/>
        <v>0</v>
      </c>
      <c r="BY175" s="77">
        <f t="shared" si="41"/>
        <v>0</v>
      </c>
      <c r="BZ175" s="77">
        <f t="shared" si="42"/>
        <v>0</v>
      </c>
      <c r="CA175" s="77">
        <f t="shared" si="43"/>
        <v>0</v>
      </c>
      <c r="CB175" s="77">
        <f t="shared" si="44"/>
        <v>0</v>
      </c>
      <c r="CC175" s="77">
        <f t="shared" si="45"/>
        <v>0</v>
      </c>
      <c r="CD175" s="77">
        <f t="shared" si="46"/>
        <v>0</v>
      </c>
    </row>
    <row r="176" spans="1:82" ht="33.75" hidden="1" x14ac:dyDescent="0.2">
      <c r="A176" s="79" t="s">
        <v>282</v>
      </c>
      <c r="B176" s="80" t="s">
        <v>283</v>
      </c>
      <c r="C176" s="80">
        <v>4301051576</v>
      </c>
      <c r="D176" s="80">
        <v>4680115881211</v>
      </c>
      <c r="E176" s="81">
        <v>0.4</v>
      </c>
      <c r="F176" s="82">
        <v>6</v>
      </c>
      <c r="G176" s="81">
        <v>2.4</v>
      </c>
      <c r="H176" s="81">
        <v>2.58</v>
      </c>
      <c r="I176" s="83">
        <v>182</v>
      </c>
      <c r="J176" s="83" t="s">
        <v>86</v>
      </c>
      <c r="K176" s="84" t="s">
        <v>85</v>
      </c>
      <c r="L176" s="84"/>
      <c r="M176" s="423">
        <v>45</v>
      </c>
      <c r="N176" s="423"/>
      <c r="O176" s="5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P176" s="425"/>
      <c r="Q176" s="425"/>
      <c r="R176" s="425"/>
      <c r="S176" s="425"/>
      <c r="T176" s="85" t="s">
        <v>0</v>
      </c>
      <c r="U176" s="65">
        <v>0</v>
      </c>
      <c r="V176" s="66">
        <f t="shared" si="27"/>
        <v>0</v>
      </c>
      <c r="W176" s="65">
        <v>0</v>
      </c>
      <c r="X176" s="66">
        <f t="shared" si="28"/>
        <v>0</v>
      </c>
      <c r="Y176" s="65">
        <v>0</v>
      </c>
      <c r="Z176" s="66">
        <f t="shared" si="29"/>
        <v>0</v>
      </c>
      <c r="AA176" s="65">
        <v>0</v>
      </c>
      <c r="AB176" s="66">
        <f t="shared" si="30"/>
        <v>0</v>
      </c>
      <c r="AC176" s="67" t="str">
        <f>IF(IFERROR(ROUNDUP(V176/G176,0)*0.00651,0)+IFERROR(ROUNDUP(X176/G176,0)*0.00651,0)+IFERROR(ROUNDUP(Z176/G176,0)*0.00651,0)+IFERROR(ROUNDUP(AB176/G176,0)*0.00651,0)=0,"",IFERROR(ROUNDUP(V176/G176,0)*0.00651,0)+IFERROR(ROUNDUP(X176/G176,0)*0.00651,0)+IFERROR(ROUNDUP(Z176/G176,0)*0.00651,0)+IFERROR(ROUNDUP(AB176/G176,0)*0.00651,0))</f>
        <v/>
      </c>
      <c r="AD176" s="79" t="s">
        <v>57</v>
      </c>
      <c r="AE176" s="79" t="s">
        <v>57</v>
      </c>
      <c r="AF176" s="229" t="s">
        <v>284</v>
      </c>
      <c r="AG176" s="2"/>
      <c r="AH176" s="2"/>
      <c r="AI176" s="2"/>
      <c r="AJ176" s="2"/>
      <c r="AK176" s="2"/>
      <c r="AL176" s="61"/>
      <c r="AM176" s="61"/>
      <c r="AN176" s="61"/>
      <c r="AO176" s="2"/>
      <c r="AP176" s="2"/>
      <c r="AQ176" s="2"/>
      <c r="AR176" s="2"/>
      <c r="AS176" s="2"/>
      <c r="AT176" s="2"/>
      <c r="AU176" s="20"/>
      <c r="AV176" s="20"/>
      <c r="AW176" s="21"/>
      <c r="BB176" s="228" t="s">
        <v>65</v>
      </c>
      <c r="BO176" s="77">
        <f t="shared" si="31"/>
        <v>0</v>
      </c>
      <c r="BP176" s="77">
        <f t="shared" si="32"/>
        <v>0</v>
      </c>
      <c r="BQ176" s="77">
        <f t="shared" si="33"/>
        <v>0</v>
      </c>
      <c r="BR176" s="77">
        <f t="shared" si="34"/>
        <v>0</v>
      </c>
      <c r="BS176" s="77">
        <f t="shared" si="35"/>
        <v>0</v>
      </c>
      <c r="BT176" s="77">
        <f t="shared" si="36"/>
        <v>0</v>
      </c>
      <c r="BU176" s="77">
        <f t="shared" si="37"/>
        <v>0</v>
      </c>
      <c r="BV176" s="77">
        <f t="shared" si="38"/>
        <v>0</v>
      </c>
      <c r="BW176" s="77">
        <f t="shared" si="39"/>
        <v>0</v>
      </c>
      <c r="BX176" s="77">
        <f t="shared" si="40"/>
        <v>0</v>
      </c>
      <c r="BY176" s="77">
        <f t="shared" si="41"/>
        <v>0</v>
      </c>
      <c r="BZ176" s="77">
        <f t="shared" si="42"/>
        <v>0</v>
      </c>
      <c r="CA176" s="77">
        <f t="shared" si="43"/>
        <v>0</v>
      </c>
      <c r="CB176" s="77">
        <f t="shared" si="44"/>
        <v>0</v>
      </c>
      <c r="CC176" s="77">
        <f t="shared" si="45"/>
        <v>0</v>
      </c>
      <c r="CD176" s="77">
        <f t="shared" si="46"/>
        <v>0</v>
      </c>
    </row>
    <row r="177" spans="1:82" ht="22.5" hidden="1" x14ac:dyDescent="0.2">
      <c r="A177" s="79" t="s">
        <v>285</v>
      </c>
      <c r="B177" s="80" t="s">
        <v>286</v>
      </c>
      <c r="C177" s="80">
        <v>4301051939</v>
      </c>
      <c r="D177" s="80">
        <v>4680115881020</v>
      </c>
      <c r="E177" s="81">
        <v>0.84</v>
      </c>
      <c r="F177" s="82">
        <v>4</v>
      </c>
      <c r="G177" s="81">
        <v>3.36</v>
      </c>
      <c r="H177" s="81">
        <v>3.57</v>
      </c>
      <c r="I177" s="83">
        <v>132</v>
      </c>
      <c r="J177" s="83" t="s">
        <v>100</v>
      </c>
      <c r="K177" s="84" t="s">
        <v>85</v>
      </c>
      <c r="L177" s="84"/>
      <c r="M177" s="423">
        <v>45</v>
      </c>
      <c r="N177" s="423"/>
      <c r="O177" s="52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P177" s="425"/>
      <c r="Q177" s="425"/>
      <c r="R177" s="425"/>
      <c r="S177" s="425"/>
      <c r="T177" s="85" t="s">
        <v>0</v>
      </c>
      <c r="U177" s="65">
        <v>0</v>
      </c>
      <c r="V177" s="66">
        <f t="shared" si="27"/>
        <v>0</v>
      </c>
      <c r="W177" s="65">
        <v>0</v>
      </c>
      <c r="X177" s="66">
        <f t="shared" si="28"/>
        <v>0</v>
      </c>
      <c r="Y177" s="65">
        <v>0</v>
      </c>
      <c r="Z177" s="66">
        <f t="shared" si="29"/>
        <v>0</v>
      </c>
      <c r="AA177" s="65">
        <v>0</v>
      </c>
      <c r="AB177" s="66">
        <f t="shared" si="30"/>
        <v>0</v>
      </c>
      <c r="AC177" s="67" t="str">
        <f>IF(IFERROR(ROUNDUP(V177/G177,0)*0.00902,0)+IFERROR(ROUNDUP(X177/G177,0)*0.00902,0)+IFERROR(ROUNDUP(Z177/G177,0)*0.00902,0)+IFERROR(ROUNDUP(AB177/G177,0)*0.00902,0)=0,"",IFERROR(ROUNDUP(V177/G177,0)*0.00902,0)+IFERROR(ROUNDUP(X177/G177,0)*0.00902,0)+IFERROR(ROUNDUP(Z177/G177,0)*0.00902,0)+IFERROR(ROUNDUP(AB177/G177,0)*0.00902,0))</f>
        <v/>
      </c>
      <c r="AD177" s="79" t="s">
        <v>57</v>
      </c>
      <c r="AE177" s="79" t="s">
        <v>57</v>
      </c>
      <c r="AF177" s="231" t="s">
        <v>279</v>
      </c>
      <c r="AG177" s="2"/>
      <c r="AH177" s="2"/>
      <c r="AI177" s="2"/>
      <c r="AJ177" s="2"/>
      <c r="AK177" s="2"/>
      <c r="AL177" s="61"/>
      <c r="AM177" s="61"/>
      <c r="AN177" s="61"/>
      <c r="AO177" s="2"/>
      <c r="AP177" s="2"/>
      <c r="AQ177" s="2"/>
      <c r="AR177" s="2"/>
      <c r="AS177" s="2"/>
      <c r="AT177" s="2"/>
      <c r="AU177" s="20"/>
      <c r="AV177" s="20"/>
      <c r="AW177" s="21"/>
      <c r="BB177" s="230" t="s">
        <v>65</v>
      </c>
      <c r="BO177" s="77">
        <f t="shared" si="31"/>
        <v>0</v>
      </c>
      <c r="BP177" s="77">
        <f t="shared" si="32"/>
        <v>0</v>
      </c>
      <c r="BQ177" s="77">
        <f t="shared" si="33"/>
        <v>0</v>
      </c>
      <c r="BR177" s="77">
        <f t="shared" si="34"/>
        <v>0</v>
      </c>
      <c r="BS177" s="77">
        <f t="shared" si="35"/>
        <v>0</v>
      </c>
      <c r="BT177" s="77">
        <f t="shared" si="36"/>
        <v>0</v>
      </c>
      <c r="BU177" s="77">
        <f t="shared" si="37"/>
        <v>0</v>
      </c>
      <c r="BV177" s="77">
        <f t="shared" si="38"/>
        <v>0</v>
      </c>
      <c r="BW177" s="77">
        <f t="shared" si="39"/>
        <v>0</v>
      </c>
      <c r="BX177" s="77">
        <f t="shared" si="40"/>
        <v>0</v>
      </c>
      <c r="BY177" s="77">
        <f t="shared" si="41"/>
        <v>0</v>
      </c>
      <c r="BZ177" s="77">
        <f t="shared" si="42"/>
        <v>0</v>
      </c>
      <c r="CA177" s="77">
        <f t="shared" si="43"/>
        <v>0</v>
      </c>
      <c r="CB177" s="77">
        <f t="shared" si="44"/>
        <v>0</v>
      </c>
      <c r="CC177" s="77">
        <f t="shared" si="45"/>
        <v>0</v>
      </c>
      <c r="CD177" s="77">
        <f t="shared" si="46"/>
        <v>0</v>
      </c>
    </row>
    <row r="178" spans="1:82" hidden="1" x14ac:dyDescent="0.2">
      <c r="A178" s="420"/>
      <c r="B178" s="420"/>
      <c r="C178" s="420"/>
      <c r="D178" s="420"/>
      <c r="E178" s="420"/>
      <c r="F178" s="420"/>
      <c r="G178" s="420"/>
      <c r="H178" s="420"/>
      <c r="I178" s="420"/>
      <c r="J178" s="420"/>
      <c r="K178" s="420"/>
      <c r="L178" s="420"/>
      <c r="M178" s="420"/>
      <c r="N178" s="420"/>
      <c r="O178" s="426" t="s">
        <v>43</v>
      </c>
      <c r="P178" s="427"/>
      <c r="Q178" s="427"/>
      <c r="R178" s="427"/>
      <c r="S178" s="427"/>
      <c r="T178" s="39" t="s">
        <v>42</v>
      </c>
      <c r="U178" s="50">
        <f>IFERROR(U172/G172,0)+IFERROR(U173/G173,0)+IFERROR(U174/G174,0)+IFERROR(U175/G175,0)+IFERROR(U176/G176,0)+IFERROR(U177/G177,0)</f>
        <v>0</v>
      </c>
      <c r="V178" s="50">
        <f>IFERROR(V172/G172,0)+IFERROR(V173/G173,0)+IFERROR(V174/G174,0)+IFERROR(V175/G175,0)+IFERROR(V176/G176,0)+IFERROR(V177/G177,0)</f>
        <v>0</v>
      </c>
      <c r="W178" s="50">
        <f>IFERROR(W172/G172,0)+IFERROR(W173/G173,0)+IFERROR(W174/G174,0)+IFERROR(W175/G175,0)+IFERROR(W176/G176,0)+IFERROR(W177/G177,0)</f>
        <v>0</v>
      </c>
      <c r="X178" s="50">
        <f>IFERROR(X172/G172,0)+IFERROR(X173/G173,0)+IFERROR(X174/G174,0)+IFERROR(X175/G175,0)+IFERROR(X176/G176,0)+IFERROR(X177/G177,0)</f>
        <v>0</v>
      </c>
      <c r="Y178" s="50">
        <f>IFERROR(Y172/G172,0)+IFERROR(Y173/G173,0)+IFERROR(Y174/G174,0)+IFERROR(Y175/G175,0)+IFERROR(Y176/G176,0)+IFERROR(Y177/G177,0)</f>
        <v>0</v>
      </c>
      <c r="Z178" s="50">
        <f>IFERROR(Z172/G172,0)+IFERROR(Z173/G173,0)+IFERROR(Z174/G174,0)+IFERROR(Z175/G175,0)+IFERROR(Z176/G176,0)+IFERROR(Z177/G177,0)</f>
        <v>0</v>
      </c>
      <c r="AA178" s="50">
        <f>IFERROR(AA172/G172,0)+IFERROR(AA173/G173,0)+IFERROR(AA174/G174,0)+IFERROR(AA175/G175,0)+IFERROR(AA176/G176,0)+IFERROR(AA177/G177,0)</f>
        <v>0</v>
      </c>
      <c r="AB178" s="50">
        <f>IFERROR(AB172/G172,0)+IFERROR(AB173/G173,0)+IFERROR(AB174/G174,0)+IFERROR(AB175/G175,0)+IFERROR(AB176/G176,0)+IFERROR(AB177/G177,0)</f>
        <v>0</v>
      </c>
      <c r="AC178" s="50">
        <f>IFERROR(IF(AC172="",0,AC172),0)+IFERROR(IF(AC173="",0,AC173),0)+IFERROR(IF(AC174="",0,AC174),0)+IFERROR(IF(AC175="",0,AC175),0)+IFERROR(IF(AC176="",0,AC176),0)+IFERROR(IF(AC177="",0,AC177),0)</f>
        <v>0</v>
      </c>
      <c r="AD178" s="3"/>
      <c r="AE178" s="72"/>
      <c r="AF178" s="3"/>
      <c r="AG178" s="3"/>
      <c r="AH178" s="3"/>
      <c r="AI178" s="3"/>
      <c r="AJ178" s="3"/>
      <c r="AK178" s="3"/>
      <c r="AL178" s="62"/>
      <c r="AM178" s="62"/>
      <c r="AN178" s="62"/>
      <c r="AO178" s="3"/>
      <c r="AP178" s="3"/>
      <c r="AQ178" s="2"/>
      <c r="AR178" s="2"/>
      <c r="AS178" s="2"/>
      <c r="AT178" s="2"/>
      <c r="AU178" s="20"/>
      <c r="AV178" s="20"/>
      <c r="AW178" s="21"/>
    </row>
    <row r="179" spans="1:82" hidden="1" x14ac:dyDescent="0.2">
      <c r="A179" s="420"/>
      <c r="B179" s="420"/>
      <c r="C179" s="420"/>
      <c r="D179" s="420"/>
      <c r="E179" s="420"/>
      <c r="F179" s="420"/>
      <c r="G179" s="420"/>
      <c r="H179" s="420"/>
      <c r="I179" s="420"/>
      <c r="J179" s="420"/>
      <c r="K179" s="420"/>
      <c r="L179" s="420"/>
      <c r="M179" s="420"/>
      <c r="N179" s="420"/>
      <c r="O179" s="426" t="s">
        <v>43</v>
      </c>
      <c r="P179" s="427"/>
      <c r="Q179" s="427"/>
      <c r="R179" s="427"/>
      <c r="S179" s="427"/>
      <c r="T179" s="39" t="s">
        <v>0</v>
      </c>
      <c r="U179" s="102">
        <f t="shared" ref="U179:AB179" si="47">IFERROR(SUM(U172:U177),0)</f>
        <v>0</v>
      </c>
      <c r="V179" s="102">
        <f t="shared" si="47"/>
        <v>0</v>
      </c>
      <c r="W179" s="102">
        <f t="shared" si="47"/>
        <v>0</v>
      </c>
      <c r="X179" s="102">
        <f t="shared" si="47"/>
        <v>0</v>
      </c>
      <c r="Y179" s="102">
        <f t="shared" si="47"/>
        <v>0</v>
      </c>
      <c r="Z179" s="102">
        <f t="shared" si="47"/>
        <v>0</v>
      </c>
      <c r="AA179" s="102">
        <f t="shared" si="47"/>
        <v>0</v>
      </c>
      <c r="AB179" s="102">
        <f t="shared" si="47"/>
        <v>0</v>
      </c>
      <c r="AC179" s="50" t="s">
        <v>57</v>
      </c>
      <c r="AD179" s="3"/>
      <c r="AE179" s="72"/>
      <c r="AF179" s="3"/>
      <c r="AG179" s="3"/>
      <c r="AH179" s="3"/>
      <c r="AI179" s="3"/>
      <c r="AJ179" s="3"/>
      <c r="AK179" s="3"/>
      <c r="AL179" s="62"/>
      <c r="AM179" s="62"/>
      <c r="AN179" s="62"/>
      <c r="AO179" s="3"/>
      <c r="AP179" s="3"/>
      <c r="AQ179" s="2"/>
      <c r="AR179" s="2"/>
      <c r="AS179" s="2"/>
      <c r="AT179" s="2"/>
      <c r="AU179" s="20"/>
      <c r="AV179" s="20"/>
      <c r="AW179" s="21"/>
    </row>
    <row r="180" spans="1:82" ht="15" hidden="1" x14ac:dyDescent="0.25">
      <c r="A180" s="443" t="s">
        <v>287</v>
      </c>
      <c r="B180" s="430"/>
      <c r="C180" s="430"/>
      <c r="D180" s="430"/>
      <c r="E180" s="430"/>
      <c r="F180" s="430"/>
      <c r="G180" s="430"/>
      <c r="H180" s="430"/>
      <c r="I180" s="430"/>
      <c r="J180" s="430"/>
      <c r="K180" s="430"/>
      <c r="L180" s="430"/>
      <c r="M180" s="430"/>
      <c r="N180" s="430"/>
      <c r="O180" s="430"/>
      <c r="P180" s="430"/>
      <c r="Q180" s="430"/>
      <c r="R180" s="430"/>
      <c r="S180" s="430"/>
      <c r="T180" s="430"/>
      <c r="U180" s="430"/>
      <c r="V180" s="430"/>
      <c r="W180" s="430"/>
      <c r="X180" s="430"/>
      <c r="Y180" s="430"/>
      <c r="Z180" s="430"/>
      <c r="AA180" s="431"/>
      <c r="AB180" s="431"/>
      <c r="AC180" s="431"/>
      <c r="AD180" s="431"/>
      <c r="AE180" s="432"/>
      <c r="AF180" s="444"/>
      <c r="AG180" s="2"/>
      <c r="AH180" s="2"/>
      <c r="AI180" s="2"/>
      <c r="AJ180" s="2"/>
      <c r="AK180" s="61"/>
      <c r="AL180" s="61"/>
      <c r="AM180" s="61"/>
      <c r="AN180" s="2"/>
      <c r="AO180" s="2"/>
      <c r="AP180" s="2"/>
      <c r="AQ180" s="2"/>
      <c r="AR180" s="2"/>
    </row>
    <row r="181" spans="1:82" ht="15" hidden="1" x14ac:dyDescent="0.25">
      <c r="A181" s="428" t="s">
        <v>96</v>
      </c>
      <c r="B181" s="429"/>
      <c r="C181" s="429"/>
      <c r="D181" s="429"/>
      <c r="E181" s="429"/>
      <c r="F181" s="429"/>
      <c r="G181" s="429"/>
      <c r="H181" s="429"/>
      <c r="I181" s="429"/>
      <c r="J181" s="429"/>
      <c r="K181" s="429"/>
      <c r="L181" s="429"/>
      <c r="M181" s="429"/>
      <c r="N181" s="429"/>
      <c r="O181" s="429"/>
      <c r="P181" s="429"/>
      <c r="Q181" s="429"/>
      <c r="R181" s="429"/>
      <c r="S181" s="429"/>
      <c r="T181" s="429"/>
      <c r="U181" s="429"/>
      <c r="V181" s="429"/>
      <c r="W181" s="429"/>
      <c r="X181" s="430"/>
      <c r="Y181" s="430"/>
      <c r="Z181" s="430"/>
      <c r="AA181" s="431"/>
      <c r="AB181" s="431"/>
      <c r="AC181" s="431"/>
      <c r="AD181" s="431"/>
      <c r="AE181" s="432"/>
      <c r="AF181" s="433"/>
      <c r="AG181" s="2"/>
      <c r="AH181" s="2"/>
      <c r="AI181" s="2"/>
      <c r="AJ181" s="2"/>
      <c r="AK181" s="61"/>
      <c r="AL181" s="61"/>
      <c r="AM181" s="61"/>
      <c r="AN181" s="2"/>
      <c r="AO181" s="2"/>
      <c r="AP181" s="2"/>
      <c r="AQ181" s="2"/>
      <c r="AR181" s="2"/>
    </row>
    <row r="182" spans="1:82" ht="22.5" hidden="1" x14ac:dyDescent="0.2">
      <c r="A182" s="79" t="s">
        <v>288</v>
      </c>
      <c r="B182" s="80" t="s">
        <v>289</v>
      </c>
      <c r="C182" s="80">
        <v>4301011790</v>
      </c>
      <c r="D182" s="80">
        <v>4680115884649</v>
      </c>
      <c r="E182" s="81">
        <v>0.37</v>
      </c>
      <c r="F182" s="82">
        <v>10</v>
      </c>
      <c r="G182" s="81">
        <v>3.7</v>
      </c>
      <c r="H182" s="81">
        <v>3.91</v>
      </c>
      <c r="I182" s="83">
        <v>132</v>
      </c>
      <c r="J182" s="83" t="s">
        <v>100</v>
      </c>
      <c r="K182" s="84" t="s">
        <v>99</v>
      </c>
      <c r="L182" s="84"/>
      <c r="M182" s="423">
        <v>45</v>
      </c>
      <c r="N182" s="423"/>
      <c r="O182" s="526" t="str">
        <f>HYPERLINK("https://abi.ru/products/Охлажденные/Стародворье/Стародворская EDLP/EDPP/Вареные колбасы/P004037/","Вареные колбасы «Стародворская» Фикс.вес 0,37 Вектор ТМ «Стародворье»")</f>
        <v>Вареные колбасы «Стародворская» Фикс.вес 0,37 Вектор ТМ «Стародворье»</v>
      </c>
      <c r="P182" s="425"/>
      <c r="Q182" s="425"/>
      <c r="R182" s="425"/>
      <c r="S182" s="425"/>
      <c r="T182" s="85" t="s">
        <v>0</v>
      </c>
      <c r="U182" s="65">
        <v>0</v>
      </c>
      <c r="V182" s="66">
        <f>IFERROR(IF(U182="",0,CEILING((U182/$G182),1)*$G182),"")</f>
        <v>0</v>
      </c>
      <c r="W182" s="65">
        <v>0</v>
      </c>
      <c r="X182" s="66">
        <f>IFERROR(IF(W182="",0,CEILING((W182/$G182),1)*$G182),"")</f>
        <v>0</v>
      </c>
      <c r="Y182" s="65">
        <v>0</v>
      </c>
      <c r="Z182" s="66">
        <f>IFERROR(IF(Y182="",0,CEILING((Y182/$G182),1)*$G182),"")</f>
        <v>0</v>
      </c>
      <c r="AA182" s="65">
        <v>0</v>
      </c>
      <c r="AB182" s="66">
        <f>IFERROR(IF(AA182="",0,CEILING((AA182/$G182),1)*$G182),"")</f>
        <v>0</v>
      </c>
      <c r="AC182" s="67" t="str">
        <f>IF(IFERROR(ROUNDUP(V182/G182,0)*0.00902,0)+IFERROR(ROUNDUP(X182/G182,0)*0.00902,0)+IFERROR(ROUNDUP(Z182/G182,0)*0.00902,0)+IFERROR(ROUNDUP(AB182/G182,0)*0.00902,0)=0,"",IFERROR(ROUNDUP(V182/G182,0)*0.00902,0)+IFERROR(ROUNDUP(X182/G182,0)*0.00902,0)+IFERROR(ROUNDUP(Z182/G182,0)*0.00902,0)+IFERROR(ROUNDUP(AB182/G182,0)*0.00902,0))</f>
        <v/>
      </c>
      <c r="AD182" s="79" t="s">
        <v>57</v>
      </c>
      <c r="AE182" s="79" t="s">
        <v>57</v>
      </c>
      <c r="AF182" s="233" t="s">
        <v>290</v>
      </c>
      <c r="AG182" s="2"/>
      <c r="AH182" s="2"/>
      <c r="AI182" s="2"/>
      <c r="AJ182" s="2"/>
      <c r="AK182" s="2"/>
      <c r="AL182" s="61"/>
      <c r="AM182" s="61"/>
      <c r="AN182" s="61"/>
      <c r="AO182" s="2"/>
      <c r="AP182" s="2"/>
      <c r="AQ182" s="2"/>
      <c r="AR182" s="2"/>
      <c r="AS182" s="2"/>
      <c r="AT182" s="2"/>
      <c r="AU182" s="20"/>
      <c r="AV182" s="20"/>
      <c r="AW182" s="21"/>
      <c r="BB182" s="232" t="s">
        <v>65</v>
      </c>
      <c r="BO182" s="77">
        <f>IFERROR(U182*H182/G182,0)</f>
        <v>0</v>
      </c>
      <c r="BP182" s="77">
        <f>IFERROR(V182*H182/G182,0)</f>
        <v>0</v>
      </c>
      <c r="BQ182" s="77">
        <f>IFERROR(1/I182*(U182/G182),0)</f>
        <v>0</v>
      </c>
      <c r="BR182" s="77">
        <f>IFERROR(1/I182*(V182/G182),0)</f>
        <v>0</v>
      </c>
      <c r="BS182" s="77">
        <f>IFERROR(W182*H182/G182,0)</f>
        <v>0</v>
      </c>
      <c r="BT182" s="77">
        <f>IFERROR(X182*H182/G182,0)</f>
        <v>0</v>
      </c>
      <c r="BU182" s="77">
        <f>IFERROR(1/I182*(W182/G182),0)</f>
        <v>0</v>
      </c>
      <c r="BV182" s="77">
        <f>IFERROR(1/I182*(X182/G182),0)</f>
        <v>0</v>
      </c>
      <c r="BW182" s="77">
        <f>IFERROR(Y182*H182/G182,0)</f>
        <v>0</v>
      </c>
      <c r="BX182" s="77">
        <f>IFERROR(Z182*H182/G182,0)</f>
        <v>0</v>
      </c>
      <c r="BY182" s="77">
        <f>IFERROR(1/I182*(Y182/G182),0)</f>
        <v>0</v>
      </c>
      <c r="BZ182" s="77">
        <f>IFERROR(1/I182*(Z182/G182),0)</f>
        <v>0</v>
      </c>
      <c r="CA182" s="77">
        <f>IFERROR(AA182*H182/G182,0)</f>
        <v>0</v>
      </c>
      <c r="CB182" s="77">
        <f>IFERROR(AB182*H182/G182,0)</f>
        <v>0</v>
      </c>
      <c r="CC182" s="77">
        <f>IFERROR(1/I182*(AA182/G182),0)</f>
        <v>0</v>
      </c>
      <c r="CD182" s="77">
        <f>IFERROR(1/I182*(AB182/G182),0)</f>
        <v>0</v>
      </c>
    </row>
    <row r="183" spans="1:82" hidden="1" x14ac:dyDescent="0.2">
      <c r="A183" s="79" t="s">
        <v>291</v>
      </c>
      <c r="B183" s="80" t="s">
        <v>292</v>
      </c>
      <c r="C183" s="80">
        <v>4301011304</v>
      </c>
      <c r="D183" s="80">
        <v>4607091389296</v>
      </c>
      <c r="E183" s="81">
        <v>0.4</v>
      </c>
      <c r="F183" s="82">
        <v>10</v>
      </c>
      <c r="G183" s="81">
        <v>4</v>
      </c>
      <c r="H183" s="81">
        <v>4.21</v>
      </c>
      <c r="I183" s="83">
        <v>132</v>
      </c>
      <c r="J183" s="83" t="s">
        <v>100</v>
      </c>
      <c r="K183" s="84" t="s">
        <v>106</v>
      </c>
      <c r="L183" s="84"/>
      <c r="M183" s="423">
        <v>45</v>
      </c>
      <c r="N183" s="423"/>
      <c r="O183" s="52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P183" s="425"/>
      <c r="Q183" s="425"/>
      <c r="R183" s="425"/>
      <c r="S183" s="425"/>
      <c r="T183" s="85" t="s">
        <v>0</v>
      </c>
      <c r="U183" s="65">
        <v>0</v>
      </c>
      <c r="V183" s="66">
        <f>IFERROR(IF(U183="",0,CEILING((U183/$G183),1)*$G183),"")</f>
        <v>0</v>
      </c>
      <c r="W183" s="65">
        <v>0</v>
      </c>
      <c r="X183" s="66">
        <f>IFERROR(IF(W183="",0,CEILING((W183/$G183),1)*$G183),"")</f>
        <v>0</v>
      </c>
      <c r="Y183" s="65">
        <v>0</v>
      </c>
      <c r="Z183" s="66">
        <f>IFERROR(IF(Y183="",0,CEILING((Y183/$G183),1)*$G183),"")</f>
        <v>0</v>
      </c>
      <c r="AA183" s="65">
        <v>0</v>
      </c>
      <c r="AB183" s="66">
        <f>IFERROR(IF(AA183="",0,CEILING((AA183/$G183),1)*$G183),"")</f>
        <v>0</v>
      </c>
      <c r="AC183" s="67" t="str">
        <f>IF(IFERROR(ROUNDUP(V183/G183,0)*0.00902,0)+IFERROR(ROUNDUP(X183/G183,0)*0.00902,0)+IFERROR(ROUNDUP(Z183/G183,0)*0.00902,0)+IFERROR(ROUNDUP(AB183/G183,0)*0.00902,0)=0,"",IFERROR(ROUNDUP(V183/G183,0)*0.00902,0)+IFERROR(ROUNDUP(X183/G183,0)*0.00902,0)+IFERROR(ROUNDUP(Z183/G183,0)*0.00902,0)+IFERROR(ROUNDUP(AB183/G183,0)*0.00902,0))</f>
        <v/>
      </c>
      <c r="AD183" s="79" t="s">
        <v>57</v>
      </c>
      <c r="AE183" s="79" t="s">
        <v>57</v>
      </c>
      <c r="AF183" s="235" t="s">
        <v>293</v>
      </c>
      <c r="AG183" s="2"/>
      <c r="AH183" s="2"/>
      <c r="AI183" s="2"/>
      <c r="AJ183" s="2"/>
      <c r="AK183" s="2"/>
      <c r="AL183" s="61"/>
      <c r="AM183" s="61"/>
      <c r="AN183" s="61"/>
      <c r="AO183" s="2"/>
      <c r="AP183" s="2"/>
      <c r="AQ183" s="2"/>
      <c r="AR183" s="2"/>
      <c r="AS183" s="2"/>
      <c r="AT183" s="2"/>
      <c r="AU183" s="20"/>
      <c r="AV183" s="20"/>
      <c r="AW183" s="21"/>
      <c r="BB183" s="234" t="s">
        <v>65</v>
      </c>
      <c r="BO183" s="77">
        <f>IFERROR(U183*H183/G183,0)</f>
        <v>0</v>
      </c>
      <c r="BP183" s="77">
        <f>IFERROR(V183*H183/G183,0)</f>
        <v>0</v>
      </c>
      <c r="BQ183" s="77">
        <f>IFERROR(1/I183*(U183/G183),0)</f>
        <v>0</v>
      </c>
      <c r="BR183" s="77">
        <f>IFERROR(1/I183*(V183/G183),0)</f>
        <v>0</v>
      </c>
      <c r="BS183" s="77">
        <f>IFERROR(W183*H183/G183,0)</f>
        <v>0</v>
      </c>
      <c r="BT183" s="77">
        <f>IFERROR(X183*H183/G183,0)</f>
        <v>0</v>
      </c>
      <c r="BU183" s="77">
        <f>IFERROR(1/I183*(W183/G183),0)</f>
        <v>0</v>
      </c>
      <c r="BV183" s="77">
        <f>IFERROR(1/I183*(X183/G183),0)</f>
        <v>0</v>
      </c>
      <c r="BW183" s="77">
        <f>IFERROR(Y183*H183/G183,0)</f>
        <v>0</v>
      </c>
      <c r="BX183" s="77">
        <f>IFERROR(Z183*H183/G183,0)</f>
        <v>0</v>
      </c>
      <c r="BY183" s="77">
        <f>IFERROR(1/I183*(Y183/G183),0)</f>
        <v>0</v>
      </c>
      <c r="BZ183" s="77">
        <f>IFERROR(1/I183*(Z183/G183),0)</f>
        <v>0</v>
      </c>
      <c r="CA183" s="77">
        <f>IFERROR(AA183*H183/G183,0)</f>
        <v>0</v>
      </c>
      <c r="CB183" s="77">
        <f>IFERROR(AB183*H183/G183,0)</f>
        <v>0</v>
      </c>
      <c r="CC183" s="77">
        <f>IFERROR(1/I183*(AA183/G183),0)</f>
        <v>0</v>
      </c>
      <c r="CD183" s="77">
        <f>IFERROR(1/I183*(AB183/G183),0)</f>
        <v>0</v>
      </c>
    </row>
    <row r="184" spans="1:82" hidden="1" x14ac:dyDescent="0.2">
      <c r="A184" s="420"/>
      <c r="B184" s="420"/>
      <c r="C184" s="420"/>
      <c r="D184" s="420"/>
      <c r="E184" s="420"/>
      <c r="F184" s="420"/>
      <c r="G184" s="420"/>
      <c r="H184" s="420"/>
      <c r="I184" s="420"/>
      <c r="J184" s="420"/>
      <c r="K184" s="420"/>
      <c r="L184" s="420"/>
      <c r="M184" s="420"/>
      <c r="N184" s="420"/>
      <c r="O184" s="426" t="s">
        <v>43</v>
      </c>
      <c r="P184" s="427"/>
      <c r="Q184" s="427"/>
      <c r="R184" s="427"/>
      <c r="S184" s="427"/>
      <c r="T184" s="39" t="s">
        <v>42</v>
      </c>
      <c r="U184" s="50">
        <f>IFERROR(U182/G182,0)+IFERROR(U183/G183,0)</f>
        <v>0</v>
      </c>
      <c r="V184" s="50">
        <f>IFERROR(V182/G182,0)+IFERROR(V183/G183,0)</f>
        <v>0</v>
      </c>
      <c r="W184" s="50">
        <f>IFERROR(W182/G182,0)+IFERROR(W183/G183,0)</f>
        <v>0</v>
      </c>
      <c r="X184" s="50">
        <f>IFERROR(X182/G182,0)+IFERROR(X183/G183,0)</f>
        <v>0</v>
      </c>
      <c r="Y184" s="50">
        <f>IFERROR(Y182/G182,0)+IFERROR(Y183/G183,0)</f>
        <v>0</v>
      </c>
      <c r="Z184" s="50">
        <f>IFERROR(Z182/G182,0)+IFERROR(Z183/G183,0)</f>
        <v>0</v>
      </c>
      <c r="AA184" s="50">
        <f>IFERROR(AA182/G182,0)+IFERROR(AA183/G183,0)</f>
        <v>0</v>
      </c>
      <c r="AB184" s="50">
        <f>IFERROR(AB182/G182,0)+IFERROR(AB183/G183,0)</f>
        <v>0</v>
      </c>
      <c r="AC184" s="50">
        <f>IFERROR(IF(AC182="",0,AC182),0)+IFERROR(IF(AC183="",0,AC183),0)</f>
        <v>0</v>
      </c>
      <c r="AD184" s="3"/>
      <c r="AE184" s="72"/>
      <c r="AF184" s="3"/>
      <c r="AG184" s="3"/>
      <c r="AH184" s="3"/>
      <c r="AI184" s="3"/>
      <c r="AJ184" s="3"/>
      <c r="AK184" s="3"/>
      <c r="AL184" s="62"/>
      <c r="AM184" s="62"/>
      <c r="AN184" s="62"/>
      <c r="AO184" s="3"/>
      <c r="AP184" s="3"/>
      <c r="AQ184" s="2"/>
      <c r="AR184" s="2"/>
      <c r="AS184" s="2"/>
      <c r="AT184" s="2"/>
      <c r="AU184" s="20"/>
      <c r="AV184" s="20"/>
      <c r="AW184" s="21"/>
    </row>
    <row r="185" spans="1:82" hidden="1" x14ac:dyDescent="0.2">
      <c r="A185" s="420"/>
      <c r="B185" s="420"/>
      <c r="C185" s="420"/>
      <c r="D185" s="420"/>
      <c r="E185" s="420"/>
      <c r="F185" s="420"/>
      <c r="G185" s="420"/>
      <c r="H185" s="420"/>
      <c r="I185" s="420"/>
      <c r="J185" s="420"/>
      <c r="K185" s="420"/>
      <c r="L185" s="420"/>
      <c r="M185" s="420"/>
      <c r="N185" s="420"/>
      <c r="O185" s="426" t="s">
        <v>43</v>
      </c>
      <c r="P185" s="427"/>
      <c r="Q185" s="427"/>
      <c r="R185" s="427"/>
      <c r="S185" s="427"/>
      <c r="T185" s="39" t="s">
        <v>0</v>
      </c>
      <c r="U185" s="102">
        <f t="shared" ref="U185:AB185" si="48">IFERROR(SUM(U182:U183),0)</f>
        <v>0</v>
      </c>
      <c r="V185" s="102">
        <f t="shared" si="48"/>
        <v>0</v>
      </c>
      <c r="W185" s="102">
        <f t="shared" si="48"/>
        <v>0</v>
      </c>
      <c r="X185" s="102">
        <f t="shared" si="48"/>
        <v>0</v>
      </c>
      <c r="Y185" s="102">
        <f t="shared" si="48"/>
        <v>0</v>
      </c>
      <c r="Z185" s="102">
        <f t="shared" si="48"/>
        <v>0</v>
      </c>
      <c r="AA185" s="102">
        <f t="shared" si="48"/>
        <v>0</v>
      </c>
      <c r="AB185" s="102">
        <f t="shared" si="48"/>
        <v>0</v>
      </c>
      <c r="AC185" s="50" t="s">
        <v>57</v>
      </c>
      <c r="AD185" s="3"/>
      <c r="AE185" s="72"/>
      <c r="AF185" s="3"/>
      <c r="AG185" s="3"/>
      <c r="AH185" s="3"/>
      <c r="AI185" s="3"/>
      <c r="AJ185" s="3"/>
      <c r="AK185" s="3"/>
      <c r="AL185" s="62"/>
      <c r="AM185" s="62"/>
      <c r="AN185" s="62"/>
      <c r="AO185" s="3"/>
      <c r="AP185" s="3"/>
      <c r="AQ185" s="2"/>
      <c r="AR185" s="2"/>
      <c r="AS185" s="2"/>
      <c r="AT185" s="2"/>
      <c r="AU185" s="20"/>
      <c r="AV185" s="20"/>
      <c r="AW185" s="21"/>
    </row>
    <row r="186" spans="1:82" ht="15" hidden="1" x14ac:dyDescent="0.25">
      <c r="A186" s="428" t="s">
        <v>129</v>
      </c>
      <c r="B186" s="429"/>
      <c r="C186" s="429"/>
      <c r="D186" s="429"/>
      <c r="E186" s="429"/>
      <c r="F186" s="429"/>
      <c r="G186" s="429"/>
      <c r="H186" s="429"/>
      <c r="I186" s="429"/>
      <c r="J186" s="429"/>
      <c r="K186" s="429"/>
      <c r="L186" s="429"/>
      <c r="M186" s="429"/>
      <c r="N186" s="429"/>
      <c r="O186" s="429"/>
      <c r="P186" s="429"/>
      <c r="Q186" s="429"/>
      <c r="R186" s="429"/>
      <c r="S186" s="429"/>
      <c r="T186" s="429"/>
      <c r="U186" s="429"/>
      <c r="V186" s="429"/>
      <c r="W186" s="429"/>
      <c r="X186" s="430"/>
      <c r="Y186" s="430"/>
      <c r="Z186" s="430"/>
      <c r="AA186" s="431"/>
      <c r="AB186" s="431"/>
      <c r="AC186" s="431"/>
      <c r="AD186" s="431"/>
      <c r="AE186" s="432"/>
      <c r="AF186" s="433"/>
      <c r="AG186" s="2"/>
      <c r="AH186" s="2"/>
      <c r="AI186" s="2"/>
      <c r="AJ186" s="2"/>
      <c r="AK186" s="61"/>
      <c r="AL186" s="61"/>
      <c r="AM186" s="61"/>
      <c r="AN186" s="2"/>
      <c r="AO186" s="2"/>
      <c r="AP186" s="2"/>
      <c r="AQ186" s="2"/>
      <c r="AR186" s="2"/>
    </row>
    <row r="187" spans="1:82" hidden="1" x14ac:dyDescent="0.2">
      <c r="A187" s="79" t="s">
        <v>294</v>
      </c>
      <c r="B187" s="80" t="s">
        <v>295</v>
      </c>
      <c r="C187" s="80">
        <v>4301031307</v>
      </c>
      <c r="D187" s="80">
        <v>4680115880344</v>
      </c>
      <c r="E187" s="81">
        <v>0.28000000000000003</v>
      </c>
      <c r="F187" s="82">
        <v>6</v>
      </c>
      <c r="G187" s="81">
        <v>1.68</v>
      </c>
      <c r="H187" s="81">
        <v>1.78</v>
      </c>
      <c r="I187" s="83">
        <v>234</v>
      </c>
      <c r="J187" s="83" t="s">
        <v>133</v>
      </c>
      <c r="K187" s="84" t="s">
        <v>132</v>
      </c>
      <c r="L187" s="84"/>
      <c r="M187" s="423">
        <v>40</v>
      </c>
      <c r="N187" s="423"/>
      <c r="O187" s="52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P187" s="425"/>
      <c r="Q187" s="425"/>
      <c r="R187" s="425"/>
      <c r="S187" s="425"/>
      <c r="T187" s="85" t="s">
        <v>0</v>
      </c>
      <c r="U187" s="65">
        <v>0</v>
      </c>
      <c r="V187" s="66">
        <f>IFERROR(IF(U187="",0,CEILING((U187/$G187),1)*$G187),"")</f>
        <v>0</v>
      </c>
      <c r="W187" s="65">
        <v>0</v>
      </c>
      <c r="X187" s="66">
        <f>IFERROR(IF(W187="",0,CEILING((W187/$G187),1)*$G187),"")</f>
        <v>0</v>
      </c>
      <c r="Y187" s="65">
        <v>0</v>
      </c>
      <c r="Z187" s="66">
        <f>IFERROR(IF(Y187="",0,CEILING((Y187/$G187),1)*$G187),"")</f>
        <v>0</v>
      </c>
      <c r="AA187" s="65">
        <v>0</v>
      </c>
      <c r="AB187" s="66">
        <f>IFERROR(IF(AA187="",0,CEILING((AA187/$G187),1)*$G187),"")</f>
        <v>0</v>
      </c>
      <c r="AC187" s="67" t="str">
        <f>IF(IFERROR(ROUNDUP(V187/G187,0)*0.00502,0)+IFERROR(ROUNDUP(X187/G187,0)*0.00502,0)+IFERROR(ROUNDUP(Z187/G187,0)*0.00502,0)+IFERROR(ROUNDUP(AB187/G187,0)*0.00502,0)=0,"",IFERROR(ROUNDUP(V187/G187,0)*0.00502,0)+IFERROR(ROUNDUP(X187/G187,0)*0.00502,0)+IFERROR(ROUNDUP(Z187/G187,0)*0.00502,0)+IFERROR(ROUNDUP(AB187/G187,0)*0.00502,0))</f>
        <v/>
      </c>
      <c r="AD187" s="79" t="s">
        <v>57</v>
      </c>
      <c r="AE187" s="79" t="s">
        <v>57</v>
      </c>
      <c r="AF187" s="237" t="s">
        <v>296</v>
      </c>
      <c r="AG187" s="2"/>
      <c r="AH187" s="2"/>
      <c r="AI187" s="2"/>
      <c r="AJ187" s="2"/>
      <c r="AK187" s="2"/>
      <c r="AL187" s="61"/>
      <c r="AM187" s="61"/>
      <c r="AN187" s="61"/>
      <c r="AO187" s="2"/>
      <c r="AP187" s="2"/>
      <c r="AQ187" s="2"/>
      <c r="AR187" s="2"/>
      <c r="AS187" s="2"/>
      <c r="AT187" s="2"/>
      <c r="AU187" s="20"/>
      <c r="AV187" s="20"/>
      <c r="AW187" s="21"/>
      <c r="BB187" s="236" t="s">
        <v>65</v>
      </c>
      <c r="BO187" s="77">
        <f>IFERROR(U187*H187/G187,0)</f>
        <v>0</v>
      </c>
      <c r="BP187" s="77">
        <f>IFERROR(V187*H187/G187,0)</f>
        <v>0</v>
      </c>
      <c r="BQ187" s="77">
        <f>IFERROR(1/I187*(U187/G187),0)</f>
        <v>0</v>
      </c>
      <c r="BR187" s="77">
        <f>IFERROR(1/I187*(V187/G187),0)</f>
        <v>0</v>
      </c>
      <c r="BS187" s="77">
        <f>IFERROR(W187*H187/G187,0)</f>
        <v>0</v>
      </c>
      <c r="BT187" s="77">
        <f>IFERROR(X187*H187/G187,0)</f>
        <v>0</v>
      </c>
      <c r="BU187" s="77">
        <f>IFERROR(1/I187*(W187/G187),0)</f>
        <v>0</v>
      </c>
      <c r="BV187" s="77">
        <f>IFERROR(1/I187*(X187/G187),0)</f>
        <v>0</v>
      </c>
      <c r="BW187" s="77">
        <f>IFERROR(Y187*H187/G187,0)</f>
        <v>0</v>
      </c>
      <c r="BX187" s="77">
        <f>IFERROR(Z187*H187/G187,0)</f>
        <v>0</v>
      </c>
      <c r="BY187" s="77">
        <f>IFERROR(1/I187*(Y187/G187),0)</f>
        <v>0</v>
      </c>
      <c r="BZ187" s="77">
        <f>IFERROR(1/I187*(Z187/G187),0)</f>
        <v>0</v>
      </c>
      <c r="CA187" s="77">
        <f>IFERROR(AA187*H187/G187,0)</f>
        <v>0</v>
      </c>
      <c r="CB187" s="77">
        <f>IFERROR(AB187*H187/G187,0)</f>
        <v>0</v>
      </c>
      <c r="CC187" s="77">
        <f>IFERROR(1/I187*(AA187/G187),0)</f>
        <v>0</v>
      </c>
      <c r="CD187" s="77">
        <f>IFERROR(1/I187*(AB187/G187),0)</f>
        <v>0</v>
      </c>
    </row>
    <row r="188" spans="1:82" hidden="1" x14ac:dyDescent="0.2">
      <c r="A188" s="420"/>
      <c r="B188" s="420"/>
      <c r="C188" s="420"/>
      <c r="D188" s="420"/>
      <c r="E188" s="420"/>
      <c r="F188" s="420"/>
      <c r="G188" s="420"/>
      <c r="H188" s="420"/>
      <c r="I188" s="420"/>
      <c r="J188" s="420"/>
      <c r="K188" s="420"/>
      <c r="L188" s="420"/>
      <c r="M188" s="420"/>
      <c r="N188" s="420"/>
      <c r="O188" s="426" t="s">
        <v>43</v>
      </c>
      <c r="P188" s="427"/>
      <c r="Q188" s="427"/>
      <c r="R188" s="427"/>
      <c r="S188" s="427"/>
      <c r="T188" s="39" t="s">
        <v>42</v>
      </c>
      <c r="U188" s="50">
        <f>IFERROR(U187/G187,0)</f>
        <v>0</v>
      </c>
      <c r="V188" s="50">
        <f>IFERROR(V187/G187,0)</f>
        <v>0</v>
      </c>
      <c r="W188" s="50">
        <f>IFERROR(W187/G187,0)</f>
        <v>0</v>
      </c>
      <c r="X188" s="50">
        <f>IFERROR(X187/G187,0)</f>
        <v>0</v>
      </c>
      <c r="Y188" s="50">
        <f>IFERROR(Y187/G187,0)</f>
        <v>0</v>
      </c>
      <c r="Z188" s="50">
        <f>IFERROR(Z187/G187,0)</f>
        <v>0</v>
      </c>
      <c r="AA188" s="50">
        <f>IFERROR(AA187/G187,0)</f>
        <v>0</v>
      </c>
      <c r="AB188" s="50">
        <f>IFERROR(AB187/G187,0)</f>
        <v>0</v>
      </c>
      <c r="AC188" s="50">
        <f>IFERROR(IF(AC187="",0,AC187),0)</f>
        <v>0</v>
      </c>
      <c r="AD188" s="3"/>
      <c r="AE188" s="72"/>
      <c r="AF188" s="3"/>
      <c r="AG188" s="3"/>
      <c r="AH188" s="3"/>
      <c r="AI188" s="3"/>
      <c r="AJ188" s="3"/>
      <c r="AK188" s="3"/>
      <c r="AL188" s="62"/>
      <c r="AM188" s="62"/>
      <c r="AN188" s="62"/>
      <c r="AO188" s="3"/>
      <c r="AP188" s="3"/>
      <c r="AQ188" s="2"/>
      <c r="AR188" s="2"/>
      <c r="AS188" s="2"/>
      <c r="AT188" s="2"/>
      <c r="AU188" s="20"/>
      <c r="AV188" s="20"/>
      <c r="AW188" s="21"/>
    </row>
    <row r="189" spans="1:82" hidden="1" x14ac:dyDescent="0.2">
      <c r="A189" s="420"/>
      <c r="B189" s="420"/>
      <c r="C189" s="420"/>
      <c r="D189" s="420"/>
      <c r="E189" s="420"/>
      <c r="F189" s="420"/>
      <c r="G189" s="420"/>
      <c r="H189" s="420"/>
      <c r="I189" s="420"/>
      <c r="J189" s="420"/>
      <c r="K189" s="420"/>
      <c r="L189" s="420"/>
      <c r="M189" s="420"/>
      <c r="N189" s="420"/>
      <c r="O189" s="426" t="s">
        <v>43</v>
      </c>
      <c r="P189" s="427"/>
      <c r="Q189" s="427"/>
      <c r="R189" s="427"/>
      <c r="S189" s="427"/>
      <c r="T189" s="39" t="s">
        <v>0</v>
      </c>
      <c r="U189" s="102">
        <f t="shared" ref="U189:AB189" si="49">IFERROR(SUM(U187:U187),0)</f>
        <v>0</v>
      </c>
      <c r="V189" s="102">
        <f t="shared" si="49"/>
        <v>0</v>
      </c>
      <c r="W189" s="102">
        <f t="shared" si="49"/>
        <v>0</v>
      </c>
      <c r="X189" s="102">
        <f t="shared" si="49"/>
        <v>0</v>
      </c>
      <c r="Y189" s="102">
        <f t="shared" si="49"/>
        <v>0</v>
      </c>
      <c r="Z189" s="102">
        <f t="shared" si="49"/>
        <v>0</v>
      </c>
      <c r="AA189" s="102">
        <f t="shared" si="49"/>
        <v>0</v>
      </c>
      <c r="AB189" s="102">
        <f t="shared" si="49"/>
        <v>0</v>
      </c>
      <c r="AC189" s="50" t="s">
        <v>57</v>
      </c>
      <c r="AD189" s="3"/>
      <c r="AE189" s="72"/>
      <c r="AF189" s="3"/>
      <c r="AG189" s="3"/>
      <c r="AH189" s="3"/>
      <c r="AI189" s="3"/>
      <c r="AJ189" s="3"/>
      <c r="AK189" s="3"/>
      <c r="AL189" s="62"/>
      <c r="AM189" s="62"/>
      <c r="AN189" s="62"/>
      <c r="AO189" s="3"/>
      <c r="AP189" s="3"/>
      <c r="AQ189" s="2"/>
      <c r="AR189" s="2"/>
      <c r="AS189" s="2"/>
      <c r="AT189" s="2"/>
      <c r="AU189" s="20"/>
      <c r="AV189" s="20"/>
      <c r="AW189" s="21"/>
    </row>
    <row r="190" spans="1:82" ht="15" hidden="1" x14ac:dyDescent="0.25">
      <c r="A190" s="443" t="s">
        <v>297</v>
      </c>
      <c r="B190" s="430"/>
      <c r="C190" s="430"/>
      <c r="D190" s="430"/>
      <c r="E190" s="430"/>
      <c r="F190" s="430"/>
      <c r="G190" s="430"/>
      <c r="H190" s="430"/>
      <c r="I190" s="430"/>
      <c r="J190" s="430"/>
      <c r="K190" s="430"/>
      <c r="L190" s="430"/>
      <c r="M190" s="430"/>
      <c r="N190" s="430"/>
      <c r="O190" s="430"/>
      <c r="P190" s="430"/>
      <c r="Q190" s="430"/>
      <c r="R190" s="430"/>
      <c r="S190" s="430"/>
      <c r="T190" s="430"/>
      <c r="U190" s="430"/>
      <c r="V190" s="430"/>
      <c r="W190" s="430"/>
      <c r="X190" s="430"/>
      <c r="Y190" s="430"/>
      <c r="Z190" s="430"/>
      <c r="AA190" s="431"/>
      <c r="AB190" s="431"/>
      <c r="AC190" s="431"/>
      <c r="AD190" s="431"/>
      <c r="AE190" s="432"/>
      <c r="AF190" s="444"/>
      <c r="AG190" s="2"/>
      <c r="AH190" s="2"/>
      <c r="AI190" s="2"/>
      <c r="AJ190" s="2"/>
      <c r="AK190" s="61"/>
      <c r="AL190" s="61"/>
      <c r="AM190" s="61"/>
      <c r="AN190" s="2"/>
      <c r="AO190" s="2"/>
      <c r="AP190" s="2"/>
      <c r="AQ190" s="2"/>
      <c r="AR190" s="2"/>
    </row>
    <row r="191" spans="1:82" ht="15" hidden="1" x14ac:dyDescent="0.25">
      <c r="A191" s="428" t="s">
        <v>96</v>
      </c>
      <c r="B191" s="429"/>
      <c r="C191" s="429"/>
      <c r="D191" s="429"/>
      <c r="E191" s="429"/>
      <c r="F191" s="429"/>
      <c r="G191" s="429"/>
      <c r="H191" s="429"/>
      <c r="I191" s="429"/>
      <c r="J191" s="429"/>
      <c r="K191" s="429"/>
      <c r="L191" s="429"/>
      <c r="M191" s="429"/>
      <c r="N191" s="429"/>
      <c r="O191" s="429"/>
      <c r="P191" s="429"/>
      <c r="Q191" s="429"/>
      <c r="R191" s="429"/>
      <c r="S191" s="429"/>
      <c r="T191" s="429"/>
      <c r="U191" s="429"/>
      <c r="V191" s="429"/>
      <c r="W191" s="429"/>
      <c r="X191" s="430"/>
      <c r="Y191" s="430"/>
      <c r="Z191" s="430"/>
      <c r="AA191" s="431"/>
      <c r="AB191" s="431"/>
      <c r="AC191" s="431"/>
      <c r="AD191" s="431"/>
      <c r="AE191" s="432"/>
      <c r="AF191" s="433"/>
      <c r="AG191" s="2"/>
      <c r="AH191" s="2"/>
      <c r="AI191" s="2"/>
      <c r="AJ191" s="2"/>
      <c r="AK191" s="61"/>
      <c r="AL191" s="61"/>
      <c r="AM191" s="61"/>
      <c r="AN191" s="2"/>
      <c r="AO191" s="2"/>
      <c r="AP191" s="2"/>
      <c r="AQ191" s="2"/>
      <c r="AR191" s="2"/>
    </row>
    <row r="192" spans="1:82" hidden="1" x14ac:dyDescent="0.2">
      <c r="A192" s="79" t="s">
        <v>298</v>
      </c>
      <c r="B192" s="80" t="s">
        <v>299</v>
      </c>
      <c r="C192" s="80">
        <v>4301011861</v>
      </c>
      <c r="D192" s="80">
        <v>4680115883352</v>
      </c>
      <c r="E192" s="81">
        <v>0.9</v>
      </c>
      <c r="F192" s="82">
        <v>6</v>
      </c>
      <c r="G192" s="81">
        <v>5.4</v>
      </c>
      <c r="H192" s="81">
        <v>5.76</v>
      </c>
      <c r="I192" s="83">
        <v>104</v>
      </c>
      <c r="J192" s="83" t="s">
        <v>114</v>
      </c>
      <c r="K192" s="84" t="s">
        <v>106</v>
      </c>
      <c r="L192" s="84"/>
      <c r="M192" s="423">
        <v>55</v>
      </c>
      <c r="N192" s="423"/>
      <c r="O192" s="521" t="str">
        <f>HYPERLINK("https://abi.ru/products/Охлажденные/Стародворье/Филедворская EDLP/EDPP/Вареные колбасы/P004240/","Вареные колбасы «Филедворская» ф/в 0,9 п/а ТМ «Стародворье»")</f>
        <v>Вареные колбасы «Филедворская» ф/в 0,9 п/а ТМ «Стародворье»</v>
      </c>
      <c r="P192" s="425"/>
      <c r="Q192" s="425"/>
      <c r="R192" s="425"/>
      <c r="S192" s="425"/>
      <c r="T192" s="85" t="s">
        <v>0</v>
      </c>
      <c r="U192" s="65">
        <v>0</v>
      </c>
      <c r="V192" s="66">
        <f>IFERROR(IF(U192="",0,CEILING((U192/$G192),1)*$G192),"")</f>
        <v>0</v>
      </c>
      <c r="W192" s="65">
        <v>0</v>
      </c>
      <c r="X192" s="66">
        <f>IFERROR(IF(W192="",0,CEILING((W192/$G192),1)*$G192),"")</f>
        <v>0</v>
      </c>
      <c r="Y192" s="65">
        <v>0</v>
      </c>
      <c r="Z192" s="66">
        <f>IFERROR(IF(Y192="",0,CEILING((Y192/$G192),1)*$G192),"")</f>
        <v>0</v>
      </c>
      <c r="AA192" s="65">
        <v>0</v>
      </c>
      <c r="AB192" s="66">
        <f>IFERROR(IF(AA192="",0,CEILING((AA192/$G192),1)*$G192),"")</f>
        <v>0</v>
      </c>
      <c r="AC192" s="67" t="str">
        <f>IF(IFERROR(ROUNDUP(V192/G192,0)*0.01196,0)+IFERROR(ROUNDUP(X192/G192,0)*0.01196,0)+IFERROR(ROUNDUP(Z192/G192,0)*0.01196,0)+IFERROR(ROUNDUP(AB192/G192,0)*0.01196,0)=0,"",IFERROR(ROUNDUP(V192/G192,0)*0.01196,0)+IFERROR(ROUNDUP(X192/G192,0)*0.01196,0)+IFERROR(ROUNDUP(Z192/G192,0)*0.01196,0)+IFERROR(ROUNDUP(AB192/G192,0)*0.01196,0))</f>
        <v/>
      </c>
      <c r="AD192" s="79" t="s">
        <v>57</v>
      </c>
      <c r="AE192" s="79" t="s">
        <v>57</v>
      </c>
      <c r="AF192" s="239" t="s">
        <v>248</v>
      </c>
      <c r="AG192" s="2"/>
      <c r="AH192" s="2"/>
      <c r="AI192" s="2"/>
      <c r="AJ192" s="2"/>
      <c r="AK192" s="2"/>
      <c r="AL192" s="61"/>
      <c r="AM192" s="61"/>
      <c r="AN192" s="61"/>
      <c r="AO192" s="2"/>
      <c r="AP192" s="2"/>
      <c r="AQ192" s="2"/>
      <c r="AR192" s="2"/>
      <c r="AS192" s="2"/>
      <c r="AT192" s="2"/>
      <c r="AU192" s="20"/>
      <c r="AV192" s="20"/>
      <c r="AW192" s="21"/>
      <c r="BB192" s="238" t="s">
        <v>65</v>
      </c>
      <c r="BO192" s="77">
        <f>IFERROR(U192*H192/G192,0)</f>
        <v>0</v>
      </c>
      <c r="BP192" s="77">
        <f>IFERROR(V192*H192/G192,0)</f>
        <v>0</v>
      </c>
      <c r="BQ192" s="77">
        <f>IFERROR(1/I192*(U192/G192),0)</f>
        <v>0</v>
      </c>
      <c r="BR192" s="77">
        <f>IFERROR(1/I192*(V192/G192),0)</f>
        <v>0</v>
      </c>
      <c r="BS192" s="77">
        <f>IFERROR(W192*H192/G192,0)</f>
        <v>0</v>
      </c>
      <c r="BT192" s="77">
        <f>IFERROR(X192*H192/G192,0)</f>
        <v>0</v>
      </c>
      <c r="BU192" s="77">
        <f>IFERROR(1/I192*(W192/G192),0)</f>
        <v>0</v>
      </c>
      <c r="BV192" s="77">
        <f>IFERROR(1/I192*(X192/G192),0)</f>
        <v>0</v>
      </c>
      <c r="BW192" s="77">
        <f>IFERROR(Y192*H192/G192,0)</f>
        <v>0</v>
      </c>
      <c r="BX192" s="77">
        <f>IFERROR(Z192*H192/G192,0)</f>
        <v>0</v>
      </c>
      <c r="BY192" s="77">
        <f>IFERROR(1/I192*(Y192/G192),0)</f>
        <v>0</v>
      </c>
      <c r="BZ192" s="77">
        <f>IFERROR(1/I192*(Z192/G192),0)</f>
        <v>0</v>
      </c>
      <c r="CA192" s="77">
        <f>IFERROR(AA192*H192/G192,0)</f>
        <v>0</v>
      </c>
      <c r="CB192" s="77">
        <f>IFERROR(AB192*H192/G192,0)</f>
        <v>0</v>
      </c>
      <c r="CC192" s="77">
        <f>IFERROR(1/I192*(AA192/G192),0)</f>
        <v>0</v>
      </c>
      <c r="CD192" s="77">
        <f>IFERROR(1/I192*(AB192/G192),0)</f>
        <v>0</v>
      </c>
    </row>
    <row r="193" spans="1:82" hidden="1" x14ac:dyDescent="0.2">
      <c r="A193" s="420"/>
      <c r="B193" s="420"/>
      <c r="C193" s="420"/>
      <c r="D193" s="420"/>
      <c r="E193" s="420"/>
      <c r="F193" s="420"/>
      <c r="G193" s="420"/>
      <c r="H193" s="420"/>
      <c r="I193" s="420"/>
      <c r="J193" s="420"/>
      <c r="K193" s="420"/>
      <c r="L193" s="420"/>
      <c r="M193" s="420"/>
      <c r="N193" s="420"/>
      <c r="O193" s="426" t="s">
        <v>43</v>
      </c>
      <c r="P193" s="427"/>
      <c r="Q193" s="427"/>
      <c r="R193" s="427"/>
      <c r="S193" s="427"/>
      <c r="T193" s="39" t="s">
        <v>42</v>
      </c>
      <c r="U193" s="50">
        <f>IFERROR(U192/G192,0)</f>
        <v>0</v>
      </c>
      <c r="V193" s="50">
        <f>IFERROR(V192/G192,0)</f>
        <v>0</v>
      </c>
      <c r="W193" s="50">
        <f>IFERROR(W192/G192,0)</f>
        <v>0</v>
      </c>
      <c r="X193" s="50">
        <f>IFERROR(X192/G192,0)</f>
        <v>0</v>
      </c>
      <c r="Y193" s="50">
        <f>IFERROR(Y192/G192,0)</f>
        <v>0</v>
      </c>
      <c r="Z193" s="50">
        <f>IFERROR(Z192/G192,0)</f>
        <v>0</v>
      </c>
      <c r="AA193" s="50">
        <f>IFERROR(AA192/G192,0)</f>
        <v>0</v>
      </c>
      <c r="AB193" s="50">
        <f>IFERROR(AB192/G192,0)</f>
        <v>0</v>
      </c>
      <c r="AC193" s="50">
        <f>IFERROR(IF(AC192="",0,AC192),0)</f>
        <v>0</v>
      </c>
      <c r="AD193" s="3"/>
      <c r="AE193" s="72"/>
      <c r="AF193" s="3"/>
      <c r="AG193" s="3"/>
      <c r="AH193" s="3"/>
      <c r="AI193" s="3"/>
      <c r="AJ193" s="3"/>
      <c r="AK193" s="3"/>
      <c r="AL193" s="62"/>
      <c r="AM193" s="62"/>
      <c r="AN193" s="62"/>
      <c r="AO193" s="3"/>
      <c r="AP193" s="3"/>
      <c r="AQ193" s="2"/>
      <c r="AR193" s="2"/>
      <c r="AS193" s="2"/>
      <c r="AT193" s="2"/>
      <c r="AU193" s="20"/>
      <c r="AV193" s="20"/>
      <c r="AW193" s="21"/>
    </row>
    <row r="194" spans="1:82" hidden="1" x14ac:dyDescent="0.2">
      <c r="A194" s="420"/>
      <c r="B194" s="420"/>
      <c r="C194" s="420"/>
      <c r="D194" s="420"/>
      <c r="E194" s="420"/>
      <c r="F194" s="420"/>
      <c r="G194" s="420"/>
      <c r="H194" s="420"/>
      <c r="I194" s="420"/>
      <c r="J194" s="420"/>
      <c r="K194" s="420"/>
      <c r="L194" s="420"/>
      <c r="M194" s="420"/>
      <c r="N194" s="420"/>
      <c r="O194" s="426" t="s">
        <v>43</v>
      </c>
      <c r="P194" s="427"/>
      <c r="Q194" s="427"/>
      <c r="R194" s="427"/>
      <c r="S194" s="427"/>
      <c r="T194" s="39" t="s">
        <v>0</v>
      </c>
      <c r="U194" s="102">
        <f t="shared" ref="U194:AB194" si="50">IFERROR(SUM(U192:U192),0)</f>
        <v>0</v>
      </c>
      <c r="V194" s="102">
        <f t="shared" si="50"/>
        <v>0</v>
      </c>
      <c r="W194" s="102">
        <f t="shared" si="50"/>
        <v>0</v>
      </c>
      <c r="X194" s="102">
        <f t="shared" si="50"/>
        <v>0</v>
      </c>
      <c r="Y194" s="102">
        <f t="shared" si="50"/>
        <v>0</v>
      </c>
      <c r="Z194" s="102">
        <f t="shared" si="50"/>
        <v>0</v>
      </c>
      <c r="AA194" s="102">
        <f t="shared" si="50"/>
        <v>0</v>
      </c>
      <c r="AB194" s="102">
        <f t="shared" si="50"/>
        <v>0</v>
      </c>
      <c r="AC194" s="50" t="s">
        <v>57</v>
      </c>
      <c r="AD194" s="3"/>
      <c r="AE194" s="72"/>
      <c r="AF194" s="3"/>
      <c r="AG194" s="3"/>
      <c r="AH194" s="3"/>
      <c r="AI194" s="3"/>
      <c r="AJ194" s="3"/>
      <c r="AK194" s="3"/>
      <c r="AL194" s="62"/>
      <c r="AM194" s="62"/>
      <c r="AN194" s="62"/>
      <c r="AO194" s="3"/>
      <c r="AP194" s="3"/>
      <c r="AQ194" s="2"/>
      <c r="AR194" s="2"/>
      <c r="AS194" s="2"/>
      <c r="AT194" s="2"/>
      <c r="AU194" s="20"/>
      <c r="AV194" s="20"/>
      <c r="AW194" s="21"/>
    </row>
    <row r="195" spans="1:82" ht="15" hidden="1" x14ac:dyDescent="0.25">
      <c r="A195" s="428" t="s">
        <v>129</v>
      </c>
      <c r="B195" s="429"/>
      <c r="C195" s="429"/>
      <c r="D195" s="429"/>
      <c r="E195" s="429"/>
      <c r="F195" s="429"/>
      <c r="G195" s="429"/>
      <c r="H195" s="429"/>
      <c r="I195" s="429"/>
      <c r="J195" s="429"/>
      <c r="K195" s="429"/>
      <c r="L195" s="429"/>
      <c r="M195" s="429"/>
      <c r="N195" s="429"/>
      <c r="O195" s="429"/>
      <c r="P195" s="429"/>
      <c r="Q195" s="429"/>
      <c r="R195" s="429"/>
      <c r="S195" s="429"/>
      <c r="T195" s="429"/>
      <c r="U195" s="429"/>
      <c r="V195" s="429"/>
      <c r="W195" s="429"/>
      <c r="X195" s="430"/>
      <c r="Y195" s="430"/>
      <c r="Z195" s="430"/>
      <c r="AA195" s="431"/>
      <c r="AB195" s="431"/>
      <c r="AC195" s="431"/>
      <c r="AD195" s="431"/>
      <c r="AE195" s="432"/>
      <c r="AF195" s="433"/>
      <c r="AG195" s="2"/>
      <c r="AH195" s="2"/>
      <c r="AI195" s="2"/>
      <c r="AJ195" s="2"/>
      <c r="AK195" s="61"/>
      <c r="AL195" s="61"/>
      <c r="AM195" s="61"/>
      <c r="AN195" s="2"/>
      <c r="AO195" s="2"/>
      <c r="AP195" s="2"/>
      <c r="AQ195" s="2"/>
      <c r="AR195" s="2"/>
    </row>
    <row r="196" spans="1:82" hidden="1" x14ac:dyDescent="0.2">
      <c r="A196" s="79" t="s">
        <v>300</v>
      </c>
      <c r="B196" s="80" t="s">
        <v>301</v>
      </c>
      <c r="C196" s="80">
        <v>4301031305</v>
      </c>
      <c r="D196" s="80">
        <v>4607091389845</v>
      </c>
      <c r="E196" s="81">
        <v>0.35</v>
      </c>
      <c r="F196" s="82">
        <v>6</v>
      </c>
      <c r="G196" s="81">
        <v>2.1</v>
      </c>
      <c r="H196" s="81">
        <v>2.2000000000000002</v>
      </c>
      <c r="I196" s="83">
        <v>234</v>
      </c>
      <c r="J196" s="83" t="s">
        <v>133</v>
      </c>
      <c r="K196" s="84" t="s">
        <v>132</v>
      </c>
      <c r="L196" s="84"/>
      <c r="M196" s="423">
        <v>40</v>
      </c>
      <c r="N196" s="423"/>
      <c r="O196" s="52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P196" s="425"/>
      <c r="Q196" s="425"/>
      <c r="R196" s="425"/>
      <c r="S196" s="425"/>
      <c r="T196" s="85" t="s">
        <v>0</v>
      </c>
      <c r="U196" s="65">
        <v>0</v>
      </c>
      <c r="V196" s="66">
        <f>IFERROR(IF(U196="",0,CEILING((U196/$G196),1)*$G196),"")</f>
        <v>0</v>
      </c>
      <c r="W196" s="65">
        <v>0</v>
      </c>
      <c r="X196" s="66">
        <f>IFERROR(IF(W196="",0,CEILING((W196/$G196),1)*$G196),"")</f>
        <v>0</v>
      </c>
      <c r="Y196" s="65">
        <v>0</v>
      </c>
      <c r="Z196" s="66">
        <f>IFERROR(IF(Y196="",0,CEILING((Y196/$G196),1)*$G196),"")</f>
        <v>0</v>
      </c>
      <c r="AA196" s="65">
        <v>0</v>
      </c>
      <c r="AB196" s="66">
        <f>IFERROR(IF(AA196="",0,CEILING((AA196/$G196),1)*$G196),"")</f>
        <v>0</v>
      </c>
      <c r="AC196" s="67" t="str">
        <f>IF(IFERROR(ROUNDUP(V196/G196,0)*0.00502,0)+IFERROR(ROUNDUP(X196/G196,0)*0.00502,0)+IFERROR(ROUNDUP(Z196/G196,0)*0.00502,0)+IFERROR(ROUNDUP(AB196/G196,0)*0.00502,0)=0,"",IFERROR(ROUNDUP(V196/G196,0)*0.00502,0)+IFERROR(ROUNDUP(X196/G196,0)*0.00502,0)+IFERROR(ROUNDUP(Z196/G196,0)*0.00502,0)+IFERROR(ROUNDUP(AB196/G196,0)*0.00502,0))</f>
        <v/>
      </c>
      <c r="AD196" s="79" t="s">
        <v>57</v>
      </c>
      <c r="AE196" s="79" t="s">
        <v>57</v>
      </c>
      <c r="AF196" s="241" t="s">
        <v>302</v>
      </c>
      <c r="AG196" s="2"/>
      <c r="AH196" s="2"/>
      <c r="AI196" s="2"/>
      <c r="AJ196" s="2"/>
      <c r="AK196" s="2"/>
      <c r="AL196" s="61"/>
      <c r="AM196" s="61"/>
      <c r="AN196" s="61"/>
      <c r="AO196" s="2"/>
      <c r="AP196" s="2"/>
      <c r="AQ196" s="2"/>
      <c r="AR196" s="2"/>
      <c r="AS196" s="2"/>
      <c r="AT196" s="2"/>
      <c r="AU196" s="20"/>
      <c r="AV196" s="20"/>
      <c r="AW196" s="21"/>
      <c r="BB196" s="240" t="s">
        <v>65</v>
      </c>
      <c r="BO196" s="77">
        <f>IFERROR(U196*H196/G196,0)</f>
        <v>0</v>
      </c>
      <c r="BP196" s="77">
        <f>IFERROR(V196*H196/G196,0)</f>
        <v>0</v>
      </c>
      <c r="BQ196" s="77">
        <f>IFERROR(1/I196*(U196/G196),0)</f>
        <v>0</v>
      </c>
      <c r="BR196" s="77">
        <f>IFERROR(1/I196*(V196/G196),0)</f>
        <v>0</v>
      </c>
      <c r="BS196" s="77">
        <f>IFERROR(W196*H196/G196,0)</f>
        <v>0</v>
      </c>
      <c r="BT196" s="77">
        <f>IFERROR(X196*H196/G196,0)</f>
        <v>0</v>
      </c>
      <c r="BU196" s="77">
        <f>IFERROR(1/I196*(W196/G196),0)</f>
        <v>0</v>
      </c>
      <c r="BV196" s="77">
        <f>IFERROR(1/I196*(X196/G196),0)</f>
        <v>0</v>
      </c>
      <c r="BW196" s="77">
        <f>IFERROR(Y196*H196/G196,0)</f>
        <v>0</v>
      </c>
      <c r="BX196" s="77">
        <f>IFERROR(Z196*H196/G196,0)</f>
        <v>0</v>
      </c>
      <c r="BY196" s="77">
        <f>IFERROR(1/I196*(Y196/G196),0)</f>
        <v>0</v>
      </c>
      <c r="BZ196" s="77">
        <f>IFERROR(1/I196*(Z196/G196),0)</f>
        <v>0</v>
      </c>
      <c r="CA196" s="77">
        <f>IFERROR(AA196*H196/G196,0)</f>
        <v>0</v>
      </c>
      <c r="CB196" s="77">
        <f>IFERROR(AB196*H196/G196,0)</f>
        <v>0</v>
      </c>
      <c r="CC196" s="77">
        <f>IFERROR(1/I196*(AA196/G196),0)</f>
        <v>0</v>
      </c>
      <c r="CD196" s="77">
        <f>IFERROR(1/I196*(AB196/G196),0)</f>
        <v>0</v>
      </c>
    </row>
    <row r="197" spans="1:82" hidden="1" x14ac:dyDescent="0.2">
      <c r="A197" s="79" t="s">
        <v>303</v>
      </c>
      <c r="B197" s="80" t="s">
        <v>304</v>
      </c>
      <c r="C197" s="80">
        <v>4301031377</v>
      </c>
      <c r="D197" s="80">
        <v>4680115882881</v>
      </c>
      <c r="E197" s="81">
        <v>0.28000000000000003</v>
      </c>
      <c r="F197" s="82">
        <v>6</v>
      </c>
      <c r="G197" s="81">
        <v>1.68</v>
      </c>
      <c r="H197" s="81">
        <v>1.81</v>
      </c>
      <c r="I197" s="83">
        <v>234</v>
      </c>
      <c r="J197" s="83" t="s">
        <v>133</v>
      </c>
      <c r="K197" s="84" t="s">
        <v>132</v>
      </c>
      <c r="L197" s="84"/>
      <c r="M197" s="423">
        <v>40</v>
      </c>
      <c r="N197" s="423"/>
      <c r="O197" s="519" t="str">
        <f>HYPERLINK("https://abi.ru/products/Охлажденные/Стародворье/Филедворская EDLP/EDPP/Копченые колбасы/P004667/","В/к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P197" s="425"/>
      <c r="Q197" s="425"/>
      <c r="R197" s="425"/>
      <c r="S197" s="425"/>
      <c r="T197" s="85" t="s">
        <v>0</v>
      </c>
      <c r="U197" s="65">
        <v>0</v>
      </c>
      <c r="V197" s="66">
        <f>IFERROR(IF(U197="",0,CEILING((U197/$G197),1)*$G197),"")</f>
        <v>0</v>
      </c>
      <c r="W197" s="65">
        <v>0</v>
      </c>
      <c r="X197" s="66">
        <f>IFERROR(IF(W197="",0,CEILING((W197/$G197),1)*$G197),"")</f>
        <v>0</v>
      </c>
      <c r="Y197" s="65">
        <v>0</v>
      </c>
      <c r="Z197" s="66">
        <f>IFERROR(IF(Y197="",0,CEILING((Y197/$G197),1)*$G197),"")</f>
        <v>0</v>
      </c>
      <c r="AA197" s="65">
        <v>0</v>
      </c>
      <c r="AB197" s="66">
        <f>IFERROR(IF(AA197="",0,CEILING((AA197/$G197),1)*$G197),"")</f>
        <v>0</v>
      </c>
      <c r="AC197" s="67" t="str">
        <f>IF(IFERROR(ROUNDUP(V197/G197,0)*0.00502,0)+IFERROR(ROUNDUP(X197/G197,0)*0.00502,0)+IFERROR(ROUNDUP(Z197/G197,0)*0.00502,0)+IFERROR(ROUNDUP(AB197/G197,0)*0.00502,0)=0,"",IFERROR(ROUNDUP(V197/G197,0)*0.00502,0)+IFERROR(ROUNDUP(X197/G197,0)*0.00502,0)+IFERROR(ROUNDUP(Z197/G197,0)*0.00502,0)+IFERROR(ROUNDUP(AB197/G197,0)*0.00502,0))</f>
        <v/>
      </c>
      <c r="AD197" s="79" t="s">
        <v>57</v>
      </c>
      <c r="AE197" s="79" t="s">
        <v>57</v>
      </c>
      <c r="AF197" s="243" t="s">
        <v>302</v>
      </c>
      <c r="AG197" s="2"/>
      <c r="AH197" s="2"/>
      <c r="AI197" s="2"/>
      <c r="AJ197" s="2"/>
      <c r="AK197" s="2"/>
      <c r="AL197" s="61"/>
      <c r="AM197" s="61"/>
      <c r="AN197" s="61"/>
      <c r="AO197" s="2"/>
      <c r="AP197" s="2"/>
      <c r="AQ197" s="2"/>
      <c r="AR197" s="2"/>
      <c r="AS197" s="2"/>
      <c r="AT197" s="2"/>
      <c r="AU197" s="20"/>
      <c r="AV197" s="20"/>
      <c r="AW197" s="21"/>
      <c r="BB197" s="242" t="s">
        <v>65</v>
      </c>
      <c r="BO197" s="77">
        <f>IFERROR(U197*H197/G197,0)</f>
        <v>0</v>
      </c>
      <c r="BP197" s="77">
        <f>IFERROR(V197*H197/G197,0)</f>
        <v>0</v>
      </c>
      <c r="BQ197" s="77">
        <f>IFERROR(1/I197*(U197/G197),0)</f>
        <v>0</v>
      </c>
      <c r="BR197" s="77">
        <f>IFERROR(1/I197*(V197/G197),0)</f>
        <v>0</v>
      </c>
      <c r="BS197" s="77">
        <f>IFERROR(W197*H197/G197,0)</f>
        <v>0</v>
      </c>
      <c r="BT197" s="77">
        <f>IFERROR(X197*H197/G197,0)</f>
        <v>0</v>
      </c>
      <c r="BU197" s="77">
        <f>IFERROR(1/I197*(W197/G197),0)</f>
        <v>0</v>
      </c>
      <c r="BV197" s="77">
        <f>IFERROR(1/I197*(X197/G197),0)</f>
        <v>0</v>
      </c>
      <c r="BW197" s="77">
        <f>IFERROR(Y197*H197/G197,0)</f>
        <v>0</v>
      </c>
      <c r="BX197" s="77">
        <f>IFERROR(Z197*H197/G197,0)</f>
        <v>0</v>
      </c>
      <c r="BY197" s="77">
        <f>IFERROR(1/I197*(Y197/G197),0)</f>
        <v>0</v>
      </c>
      <c r="BZ197" s="77">
        <f>IFERROR(1/I197*(Z197/G197),0)</f>
        <v>0</v>
      </c>
      <c r="CA197" s="77">
        <f>IFERROR(AA197*H197/G197,0)</f>
        <v>0</v>
      </c>
      <c r="CB197" s="77">
        <f>IFERROR(AB197*H197/G197,0)</f>
        <v>0</v>
      </c>
      <c r="CC197" s="77">
        <f>IFERROR(1/I197*(AA197/G197),0)</f>
        <v>0</v>
      </c>
      <c r="CD197" s="77">
        <f>IFERROR(1/I197*(AB197/G197),0)</f>
        <v>0</v>
      </c>
    </row>
    <row r="198" spans="1:82" hidden="1" x14ac:dyDescent="0.2">
      <c r="A198" s="420"/>
      <c r="B198" s="420"/>
      <c r="C198" s="420"/>
      <c r="D198" s="420"/>
      <c r="E198" s="420"/>
      <c r="F198" s="420"/>
      <c r="G198" s="420"/>
      <c r="H198" s="420"/>
      <c r="I198" s="420"/>
      <c r="J198" s="420"/>
      <c r="K198" s="420"/>
      <c r="L198" s="420"/>
      <c r="M198" s="420"/>
      <c r="N198" s="420"/>
      <c r="O198" s="426" t="s">
        <v>43</v>
      </c>
      <c r="P198" s="427"/>
      <c r="Q198" s="427"/>
      <c r="R198" s="427"/>
      <c r="S198" s="427"/>
      <c r="T198" s="39" t="s">
        <v>42</v>
      </c>
      <c r="U198" s="50">
        <f>IFERROR(U196/G196,0)+IFERROR(U197/G197,0)</f>
        <v>0</v>
      </c>
      <c r="V198" s="50">
        <f>IFERROR(V196/G196,0)+IFERROR(V197/G197,0)</f>
        <v>0</v>
      </c>
      <c r="W198" s="50">
        <f>IFERROR(W196/G196,0)+IFERROR(W197/G197,0)</f>
        <v>0</v>
      </c>
      <c r="X198" s="50">
        <f>IFERROR(X196/G196,0)+IFERROR(X197/G197,0)</f>
        <v>0</v>
      </c>
      <c r="Y198" s="50">
        <f>IFERROR(Y196/G196,0)+IFERROR(Y197/G197,0)</f>
        <v>0</v>
      </c>
      <c r="Z198" s="50">
        <f>IFERROR(Z196/G196,0)+IFERROR(Z197/G197,0)</f>
        <v>0</v>
      </c>
      <c r="AA198" s="50">
        <f>IFERROR(AA196/G196,0)+IFERROR(AA197/G197,0)</f>
        <v>0</v>
      </c>
      <c r="AB198" s="50">
        <f>IFERROR(AB196/G196,0)+IFERROR(AB197/G197,0)</f>
        <v>0</v>
      </c>
      <c r="AC198" s="50">
        <f>IFERROR(IF(AC196="",0,AC196),0)+IFERROR(IF(AC197="",0,AC197),0)</f>
        <v>0</v>
      </c>
      <c r="AD198" s="3"/>
      <c r="AE198" s="72"/>
      <c r="AF198" s="3"/>
      <c r="AG198" s="3"/>
      <c r="AH198" s="3"/>
      <c r="AI198" s="3"/>
      <c r="AJ198" s="3"/>
      <c r="AK198" s="3"/>
      <c r="AL198" s="62"/>
      <c r="AM198" s="62"/>
      <c r="AN198" s="62"/>
      <c r="AO198" s="3"/>
      <c r="AP198" s="3"/>
      <c r="AQ198" s="2"/>
      <c r="AR198" s="2"/>
      <c r="AS198" s="2"/>
      <c r="AT198" s="2"/>
      <c r="AU198" s="20"/>
      <c r="AV198" s="20"/>
      <c r="AW198" s="21"/>
    </row>
    <row r="199" spans="1:82" hidden="1" x14ac:dyDescent="0.2">
      <c r="A199" s="420"/>
      <c r="B199" s="420"/>
      <c r="C199" s="420"/>
      <c r="D199" s="420"/>
      <c r="E199" s="420"/>
      <c r="F199" s="420"/>
      <c r="G199" s="420"/>
      <c r="H199" s="420"/>
      <c r="I199" s="420"/>
      <c r="J199" s="420"/>
      <c r="K199" s="420"/>
      <c r="L199" s="420"/>
      <c r="M199" s="420"/>
      <c r="N199" s="420"/>
      <c r="O199" s="426" t="s">
        <v>43</v>
      </c>
      <c r="P199" s="427"/>
      <c r="Q199" s="427"/>
      <c r="R199" s="427"/>
      <c r="S199" s="427"/>
      <c r="T199" s="39" t="s">
        <v>0</v>
      </c>
      <c r="U199" s="102">
        <f t="shared" ref="U199:AB199" si="51">IFERROR(SUM(U196:U197),0)</f>
        <v>0</v>
      </c>
      <c r="V199" s="102">
        <f t="shared" si="51"/>
        <v>0</v>
      </c>
      <c r="W199" s="102">
        <f t="shared" si="51"/>
        <v>0</v>
      </c>
      <c r="X199" s="102">
        <f t="shared" si="51"/>
        <v>0</v>
      </c>
      <c r="Y199" s="102">
        <f t="shared" si="51"/>
        <v>0</v>
      </c>
      <c r="Z199" s="102">
        <f t="shared" si="51"/>
        <v>0</v>
      </c>
      <c r="AA199" s="102">
        <f t="shared" si="51"/>
        <v>0</v>
      </c>
      <c r="AB199" s="102">
        <f t="shared" si="51"/>
        <v>0</v>
      </c>
      <c r="AC199" s="50" t="s">
        <v>57</v>
      </c>
      <c r="AD199" s="3"/>
      <c r="AE199" s="72"/>
      <c r="AF199" s="3"/>
      <c r="AG199" s="3"/>
      <c r="AH199" s="3"/>
      <c r="AI199" s="3"/>
      <c r="AJ199" s="3"/>
      <c r="AK199" s="3"/>
      <c r="AL199" s="62"/>
      <c r="AM199" s="62"/>
      <c r="AN199" s="62"/>
      <c r="AO199" s="3"/>
      <c r="AP199" s="3"/>
      <c r="AQ199" s="2"/>
      <c r="AR199" s="2"/>
      <c r="AS199" s="2"/>
      <c r="AT199" s="2"/>
      <c r="AU199" s="20"/>
      <c r="AV199" s="20"/>
      <c r="AW199" s="21"/>
    </row>
    <row r="200" spans="1:82" ht="15" hidden="1" x14ac:dyDescent="0.25">
      <c r="A200" s="443" t="s">
        <v>305</v>
      </c>
      <c r="B200" s="430"/>
      <c r="C200" s="430"/>
      <c r="D200" s="430"/>
      <c r="E200" s="430"/>
      <c r="F200" s="430"/>
      <c r="G200" s="430"/>
      <c r="H200" s="430"/>
      <c r="I200" s="430"/>
      <c r="J200" s="430"/>
      <c r="K200" s="430"/>
      <c r="L200" s="430"/>
      <c r="M200" s="430"/>
      <c r="N200" s="430"/>
      <c r="O200" s="430"/>
      <c r="P200" s="430"/>
      <c r="Q200" s="430"/>
      <c r="R200" s="430"/>
      <c r="S200" s="430"/>
      <c r="T200" s="430"/>
      <c r="U200" s="430"/>
      <c r="V200" s="430"/>
      <c r="W200" s="430"/>
      <c r="X200" s="430"/>
      <c r="Y200" s="430"/>
      <c r="Z200" s="430"/>
      <c r="AA200" s="431"/>
      <c r="AB200" s="431"/>
      <c r="AC200" s="431"/>
      <c r="AD200" s="431"/>
      <c r="AE200" s="432"/>
      <c r="AF200" s="444"/>
      <c r="AG200" s="2"/>
      <c r="AH200" s="2"/>
      <c r="AI200" s="2"/>
      <c r="AJ200" s="2"/>
      <c r="AK200" s="61"/>
      <c r="AL200" s="61"/>
      <c r="AM200" s="61"/>
      <c r="AN200" s="2"/>
      <c r="AO200" s="2"/>
      <c r="AP200" s="2"/>
      <c r="AQ200" s="2"/>
      <c r="AR200" s="2"/>
    </row>
    <row r="201" spans="1:82" ht="15" hidden="1" x14ac:dyDescent="0.25">
      <c r="A201" s="428" t="s">
        <v>129</v>
      </c>
      <c r="B201" s="429"/>
      <c r="C201" s="429"/>
      <c r="D201" s="429"/>
      <c r="E201" s="429"/>
      <c r="F201" s="429"/>
      <c r="G201" s="429"/>
      <c r="H201" s="429"/>
      <c r="I201" s="429"/>
      <c r="J201" s="429"/>
      <c r="K201" s="429"/>
      <c r="L201" s="429"/>
      <c r="M201" s="429"/>
      <c r="N201" s="429"/>
      <c r="O201" s="429"/>
      <c r="P201" s="429"/>
      <c r="Q201" s="429"/>
      <c r="R201" s="429"/>
      <c r="S201" s="429"/>
      <c r="T201" s="429"/>
      <c r="U201" s="429"/>
      <c r="V201" s="429"/>
      <c r="W201" s="429"/>
      <c r="X201" s="430"/>
      <c r="Y201" s="430"/>
      <c r="Z201" s="430"/>
      <c r="AA201" s="431"/>
      <c r="AB201" s="431"/>
      <c r="AC201" s="431"/>
      <c r="AD201" s="431"/>
      <c r="AE201" s="432"/>
      <c r="AF201" s="433"/>
      <c r="AG201" s="2"/>
      <c r="AH201" s="2"/>
      <c r="AI201" s="2"/>
      <c r="AJ201" s="2"/>
      <c r="AK201" s="61"/>
      <c r="AL201" s="61"/>
      <c r="AM201" s="61"/>
      <c r="AN201" s="2"/>
      <c r="AO201" s="2"/>
      <c r="AP201" s="2"/>
      <c r="AQ201" s="2"/>
      <c r="AR201" s="2"/>
    </row>
    <row r="202" spans="1:82" hidden="1" x14ac:dyDescent="0.2">
      <c r="A202" s="79" t="s">
        <v>306</v>
      </c>
      <c r="B202" s="80" t="s">
        <v>307</v>
      </c>
      <c r="C202" s="80">
        <v>4301031301</v>
      </c>
      <c r="D202" s="80">
        <v>4680115884700</v>
      </c>
      <c r="E202" s="81">
        <v>0.57999999999999996</v>
      </c>
      <c r="F202" s="82">
        <v>6</v>
      </c>
      <c r="G202" s="81">
        <v>3.48</v>
      </c>
      <c r="H202" s="81">
        <v>3.66</v>
      </c>
      <c r="I202" s="83">
        <v>182</v>
      </c>
      <c r="J202" s="83" t="s">
        <v>86</v>
      </c>
      <c r="K202" s="84" t="s">
        <v>132</v>
      </c>
      <c r="L202" s="84"/>
      <c r="M202" s="423">
        <v>40</v>
      </c>
      <c r="N202" s="423"/>
      <c r="O202" s="520" t="str">
        <f>HYPERLINK("https://abi.ru/products/Охлажденные/Стародворье/Мясинская/Копченые колбасы/P004165/","В/к колбасы «Сервелат Мясинский» Фикс.вес 0,58 фиброуз ТМ «Стародворье»")</f>
        <v>В/к колбасы «Сервелат Мясинский» Фикс.вес 0,58 фиброуз ТМ «Стародворье»</v>
      </c>
      <c r="P202" s="425"/>
      <c r="Q202" s="425"/>
      <c r="R202" s="425"/>
      <c r="S202" s="425"/>
      <c r="T202" s="85" t="s">
        <v>0</v>
      </c>
      <c r="U202" s="65">
        <v>0</v>
      </c>
      <c r="V202" s="66">
        <f>IFERROR(IF(U202="",0,CEILING((U202/$G202),1)*$G202),"")</f>
        <v>0</v>
      </c>
      <c r="W202" s="65">
        <v>0</v>
      </c>
      <c r="X202" s="66">
        <f>IFERROR(IF(W202="",0,CEILING((W202/$G202),1)*$G202),"")</f>
        <v>0</v>
      </c>
      <c r="Y202" s="65">
        <v>0</v>
      </c>
      <c r="Z202" s="66">
        <f>IFERROR(IF(Y202="",0,CEILING((Y202/$G202),1)*$G202),"")</f>
        <v>0</v>
      </c>
      <c r="AA202" s="65">
        <v>0</v>
      </c>
      <c r="AB202" s="66">
        <f>IFERROR(IF(AA202="",0,CEILING((AA202/$G202),1)*$G202),"")</f>
        <v>0</v>
      </c>
      <c r="AC202" s="67" t="str">
        <f>IF(IFERROR(ROUNDUP(V202/G202,0)*0.00651,0)+IFERROR(ROUNDUP(X202/G202,0)*0.00651,0)+IFERROR(ROUNDUP(Z202/G202,0)*0.00651,0)+IFERROR(ROUNDUP(AB202/G202,0)*0.00651,0)=0,"",IFERROR(ROUNDUP(V202/G202,0)*0.00651,0)+IFERROR(ROUNDUP(X202/G202,0)*0.00651,0)+IFERROR(ROUNDUP(Z202/G202,0)*0.00651,0)+IFERROR(ROUNDUP(AB202/G202,0)*0.00651,0))</f>
        <v/>
      </c>
      <c r="AD202" s="79" t="s">
        <v>57</v>
      </c>
      <c r="AE202" s="79" t="s">
        <v>57</v>
      </c>
      <c r="AF202" s="245" t="s">
        <v>308</v>
      </c>
      <c r="AG202" s="2"/>
      <c r="AH202" s="2"/>
      <c r="AI202" s="2"/>
      <c r="AJ202" s="2"/>
      <c r="AK202" s="2"/>
      <c r="AL202" s="61"/>
      <c r="AM202" s="61"/>
      <c r="AN202" s="61"/>
      <c r="AO202" s="2"/>
      <c r="AP202" s="2"/>
      <c r="AQ202" s="2"/>
      <c r="AR202" s="2"/>
      <c r="AS202" s="2"/>
      <c r="AT202" s="2"/>
      <c r="AU202" s="20"/>
      <c r="AV202" s="20"/>
      <c r="AW202" s="21"/>
      <c r="BB202" s="244" t="s">
        <v>65</v>
      </c>
      <c r="BO202" s="77">
        <f>IFERROR(U202*H202/G202,0)</f>
        <v>0</v>
      </c>
      <c r="BP202" s="77">
        <f>IFERROR(V202*H202/G202,0)</f>
        <v>0</v>
      </c>
      <c r="BQ202" s="77">
        <f>IFERROR(1/I202*(U202/G202),0)</f>
        <v>0</v>
      </c>
      <c r="BR202" s="77">
        <f>IFERROR(1/I202*(V202/G202),0)</f>
        <v>0</v>
      </c>
      <c r="BS202" s="77">
        <f>IFERROR(W202*H202/G202,0)</f>
        <v>0</v>
      </c>
      <c r="BT202" s="77">
        <f>IFERROR(X202*H202/G202,0)</f>
        <v>0</v>
      </c>
      <c r="BU202" s="77">
        <f>IFERROR(1/I202*(W202/G202),0)</f>
        <v>0</v>
      </c>
      <c r="BV202" s="77">
        <f>IFERROR(1/I202*(X202/G202),0)</f>
        <v>0</v>
      </c>
      <c r="BW202" s="77">
        <f>IFERROR(Y202*H202/G202,0)</f>
        <v>0</v>
      </c>
      <c r="BX202" s="77">
        <f>IFERROR(Z202*H202/G202,0)</f>
        <v>0</v>
      </c>
      <c r="BY202" s="77">
        <f>IFERROR(1/I202*(Y202/G202),0)</f>
        <v>0</v>
      </c>
      <c r="BZ202" s="77">
        <f>IFERROR(1/I202*(Z202/G202),0)</f>
        <v>0</v>
      </c>
      <c r="CA202" s="77">
        <f>IFERROR(AA202*H202/G202,0)</f>
        <v>0</v>
      </c>
      <c r="CB202" s="77">
        <f>IFERROR(AB202*H202/G202,0)</f>
        <v>0</v>
      </c>
      <c r="CC202" s="77">
        <f>IFERROR(1/I202*(AA202/G202),0)</f>
        <v>0</v>
      </c>
      <c r="CD202" s="77">
        <f>IFERROR(1/I202*(AB202/G202),0)</f>
        <v>0</v>
      </c>
    </row>
    <row r="203" spans="1:82" hidden="1" x14ac:dyDescent="0.2">
      <c r="A203" s="420"/>
      <c r="B203" s="420"/>
      <c r="C203" s="420"/>
      <c r="D203" s="420"/>
      <c r="E203" s="420"/>
      <c r="F203" s="420"/>
      <c r="G203" s="420"/>
      <c r="H203" s="420"/>
      <c r="I203" s="420"/>
      <c r="J203" s="420"/>
      <c r="K203" s="420"/>
      <c r="L203" s="420"/>
      <c r="M203" s="420"/>
      <c r="N203" s="420"/>
      <c r="O203" s="426" t="s">
        <v>43</v>
      </c>
      <c r="P203" s="427"/>
      <c r="Q203" s="427"/>
      <c r="R203" s="427"/>
      <c r="S203" s="427"/>
      <c r="T203" s="39" t="s">
        <v>42</v>
      </c>
      <c r="U203" s="50">
        <f>IFERROR(U202/G202,0)</f>
        <v>0</v>
      </c>
      <c r="V203" s="50">
        <f>IFERROR(V202/G202,0)</f>
        <v>0</v>
      </c>
      <c r="W203" s="50">
        <f>IFERROR(W202/G202,0)</f>
        <v>0</v>
      </c>
      <c r="X203" s="50">
        <f>IFERROR(X202/G202,0)</f>
        <v>0</v>
      </c>
      <c r="Y203" s="50">
        <f>IFERROR(Y202/G202,0)</f>
        <v>0</v>
      </c>
      <c r="Z203" s="50">
        <f>IFERROR(Z202/G202,0)</f>
        <v>0</v>
      </c>
      <c r="AA203" s="50">
        <f>IFERROR(AA202/G202,0)</f>
        <v>0</v>
      </c>
      <c r="AB203" s="50">
        <f>IFERROR(AB202/G202,0)</f>
        <v>0</v>
      </c>
      <c r="AC203" s="50">
        <f>IFERROR(IF(AC202="",0,AC202),0)</f>
        <v>0</v>
      </c>
      <c r="AD203" s="3"/>
      <c r="AE203" s="72"/>
      <c r="AF203" s="3"/>
      <c r="AG203" s="3"/>
      <c r="AH203" s="3"/>
      <c r="AI203" s="3"/>
      <c r="AJ203" s="3"/>
      <c r="AK203" s="3"/>
      <c r="AL203" s="62"/>
      <c r="AM203" s="62"/>
      <c r="AN203" s="62"/>
      <c r="AO203" s="3"/>
      <c r="AP203" s="3"/>
      <c r="AQ203" s="2"/>
      <c r="AR203" s="2"/>
      <c r="AS203" s="2"/>
      <c r="AT203" s="2"/>
      <c r="AU203" s="20"/>
      <c r="AV203" s="20"/>
      <c r="AW203" s="21"/>
    </row>
    <row r="204" spans="1:82" hidden="1" x14ac:dyDescent="0.2">
      <c r="A204" s="420"/>
      <c r="B204" s="420"/>
      <c r="C204" s="420"/>
      <c r="D204" s="420"/>
      <c r="E204" s="420"/>
      <c r="F204" s="420"/>
      <c r="G204" s="420"/>
      <c r="H204" s="420"/>
      <c r="I204" s="420"/>
      <c r="J204" s="420"/>
      <c r="K204" s="420"/>
      <c r="L204" s="420"/>
      <c r="M204" s="420"/>
      <c r="N204" s="420"/>
      <c r="O204" s="426" t="s">
        <v>43</v>
      </c>
      <c r="P204" s="427"/>
      <c r="Q204" s="427"/>
      <c r="R204" s="427"/>
      <c r="S204" s="427"/>
      <c r="T204" s="39" t="s">
        <v>0</v>
      </c>
      <c r="U204" s="102">
        <f t="shared" ref="U204:AB204" si="52">IFERROR(SUM(U202:U202),0)</f>
        <v>0</v>
      </c>
      <c r="V204" s="102">
        <f t="shared" si="52"/>
        <v>0</v>
      </c>
      <c r="W204" s="102">
        <f t="shared" si="52"/>
        <v>0</v>
      </c>
      <c r="X204" s="102">
        <f t="shared" si="52"/>
        <v>0</v>
      </c>
      <c r="Y204" s="102">
        <f t="shared" si="52"/>
        <v>0</v>
      </c>
      <c r="Z204" s="102">
        <f t="shared" si="52"/>
        <v>0</v>
      </c>
      <c r="AA204" s="102">
        <f t="shared" si="52"/>
        <v>0</v>
      </c>
      <c r="AB204" s="102">
        <f t="shared" si="52"/>
        <v>0</v>
      </c>
      <c r="AC204" s="50" t="s">
        <v>57</v>
      </c>
      <c r="AD204" s="3"/>
      <c r="AE204" s="72"/>
      <c r="AF204" s="3"/>
      <c r="AG204" s="3"/>
      <c r="AH204" s="3"/>
      <c r="AI204" s="3"/>
      <c r="AJ204" s="3"/>
      <c r="AK204" s="3"/>
      <c r="AL204" s="62"/>
      <c r="AM204" s="62"/>
      <c r="AN204" s="62"/>
      <c r="AO204" s="3"/>
      <c r="AP204" s="3"/>
      <c r="AQ204" s="2"/>
      <c r="AR204" s="2"/>
      <c r="AS204" s="2"/>
      <c r="AT204" s="2"/>
      <c r="AU204" s="20"/>
      <c r="AV204" s="20"/>
      <c r="AW204" s="21"/>
    </row>
    <row r="205" spans="1:82" ht="15" hidden="1" x14ac:dyDescent="0.25">
      <c r="A205" s="428" t="s">
        <v>82</v>
      </c>
      <c r="B205" s="429"/>
      <c r="C205" s="429"/>
      <c r="D205" s="429"/>
      <c r="E205" s="429"/>
      <c r="F205" s="429"/>
      <c r="G205" s="429"/>
      <c r="H205" s="429"/>
      <c r="I205" s="429"/>
      <c r="J205" s="429"/>
      <c r="K205" s="429"/>
      <c r="L205" s="429"/>
      <c r="M205" s="429"/>
      <c r="N205" s="429"/>
      <c r="O205" s="429"/>
      <c r="P205" s="429"/>
      <c r="Q205" s="429"/>
      <c r="R205" s="429"/>
      <c r="S205" s="429"/>
      <c r="T205" s="429"/>
      <c r="U205" s="429"/>
      <c r="V205" s="429"/>
      <c r="W205" s="429"/>
      <c r="X205" s="430"/>
      <c r="Y205" s="430"/>
      <c r="Z205" s="430"/>
      <c r="AA205" s="431"/>
      <c r="AB205" s="431"/>
      <c r="AC205" s="431"/>
      <c r="AD205" s="431"/>
      <c r="AE205" s="432"/>
      <c r="AF205" s="433"/>
      <c r="AG205" s="2"/>
      <c r="AH205" s="2"/>
      <c r="AI205" s="2"/>
      <c r="AJ205" s="2"/>
      <c r="AK205" s="61"/>
      <c r="AL205" s="61"/>
      <c r="AM205" s="61"/>
      <c r="AN205" s="2"/>
      <c r="AO205" s="2"/>
      <c r="AP205" s="2"/>
      <c r="AQ205" s="2"/>
      <c r="AR205" s="2"/>
    </row>
    <row r="206" spans="1:82" hidden="1" x14ac:dyDescent="0.2">
      <c r="A206" s="79" t="s">
        <v>309</v>
      </c>
      <c r="B206" s="80" t="s">
        <v>310</v>
      </c>
      <c r="C206" s="80">
        <v>4301051942</v>
      </c>
      <c r="D206" s="80">
        <v>4680115884069</v>
      </c>
      <c r="E206" s="81">
        <v>0.45</v>
      </c>
      <c r="F206" s="82">
        <v>6</v>
      </c>
      <c r="G206" s="81">
        <v>2.7</v>
      </c>
      <c r="H206" s="81">
        <v>2.952</v>
      </c>
      <c r="I206" s="83">
        <v>182</v>
      </c>
      <c r="J206" s="83" t="s">
        <v>86</v>
      </c>
      <c r="K206" s="84" t="s">
        <v>85</v>
      </c>
      <c r="L206" s="84"/>
      <c r="M206" s="423">
        <v>40</v>
      </c>
      <c r="N206" s="423"/>
      <c r="O206" s="518" t="str">
        <f>HYPERLINK("https://abi.ru/products/Охлажденные/Стародворье/Мясинская/Сосиски/P003915/","Сосиски «Мясинские с сыром» ф/в 0,45 п/а мгс ТМ «Стародворье»")</f>
        <v>Сосиски «Мясинские с сыром» ф/в 0,45 п/а мгс ТМ «Стародворье»</v>
      </c>
      <c r="P206" s="425"/>
      <c r="Q206" s="425"/>
      <c r="R206" s="425"/>
      <c r="S206" s="425"/>
      <c r="T206" s="85" t="s">
        <v>0</v>
      </c>
      <c r="U206" s="65">
        <v>0</v>
      </c>
      <c r="V206" s="66">
        <f>IFERROR(IF(U206="",0,CEILING((U206/$G206),1)*$G206),"")</f>
        <v>0</v>
      </c>
      <c r="W206" s="65">
        <v>0</v>
      </c>
      <c r="X206" s="66">
        <f>IFERROR(IF(W206="",0,CEILING((W206/$G206),1)*$G206),"")</f>
        <v>0</v>
      </c>
      <c r="Y206" s="65">
        <v>0</v>
      </c>
      <c r="Z206" s="66">
        <f>IFERROR(IF(Y206="",0,CEILING((Y206/$G206),1)*$G206),"")</f>
        <v>0</v>
      </c>
      <c r="AA206" s="65">
        <v>0</v>
      </c>
      <c r="AB206" s="66">
        <f>IFERROR(IF(AA206="",0,CEILING((AA206/$G206),1)*$G206),"")</f>
        <v>0</v>
      </c>
      <c r="AC206" s="67" t="str">
        <f>IF(IFERROR(ROUNDUP(V206/G206,0)*0.00651,0)+IFERROR(ROUNDUP(X206/G206,0)*0.00651,0)+IFERROR(ROUNDUP(Z206/G206,0)*0.00651,0)+IFERROR(ROUNDUP(AB206/G206,0)*0.00651,0)=0,"",IFERROR(ROUNDUP(V206/G206,0)*0.00651,0)+IFERROR(ROUNDUP(X206/G206,0)*0.00651,0)+IFERROR(ROUNDUP(Z206/G206,0)*0.00651,0)+IFERROR(ROUNDUP(AB206/G206,0)*0.00651,0))</f>
        <v/>
      </c>
      <c r="AD206" s="79" t="s">
        <v>57</v>
      </c>
      <c r="AE206" s="79" t="s">
        <v>57</v>
      </c>
      <c r="AF206" s="247" t="s">
        <v>311</v>
      </c>
      <c r="AG206" s="2"/>
      <c r="AH206" s="2"/>
      <c r="AI206" s="2"/>
      <c r="AJ206" s="2"/>
      <c r="AK206" s="2"/>
      <c r="AL206" s="61"/>
      <c r="AM206" s="61"/>
      <c r="AN206" s="61"/>
      <c r="AO206" s="2"/>
      <c r="AP206" s="2"/>
      <c r="AQ206" s="2"/>
      <c r="AR206" s="2"/>
      <c r="AS206" s="2"/>
      <c r="AT206" s="2"/>
      <c r="AU206" s="20"/>
      <c r="AV206" s="20"/>
      <c r="AW206" s="21"/>
      <c r="BB206" s="246" t="s">
        <v>65</v>
      </c>
      <c r="BO206" s="77">
        <f>IFERROR(U206*H206/G206,0)</f>
        <v>0</v>
      </c>
      <c r="BP206" s="77">
        <f>IFERROR(V206*H206/G206,0)</f>
        <v>0</v>
      </c>
      <c r="BQ206" s="77">
        <f>IFERROR(1/I206*(U206/G206),0)</f>
        <v>0</v>
      </c>
      <c r="BR206" s="77">
        <f>IFERROR(1/I206*(V206/G206),0)</f>
        <v>0</v>
      </c>
      <c r="BS206" s="77">
        <f>IFERROR(W206*H206/G206,0)</f>
        <v>0</v>
      </c>
      <c r="BT206" s="77">
        <f>IFERROR(X206*H206/G206,0)</f>
        <v>0</v>
      </c>
      <c r="BU206" s="77">
        <f>IFERROR(1/I206*(W206/G206),0)</f>
        <v>0</v>
      </c>
      <c r="BV206" s="77">
        <f>IFERROR(1/I206*(X206/G206),0)</f>
        <v>0</v>
      </c>
      <c r="BW206" s="77">
        <f>IFERROR(Y206*H206/G206,0)</f>
        <v>0</v>
      </c>
      <c r="BX206" s="77">
        <f>IFERROR(Z206*H206/G206,0)</f>
        <v>0</v>
      </c>
      <c r="BY206" s="77">
        <f>IFERROR(1/I206*(Y206/G206),0)</f>
        <v>0</v>
      </c>
      <c r="BZ206" s="77">
        <f>IFERROR(1/I206*(Z206/G206),0)</f>
        <v>0</v>
      </c>
      <c r="CA206" s="77">
        <f>IFERROR(AA206*H206/G206,0)</f>
        <v>0</v>
      </c>
      <c r="CB206" s="77">
        <f>IFERROR(AB206*H206/G206,0)</f>
        <v>0</v>
      </c>
      <c r="CC206" s="77">
        <f>IFERROR(1/I206*(AA206/G206),0)</f>
        <v>0</v>
      </c>
      <c r="CD206" s="77">
        <f>IFERROR(1/I206*(AB206/G206),0)</f>
        <v>0</v>
      </c>
    </row>
    <row r="207" spans="1:82" hidden="1" x14ac:dyDescent="0.2">
      <c r="A207" s="420"/>
      <c r="B207" s="420"/>
      <c r="C207" s="420"/>
      <c r="D207" s="420"/>
      <c r="E207" s="420"/>
      <c r="F207" s="420"/>
      <c r="G207" s="420"/>
      <c r="H207" s="420"/>
      <c r="I207" s="420"/>
      <c r="J207" s="420"/>
      <c r="K207" s="420"/>
      <c r="L207" s="420"/>
      <c r="M207" s="420"/>
      <c r="N207" s="420"/>
      <c r="O207" s="426" t="s">
        <v>43</v>
      </c>
      <c r="P207" s="427"/>
      <c r="Q207" s="427"/>
      <c r="R207" s="427"/>
      <c r="S207" s="427"/>
      <c r="T207" s="39" t="s">
        <v>42</v>
      </c>
      <c r="U207" s="50">
        <f>IFERROR(U206/G206,0)</f>
        <v>0</v>
      </c>
      <c r="V207" s="50">
        <f>IFERROR(V206/G206,0)</f>
        <v>0</v>
      </c>
      <c r="W207" s="50">
        <f>IFERROR(W206/G206,0)</f>
        <v>0</v>
      </c>
      <c r="X207" s="50">
        <f>IFERROR(X206/G206,0)</f>
        <v>0</v>
      </c>
      <c r="Y207" s="50">
        <f>IFERROR(Y206/G206,0)</f>
        <v>0</v>
      </c>
      <c r="Z207" s="50">
        <f>IFERROR(Z206/G206,0)</f>
        <v>0</v>
      </c>
      <c r="AA207" s="50">
        <f>IFERROR(AA206/G206,0)</f>
        <v>0</v>
      </c>
      <c r="AB207" s="50">
        <f>IFERROR(AB206/G206,0)</f>
        <v>0</v>
      </c>
      <c r="AC207" s="50">
        <f>IFERROR(IF(AC206="",0,AC206),0)</f>
        <v>0</v>
      </c>
      <c r="AD207" s="3"/>
      <c r="AE207" s="72"/>
      <c r="AF207" s="3"/>
      <c r="AG207" s="3"/>
      <c r="AH207" s="3"/>
      <c r="AI207" s="3"/>
      <c r="AJ207" s="3"/>
      <c r="AK207" s="3"/>
      <c r="AL207" s="62"/>
      <c r="AM207" s="62"/>
      <c r="AN207" s="62"/>
      <c r="AO207" s="3"/>
      <c r="AP207" s="3"/>
      <c r="AQ207" s="2"/>
      <c r="AR207" s="2"/>
      <c r="AS207" s="2"/>
      <c r="AT207" s="2"/>
      <c r="AU207" s="20"/>
      <c r="AV207" s="20"/>
      <c r="AW207" s="21"/>
    </row>
    <row r="208" spans="1:82" hidden="1" x14ac:dyDescent="0.2">
      <c r="A208" s="420"/>
      <c r="B208" s="420"/>
      <c r="C208" s="420"/>
      <c r="D208" s="420"/>
      <c r="E208" s="420"/>
      <c r="F208" s="420"/>
      <c r="G208" s="420"/>
      <c r="H208" s="420"/>
      <c r="I208" s="420"/>
      <c r="J208" s="420"/>
      <c r="K208" s="420"/>
      <c r="L208" s="420"/>
      <c r="M208" s="420"/>
      <c r="N208" s="420"/>
      <c r="O208" s="426" t="s">
        <v>43</v>
      </c>
      <c r="P208" s="427"/>
      <c r="Q208" s="427"/>
      <c r="R208" s="427"/>
      <c r="S208" s="427"/>
      <c r="T208" s="39" t="s">
        <v>0</v>
      </c>
      <c r="U208" s="102">
        <f t="shared" ref="U208:AB208" si="53">IFERROR(SUM(U206:U206),0)</f>
        <v>0</v>
      </c>
      <c r="V208" s="102">
        <f t="shared" si="53"/>
        <v>0</v>
      </c>
      <c r="W208" s="102">
        <f t="shared" si="53"/>
        <v>0</v>
      </c>
      <c r="X208" s="102">
        <f t="shared" si="53"/>
        <v>0</v>
      </c>
      <c r="Y208" s="102">
        <f t="shared" si="53"/>
        <v>0</v>
      </c>
      <c r="Z208" s="102">
        <f t="shared" si="53"/>
        <v>0</v>
      </c>
      <c r="AA208" s="102">
        <f t="shared" si="53"/>
        <v>0</v>
      </c>
      <c r="AB208" s="102">
        <f t="shared" si="53"/>
        <v>0</v>
      </c>
      <c r="AC208" s="50" t="s">
        <v>57</v>
      </c>
      <c r="AD208" s="3"/>
      <c r="AE208" s="72"/>
      <c r="AF208" s="3"/>
      <c r="AG208" s="3"/>
      <c r="AH208" s="3"/>
      <c r="AI208" s="3"/>
      <c r="AJ208" s="3"/>
      <c r="AK208" s="3"/>
      <c r="AL208" s="62"/>
      <c r="AM208" s="62"/>
      <c r="AN208" s="62"/>
      <c r="AO208" s="3"/>
      <c r="AP208" s="3"/>
      <c r="AQ208" s="2"/>
      <c r="AR208" s="2"/>
      <c r="AS208" s="2"/>
      <c r="AT208" s="2"/>
      <c r="AU208" s="20"/>
      <c r="AV208" s="20"/>
      <c r="AW208" s="21"/>
    </row>
    <row r="209" spans="1:82" ht="15" hidden="1" x14ac:dyDescent="0.25">
      <c r="A209" s="443" t="s">
        <v>312</v>
      </c>
      <c r="B209" s="430"/>
      <c r="C209" s="430"/>
      <c r="D209" s="430"/>
      <c r="E209" s="430"/>
      <c r="F209" s="430"/>
      <c r="G209" s="430"/>
      <c r="H209" s="430"/>
      <c r="I209" s="430"/>
      <c r="J209" s="430"/>
      <c r="K209" s="430"/>
      <c r="L209" s="430"/>
      <c r="M209" s="430"/>
      <c r="N209" s="430"/>
      <c r="O209" s="430"/>
      <c r="P209" s="430"/>
      <c r="Q209" s="430"/>
      <c r="R209" s="430"/>
      <c r="S209" s="430"/>
      <c r="T209" s="430"/>
      <c r="U209" s="430"/>
      <c r="V209" s="430"/>
      <c r="W209" s="430"/>
      <c r="X209" s="430"/>
      <c r="Y209" s="430"/>
      <c r="Z209" s="430"/>
      <c r="AA209" s="431"/>
      <c r="AB209" s="431"/>
      <c r="AC209" s="431"/>
      <c r="AD209" s="431"/>
      <c r="AE209" s="432"/>
      <c r="AF209" s="444"/>
      <c r="AG209" s="2"/>
      <c r="AH209" s="2"/>
      <c r="AI209" s="2"/>
      <c r="AJ209" s="2"/>
      <c r="AK209" s="61"/>
      <c r="AL209" s="61"/>
      <c r="AM209" s="61"/>
      <c r="AN209" s="2"/>
      <c r="AO209" s="2"/>
      <c r="AP209" s="2"/>
      <c r="AQ209" s="2"/>
      <c r="AR209" s="2"/>
    </row>
    <row r="210" spans="1:82" ht="15" hidden="1" x14ac:dyDescent="0.25">
      <c r="A210" s="428" t="s">
        <v>129</v>
      </c>
      <c r="B210" s="429"/>
      <c r="C210" s="429"/>
      <c r="D210" s="429"/>
      <c r="E210" s="429"/>
      <c r="F210" s="429"/>
      <c r="G210" s="429"/>
      <c r="H210" s="429"/>
      <c r="I210" s="429"/>
      <c r="J210" s="429"/>
      <c r="K210" s="429"/>
      <c r="L210" s="429"/>
      <c r="M210" s="429"/>
      <c r="N210" s="429"/>
      <c r="O210" s="429"/>
      <c r="P210" s="429"/>
      <c r="Q210" s="429"/>
      <c r="R210" s="429"/>
      <c r="S210" s="429"/>
      <c r="T210" s="429"/>
      <c r="U210" s="429"/>
      <c r="V210" s="429"/>
      <c r="W210" s="429"/>
      <c r="X210" s="430"/>
      <c r="Y210" s="430"/>
      <c r="Z210" s="430"/>
      <c r="AA210" s="431"/>
      <c r="AB210" s="431"/>
      <c r="AC210" s="431"/>
      <c r="AD210" s="431"/>
      <c r="AE210" s="432"/>
      <c r="AF210" s="433"/>
      <c r="AG210" s="2"/>
      <c r="AH210" s="2"/>
      <c r="AI210" s="2"/>
      <c r="AJ210" s="2"/>
      <c r="AK210" s="61"/>
      <c r="AL210" s="61"/>
      <c r="AM210" s="61"/>
      <c r="AN210" s="2"/>
      <c r="AO210" s="2"/>
      <c r="AP210" s="2"/>
      <c r="AQ210" s="2"/>
      <c r="AR210" s="2"/>
    </row>
    <row r="211" spans="1:82" hidden="1" x14ac:dyDescent="0.2">
      <c r="A211" s="79" t="s">
        <v>313</v>
      </c>
      <c r="B211" s="80" t="s">
        <v>314</v>
      </c>
      <c r="C211" s="80">
        <v>4301031282</v>
      </c>
      <c r="D211" s="80">
        <v>4680115883765</v>
      </c>
      <c r="E211" s="81">
        <v>0.7</v>
      </c>
      <c r="F211" s="82">
        <v>6</v>
      </c>
      <c r="G211" s="81">
        <v>4.2</v>
      </c>
      <c r="H211" s="81">
        <v>4.41</v>
      </c>
      <c r="I211" s="83">
        <v>132</v>
      </c>
      <c r="J211" s="83" t="s">
        <v>100</v>
      </c>
      <c r="K211" s="84" t="s">
        <v>132</v>
      </c>
      <c r="L211" s="84"/>
      <c r="M211" s="423">
        <v>40</v>
      </c>
      <c r="N211" s="423"/>
      <c r="O211" s="517" t="str">
        <f>HYPERLINK("https://abi.ru/products/Охлажденные/Стародворье/Филейная/Копченые колбасы/P003860/","Копченые колбасы «Сервелат Филейный с филе сочного окорока» Весовой фиброуз ТМ «Стародворье»")</f>
        <v>Копченые колбасы «Сервелат Филейный с филе сочного окорока» Весовой фиброуз ТМ «Стародворье»</v>
      </c>
      <c r="P211" s="425"/>
      <c r="Q211" s="425"/>
      <c r="R211" s="425"/>
      <c r="S211" s="425"/>
      <c r="T211" s="85" t="s">
        <v>0</v>
      </c>
      <c r="U211" s="65">
        <v>0</v>
      </c>
      <c r="V211" s="66">
        <f>IFERROR(IF(U211="",0,CEILING((U211/$G211),1)*$G211),"")</f>
        <v>0</v>
      </c>
      <c r="W211" s="65">
        <v>0</v>
      </c>
      <c r="X211" s="66">
        <f>IFERROR(IF(W211="",0,CEILING((W211/$G211),1)*$G211),"")</f>
        <v>0</v>
      </c>
      <c r="Y211" s="65">
        <v>0</v>
      </c>
      <c r="Z211" s="66">
        <f>IFERROR(IF(Y211="",0,CEILING((Y211/$G211),1)*$G211),"")</f>
        <v>0</v>
      </c>
      <c r="AA211" s="65">
        <v>0</v>
      </c>
      <c r="AB211" s="66">
        <f>IFERROR(IF(AA211="",0,CEILING((AA211/$G211),1)*$G211),"")</f>
        <v>0</v>
      </c>
      <c r="AC211" s="67" t="str">
        <f>IF(IFERROR(ROUNDUP(V211/G211,0)*0.00902,0)+IFERROR(ROUNDUP(X211/G211,0)*0.00902,0)+IFERROR(ROUNDUP(Z211/G211,0)*0.00902,0)+IFERROR(ROUNDUP(AB211/G211,0)*0.00902,0)=0,"",IFERROR(ROUNDUP(V211/G211,0)*0.00902,0)+IFERROR(ROUNDUP(X211/G211,0)*0.00902,0)+IFERROR(ROUNDUP(Z211/G211,0)*0.00902,0)+IFERROR(ROUNDUP(AB211/G211,0)*0.00902,0))</f>
        <v/>
      </c>
      <c r="AD211" s="79" t="s">
        <v>315</v>
      </c>
      <c r="AE211" s="79" t="s">
        <v>57</v>
      </c>
      <c r="AF211" s="249" t="s">
        <v>316</v>
      </c>
      <c r="AG211" s="2"/>
      <c r="AH211" s="2"/>
      <c r="AI211" s="2"/>
      <c r="AJ211" s="2"/>
      <c r="AK211" s="2"/>
      <c r="AL211" s="61"/>
      <c r="AM211" s="61"/>
      <c r="AN211" s="61"/>
      <c r="AO211" s="2"/>
      <c r="AP211" s="2"/>
      <c r="AQ211" s="2"/>
      <c r="AR211" s="2"/>
      <c r="AS211" s="2"/>
      <c r="AT211" s="2"/>
      <c r="AU211" s="20"/>
      <c r="AV211" s="20"/>
      <c r="AW211" s="21"/>
      <c r="BB211" s="248" t="s">
        <v>65</v>
      </c>
      <c r="BO211" s="77">
        <f>IFERROR(U211*H211/G211,0)</f>
        <v>0</v>
      </c>
      <c r="BP211" s="77">
        <f>IFERROR(V211*H211/G211,0)</f>
        <v>0</v>
      </c>
      <c r="BQ211" s="77">
        <f>IFERROR(1/I211*(U211/G211),0)</f>
        <v>0</v>
      </c>
      <c r="BR211" s="77">
        <f>IFERROR(1/I211*(V211/G211),0)</f>
        <v>0</v>
      </c>
      <c r="BS211" s="77">
        <f>IFERROR(W211*H211/G211,0)</f>
        <v>0</v>
      </c>
      <c r="BT211" s="77">
        <f>IFERROR(X211*H211/G211,0)</f>
        <v>0</v>
      </c>
      <c r="BU211" s="77">
        <f>IFERROR(1/I211*(W211/G211),0)</f>
        <v>0</v>
      </c>
      <c r="BV211" s="77">
        <f>IFERROR(1/I211*(X211/G211),0)</f>
        <v>0</v>
      </c>
      <c r="BW211" s="77">
        <f>IFERROR(Y211*H211/G211,0)</f>
        <v>0</v>
      </c>
      <c r="BX211" s="77">
        <f>IFERROR(Z211*H211/G211,0)</f>
        <v>0</v>
      </c>
      <c r="BY211" s="77">
        <f>IFERROR(1/I211*(Y211/G211),0)</f>
        <v>0</v>
      </c>
      <c r="BZ211" s="77">
        <f>IFERROR(1/I211*(Z211/G211),0)</f>
        <v>0</v>
      </c>
      <c r="CA211" s="77">
        <f>IFERROR(AA211*H211/G211,0)</f>
        <v>0</v>
      </c>
      <c r="CB211" s="77">
        <f>IFERROR(AB211*H211/G211,0)</f>
        <v>0</v>
      </c>
      <c r="CC211" s="77">
        <f>IFERROR(1/I211*(AA211/G211),0)</f>
        <v>0</v>
      </c>
      <c r="CD211" s="77">
        <f>IFERROR(1/I211*(AB211/G211),0)</f>
        <v>0</v>
      </c>
    </row>
    <row r="212" spans="1:82" hidden="1" x14ac:dyDescent="0.2">
      <c r="A212" s="420"/>
      <c r="B212" s="420"/>
      <c r="C212" s="420"/>
      <c r="D212" s="420"/>
      <c r="E212" s="420"/>
      <c r="F212" s="420"/>
      <c r="G212" s="420"/>
      <c r="H212" s="420"/>
      <c r="I212" s="420"/>
      <c r="J212" s="420"/>
      <c r="K212" s="420"/>
      <c r="L212" s="420"/>
      <c r="M212" s="420"/>
      <c r="N212" s="420"/>
      <c r="O212" s="426" t="s">
        <v>43</v>
      </c>
      <c r="P212" s="427"/>
      <c r="Q212" s="427"/>
      <c r="R212" s="427"/>
      <c r="S212" s="427"/>
      <c r="T212" s="39" t="s">
        <v>42</v>
      </c>
      <c r="U212" s="50">
        <f>IFERROR(U211/G211,0)</f>
        <v>0</v>
      </c>
      <c r="V212" s="50">
        <f>IFERROR(V211/G211,0)</f>
        <v>0</v>
      </c>
      <c r="W212" s="50">
        <f>IFERROR(W211/G211,0)</f>
        <v>0</v>
      </c>
      <c r="X212" s="50">
        <f>IFERROR(X211/G211,0)</f>
        <v>0</v>
      </c>
      <c r="Y212" s="50">
        <f>IFERROR(Y211/G211,0)</f>
        <v>0</v>
      </c>
      <c r="Z212" s="50">
        <f>IFERROR(Z211/G211,0)</f>
        <v>0</v>
      </c>
      <c r="AA212" s="50">
        <f>IFERROR(AA211/G211,0)</f>
        <v>0</v>
      </c>
      <c r="AB212" s="50">
        <f>IFERROR(AB211/G211,0)</f>
        <v>0</v>
      </c>
      <c r="AC212" s="50">
        <f>IFERROR(IF(AC211="",0,AC211),0)</f>
        <v>0</v>
      </c>
      <c r="AD212" s="3"/>
      <c r="AE212" s="72"/>
      <c r="AF212" s="3"/>
      <c r="AG212" s="3"/>
      <c r="AH212" s="3"/>
      <c r="AI212" s="3"/>
      <c r="AJ212" s="3"/>
      <c r="AK212" s="3"/>
      <c r="AL212" s="62"/>
      <c r="AM212" s="62"/>
      <c r="AN212" s="62"/>
      <c r="AO212" s="3"/>
      <c r="AP212" s="3"/>
      <c r="AQ212" s="2"/>
      <c r="AR212" s="2"/>
      <c r="AS212" s="2"/>
      <c r="AT212" s="2"/>
      <c r="AU212" s="20"/>
      <c r="AV212" s="20"/>
      <c r="AW212" s="21"/>
    </row>
    <row r="213" spans="1:82" hidden="1" x14ac:dyDescent="0.2">
      <c r="A213" s="420"/>
      <c r="B213" s="420"/>
      <c r="C213" s="420"/>
      <c r="D213" s="420"/>
      <c r="E213" s="420"/>
      <c r="F213" s="420"/>
      <c r="G213" s="420"/>
      <c r="H213" s="420"/>
      <c r="I213" s="420"/>
      <c r="J213" s="420"/>
      <c r="K213" s="420"/>
      <c r="L213" s="420"/>
      <c r="M213" s="420"/>
      <c r="N213" s="420"/>
      <c r="O213" s="426" t="s">
        <v>43</v>
      </c>
      <c r="P213" s="427"/>
      <c r="Q213" s="427"/>
      <c r="R213" s="427"/>
      <c r="S213" s="427"/>
      <c r="T213" s="39" t="s">
        <v>0</v>
      </c>
      <c r="U213" s="102">
        <f t="shared" ref="U213:AB213" si="54">IFERROR(SUM(U211:U211),0)</f>
        <v>0</v>
      </c>
      <c r="V213" s="102">
        <f t="shared" si="54"/>
        <v>0</v>
      </c>
      <c r="W213" s="102">
        <f t="shared" si="54"/>
        <v>0</v>
      </c>
      <c r="X213" s="102">
        <f t="shared" si="54"/>
        <v>0</v>
      </c>
      <c r="Y213" s="102">
        <f t="shared" si="54"/>
        <v>0</v>
      </c>
      <c r="Z213" s="102">
        <f t="shared" si="54"/>
        <v>0</v>
      </c>
      <c r="AA213" s="102">
        <f t="shared" si="54"/>
        <v>0</v>
      </c>
      <c r="AB213" s="102">
        <f t="shared" si="54"/>
        <v>0</v>
      </c>
      <c r="AC213" s="50" t="s">
        <v>57</v>
      </c>
      <c r="AD213" s="3"/>
      <c r="AE213" s="72"/>
      <c r="AF213" s="3"/>
      <c r="AG213" s="3"/>
      <c r="AH213" s="3"/>
      <c r="AI213" s="3"/>
      <c r="AJ213" s="3"/>
      <c r="AK213" s="3"/>
      <c r="AL213" s="62"/>
      <c r="AM213" s="62"/>
      <c r="AN213" s="62"/>
      <c r="AO213" s="3"/>
      <c r="AP213" s="3"/>
      <c r="AQ213" s="2"/>
      <c r="AR213" s="2"/>
      <c r="AS213" s="2"/>
      <c r="AT213" s="2"/>
      <c r="AU213" s="20"/>
      <c r="AV213" s="20"/>
      <c r="AW213" s="21"/>
    </row>
    <row r="214" spans="1:82" ht="15" hidden="1" x14ac:dyDescent="0.25">
      <c r="A214" s="443" t="s">
        <v>317</v>
      </c>
      <c r="B214" s="430"/>
      <c r="C214" s="430"/>
      <c r="D214" s="430"/>
      <c r="E214" s="430"/>
      <c r="F214" s="430"/>
      <c r="G214" s="430"/>
      <c r="H214" s="430"/>
      <c r="I214" s="430"/>
      <c r="J214" s="430"/>
      <c r="K214" s="430"/>
      <c r="L214" s="430"/>
      <c r="M214" s="430"/>
      <c r="N214" s="430"/>
      <c r="O214" s="430"/>
      <c r="P214" s="430"/>
      <c r="Q214" s="430"/>
      <c r="R214" s="430"/>
      <c r="S214" s="430"/>
      <c r="T214" s="430"/>
      <c r="U214" s="430"/>
      <c r="V214" s="430"/>
      <c r="W214" s="430"/>
      <c r="X214" s="430"/>
      <c r="Y214" s="430"/>
      <c r="Z214" s="430"/>
      <c r="AA214" s="431"/>
      <c r="AB214" s="431"/>
      <c r="AC214" s="431"/>
      <c r="AD214" s="431"/>
      <c r="AE214" s="432"/>
      <c r="AF214" s="444"/>
      <c r="AG214" s="2"/>
      <c r="AH214" s="2"/>
      <c r="AI214" s="2"/>
      <c r="AJ214" s="2"/>
      <c r="AK214" s="61"/>
      <c r="AL214" s="61"/>
      <c r="AM214" s="61"/>
      <c r="AN214" s="2"/>
      <c r="AO214" s="2"/>
      <c r="AP214" s="2"/>
      <c r="AQ214" s="2"/>
      <c r="AR214" s="2"/>
    </row>
    <row r="215" spans="1:82" ht="15" hidden="1" x14ac:dyDescent="0.25">
      <c r="A215" s="428" t="s">
        <v>96</v>
      </c>
      <c r="B215" s="429"/>
      <c r="C215" s="429"/>
      <c r="D215" s="429"/>
      <c r="E215" s="429"/>
      <c r="F215" s="429"/>
      <c r="G215" s="429"/>
      <c r="H215" s="429"/>
      <c r="I215" s="429"/>
      <c r="J215" s="429"/>
      <c r="K215" s="429"/>
      <c r="L215" s="429"/>
      <c r="M215" s="429"/>
      <c r="N215" s="429"/>
      <c r="O215" s="429"/>
      <c r="P215" s="429"/>
      <c r="Q215" s="429"/>
      <c r="R215" s="429"/>
      <c r="S215" s="429"/>
      <c r="T215" s="429"/>
      <c r="U215" s="429"/>
      <c r="V215" s="429"/>
      <c r="W215" s="429"/>
      <c r="X215" s="430"/>
      <c r="Y215" s="430"/>
      <c r="Z215" s="430"/>
      <c r="AA215" s="431"/>
      <c r="AB215" s="431"/>
      <c r="AC215" s="431"/>
      <c r="AD215" s="431"/>
      <c r="AE215" s="432"/>
      <c r="AF215" s="433"/>
      <c r="AG215" s="2"/>
      <c r="AH215" s="2"/>
      <c r="AI215" s="2"/>
      <c r="AJ215" s="2"/>
      <c r="AK215" s="61"/>
      <c r="AL215" s="61"/>
      <c r="AM215" s="61"/>
      <c r="AN215" s="2"/>
      <c r="AO215" s="2"/>
      <c r="AP215" s="2"/>
      <c r="AQ215" s="2"/>
      <c r="AR215" s="2"/>
    </row>
    <row r="216" spans="1:82" hidden="1" x14ac:dyDescent="0.2">
      <c r="A216" s="79" t="s">
        <v>318</v>
      </c>
      <c r="B216" s="80" t="s">
        <v>319</v>
      </c>
      <c r="C216" s="80">
        <v>4301011573</v>
      </c>
      <c r="D216" s="80">
        <v>4680115881938</v>
      </c>
      <c r="E216" s="81">
        <v>0.4</v>
      </c>
      <c r="F216" s="82">
        <v>10</v>
      </c>
      <c r="G216" s="81">
        <v>4</v>
      </c>
      <c r="H216" s="81">
        <v>4.21</v>
      </c>
      <c r="I216" s="83">
        <v>132</v>
      </c>
      <c r="J216" s="83" t="s">
        <v>100</v>
      </c>
      <c r="K216" s="84" t="s">
        <v>106</v>
      </c>
      <c r="L216" s="84"/>
      <c r="M216" s="423">
        <v>90</v>
      </c>
      <c r="N216" s="423"/>
      <c r="O216" s="514" t="str">
        <f>HYPERLINK("https://abi.ru/products/Охлажденные/Стародворье/Бордо/Вареные колбасы/P003314/","Вареные колбасы пастеризованная «Стародворская без шпика» Фикс.вес 0,4 п/а ТМ «Стародворье»")</f>
        <v>Вареные колбасы пастеризованная «Стародворская без шпика» Фикс.вес 0,4 п/а ТМ «Стародворье»</v>
      </c>
      <c r="P216" s="425"/>
      <c r="Q216" s="425"/>
      <c r="R216" s="425"/>
      <c r="S216" s="425"/>
      <c r="T216" s="85" t="s">
        <v>0</v>
      </c>
      <c r="U216" s="65">
        <v>0</v>
      </c>
      <c r="V216" s="66">
        <f>IFERROR(IF(U216="",0,CEILING((U216/$G216),1)*$G216),"")</f>
        <v>0</v>
      </c>
      <c r="W216" s="65">
        <v>0</v>
      </c>
      <c r="X216" s="66">
        <f>IFERROR(IF(W216="",0,CEILING((W216/$G216),1)*$G216),"")</f>
        <v>0</v>
      </c>
      <c r="Y216" s="65">
        <v>0</v>
      </c>
      <c r="Z216" s="66">
        <f>IFERROR(IF(Y216="",0,CEILING((Y216/$G216),1)*$G216),"")</f>
        <v>0</v>
      </c>
      <c r="AA216" s="65">
        <v>0</v>
      </c>
      <c r="AB216" s="66">
        <f>IFERROR(IF(AA216="",0,CEILING((AA216/$G216),1)*$G216),"")</f>
        <v>0</v>
      </c>
      <c r="AC216" s="67" t="str">
        <f>IF(IFERROR(ROUNDUP(V216/G216,0)*0.00902,0)+IFERROR(ROUNDUP(X216/G216,0)*0.00902,0)+IFERROR(ROUNDUP(Z216/G216,0)*0.00902,0)+IFERROR(ROUNDUP(AB216/G216,0)*0.00902,0)=0,"",IFERROR(ROUNDUP(V216/G216,0)*0.00902,0)+IFERROR(ROUNDUP(X216/G216,0)*0.00902,0)+IFERROR(ROUNDUP(Z216/G216,0)*0.00902,0)+IFERROR(ROUNDUP(AB216/G216,0)*0.00902,0))</f>
        <v/>
      </c>
      <c r="AD216" s="79" t="s">
        <v>57</v>
      </c>
      <c r="AE216" s="79" t="s">
        <v>57</v>
      </c>
      <c r="AF216" s="251" t="s">
        <v>320</v>
      </c>
      <c r="AG216" s="2"/>
      <c r="AH216" s="2"/>
      <c r="AI216" s="2"/>
      <c r="AJ216" s="2"/>
      <c r="AK216" s="2"/>
      <c r="AL216" s="61"/>
      <c r="AM216" s="61"/>
      <c r="AN216" s="61"/>
      <c r="AO216" s="2"/>
      <c r="AP216" s="2"/>
      <c r="AQ216" s="2"/>
      <c r="AR216" s="2"/>
      <c r="AS216" s="2"/>
      <c r="AT216" s="2"/>
      <c r="AU216" s="20"/>
      <c r="AV216" s="20"/>
      <c r="AW216" s="21"/>
      <c r="BB216" s="250" t="s">
        <v>65</v>
      </c>
      <c r="BO216" s="77">
        <f>IFERROR(U216*H216/G216,0)</f>
        <v>0</v>
      </c>
      <c r="BP216" s="77">
        <f>IFERROR(V216*H216/G216,0)</f>
        <v>0</v>
      </c>
      <c r="BQ216" s="77">
        <f>IFERROR(1/I216*(U216/G216),0)</f>
        <v>0</v>
      </c>
      <c r="BR216" s="77">
        <f>IFERROR(1/I216*(V216/G216),0)</f>
        <v>0</v>
      </c>
      <c r="BS216" s="77">
        <f>IFERROR(W216*H216/G216,0)</f>
        <v>0</v>
      </c>
      <c r="BT216" s="77">
        <f>IFERROR(X216*H216/G216,0)</f>
        <v>0</v>
      </c>
      <c r="BU216" s="77">
        <f>IFERROR(1/I216*(W216/G216),0)</f>
        <v>0</v>
      </c>
      <c r="BV216" s="77">
        <f>IFERROR(1/I216*(X216/G216),0)</f>
        <v>0</v>
      </c>
      <c r="BW216" s="77">
        <f>IFERROR(Y216*H216/G216,0)</f>
        <v>0</v>
      </c>
      <c r="BX216" s="77">
        <f>IFERROR(Z216*H216/G216,0)</f>
        <v>0</v>
      </c>
      <c r="BY216" s="77">
        <f>IFERROR(1/I216*(Y216/G216),0)</f>
        <v>0</v>
      </c>
      <c r="BZ216" s="77">
        <f>IFERROR(1/I216*(Z216/G216),0)</f>
        <v>0</v>
      </c>
      <c r="CA216" s="77">
        <f>IFERROR(AA216*H216/G216,0)</f>
        <v>0</v>
      </c>
      <c r="CB216" s="77">
        <f>IFERROR(AB216*H216/G216,0)</f>
        <v>0</v>
      </c>
      <c r="CC216" s="77">
        <f>IFERROR(1/I216*(AA216/G216),0)</f>
        <v>0</v>
      </c>
      <c r="CD216" s="77">
        <f>IFERROR(1/I216*(AB216/G216),0)</f>
        <v>0</v>
      </c>
    </row>
    <row r="217" spans="1:82" ht="22.5" hidden="1" x14ac:dyDescent="0.2">
      <c r="A217" s="79" t="s">
        <v>321</v>
      </c>
      <c r="B217" s="80" t="s">
        <v>322</v>
      </c>
      <c r="C217" s="80">
        <v>4301011859</v>
      </c>
      <c r="D217" s="80">
        <v>4680115885608</v>
      </c>
      <c r="E217" s="81">
        <v>0.4</v>
      </c>
      <c r="F217" s="82">
        <v>10</v>
      </c>
      <c r="G217" s="81">
        <v>4</v>
      </c>
      <c r="H217" s="81">
        <v>4.21</v>
      </c>
      <c r="I217" s="83">
        <v>132</v>
      </c>
      <c r="J217" s="83" t="s">
        <v>100</v>
      </c>
      <c r="K217" s="84" t="s">
        <v>106</v>
      </c>
      <c r="L217" s="84"/>
      <c r="M217" s="423">
        <v>55</v>
      </c>
      <c r="N217" s="423"/>
      <c r="O217" s="5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P217" s="425"/>
      <c r="Q217" s="425"/>
      <c r="R217" s="425"/>
      <c r="S217" s="425"/>
      <c r="T217" s="85" t="s">
        <v>0</v>
      </c>
      <c r="U217" s="65">
        <v>0</v>
      </c>
      <c r="V217" s="66">
        <f>IFERROR(IF(U217="",0,CEILING((U217/$G217),1)*$G217),"")</f>
        <v>0</v>
      </c>
      <c r="W217" s="65">
        <v>0</v>
      </c>
      <c r="X217" s="66">
        <f>IFERROR(IF(W217="",0,CEILING((W217/$G217),1)*$G217),"")</f>
        <v>0</v>
      </c>
      <c r="Y217" s="65">
        <v>0</v>
      </c>
      <c r="Z217" s="66">
        <f>IFERROR(IF(Y217="",0,CEILING((Y217/$G217),1)*$G217),"")</f>
        <v>0</v>
      </c>
      <c r="AA217" s="65">
        <v>0</v>
      </c>
      <c r="AB217" s="66">
        <f>IFERROR(IF(AA217="",0,CEILING((AA217/$G217),1)*$G217),"")</f>
        <v>0</v>
      </c>
      <c r="AC217" s="67" t="str">
        <f>IF(IFERROR(ROUNDUP(V217/G217,0)*0.00902,0)+IFERROR(ROUNDUP(X217/G217,0)*0.00902,0)+IFERROR(ROUNDUP(Z217/G217,0)*0.00902,0)+IFERROR(ROUNDUP(AB217/G217,0)*0.00902,0)=0,"",IFERROR(ROUNDUP(V217/G217,0)*0.00902,0)+IFERROR(ROUNDUP(X217/G217,0)*0.00902,0)+IFERROR(ROUNDUP(Z217/G217,0)*0.00902,0)+IFERROR(ROUNDUP(AB217/G217,0)*0.00902,0))</f>
        <v/>
      </c>
      <c r="AD217" s="79" t="s">
        <v>57</v>
      </c>
      <c r="AE217" s="79" t="s">
        <v>57</v>
      </c>
      <c r="AF217" s="253" t="s">
        <v>323</v>
      </c>
      <c r="AG217" s="2"/>
      <c r="AH217" s="2"/>
      <c r="AI217" s="2"/>
      <c r="AJ217" s="2"/>
      <c r="AK217" s="2"/>
      <c r="AL217" s="61"/>
      <c r="AM217" s="61"/>
      <c r="AN217" s="61"/>
      <c r="AO217" s="2"/>
      <c r="AP217" s="2"/>
      <c r="AQ217" s="2"/>
      <c r="AR217" s="2"/>
      <c r="AS217" s="2"/>
      <c r="AT217" s="2"/>
      <c r="AU217" s="20"/>
      <c r="AV217" s="20"/>
      <c r="AW217" s="21"/>
      <c r="BB217" s="252" t="s">
        <v>65</v>
      </c>
      <c r="BO217" s="77">
        <f>IFERROR(U217*H217/G217,0)</f>
        <v>0</v>
      </c>
      <c r="BP217" s="77">
        <f>IFERROR(V217*H217/G217,0)</f>
        <v>0</v>
      </c>
      <c r="BQ217" s="77">
        <f>IFERROR(1/I217*(U217/G217),0)</f>
        <v>0</v>
      </c>
      <c r="BR217" s="77">
        <f>IFERROR(1/I217*(V217/G217),0)</f>
        <v>0</v>
      </c>
      <c r="BS217" s="77">
        <f>IFERROR(W217*H217/G217,0)</f>
        <v>0</v>
      </c>
      <c r="BT217" s="77">
        <f>IFERROR(X217*H217/G217,0)</f>
        <v>0</v>
      </c>
      <c r="BU217" s="77">
        <f>IFERROR(1/I217*(W217/G217),0)</f>
        <v>0</v>
      </c>
      <c r="BV217" s="77">
        <f>IFERROR(1/I217*(X217/G217),0)</f>
        <v>0</v>
      </c>
      <c r="BW217" s="77">
        <f>IFERROR(Y217*H217/G217,0)</f>
        <v>0</v>
      </c>
      <c r="BX217" s="77">
        <f>IFERROR(Z217*H217/G217,0)</f>
        <v>0</v>
      </c>
      <c r="BY217" s="77">
        <f>IFERROR(1/I217*(Y217/G217),0)</f>
        <v>0</v>
      </c>
      <c r="BZ217" s="77">
        <f>IFERROR(1/I217*(Z217/G217),0)</f>
        <v>0</v>
      </c>
      <c r="CA217" s="77">
        <f>IFERROR(AA217*H217/G217,0)</f>
        <v>0</v>
      </c>
      <c r="CB217" s="77">
        <f>IFERROR(AB217*H217/G217,0)</f>
        <v>0</v>
      </c>
      <c r="CC217" s="77">
        <f>IFERROR(1/I217*(AA217/G217),0)</f>
        <v>0</v>
      </c>
      <c r="CD217" s="77">
        <f>IFERROR(1/I217*(AB217/G217),0)</f>
        <v>0</v>
      </c>
    </row>
    <row r="218" spans="1:82" hidden="1" x14ac:dyDescent="0.2">
      <c r="A218" s="79" t="s">
        <v>324</v>
      </c>
      <c r="B218" s="80" t="s">
        <v>325</v>
      </c>
      <c r="C218" s="80">
        <v>4301011337</v>
      </c>
      <c r="D218" s="80">
        <v>4607091386011</v>
      </c>
      <c r="E218" s="81">
        <v>0.5</v>
      </c>
      <c r="F218" s="82">
        <v>10</v>
      </c>
      <c r="G218" s="81">
        <v>5</v>
      </c>
      <c r="H218" s="81">
        <v>5.21</v>
      </c>
      <c r="I218" s="83">
        <v>132</v>
      </c>
      <c r="J218" s="83" t="s">
        <v>100</v>
      </c>
      <c r="K218" s="84" t="s">
        <v>106</v>
      </c>
      <c r="L218" s="84"/>
      <c r="M218" s="423">
        <v>55</v>
      </c>
      <c r="N218" s="423"/>
      <c r="O218" s="516" t="str">
        <f>HYPERLINK("https://abi.ru/products/Охлажденные/Стародворье/Бордо/Вареные колбасы/P001800/","Вареные колбасы Докторская стародворская Бордо Фикс.вес 0,5 П/а Стародворье")</f>
        <v>Вареные колбасы Докторская стародворская Бордо Фикс.вес 0,5 П/а Стародворье</v>
      </c>
      <c r="P218" s="425"/>
      <c r="Q218" s="425"/>
      <c r="R218" s="425"/>
      <c r="S218" s="425"/>
      <c r="T218" s="85" t="s">
        <v>0</v>
      </c>
      <c r="U218" s="65">
        <v>0</v>
      </c>
      <c r="V218" s="66">
        <f>IFERROR(IF(U218="",0,CEILING((U218/$G218),1)*$G218),"")</f>
        <v>0</v>
      </c>
      <c r="W218" s="65">
        <v>0</v>
      </c>
      <c r="X218" s="66">
        <f>IFERROR(IF(W218="",0,CEILING((W218/$G218),1)*$G218),"")</f>
        <v>0</v>
      </c>
      <c r="Y218" s="65">
        <v>0</v>
      </c>
      <c r="Z218" s="66">
        <f>IFERROR(IF(Y218="",0,CEILING((Y218/$G218),1)*$G218),"")</f>
        <v>0</v>
      </c>
      <c r="AA218" s="65">
        <v>0</v>
      </c>
      <c r="AB218" s="66">
        <f>IFERROR(IF(AA218="",0,CEILING((AA218/$G218),1)*$G218),"")</f>
        <v>0</v>
      </c>
      <c r="AC218" s="67" t="str">
        <f>IF(IFERROR(ROUNDUP(V218/G218,0)*0.00902,0)+IFERROR(ROUNDUP(X218/G218,0)*0.00902,0)+IFERROR(ROUNDUP(Z218/G218,0)*0.00902,0)+IFERROR(ROUNDUP(AB218/G218,0)*0.00902,0)=0,"",IFERROR(ROUNDUP(V218/G218,0)*0.00902,0)+IFERROR(ROUNDUP(X218/G218,0)*0.00902,0)+IFERROR(ROUNDUP(Z218/G218,0)*0.00902,0)+IFERROR(ROUNDUP(AB218/G218,0)*0.00902,0))</f>
        <v/>
      </c>
      <c r="AD218" s="79" t="s">
        <v>57</v>
      </c>
      <c r="AE218" s="79" t="s">
        <v>57</v>
      </c>
      <c r="AF218" s="255" t="s">
        <v>326</v>
      </c>
      <c r="AG218" s="2"/>
      <c r="AH218" s="2"/>
      <c r="AI218" s="2"/>
      <c r="AJ218" s="2"/>
      <c r="AK218" s="2"/>
      <c r="AL218" s="61"/>
      <c r="AM218" s="61"/>
      <c r="AN218" s="61"/>
      <c r="AO218" s="2"/>
      <c r="AP218" s="2"/>
      <c r="AQ218" s="2"/>
      <c r="AR218" s="2"/>
      <c r="AS218" s="2"/>
      <c r="AT218" s="2"/>
      <c r="AU218" s="20"/>
      <c r="AV218" s="20"/>
      <c r="AW218" s="21"/>
      <c r="BB218" s="254" t="s">
        <v>65</v>
      </c>
      <c r="BO218" s="77">
        <f>IFERROR(U218*H218/G218,0)</f>
        <v>0</v>
      </c>
      <c r="BP218" s="77">
        <f>IFERROR(V218*H218/G218,0)</f>
        <v>0</v>
      </c>
      <c r="BQ218" s="77">
        <f>IFERROR(1/I218*(U218/G218),0)</f>
        <v>0</v>
      </c>
      <c r="BR218" s="77">
        <f>IFERROR(1/I218*(V218/G218),0)</f>
        <v>0</v>
      </c>
      <c r="BS218" s="77">
        <f>IFERROR(W218*H218/G218,0)</f>
        <v>0</v>
      </c>
      <c r="BT218" s="77">
        <f>IFERROR(X218*H218/G218,0)</f>
        <v>0</v>
      </c>
      <c r="BU218" s="77">
        <f>IFERROR(1/I218*(W218/G218),0)</f>
        <v>0</v>
      </c>
      <c r="BV218" s="77">
        <f>IFERROR(1/I218*(X218/G218),0)</f>
        <v>0</v>
      </c>
      <c r="BW218" s="77">
        <f>IFERROR(Y218*H218/G218,0)</f>
        <v>0</v>
      </c>
      <c r="BX218" s="77">
        <f>IFERROR(Z218*H218/G218,0)</f>
        <v>0</v>
      </c>
      <c r="BY218" s="77">
        <f>IFERROR(1/I218*(Y218/G218),0)</f>
        <v>0</v>
      </c>
      <c r="BZ218" s="77">
        <f>IFERROR(1/I218*(Z218/G218),0)</f>
        <v>0</v>
      </c>
      <c r="CA218" s="77">
        <f>IFERROR(AA218*H218/G218,0)</f>
        <v>0</v>
      </c>
      <c r="CB218" s="77">
        <f>IFERROR(AB218*H218/G218,0)</f>
        <v>0</v>
      </c>
      <c r="CC218" s="77">
        <f>IFERROR(1/I218*(AA218/G218),0)</f>
        <v>0</v>
      </c>
      <c r="CD218" s="77">
        <f>IFERROR(1/I218*(AB218/G218),0)</f>
        <v>0</v>
      </c>
    </row>
    <row r="219" spans="1:82" hidden="1" x14ac:dyDescent="0.2">
      <c r="A219" s="420"/>
      <c r="B219" s="420"/>
      <c r="C219" s="420"/>
      <c r="D219" s="420"/>
      <c r="E219" s="420"/>
      <c r="F219" s="420"/>
      <c r="G219" s="420"/>
      <c r="H219" s="420"/>
      <c r="I219" s="420"/>
      <c r="J219" s="420"/>
      <c r="K219" s="420"/>
      <c r="L219" s="420"/>
      <c r="M219" s="420"/>
      <c r="N219" s="420"/>
      <c r="O219" s="426" t="s">
        <v>43</v>
      </c>
      <c r="P219" s="427"/>
      <c r="Q219" s="427"/>
      <c r="R219" s="427"/>
      <c r="S219" s="427"/>
      <c r="T219" s="39" t="s">
        <v>42</v>
      </c>
      <c r="U219" s="50">
        <f>IFERROR(U216/G216,0)+IFERROR(U217/G217,0)+IFERROR(U218/G218,0)</f>
        <v>0</v>
      </c>
      <c r="V219" s="50">
        <f>IFERROR(V216/G216,0)+IFERROR(V217/G217,0)+IFERROR(V218/G218,0)</f>
        <v>0</v>
      </c>
      <c r="W219" s="50">
        <f>IFERROR(W216/G216,0)+IFERROR(W217/G217,0)+IFERROR(W218/G218,0)</f>
        <v>0</v>
      </c>
      <c r="X219" s="50">
        <f>IFERROR(X216/G216,0)+IFERROR(X217/G217,0)+IFERROR(X218/G218,0)</f>
        <v>0</v>
      </c>
      <c r="Y219" s="50">
        <f>IFERROR(Y216/G216,0)+IFERROR(Y217/G217,0)+IFERROR(Y218/G218,0)</f>
        <v>0</v>
      </c>
      <c r="Z219" s="50">
        <f>IFERROR(Z216/G216,0)+IFERROR(Z217/G217,0)+IFERROR(Z218/G218,0)</f>
        <v>0</v>
      </c>
      <c r="AA219" s="50">
        <f>IFERROR(AA216/G216,0)+IFERROR(AA217/G217,0)+IFERROR(AA218/G218,0)</f>
        <v>0</v>
      </c>
      <c r="AB219" s="50">
        <f>IFERROR(AB216/G216,0)+IFERROR(AB217/G217,0)+IFERROR(AB218/G218,0)</f>
        <v>0</v>
      </c>
      <c r="AC219" s="50">
        <f>IFERROR(IF(AC216="",0,AC216),0)+IFERROR(IF(AC217="",0,AC217),0)+IFERROR(IF(AC218="",0,AC218),0)</f>
        <v>0</v>
      </c>
      <c r="AD219" s="3"/>
      <c r="AE219" s="72"/>
      <c r="AF219" s="3"/>
      <c r="AG219" s="3"/>
      <c r="AH219" s="3"/>
      <c r="AI219" s="3"/>
      <c r="AJ219" s="3"/>
      <c r="AK219" s="3"/>
      <c r="AL219" s="62"/>
      <c r="AM219" s="62"/>
      <c r="AN219" s="62"/>
      <c r="AO219" s="3"/>
      <c r="AP219" s="3"/>
      <c r="AQ219" s="2"/>
      <c r="AR219" s="2"/>
      <c r="AS219" s="2"/>
      <c r="AT219" s="2"/>
      <c r="AU219" s="20"/>
      <c r="AV219" s="20"/>
      <c r="AW219" s="21"/>
    </row>
    <row r="220" spans="1:82" hidden="1" x14ac:dyDescent="0.2">
      <c r="A220" s="420"/>
      <c r="B220" s="420"/>
      <c r="C220" s="420"/>
      <c r="D220" s="420"/>
      <c r="E220" s="420"/>
      <c r="F220" s="420"/>
      <c r="G220" s="420"/>
      <c r="H220" s="420"/>
      <c r="I220" s="420"/>
      <c r="J220" s="420"/>
      <c r="K220" s="420"/>
      <c r="L220" s="420"/>
      <c r="M220" s="420"/>
      <c r="N220" s="420"/>
      <c r="O220" s="426" t="s">
        <v>43</v>
      </c>
      <c r="P220" s="427"/>
      <c r="Q220" s="427"/>
      <c r="R220" s="427"/>
      <c r="S220" s="427"/>
      <c r="T220" s="39" t="s">
        <v>0</v>
      </c>
      <c r="U220" s="102">
        <f t="shared" ref="U220:AB220" si="55">IFERROR(SUM(U216:U218),0)</f>
        <v>0</v>
      </c>
      <c r="V220" s="102">
        <f t="shared" si="55"/>
        <v>0</v>
      </c>
      <c r="W220" s="102">
        <f t="shared" si="55"/>
        <v>0</v>
      </c>
      <c r="X220" s="102">
        <f t="shared" si="55"/>
        <v>0</v>
      </c>
      <c r="Y220" s="102">
        <f t="shared" si="55"/>
        <v>0</v>
      </c>
      <c r="Z220" s="102">
        <f t="shared" si="55"/>
        <v>0</v>
      </c>
      <c r="AA220" s="102">
        <f t="shared" si="55"/>
        <v>0</v>
      </c>
      <c r="AB220" s="102">
        <f t="shared" si="55"/>
        <v>0</v>
      </c>
      <c r="AC220" s="50" t="s">
        <v>57</v>
      </c>
      <c r="AD220" s="3"/>
      <c r="AE220" s="72"/>
      <c r="AF220" s="3"/>
      <c r="AG220" s="3"/>
      <c r="AH220" s="3"/>
      <c r="AI220" s="3"/>
      <c r="AJ220" s="3"/>
      <c r="AK220" s="3"/>
      <c r="AL220" s="62"/>
      <c r="AM220" s="62"/>
      <c r="AN220" s="62"/>
      <c r="AO220" s="3"/>
      <c r="AP220" s="3"/>
      <c r="AQ220" s="2"/>
      <c r="AR220" s="2"/>
      <c r="AS220" s="2"/>
      <c r="AT220" s="2"/>
      <c r="AU220" s="20"/>
      <c r="AV220" s="20"/>
      <c r="AW220" s="21"/>
    </row>
    <row r="221" spans="1:82" ht="15" hidden="1" x14ac:dyDescent="0.25">
      <c r="A221" s="428" t="s">
        <v>129</v>
      </c>
      <c r="B221" s="429"/>
      <c r="C221" s="429"/>
      <c r="D221" s="429"/>
      <c r="E221" s="429"/>
      <c r="F221" s="429"/>
      <c r="G221" s="429"/>
      <c r="H221" s="429"/>
      <c r="I221" s="429"/>
      <c r="J221" s="429"/>
      <c r="K221" s="429"/>
      <c r="L221" s="429"/>
      <c r="M221" s="429"/>
      <c r="N221" s="429"/>
      <c r="O221" s="429"/>
      <c r="P221" s="429"/>
      <c r="Q221" s="429"/>
      <c r="R221" s="429"/>
      <c r="S221" s="429"/>
      <c r="T221" s="429"/>
      <c r="U221" s="429"/>
      <c r="V221" s="429"/>
      <c r="W221" s="429"/>
      <c r="X221" s="430"/>
      <c r="Y221" s="430"/>
      <c r="Z221" s="430"/>
      <c r="AA221" s="431"/>
      <c r="AB221" s="431"/>
      <c r="AC221" s="431"/>
      <c r="AD221" s="431"/>
      <c r="AE221" s="432"/>
      <c r="AF221" s="433"/>
      <c r="AG221" s="2"/>
      <c r="AH221" s="2"/>
      <c r="AI221" s="2"/>
      <c r="AJ221" s="2"/>
      <c r="AK221" s="61"/>
      <c r="AL221" s="61"/>
      <c r="AM221" s="61"/>
      <c r="AN221" s="2"/>
      <c r="AO221" s="2"/>
      <c r="AP221" s="2"/>
      <c r="AQ221" s="2"/>
      <c r="AR221" s="2"/>
    </row>
    <row r="222" spans="1:82" hidden="1" x14ac:dyDescent="0.2">
      <c r="A222" s="79" t="s">
        <v>327</v>
      </c>
      <c r="B222" s="80" t="s">
        <v>328</v>
      </c>
      <c r="C222" s="80">
        <v>4301030878</v>
      </c>
      <c r="D222" s="80">
        <v>4607091387193</v>
      </c>
      <c r="E222" s="81">
        <v>0.7</v>
      </c>
      <c r="F222" s="82">
        <v>6</v>
      </c>
      <c r="G222" s="81">
        <v>4.2</v>
      </c>
      <c r="H222" s="81">
        <v>4.47</v>
      </c>
      <c r="I222" s="83">
        <v>132</v>
      </c>
      <c r="J222" s="83" t="s">
        <v>100</v>
      </c>
      <c r="K222" s="84" t="s">
        <v>132</v>
      </c>
      <c r="L222" s="84"/>
      <c r="M222" s="423">
        <v>35</v>
      </c>
      <c r="N222" s="423"/>
      <c r="O222" s="5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P222" s="425"/>
      <c r="Q222" s="425"/>
      <c r="R222" s="425"/>
      <c r="S222" s="425"/>
      <c r="T222" s="85" t="s">
        <v>0</v>
      </c>
      <c r="U222" s="65">
        <v>0</v>
      </c>
      <c r="V222" s="66">
        <f>IFERROR(IF(U222="",0,CEILING((U222/$G222),1)*$G222),"")</f>
        <v>0</v>
      </c>
      <c r="W222" s="65">
        <v>0</v>
      </c>
      <c r="X222" s="66">
        <f>IFERROR(IF(W222="",0,CEILING((W222/$G222),1)*$G222),"")</f>
        <v>0</v>
      </c>
      <c r="Y222" s="65">
        <v>0</v>
      </c>
      <c r="Z222" s="66">
        <f>IFERROR(IF(Y222="",0,CEILING((Y222/$G222),1)*$G222),"")</f>
        <v>0</v>
      </c>
      <c r="AA222" s="65">
        <v>0</v>
      </c>
      <c r="AB222" s="66">
        <f>IFERROR(IF(AA222="",0,CEILING((AA222/$G222),1)*$G222),"")</f>
        <v>0</v>
      </c>
      <c r="AC222" s="67" t="str">
        <f>IF(IFERROR(ROUNDUP(V222/G222,0)*0.00902,0)+IFERROR(ROUNDUP(X222/G222,0)*0.00902,0)+IFERROR(ROUNDUP(Z222/G222,0)*0.00902,0)+IFERROR(ROUNDUP(AB222/G222,0)*0.00902,0)=0,"",IFERROR(ROUNDUP(V222/G222,0)*0.00902,0)+IFERROR(ROUNDUP(X222/G222,0)*0.00902,0)+IFERROR(ROUNDUP(Z222/G222,0)*0.00902,0)+IFERROR(ROUNDUP(AB222/G222,0)*0.00902,0))</f>
        <v/>
      </c>
      <c r="AD222" s="79" t="s">
        <v>57</v>
      </c>
      <c r="AE222" s="79" t="s">
        <v>57</v>
      </c>
      <c r="AF222" s="257" t="s">
        <v>329</v>
      </c>
      <c r="AG222" s="2"/>
      <c r="AH222" s="2"/>
      <c r="AI222" s="2"/>
      <c r="AJ222" s="2"/>
      <c r="AK222" s="2"/>
      <c r="AL222" s="61"/>
      <c r="AM222" s="61"/>
      <c r="AN222" s="61"/>
      <c r="AO222" s="2"/>
      <c r="AP222" s="2"/>
      <c r="AQ222" s="2"/>
      <c r="AR222" s="2"/>
      <c r="AS222" s="2"/>
      <c r="AT222" s="2"/>
      <c r="AU222" s="20"/>
      <c r="AV222" s="20"/>
      <c r="AW222" s="21"/>
      <c r="BB222" s="256" t="s">
        <v>65</v>
      </c>
      <c r="BO222" s="77">
        <f>IFERROR(U222*H222/G222,0)</f>
        <v>0</v>
      </c>
      <c r="BP222" s="77">
        <f>IFERROR(V222*H222/G222,0)</f>
        <v>0</v>
      </c>
      <c r="BQ222" s="77">
        <f>IFERROR(1/I222*(U222/G222),0)</f>
        <v>0</v>
      </c>
      <c r="BR222" s="77">
        <f>IFERROR(1/I222*(V222/G222),0)</f>
        <v>0</v>
      </c>
      <c r="BS222" s="77">
        <f>IFERROR(W222*H222/G222,0)</f>
        <v>0</v>
      </c>
      <c r="BT222" s="77">
        <f>IFERROR(X222*H222/G222,0)</f>
        <v>0</v>
      </c>
      <c r="BU222" s="77">
        <f>IFERROR(1/I222*(W222/G222),0)</f>
        <v>0</v>
      </c>
      <c r="BV222" s="77">
        <f>IFERROR(1/I222*(X222/G222),0)</f>
        <v>0</v>
      </c>
      <c r="BW222" s="77">
        <f>IFERROR(Y222*H222/G222,0)</f>
        <v>0</v>
      </c>
      <c r="BX222" s="77">
        <f>IFERROR(Z222*H222/G222,0)</f>
        <v>0</v>
      </c>
      <c r="BY222" s="77">
        <f>IFERROR(1/I222*(Y222/G222),0)</f>
        <v>0</v>
      </c>
      <c r="BZ222" s="77">
        <f>IFERROR(1/I222*(Z222/G222),0)</f>
        <v>0</v>
      </c>
      <c r="CA222" s="77">
        <f>IFERROR(AA222*H222/G222,0)</f>
        <v>0</v>
      </c>
      <c r="CB222" s="77">
        <f>IFERROR(AB222*H222/G222,0)</f>
        <v>0</v>
      </c>
      <c r="CC222" s="77">
        <f>IFERROR(1/I222*(AA222/G222),0)</f>
        <v>0</v>
      </c>
      <c r="CD222" s="77">
        <f>IFERROR(1/I222*(AB222/G222),0)</f>
        <v>0</v>
      </c>
    </row>
    <row r="223" spans="1:82" hidden="1" x14ac:dyDescent="0.2">
      <c r="A223" s="79" t="s">
        <v>330</v>
      </c>
      <c r="B223" s="80" t="s">
        <v>331</v>
      </c>
      <c r="C223" s="80">
        <v>4301031153</v>
      </c>
      <c r="D223" s="80">
        <v>4607091387230</v>
      </c>
      <c r="E223" s="81">
        <v>0.7</v>
      </c>
      <c r="F223" s="82">
        <v>6</v>
      </c>
      <c r="G223" s="81">
        <v>4.2</v>
      </c>
      <c r="H223" s="81">
        <v>4.47</v>
      </c>
      <c r="I223" s="83">
        <v>132</v>
      </c>
      <c r="J223" s="83" t="s">
        <v>100</v>
      </c>
      <c r="K223" s="84" t="s">
        <v>132</v>
      </c>
      <c r="L223" s="84"/>
      <c r="M223" s="423">
        <v>40</v>
      </c>
      <c r="N223" s="423"/>
      <c r="O223" s="5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P223" s="425"/>
      <c r="Q223" s="425"/>
      <c r="R223" s="425"/>
      <c r="S223" s="425"/>
      <c r="T223" s="85" t="s">
        <v>0</v>
      </c>
      <c r="U223" s="65">
        <v>0</v>
      </c>
      <c r="V223" s="66">
        <f>IFERROR(IF(U223="",0,CEILING((U223/$G223),1)*$G223),"")</f>
        <v>0</v>
      </c>
      <c r="W223" s="65">
        <v>0</v>
      </c>
      <c r="X223" s="66">
        <f>IFERROR(IF(W223="",0,CEILING((W223/$G223),1)*$G223),"")</f>
        <v>0</v>
      </c>
      <c r="Y223" s="65">
        <v>0</v>
      </c>
      <c r="Z223" s="66">
        <f>IFERROR(IF(Y223="",0,CEILING((Y223/$G223),1)*$G223),"")</f>
        <v>0</v>
      </c>
      <c r="AA223" s="65">
        <v>0</v>
      </c>
      <c r="AB223" s="66">
        <f>IFERROR(IF(AA223="",0,CEILING((AA223/$G223),1)*$G223),"")</f>
        <v>0</v>
      </c>
      <c r="AC223" s="67" t="str">
        <f>IF(IFERROR(ROUNDUP(V223/G223,0)*0.00902,0)+IFERROR(ROUNDUP(X223/G223,0)*0.00902,0)+IFERROR(ROUNDUP(Z223/G223,0)*0.00902,0)+IFERROR(ROUNDUP(AB223/G223,0)*0.00902,0)=0,"",IFERROR(ROUNDUP(V223/G223,0)*0.00902,0)+IFERROR(ROUNDUP(X223/G223,0)*0.00902,0)+IFERROR(ROUNDUP(Z223/G223,0)*0.00902,0)+IFERROR(ROUNDUP(AB223/G223,0)*0.00902,0))</f>
        <v/>
      </c>
      <c r="AD223" s="79" t="s">
        <v>57</v>
      </c>
      <c r="AE223" s="79" t="s">
        <v>57</v>
      </c>
      <c r="AF223" s="259" t="s">
        <v>332</v>
      </c>
      <c r="AG223" s="2"/>
      <c r="AH223" s="2"/>
      <c r="AI223" s="2"/>
      <c r="AJ223" s="2"/>
      <c r="AK223" s="2"/>
      <c r="AL223" s="61"/>
      <c r="AM223" s="61"/>
      <c r="AN223" s="61"/>
      <c r="AO223" s="2"/>
      <c r="AP223" s="2"/>
      <c r="AQ223" s="2"/>
      <c r="AR223" s="2"/>
      <c r="AS223" s="2"/>
      <c r="AT223" s="2"/>
      <c r="AU223" s="20"/>
      <c r="AV223" s="20"/>
      <c r="AW223" s="21"/>
      <c r="BB223" s="258" t="s">
        <v>65</v>
      </c>
      <c r="BO223" s="77">
        <f>IFERROR(U223*H223/G223,0)</f>
        <v>0</v>
      </c>
      <c r="BP223" s="77">
        <f>IFERROR(V223*H223/G223,0)</f>
        <v>0</v>
      </c>
      <c r="BQ223" s="77">
        <f>IFERROR(1/I223*(U223/G223),0)</f>
        <v>0</v>
      </c>
      <c r="BR223" s="77">
        <f>IFERROR(1/I223*(V223/G223),0)</f>
        <v>0</v>
      </c>
      <c r="BS223" s="77">
        <f>IFERROR(W223*H223/G223,0)</f>
        <v>0</v>
      </c>
      <c r="BT223" s="77">
        <f>IFERROR(X223*H223/G223,0)</f>
        <v>0</v>
      </c>
      <c r="BU223" s="77">
        <f>IFERROR(1/I223*(W223/G223),0)</f>
        <v>0</v>
      </c>
      <c r="BV223" s="77">
        <f>IFERROR(1/I223*(X223/G223),0)</f>
        <v>0</v>
      </c>
      <c r="BW223" s="77">
        <f>IFERROR(Y223*H223/G223,0)</f>
        <v>0</v>
      </c>
      <c r="BX223" s="77">
        <f>IFERROR(Z223*H223/G223,0)</f>
        <v>0</v>
      </c>
      <c r="BY223" s="77">
        <f>IFERROR(1/I223*(Y223/G223),0)</f>
        <v>0</v>
      </c>
      <c r="BZ223" s="77">
        <f>IFERROR(1/I223*(Z223/G223),0)</f>
        <v>0</v>
      </c>
      <c r="CA223" s="77">
        <f>IFERROR(AA223*H223/G223,0)</f>
        <v>0</v>
      </c>
      <c r="CB223" s="77">
        <f>IFERROR(AB223*H223/G223,0)</f>
        <v>0</v>
      </c>
      <c r="CC223" s="77">
        <f>IFERROR(1/I223*(AA223/G223),0)</f>
        <v>0</v>
      </c>
      <c r="CD223" s="77">
        <f>IFERROR(1/I223*(AB223/G223),0)</f>
        <v>0</v>
      </c>
    </row>
    <row r="224" spans="1:82" hidden="1" x14ac:dyDescent="0.2">
      <c r="A224" s="79" t="s">
        <v>333</v>
      </c>
      <c r="B224" s="80" t="s">
        <v>334</v>
      </c>
      <c r="C224" s="80">
        <v>4301031154</v>
      </c>
      <c r="D224" s="80">
        <v>4607091387292</v>
      </c>
      <c r="E224" s="81">
        <v>0.73</v>
      </c>
      <c r="F224" s="82">
        <v>6</v>
      </c>
      <c r="G224" s="81">
        <v>4.38</v>
      </c>
      <c r="H224" s="81">
        <v>4.6500000000000004</v>
      </c>
      <c r="I224" s="83">
        <v>132</v>
      </c>
      <c r="J224" s="83" t="s">
        <v>100</v>
      </c>
      <c r="K224" s="84" t="s">
        <v>132</v>
      </c>
      <c r="L224" s="84"/>
      <c r="M224" s="423">
        <v>45</v>
      </c>
      <c r="N224" s="423"/>
      <c r="O224" s="5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P224" s="425"/>
      <c r="Q224" s="425"/>
      <c r="R224" s="425"/>
      <c r="S224" s="425"/>
      <c r="T224" s="85" t="s">
        <v>0</v>
      </c>
      <c r="U224" s="65">
        <v>0</v>
      </c>
      <c r="V224" s="66">
        <f>IFERROR(IF(U224="",0,CEILING((U224/$G224),1)*$G224),"")</f>
        <v>0</v>
      </c>
      <c r="W224" s="65">
        <v>0</v>
      </c>
      <c r="X224" s="66">
        <f>IFERROR(IF(W224="",0,CEILING((W224/$G224),1)*$G224),"")</f>
        <v>0</v>
      </c>
      <c r="Y224" s="65">
        <v>0</v>
      </c>
      <c r="Z224" s="66">
        <f>IFERROR(IF(Y224="",0,CEILING((Y224/$G224),1)*$G224),"")</f>
        <v>0</v>
      </c>
      <c r="AA224" s="65">
        <v>0</v>
      </c>
      <c r="AB224" s="66">
        <f>IFERROR(IF(AA224="",0,CEILING((AA224/$G224),1)*$G224),"")</f>
        <v>0</v>
      </c>
      <c r="AC224" s="67" t="str">
        <f>IF(IFERROR(ROUNDUP(V224/G224,0)*0.00902,0)+IFERROR(ROUNDUP(X224/G224,0)*0.00902,0)+IFERROR(ROUNDUP(Z224/G224,0)*0.00902,0)+IFERROR(ROUNDUP(AB224/G224,0)*0.00902,0)=0,"",IFERROR(ROUNDUP(V224/G224,0)*0.00902,0)+IFERROR(ROUNDUP(X224/G224,0)*0.00902,0)+IFERROR(ROUNDUP(Z224/G224,0)*0.00902,0)+IFERROR(ROUNDUP(AB224/G224,0)*0.00902,0))</f>
        <v/>
      </c>
      <c r="AD224" s="79" t="s">
        <v>57</v>
      </c>
      <c r="AE224" s="79" t="s">
        <v>57</v>
      </c>
      <c r="AF224" s="261" t="s">
        <v>335</v>
      </c>
      <c r="AG224" s="2"/>
      <c r="AH224" s="2"/>
      <c r="AI224" s="2"/>
      <c r="AJ224" s="2"/>
      <c r="AK224" s="2"/>
      <c r="AL224" s="61"/>
      <c r="AM224" s="61"/>
      <c r="AN224" s="61"/>
      <c r="AO224" s="2"/>
      <c r="AP224" s="2"/>
      <c r="AQ224" s="2"/>
      <c r="AR224" s="2"/>
      <c r="AS224" s="2"/>
      <c r="AT224" s="2"/>
      <c r="AU224" s="20"/>
      <c r="AV224" s="20"/>
      <c r="AW224" s="21"/>
      <c r="BB224" s="260" t="s">
        <v>65</v>
      </c>
      <c r="BO224" s="77">
        <f>IFERROR(U224*H224/G224,0)</f>
        <v>0</v>
      </c>
      <c r="BP224" s="77">
        <f>IFERROR(V224*H224/G224,0)</f>
        <v>0</v>
      </c>
      <c r="BQ224" s="77">
        <f>IFERROR(1/I224*(U224/G224),0)</f>
        <v>0</v>
      </c>
      <c r="BR224" s="77">
        <f>IFERROR(1/I224*(V224/G224),0)</f>
        <v>0</v>
      </c>
      <c r="BS224" s="77">
        <f>IFERROR(W224*H224/G224,0)</f>
        <v>0</v>
      </c>
      <c r="BT224" s="77">
        <f>IFERROR(X224*H224/G224,0)</f>
        <v>0</v>
      </c>
      <c r="BU224" s="77">
        <f>IFERROR(1/I224*(W224/G224),0)</f>
        <v>0</v>
      </c>
      <c r="BV224" s="77">
        <f>IFERROR(1/I224*(X224/G224),0)</f>
        <v>0</v>
      </c>
      <c r="BW224" s="77">
        <f>IFERROR(Y224*H224/G224,0)</f>
        <v>0</v>
      </c>
      <c r="BX224" s="77">
        <f>IFERROR(Z224*H224/G224,0)</f>
        <v>0</v>
      </c>
      <c r="BY224" s="77">
        <f>IFERROR(1/I224*(Y224/G224),0)</f>
        <v>0</v>
      </c>
      <c r="BZ224" s="77">
        <f>IFERROR(1/I224*(Z224/G224),0)</f>
        <v>0</v>
      </c>
      <c r="CA224" s="77">
        <f>IFERROR(AA224*H224/G224,0)</f>
        <v>0</v>
      </c>
      <c r="CB224" s="77">
        <f>IFERROR(AB224*H224/G224,0)</f>
        <v>0</v>
      </c>
      <c r="CC224" s="77">
        <f>IFERROR(1/I224*(AA224/G224),0)</f>
        <v>0</v>
      </c>
      <c r="CD224" s="77">
        <f>IFERROR(1/I224*(AB224/G224),0)</f>
        <v>0</v>
      </c>
    </row>
    <row r="225" spans="1:82" hidden="1" x14ac:dyDescent="0.2">
      <c r="A225" s="420"/>
      <c r="B225" s="420"/>
      <c r="C225" s="420"/>
      <c r="D225" s="420"/>
      <c r="E225" s="420"/>
      <c r="F225" s="420"/>
      <c r="G225" s="420"/>
      <c r="H225" s="420"/>
      <c r="I225" s="420"/>
      <c r="J225" s="420"/>
      <c r="K225" s="420"/>
      <c r="L225" s="420"/>
      <c r="M225" s="420"/>
      <c r="N225" s="420"/>
      <c r="O225" s="426" t="s">
        <v>43</v>
      </c>
      <c r="P225" s="427"/>
      <c r="Q225" s="427"/>
      <c r="R225" s="427"/>
      <c r="S225" s="427"/>
      <c r="T225" s="39" t="s">
        <v>42</v>
      </c>
      <c r="U225" s="50">
        <f>IFERROR(U222/G222,0)+IFERROR(U223/G223,0)+IFERROR(U224/G224,0)</f>
        <v>0</v>
      </c>
      <c r="V225" s="50">
        <f>IFERROR(V222/G222,0)+IFERROR(V223/G223,0)+IFERROR(V224/G224,0)</f>
        <v>0</v>
      </c>
      <c r="W225" s="50">
        <f>IFERROR(W222/G222,0)+IFERROR(W223/G223,0)+IFERROR(W224/G224,0)</f>
        <v>0</v>
      </c>
      <c r="X225" s="50">
        <f>IFERROR(X222/G222,0)+IFERROR(X223/G223,0)+IFERROR(X224/G224,0)</f>
        <v>0</v>
      </c>
      <c r="Y225" s="50">
        <f>IFERROR(Y222/G222,0)+IFERROR(Y223/G223,0)+IFERROR(Y224/G224,0)</f>
        <v>0</v>
      </c>
      <c r="Z225" s="50">
        <f>IFERROR(Z222/G222,0)+IFERROR(Z223/G223,0)+IFERROR(Z224/G224,0)</f>
        <v>0</v>
      </c>
      <c r="AA225" s="50">
        <f>IFERROR(AA222/G222,0)+IFERROR(AA223/G223,0)+IFERROR(AA224/G224,0)</f>
        <v>0</v>
      </c>
      <c r="AB225" s="50">
        <f>IFERROR(AB222/G222,0)+IFERROR(AB223/G223,0)+IFERROR(AB224/G224,0)</f>
        <v>0</v>
      </c>
      <c r="AC225" s="50">
        <f>IFERROR(IF(AC222="",0,AC222),0)+IFERROR(IF(AC223="",0,AC223),0)+IFERROR(IF(AC224="",0,AC224),0)</f>
        <v>0</v>
      </c>
      <c r="AD225" s="3"/>
      <c r="AE225" s="72"/>
      <c r="AF225" s="3"/>
      <c r="AG225" s="3"/>
      <c r="AH225" s="3"/>
      <c r="AI225" s="3"/>
      <c r="AJ225" s="3"/>
      <c r="AK225" s="3"/>
      <c r="AL225" s="62"/>
      <c r="AM225" s="62"/>
      <c r="AN225" s="62"/>
      <c r="AO225" s="3"/>
      <c r="AP225" s="3"/>
      <c r="AQ225" s="2"/>
      <c r="AR225" s="2"/>
      <c r="AS225" s="2"/>
      <c r="AT225" s="2"/>
      <c r="AU225" s="20"/>
      <c r="AV225" s="20"/>
      <c r="AW225" s="21"/>
    </row>
    <row r="226" spans="1:82" hidden="1" x14ac:dyDescent="0.2">
      <c r="A226" s="420"/>
      <c r="B226" s="420"/>
      <c r="C226" s="420"/>
      <c r="D226" s="420"/>
      <c r="E226" s="420"/>
      <c r="F226" s="420"/>
      <c r="G226" s="420"/>
      <c r="H226" s="420"/>
      <c r="I226" s="420"/>
      <c r="J226" s="420"/>
      <c r="K226" s="420"/>
      <c r="L226" s="420"/>
      <c r="M226" s="420"/>
      <c r="N226" s="420"/>
      <c r="O226" s="426" t="s">
        <v>43</v>
      </c>
      <c r="P226" s="427"/>
      <c r="Q226" s="427"/>
      <c r="R226" s="427"/>
      <c r="S226" s="427"/>
      <c r="T226" s="39" t="s">
        <v>0</v>
      </c>
      <c r="U226" s="102">
        <f t="shared" ref="U226:AB226" si="56">IFERROR(SUM(U222:U224),0)</f>
        <v>0</v>
      </c>
      <c r="V226" s="102">
        <f t="shared" si="56"/>
        <v>0</v>
      </c>
      <c r="W226" s="102">
        <f t="shared" si="56"/>
        <v>0</v>
      </c>
      <c r="X226" s="102">
        <f t="shared" si="56"/>
        <v>0</v>
      </c>
      <c r="Y226" s="102">
        <f t="shared" si="56"/>
        <v>0</v>
      </c>
      <c r="Z226" s="102">
        <f t="shared" si="56"/>
        <v>0</v>
      </c>
      <c r="AA226" s="102">
        <f t="shared" si="56"/>
        <v>0</v>
      </c>
      <c r="AB226" s="102">
        <f t="shared" si="56"/>
        <v>0</v>
      </c>
      <c r="AC226" s="50" t="s">
        <v>57</v>
      </c>
      <c r="AD226" s="3"/>
      <c r="AE226" s="72"/>
      <c r="AF226" s="3"/>
      <c r="AG226" s="3"/>
      <c r="AH226" s="3"/>
      <c r="AI226" s="3"/>
      <c r="AJ226" s="3"/>
      <c r="AK226" s="3"/>
      <c r="AL226" s="62"/>
      <c r="AM226" s="62"/>
      <c r="AN226" s="62"/>
      <c r="AO226" s="3"/>
      <c r="AP226" s="3"/>
      <c r="AQ226" s="2"/>
      <c r="AR226" s="2"/>
      <c r="AS226" s="2"/>
      <c r="AT226" s="2"/>
      <c r="AU226" s="20"/>
      <c r="AV226" s="20"/>
      <c r="AW226" s="21"/>
    </row>
    <row r="227" spans="1:82" ht="15" hidden="1" x14ac:dyDescent="0.25">
      <c r="A227" s="428" t="s">
        <v>82</v>
      </c>
      <c r="B227" s="429"/>
      <c r="C227" s="429"/>
      <c r="D227" s="429"/>
      <c r="E227" s="429"/>
      <c r="F227" s="429"/>
      <c r="G227" s="429"/>
      <c r="H227" s="429"/>
      <c r="I227" s="429"/>
      <c r="J227" s="429"/>
      <c r="K227" s="429"/>
      <c r="L227" s="429"/>
      <c r="M227" s="429"/>
      <c r="N227" s="429"/>
      <c r="O227" s="429"/>
      <c r="P227" s="429"/>
      <c r="Q227" s="429"/>
      <c r="R227" s="429"/>
      <c r="S227" s="429"/>
      <c r="T227" s="429"/>
      <c r="U227" s="429"/>
      <c r="V227" s="429"/>
      <c r="W227" s="429"/>
      <c r="X227" s="430"/>
      <c r="Y227" s="430"/>
      <c r="Z227" s="430"/>
      <c r="AA227" s="431"/>
      <c r="AB227" s="431"/>
      <c r="AC227" s="431"/>
      <c r="AD227" s="431"/>
      <c r="AE227" s="432"/>
      <c r="AF227" s="433"/>
      <c r="AG227" s="2"/>
      <c r="AH227" s="2"/>
      <c r="AI227" s="2"/>
      <c r="AJ227" s="2"/>
      <c r="AK227" s="61"/>
      <c r="AL227" s="61"/>
      <c r="AM227" s="61"/>
      <c r="AN227" s="2"/>
      <c r="AO227" s="2"/>
      <c r="AP227" s="2"/>
      <c r="AQ227" s="2"/>
      <c r="AR227" s="2"/>
    </row>
    <row r="228" spans="1:82" ht="22.5" hidden="1" x14ac:dyDescent="0.2">
      <c r="A228" s="79" t="s">
        <v>336</v>
      </c>
      <c r="B228" s="80" t="s">
        <v>337</v>
      </c>
      <c r="C228" s="80">
        <v>4301051818</v>
      </c>
      <c r="D228" s="80">
        <v>4607091387957</v>
      </c>
      <c r="E228" s="81">
        <v>1.3</v>
      </c>
      <c r="F228" s="82">
        <v>6</v>
      </c>
      <c r="G228" s="81">
        <v>7.8</v>
      </c>
      <c r="H228" s="81">
        <v>8.3190000000000008</v>
      </c>
      <c r="I228" s="83">
        <v>64</v>
      </c>
      <c r="J228" s="83" t="s">
        <v>114</v>
      </c>
      <c r="K228" s="84" t="s">
        <v>99</v>
      </c>
      <c r="L228" s="84"/>
      <c r="M228" s="423">
        <v>40</v>
      </c>
      <c r="N228" s="423"/>
      <c r="O228" s="50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P228" s="425"/>
      <c r="Q228" s="425"/>
      <c r="R228" s="425"/>
      <c r="S228" s="425"/>
      <c r="T228" s="85" t="s">
        <v>0</v>
      </c>
      <c r="U228" s="65">
        <v>0</v>
      </c>
      <c r="V228" s="66">
        <f>IFERROR(IF(U228="",0,CEILING((U228/$G228),1)*$G228),"")</f>
        <v>0</v>
      </c>
      <c r="W228" s="65">
        <v>0</v>
      </c>
      <c r="X228" s="66">
        <f>IFERROR(IF(W228="",0,CEILING((W228/$G228),1)*$G228),"")</f>
        <v>0</v>
      </c>
      <c r="Y228" s="65">
        <v>0</v>
      </c>
      <c r="Z228" s="66">
        <f>IFERROR(IF(Y228="",0,CEILING((Y228/$G228),1)*$G228),"")</f>
        <v>0</v>
      </c>
      <c r="AA228" s="65">
        <v>0</v>
      </c>
      <c r="AB228" s="66">
        <f>IFERROR(IF(AA228="",0,CEILING((AA228/$G228),1)*$G228),"")</f>
        <v>0</v>
      </c>
      <c r="AC228" s="67" t="str">
        <f>IF(IFERROR(ROUNDUP(V228/G228,0)*0.01898,0)+IFERROR(ROUNDUP(X228/G228,0)*0.01898,0)+IFERROR(ROUNDUP(Z228/G228,0)*0.01898,0)+IFERROR(ROUNDUP(AB228/G228,0)*0.01898,0)=0,"",IFERROR(ROUNDUP(V228/G228,0)*0.01898,0)+IFERROR(ROUNDUP(X228/G228,0)*0.01898,0)+IFERROR(ROUNDUP(Z228/G228,0)*0.01898,0)+IFERROR(ROUNDUP(AB228/G228,0)*0.01898,0))</f>
        <v/>
      </c>
      <c r="AD228" s="79" t="s">
        <v>57</v>
      </c>
      <c r="AE228" s="79" t="s">
        <v>57</v>
      </c>
      <c r="AF228" s="263" t="s">
        <v>338</v>
      </c>
      <c r="AG228" s="2"/>
      <c r="AH228" s="2"/>
      <c r="AI228" s="2"/>
      <c r="AJ228" s="2"/>
      <c r="AK228" s="2"/>
      <c r="AL228" s="61"/>
      <c r="AM228" s="61"/>
      <c r="AN228" s="61"/>
      <c r="AO228" s="2"/>
      <c r="AP228" s="2"/>
      <c r="AQ228" s="2"/>
      <c r="AR228" s="2"/>
      <c r="AS228" s="2"/>
      <c r="AT228" s="2"/>
      <c r="AU228" s="20"/>
      <c r="AV228" s="20"/>
      <c r="AW228" s="21"/>
      <c r="BB228" s="262" t="s">
        <v>65</v>
      </c>
      <c r="BO228" s="77">
        <f>IFERROR(U228*H228/G228,0)</f>
        <v>0</v>
      </c>
      <c r="BP228" s="77">
        <f>IFERROR(V228*H228/G228,0)</f>
        <v>0</v>
      </c>
      <c r="BQ228" s="77">
        <f>IFERROR(1/I228*(U228/G228),0)</f>
        <v>0</v>
      </c>
      <c r="BR228" s="77">
        <f>IFERROR(1/I228*(V228/G228),0)</f>
        <v>0</v>
      </c>
      <c r="BS228" s="77">
        <f>IFERROR(W228*H228/G228,0)</f>
        <v>0</v>
      </c>
      <c r="BT228" s="77">
        <f>IFERROR(X228*H228/G228,0)</f>
        <v>0</v>
      </c>
      <c r="BU228" s="77">
        <f>IFERROR(1/I228*(W228/G228),0)</f>
        <v>0</v>
      </c>
      <c r="BV228" s="77">
        <f>IFERROR(1/I228*(X228/G228),0)</f>
        <v>0</v>
      </c>
      <c r="BW228" s="77">
        <f>IFERROR(Y228*H228/G228,0)</f>
        <v>0</v>
      </c>
      <c r="BX228" s="77">
        <f>IFERROR(Z228*H228/G228,0)</f>
        <v>0</v>
      </c>
      <c r="BY228" s="77">
        <f>IFERROR(1/I228*(Y228/G228),0)</f>
        <v>0</v>
      </c>
      <c r="BZ228" s="77">
        <f>IFERROR(1/I228*(Z228/G228),0)</f>
        <v>0</v>
      </c>
      <c r="CA228" s="77">
        <f>IFERROR(AA228*H228/G228,0)</f>
        <v>0</v>
      </c>
      <c r="CB228" s="77">
        <f>IFERROR(AB228*H228/G228,0)</f>
        <v>0</v>
      </c>
      <c r="CC228" s="77">
        <f>IFERROR(1/I228*(AA228/G228),0)</f>
        <v>0</v>
      </c>
      <c r="CD228" s="77">
        <f>IFERROR(1/I228*(AB228/G228),0)</f>
        <v>0</v>
      </c>
    </row>
    <row r="229" spans="1:82" ht="22.5" hidden="1" x14ac:dyDescent="0.2">
      <c r="A229" s="79" t="s">
        <v>339</v>
      </c>
      <c r="B229" s="80" t="s">
        <v>340</v>
      </c>
      <c r="C229" s="80">
        <v>4301051734</v>
      </c>
      <c r="D229" s="80">
        <v>4680115884588</v>
      </c>
      <c r="E229" s="81">
        <v>0.5</v>
      </c>
      <c r="F229" s="82">
        <v>6</v>
      </c>
      <c r="G229" s="81">
        <v>3</v>
      </c>
      <c r="H229" s="81">
        <v>3.246</v>
      </c>
      <c r="I229" s="83">
        <v>182</v>
      </c>
      <c r="J229" s="83" t="s">
        <v>86</v>
      </c>
      <c r="K229" s="84" t="s">
        <v>99</v>
      </c>
      <c r="L229" s="84"/>
      <c r="M229" s="423">
        <v>40</v>
      </c>
      <c r="N229" s="423"/>
      <c r="O229" s="5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P229" s="425"/>
      <c r="Q229" s="425"/>
      <c r="R229" s="425"/>
      <c r="S229" s="425"/>
      <c r="T229" s="85" t="s">
        <v>0</v>
      </c>
      <c r="U229" s="65">
        <v>0</v>
      </c>
      <c r="V229" s="66">
        <f>IFERROR(IF(U229="",0,CEILING((U229/$G229),1)*$G229),"")</f>
        <v>0</v>
      </c>
      <c r="W229" s="65">
        <v>0</v>
      </c>
      <c r="X229" s="66">
        <f>IFERROR(IF(W229="",0,CEILING((W229/$G229),1)*$G229),"")</f>
        <v>0</v>
      </c>
      <c r="Y229" s="65">
        <v>0</v>
      </c>
      <c r="Z229" s="66">
        <f>IFERROR(IF(Y229="",0,CEILING((Y229/$G229),1)*$G229),"")</f>
        <v>0</v>
      </c>
      <c r="AA229" s="65">
        <v>0</v>
      </c>
      <c r="AB229" s="66">
        <f>IFERROR(IF(AA229="",0,CEILING((AA229/$G229),1)*$G229),"")</f>
        <v>0</v>
      </c>
      <c r="AC229" s="67" t="str">
        <f>IF(IFERROR(ROUNDUP(V229/G229,0)*0.00651,0)+IFERROR(ROUNDUP(X229/G229,0)*0.00651,0)+IFERROR(ROUNDUP(Z229/G229,0)*0.00651,0)+IFERROR(ROUNDUP(AB229/G229,0)*0.00651,0)=0,"",IFERROR(ROUNDUP(V229/G229,0)*0.00651,0)+IFERROR(ROUNDUP(X229/G229,0)*0.00651,0)+IFERROR(ROUNDUP(Z229/G229,0)*0.00651,0)+IFERROR(ROUNDUP(AB229/G229,0)*0.00651,0))</f>
        <v/>
      </c>
      <c r="AD229" s="79" t="s">
        <v>57</v>
      </c>
      <c r="AE229" s="79" t="s">
        <v>57</v>
      </c>
      <c r="AF229" s="265" t="s">
        <v>341</v>
      </c>
      <c r="AG229" s="2"/>
      <c r="AH229" s="2"/>
      <c r="AI229" s="2"/>
      <c r="AJ229" s="2"/>
      <c r="AK229" s="2"/>
      <c r="AL229" s="61"/>
      <c r="AM229" s="61"/>
      <c r="AN229" s="61"/>
      <c r="AO229" s="2"/>
      <c r="AP229" s="2"/>
      <c r="AQ229" s="2"/>
      <c r="AR229" s="2"/>
      <c r="AS229" s="2"/>
      <c r="AT229" s="2"/>
      <c r="AU229" s="20"/>
      <c r="AV229" s="20"/>
      <c r="AW229" s="21"/>
      <c r="BB229" s="264" t="s">
        <v>65</v>
      </c>
      <c r="BO229" s="77">
        <f>IFERROR(U229*H229/G229,0)</f>
        <v>0</v>
      </c>
      <c r="BP229" s="77">
        <f>IFERROR(V229*H229/G229,0)</f>
        <v>0</v>
      </c>
      <c r="BQ229" s="77">
        <f>IFERROR(1/I229*(U229/G229),0)</f>
        <v>0</v>
      </c>
      <c r="BR229" s="77">
        <f>IFERROR(1/I229*(V229/G229),0)</f>
        <v>0</v>
      </c>
      <c r="BS229" s="77">
        <f>IFERROR(W229*H229/G229,0)</f>
        <v>0</v>
      </c>
      <c r="BT229" s="77">
        <f>IFERROR(X229*H229/G229,0)</f>
        <v>0</v>
      </c>
      <c r="BU229" s="77">
        <f>IFERROR(1/I229*(W229/G229),0)</f>
        <v>0</v>
      </c>
      <c r="BV229" s="77">
        <f>IFERROR(1/I229*(X229/G229),0)</f>
        <v>0</v>
      </c>
      <c r="BW229" s="77">
        <f>IFERROR(Y229*H229/G229,0)</f>
        <v>0</v>
      </c>
      <c r="BX229" s="77">
        <f>IFERROR(Z229*H229/G229,0)</f>
        <v>0</v>
      </c>
      <c r="BY229" s="77">
        <f>IFERROR(1/I229*(Y229/G229),0)</f>
        <v>0</v>
      </c>
      <c r="BZ229" s="77">
        <f>IFERROR(1/I229*(Z229/G229),0)</f>
        <v>0</v>
      </c>
      <c r="CA229" s="77">
        <f>IFERROR(AA229*H229/G229,0)</f>
        <v>0</v>
      </c>
      <c r="CB229" s="77">
        <f>IFERROR(AB229*H229/G229,0)</f>
        <v>0</v>
      </c>
      <c r="CC229" s="77">
        <f>IFERROR(1/I229*(AA229/G229),0)</f>
        <v>0</v>
      </c>
      <c r="CD229" s="77">
        <f>IFERROR(1/I229*(AB229/G229),0)</f>
        <v>0</v>
      </c>
    </row>
    <row r="230" spans="1:82" ht="22.5" hidden="1" x14ac:dyDescent="0.2">
      <c r="A230" s="79" t="s">
        <v>339</v>
      </c>
      <c r="B230" s="80" t="s">
        <v>340</v>
      </c>
      <c r="C230" s="80">
        <v>4301051769</v>
      </c>
      <c r="D230" s="80">
        <v>4680115884588</v>
      </c>
      <c r="E230" s="81">
        <v>0.5</v>
      </c>
      <c r="F230" s="82">
        <v>6</v>
      </c>
      <c r="G230" s="81">
        <v>3</v>
      </c>
      <c r="H230" s="81">
        <v>3.246</v>
      </c>
      <c r="I230" s="83">
        <v>182</v>
      </c>
      <c r="J230" s="83" t="s">
        <v>86</v>
      </c>
      <c r="K230" s="84" t="s">
        <v>99</v>
      </c>
      <c r="L230" s="84"/>
      <c r="M230" s="423">
        <v>40</v>
      </c>
      <c r="N230" s="423"/>
      <c r="O230" s="5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P230" s="425"/>
      <c r="Q230" s="425"/>
      <c r="R230" s="425"/>
      <c r="S230" s="425"/>
      <c r="T230" s="85" t="s">
        <v>0</v>
      </c>
      <c r="U230" s="65">
        <v>0</v>
      </c>
      <c r="V230" s="66">
        <f>IFERROR(IF(U230="",0,CEILING((U230/$G230),1)*$G230),"")</f>
        <v>0</v>
      </c>
      <c r="W230" s="65">
        <v>0</v>
      </c>
      <c r="X230" s="66">
        <f>IFERROR(IF(W230="",0,CEILING((W230/$G230),1)*$G230),"")</f>
        <v>0</v>
      </c>
      <c r="Y230" s="65">
        <v>0</v>
      </c>
      <c r="Z230" s="66">
        <f>IFERROR(IF(Y230="",0,CEILING((Y230/$G230),1)*$G230),"")</f>
        <v>0</v>
      </c>
      <c r="AA230" s="65">
        <v>0</v>
      </c>
      <c r="AB230" s="66">
        <f>IFERROR(IF(AA230="",0,CEILING((AA230/$G230),1)*$G230),"")</f>
        <v>0</v>
      </c>
      <c r="AC230" s="67" t="str">
        <f>IF(IFERROR(ROUNDUP(V230/G230,0)*0.00651,0)+IFERROR(ROUNDUP(X230/G230,0)*0.00651,0)+IFERROR(ROUNDUP(Z230/G230,0)*0.00651,0)+IFERROR(ROUNDUP(AB230/G230,0)*0.00651,0)=0,"",IFERROR(ROUNDUP(V230/G230,0)*0.00651,0)+IFERROR(ROUNDUP(X230/G230,0)*0.00651,0)+IFERROR(ROUNDUP(Z230/G230,0)*0.00651,0)+IFERROR(ROUNDUP(AB230/G230,0)*0.00651,0))</f>
        <v/>
      </c>
      <c r="AD230" s="79" t="s">
        <v>57</v>
      </c>
      <c r="AE230" s="79" t="s">
        <v>57</v>
      </c>
      <c r="AF230" s="267" t="s">
        <v>341</v>
      </c>
      <c r="AG230" s="2"/>
      <c r="AH230" s="2"/>
      <c r="AI230" s="2"/>
      <c r="AJ230" s="2"/>
      <c r="AK230" s="2"/>
      <c r="AL230" s="61"/>
      <c r="AM230" s="61"/>
      <c r="AN230" s="61"/>
      <c r="AO230" s="2"/>
      <c r="AP230" s="2"/>
      <c r="AQ230" s="2"/>
      <c r="AR230" s="2"/>
      <c r="AS230" s="2"/>
      <c r="AT230" s="2"/>
      <c r="AU230" s="20"/>
      <c r="AV230" s="20"/>
      <c r="AW230" s="21"/>
      <c r="BB230" s="266" t="s">
        <v>65</v>
      </c>
      <c r="BO230" s="77">
        <f>IFERROR(U230*H230/G230,0)</f>
        <v>0</v>
      </c>
      <c r="BP230" s="77">
        <f>IFERROR(V230*H230/G230,0)</f>
        <v>0</v>
      </c>
      <c r="BQ230" s="77">
        <f>IFERROR(1/I230*(U230/G230),0)</f>
        <v>0</v>
      </c>
      <c r="BR230" s="77">
        <f>IFERROR(1/I230*(V230/G230),0)</f>
        <v>0</v>
      </c>
      <c r="BS230" s="77">
        <f>IFERROR(W230*H230/G230,0)</f>
        <v>0</v>
      </c>
      <c r="BT230" s="77">
        <f>IFERROR(X230*H230/G230,0)</f>
        <v>0</v>
      </c>
      <c r="BU230" s="77">
        <f>IFERROR(1/I230*(W230/G230),0)</f>
        <v>0</v>
      </c>
      <c r="BV230" s="77">
        <f>IFERROR(1/I230*(X230/G230),0)</f>
        <v>0</v>
      </c>
      <c r="BW230" s="77">
        <f>IFERROR(Y230*H230/G230,0)</f>
        <v>0</v>
      </c>
      <c r="BX230" s="77">
        <f>IFERROR(Z230*H230/G230,0)</f>
        <v>0</v>
      </c>
      <c r="BY230" s="77">
        <f>IFERROR(1/I230*(Y230/G230),0)</f>
        <v>0</v>
      </c>
      <c r="BZ230" s="77">
        <f>IFERROR(1/I230*(Z230/G230),0)</f>
        <v>0</v>
      </c>
      <c r="CA230" s="77">
        <f>IFERROR(AA230*H230/G230,0)</f>
        <v>0</v>
      </c>
      <c r="CB230" s="77">
        <f>IFERROR(AB230*H230/G230,0)</f>
        <v>0</v>
      </c>
      <c r="CC230" s="77">
        <f>IFERROR(1/I230*(AA230/G230),0)</f>
        <v>0</v>
      </c>
      <c r="CD230" s="77">
        <f>IFERROR(1/I230*(AB230/G230),0)</f>
        <v>0</v>
      </c>
    </row>
    <row r="231" spans="1:82" ht="22.5" hidden="1" x14ac:dyDescent="0.2">
      <c r="A231" s="79" t="s">
        <v>342</v>
      </c>
      <c r="B231" s="80" t="s">
        <v>343</v>
      </c>
      <c r="C231" s="80">
        <v>4301051131</v>
      </c>
      <c r="D231" s="80">
        <v>4607091387537</v>
      </c>
      <c r="E231" s="81">
        <v>0.45</v>
      </c>
      <c r="F231" s="82">
        <v>6</v>
      </c>
      <c r="G231" s="81">
        <v>2.7</v>
      </c>
      <c r="H231" s="81">
        <v>2.97</v>
      </c>
      <c r="I231" s="83">
        <v>182</v>
      </c>
      <c r="J231" s="83" t="s">
        <v>86</v>
      </c>
      <c r="K231" s="84" t="s">
        <v>99</v>
      </c>
      <c r="L231" s="84"/>
      <c r="M231" s="423">
        <v>40</v>
      </c>
      <c r="N231" s="423"/>
      <c r="O231" s="510" t="str">
        <f>HYPERLINK("https://abi.ru/products/Охлажденные/Стародворье/Бордо/Сосиски/P002206/","Сосиски Молочные по-стародворски Бордо Фикс.вес 0,45 п/а мгс Стародворье")</f>
        <v>Сосиски Молочные по-стародворски Бордо Фикс.вес 0,45 п/а мгс Стародворье</v>
      </c>
      <c r="P231" s="425"/>
      <c r="Q231" s="425"/>
      <c r="R231" s="425"/>
      <c r="S231" s="425"/>
      <c r="T231" s="85" t="s">
        <v>0</v>
      </c>
      <c r="U231" s="65">
        <v>0</v>
      </c>
      <c r="V231" s="66">
        <f>IFERROR(IF(U231="",0,CEILING((U231/$G231),1)*$G231),"")</f>
        <v>0</v>
      </c>
      <c r="W231" s="65">
        <v>0</v>
      </c>
      <c r="X231" s="66">
        <f>IFERROR(IF(W231="",0,CEILING((W231/$G231),1)*$G231),"")</f>
        <v>0</v>
      </c>
      <c r="Y231" s="65">
        <v>0</v>
      </c>
      <c r="Z231" s="66">
        <f>IFERROR(IF(Y231="",0,CEILING((Y231/$G231),1)*$G231),"")</f>
        <v>0</v>
      </c>
      <c r="AA231" s="65">
        <v>0</v>
      </c>
      <c r="AB231" s="66">
        <f>IFERROR(IF(AA231="",0,CEILING((AA231/$G231),1)*$G231),"")</f>
        <v>0</v>
      </c>
      <c r="AC231" s="67" t="str">
        <f>IF(IFERROR(ROUNDUP(V231/G231,0)*0.00651,0)+IFERROR(ROUNDUP(X231/G231,0)*0.00651,0)+IFERROR(ROUNDUP(Z231/G231,0)*0.00651,0)+IFERROR(ROUNDUP(AB231/G231,0)*0.00651,0)=0,"",IFERROR(ROUNDUP(V231/G231,0)*0.00651,0)+IFERROR(ROUNDUP(X231/G231,0)*0.00651,0)+IFERROR(ROUNDUP(Z231/G231,0)*0.00651,0)+IFERROR(ROUNDUP(AB231/G231,0)*0.00651,0))</f>
        <v/>
      </c>
      <c r="AD231" s="79" t="s">
        <v>57</v>
      </c>
      <c r="AE231" s="79" t="s">
        <v>57</v>
      </c>
      <c r="AF231" s="269" t="s">
        <v>344</v>
      </c>
      <c r="AG231" s="2"/>
      <c r="AH231" s="2"/>
      <c r="AI231" s="2"/>
      <c r="AJ231" s="2"/>
      <c r="AK231" s="2"/>
      <c r="AL231" s="61"/>
      <c r="AM231" s="61"/>
      <c r="AN231" s="61"/>
      <c r="AO231" s="2"/>
      <c r="AP231" s="2"/>
      <c r="AQ231" s="2"/>
      <c r="AR231" s="2"/>
      <c r="AS231" s="2"/>
      <c r="AT231" s="2"/>
      <c r="AU231" s="20"/>
      <c r="AV231" s="20"/>
      <c r="AW231" s="21"/>
      <c r="BB231" s="268" t="s">
        <v>65</v>
      </c>
      <c r="BO231" s="77">
        <f>IFERROR(U231*H231/G231,0)</f>
        <v>0</v>
      </c>
      <c r="BP231" s="77">
        <f>IFERROR(V231*H231/G231,0)</f>
        <v>0</v>
      </c>
      <c r="BQ231" s="77">
        <f>IFERROR(1/I231*(U231/G231),0)</f>
        <v>0</v>
      </c>
      <c r="BR231" s="77">
        <f>IFERROR(1/I231*(V231/G231),0)</f>
        <v>0</v>
      </c>
      <c r="BS231" s="77">
        <f>IFERROR(W231*H231/G231,0)</f>
        <v>0</v>
      </c>
      <c r="BT231" s="77">
        <f>IFERROR(X231*H231/G231,0)</f>
        <v>0</v>
      </c>
      <c r="BU231" s="77">
        <f>IFERROR(1/I231*(W231/G231),0)</f>
        <v>0</v>
      </c>
      <c r="BV231" s="77">
        <f>IFERROR(1/I231*(X231/G231),0)</f>
        <v>0</v>
      </c>
      <c r="BW231" s="77">
        <f>IFERROR(Y231*H231/G231,0)</f>
        <v>0</v>
      </c>
      <c r="BX231" s="77">
        <f>IFERROR(Z231*H231/G231,0)</f>
        <v>0</v>
      </c>
      <c r="BY231" s="77">
        <f>IFERROR(1/I231*(Y231/G231),0)</f>
        <v>0</v>
      </c>
      <c r="BZ231" s="77">
        <f>IFERROR(1/I231*(Z231/G231),0)</f>
        <v>0</v>
      </c>
      <c r="CA231" s="77">
        <f>IFERROR(AA231*H231/G231,0)</f>
        <v>0</v>
      </c>
      <c r="CB231" s="77">
        <f>IFERROR(AB231*H231/G231,0)</f>
        <v>0</v>
      </c>
      <c r="CC231" s="77">
        <f>IFERROR(1/I231*(AA231/G231),0)</f>
        <v>0</v>
      </c>
      <c r="CD231" s="77">
        <f>IFERROR(1/I231*(AB231/G231),0)</f>
        <v>0</v>
      </c>
    </row>
    <row r="232" spans="1:82" ht="22.5" hidden="1" x14ac:dyDescent="0.2">
      <c r="A232" s="79" t="s">
        <v>345</v>
      </c>
      <c r="B232" s="80" t="s">
        <v>346</v>
      </c>
      <c r="C232" s="80">
        <v>4301051133</v>
      </c>
      <c r="D232" s="80">
        <v>4607091387513</v>
      </c>
      <c r="E232" s="81">
        <v>0.45</v>
      </c>
      <c r="F232" s="82">
        <v>6</v>
      </c>
      <c r="G232" s="81">
        <v>2.7</v>
      </c>
      <c r="H232" s="81">
        <v>2.9580000000000002</v>
      </c>
      <c r="I232" s="83">
        <v>182</v>
      </c>
      <c r="J232" s="83" t="s">
        <v>86</v>
      </c>
      <c r="K232" s="84" t="s">
        <v>99</v>
      </c>
      <c r="L232" s="84"/>
      <c r="M232" s="423">
        <v>40</v>
      </c>
      <c r="N232" s="423"/>
      <c r="O232" s="5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P232" s="425"/>
      <c r="Q232" s="425"/>
      <c r="R232" s="425"/>
      <c r="S232" s="425"/>
      <c r="T232" s="85" t="s">
        <v>0</v>
      </c>
      <c r="U232" s="65">
        <v>0</v>
      </c>
      <c r="V232" s="66">
        <f>IFERROR(IF(U232="",0,CEILING((U232/$G232),1)*$G232),"")</f>
        <v>0</v>
      </c>
      <c r="W232" s="65">
        <v>0</v>
      </c>
      <c r="X232" s="66">
        <f>IFERROR(IF(W232="",0,CEILING((W232/$G232),1)*$G232),"")</f>
        <v>0</v>
      </c>
      <c r="Y232" s="65">
        <v>0</v>
      </c>
      <c r="Z232" s="66">
        <f>IFERROR(IF(Y232="",0,CEILING((Y232/$G232),1)*$G232),"")</f>
        <v>0</v>
      </c>
      <c r="AA232" s="65">
        <v>0</v>
      </c>
      <c r="AB232" s="66">
        <f>IFERROR(IF(AA232="",0,CEILING((AA232/$G232),1)*$G232),"")</f>
        <v>0</v>
      </c>
      <c r="AC232" s="67" t="str">
        <f>IF(IFERROR(ROUNDUP(V232/G232,0)*0.00651,0)+IFERROR(ROUNDUP(X232/G232,0)*0.00651,0)+IFERROR(ROUNDUP(Z232/G232,0)*0.00651,0)+IFERROR(ROUNDUP(AB232/G232,0)*0.00651,0)=0,"",IFERROR(ROUNDUP(V232/G232,0)*0.00651,0)+IFERROR(ROUNDUP(X232/G232,0)*0.00651,0)+IFERROR(ROUNDUP(Z232/G232,0)*0.00651,0)+IFERROR(ROUNDUP(AB232/G232,0)*0.00651,0))</f>
        <v/>
      </c>
      <c r="AD232" s="79" t="s">
        <v>57</v>
      </c>
      <c r="AE232" s="79" t="s">
        <v>57</v>
      </c>
      <c r="AF232" s="271" t="s">
        <v>347</v>
      </c>
      <c r="AG232" s="2"/>
      <c r="AH232" s="2"/>
      <c r="AI232" s="2"/>
      <c r="AJ232" s="2"/>
      <c r="AK232" s="2"/>
      <c r="AL232" s="61"/>
      <c r="AM232" s="61"/>
      <c r="AN232" s="61"/>
      <c r="AO232" s="2"/>
      <c r="AP232" s="2"/>
      <c r="AQ232" s="2"/>
      <c r="AR232" s="2"/>
      <c r="AS232" s="2"/>
      <c r="AT232" s="2"/>
      <c r="AU232" s="20"/>
      <c r="AV232" s="20"/>
      <c r="AW232" s="21"/>
      <c r="BB232" s="270" t="s">
        <v>65</v>
      </c>
      <c r="BO232" s="77">
        <f>IFERROR(U232*H232/G232,0)</f>
        <v>0</v>
      </c>
      <c r="BP232" s="77">
        <f>IFERROR(V232*H232/G232,0)</f>
        <v>0</v>
      </c>
      <c r="BQ232" s="77">
        <f>IFERROR(1/I232*(U232/G232),0)</f>
        <v>0</v>
      </c>
      <c r="BR232" s="77">
        <f>IFERROR(1/I232*(V232/G232),0)</f>
        <v>0</v>
      </c>
      <c r="BS232" s="77">
        <f>IFERROR(W232*H232/G232,0)</f>
        <v>0</v>
      </c>
      <c r="BT232" s="77">
        <f>IFERROR(X232*H232/G232,0)</f>
        <v>0</v>
      </c>
      <c r="BU232" s="77">
        <f>IFERROR(1/I232*(W232/G232),0)</f>
        <v>0</v>
      </c>
      <c r="BV232" s="77">
        <f>IFERROR(1/I232*(X232/G232),0)</f>
        <v>0</v>
      </c>
      <c r="BW232" s="77">
        <f>IFERROR(Y232*H232/G232,0)</f>
        <v>0</v>
      </c>
      <c r="BX232" s="77">
        <f>IFERROR(Z232*H232/G232,0)</f>
        <v>0</v>
      </c>
      <c r="BY232" s="77">
        <f>IFERROR(1/I232*(Y232/G232),0)</f>
        <v>0</v>
      </c>
      <c r="BZ232" s="77">
        <f>IFERROR(1/I232*(Z232/G232),0)</f>
        <v>0</v>
      </c>
      <c r="CA232" s="77">
        <f>IFERROR(AA232*H232/G232,0)</f>
        <v>0</v>
      </c>
      <c r="CB232" s="77">
        <f>IFERROR(AB232*H232/G232,0)</f>
        <v>0</v>
      </c>
      <c r="CC232" s="77">
        <f>IFERROR(1/I232*(AA232/G232),0)</f>
        <v>0</v>
      </c>
      <c r="CD232" s="77">
        <f>IFERROR(1/I232*(AB232/G232),0)</f>
        <v>0</v>
      </c>
    </row>
    <row r="233" spans="1:82" hidden="1" x14ac:dyDescent="0.2">
      <c r="A233" s="420"/>
      <c r="B233" s="420"/>
      <c r="C233" s="420"/>
      <c r="D233" s="420"/>
      <c r="E233" s="420"/>
      <c r="F233" s="420"/>
      <c r="G233" s="420"/>
      <c r="H233" s="420"/>
      <c r="I233" s="420"/>
      <c r="J233" s="420"/>
      <c r="K233" s="420"/>
      <c r="L233" s="420"/>
      <c r="M233" s="420"/>
      <c r="N233" s="420"/>
      <c r="O233" s="426" t="s">
        <v>43</v>
      </c>
      <c r="P233" s="427"/>
      <c r="Q233" s="427"/>
      <c r="R233" s="427"/>
      <c r="S233" s="427"/>
      <c r="T233" s="39" t="s">
        <v>42</v>
      </c>
      <c r="U233" s="50">
        <f>IFERROR(U228/G228,0)+IFERROR(U229/G229,0)+IFERROR(U230/G230,0)+IFERROR(U231/G231,0)+IFERROR(U232/G232,0)</f>
        <v>0</v>
      </c>
      <c r="V233" s="50">
        <f>IFERROR(V228/G228,0)+IFERROR(V229/G229,0)+IFERROR(V230/G230,0)+IFERROR(V231/G231,0)+IFERROR(V232/G232,0)</f>
        <v>0</v>
      </c>
      <c r="W233" s="50">
        <f>IFERROR(W228/G228,0)+IFERROR(W229/G229,0)+IFERROR(W230/G230,0)+IFERROR(W231/G231,0)+IFERROR(W232/G232,0)</f>
        <v>0</v>
      </c>
      <c r="X233" s="50">
        <f>IFERROR(X228/G228,0)+IFERROR(X229/G229,0)+IFERROR(X230/G230,0)+IFERROR(X231/G231,0)+IFERROR(X232/G232,0)</f>
        <v>0</v>
      </c>
      <c r="Y233" s="50">
        <f>IFERROR(Y228/G228,0)+IFERROR(Y229/G229,0)+IFERROR(Y230/G230,0)+IFERROR(Y231/G231,0)+IFERROR(Y232/G232,0)</f>
        <v>0</v>
      </c>
      <c r="Z233" s="50">
        <f>IFERROR(Z228/G228,0)+IFERROR(Z229/G229,0)+IFERROR(Z230/G230,0)+IFERROR(Z231/G231,0)+IFERROR(Z232/G232,0)</f>
        <v>0</v>
      </c>
      <c r="AA233" s="50">
        <f>IFERROR(AA228/G228,0)+IFERROR(AA229/G229,0)+IFERROR(AA230/G230,0)+IFERROR(AA231/G231,0)+IFERROR(AA232/G232,0)</f>
        <v>0</v>
      </c>
      <c r="AB233" s="50">
        <f>IFERROR(AB228/G228,0)+IFERROR(AB229/G229,0)+IFERROR(AB230/G230,0)+IFERROR(AB231/G231,0)+IFERROR(AB232/G232,0)</f>
        <v>0</v>
      </c>
      <c r="AC233" s="50">
        <f>IFERROR(IF(AC228="",0,AC228),0)+IFERROR(IF(AC229="",0,AC229),0)+IFERROR(IF(AC230="",0,AC230),0)+IFERROR(IF(AC231="",0,AC231),0)+IFERROR(IF(AC232="",0,AC232),0)</f>
        <v>0</v>
      </c>
      <c r="AD233" s="3"/>
      <c r="AE233" s="72"/>
      <c r="AF233" s="3"/>
      <c r="AG233" s="3"/>
      <c r="AH233" s="3"/>
      <c r="AI233" s="3"/>
      <c r="AJ233" s="3"/>
      <c r="AK233" s="3"/>
      <c r="AL233" s="62"/>
      <c r="AM233" s="62"/>
      <c r="AN233" s="62"/>
      <c r="AO233" s="3"/>
      <c r="AP233" s="3"/>
      <c r="AQ233" s="2"/>
      <c r="AR233" s="2"/>
      <c r="AS233" s="2"/>
      <c r="AT233" s="2"/>
      <c r="AU233" s="20"/>
      <c r="AV233" s="20"/>
      <c r="AW233" s="21"/>
    </row>
    <row r="234" spans="1:82" hidden="1" x14ac:dyDescent="0.2">
      <c r="A234" s="420"/>
      <c r="B234" s="420"/>
      <c r="C234" s="420"/>
      <c r="D234" s="420"/>
      <c r="E234" s="420"/>
      <c r="F234" s="420"/>
      <c r="G234" s="420"/>
      <c r="H234" s="420"/>
      <c r="I234" s="420"/>
      <c r="J234" s="420"/>
      <c r="K234" s="420"/>
      <c r="L234" s="420"/>
      <c r="M234" s="420"/>
      <c r="N234" s="420"/>
      <c r="O234" s="426" t="s">
        <v>43</v>
      </c>
      <c r="P234" s="427"/>
      <c r="Q234" s="427"/>
      <c r="R234" s="427"/>
      <c r="S234" s="427"/>
      <c r="T234" s="39" t="s">
        <v>0</v>
      </c>
      <c r="U234" s="102">
        <f t="shared" ref="U234:AB234" si="57">IFERROR(SUM(U228:U232),0)</f>
        <v>0</v>
      </c>
      <c r="V234" s="102">
        <f t="shared" si="57"/>
        <v>0</v>
      </c>
      <c r="W234" s="102">
        <f t="shared" si="57"/>
        <v>0</v>
      </c>
      <c r="X234" s="102">
        <f t="shared" si="57"/>
        <v>0</v>
      </c>
      <c r="Y234" s="102">
        <f t="shared" si="57"/>
        <v>0</v>
      </c>
      <c r="Z234" s="102">
        <f t="shared" si="57"/>
        <v>0</v>
      </c>
      <c r="AA234" s="102">
        <f t="shared" si="57"/>
        <v>0</v>
      </c>
      <c r="AB234" s="102">
        <f t="shared" si="57"/>
        <v>0</v>
      </c>
      <c r="AC234" s="50" t="s">
        <v>57</v>
      </c>
      <c r="AD234" s="3"/>
      <c r="AE234" s="72"/>
      <c r="AF234" s="3"/>
      <c r="AG234" s="3"/>
      <c r="AH234" s="3"/>
      <c r="AI234" s="3"/>
      <c r="AJ234" s="3"/>
      <c r="AK234" s="3"/>
      <c r="AL234" s="62"/>
      <c r="AM234" s="62"/>
      <c r="AN234" s="62"/>
      <c r="AO234" s="3"/>
      <c r="AP234" s="3"/>
      <c r="AQ234" s="2"/>
      <c r="AR234" s="2"/>
      <c r="AS234" s="2"/>
      <c r="AT234" s="2"/>
      <c r="AU234" s="20"/>
      <c r="AV234" s="20"/>
      <c r="AW234" s="21"/>
    </row>
    <row r="235" spans="1:82" ht="15" hidden="1" x14ac:dyDescent="0.25">
      <c r="A235" s="443" t="s">
        <v>348</v>
      </c>
      <c r="B235" s="430"/>
      <c r="C235" s="430"/>
      <c r="D235" s="430"/>
      <c r="E235" s="430"/>
      <c r="F235" s="430"/>
      <c r="G235" s="430"/>
      <c r="H235" s="430"/>
      <c r="I235" s="430"/>
      <c r="J235" s="430"/>
      <c r="K235" s="430"/>
      <c r="L235" s="430"/>
      <c r="M235" s="430"/>
      <c r="N235" s="430"/>
      <c r="O235" s="430"/>
      <c r="P235" s="430"/>
      <c r="Q235" s="430"/>
      <c r="R235" s="430"/>
      <c r="S235" s="430"/>
      <c r="T235" s="430"/>
      <c r="U235" s="430"/>
      <c r="V235" s="430"/>
      <c r="W235" s="430"/>
      <c r="X235" s="430"/>
      <c r="Y235" s="430"/>
      <c r="Z235" s="430"/>
      <c r="AA235" s="431"/>
      <c r="AB235" s="431"/>
      <c r="AC235" s="431"/>
      <c r="AD235" s="431"/>
      <c r="AE235" s="432"/>
      <c r="AF235" s="444"/>
      <c r="AG235" s="2"/>
      <c r="AH235" s="2"/>
      <c r="AI235" s="2"/>
      <c r="AJ235" s="2"/>
      <c r="AK235" s="61"/>
      <c r="AL235" s="61"/>
      <c r="AM235" s="61"/>
      <c r="AN235" s="2"/>
      <c r="AO235" s="2"/>
      <c r="AP235" s="2"/>
      <c r="AQ235" s="2"/>
      <c r="AR235" s="2"/>
    </row>
    <row r="236" spans="1:82" ht="15" hidden="1" x14ac:dyDescent="0.25">
      <c r="A236" s="428" t="s">
        <v>129</v>
      </c>
      <c r="B236" s="429"/>
      <c r="C236" s="429"/>
      <c r="D236" s="429"/>
      <c r="E236" s="429"/>
      <c r="F236" s="429"/>
      <c r="G236" s="429"/>
      <c r="H236" s="429"/>
      <c r="I236" s="429"/>
      <c r="J236" s="429"/>
      <c r="K236" s="429"/>
      <c r="L236" s="429"/>
      <c r="M236" s="429"/>
      <c r="N236" s="429"/>
      <c r="O236" s="429"/>
      <c r="P236" s="429"/>
      <c r="Q236" s="429"/>
      <c r="R236" s="429"/>
      <c r="S236" s="429"/>
      <c r="T236" s="429"/>
      <c r="U236" s="429"/>
      <c r="V236" s="429"/>
      <c r="W236" s="429"/>
      <c r="X236" s="430"/>
      <c r="Y236" s="430"/>
      <c r="Z236" s="430"/>
      <c r="AA236" s="431"/>
      <c r="AB236" s="431"/>
      <c r="AC236" s="431"/>
      <c r="AD236" s="431"/>
      <c r="AE236" s="432"/>
      <c r="AF236" s="433"/>
      <c r="AG236" s="2"/>
      <c r="AH236" s="2"/>
      <c r="AI236" s="2"/>
      <c r="AJ236" s="2"/>
      <c r="AK236" s="61"/>
      <c r="AL236" s="61"/>
      <c r="AM236" s="61"/>
      <c r="AN236" s="2"/>
      <c r="AO236" s="2"/>
      <c r="AP236" s="2"/>
      <c r="AQ236" s="2"/>
      <c r="AR236" s="2"/>
    </row>
    <row r="237" spans="1:82" hidden="1" x14ac:dyDescent="0.2">
      <c r="A237" s="79" t="s">
        <v>349</v>
      </c>
      <c r="B237" s="80" t="s">
        <v>350</v>
      </c>
      <c r="C237" s="80">
        <v>4301031066</v>
      </c>
      <c r="D237" s="80">
        <v>4607091383836</v>
      </c>
      <c r="E237" s="81">
        <v>0.3</v>
      </c>
      <c r="F237" s="82">
        <v>6</v>
      </c>
      <c r="G237" s="81">
        <v>1.8</v>
      </c>
      <c r="H237" s="81">
        <v>2.028</v>
      </c>
      <c r="I237" s="83">
        <v>182</v>
      </c>
      <c r="J237" s="83" t="s">
        <v>86</v>
      </c>
      <c r="K237" s="84" t="s">
        <v>132</v>
      </c>
      <c r="L237" s="84"/>
      <c r="M237" s="423">
        <v>40</v>
      </c>
      <c r="N237" s="423"/>
      <c r="O237" s="50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P237" s="425"/>
      <c r="Q237" s="425"/>
      <c r="R237" s="425"/>
      <c r="S237" s="425"/>
      <c r="T237" s="85" t="s">
        <v>0</v>
      </c>
      <c r="U237" s="65">
        <v>0</v>
      </c>
      <c r="V237" s="66">
        <f>IFERROR(IF(U237="",0,CEILING((U237/$G237),1)*$G237),"")</f>
        <v>0</v>
      </c>
      <c r="W237" s="65">
        <v>0</v>
      </c>
      <c r="X237" s="66">
        <f>IFERROR(IF(W237="",0,CEILING((W237/$G237),1)*$G237),"")</f>
        <v>0</v>
      </c>
      <c r="Y237" s="65">
        <v>0</v>
      </c>
      <c r="Z237" s="66">
        <f>IFERROR(IF(Y237="",0,CEILING((Y237/$G237),1)*$G237),"")</f>
        <v>0</v>
      </c>
      <c r="AA237" s="65">
        <v>0</v>
      </c>
      <c r="AB237" s="66">
        <f>IFERROR(IF(AA237="",0,CEILING((AA237/$G237),1)*$G237),"")</f>
        <v>0</v>
      </c>
      <c r="AC237" s="67" t="str">
        <f>IF(IFERROR(ROUNDUP(V237/G237,0)*0.00651,0)+IFERROR(ROUNDUP(X237/G237,0)*0.00651,0)+IFERROR(ROUNDUP(Z237/G237,0)*0.00651,0)+IFERROR(ROUNDUP(AB237/G237,0)*0.00651,0)=0,"",IFERROR(ROUNDUP(V237/G237,0)*0.00651,0)+IFERROR(ROUNDUP(X237/G237,0)*0.00651,0)+IFERROR(ROUNDUP(Z237/G237,0)*0.00651,0)+IFERROR(ROUNDUP(AB237/G237,0)*0.00651,0))</f>
        <v/>
      </c>
      <c r="AD237" s="79" t="s">
        <v>57</v>
      </c>
      <c r="AE237" s="79" t="s">
        <v>57</v>
      </c>
      <c r="AF237" s="273" t="s">
        <v>351</v>
      </c>
      <c r="AG237" s="2"/>
      <c r="AH237" s="2"/>
      <c r="AI237" s="2"/>
      <c r="AJ237" s="2"/>
      <c r="AK237" s="2"/>
      <c r="AL237" s="61"/>
      <c r="AM237" s="61"/>
      <c r="AN237" s="61"/>
      <c r="AO237" s="2"/>
      <c r="AP237" s="2"/>
      <c r="AQ237" s="2"/>
      <c r="AR237" s="2"/>
      <c r="AS237" s="2"/>
      <c r="AT237" s="2"/>
      <c r="AU237" s="20"/>
      <c r="AV237" s="20"/>
      <c r="AW237" s="21"/>
      <c r="BB237" s="272" t="s">
        <v>65</v>
      </c>
      <c r="BO237" s="77">
        <f>IFERROR(U237*H237/G237,0)</f>
        <v>0</v>
      </c>
      <c r="BP237" s="77">
        <f>IFERROR(V237*H237/G237,0)</f>
        <v>0</v>
      </c>
      <c r="BQ237" s="77">
        <f>IFERROR(1/I237*(U237/G237),0)</f>
        <v>0</v>
      </c>
      <c r="BR237" s="77">
        <f>IFERROR(1/I237*(V237/G237),0)</f>
        <v>0</v>
      </c>
      <c r="BS237" s="77">
        <f>IFERROR(W237*H237/G237,0)</f>
        <v>0</v>
      </c>
      <c r="BT237" s="77">
        <f>IFERROR(X237*H237/G237,0)</f>
        <v>0</v>
      </c>
      <c r="BU237" s="77">
        <f>IFERROR(1/I237*(W237/G237),0)</f>
        <v>0</v>
      </c>
      <c r="BV237" s="77">
        <f>IFERROR(1/I237*(X237/G237),0)</f>
        <v>0</v>
      </c>
      <c r="BW237" s="77">
        <f>IFERROR(Y237*H237/G237,0)</f>
        <v>0</v>
      </c>
      <c r="BX237" s="77">
        <f>IFERROR(Z237*H237/G237,0)</f>
        <v>0</v>
      </c>
      <c r="BY237" s="77">
        <f>IFERROR(1/I237*(Y237/G237),0)</f>
        <v>0</v>
      </c>
      <c r="BZ237" s="77">
        <f>IFERROR(1/I237*(Z237/G237),0)</f>
        <v>0</v>
      </c>
      <c r="CA237" s="77">
        <f>IFERROR(AA237*H237/G237,0)</f>
        <v>0</v>
      </c>
      <c r="CB237" s="77">
        <f>IFERROR(AB237*H237/G237,0)</f>
        <v>0</v>
      </c>
      <c r="CC237" s="77">
        <f>IFERROR(1/I237*(AA237/G237),0)</f>
        <v>0</v>
      </c>
      <c r="CD237" s="77">
        <f>IFERROR(1/I237*(AB237/G237),0)</f>
        <v>0</v>
      </c>
    </row>
    <row r="238" spans="1:82" hidden="1" x14ac:dyDescent="0.2">
      <c r="A238" s="420"/>
      <c r="B238" s="420"/>
      <c r="C238" s="420"/>
      <c r="D238" s="420"/>
      <c r="E238" s="420"/>
      <c r="F238" s="420"/>
      <c r="G238" s="420"/>
      <c r="H238" s="420"/>
      <c r="I238" s="420"/>
      <c r="J238" s="420"/>
      <c r="K238" s="420"/>
      <c r="L238" s="420"/>
      <c r="M238" s="420"/>
      <c r="N238" s="420"/>
      <c r="O238" s="426" t="s">
        <v>43</v>
      </c>
      <c r="P238" s="427"/>
      <c r="Q238" s="427"/>
      <c r="R238" s="427"/>
      <c r="S238" s="427"/>
      <c r="T238" s="39" t="s">
        <v>42</v>
      </c>
      <c r="U238" s="50">
        <f>IFERROR(U237/G237,0)</f>
        <v>0</v>
      </c>
      <c r="V238" s="50">
        <f>IFERROR(V237/G237,0)</f>
        <v>0</v>
      </c>
      <c r="W238" s="50">
        <f>IFERROR(W237/G237,0)</f>
        <v>0</v>
      </c>
      <c r="X238" s="50">
        <f>IFERROR(X237/G237,0)</f>
        <v>0</v>
      </c>
      <c r="Y238" s="50">
        <f>IFERROR(Y237/G237,0)</f>
        <v>0</v>
      </c>
      <c r="Z238" s="50">
        <f>IFERROR(Z237/G237,0)</f>
        <v>0</v>
      </c>
      <c r="AA238" s="50">
        <f>IFERROR(AA237/G237,0)</f>
        <v>0</v>
      </c>
      <c r="AB238" s="50">
        <f>IFERROR(AB237/G237,0)</f>
        <v>0</v>
      </c>
      <c r="AC238" s="50">
        <f>IFERROR(IF(AC237="",0,AC237),0)</f>
        <v>0</v>
      </c>
      <c r="AD238" s="3"/>
      <c r="AE238" s="72"/>
      <c r="AF238" s="3"/>
      <c r="AG238" s="3"/>
      <c r="AH238" s="3"/>
      <c r="AI238" s="3"/>
      <c r="AJ238" s="3"/>
      <c r="AK238" s="3"/>
      <c r="AL238" s="62"/>
      <c r="AM238" s="62"/>
      <c r="AN238" s="62"/>
      <c r="AO238" s="3"/>
      <c r="AP238" s="3"/>
      <c r="AQ238" s="2"/>
      <c r="AR238" s="2"/>
      <c r="AS238" s="2"/>
      <c r="AT238" s="2"/>
      <c r="AU238" s="20"/>
      <c r="AV238" s="20"/>
      <c r="AW238" s="21"/>
    </row>
    <row r="239" spans="1:82" hidden="1" x14ac:dyDescent="0.2">
      <c r="A239" s="420"/>
      <c r="B239" s="420"/>
      <c r="C239" s="420"/>
      <c r="D239" s="420"/>
      <c r="E239" s="420"/>
      <c r="F239" s="420"/>
      <c r="G239" s="420"/>
      <c r="H239" s="420"/>
      <c r="I239" s="420"/>
      <c r="J239" s="420"/>
      <c r="K239" s="420"/>
      <c r="L239" s="420"/>
      <c r="M239" s="420"/>
      <c r="N239" s="420"/>
      <c r="O239" s="426" t="s">
        <v>43</v>
      </c>
      <c r="P239" s="427"/>
      <c r="Q239" s="427"/>
      <c r="R239" s="427"/>
      <c r="S239" s="427"/>
      <c r="T239" s="39" t="s">
        <v>0</v>
      </c>
      <c r="U239" s="102">
        <f t="shared" ref="U239:AB239" si="58">IFERROR(SUM(U237:U237),0)</f>
        <v>0</v>
      </c>
      <c r="V239" s="102">
        <f t="shared" si="58"/>
        <v>0</v>
      </c>
      <c r="W239" s="102">
        <f t="shared" si="58"/>
        <v>0</v>
      </c>
      <c r="X239" s="102">
        <f t="shared" si="58"/>
        <v>0</v>
      </c>
      <c r="Y239" s="102">
        <f t="shared" si="58"/>
        <v>0</v>
      </c>
      <c r="Z239" s="102">
        <f t="shared" si="58"/>
        <v>0</v>
      </c>
      <c r="AA239" s="102">
        <f t="shared" si="58"/>
        <v>0</v>
      </c>
      <c r="AB239" s="102">
        <f t="shared" si="58"/>
        <v>0</v>
      </c>
      <c r="AC239" s="50" t="s">
        <v>57</v>
      </c>
      <c r="AD239" s="3"/>
      <c r="AE239" s="72"/>
      <c r="AF239" s="3"/>
      <c r="AG239" s="3"/>
      <c r="AH239" s="3"/>
      <c r="AI239" s="3"/>
      <c r="AJ239" s="3"/>
      <c r="AK239" s="3"/>
      <c r="AL239" s="62"/>
      <c r="AM239" s="62"/>
      <c r="AN239" s="62"/>
      <c r="AO239" s="3"/>
      <c r="AP239" s="3"/>
      <c r="AQ239" s="2"/>
      <c r="AR239" s="2"/>
      <c r="AS239" s="2"/>
      <c r="AT239" s="2"/>
      <c r="AU239" s="20"/>
      <c r="AV239" s="20"/>
      <c r="AW239" s="21"/>
    </row>
    <row r="240" spans="1:82" ht="15" hidden="1" x14ac:dyDescent="0.25">
      <c r="A240" s="428" t="s">
        <v>82</v>
      </c>
      <c r="B240" s="429"/>
      <c r="C240" s="429"/>
      <c r="D240" s="429"/>
      <c r="E240" s="429"/>
      <c r="F240" s="429"/>
      <c r="G240" s="429"/>
      <c r="H240" s="429"/>
      <c r="I240" s="429"/>
      <c r="J240" s="429"/>
      <c r="K240" s="429"/>
      <c r="L240" s="429"/>
      <c r="M240" s="429"/>
      <c r="N240" s="429"/>
      <c r="O240" s="429"/>
      <c r="P240" s="429"/>
      <c r="Q240" s="429"/>
      <c r="R240" s="429"/>
      <c r="S240" s="429"/>
      <c r="T240" s="429"/>
      <c r="U240" s="429"/>
      <c r="V240" s="429"/>
      <c r="W240" s="429"/>
      <c r="X240" s="430"/>
      <c r="Y240" s="430"/>
      <c r="Z240" s="430"/>
      <c r="AA240" s="431"/>
      <c r="AB240" s="431"/>
      <c r="AC240" s="431"/>
      <c r="AD240" s="431"/>
      <c r="AE240" s="432"/>
      <c r="AF240" s="433"/>
      <c r="AG240" s="2"/>
      <c r="AH240" s="2"/>
      <c r="AI240" s="2"/>
      <c r="AJ240" s="2"/>
      <c r="AK240" s="61"/>
      <c r="AL240" s="61"/>
      <c r="AM240" s="61"/>
      <c r="AN240" s="2"/>
      <c r="AO240" s="2"/>
      <c r="AP240" s="2"/>
      <c r="AQ240" s="2"/>
      <c r="AR240" s="2"/>
    </row>
    <row r="241" spans="1:82" ht="22.5" hidden="1" x14ac:dyDescent="0.2">
      <c r="A241" s="79" t="s">
        <v>352</v>
      </c>
      <c r="B241" s="80" t="s">
        <v>353</v>
      </c>
      <c r="C241" s="80">
        <v>4301051461</v>
      </c>
      <c r="D241" s="80">
        <v>4680115883604</v>
      </c>
      <c r="E241" s="81">
        <v>0.35</v>
      </c>
      <c r="F241" s="82">
        <v>6</v>
      </c>
      <c r="G241" s="81">
        <v>2.1</v>
      </c>
      <c r="H241" s="81">
        <v>2.3519999999999999</v>
      </c>
      <c r="I241" s="83">
        <v>182</v>
      </c>
      <c r="J241" s="83" t="s">
        <v>86</v>
      </c>
      <c r="K241" s="84" t="s">
        <v>99</v>
      </c>
      <c r="L241" s="84"/>
      <c r="M241" s="423">
        <v>45</v>
      </c>
      <c r="N241" s="423"/>
      <c r="O241" s="5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P241" s="425"/>
      <c r="Q241" s="425"/>
      <c r="R241" s="425"/>
      <c r="S241" s="425"/>
      <c r="T241" s="85" t="s">
        <v>0</v>
      </c>
      <c r="U241" s="65">
        <v>0</v>
      </c>
      <c r="V241" s="66">
        <f>IFERROR(IF(U241="",0,CEILING((U241/$G241),1)*$G241),"")</f>
        <v>0</v>
      </c>
      <c r="W241" s="65">
        <v>0</v>
      </c>
      <c r="X241" s="66">
        <f>IFERROR(IF(W241="",0,CEILING((W241/$G241),1)*$G241),"")</f>
        <v>0</v>
      </c>
      <c r="Y241" s="65">
        <v>0</v>
      </c>
      <c r="Z241" s="66">
        <f>IFERROR(IF(Y241="",0,CEILING((Y241/$G241),1)*$G241),"")</f>
        <v>0</v>
      </c>
      <c r="AA241" s="65">
        <v>0</v>
      </c>
      <c r="AB241" s="66">
        <f>IFERROR(IF(AA241="",0,CEILING((AA241/$G241),1)*$G241),"")</f>
        <v>0</v>
      </c>
      <c r="AC241" s="67" t="str">
        <f>IF(IFERROR(ROUNDUP(V241/G241,0)*0.00651,0)+IFERROR(ROUNDUP(X241/G241,0)*0.00651,0)+IFERROR(ROUNDUP(Z241/G241,0)*0.00651,0)+IFERROR(ROUNDUP(AB241/G241,0)*0.00651,0)=0,"",IFERROR(ROUNDUP(V241/G241,0)*0.00651,0)+IFERROR(ROUNDUP(X241/G241,0)*0.00651,0)+IFERROR(ROUNDUP(Z241/G241,0)*0.00651,0)+IFERROR(ROUNDUP(AB241/G241,0)*0.00651,0))</f>
        <v/>
      </c>
      <c r="AD241" s="79" t="s">
        <v>57</v>
      </c>
      <c r="AE241" s="79" t="s">
        <v>57</v>
      </c>
      <c r="AF241" s="275" t="s">
        <v>354</v>
      </c>
      <c r="AG241" s="2"/>
      <c r="AH241" s="2"/>
      <c r="AI241" s="2"/>
      <c r="AJ241" s="2"/>
      <c r="AK241" s="2"/>
      <c r="AL241" s="61"/>
      <c r="AM241" s="61"/>
      <c r="AN241" s="61"/>
      <c r="AO241" s="2"/>
      <c r="AP241" s="2"/>
      <c r="AQ241" s="2"/>
      <c r="AR241" s="2"/>
      <c r="AS241" s="2"/>
      <c r="AT241" s="2"/>
      <c r="AU241" s="20"/>
      <c r="AV241" s="20"/>
      <c r="AW241" s="21"/>
      <c r="BB241" s="274" t="s">
        <v>65</v>
      </c>
      <c r="BO241" s="77">
        <f>IFERROR(U241*H241/G241,0)</f>
        <v>0</v>
      </c>
      <c r="BP241" s="77">
        <f>IFERROR(V241*H241/G241,0)</f>
        <v>0</v>
      </c>
      <c r="BQ241" s="77">
        <f>IFERROR(1/I241*(U241/G241),0)</f>
        <v>0</v>
      </c>
      <c r="BR241" s="77">
        <f>IFERROR(1/I241*(V241/G241),0)</f>
        <v>0</v>
      </c>
      <c r="BS241" s="77">
        <f>IFERROR(W241*H241/G241,0)</f>
        <v>0</v>
      </c>
      <c r="BT241" s="77">
        <f>IFERROR(X241*H241/G241,0)</f>
        <v>0</v>
      </c>
      <c r="BU241" s="77">
        <f>IFERROR(1/I241*(W241/G241),0)</f>
        <v>0</v>
      </c>
      <c r="BV241" s="77">
        <f>IFERROR(1/I241*(X241/G241),0)</f>
        <v>0</v>
      </c>
      <c r="BW241" s="77">
        <f>IFERROR(Y241*H241/G241,0)</f>
        <v>0</v>
      </c>
      <c r="BX241" s="77">
        <f>IFERROR(Z241*H241/G241,0)</f>
        <v>0</v>
      </c>
      <c r="BY241" s="77">
        <f>IFERROR(1/I241*(Y241/G241),0)</f>
        <v>0</v>
      </c>
      <c r="BZ241" s="77">
        <f>IFERROR(1/I241*(Z241/G241),0)</f>
        <v>0</v>
      </c>
      <c r="CA241" s="77">
        <f>IFERROR(AA241*H241/G241,0)</f>
        <v>0</v>
      </c>
      <c r="CB241" s="77">
        <f>IFERROR(AB241*H241/G241,0)</f>
        <v>0</v>
      </c>
      <c r="CC241" s="77">
        <f>IFERROR(1/I241*(AA241/G241),0)</f>
        <v>0</v>
      </c>
      <c r="CD241" s="77">
        <f>IFERROR(1/I241*(AB241/G241),0)</f>
        <v>0</v>
      </c>
    </row>
    <row r="242" spans="1:82" ht="22.5" hidden="1" x14ac:dyDescent="0.2">
      <c r="A242" s="79" t="s">
        <v>352</v>
      </c>
      <c r="B242" s="80" t="s">
        <v>353</v>
      </c>
      <c r="C242" s="80">
        <v>4301051519</v>
      </c>
      <c r="D242" s="80">
        <v>4680115883604</v>
      </c>
      <c r="E242" s="81">
        <v>0.35</v>
      </c>
      <c r="F242" s="82">
        <v>6</v>
      </c>
      <c r="G242" s="81">
        <v>2.1</v>
      </c>
      <c r="H242" s="81">
        <v>2.3519999999999999</v>
      </c>
      <c r="I242" s="83">
        <v>182</v>
      </c>
      <c r="J242" s="83" t="s">
        <v>86</v>
      </c>
      <c r="K242" s="84" t="s">
        <v>85</v>
      </c>
      <c r="L242" s="84"/>
      <c r="M242" s="423">
        <v>45</v>
      </c>
      <c r="N242" s="423"/>
      <c r="O242" s="5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P242" s="425"/>
      <c r="Q242" s="425"/>
      <c r="R242" s="425"/>
      <c r="S242" s="425"/>
      <c r="T242" s="85" t="s">
        <v>0</v>
      </c>
      <c r="U242" s="65">
        <v>0</v>
      </c>
      <c r="V242" s="66">
        <f>IFERROR(IF(U242="",0,CEILING((U242/$G242),1)*$G242),"")</f>
        <v>0</v>
      </c>
      <c r="W242" s="65">
        <v>0</v>
      </c>
      <c r="X242" s="66">
        <f>IFERROR(IF(W242="",0,CEILING((W242/$G242),1)*$G242),"")</f>
        <v>0</v>
      </c>
      <c r="Y242" s="65">
        <v>0</v>
      </c>
      <c r="Z242" s="66">
        <f>IFERROR(IF(Y242="",0,CEILING((Y242/$G242),1)*$G242),"")</f>
        <v>0</v>
      </c>
      <c r="AA242" s="65">
        <v>0</v>
      </c>
      <c r="AB242" s="66">
        <f>IFERROR(IF(AA242="",0,CEILING((AA242/$G242),1)*$G242),"")</f>
        <v>0</v>
      </c>
      <c r="AC242" s="67" t="str">
        <f>IF(IFERROR(ROUNDUP(V242/G242,0)*0.00651,0)+IFERROR(ROUNDUP(X242/G242,0)*0.00651,0)+IFERROR(ROUNDUP(Z242/G242,0)*0.00651,0)+IFERROR(ROUNDUP(AB242/G242,0)*0.00651,0)=0,"",IFERROR(ROUNDUP(V242/G242,0)*0.00651,0)+IFERROR(ROUNDUP(X242/G242,0)*0.00651,0)+IFERROR(ROUNDUP(Z242/G242,0)*0.00651,0)+IFERROR(ROUNDUP(AB242/G242,0)*0.00651,0))</f>
        <v/>
      </c>
      <c r="AD242" s="79" t="s">
        <v>57</v>
      </c>
      <c r="AE242" s="79" t="s">
        <v>57</v>
      </c>
      <c r="AF242" s="277" t="s">
        <v>354</v>
      </c>
      <c r="AG242" s="2"/>
      <c r="AH242" s="2"/>
      <c r="AI242" s="2"/>
      <c r="AJ242" s="2"/>
      <c r="AK242" s="2"/>
      <c r="AL242" s="61"/>
      <c r="AM242" s="61"/>
      <c r="AN242" s="61"/>
      <c r="AO242" s="2"/>
      <c r="AP242" s="2"/>
      <c r="AQ242" s="2"/>
      <c r="AR242" s="2"/>
      <c r="AS242" s="2"/>
      <c r="AT242" s="2"/>
      <c r="AU242" s="20"/>
      <c r="AV242" s="20"/>
      <c r="AW242" s="21"/>
      <c r="BB242" s="276" t="s">
        <v>65</v>
      </c>
      <c r="BO242" s="77">
        <f>IFERROR(U242*H242/G242,0)</f>
        <v>0</v>
      </c>
      <c r="BP242" s="77">
        <f>IFERROR(V242*H242/G242,0)</f>
        <v>0</v>
      </c>
      <c r="BQ242" s="77">
        <f>IFERROR(1/I242*(U242/G242),0)</f>
        <v>0</v>
      </c>
      <c r="BR242" s="77">
        <f>IFERROR(1/I242*(V242/G242),0)</f>
        <v>0</v>
      </c>
      <c r="BS242" s="77">
        <f>IFERROR(W242*H242/G242,0)</f>
        <v>0</v>
      </c>
      <c r="BT242" s="77">
        <f>IFERROR(X242*H242/G242,0)</f>
        <v>0</v>
      </c>
      <c r="BU242" s="77">
        <f>IFERROR(1/I242*(W242/G242),0)</f>
        <v>0</v>
      </c>
      <c r="BV242" s="77">
        <f>IFERROR(1/I242*(X242/G242),0)</f>
        <v>0</v>
      </c>
      <c r="BW242" s="77">
        <f>IFERROR(Y242*H242/G242,0)</f>
        <v>0</v>
      </c>
      <c r="BX242" s="77">
        <f>IFERROR(Z242*H242/G242,0)</f>
        <v>0</v>
      </c>
      <c r="BY242" s="77">
        <f>IFERROR(1/I242*(Y242/G242),0)</f>
        <v>0</v>
      </c>
      <c r="BZ242" s="77">
        <f>IFERROR(1/I242*(Z242/G242),0)</f>
        <v>0</v>
      </c>
      <c r="CA242" s="77">
        <f>IFERROR(AA242*H242/G242,0)</f>
        <v>0</v>
      </c>
      <c r="CB242" s="77">
        <f>IFERROR(AB242*H242/G242,0)</f>
        <v>0</v>
      </c>
      <c r="CC242" s="77">
        <f>IFERROR(1/I242*(AA242/G242),0)</f>
        <v>0</v>
      </c>
      <c r="CD242" s="77">
        <f>IFERROR(1/I242*(AB242/G242),0)</f>
        <v>0</v>
      </c>
    </row>
    <row r="243" spans="1:82" hidden="1" x14ac:dyDescent="0.2">
      <c r="A243" s="420"/>
      <c r="B243" s="420"/>
      <c r="C243" s="420"/>
      <c r="D243" s="420"/>
      <c r="E243" s="420"/>
      <c r="F243" s="420"/>
      <c r="G243" s="420"/>
      <c r="H243" s="420"/>
      <c r="I243" s="420"/>
      <c r="J243" s="420"/>
      <c r="K243" s="420"/>
      <c r="L243" s="420"/>
      <c r="M243" s="420"/>
      <c r="N243" s="420"/>
      <c r="O243" s="426" t="s">
        <v>43</v>
      </c>
      <c r="P243" s="427"/>
      <c r="Q243" s="427"/>
      <c r="R243" s="427"/>
      <c r="S243" s="427"/>
      <c r="T243" s="39" t="s">
        <v>42</v>
      </c>
      <c r="U243" s="50">
        <f>IFERROR(U241/G241,0)+IFERROR(U242/G242,0)</f>
        <v>0</v>
      </c>
      <c r="V243" s="50">
        <f>IFERROR(V241/G241,0)+IFERROR(V242/G242,0)</f>
        <v>0</v>
      </c>
      <c r="W243" s="50">
        <f>IFERROR(W241/G241,0)+IFERROR(W242/G242,0)</f>
        <v>0</v>
      </c>
      <c r="X243" s="50">
        <f>IFERROR(X241/G241,0)+IFERROR(X242/G242,0)</f>
        <v>0</v>
      </c>
      <c r="Y243" s="50">
        <f>IFERROR(Y241/G241,0)+IFERROR(Y242/G242,0)</f>
        <v>0</v>
      </c>
      <c r="Z243" s="50">
        <f>IFERROR(Z241/G241,0)+IFERROR(Z242/G242,0)</f>
        <v>0</v>
      </c>
      <c r="AA243" s="50">
        <f>IFERROR(AA241/G241,0)+IFERROR(AA242/G242,0)</f>
        <v>0</v>
      </c>
      <c r="AB243" s="50">
        <f>IFERROR(AB241/G241,0)+IFERROR(AB242/G242,0)</f>
        <v>0</v>
      </c>
      <c r="AC243" s="50">
        <f>IFERROR(IF(AC241="",0,AC241),0)+IFERROR(IF(AC242="",0,AC242),0)</f>
        <v>0</v>
      </c>
      <c r="AD243" s="3"/>
      <c r="AE243" s="72"/>
      <c r="AF243" s="3"/>
      <c r="AG243" s="3"/>
      <c r="AH243" s="3"/>
      <c r="AI243" s="3"/>
      <c r="AJ243" s="3"/>
      <c r="AK243" s="3"/>
      <c r="AL243" s="62"/>
      <c r="AM243" s="62"/>
      <c r="AN243" s="62"/>
      <c r="AO243" s="3"/>
      <c r="AP243" s="3"/>
      <c r="AQ243" s="2"/>
      <c r="AR243" s="2"/>
      <c r="AS243" s="2"/>
      <c r="AT243" s="2"/>
      <c r="AU243" s="20"/>
      <c r="AV243" s="20"/>
      <c r="AW243" s="21"/>
    </row>
    <row r="244" spans="1:82" hidden="1" x14ac:dyDescent="0.2">
      <c r="A244" s="420"/>
      <c r="B244" s="420"/>
      <c r="C244" s="420"/>
      <c r="D244" s="420"/>
      <c r="E244" s="420"/>
      <c r="F244" s="420"/>
      <c r="G244" s="420"/>
      <c r="H244" s="420"/>
      <c r="I244" s="420"/>
      <c r="J244" s="420"/>
      <c r="K244" s="420"/>
      <c r="L244" s="420"/>
      <c r="M244" s="420"/>
      <c r="N244" s="420"/>
      <c r="O244" s="426" t="s">
        <v>43</v>
      </c>
      <c r="P244" s="427"/>
      <c r="Q244" s="427"/>
      <c r="R244" s="427"/>
      <c r="S244" s="427"/>
      <c r="T244" s="39" t="s">
        <v>0</v>
      </c>
      <c r="U244" s="102">
        <f t="shared" ref="U244:AB244" si="59">IFERROR(SUM(U241:U242),0)</f>
        <v>0</v>
      </c>
      <c r="V244" s="102">
        <f t="shared" si="59"/>
        <v>0</v>
      </c>
      <c r="W244" s="102">
        <f t="shared" si="59"/>
        <v>0</v>
      </c>
      <c r="X244" s="102">
        <f t="shared" si="59"/>
        <v>0</v>
      </c>
      <c r="Y244" s="102">
        <f t="shared" si="59"/>
        <v>0</v>
      </c>
      <c r="Z244" s="102">
        <f t="shared" si="59"/>
        <v>0</v>
      </c>
      <c r="AA244" s="102">
        <f t="shared" si="59"/>
        <v>0</v>
      </c>
      <c r="AB244" s="102">
        <f t="shared" si="59"/>
        <v>0</v>
      </c>
      <c r="AC244" s="50" t="s">
        <v>57</v>
      </c>
      <c r="AD244" s="3"/>
      <c r="AE244" s="72"/>
      <c r="AF244" s="3"/>
      <c r="AG244" s="3"/>
      <c r="AH244" s="3"/>
      <c r="AI244" s="3"/>
      <c r="AJ244" s="3"/>
      <c r="AK244" s="3"/>
      <c r="AL244" s="62"/>
      <c r="AM244" s="62"/>
      <c r="AN244" s="62"/>
      <c r="AO244" s="3"/>
      <c r="AP244" s="3"/>
      <c r="AQ244" s="2"/>
      <c r="AR244" s="2"/>
      <c r="AS244" s="2"/>
      <c r="AT244" s="2"/>
      <c r="AU244" s="20"/>
      <c r="AV244" s="20"/>
      <c r="AW244" s="21"/>
    </row>
    <row r="245" spans="1:82" ht="27.75" hidden="1" customHeight="1" x14ac:dyDescent="0.2">
      <c r="A245" s="456" t="s">
        <v>355</v>
      </c>
      <c r="B245" s="457"/>
      <c r="C245" s="457"/>
      <c r="D245" s="457"/>
      <c r="E245" s="457"/>
      <c r="F245" s="457"/>
      <c r="G245" s="457"/>
      <c r="H245" s="457"/>
      <c r="I245" s="457"/>
      <c r="J245" s="457"/>
      <c r="K245" s="457"/>
      <c r="L245" s="457"/>
      <c r="M245" s="457"/>
      <c r="N245" s="457"/>
      <c r="O245" s="457"/>
      <c r="P245" s="457"/>
      <c r="Q245" s="457"/>
      <c r="R245" s="457"/>
      <c r="S245" s="457"/>
      <c r="T245" s="457"/>
      <c r="U245" s="457"/>
      <c r="V245" s="457"/>
      <c r="W245" s="458"/>
      <c r="X245" s="458"/>
      <c r="Y245" s="458"/>
      <c r="Z245" s="458"/>
      <c r="AA245" s="431"/>
      <c r="AB245" s="431"/>
      <c r="AC245" s="431"/>
      <c r="AD245" s="431"/>
      <c r="AE245" s="432"/>
      <c r="AF245" s="459"/>
      <c r="AG245" s="2"/>
      <c r="AH245" s="2"/>
      <c r="AI245" s="2"/>
      <c r="AJ245" s="2"/>
      <c r="AK245" s="61"/>
      <c r="AL245" s="61"/>
      <c r="AM245" s="61"/>
      <c r="AN245" s="2"/>
      <c r="AO245" s="2"/>
      <c r="AP245" s="2"/>
      <c r="AQ245" s="2"/>
      <c r="AR245" s="2"/>
    </row>
    <row r="246" spans="1:82" ht="15" hidden="1" x14ac:dyDescent="0.25">
      <c r="A246" s="443" t="s">
        <v>356</v>
      </c>
      <c r="B246" s="430"/>
      <c r="C246" s="430"/>
      <c r="D246" s="430"/>
      <c r="E246" s="430"/>
      <c r="F246" s="430"/>
      <c r="G246" s="430"/>
      <c r="H246" s="430"/>
      <c r="I246" s="430"/>
      <c r="J246" s="430"/>
      <c r="K246" s="430"/>
      <c r="L246" s="430"/>
      <c r="M246" s="430"/>
      <c r="N246" s="430"/>
      <c r="O246" s="430"/>
      <c r="P246" s="430"/>
      <c r="Q246" s="430"/>
      <c r="R246" s="430"/>
      <c r="S246" s="430"/>
      <c r="T246" s="430"/>
      <c r="U246" s="430"/>
      <c r="V246" s="430"/>
      <c r="W246" s="430"/>
      <c r="X246" s="430"/>
      <c r="Y246" s="430"/>
      <c r="Z246" s="430"/>
      <c r="AA246" s="431"/>
      <c r="AB246" s="431"/>
      <c r="AC246" s="431"/>
      <c r="AD246" s="431"/>
      <c r="AE246" s="432"/>
      <c r="AF246" s="444"/>
      <c r="AG246" s="2"/>
      <c r="AH246" s="2"/>
      <c r="AI246" s="2"/>
      <c r="AJ246" s="2"/>
      <c r="AK246" s="61"/>
      <c r="AL246" s="61"/>
      <c r="AM246" s="61"/>
      <c r="AN246" s="2"/>
      <c r="AO246" s="2"/>
      <c r="AP246" s="2"/>
      <c r="AQ246" s="2"/>
      <c r="AR246" s="2"/>
    </row>
    <row r="247" spans="1:82" ht="15" hidden="1" x14ac:dyDescent="0.25">
      <c r="A247" s="428" t="s">
        <v>96</v>
      </c>
      <c r="B247" s="429"/>
      <c r="C247" s="429"/>
      <c r="D247" s="429"/>
      <c r="E247" s="429"/>
      <c r="F247" s="429"/>
      <c r="G247" s="429"/>
      <c r="H247" s="429"/>
      <c r="I247" s="429"/>
      <c r="J247" s="429"/>
      <c r="K247" s="429"/>
      <c r="L247" s="429"/>
      <c r="M247" s="429"/>
      <c r="N247" s="429"/>
      <c r="O247" s="429"/>
      <c r="P247" s="429"/>
      <c r="Q247" s="429"/>
      <c r="R247" s="429"/>
      <c r="S247" s="429"/>
      <c r="T247" s="429"/>
      <c r="U247" s="429"/>
      <c r="V247" s="429"/>
      <c r="W247" s="429"/>
      <c r="X247" s="430"/>
      <c r="Y247" s="430"/>
      <c r="Z247" s="430"/>
      <c r="AA247" s="431"/>
      <c r="AB247" s="431"/>
      <c r="AC247" s="431"/>
      <c r="AD247" s="431"/>
      <c r="AE247" s="432"/>
      <c r="AF247" s="433"/>
      <c r="AG247" s="2"/>
      <c r="AH247" s="2"/>
      <c r="AI247" s="2"/>
      <c r="AJ247" s="2"/>
      <c r="AK247" s="61"/>
      <c r="AL247" s="61"/>
      <c r="AM247" s="61"/>
      <c r="AN247" s="2"/>
      <c r="AO247" s="2"/>
      <c r="AP247" s="2"/>
      <c r="AQ247" s="2"/>
      <c r="AR247" s="2"/>
    </row>
    <row r="248" spans="1:82" ht="33.75" hidden="1" x14ac:dyDescent="0.2">
      <c r="A248" s="79" t="s">
        <v>357</v>
      </c>
      <c r="B248" s="80" t="s">
        <v>358</v>
      </c>
      <c r="C248" s="80">
        <v>4301011217</v>
      </c>
      <c r="D248" s="80">
        <v>4607091384192</v>
      </c>
      <c r="E248" s="81">
        <v>1.8</v>
      </c>
      <c r="F248" s="82">
        <v>6</v>
      </c>
      <c r="G248" s="81">
        <v>10.8</v>
      </c>
      <c r="H248" s="81">
        <v>11.234999999999999</v>
      </c>
      <c r="I248" s="83">
        <v>64</v>
      </c>
      <c r="J248" s="83" t="s">
        <v>114</v>
      </c>
      <c r="K248" s="84" t="s">
        <v>132</v>
      </c>
      <c r="L248" s="84"/>
      <c r="M248" s="423">
        <v>60</v>
      </c>
      <c r="N248" s="423"/>
      <c r="O248" s="500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P248" s="425"/>
      <c r="Q248" s="425"/>
      <c r="R248" s="425"/>
      <c r="S248" s="425"/>
      <c r="T248" s="85" t="s">
        <v>0</v>
      </c>
      <c r="U248" s="65">
        <v>0</v>
      </c>
      <c r="V248" s="66">
        <f>IFERROR(IF(U248="",0,CEILING((U248/$G248),1)*$G248),"")</f>
        <v>0</v>
      </c>
      <c r="W248" s="65">
        <v>0</v>
      </c>
      <c r="X248" s="66">
        <f>IFERROR(IF(W248="",0,CEILING((W248/$G248),1)*$G248),"")</f>
        <v>0</v>
      </c>
      <c r="Y248" s="65">
        <v>0</v>
      </c>
      <c r="Z248" s="66">
        <f>IFERROR(IF(Y248="",0,CEILING((Y248/$G248),1)*$G248),"")</f>
        <v>0</v>
      </c>
      <c r="AA248" s="65">
        <v>0</v>
      </c>
      <c r="AB248" s="66">
        <f>IFERROR(IF(AA248="",0,CEILING((AA248/$G248),1)*$G248),"")</f>
        <v>0</v>
      </c>
      <c r="AC248" s="67" t="str">
        <f>IF(IFERROR(ROUNDUP(V248/G248,0)*0.01898,0)+IFERROR(ROUNDUP(X248/G248,0)*0.01898,0)+IFERROR(ROUNDUP(Z248/G248,0)*0.01898,0)+IFERROR(ROUNDUP(AB248/G248,0)*0.01898,0)=0,"",IFERROR(ROUNDUP(V248/G248,0)*0.01898,0)+IFERROR(ROUNDUP(X248/G248,0)*0.01898,0)+IFERROR(ROUNDUP(Z248/G248,0)*0.01898,0)+IFERROR(ROUNDUP(AB248/G248,0)*0.01898,0))</f>
        <v/>
      </c>
      <c r="AD248" s="79" t="s">
        <v>57</v>
      </c>
      <c r="AE248" s="79" t="s">
        <v>57</v>
      </c>
      <c r="AF248" s="279" t="s">
        <v>359</v>
      </c>
      <c r="AG248" s="2"/>
      <c r="AH248" s="2"/>
      <c r="AI248" s="2"/>
      <c r="AJ248" s="2"/>
      <c r="AK248" s="2"/>
      <c r="AL248" s="61"/>
      <c r="AM248" s="61"/>
      <c r="AN248" s="61"/>
      <c r="AO248" s="2"/>
      <c r="AP248" s="2"/>
      <c r="AQ248" s="2"/>
      <c r="AR248" s="2"/>
      <c r="AS248" s="2"/>
      <c r="AT248" s="2"/>
      <c r="AU248" s="20"/>
      <c r="AV248" s="20"/>
      <c r="AW248" s="21"/>
      <c r="BB248" s="278" t="s">
        <v>65</v>
      </c>
      <c r="BO248" s="77">
        <f>IFERROR(U248*H248/G248,0)</f>
        <v>0</v>
      </c>
      <c r="BP248" s="77">
        <f>IFERROR(V248*H248/G248,0)</f>
        <v>0</v>
      </c>
      <c r="BQ248" s="77">
        <f>IFERROR(1/I248*(U248/G248),0)</f>
        <v>0</v>
      </c>
      <c r="BR248" s="77">
        <f>IFERROR(1/I248*(V248/G248),0)</f>
        <v>0</v>
      </c>
      <c r="BS248" s="77">
        <f>IFERROR(W248*H248/G248,0)</f>
        <v>0</v>
      </c>
      <c r="BT248" s="77">
        <f>IFERROR(X248*H248/G248,0)</f>
        <v>0</v>
      </c>
      <c r="BU248" s="77">
        <f>IFERROR(1/I248*(W248/G248),0)</f>
        <v>0</v>
      </c>
      <c r="BV248" s="77">
        <f>IFERROR(1/I248*(X248/G248),0)</f>
        <v>0</v>
      </c>
      <c r="BW248" s="77">
        <f>IFERROR(Y248*H248/G248,0)</f>
        <v>0</v>
      </c>
      <c r="BX248" s="77">
        <f>IFERROR(Z248*H248/G248,0)</f>
        <v>0</v>
      </c>
      <c r="BY248" s="77">
        <f>IFERROR(1/I248*(Y248/G248),0)</f>
        <v>0</v>
      </c>
      <c r="BZ248" s="77">
        <f>IFERROR(1/I248*(Z248/G248),0)</f>
        <v>0</v>
      </c>
      <c r="CA248" s="77">
        <f>IFERROR(AA248*H248/G248,0)</f>
        <v>0</v>
      </c>
      <c r="CB248" s="77">
        <f>IFERROR(AB248*H248/G248,0)</f>
        <v>0</v>
      </c>
      <c r="CC248" s="77">
        <f>IFERROR(1/I248*(AA248/G248),0)</f>
        <v>0</v>
      </c>
      <c r="CD248" s="77">
        <f>IFERROR(1/I248*(AB248/G248),0)</f>
        <v>0</v>
      </c>
    </row>
    <row r="249" spans="1:82" ht="33.75" hidden="1" x14ac:dyDescent="0.2">
      <c r="A249" s="79" t="s">
        <v>360</v>
      </c>
      <c r="B249" s="80" t="s">
        <v>361</v>
      </c>
      <c r="C249" s="80">
        <v>4301011871</v>
      </c>
      <c r="D249" s="80">
        <v>4680115884908</v>
      </c>
      <c r="E249" s="81">
        <v>0.4</v>
      </c>
      <c r="F249" s="82">
        <v>10</v>
      </c>
      <c r="G249" s="81">
        <v>4</v>
      </c>
      <c r="H249" s="81">
        <v>4.21</v>
      </c>
      <c r="I249" s="83">
        <v>132</v>
      </c>
      <c r="J249" s="83" t="s">
        <v>100</v>
      </c>
      <c r="K249" s="84" t="s">
        <v>132</v>
      </c>
      <c r="L249" s="84"/>
      <c r="M249" s="423">
        <v>60</v>
      </c>
      <c r="N249" s="423"/>
      <c r="O249" s="5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P249" s="425"/>
      <c r="Q249" s="425"/>
      <c r="R249" s="425"/>
      <c r="S249" s="425"/>
      <c r="T249" s="85" t="s">
        <v>0</v>
      </c>
      <c r="U249" s="65">
        <v>0</v>
      </c>
      <c r="V249" s="66">
        <f>IFERROR(IF(U249="",0,CEILING((U249/$G249),1)*$G249),"")</f>
        <v>0</v>
      </c>
      <c r="W249" s="65">
        <v>0</v>
      </c>
      <c r="X249" s="66">
        <f>IFERROR(IF(W249="",0,CEILING((W249/$G249),1)*$G249),"")</f>
        <v>0</v>
      </c>
      <c r="Y249" s="65">
        <v>0</v>
      </c>
      <c r="Z249" s="66">
        <f>IFERROR(IF(Y249="",0,CEILING((Y249/$G249),1)*$G249),"")</f>
        <v>0</v>
      </c>
      <c r="AA249" s="65">
        <v>0</v>
      </c>
      <c r="AB249" s="66">
        <f>IFERROR(IF(AA249="",0,CEILING((AA249/$G249),1)*$G249),"")</f>
        <v>0</v>
      </c>
      <c r="AC249" s="67" t="str">
        <f>IF(IFERROR(ROUNDUP(V249/G249,0)*0.00902,0)+IFERROR(ROUNDUP(X249/G249,0)*0.00902,0)+IFERROR(ROUNDUP(Z249/G249,0)*0.00902,0)+IFERROR(ROUNDUP(AB249/G249,0)*0.00902,0)=0,"",IFERROR(ROUNDUP(V249/G249,0)*0.00902,0)+IFERROR(ROUNDUP(X249/G249,0)*0.00902,0)+IFERROR(ROUNDUP(Z249/G249,0)*0.00902,0)+IFERROR(ROUNDUP(AB249/G249,0)*0.00902,0))</f>
        <v/>
      </c>
      <c r="AD249" s="79" t="s">
        <v>57</v>
      </c>
      <c r="AE249" s="79" t="s">
        <v>57</v>
      </c>
      <c r="AF249" s="281" t="s">
        <v>362</v>
      </c>
      <c r="AG249" s="2"/>
      <c r="AH249" s="2"/>
      <c r="AI249" s="2"/>
      <c r="AJ249" s="2"/>
      <c r="AK249" s="2"/>
      <c r="AL249" s="61"/>
      <c r="AM249" s="61"/>
      <c r="AN249" s="61"/>
      <c r="AO249" s="2"/>
      <c r="AP249" s="2"/>
      <c r="AQ249" s="2"/>
      <c r="AR249" s="2"/>
      <c r="AS249" s="2"/>
      <c r="AT249" s="2"/>
      <c r="AU249" s="20"/>
      <c r="AV249" s="20"/>
      <c r="AW249" s="21"/>
      <c r="BB249" s="280" t="s">
        <v>65</v>
      </c>
      <c r="BO249" s="77">
        <f>IFERROR(U249*H249/G249,0)</f>
        <v>0</v>
      </c>
      <c r="BP249" s="77">
        <f>IFERROR(V249*H249/G249,0)</f>
        <v>0</v>
      </c>
      <c r="BQ249" s="77">
        <f>IFERROR(1/I249*(U249/G249),0)</f>
        <v>0</v>
      </c>
      <c r="BR249" s="77">
        <f>IFERROR(1/I249*(V249/G249),0)</f>
        <v>0</v>
      </c>
      <c r="BS249" s="77">
        <f>IFERROR(W249*H249/G249,0)</f>
        <v>0</v>
      </c>
      <c r="BT249" s="77">
        <f>IFERROR(X249*H249/G249,0)</f>
        <v>0</v>
      </c>
      <c r="BU249" s="77">
        <f>IFERROR(1/I249*(W249/G249),0)</f>
        <v>0</v>
      </c>
      <c r="BV249" s="77">
        <f>IFERROR(1/I249*(X249/G249),0)</f>
        <v>0</v>
      </c>
      <c r="BW249" s="77">
        <f>IFERROR(Y249*H249/G249,0)</f>
        <v>0</v>
      </c>
      <c r="BX249" s="77">
        <f>IFERROR(Z249*H249/G249,0)</f>
        <v>0</v>
      </c>
      <c r="BY249" s="77">
        <f>IFERROR(1/I249*(Y249/G249),0)</f>
        <v>0</v>
      </c>
      <c r="BZ249" s="77">
        <f>IFERROR(1/I249*(Z249/G249),0)</f>
        <v>0</v>
      </c>
      <c r="CA249" s="77">
        <f>IFERROR(AA249*H249/G249,0)</f>
        <v>0</v>
      </c>
      <c r="CB249" s="77">
        <f>IFERROR(AB249*H249/G249,0)</f>
        <v>0</v>
      </c>
      <c r="CC249" s="77">
        <f>IFERROR(1/I249*(AA249/G249),0)</f>
        <v>0</v>
      </c>
      <c r="CD249" s="77">
        <f>IFERROR(1/I249*(AB249/G249),0)</f>
        <v>0</v>
      </c>
    </row>
    <row r="250" spans="1:82" ht="33.75" hidden="1" x14ac:dyDescent="0.2">
      <c r="A250" s="79" t="s">
        <v>360</v>
      </c>
      <c r="B250" s="80" t="s">
        <v>361</v>
      </c>
      <c r="C250" s="80">
        <v>4301012088</v>
      </c>
      <c r="D250" s="80">
        <v>4680115884908</v>
      </c>
      <c r="E250" s="81">
        <v>0.4</v>
      </c>
      <c r="F250" s="82">
        <v>10</v>
      </c>
      <c r="G250" s="81">
        <v>4</v>
      </c>
      <c r="H250" s="81">
        <v>4.21</v>
      </c>
      <c r="I250" s="83">
        <v>132</v>
      </c>
      <c r="J250" s="83" t="s">
        <v>100</v>
      </c>
      <c r="K250" s="84" t="s">
        <v>85</v>
      </c>
      <c r="L250" s="84"/>
      <c r="M250" s="423">
        <v>60</v>
      </c>
      <c r="N250" s="423"/>
      <c r="O250" s="5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P250" s="425"/>
      <c r="Q250" s="425"/>
      <c r="R250" s="425"/>
      <c r="S250" s="425"/>
      <c r="T250" s="85" t="s">
        <v>0</v>
      </c>
      <c r="U250" s="65">
        <v>0</v>
      </c>
      <c r="V250" s="66">
        <f>IFERROR(IF(U250="",0,CEILING((U250/$G250),1)*$G250),"")</f>
        <v>0</v>
      </c>
      <c r="W250" s="65">
        <v>0</v>
      </c>
      <c r="X250" s="66">
        <f>IFERROR(IF(W250="",0,CEILING((W250/$G250),1)*$G250),"")</f>
        <v>0</v>
      </c>
      <c r="Y250" s="65">
        <v>0</v>
      </c>
      <c r="Z250" s="66">
        <f>IFERROR(IF(Y250="",0,CEILING((Y250/$G250),1)*$G250),"")</f>
        <v>0</v>
      </c>
      <c r="AA250" s="65">
        <v>0</v>
      </c>
      <c r="AB250" s="66">
        <f>IFERROR(IF(AA250="",0,CEILING((AA250/$G250),1)*$G250),"")</f>
        <v>0</v>
      </c>
      <c r="AC250" s="67" t="str">
        <f>IF(IFERROR(ROUNDUP(V250/G250,0)*0.00902,0)+IFERROR(ROUNDUP(X250/G250,0)*0.00902,0)+IFERROR(ROUNDUP(Z250/G250,0)*0.00902,0)+IFERROR(ROUNDUP(AB250/G250,0)*0.00902,0)=0,"",IFERROR(ROUNDUP(V250/G250,0)*0.00902,0)+IFERROR(ROUNDUP(X250/G250,0)*0.00902,0)+IFERROR(ROUNDUP(Z250/G250,0)*0.00902,0)+IFERROR(ROUNDUP(AB250/G250,0)*0.00902,0))</f>
        <v/>
      </c>
      <c r="AD250" s="79" t="s">
        <v>57</v>
      </c>
      <c r="AE250" s="79" t="s">
        <v>57</v>
      </c>
      <c r="AF250" s="283" t="s">
        <v>362</v>
      </c>
      <c r="AG250" s="2"/>
      <c r="AH250" s="2"/>
      <c r="AI250" s="2"/>
      <c r="AJ250" s="2"/>
      <c r="AK250" s="2"/>
      <c r="AL250" s="61"/>
      <c r="AM250" s="61"/>
      <c r="AN250" s="61"/>
      <c r="AO250" s="2"/>
      <c r="AP250" s="2"/>
      <c r="AQ250" s="2"/>
      <c r="AR250" s="2"/>
      <c r="AS250" s="2"/>
      <c r="AT250" s="2"/>
      <c r="AU250" s="20"/>
      <c r="AV250" s="20"/>
      <c r="AW250" s="21"/>
      <c r="BB250" s="282" t="s">
        <v>65</v>
      </c>
      <c r="BO250" s="77">
        <f>IFERROR(U250*H250/G250,0)</f>
        <v>0</v>
      </c>
      <c r="BP250" s="77">
        <f>IFERROR(V250*H250/G250,0)</f>
        <v>0</v>
      </c>
      <c r="BQ250" s="77">
        <f>IFERROR(1/I250*(U250/G250),0)</f>
        <v>0</v>
      </c>
      <c r="BR250" s="77">
        <f>IFERROR(1/I250*(V250/G250),0)</f>
        <v>0</v>
      </c>
      <c r="BS250" s="77">
        <f>IFERROR(W250*H250/G250,0)</f>
        <v>0</v>
      </c>
      <c r="BT250" s="77">
        <f>IFERROR(X250*H250/G250,0)</f>
        <v>0</v>
      </c>
      <c r="BU250" s="77">
        <f>IFERROR(1/I250*(W250/G250),0)</f>
        <v>0</v>
      </c>
      <c r="BV250" s="77">
        <f>IFERROR(1/I250*(X250/G250),0)</f>
        <v>0</v>
      </c>
      <c r="BW250" s="77">
        <f>IFERROR(Y250*H250/G250,0)</f>
        <v>0</v>
      </c>
      <c r="BX250" s="77">
        <f>IFERROR(Z250*H250/G250,0)</f>
        <v>0</v>
      </c>
      <c r="BY250" s="77">
        <f>IFERROR(1/I250*(Y250/G250),0)</f>
        <v>0</v>
      </c>
      <c r="BZ250" s="77">
        <f>IFERROR(1/I250*(Z250/G250),0)</f>
        <v>0</v>
      </c>
      <c r="CA250" s="77">
        <f>IFERROR(AA250*H250/G250,0)</f>
        <v>0</v>
      </c>
      <c r="CB250" s="77">
        <f>IFERROR(AB250*H250/G250,0)</f>
        <v>0</v>
      </c>
      <c r="CC250" s="77">
        <f>IFERROR(1/I250*(AA250/G250),0)</f>
        <v>0</v>
      </c>
      <c r="CD250" s="77">
        <f>IFERROR(1/I250*(AB250/G250),0)</f>
        <v>0</v>
      </c>
    </row>
    <row r="251" spans="1:82" hidden="1" x14ac:dyDescent="0.2">
      <c r="A251" s="420"/>
      <c r="B251" s="420"/>
      <c r="C251" s="420"/>
      <c r="D251" s="420"/>
      <c r="E251" s="420"/>
      <c r="F251" s="420"/>
      <c r="G251" s="420"/>
      <c r="H251" s="420"/>
      <c r="I251" s="420"/>
      <c r="J251" s="420"/>
      <c r="K251" s="420"/>
      <c r="L251" s="420"/>
      <c r="M251" s="420"/>
      <c r="N251" s="420"/>
      <c r="O251" s="426" t="s">
        <v>43</v>
      </c>
      <c r="P251" s="427"/>
      <c r="Q251" s="427"/>
      <c r="R251" s="427"/>
      <c r="S251" s="427"/>
      <c r="T251" s="39" t="s">
        <v>42</v>
      </c>
      <c r="U251" s="50">
        <f>IFERROR(U248/G248,0)+IFERROR(U249/G249,0)+IFERROR(U250/G250,0)</f>
        <v>0</v>
      </c>
      <c r="V251" s="50">
        <f>IFERROR(V248/G248,0)+IFERROR(V249/G249,0)+IFERROR(V250/G250,0)</f>
        <v>0</v>
      </c>
      <c r="W251" s="50">
        <f>IFERROR(W248/G248,0)+IFERROR(W249/G249,0)+IFERROR(W250/G250,0)</f>
        <v>0</v>
      </c>
      <c r="X251" s="50">
        <f>IFERROR(X248/G248,0)+IFERROR(X249/G249,0)+IFERROR(X250/G250,0)</f>
        <v>0</v>
      </c>
      <c r="Y251" s="50">
        <f>IFERROR(Y248/G248,0)+IFERROR(Y249/G249,0)+IFERROR(Y250/G250,0)</f>
        <v>0</v>
      </c>
      <c r="Z251" s="50">
        <f>IFERROR(Z248/G248,0)+IFERROR(Z249/G249,0)+IFERROR(Z250/G250,0)</f>
        <v>0</v>
      </c>
      <c r="AA251" s="50">
        <f>IFERROR(AA248/G248,0)+IFERROR(AA249/G249,0)+IFERROR(AA250/G250,0)</f>
        <v>0</v>
      </c>
      <c r="AB251" s="50">
        <f>IFERROR(AB248/G248,0)+IFERROR(AB249/G249,0)+IFERROR(AB250/G250,0)</f>
        <v>0</v>
      </c>
      <c r="AC251" s="50">
        <f>IFERROR(IF(AC248="",0,AC248),0)+IFERROR(IF(AC249="",0,AC249),0)+IFERROR(IF(AC250="",0,AC250),0)</f>
        <v>0</v>
      </c>
      <c r="AD251" s="3"/>
      <c r="AE251" s="72"/>
      <c r="AF251" s="3"/>
      <c r="AG251" s="3"/>
      <c r="AH251" s="3"/>
      <c r="AI251" s="3"/>
      <c r="AJ251" s="3"/>
      <c r="AK251" s="3"/>
      <c r="AL251" s="62"/>
      <c r="AM251" s="62"/>
      <c r="AN251" s="62"/>
      <c r="AO251" s="3"/>
      <c r="AP251" s="3"/>
      <c r="AQ251" s="2"/>
      <c r="AR251" s="2"/>
      <c r="AS251" s="2"/>
      <c r="AT251" s="2"/>
      <c r="AU251" s="20"/>
      <c r="AV251" s="20"/>
      <c r="AW251" s="21"/>
    </row>
    <row r="252" spans="1:82" hidden="1" x14ac:dyDescent="0.2">
      <c r="A252" s="420"/>
      <c r="B252" s="420"/>
      <c r="C252" s="420"/>
      <c r="D252" s="420"/>
      <c r="E252" s="420"/>
      <c r="F252" s="420"/>
      <c r="G252" s="420"/>
      <c r="H252" s="420"/>
      <c r="I252" s="420"/>
      <c r="J252" s="420"/>
      <c r="K252" s="420"/>
      <c r="L252" s="420"/>
      <c r="M252" s="420"/>
      <c r="N252" s="420"/>
      <c r="O252" s="426" t="s">
        <v>43</v>
      </c>
      <c r="P252" s="427"/>
      <c r="Q252" s="427"/>
      <c r="R252" s="427"/>
      <c r="S252" s="427"/>
      <c r="T252" s="39" t="s">
        <v>0</v>
      </c>
      <c r="U252" s="102">
        <f t="shared" ref="U252:AB252" si="60">IFERROR(SUM(U248:U250),0)</f>
        <v>0</v>
      </c>
      <c r="V252" s="102">
        <f t="shared" si="60"/>
        <v>0</v>
      </c>
      <c r="W252" s="102">
        <f t="shared" si="60"/>
        <v>0</v>
      </c>
      <c r="X252" s="102">
        <f t="shared" si="60"/>
        <v>0</v>
      </c>
      <c r="Y252" s="102">
        <f t="shared" si="60"/>
        <v>0</v>
      </c>
      <c r="Z252" s="102">
        <f t="shared" si="60"/>
        <v>0</v>
      </c>
      <c r="AA252" s="102">
        <f t="shared" si="60"/>
        <v>0</v>
      </c>
      <c r="AB252" s="102">
        <f t="shared" si="60"/>
        <v>0</v>
      </c>
      <c r="AC252" s="50" t="s">
        <v>57</v>
      </c>
      <c r="AD252" s="3"/>
      <c r="AE252" s="72"/>
      <c r="AF252" s="3"/>
      <c r="AG252" s="3"/>
      <c r="AH252" s="3"/>
      <c r="AI252" s="3"/>
      <c r="AJ252" s="3"/>
      <c r="AK252" s="3"/>
      <c r="AL252" s="62"/>
      <c r="AM252" s="62"/>
      <c r="AN252" s="62"/>
      <c r="AO252" s="3"/>
      <c r="AP252" s="3"/>
      <c r="AQ252" s="2"/>
      <c r="AR252" s="2"/>
      <c r="AS252" s="2"/>
      <c r="AT252" s="2"/>
      <c r="AU252" s="20"/>
      <c r="AV252" s="20"/>
      <c r="AW252" s="21"/>
    </row>
    <row r="253" spans="1:82" ht="15" hidden="1" x14ac:dyDescent="0.25">
      <c r="A253" s="428" t="s">
        <v>129</v>
      </c>
      <c r="B253" s="429"/>
      <c r="C253" s="429"/>
      <c r="D253" s="429"/>
      <c r="E253" s="429"/>
      <c r="F253" s="429"/>
      <c r="G253" s="429"/>
      <c r="H253" s="429"/>
      <c r="I253" s="429"/>
      <c r="J253" s="429"/>
      <c r="K253" s="429"/>
      <c r="L253" s="429"/>
      <c r="M253" s="429"/>
      <c r="N253" s="429"/>
      <c r="O253" s="429"/>
      <c r="P253" s="429"/>
      <c r="Q253" s="429"/>
      <c r="R253" s="429"/>
      <c r="S253" s="429"/>
      <c r="T253" s="429"/>
      <c r="U253" s="429"/>
      <c r="V253" s="429"/>
      <c r="W253" s="429"/>
      <c r="X253" s="430"/>
      <c r="Y253" s="430"/>
      <c r="Z253" s="430"/>
      <c r="AA253" s="431"/>
      <c r="AB253" s="431"/>
      <c r="AC253" s="431"/>
      <c r="AD253" s="431"/>
      <c r="AE253" s="432"/>
      <c r="AF253" s="433"/>
      <c r="AG253" s="2"/>
      <c r="AH253" s="2"/>
      <c r="AI253" s="2"/>
      <c r="AJ253" s="2"/>
      <c r="AK253" s="61"/>
      <c r="AL253" s="61"/>
      <c r="AM253" s="61"/>
      <c r="AN253" s="2"/>
      <c r="AO253" s="2"/>
      <c r="AP253" s="2"/>
      <c r="AQ253" s="2"/>
      <c r="AR253" s="2"/>
    </row>
    <row r="254" spans="1:82" hidden="1" x14ac:dyDescent="0.2">
      <c r="A254" s="79" t="s">
        <v>363</v>
      </c>
      <c r="B254" s="80" t="s">
        <v>364</v>
      </c>
      <c r="C254" s="80">
        <v>4301031303</v>
      </c>
      <c r="D254" s="80">
        <v>4607091384802</v>
      </c>
      <c r="E254" s="81">
        <v>0.73</v>
      </c>
      <c r="F254" s="82">
        <v>6</v>
      </c>
      <c r="G254" s="81">
        <v>4.38</v>
      </c>
      <c r="H254" s="81">
        <v>4.6500000000000004</v>
      </c>
      <c r="I254" s="83">
        <v>132</v>
      </c>
      <c r="J254" s="83" t="s">
        <v>100</v>
      </c>
      <c r="K254" s="84" t="s">
        <v>132</v>
      </c>
      <c r="L254" s="84"/>
      <c r="M254" s="423">
        <v>35</v>
      </c>
      <c r="N254" s="423"/>
      <c r="O254" s="49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P254" s="425"/>
      <c r="Q254" s="425"/>
      <c r="R254" s="425"/>
      <c r="S254" s="425"/>
      <c r="T254" s="85" t="s">
        <v>0</v>
      </c>
      <c r="U254" s="65">
        <v>0</v>
      </c>
      <c r="V254" s="66">
        <f>IFERROR(IF(U254="",0,CEILING((U254/$G254),1)*$G254),"")</f>
        <v>0</v>
      </c>
      <c r="W254" s="65">
        <v>0</v>
      </c>
      <c r="X254" s="66">
        <f>IFERROR(IF(W254="",0,CEILING((W254/$G254),1)*$G254),"")</f>
        <v>0</v>
      </c>
      <c r="Y254" s="65">
        <v>0</v>
      </c>
      <c r="Z254" s="66">
        <f>IFERROR(IF(Y254="",0,CEILING((Y254/$G254),1)*$G254),"")</f>
        <v>0</v>
      </c>
      <c r="AA254" s="65">
        <v>0</v>
      </c>
      <c r="AB254" s="66">
        <f>IFERROR(IF(AA254="",0,CEILING((AA254/$G254),1)*$G254),"")</f>
        <v>0</v>
      </c>
      <c r="AC254" s="67" t="str">
        <f>IF(IFERROR(ROUNDUP(V254/G254,0)*0.00902,0)+IFERROR(ROUNDUP(X254/G254,0)*0.00902,0)+IFERROR(ROUNDUP(Z254/G254,0)*0.00902,0)+IFERROR(ROUNDUP(AB254/G254,0)*0.00902,0)=0,"",IFERROR(ROUNDUP(V254/G254,0)*0.00902,0)+IFERROR(ROUNDUP(X254/G254,0)*0.00902,0)+IFERROR(ROUNDUP(Z254/G254,0)*0.00902,0)+IFERROR(ROUNDUP(AB254/G254,0)*0.00902,0))</f>
        <v/>
      </c>
      <c r="AD254" s="79" t="s">
        <v>57</v>
      </c>
      <c r="AE254" s="79" t="s">
        <v>57</v>
      </c>
      <c r="AF254" s="285" t="s">
        <v>365</v>
      </c>
      <c r="AG254" s="2"/>
      <c r="AH254" s="2"/>
      <c r="AI254" s="2"/>
      <c r="AJ254" s="2"/>
      <c r="AK254" s="2"/>
      <c r="AL254" s="61"/>
      <c r="AM254" s="61"/>
      <c r="AN254" s="61"/>
      <c r="AO254" s="2"/>
      <c r="AP254" s="2"/>
      <c r="AQ254" s="2"/>
      <c r="AR254" s="2"/>
      <c r="AS254" s="2"/>
      <c r="AT254" s="2"/>
      <c r="AU254" s="20"/>
      <c r="AV254" s="20"/>
      <c r="AW254" s="21"/>
      <c r="BB254" s="284" t="s">
        <v>65</v>
      </c>
      <c r="BO254" s="77">
        <f>IFERROR(U254*H254/G254,0)</f>
        <v>0</v>
      </c>
      <c r="BP254" s="77">
        <f>IFERROR(V254*H254/G254,0)</f>
        <v>0</v>
      </c>
      <c r="BQ254" s="77">
        <f>IFERROR(1/I254*(U254/G254),0)</f>
        <v>0</v>
      </c>
      <c r="BR254" s="77">
        <f>IFERROR(1/I254*(V254/G254),0)</f>
        <v>0</v>
      </c>
      <c r="BS254" s="77">
        <f>IFERROR(W254*H254/G254,0)</f>
        <v>0</v>
      </c>
      <c r="BT254" s="77">
        <f>IFERROR(X254*H254/G254,0)</f>
        <v>0</v>
      </c>
      <c r="BU254" s="77">
        <f>IFERROR(1/I254*(W254/G254),0)</f>
        <v>0</v>
      </c>
      <c r="BV254" s="77">
        <f>IFERROR(1/I254*(X254/G254),0)</f>
        <v>0</v>
      </c>
      <c r="BW254" s="77">
        <f>IFERROR(Y254*H254/G254,0)</f>
        <v>0</v>
      </c>
      <c r="BX254" s="77">
        <f>IFERROR(Z254*H254/G254,0)</f>
        <v>0</v>
      </c>
      <c r="BY254" s="77">
        <f>IFERROR(1/I254*(Y254/G254),0)</f>
        <v>0</v>
      </c>
      <c r="BZ254" s="77">
        <f>IFERROR(1/I254*(Z254/G254),0)</f>
        <v>0</v>
      </c>
      <c r="CA254" s="77">
        <f>IFERROR(AA254*H254/G254,0)</f>
        <v>0</v>
      </c>
      <c r="CB254" s="77">
        <f>IFERROR(AB254*H254/G254,0)</f>
        <v>0</v>
      </c>
      <c r="CC254" s="77">
        <f>IFERROR(1/I254*(AA254/G254),0)</f>
        <v>0</v>
      </c>
      <c r="CD254" s="77">
        <f>IFERROR(1/I254*(AB254/G254),0)</f>
        <v>0</v>
      </c>
    </row>
    <row r="255" spans="1:82" hidden="1" x14ac:dyDescent="0.2">
      <c r="A255" s="79" t="s">
        <v>366</v>
      </c>
      <c r="B255" s="80" t="s">
        <v>367</v>
      </c>
      <c r="C255" s="80">
        <v>4301031304</v>
      </c>
      <c r="D255" s="80">
        <v>4607091384826</v>
      </c>
      <c r="E255" s="81">
        <v>0.35</v>
      </c>
      <c r="F255" s="82">
        <v>8</v>
      </c>
      <c r="G255" s="81">
        <v>2.8</v>
      </c>
      <c r="H255" s="81">
        <v>2.98</v>
      </c>
      <c r="I255" s="83">
        <v>234</v>
      </c>
      <c r="J255" s="83" t="s">
        <v>133</v>
      </c>
      <c r="K255" s="84" t="s">
        <v>132</v>
      </c>
      <c r="L255" s="84"/>
      <c r="M255" s="423">
        <v>35</v>
      </c>
      <c r="N255" s="423"/>
      <c r="O255" s="499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P255" s="425"/>
      <c r="Q255" s="425"/>
      <c r="R255" s="425"/>
      <c r="S255" s="425"/>
      <c r="T255" s="85" t="s">
        <v>0</v>
      </c>
      <c r="U255" s="65">
        <v>0</v>
      </c>
      <c r="V255" s="66">
        <f>IFERROR(IF(U255="",0,CEILING((U255/$G255),1)*$G255),"")</f>
        <v>0</v>
      </c>
      <c r="W255" s="65">
        <v>0</v>
      </c>
      <c r="X255" s="66">
        <f>IFERROR(IF(W255="",0,CEILING((W255/$G255),1)*$G255),"")</f>
        <v>0</v>
      </c>
      <c r="Y255" s="65">
        <v>0</v>
      </c>
      <c r="Z255" s="66">
        <f>IFERROR(IF(Y255="",0,CEILING((Y255/$G255),1)*$G255),"")</f>
        <v>0</v>
      </c>
      <c r="AA255" s="65">
        <v>0</v>
      </c>
      <c r="AB255" s="66">
        <f>IFERROR(IF(AA255="",0,CEILING((AA255/$G255),1)*$G255),"")</f>
        <v>0</v>
      </c>
      <c r="AC255" s="67" t="str">
        <f>IF(IFERROR(ROUNDUP(V255/G255,0)*0.00502,0)+IFERROR(ROUNDUP(X255/G255,0)*0.00502,0)+IFERROR(ROUNDUP(Z255/G255,0)*0.00502,0)+IFERROR(ROUNDUP(AB255/G255,0)*0.00502,0)=0,"",IFERROR(ROUNDUP(V255/G255,0)*0.00502,0)+IFERROR(ROUNDUP(X255/G255,0)*0.00502,0)+IFERROR(ROUNDUP(Z255/G255,0)*0.00502,0)+IFERROR(ROUNDUP(AB255/G255,0)*0.00502,0))</f>
        <v/>
      </c>
      <c r="AD255" s="79" t="s">
        <v>57</v>
      </c>
      <c r="AE255" s="79" t="s">
        <v>57</v>
      </c>
      <c r="AF255" s="287" t="s">
        <v>365</v>
      </c>
      <c r="AG255" s="2"/>
      <c r="AH255" s="2"/>
      <c r="AI255" s="2"/>
      <c r="AJ255" s="2"/>
      <c r="AK255" s="2"/>
      <c r="AL255" s="61"/>
      <c r="AM255" s="61"/>
      <c r="AN255" s="61"/>
      <c r="AO255" s="2"/>
      <c r="AP255" s="2"/>
      <c r="AQ255" s="2"/>
      <c r="AR255" s="2"/>
      <c r="AS255" s="2"/>
      <c r="AT255" s="2"/>
      <c r="AU255" s="20"/>
      <c r="AV255" s="20"/>
      <c r="AW255" s="21"/>
      <c r="BB255" s="286" t="s">
        <v>65</v>
      </c>
      <c r="BO255" s="77">
        <f>IFERROR(U255*H255/G255,0)</f>
        <v>0</v>
      </c>
      <c r="BP255" s="77">
        <f>IFERROR(V255*H255/G255,0)</f>
        <v>0</v>
      </c>
      <c r="BQ255" s="77">
        <f>IFERROR(1/I255*(U255/G255),0)</f>
        <v>0</v>
      </c>
      <c r="BR255" s="77">
        <f>IFERROR(1/I255*(V255/G255),0)</f>
        <v>0</v>
      </c>
      <c r="BS255" s="77">
        <f>IFERROR(W255*H255/G255,0)</f>
        <v>0</v>
      </c>
      <c r="BT255" s="77">
        <f>IFERROR(X255*H255/G255,0)</f>
        <v>0</v>
      </c>
      <c r="BU255" s="77">
        <f>IFERROR(1/I255*(W255/G255),0)</f>
        <v>0</v>
      </c>
      <c r="BV255" s="77">
        <f>IFERROR(1/I255*(X255/G255),0)</f>
        <v>0</v>
      </c>
      <c r="BW255" s="77">
        <f>IFERROR(Y255*H255/G255,0)</f>
        <v>0</v>
      </c>
      <c r="BX255" s="77">
        <f>IFERROR(Z255*H255/G255,0)</f>
        <v>0</v>
      </c>
      <c r="BY255" s="77">
        <f>IFERROR(1/I255*(Y255/G255),0)</f>
        <v>0</v>
      </c>
      <c r="BZ255" s="77">
        <f>IFERROR(1/I255*(Z255/G255),0)</f>
        <v>0</v>
      </c>
      <c r="CA255" s="77">
        <f>IFERROR(AA255*H255/G255,0)</f>
        <v>0</v>
      </c>
      <c r="CB255" s="77">
        <f>IFERROR(AB255*H255/G255,0)</f>
        <v>0</v>
      </c>
      <c r="CC255" s="77">
        <f>IFERROR(1/I255*(AA255/G255),0)</f>
        <v>0</v>
      </c>
      <c r="CD255" s="77">
        <f>IFERROR(1/I255*(AB255/G255),0)</f>
        <v>0</v>
      </c>
    </row>
    <row r="256" spans="1:82" hidden="1" x14ac:dyDescent="0.2">
      <c r="A256" s="420"/>
      <c r="B256" s="420"/>
      <c r="C256" s="420"/>
      <c r="D256" s="420"/>
      <c r="E256" s="420"/>
      <c r="F256" s="420"/>
      <c r="G256" s="420"/>
      <c r="H256" s="420"/>
      <c r="I256" s="420"/>
      <c r="J256" s="420"/>
      <c r="K256" s="420"/>
      <c r="L256" s="420"/>
      <c r="M256" s="420"/>
      <c r="N256" s="420"/>
      <c r="O256" s="426" t="s">
        <v>43</v>
      </c>
      <c r="P256" s="427"/>
      <c r="Q256" s="427"/>
      <c r="R256" s="427"/>
      <c r="S256" s="427"/>
      <c r="T256" s="39" t="s">
        <v>42</v>
      </c>
      <c r="U256" s="50">
        <f>IFERROR(U254/G254,0)+IFERROR(U255/G255,0)</f>
        <v>0</v>
      </c>
      <c r="V256" s="50">
        <f>IFERROR(V254/G254,0)+IFERROR(V255/G255,0)</f>
        <v>0</v>
      </c>
      <c r="W256" s="50">
        <f>IFERROR(W254/G254,0)+IFERROR(W255/G255,0)</f>
        <v>0</v>
      </c>
      <c r="X256" s="50">
        <f>IFERROR(X254/G254,0)+IFERROR(X255/G255,0)</f>
        <v>0</v>
      </c>
      <c r="Y256" s="50">
        <f>IFERROR(Y254/G254,0)+IFERROR(Y255/G255,0)</f>
        <v>0</v>
      </c>
      <c r="Z256" s="50">
        <f>IFERROR(Z254/G254,0)+IFERROR(Z255/G255,0)</f>
        <v>0</v>
      </c>
      <c r="AA256" s="50">
        <f>IFERROR(AA254/G254,0)+IFERROR(AA255/G255,0)</f>
        <v>0</v>
      </c>
      <c r="AB256" s="50">
        <f>IFERROR(AB254/G254,0)+IFERROR(AB255/G255,0)</f>
        <v>0</v>
      </c>
      <c r="AC256" s="50">
        <f>IFERROR(IF(AC254="",0,AC254),0)+IFERROR(IF(AC255="",0,AC255),0)</f>
        <v>0</v>
      </c>
      <c r="AD256" s="3"/>
      <c r="AE256" s="72"/>
      <c r="AF256" s="3"/>
      <c r="AG256" s="3"/>
      <c r="AH256" s="3"/>
      <c r="AI256" s="3"/>
      <c r="AJ256" s="3"/>
      <c r="AK256" s="3"/>
      <c r="AL256" s="62"/>
      <c r="AM256" s="62"/>
      <c r="AN256" s="62"/>
      <c r="AO256" s="3"/>
      <c r="AP256" s="3"/>
      <c r="AQ256" s="2"/>
      <c r="AR256" s="2"/>
      <c r="AS256" s="2"/>
      <c r="AT256" s="2"/>
      <c r="AU256" s="20"/>
      <c r="AV256" s="20"/>
      <c r="AW256" s="21"/>
    </row>
    <row r="257" spans="1:82" hidden="1" x14ac:dyDescent="0.2">
      <c r="A257" s="420"/>
      <c r="B257" s="420"/>
      <c r="C257" s="420"/>
      <c r="D257" s="420"/>
      <c r="E257" s="420"/>
      <c r="F257" s="420"/>
      <c r="G257" s="420"/>
      <c r="H257" s="420"/>
      <c r="I257" s="420"/>
      <c r="J257" s="420"/>
      <c r="K257" s="420"/>
      <c r="L257" s="420"/>
      <c r="M257" s="420"/>
      <c r="N257" s="420"/>
      <c r="O257" s="426" t="s">
        <v>43</v>
      </c>
      <c r="P257" s="427"/>
      <c r="Q257" s="427"/>
      <c r="R257" s="427"/>
      <c r="S257" s="427"/>
      <c r="T257" s="39" t="s">
        <v>0</v>
      </c>
      <c r="U257" s="102">
        <f t="shared" ref="U257:AB257" si="61">IFERROR(SUM(U254:U255),0)</f>
        <v>0</v>
      </c>
      <c r="V257" s="102">
        <f t="shared" si="61"/>
        <v>0</v>
      </c>
      <c r="W257" s="102">
        <f t="shared" si="61"/>
        <v>0</v>
      </c>
      <c r="X257" s="102">
        <f t="shared" si="61"/>
        <v>0</v>
      </c>
      <c r="Y257" s="102">
        <f t="shared" si="61"/>
        <v>0</v>
      </c>
      <c r="Z257" s="102">
        <f t="shared" si="61"/>
        <v>0</v>
      </c>
      <c r="AA257" s="102">
        <f t="shared" si="61"/>
        <v>0</v>
      </c>
      <c r="AB257" s="102">
        <f t="shared" si="61"/>
        <v>0</v>
      </c>
      <c r="AC257" s="50" t="s">
        <v>57</v>
      </c>
      <c r="AD257" s="3"/>
      <c r="AE257" s="72"/>
      <c r="AF257" s="3"/>
      <c r="AG257" s="3"/>
      <c r="AH257" s="3"/>
      <c r="AI257" s="3"/>
      <c r="AJ257" s="3"/>
      <c r="AK257" s="3"/>
      <c r="AL257" s="62"/>
      <c r="AM257" s="62"/>
      <c r="AN257" s="62"/>
      <c r="AO257" s="3"/>
      <c r="AP257" s="3"/>
      <c r="AQ257" s="2"/>
      <c r="AR257" s="2"/>
      <c r="AS257" s="2"/>
      <c r="AT257" s="2"/>
      <c r="AU257" s="20"/>
      <c r="AV257" s="20"/>
      <c r="AW257" s="21"/>
    </row>
    <row r="258" spans="1:82" ht="15" hidden="1" x14ac:dyDescent="0.25">
      <c r="A258" s="428" t="s">
        <v>82</v>
      </c>
      <c r="B258" s="429"/>
      <c r="C258" s="429"/>
      <c r="D258" s="429"/>
      <c r="E258" s="429"/>
      <c r="F258" s="429"/>
      <c r="G258" s="429"/>
      <c r="H258" s="429"/>
      <c r="I258" s="429"/>
      <c r="J258" s="429"/>
      <c r="K258" s="429"/>
      <c r="L258" s="429"/>
      <c r="M258" s="429"/>
      <c r="N258" s="429"/>
      <c r="O258" s="429"/>
      <c r="P258" s="429"/>
      <c r="Q258" s="429"/>
      <c r="R258" s="429"/>
      <c r="S258" s="429"/>
      <c r="T258" s="429"/>
      <c r="U258" s="429"/>
      <c r="V258" s="429"/>
      <c r="W258" s="429"/>
      <c r="X258" s="430"/>
      <c r="Y258" s="430"/>
      <c r="Z258" s="430"/>
      <c r="AA258" s="431"/>
      <c r="AB258" s="431"/>
      <c r="AC258" s="431"/>
      <c r="AD258" s="431"/>
      <c r="AE258" s="432"/>
      <c r="AF258" s="433"/>
      <c r="AG258" s="2"/>
      <c r="AH258" s="2"/>
      <c r="AI258" s="2"/>
      <c r="AJ258" s="2"/>
      <c r="AK258" s="61"/>
      <c r="AL258" s="61"/>
      <c r="AM258" s="61"/>
      <c r="AN258" s="2"/>
      <c r="AO258" s="2"/>
      <c r="AP258" s="2"/>
      <c r="AQ258" s="2"/>
      <c r="AR258" s="2"/>
    </row>
    <row r="259" spans="1:82" ht="33.75" hidden="1" x14ac:dyDescent="0.2">
      <c r="A259" s="79" t="s">
        <v>368</v>
      </c>
      <c r="B259" s="80" t="s">
        <v>369</v>
      </c>
      <c r="C259" s="80">
        <v>4301051901</v>
      </c>
      <c r="D259" s="80">
        <v>4680115881976</v>
      </c>
      <c r="E259" s="81">
        <v>1.5</v>
      </c>
      <c r="F259" s="82">
        <v>6</v>
      </c>
      <c r="G259" s="81">
        <v>9</v>
      </c>
      <c r="H259" s="81">
        <v>9.4350000000000005</v>
      </c>
      <c r="I259" s="83">
        <v>64</v>
      </c>
      <c r="J259" s="83" t="s">
        <v>114</v>
      </c>
      <c r="K259" s="84" t="s">
        <v>99</v>
      </c>
      <c r="L259" s="84"/>
      <c r="M259" s="423">
        <v>40</v>
      </c>
      <c r="N259" s="423"/>
      <c r="O259" s="495" t="s">
        <v>370</v>
      </c>
      <c r="P259" s="425"/>
      <c r="Q259" s="425"/>
      <c r="R259" s="425"/>
      <c r="S259" s="425"/>
      <c r="T259" s="85" t="s">
        <v>0</v>
      </c>
      <c r="U259" s="65">
        <v>0</v>
      </c>
      <c r="V259" s="66">
        <f>IFERROR(IF(U259="",0,CEILING((U259/$G259),1)*$G259),"")</f>
        <v>0</v>
      </c>
      <c r="W259" s="65">
        <v>0</v>
      </c>
      <c r="X259" s="66">
        <f>IFERROR(IF(W259="",0,CEILING((W259/$G259),1)*$G259),"")</f>
        <v>0</v>
      </c>
      <c r="Y259" s="65">
        <v>0</v>
      </c>
      <c r="Z259" s="66">
        <f>IFERROR(IF(Y259="",0,CEILING((Y259/$G259),1)*$G259),"")</f>
        <v>0</v>
      </c>
      <c r="AA259" s="65">
        <v>0</v>
      </c>
      <c r="AB259" s="66">
        <f>IFERROR(IF(AA259="",0,CEILING((AA259/$G259),1)*$G259),"")</f>
        <v>0</v>
      </c>
      <c r="AC259" s="67" t="str">
        <f>IF(IFERROR(ROUNDUP(V259/G259,0)*0.01898,0)+IFERROR(ROUNDUP(X259/G259,0)*0.01898,0)+IFERROR(ROUNDUP(Z259/G259,0)*0.01898,0)+IFERROR(ROUNDUP(AB259/G259,0)*0.01898,0)=0,"",IFERROR(ROUNDUP(V259/G259,0)*0.01898,0)+IFERROR(ROUNDUP(X259/G259,0)*0.01898,0)+IFERROR(ROUNDUP(Z259/G259,0)*0.01898,0)+IFERROR(ROUNDUP(AB259/G259,0)*0.01898,0))</f>
        <v/>
      </c>
      <c r="AD259" s="79" t="s">
        <v>57</v>
      </c>
      <c r="AE259" s="79" t="s">
        <v>57</v>
      </c>
      <c r="AF259" s="289" t="s">
        <v>371</v>
      </c>
      <c r="AG259" s="2"/>
      <c r="AH259" s="2"/>
      <c r="AI259" s="2"/>
      <c r="AJ259" s="2"/>
      <c r="AK259" s="2"/>
      <c r="AL259" s="61"/>
      <c r="AM259" s="61"/>
      <c r="AN259" s="61"/>
      <c r="AO259" s="2"/>
      <c r="AP259" s="2"/>
      <c r="AQ259" s="2"/>
      <c r="AR259" s="2"/>
      <c r="AS259" s="2"/>
      <c r="AT259" s="2"/>
      <c r="AU259" s="20"/>
      <c r="AV259" s="20"/>
      <c r="AW259" s="21"/>
      <c r="BB259" s="288" t="s">
        <v>65</v>
      </c>
      <c r="BO259" s="77">
        <f>IFERROR(U259*H259/G259,0)</f>
        <v>0</v>
      </c>
      <c r="BP259" s="77">
        <f>IFERROR(V259*H259/G259,0)</f>
        <v>0</v>
      </c>
      <c r="BQ259" s="77">
        <f>IFERROR(1/I259*(U259/G259),0)</f>
        <v>0</v>
      </c>
      <c r="BR259" s="77">
        <f>IFERROR(1/I259*(V259/G259),0)</f>
        <v>0</v>
      </c>
      <c r="BS259" s="77">
        <f>IFERROR(W259*H259/G259,0)</f>
        <v>0</v>
      </c>
      <c r="BT259" s="77">
        <f>IFERROR(X259*H259/G259,0)</f>
        <v>0</v>
      </c>
      <c r="BU259" s="77">
        <f>IFERROR(1/I259*(W259/G259),0)</f>
        <v>0</v>
      </c>
      <c r="BV259" s="77">
        <f>IFERROR(1/I259*(X259/G259),0)</f>
        <v>0</v>
      </c>
      <c r="BW259" s="77">
        <f>IFERROR(Y259*H259/G259,0)</f>
        <v>0</v>
      </c>
      <c r="BX259" s="77">
        <f>IFERROR(Z259*H259/G259,0)</f>
        <v>0</v>
      </c>
      <c r="BY259" s="77">
        <f>IFERROR(1/I259*(Y259/G259),0)</f>
        <v>0</v>
      </c>
      <c r="BZ259" s="77">
        <f>IFERROR(1/I259*(Z259/G259),0)</f>
        <v>0</v>
      </c>
      <c r="CA259" s="77">
        <f>IFERROR(AA259*H259/G259,0)</f>
        <v>0</v>
      </c>
      <c r="CB259" s="77">
        <f>IFERROR(AB259*H259/G259,0)</f>
        <v>0</v>
      </c>
      <c r="CC259" s="77">
        <f>IFERROR(1/I259*(AA259/G259),0)</f>
        <v>0</v>
      </c>
      <c r="CD259" s="77">
        <f>IFERROR(1/I259*(AB259/G259),0)</f>
        <v>0</v>
      </c>
    </row>
    <row r="260" spans="1:82" ht="22.5" hidden="1" x14ac:dyDescent="0.2">
      <c r="A260" s="79" t="s">
        <v>372</v>
      </c>
      <c r="B260" s="80" t="s">
        <v>373</v>
      </c>
      <c r="C260" s="80">
        <v>4301051660</v>
      </c>
      <c r="D260" s="80">
        <v>4607091384253</v>
      </c>
      <c r="E260" s="81">
        <v>0.4</v>
      </c>
      <c r="F260" s="82">
        <v>6</v>
      </c>
      <c r="G260" s="81">
        <v>2.4</v>
      </c>
      <c r="H260" s="81">
        <v>2.6640000000000001</v>
      </c>
      <c r="I260" s="83">
        <v>182</v>
      </c>
      <c r="J260" s="83" t="s">
        <v>86</v>
      </c>
      <c r="K260" s="84" t="s">
        <v>99</v>
      </c>
      <c r="L260" s="84"/>
      <c r="M260" s="423">
        <v>40</v>
      </c>
      <c r="N260" s="423"/>
      <c r="O260" s="4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P260" s="425"/>
      <c r="Q260" s="425"/>
      <c r="R260" s="425"/>
      <c r="S260" s="425"/>
      <c r="T260" s="85" t="s">
        <v>0</v>
      </c>
      <c r="U260" s="65">
        <v>0</v>
      </c>
      <c r="V260" s="66">
        <f>IFERROR(IF(U260="",0,CEILING((U260/$G260),1)*$G260),"")</f>
        <v>0</v>
      </c>
      <c r="W260" s="65">
        <v>0</v>
      </c>
      <c r="X260" s="66">
        <f>IFERROR(IF(W260="",0,CEILING((W260/$G260),1)*$G260),"")</f>
        <v>0</v>
      </c>
      <c r="Y260" s="65">
        <v>0</v>
      </c>
      <c r="Z260" s="66">
        <f>IFERROR(IF(Y260="",0,CEILING((Y260/$G260),1)*$G260),"")</f>
        <v>0</v>
      </c>
      <c r="AA260" s="65">
        <v>0</v>
      </c>
      <c r="AB260" s="66">
        <f>IFERROR(IF(AA260="",0,CEILING((AA260/$G260),1)*$G260),"")</f>
        <v>0</v>
      </c>
      <c r="AC260" s="67" t="str">
        <f>IF(IFERROR(ROUNDUP(V260/G260,0)*0.00651,0)+IFERROR(ROUNDUP(X260/G260,0)*0.00651,0)+IFERROR(ROUNDUP(Z260/G260,0)*0.00651,0)+IFERROR(ROUNDUP(AB260/G260,0)*0.00651,0)=0,"",IFERROR(ROUNDUP(V260/G260,0)*0.00651,0)+IFERROR(ROUNDUP(X260/G260,0)*0.00651,0)+IFERROR(ROUNDUP(Z260/G260,0)*0.00651,0)+IFERROR(ROUNDUP(AB260/G260,0)*0.00651,0))</f>
        <v/>
      </c>
      <c r="AD260" s="79" t="s">
        <v>57</v>
      </c>
      <c r="AE260" s="79" t="s">
        <v>57</v>
      </c>
      <c r="AF260" s="291" t="s">
        <v>374</v>
      </c>
      <c r="AG260" s="2"/>
      <c r="AH260" s="2"/>
      <c r="AI260" s="2"/>
      <c r="AJ260" s="2"/>
      <c r="AK260" s="2"/>
      <c r="AL260" s="61"/>
      <c r="AM260" s="61"/>
      <c r="AN260" s="61"/>
      <c r="AO260" s="2"/>
      <c r="AP260" s="2"/>
      <c r="AQ260" s="2"/>
      <c r="AR260" s="2"/>
      <c r="AS260" s="2"/>
      <c r="AT260" s="2"/>
      <c r="AU260" s="20"/>
      <c r="AV260" s="20"/>
      <c r="AW260" s="21"/>
      <c r="BB260" s="290" t="s">
        <v>65</v>
      </c>
      <c r="BO260" s="77">
        <f>IFERROR(U260*H260/G260,0)</f>
        <v>0</v>
      </c>
      <c r="BP260" s="77">
        <f>IFERROR(V260*H260/G260,0)</f>
        <v>0</v>
      </c>
      <c r="BQ260" s="77">
        <f>IFERROR(1/I260*(U260/G260),0)</f>
        <v>0</v>
      </c>
      <c r="BR260" s="77">
        <f>IFERROR(1/I260*(V260/G260),0)</f>
        <v>0</v>
      </c>
      <c r="BS260" s="77">
        <f>IFERROR(W260*H260/G260,0)</f>
        <v>0</v>
      </c>
      <c r="BT260" s="77">
        <f>IFERROR(X260*H260/G260,0)</f>
        <v>0</v>
      </c>
      <c r="BU260" s="77">
        <f>IFERROR(1/I260*(W260/G260),0)</f>
        <v>0</v>
      </c>
      <c r="BV260" s="77">
        <f>IFERROR(1/I260*(X260/G260),0)</f>
        <v>0</v>
      </c>
      <c r="BW260" s="77">
        <f>IFERROR(Y260*H260/G260,0)</f>
        <v>0</v>
      </c>
      <c r="BX260" s="77">
        <f>IFERROR(Z260*H260/G260,0)</f>
        <v>0</v>
      </c>
      <c r="BY260" s="77">
        <f>IFERROR(1/I260*(Y260/G260),0)</f>
        <v>0</v>
      </c>
      <c r="BZ260" s="77">
        <f>IFERROR(1/I260*(Z260/G260),0)</f>
        <v>0</v>
      </c>
      <c r="CA260" s="77">
        <f>IFERROR(AA260*H260/G260,0)</f>
        <v>0</v>
      </c>
      <c r="CB260" s="77">
        <f>IFERROR(AB260*H260/G260,0)</f>
        <v>0</v>
      </c>
      <c r="CC260" s="77">
        <f>IFERROR(1/I260*(AA260/G260),0)</f>
        <v>0</v>
      </c>
      <c r="CD260" s="77">
        <f>IFERROR(1/I260*(AB260/G260),0)</f>
        <v>0</v>
      </c>
    </row>
    <row r="261" spans="1:82" ht="22.5" hidden="1" x14ac:dyDescent="0.2">
      <c r="A261" s="79" t="s">
        <v>375</v>
      </c>
      <c r="B261" s="80" t="s">
        <v>376</v>
      </c>
      <c r="C261" s="80">
        <v>4301051446</v>
      </c>
      <c r="D261" s="80">
        <v>4680115881969</v>
      </c>
      <c r="E261" s="81">
        <v>0.4</v>
      </c>
      <c r="F261" s="82">
        <v>6</v>
      </c>
      <c r="G261" s="81">
        <v>2.4</v>
      </c>
      <c r="H261" s="81">
        <v>2.58</v>
      </c>
      <c r="I261" s="83">
        <v>182</v>
      </c>
      <c r="J261" s="83" t="s">
        <v>86</v>
      </c>
      <c r="K261" s="84" t="s">
        <v>99</v>
      </c>
      <c r="L261" s="84"/>
      <c r="M261" s="423">
        <v>40</v>
      </c>
      <c r="N261" s="423"/>
      <c r="O261" s="497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P261" s="425"/>
      <c r="Q261" s="425"/>
      <c r="R261" s="425"/>
      <c r="S261" s="425"/>
      <c r="T261" s="85" t="s">
        <v>0</v>
      </c>
      <c r="U261" s="65">
        <v>0</v>
      </c>
      <c r="V261" s="66">
        <f>IFERROR(IF(U261="",0,CEILING((U261/$G261),1)*$G261),"")</f>
        <v>0</v>
      </c>
      <c r="W261" s="65">
        <v>0</v>
      </c>
      <c r="X261" s="66">
        <f>IFERROR(IF(W261="",0,CEILING((W261/$G261),1)*$G261),"")</f>
        <v>0</v>
      </c>
      <c r="Y261" s="65">
        <v>0</v>
      </c>
      <c r="Z261" s="66">
        <f>IFERROR(IF(Y261="",0,CEILING((Y261/$G261),1)*$G261),"")</f>
        <v>0</v>
      </c>
      <c r="AA261" s="65">
        <v>0</v>
      </c>
      <c r="AB261" s="66">
        <f>IFERROR(IF(AA261="",0,CEILING((AA261/$G261),1)*$G261),"")</f>
        <v>0</v>
      </c>
      <c r="AC261" s="67" t="str">
        <f>IF(IFERROR(ROUNDUP(V261/G261,0)*0.00651,0)+IFERROR(ROUNDUP(X261/G261,0)*0.00651,0)+IFERROR(ROUNDUP(Z261/G261,0)*0.00651,0)+IFERROR(ROUNDUP(AB261/G261,0)*0.00651,0)=0,"",IFERROR(ROUNDUP(V261/G261,0)*0.00651,0)+IFERROR(ROUNDUP(X261/G261,0)*0.00651,0)+IFERROR(ROUNDUP(Z261/G261,0)*0.00651,0)+IFERROR(ROUNDUP(AB261/G261,0)*0.00651,0))</f>
        <v/>
      </c>
      <c r="AD261" s="79" t="s">
        <v>57</v>
      </c>
      <c r="AE261" s="79" t="s">
        <v>57</v>
      </c>
      <c r="AF261" s="293" t="s">
        <v>377</v>
      </c>
      <c r="AG261" s="2"/>
      <c r="AH261" s="2"/>
      <c r="AI261" s="2"/>
      <c r="AJ261" s="2"/>
      <c r="AK261" s="2"/>
      <c r="AL261" s="61"/>
      <c r="AM261" s="61"/>
      <c r="AN261" s="61"/>
      <c r="AO261" s="2"/>
      <c r="AP261" s="2"/>
      <c r="AQ261" s="2"/>
      <c r="AR261" s="2"/>
      <c r="AS261" s="2"/>
      <c r="AT261" s="2"/>
      <c r="AU261" s="20"/>
      <c r="AV261" s="20"/>
      <c r="AW261" s="21"/>
      <c r="BB261" s="292" t="s">
        <v>65</v>
      </c>
      <c r="BO261" s="77">
        <f>IFERROR(U261*H261/G261,0)</f>
        <v>0</v>
      </c>
      <c r="BP261" s="77">
        <f>IFERROR(V261*H261/G261,0)</f>
        <v>0</v>
      </c>
      <c r="BQ261" s="77">
        <f>IFERROR(1/I261*(U261/G261),0)</f>
        <v>0</v>
      </c>
      <c r="BR261" s="77">
        <f>IFERROR(1/I261*(V261/G261),0)</f>
        <v>0</v>
      </c>
      <c r="BS261" s="77">
        <f>IFERROR(W261*H261/G261,0)</f>
        <v>0</v>
      </c>
      <c r="BT261" s="77">
        <f>IFERROR(X261*H261/G261,0)</f>
        <v>0</v>
      </c>
      <c r="BU261" s="77">
        <f>IFERROR(1/I261*(W261/G261),0)</f>
        <v>0</v>
      </c>
      <c r="BV261" s="77">
        <f>IFERROR(1/I261*(X261/G261),0)</f>
        <v>0</v>
      </c>
      <c r="BW261" s="77">
        <f>IFERROR(Y261*H261/G261,0)</f>
        <v>0</v>
      </c>
      <c r="BX261" s="77">
        <f>IFERROR(Z261*H261/G261,0)</f>
        <v>0</v>
      </c>
      <c r="BY261" s="77">
        <f>IFERROR(1/I261*(Y261/G261),0)</f>
        <v>0</v>
      </c>
      <c r="BZ261" s="77">
        <f>IFERROR(1/I261*(Z261/G261),0)</f>
        <v>0</v>
      </c>
      <c r="CA261" s="77">
        <f>IFERROR(AA261*H261/G261,0)</f>
        <v>0</v>
      </c>
      <c r="CB261" s="77">
        <f>IFERROR(AB261*H261/G261,0)</f>
        <v>0</v>
      </c>
      <c r="CC261" s="77">
        <f>IFERROR(1/I261*(AA261/G261),0)</f>
        <v>0</v>
      </c>
      <c r="CD261" s="77">
        <f>IFERROR(1/I261*(AB261/G261),0)</f>
        <v>0</v>
      </c>
    </row>
    <row r="262" spans="1:82" hidden="1" x14ac:dyDescent="0.2">
      <c r="A262" s="420"/>
      <c r="B262" s="420"/>
      <c r="C262" s="420"/>
      <c r="D262" s="420"/>
      <c r="E262" s="420"/>
      <c r="F262" s="420"/>
      <c r="G262" s="420"/>
      <c r="H262" s="420"/>
      <c r="I262" s="420"/>
      <c r="J262" s="420"/>
      <c r="K262" s="420"/>
      <c r="L262" s="420"/>
      <c r="M262" s="420"/>
      <c r="N262" s="420"/>
      <c r="O262" s="426" t="s">
        <v>43</v>
      </c>
      <c r="P262" s="427"/>
      <c r="Q262" s="427"/>
      <c r="R262" s="427"/>
      <c r="S262" s="427"/>
      <c r="T262" s="39" t="s">
        <v>42</v>
      </c>
      <c r="U262" s="50">
        <f>IFERROR(U259/G259,0)+IFERROR(U260/G260,0)+IFERROR(U261/G261,0)</f>
        <v>0</v>
      </c>
      <c r="V262" s="50">
        <f>IFERROR(V259/G259,0)+IFERROR(V260/G260,0)+IFERROR(V261/G261,0)</f>
        <v>0</v>
      </c>
      <c r="W262" s="50">
        <f>IFERROR(W259/G259,0)+IFERROR(W260/G260,0)+IFERROR(W261/G261,0)</f>
        <v>0</v>
      </c>
      <c r="X262" s="50">
        <f>IFERROR(X259/G259,0)+IFERROR(X260/G260,0)+IFERROR(X261/G261,0)</f>
        <v>0</v>
      </c>
      <c r="Y262" s="50">
        <f>IFERROR(Y259/G259,0)+IFERROR(Y260/G260,0)+IFERROR(Y261/G261,0)</f>
        <v>0</v>
      </c>
      <c r="Z262" s="50">
        <f>IFERROR(Z259/G259,0)+IFERROR(Z260/G260,0)+IFERROR(Z261/G261,0)</f>
        <v>0</v>
      </c>
      <c r="AA262" s="50">
        <f>IFERROR(AA259/G259,0)+IFERROR(AA260/G260,0)+IFERROR(AA261/G261,0)</f>
        <v>0</v>
      </c>
      <c r="AB262" s="50">
        <f>IFERROR(AB259/G259,0)+IFERROR(AB260/G260,0)+IFERROR(AB261/G261,0)</f>
        <v>0</v>
      </c>
      <c r="AC262" s="50">
        <f>IFERROR(IF(AC259="",0,AC259),0)+IFERROR(IF(AC260="",0,AC260),0)+IFERROR(IF(AC261="",0,AC261),0)</f>
        <v>0</v>
      </c>
      <c r="AD262" s="3"/>
      <c r="AE262" s="72"/>
      <c r="AF262" s="3"/>
      <c r="AG262" s="3"/>
      <c r="AH262" s="3"/>
      <c r="AI262" s="3"/>
      <c r="AJ262" s="3"/>
      <c r="AK262" s="3"/>
      <c r="AL262" s="62"/>
      <c r="AM262" s="62"/>
      <c r="AN262" s="62"/>
      <c r="AO262" s="3"/>
      <c r="AP262" s="3"/>
      <c r="AQ262" s="2"/>
      <c r="AR262" s="2"/>
      <c r="AS262" s="2"/>
      <c r="AT262" s="2"/>
      <c r="AU262" s="20"/>
      <c r="AV262" s="20"/>
      <c r="AW262" s="21"/>
    </row>
    <row r="263" spans="1:82" hidden="1" x14ac:dyDescent="0.2">
      <c r="A263" s="420"/>
      <c r="B263" s="420"/>
      <c r="C263" s="420"/>
      <c r="D263" s="420"/>
      <c r="E263" s="420"/>
      <c r="F263" s="420"/>
      <c r="G263" s="420"/>
      <c r="H263" s="420"/>
      <c r="I263" s="420"/>
      <c r="J263" s="420"/>
      <c r="K263" s="420"/>
      <c r="L263" s="420"/>
      <c r="M263" s="420"/>
      <c r="N263" s="420"/>
      <c r="O263" s="426" t="s">
        <v>43</v>
      </c>
      <c r="P263" s="427"/>
      <c r="Q263" s="427"/>
      <c r="R263" s="427"/>
      <c r="S263" s="427"/>
      <c r="T263" s="39" t="s">
        <v>0</v>
      </c>
      <c r="U263" s="102">
        <f t="shared" ref="U263:AB263" si="62">IFERROR(SUM(U259:U261),0)</f>
        <v>0</v>
      </c>
      <c r="V263" s="102">
        <f t="shared" si="62"/>
        <v>0</v>
      </c>
      <c r="W263" s="102">
        <f t="shared" si="62"/>
        <v>0</v>
      </c>
      <c r="X263" s="102">
        <f t="shared" si="62"/>
        <v>0</v>
      </c>
      <c r="Y263" s="102">
        <f t="shared" si="62"/>
        <v>0</v>
      </c>
      <c r="Z263" s="102">
        <f t="shared" si="62"/>
        <v>0</v>
      </c>
      <c r="AA263" s="102">
        <f t="shared" si="62"/>
        <v>0</v>
      </c>
      <c r="AB263" s="102">
        <f t="shared" si="62"/>
        <v>0</v>
      </c>
      <c r="AC263" s="50" t="s">
        <v>57</v>
      </c>
      <c r="AD263" s="3"/>
      <c r="AE263" s="72"/>
      <c r="AF263" s="3"/>
      <c r="AG263" s="3"/>
      <c r="AH263" s="3"/>
      <c r="AI263" s="3"/>
      <c r="AJ263" s="3"/>
      <c r="AK263" s="3"/>
      <c r="AL263" s="62"/>
      <c r="AM263" s="62"/>
      <c r="AN263" s="62"/>
      <c r="AO263" s="3"/>
      <c r="AP263" s="3"/>
      <c r="AQ263" s="2"/>
      <c r="AR263" s="2"/>
      <c r="AS263" s="2"/>
      <c r="AT263" s="2"/>
      <c r="AU263" s="20"/>
      <c r="AV263" s="20"/>
      <c r="AW263" s="21"/>
    </row>
    <row r="264" spans="1:82" ht="15" hidden="1" x14ac:dyDescent="0.25">
      <c r="A264" s="428" t="s">
        <v>146</v>
      </c>
      <c r="B264" s="429"/>
      <c r="C264" s="429"/>
      <c r="D264" s="429"/>
      <c r="E264" s="429"/>
      <c r="F264" s="429"/>
      <c r="G264" s="429"/>
      <c r="H264" s="429"/>
      <c r="I264" s="429"/>
      <c r="J264" s="429"/>
      <c r="K264" s="429"/>
      <c r="L264" s="429"/>
      <c r="M264" s="429"/>
      <c r="N264" s="429"/>
      <c r="O264" s="429"/>
      <c r="P264" s="429"/>
      <c r="Q264" s="429"/>
      <c r="R264" s="429"/>
      <c r="S264" s="429"/>
      <c r="T264" s="429"/>
      <c r="U264" s="429"/>
      <c r="V264" s="429"/>
      <c r="W264" s="429"/>
      <c r="X264" s="430"/>
      <c r="Y264" s="430"/>
      <c r="Z264" s="430"/>
      <c r="AA264" s="431"/>
      <c r="AB264" s="431"/>
      <c r="AC264" s="431"/>
      <c r="AD264" s="431"/>
      <c r="AE264" s="432"/>
      <c r="AF264" s="433"/>
      <c r="AG264" s="2"/>
      <c r="AH264" s="2"/>
      <c r="AI264" s="2"/>
      <c r="AJ264" s="2"/>
      <c r="AK264" s="61"/>
      <c r="AL264" s="61"/>
      <c r="AM264" s="61"/>
      <c r="AN264" s="2"/>
      <c r="AO264" s="2"/>
      <c r="AP264" s="2"/>
      <c r="AQ264" s="2"/>
      <c r="AR264" s="2"/>
    </row>
    <row r="265" spans="1:82" ht="22.5" hidden="1" x14ac:dyDescent="0.2">
      <c r="A265" s="79" t="s">
        <v>378</v>
      </c>
      <c r="B265" s="80" t="s">
        <v>379</v>
      </c>
      <c r="C265" s="80">
        <v>4301060441</v>
      </c>
      <c r="D265" s="80">
        <v>4607091389357</v>
      </c>
      <c r="E265" s="81">
        <v>1.5</v>
      </c>
      <c r="F265" s="82">
        <v>6</v>
      </c>
      <c r="G265" s="81">
        <v>9</v>
      </c>
      <c r="H265" s="81">
        <v>9.4350000000000005</v>
      </c>
      <c r="I265" s="83">
        <v>64</v>
      </c>
      <c r="J265" s="83" t="s">
        <v>114</v>
      </c>
      <c r="K265" s="84" t="s">
        <v>99</v>
      </c>
      <c r="L265" s="84"/>
      <c r="M265" s="423">
        <v>40</v>
      </c>
      <c r="N265" s="423"/>
      <c r="O265" s="494" t="s">
        <v>380</v>
      </c>
      <c r="P265" s="425"/>
      <c r="Q265" s="425"/>
      <c r="R265" s="425"/>
      <c r="S265" s="425"/>
      <c r="T265" s="85" t="s">
        <v>0</v>
      </c>
      <c r="U265" s="65">
        <v>0</v>
      </c>
      <c r="V265" s="66">
        <f>IFERROR(IF(U265="",0,CEILING((U265/$G265),1)*$G265),"")</f>
        <v>0</v>
      </c>
      <c r="W265" s="65">
        <v>0</v>
      </c>
      <c r="X265" s="66">
        <f>IFERROR(IF(W265="",0,CEILING((W265/$G265),1)*$G265),"")</f>
        <v>0</v>
      </c>
      <c r="Y265" s="65">
        <v>0</v>
      </c>
      <c r="Z265" s="66">
        <f>IFERROR(IF(Y265="",0,CEILING((Y265/$G265),1)*$G265),"")</f>
        <v>0</v>
      </c>
      <c r="AA265" s="65">
        <v>0</v>
      </c>
      <c r="AB265" s="66">
        <f>IFERROR(IF(AA265="",0,CEILING((AA265/$G265),1)*$G265),"")</f>
        <v>0</v>
      </c>
      <c r="AC265" s="67" t="str">
        <f>IF(IFERROR(ROUNDUP(V265/G265,0)*0.01898,0)+IFERROR(ROUNDUP(X265/G265,0)*0.01898,0)+IFERROR(ROUNDUP(Z265/G265,0)*0.01898,0)+IFERROR(ROUNDUP(AB265/G265,0)*0.01898,0)=0,"",IFERROR(ROUNDUP(V265/G265,0)*0.01898,0)+IFERROR(ROUNDUP(X265/G265,0)*0.01898,0)+IFERROR(ROUNDUP(Z265/G265,0)*0.01898,0)+IFERROR(ROUNDUP(AB265/G265,0)*0.01898,0))</f>
        <v/>
      </c>
      <c r="AD265" s="79" t="s">
        <v>57</v>
      </c>
      <c r="AE265" s="79" t="s">
        <v>57</v>
      </c>
      <c r="AF265" s="295" t="s">
        <v>381</v>
      </c>
      <c r="AG265" s="2"/>
      <c r="AH265" s="2"/>
      <c r="AI265" s="2"/>
      <c r="AJ265" s="2"/>
      <c r="AK265" s="2"/>
      <c r="AL265" s="61"/>
      <c r="AM265" s="61"/>
      <c r="AN265" s="61"/>
      <c r="AO265" s="2"/>
      <c r="AP265" s="2"/>
      <c r="AQ265" s="2"/>
      <c r="AR265" s="2"/>
      <c r="AS265" s="2"/>
      <c r="AT265" s="2"/>
      <c r="AU265" s="20"/>
      <c r="AV265" s="20"/>
      <c r="AW265" s="21"/>
      <c r="BB265" s="294" t="s">
        <v>65</v>
      </c>
      <c r="BO265" s="77">
        <f>IFERROR(U265*H265/G265,0)</f>
        <v>0</v>
      </c>
      <c r="BP265" s="77">
        <f>IFERROR(V265*H265/G265,0)</f>
        <v>0</v>
      </c>
      <c r="BQ265" s="77">
        <f>IFERROR(1/I265*(U265/G265),0)</f>
        <v>0</v>
      </c>
      <c r="BR265" s="77">
        <f>IFERROR(1/I265*(V265/G265),0)</f>
        <v>0</v>
      </c>
      <c r="BS265" s="77">
        <f>IFERROR(W265*H265/G265,0)</f>
        <v>0</v>
      </c>
      <c r="BT265" s="77">
        <f>IFERROR(X265*H265/G265,0)</f>
        <v>0</v>
      </c>
      <c r="BU265" s="77">
        <f>IFERROR(1/I265*(W265/G265),0)</f>
        <v>0</v>
      </c>
      <c r="BV265" s="77">
        <f>IFERROR(1/I265*(X265/G265),0)</f>
        <v>0</v>
      </c>
      <c r="BW265" s="77">
        <f>IFERROR(Y265*H265/G265,0)</f>
        <v>0</v>
      </c>
      <c r="BX265" s="77">
        <f>IFERROR(Z265*H265/G265,0)</f>
        <v>0</v>
      </c>
      <c r="BY265" s="77">
        <f>IFERROR(1/I265*(Y265/G265),0)</f>
        <v>0</v>
      </c>
      <c r="BZ265" s="77">
        <f>IFERROR(1/I265*(Z265/G265),0)</f>
        <v>0</v>
      </c>
      <c r="CA265" s="77">
        <f>IFERROR(AA265*H265/G265,0)</f>
        <v>0</v>
      </c>
      <c r="CB265" s="77">
        <f>IFERROR(AB265*H265/G265,0)</f>
        <v>0</v>
      </c>
      <c r="CC265" s="77">
        <f>IFERROR(1/I265*(AA265/G265),0)</f>
        <v>0</v>
      </c>
      <c r="CD265" s="77">
        <f>IFERROR(1/I265*(AB265/G265),0)</f>
        <v>0</v>
      </c>
    </row>
    <row r="266" spans="1:82" hidden="1" x14ac:dyDescent="0.2">
      <c r="A266" s="420"/>
      <c r="B266" s="420"/>
      <c r="C266" s="420"/>
      <c r="D266" s="420"/>
      <c r="E266" s="420"/>
      <c r="F266" s="420"/>
      <c r="G266" s="420"/>
      <c r="H266" s="420"/>
      <c r="I266" s="420"/>
      <c r="J266" s="420"/>
      <c r="K266" s="420"/>
      <c r="L266" s="420"/>
      <c r="M266" s="420"/>
      <c r="N266" s="420"/>
      <c r="O266" s="426" t="s">
        <v>43</v>
      </c>
      <c r="P266" s="427"/>
      <c r="Q266" s="427"/>
      <c r="R266" s="427"/>
      <c r="S266" s="427"/>
      <c r="T266" s="39" t="s">
        <v>42</v>
      </c>
      <c r="U266" s="50">
        <f>IFERROR(U265/G265,0)</f>
        <v>0</v>
      </c>
      <c r="V266" s="50">
        <f>IFERROR(V265/G265,0)</f>
        <v>0</v>
      </c>
      <c r="W266" s="50">
        <f>IFERROR(W265/G265,0)</f>
        <v>0</v>
      </c>
      <c r="X266" s="50">
        <f>IFERROR(X265/G265,0)</f>
        <v>0</v>
      </c>
      <c r="Y266" s="50">
        <f>IFERROR(Y265/G265,0)</f>
        <v>0</v>
      </c>
      <c r="Z266" s="50">
        <f>IFERROR(Z265/G265,0)</f>
        <v>0</v>
      </c>
      <c r="AA266" s="50">
        <f>IFERROR(AA265/G265,0)</f>
        <v>0</v>
      </c>
      <c r="AB266" s="50">
        <f>IFERROR(AB265/G265,0)</f>
        <v>0</v>
      </c>
      <c r="AC266" s="50">
        <f>IFERROR(IF(AC265="",0,AC265),0)</f>
        <v>0</v>
      </c>
      <c r="AD266" s="3"/>
      <c r="AE266" s="72"/>
      <c r="AF266" s="3"/>
      <c r="AG266" s="3"/>
      <c r="AH266" s="3"/>
      <c r="AI266" s="3"/>
      <c r="AJ266" s="3"/>
      <c r="AK266" s="3"/>
      <c r="AL266" s="62"/>
      <c r="AM266" s="62"/>
      <c r="AN266" s="62"/>
      <c r="AO266" s="3"/>
      <c r="AP266" s="3"/>
      <c r="AQ266" s="2"/>
      <c r="AR266" s="2"/>
      <c r="AS266" s="2"/>
      <c r="AT266" s="2"/>
      <c r="AU266" s="20"/>
      <c r="AV266" s="20"/>
      <c r="AW266" s="21"/>
    </row>
    <row r="267" spans="1:82" hidden="1" x14ac:dyDescent="0.2">
      <c r="A267" s="420"/>
      <c r="B267" s="420"/>
      <c r="C267" s="420"/>
      <c r="D267" s="420"/>
      <c r="E267" s="420"/>
      <c r="F267" s="420"/>
      <c r="G267" s="420"/>
      <c r="H267" s="420"/>
      <c r="I267" s="420"/>
      <c r="J267" s="420"/>
      <c r="K267" s="420"/>
      <c r="L267" s="420"/>
      <c r="M267" s="420"/>
      <c r="N267" s="420"/>
      <c r="O267" s="426" t="s">
        <v>43</v>
      </c>
      <c r="P267" s="427"/>
      <c r="Q267" s="427"/>
      <c r="R267" s="427"/>
      <c r="S267" s="427"/>
      <c r="T267" s="39" t="s">
        <v>0</v>
      </c>
      <c r="U267" s="102">
        <f t="shared" ref="U267:AB267" si="63">IFERROR(SUM(U265:U265),0)</f>
        <v>0</v>
      </c>
      <c r="V267" s="102">
        <f t="shared" si="63"/>
        <v>0</v>
      </c>
      <c r="W267" s="102">
        <f t="shared" si="63"/>
        <v>0</v>
      </c>
      <c r="X267" s="102">
        <f t="shared" si="63"/>
        <v>0</v>
      </c>
      <c r="Y267" s="102">
        <f t="shared" si="63"/>
        <v>0</v>
      </c>
      <c r="Z267" s="102">
        <f t="shared" si="63"/>
        <v>0</v>
      </c>
      <c r="AA267" s="102">
        <f t="shared" si="63"/>
        <v>0</v>
      </c>
      <c r="AB267" s="102">
        <f t="shared" si="63"/>
        <v>0</v>
      </c>
      <c r="AC267" s="50" t="s">
        <v>57</v>
      </c>
      <c r="AD267" s="3"/>
      <c r="AE267" s="72"/>
      <c r="AF267" s="3"/>
      <c r="AG267" s="3"/>
      <c r="AH267" s="3"/>
      <c r="AI267" s="3"/>
      <c r="AJ267" s="3"/>
      <c r="AK267" s="3"/>
      <c r="AL267" s="62"/>
      <c r="AM267" s="62"/>
      <c r="AN267" s="62"/>
      <c r="AO267" s="3"/>
      <c r="AP267" s="3"/>
      <c r="AQ267" s="2"/>
      <c r="AR267" s="2"/>
      <c r="AS267" s="2"/>
      <c r="AT267" s="2"/>
      <c r="AU267" s="20"/>
      <c r="AV267" s="20"/>
      <c r="AW267" s="21"/>
    </row>
    <row r="268" spans="1:82" ht="27.75" hidden="1" customHeight="1" x14ac:dyDescent="0.2">
      <c r="A268" s="456" t="s">
        <v>382</v>
      </c>
      <c r="B268" s="457"/>
      <c r="C268" s="457"/>
      <c r="D268" s="457"/>
      <c r="E268" s="457"/>
      <c r="F268" s="457"/>
      <c r="G268" s="457"/>
      <c r="H268" s="457"/>
      <c r="I268" s="457"/>
      <c r="J268" s="457"/>
      <c r="K268" s="457"/>
      <c r="L268" s="457"/>
      <c r="M268" s="457"/>
      <c r="N268" s="457"/>
      <c r="O268" s="457"/>
      <c r="P268" s="457"/>
      <c r="Q268" s="457"/>
      <c r="R268" s="457"/>
      <c r="S268" s="457"/>
      <c r="T268" s="457"/>
      <c r="U268" s="457"/>
      <c r="V268" s="457"/>
      <c r="W268" s="458"/>
      <c r="X268" s="458"/>
      <c r="Y268" s="458"/>
      <c r="Z268" s="458"/>
      <c r="AA268" s="431"/>
      <c r="AB268" s="431"/>
      <c r="AC268" s="431"/>
      <c r="AD268" s="431"/>
      <c r="AE268" s="432"/>
      <c r="AF268" s="459"/>
      <c r="AG268" s="2"/>
      <c r="AH268" s="2"/>
      <c r="AI268" s="2"/>
      <c r="AJ268" s="2"/>
      <c r="AK268" s="61"/>
      <c r="AL268" s="61"/>
      <c r="AM268" s="61"/>
      <c r="AN268" s="2"/>
      <c r="AO268" s="2"/>
      <c r="AP268" s="2"/>
      <c r="AQ268" s="2"/>
      <c r="AR268" s="2"/>
    </row>
    <row r="269" spans="1:82" ht="15" hidden="1" x14ac:dyDescent="0.25">
      <c r="A269" s="443" t="s">
        <v>383</v>
      </c>
      <c r="B269" s="430"/>
      <c r="C269" s="430"/>
      <c r="D269" s="430"/>
      <c r="E269" s="430"/>
      <c r="F269" s="430"/>
      <c r="G269" s="430"/>
      <c r="H269" s="430"/>
      <c r="I269" s="430"/>
      <c r="J269" s="430"/>
      <c r="K269" s="430"/>
      <c r="L269" s="430"/>
      <c r="M269" s="430"/>
      <c r="N269" s="430"/>
      <c r="O269" s="430"/>
      <c r="P269" s="430"/>
      <c r="Q269" s="430"/>
      <c r="R269" s="430"/>
      <c r="S269" s="430"/>
      <c r="T269" s="430"/>
      <c r="U269" s="430"/>
      <c r="V269" s="430"/>
      <c r="W269" s="430"/>
      <c r="X269" s="430"/>
      <c r="Y269" s="430"/>
      <c r="Z269" s="430"/>
      <c r="AA269" s="431"/>
      <c r="AB269" s="431"/>
      <c r="AC269" s="431"/>
      <c r="AD269" s="431"/>
      <c r="AE269" s="432"/>
      <c r="AF269" s="444"/>
      <c r="AG269" s="2"/>
      <c r="AH269" s="2"/>
      <c r="AI269" s="2"/>
      <c r="AJ269" s="2"/>
      <c r="AK269" s="61"/>
      <c r="AL269" s="61"/>
      <c r="AM269" s="61"/>
      <c r="AN269" s="2"/>
      <c r="AO269" s="2"/>
      <c r="AP269" s="2"/>
      <c r="AQ269" s="2"/>
      <c r="AR269" s="2"/>
    </row>
    <row r="270" spans="1:82" ht="15" hidden="1" x14ac:dyDescent="0.25">
      <c r="A270" s="428" t="s">
        <v>129</v>
      </c>
      <c r="B270" s="429"/>
      <c r="C270" s="429"/>
      <c r="D270" s="429"/>
      <c r="E270" s="429"/>
      <c r="F270" s="429"/>
      <c r="G270" s="429"/>
      <c r="H270" s="429"/>
      <c r="I270" s="429"/>
      <c r="J270" s="429"/>
      <c r="K270" s="429"/>
      <c r="L270" s="429"/>
      <c r="M270" s="429"/>
      <c r="N270" s="429"/>
      <c r="O270" s="429"/>
      <c r="P270" s="429"/>
      <c r="Q270" s="429"/>
      <c r="R270" s="429"/>
      <c r="S270" s="429"/>
      <c r="T270" s="429"/>
      <c r="U270" s="429"/>
      <c r="V270" s="429"/>
      <c r="W270" s="429"/>
      <c r="X270" s="430"/>
      <c r="Y270" s="430"/>
      <c r="Z270" s="430"/>
      <c r="AA270" s="431"/>
      <c r="AB270" s="431"/>
      <c r="AC270" s="431"/>
      <c r="AD270" s="431"/>
      <c r="AE270" s="432"/>
      <c r="AF270" s="433"/>
      <c r="AG270" s="2"/>
      <c r="AH270" s="2"/>
      <c r="AI270" s="2"/>
      <c r="AJ270" s="2"/>
      <c r="AK270" s="61"/>
      <c r="AL270" s="61"/>
      <c r="AM270" s="61"/>
      <c r="AN270" s="2"/>
      <c r="AO270" s="2"/>
      <c r="AP270" s="2"/>
      <c r="AQ270" s="2"/>
      <c r="AR270" s="2"/>
    </row>
    <row r="271" spans="1:82" hidden="1" x14ac:dyDescent="0.2">
      <c r="A271" s="79" t="s">
        <v>384</v>
      </c>
      <c r="B271" s="80" t="s">
        <v>385</v>
      </c>
      <c r="C271" s="80">
        <v>4301031381</v>
      </c>
      <c r="D271" s="80">
        <v>4680115886100</v>
      </c>
      <c r="E271" s="81">
        <v>0.9</v>
      </c>
      <c r="F271" s="82">
        <v>6</v>
      </c>
      <c r="G271" s="81">
        <v>5.4</v>
      </c>
      <c r="H271" s="81">
        <v>5.61</v>
      </c>
      <c r="I271" s="83">
        <v>120</v>
      </c>
      <c r="J271" s="83" t="s">
        <v>100</v>
      </c>
      <c r="K271" s="84" t="s">
        <v>132</v>
      </c>
      <c r="L271" s="84"/>
      <c r="M271" s="423">
        <v>50</v>
      </c>
      <c r="N271" s="423"/>
      <c r="O271" s="489" t="s">
        <v>386</v>
      </c>
      <c r="P271" s="425"/>
      <c r="Q271" s="425"/>
      <c r="R271" s="425"/>
      <c r="S271" s="425"/>
      <c r="T271" s="85" t="s">
        <v>0</v>
      </c>
      <c r="U271" s="65">
        <v>0</v>
      </c>
      <c r="V271" s="66">
        <f t="shared" ref="V271:V279" si="64">IFERROR(IF(U271="",0,CEILING((U271/$G271),1)*$G271),"")</f>
        <v>0</v>
      </c>
      <c r="W271" s="65">
        <v>0</v>
      </c>
      <c r="X271" s="66">
        <f t="shared" ref="X271:X279" si="65">IFERROR(IF(W271="",0,CEILING((W271/$G271),1)*$G271),"")</f>
        <v>0</v>
      </c>
      <c r="Y271" s="65">
        <v>0</v>
      </c>
      <c r="Z271" s="66">
        <f t="shared" ref="Z271:Z279" si="66">IFERROR(IF(Y271="",0,CEILING((Y271/$G271),1)*$G271),"")</f>
        <v>0</v>
      </c>
      <c r="AA271" s="65">
        <v>0</v>
      </c>
      <c r="AB271" s="66">
        <f t="shared" ref="AB271:AB279" si="67">IFERROR(IF(AA271="",0,CEILING((AA271/$G271),1)*$G271),"")</f>
        <v>0</v>
      </c>
      <c r="AC271" s="67" t="str">
        <f>IF(IFERROR(ROUNDUP(V271/G271,0)*0.00937,0)+IFERROR(ROUNDUP(X271/G271,0)*0.00937,0)+IFERROR(ROUNDUP(Z271/G271,0)*0.00937,0)+IFERROR(ROUNDUP(AB271/G271,0)*0.00937,0)=0,"",IFERROR(ROUNDUP(V271/G271,0)*0.00937,0)+IFERROR(ROUNDUP(X271/G271,0)*0.00937,0)+IFERROR(ROUNDUP(Z271/G271,0)*0.00937,0)+IFERROR(ROUNDUP(AB271/G271,0)*0.00937,0))</f>
        <v/>
      </c>
      <c r="AD271" s="79" t="s">
        <v>57</v>
      </c>
      <c r="AE271" s="79" t="s">
        <v>57</v>
      </c>
      <c r="AF271" s="297" t="s">
        <v>387</v>
      </c>
      <c r="AG271" s="2"/>
      <c r="AH271" s="2"/>
      <c r="AI271" s="2"/>
      <c r="AJ271" s="2"/>
      <c r="AK271" s="2"/>
      <c r="AL271" s="61"/>
      <c r="AM271" s="61"/>
      <c r="AN271" s="61"/>
      <c r="AO271" s="2"/>
      <c r="AP271" s="2"/>
      <c r="AQ271" s="2"/>
      <c r="AR271" s="2"/>
      <c r="AS271" s="2"/>
      <c r="AT271" s="2"/>
      <c r="AU271" s="20"/>
      <c r="AV271" s="20"/>
      <c r="AW271" s="21"/>
      <c r="BB271" s="296" t="s">
        <v>65</v>
      </c>
      <c r="BO271" s="77">
        <f t="shared" ref="BO271:BO279" si="68">IFERROR(U271*H271/G271,0)</f>
        <v>0</v>
      </c>
      <c r="BP271" s="77">
        <f t="shared" ref="BP271:BP279" si="69">IFERROR(V271*H271/G271,0)</f>
        <v>0</v>
      </c>
      <c r="BQ271" s="77">
        <f t="shared" ref="BQ271:BQ279" si="70">IFERROR(1/I271*(U271/G271),0)</f>
        <v>0</v>
      </c>
      <c r="BR271" s="77">
        <f t="shared" ref="BR271:BR279" si="71">IFERROR(1/I271*(V271/G271),0)</f>
        <v>0</v>
      </c>
      <c r="BS271" s="77">
        <f t="shared" ref="BS271:BS279" si="72">IFERROR(W271*H271/G271,0)</f>
        <v>0</v>
      </c>
      <c r="BT271" s="77">
        <f t="shared" ref="BT271:BT279" si="73">IFERROR(X271*H271/G271,0)</f>
        <v>0</v>
      </c>
      <c r="BU271" s="77">
        <f t="shared" ref="BU271:BU279" si="74">IFERROR(1/I271*(W271/G271),0)</f>
        <v>0</v>
      </c>
      <c r="BV271" s="77">
        <f t="shared" ref="BV271:BV279" si="75">IFERROR(1/I271*(X271/G271),0)</f>
        <v>0</v>
      </c>
      <c r="BW271" s="77">
        <f t="shared" ref="BW271:BW279" si="76">IFERROR(Y271*H271/G271,0)</f>
        <v>0</v>
      </c>
      <c r="BX271" s="77">
        <f t="shared" ref="BX271:BX279" si="77">IFERROR(Z271*H271/G271,0)</f>
        <v>0</v>
      </c>
      <c r="BY271" s="77">
        <f t="shared" ref="BY271:BY279" si="78">IFERROR(1/I271*(Y271/G271),0)</f>
        <v>0</v>
      </c>
      <c r="BZ271" s="77">
        <f t="shared" ref="BZ271:BZ279" si="79">IFERROR(1/I271*(Z271/G271),0)</f>
        <v>0</v>
      </c>
      <c r="CA271" s="77">
        <f t="shared" ref="CA271:CA279" si="80">IFERROR(AA271*H271/G271,0)</f>
        <v>0</v>
      </c>
      <c r="CB271" s="77">
        <f t="shared" ref="CB271:CB279" si="81">IFERROR(AB271*H271/G271,0)</f>
        <v>0</v>
      </c>
      <c r="CC271" s="77">
        <f t="shared" ref="CC271:CC279" si="82">IFERROR(1/I271*(AA271/G271),0)</f>
        <v>0</v>
      </c>
      <c r="CD271" s="77">
        <f t="shared" ref="CD271:CD279" si="83">IFERROR(1/I271*(AB271/G271),0)</f>
        <v>0</v>
      </c>
    </row>
    <row r="272" spans="1:82" hidden="1" x14ac:dyDescent="0.2">
      <c r="A272" s="79" t="s">
        <v>388</v>
      </c>
      <c r="B272" s="80" t="s">
        <v>389</v>
      </c>
      <c r="C272" s="80">
        <v>4301031406</v>
      </c>
      <c r="D272" s="80">
        <v>4680115886117</v>
      </c>
      <c r="E272" s="81">
        <v>0.9</v>
      </c>
      <c r="F272" s="82">
        <v>6</v>
      </c>
      <c r="G272" s="81">
        <v>5.4</v>
      </c>
      <c r="H272" s="81">
        <v>5.61</v>
      </c>
      <c r="I272" s="83">
        <v>132</v>
      </c>
      <c r="J272" s="83" t="s">
        <v>100</v>
      </c>
      <c r="K272" s="84" t="s">
        <v>132</v>
      </c>
      <c r="L272" s="84"/>
      <c r="M272" s="423">
        <v>50</v>
      </c>
      <c r="N272" s="423"/>
      <c r="O272" s="490" t="s">
        <v>390</v>
      </c>
      <c r="P272" s="425"/>
      <c r="Q272" s="425"/>
      <c r="R272" s="425"/>
      <c r="S272" s="425"/>
      <c r="T272" s="85" t="s">
        <v>0</v>
      </c>
      <c r="U272" s="65">
        <v>0</v>
      </c>
      <c r="V272" s="66">
        <f t="shared" si="64"/>
        <v>0</v>
      </c>
      <c r="W272" s="65">
        <v>0</v>
      </c>
      <c r="X272" s="66">
        <f t="shared" si="65"/>
        <v>0</v>
      </c>
      <c r="Y272" s="65">
        <v>0</v>
      </c>
      <c r="Z272" s="66">
        <f t="shared" si="66"/>
        <v>0</v>
      </c>
      <c r="AA272" s="65">
        <v>0</v>
      </c>
      <c r="AB272" s="66">
        <f t="shared" si="67"/>
        <v>0</v>
      </c>
      <c r="AC272" s="67" t="str">
        <f>IF(IFERROR(ROUNDUP(V272/G272,0)*0.00902,0)+IFERROR(ROUNDUP(X272/G272,0)*0.00902,0)+IFERROR(ROUNDUP(Z272/G272,0)*0.00902,0)+IFERROR(ROUNDUP(AB272/G272,0)*0.00902,0)=0,"",IFERROR(ROUNDUP(V272/G272,0)*0.00902,0)+IFERROR(ROUNDUP(X272/G272,0)*0.00902,0)+IFERROR(ROUNDUP(Z272/G272,0)*0.00902,0)+IFERROR(ROUNDUP(AB272/G272,0)*0.00902,0))</f>
        <v/>
      </c>
      <c r="AD272" s="79" t="s">
        <v>57</v>
      </c>
      <c r="AE272" s="79" t="s">
        <v>57</v>
      </c>
      <c r="AF272" s="299" t="s">
        <v>391</v>
      </c>
      <c r="AG272" s="2"/>
      <c r="AH272" s="2"/>
      <c r="AI272" s="2"/>
      <c r="AJ272" s="2"/>
      <c r="AK272" s="2"/>
      <c r="AL272" s="61"/>
      <c r="AM272" s="61"/>
      <c r="AN272" s="61"/>
      <c r="AO272" s="2"/>
      <c r="AP272" s="2"/>
      <c r="AQ272" s="2"/>
      <c r="AR272" s="2"/>
      <c r="AS272" s="2"/>
      <c r="AT272" s="2"/>
      <c r="AU272" s="20"/>
      <c r="AV272" s="20"/>
      <c r="AW272" s="21"/>
      <c r="BB272" s="298" t="s">
        <v>65</v>
      </c>
      <c r="BO272" s="77">
        <f t="shared" si="68"/>
        <v>0</v>
      </c>
      <c r="BP272" s="77">
        <f t="shared" si="69"/>
        <v>0</v>
      </c>
      <c r="BQ272" s="77">
        <f t="shared" si="70"/>
        <v>0</v>
      </c>
      <c r="BR272" s="77">
        <f t="shared" si="71"/>
        <v>0</v>
      </c>
      <c r="BS272" s="77">
        <f t="shared" si="72"/>
        <v>0</v>
      </c>
      <c r="BT272" s="77">
        <f t="shared" si="73"/>
        <v>0</v>
      </c>
      <c r="BU272" s="77">
        <f t="shared" si="74"/>
        <v>0</v>
      </c>
      <c r="BV272" s="77">
        <f t="shared" si="75"/>
        <v>0</v>
      </c>
      <c r="BW272" s="77">
        <f t="shared" si="76"/>
        <v>0</v>
      </c>
      <c r="BX272" s="77">
        <f t="shared" si="77"/>
        <v>0</v>
      </c>
      <c r="BY272" s="77">
        <f t="shared" si="78"/>
        <v>0</v>
      </c>
      <c r="BZ272" s="77">
        <f t="shared" si="79"/>
        <v>0</v>
      </c>
      <c r="CA272" s="77">
        <f t="shared" si="80"/>
        <v>0</v>
      </c>
      <c r="CB272" s="77">
        <f t="shared" si="81"/>
        <v>0</v>
      </c>
      <c r="CC272" s="77">
        <f t="shared" si="82"/>
        <v>0</v>
      </c>
      <c r="CD272" s="77">
        <f t="shared" si="83"/>
        <v>0</v>
      </c>
    </row>
    <row r="273" spans="1:82" hidden="1" x14ac:dyDescent="0.2">
      <c r="A273" s="79" t="s">
        <v>388</v>
      </c>
      <c r="B273" s="80" t="s">
        <v>392</v>
      </c>
      <c r="C273" s="80">
        <v>4301031382</v>
      </c>
      <c r="D273" s="80">
        <v>4680115886117</v>
      </c>
      <c r="E273" s="81">
        <v>0.9</v>
      </c>
      <c r="F273" s="82">
        <v>6</v>
      </c>
      <c r="G273" s="81">
        <v>5.4</v>
      </c>
      <c r="H273" s="81">
        <v>5.61</v>
      </c>
      <c r="I273" s="83">
        <v>132</v>
      </c>
      <c r="J273" s="83" t="s">
        <v>100</v>
      </c>
      <c r="K273" s="84" t="s">
        <v>132</v>
      </c>
      <c r="L273" s="84"/>
      <c r="M273" s="423">
        <v>50</v>
      </c>
      <c r="N273" s="423"/>
      <c r="O273" s="491" t="s">
        <v>390</v>
      </c>
      <c r="P273" s="425"/>
      <c r="Q273" s="425"/>
      <c r="R273" s="425"/>
      <c r="S273" s="425"/>
      <c r="T273" s="85" t="s">
        <v>0</v>
      </c>
      <c r="U273" s="65">
        <v>0</v>
      </c>
      <c r="V273" s="66">
        <f t="shared" si="64"/>
        <v>0</v>
      </c>
      <c r="W273" s="65">
        <v>0</v>
      </c>
      <c r="X273" s="66">
        <f t="shared" si="65"/>
        <v>0</v>
      </c>
      <c r="Y273" s="65">
        <v>0</v>
      </c>
      <c r="Z273" s="66">
        <f t="shared" si="66"/>
        <v>0</v>
      </c>
      <c r="AA273" s="65">
        <v>0</v>
      </c>
      <c r="AB273" s="66">
        <f t="shared" si="67"/>
        <v>0</v>
      </c>
      <c r="AC273" s="67" t="str">
        <f>IF(IFERROR(ROUNDUP(V273/G273,0)*0.00902,0)+IFERROR(ROUNDUP(X273/G273,0)*0.00902,0)+IFERROR(ROUNDUP(Z273/G273,0)*0.00902,0)+IFERROR(ROUNDUP(AB273/G273,0)*0.00902,0)=0,"",IFERROR(ROUNDUP(V273/G273,0)*0.00902,0)+IFERROR(ROUNDUP(X273/G273,0)*0.00902,0)+IFERROR(ROUNDUP(Z273/G273,0)*0.00902,0)+IFERROR(ROUNDUP(AB273/G273,0)*0.00902,0))</f>
        <v/>
      </c>
      <c r="AD273" s="79" t="s">
        <v>57</v>
      </c>
      <c r="AE273" s="79" t="s">
        <v>57</v>
      </c>
      <c r="AF273" s="301" t="s">
        <v>391</v>
      </c>
      <c r="AG273" s="2"/>
      <c r="AH273" s="2"/>
      <c r="AI273" s="2"/>
      <c r="AJ273" s="2"/>
      <c r="AK273" s="2"/>
      <c r="AL273" s="61"/>
      <c r="AM273" s="61"/>
      <c r="AN273" s="61"/>
      <c r="AO273" s="2"/>
      <c r="AP273" s="2"/>
      <c r="AQ273" s="2"/>
      <c r="AR273" s="2"/>
      <c r="AS273" s="2"/>
      <c r="AT273" s="2"/>
      <c r="AU273" s="20"/>
      <c r="AV273" s="20"/>
      <c r="AW273" s="21"/>
      <c r="BB273" s="300" t="s">
        <v>65</v>
      </c>
      <c r="BO273" s="77">
        <f t="shared" si="68"/>
        <v>0</v>
      </c>
      <c r="BP273" s="77">
        <f t="shared" si="69"/>
        <v>0</v>
      </c>
      <c r="BQ273" s="77">
        <f t="shared" si="70"/>
        <v>0</v>
      </c>
      <c r="BR273" s="77">
        <f t="shared" si="71"/>
        <v>0</v>
      </c>
      <c r="BS273" s="77">
        <f t="shared" si="72"/>
        <v>0</v>
      </c>
      <c r="BT273" s="77">
        <f t="shared" si="73"/>
        <v>0</v>
      </c>
      <c r="BU273" s="77">
        <f t="shared" si="74"/>
        <v>0</v>
      </c>
      <c r="BV273" s="77">
        <f t="shared" si="75"/>
        <v>0</v>
      </c>
      <c r="BW273" s="77">
        <f t="shared" si="76"/>
        <v>0</v>
      </c>
      <c r="BX273" s="77">
        <f t="shared" si="77"/>
        <v>0</v>
      </c>
      <c r="BY273" s="77">
        <f t="shared" si="78"/>
        <v>0</v>
      </c>
      <c r="BZ273" s="77">
        <f t="shared" si="79"/>
        <v>0</v>
      </c>
      <c r="CA273" s="77">
        <f t="shared" si="80"/>
        <v>0</v>
      </c>
      <c r="CB273" s="77">
        <f t="shared" si="81"/>
        <v>0</v>
      </c>
      <c r="CC273" s="77">
        <f t="shared" si="82"/>
        <v>0</v>
      </c>
      <c r="CD273" s="77">
        <f t="shared" si="83"/>
        <v>0</v>
      </c>
    </row>
    <row r="274" spans="1:82" hidden="1" x14ac:dyDescent="0.2">
      <c r="A274" s="79" t="s">
        <v>393</v>
      </c>
      <c r="B274" s="80" t="s">
        <v>394</v>
      </c>
      <c r="C274" s="80">
        <v>4301031380</v>
      </c>
      <c r="D274" s="80">
        <v>4680115886124</v>
      </c>
      <c r="E274" s="81">
        <v>0.9</v>
      </c>
      <c r="F274" s="82">
        <v>6</v>
      </c>
      <c r="G274" s="81">
        <v>5.4</v>
      </c>
      <c r="H274" s="81">
        <v>5.61</v>
      </c>
      <c r="I274" s="83">
        <v>120</v>
      </c>
      <c r="J274" s="83" t="s">
        <v>100</v>
      </c>
      <c r="K274" s="84" t="s">
        <v>132</v>
      </c>
      <c r="L274" s="84"/>
      <c r="M274" s="423">
        <v>50</v>
      </c>
      <c r="N274" s="423"/>
      <c r="O274" s="492" t="s">
        <v>395</v>
      </c>
      <c r="P274" s="425"/>
      <c r="Q274" s="425"/>
      <c r="R274" s="425"/>
      <c r="S274" s="425"/>
      <c r="T274" s="85" t="s">
        <v>0</v>
      </c>
      <c r="U274" s="65">
        <v>0</v>
      </c>
      <c r="V274" s="66">
        <f t="shared" si="64"/>
        <v>0</v>
      </c>
      <c r="W274" s="65">
        <v>0</v>
      </c>
      <c r="X274" s="66">
        <f t="shared" si="65"/>
        <v>0</v>
      </c>
      <c r="Y274" s="65">
        <v>0</v>
      </c>
      <c r="Z274" s="66">
        <f t="shared" si="66"/>
        <v>0</v>
      </c>
      <c r="AA274" s="65">
        <v>0</v>
      </c>
      <c r="AB274" s="66">
        <f t="shared" si="67"/>
        <v>0</v>
      </c>
      <c r="AC274" s="67" t="str">
        <f>IF(IFERROR(ROUNDUP(V274/G274,0)*0.00937,0)+IFERROR(ROUNDUP(X274/G274,0)*0.00937,0)+IFERROR(ROUNDUP(Z274/G274,0)*0.00937,0)+IFERROR(ROUNDUP(AB274/G274,0)*0.00937,0)=0,"",IFERROR(ROUNDUP(V274/G274,0)*0.00937,0)+IFERROR(ROUNDUP(X274/G274,0)*0.00937,0)+IFERROR(ROUNDUP(Z274/G274,0)*0.00937,0)+IFERROR(ROUNDUP(AB274/G274,0)*0.00937,0))</f>
        <v/>
      </c>
      <c r="AD274" s="79" t="s">
        <v>57</v>
      </c>
      <c r="AE274" s="79" t="s">
        <v>57</v>
      </c>
      <c r="AF274" s="303" t="s">
        <v>396</v>
      </c>
      <c r="AG274" s="2"/>
      <c r="AH274" s="2"/>
      <c r="AI274" s="2"/>
      <c r="AJ274" s="2"/>
      <c r="AK274" s="2"/>
      <c r="AL274" s="61"/>
      <c r="AM274" s="61"/>
      <c r="AN274" s="61"/>
      <c r="AO274" s="2"/>
      <c r="AP274" s="2"/>
      <c r="AQ274" s="2"/>
      <c r="AR274" s="2"/>
      <c r="AS274" s="2"/>
      <c r="AT274" s="2"/>
      <c r="AU274" s="20"/>
      <c r="AV274" s="20"/>
      <c r="AW274" s="21"/>
      <c r="BB274" s="302" t="s">
        <v>65</v>
      </c>
      <c r="BO274" s="77">
        <f t="shared" si="68"/>
        <v>0</v>
      </c>
      <c r="BP274" s="77">
        <f t="shared" si="69"/>
        <v>0</v>
      </c>
      <c r="BQ274" s="77">
        <f t="shared" si="70"/>
        <v>0</v>
      </c>
      <c r="BR274" s="77">
        <f t="shared" si="71"/>
        <v>0</v>
      </c>
      <c r="BS274" s="77">
        <f t="shared" si="72"/>
        <v>0</v>
      </c>
      <c r="BT274" s="77">
        <f t="shared" si="73"/>
        <v>0</v>
      </c>
      <c r="BU274" s="77">
        <f t="shared" si="74"/>
        <v>0</v>
      </c>
      <c r="BV274" s="77">
        <f t="shared" si="75"/>
        <v>0</v>
      </c>
      <c r="BW274" s="77">
        <f t="shared" si="76"/>
        <v>0</v>
      </c>
      <c r="BX274" s="77">
        <f t="shared" si="77"/>
        <v>0</v>
      </c>
      <c r="BY274" s="77">
        <f t="shared" si="78"/>
        <v>0</v>
      </c>
      <c r="BZ274" s="77">
        <f t="shared" si="79"/>
        <v>0</v>
      </c>
      <c r="CA274" s="77">
        <f t="shared" si="80"/>
        <v>0</v>
      </c>
      <c r="CB274" s="77">
        <f t="shared" si="81"/>
        <v>0</v>
      </c>
      <c r="CC274" s="77">
        <f t="shared" si="82"/>
        <v>0</v>
      </c>
      <c r="CD274" s="77">
        <f t="shared" si="83"/>
        <v>0</v>
      </c>
    </row>
    <row r="275" spans="1:82" hidden="1" x14ac:dyDescent="0.2">
      <c r="A275" s="79" t="s">
        <v>397</v>
      </c>
      <c r="B275" s="80" t="s">
        <v>398</v>
      </c>
      <c r="C275" s="80">
        <v>4301031366</v>
      </c>
      <c r="D275" s="80">
        <v>4680115883147</v>
      </c>
      <c r="E275" s="81">
        <v>0.28000000000000003</v>
      </c>
      <c r="F275" s="82">
        <v>6</v>
      </c>
      <c r="G275" s="81">
        <v>1.68</v>
      </c>
      <c r="H275" s="81">
        <v>1.81</v>
      </c>
      <c r="I275" s="83">
        <v>234</v>
      </c>
      <c r="J275" s="83" t="s">
        <v>133</v>
      </c>
      <c r="K275" s="84" t="s">
        <v>132</v>
      </c>
      <c r="L275" s="84"/>
      <c r="M275" s="423">
        <v>50</v>
      </c>
      <c r="N275" s="423"/>
      <c r="O275" s="493" t="s">
        <v>399</v>
      </c>
      <c r="P275" s="425"/>
      <c r="Q275" s="425"/>
      <c r="R275" s="425"/>
      <c r="S275" s="425"/>
      <c r="T275" s="85" t="s">
        <v>0</v>
      </c>
      <c r="U275" s="65">
        <v>0</v>
      </c>
      <c r="V275" s="66">
        <f t="shared" si="64"/>
        <v>0</v>
      </c>
      <c r="W275" s="65">
        <v>0</v>
      </c>
      <c r="X275" s="66">
        <f t="shared" si="65"/>
        <v>0</v>
      </c>
      <c r="Y275" s="65">
        <v>0</v>
      </c>
      <c r="Z275" s="66">
        <f t="shared" si="66"/>
        <v>0</v>
      </c>
      <c r="AA275" s="65">
        <v>0</v>
      </c>
      <c r="AB275" s="66">
        <f t="shared" si="67"/>
        <v>0</v>
      </c>
      <c r="AC275" s="67" t="str">
        <f>IF(IFERROR(ROUNDUP(V275/G275,0)*0.00502,0)+IFERROR(ROUNDUP(X275/G275,0)*0.00502,0)+IFERROR(ROUNDUP(Z275/G275,0)*0.00502,0)+IFERROR(ROUNDUP(AB275/G275,0)*0.00502,0)=0,"",IFERROR(ROUNDUP(V275/G275,0)*0.00502,0)+IFERROR(ROUNDUP(X275/G275,0)*0.00502,0)+IFERROR(ROUNDUP(Z275/G275,0)*0.00502,0)+IFERROR(ROUNDUP(AB275/G275,0)*0.00502,0))</f>
        <v/>
      </c>
      <c r="AD275" s="79" t="s">
        <v>57</v>
      </c>
      <c r="AE275" s="79" t="s">
        <v>57</v>
      </c>
      <c r="AF275" s="305" t="s">
        <v>387</v>
      </c>
      <c r="AG275" s="2"/>
      <c r="AH275" s="2"/>
      <c r="AI275" s="2"/>
      <c r="AJ275" s="2"/>
      <c r="AK275" s="2"/>
      <c r="AL275" s="61"/>
      <c r="AM275" s="61"/>
      <c r="AN275" s="61"/>
      <c r="AO275" s="2"/>
      <c r="AP275" s="2"/>
      <c r="AQ275" s="2"/>
      <c r="AR275" s="2"/>
      <c r="AS275" s="2"/>
      <c r="AT275" s="2"/>
      <c r="AU275" s="20"/>
      <c r="AV275" s="20"/>
      <c r="AW275" s="21"/>
      <c r="BB275" s="304" t="s">
        <v>65</v>
      </c>
      <c r="BO275" s="77">
        <f t="shared" si="68"/>
        <v>0</v>
      </c>
      <c r="BP275" s="77">
        <f t="shared" si="69"/>
        <v>0</v>
      </c>
      <c r="BQ275" s="77">
        <f t="shared" si="70"/>
        <v>0</v>
      </c>
      <c r="BR275" s="77">
        <f t="shared" si="71"/>
        <v>0</v>
      </c>
      <c r="BS275" s="77">
        <f t="shared" si="72"/>
        <v>0</v>
      </c>
      <c r="BT275" s="77">
        <f t="shared" si="73"/>
        <v>0</v>
      </c>
      <c r="BU275" s="77">
        <f t="shared" si="74"/>
        <v>0</v>
      </c>
      <c r="BV275" s="77">
        <f t="shared" si="75"/>
        <v>0</v>
      </c>
      <c r="BW275" s="77">
        <f t="shared" si="76"/>
        <v>0</v>
      </c>
      <c r="BX275" s="77">
        <f t="shared" si="77"/>
        <v>0</v>
      </c>
      <c r="BY275" s="77">
        <f t="shared" si="78"/>
        <v>0</v>
      </c>
      <c r="BZ275" s="77">
        <f t="shared" si="79"/>
        <v>0</v>
      </c>
      <c r="CA275" s="77">
        <f t="shared" si="80"/>
        <v>0</v>
      </c>
      <c r="CB275" s="77">
        <f t="shared" si="81"/>
        <v>0</v>
      </c>
      <c r="CC275" s="77">
        <f t="shared" si="82"/>
        <v>0</v>
      </c>
      <c r="CD275" s="77">
        <f t="shared" si="83"/>
        <v>0</v>
      </c>
    </row>
    <row r="276" spans="1:82" hidden="1" x14ac:dyDescent="0.2">
      <c r="A276" s="79" t="s">
        <v>400</v>
      </c>
      <c r="B276" s="80" t="s">
        <v>401</v>
      </c>
      <c r="C276" s="80">
        <v>4301031374</v>
      </c>
      <c r="D276" s="80">
        <v>4680115883154</v>
      </c>
      <c r="E276" s="81">
        <v>0.28000000000000003</v>
      </c>
      <c r="F276" s="82">
        <v>6</v>
      </c>
      <c r="G276" s="81">
        <v>1.68</v>
      </c>
      <c r="H276" s="81">
        <v>1.81</v>
      </c>
      <c r="I276" s="83">
        <v>234</v>
      </c>
      <c r="J276" s="83" t="s">
        <v>133</v>
      </c>
      <c r="K276" s="84" t="s">
        <v>132</v>
      </c>
      <c r="L276" s="84"/>
      <c r="M276" s="423">
        <v>50</v>
      </c>
      <c r="N276" s="423"/>
      <c r="O276" s="485" t="s">
        <v>402</v>
      </c>
      <c r="P276" s="425"/>
      <c r="Q276" s="425"/>
      <c r="R276" s="425"/>
      <c r="S276" s="425"/>
      <c r="T276" s="85" t="s">
        <v>0</v>
      </c>
      <c r="U276" s="65">
        <v>0</v>
      </c>
      <c r="V276" s="66">
        <f t="shared" si="64"/>
        <v>0</v>
      </c>
      <c r="W276" s="65">
        <v>0</v>
      </c>
      <c r="X276" s="66">
        <f t="shared" si="65"/>
        <v>0</v>
      </c>
      <c r="Y276" s="65">
        <v>0</v>
      </c>
      <c r="Z276" s="66">
        <f t="shared" si="66"/>
        <v>0</v>
      </c>
      <c r="AA276" s="65">
        <v>0</v>
      </c>
      <c r="AB276" s="66">
        <f t="shared" si="67"/>
        <v>0</v>
      </c>
      <c r="AC276" s="67" t="str">
        <f>IF(IFERROR(ROUNDUP(V276/G276,0)*0.00502,0)+IFERROR(ROUNDUP(X276/G276,0)*0.00502,0)+IFERROR(ROUNDUP(Z276/G276,0)*0.00502,0)+IFERROR(ROUNDUP(AB276/G276,0)*0.00502,0)=0,"",IFERROR(ROUNDUP(V276/G276,0)*0.00502,0)+IFERROR(ROUNDUP(X276/G276,0)*0.00502,0)+IFERROR(ROUNDUP(Z276/G276,0)*0.00502,0)+IFERROR(ROUNDUP(AB276/G276,0)*0.00502,0))</f>
        <v/>
      </c>
      <c r="AD276" s="79" t="s">
        <v>57</v>
      </c>
      <c r="AE276" s="79" t="s">
        <v>57</v>
      </c>
      <c r="AF276" s="307" t="s">
        <v>403</v>
      </c>
      <c r="AG276" s="2"/>
      <c r="AH276" s="2"/>
      <c r="AI276" s="2"/>
      <c r="AJ276" s="2"/>
      <c r="AK276" s="2"/>
      <c r="AL276" s="61"/>
      <c r="AM276" s="61"/>
      <c r="AN276" s="61"/>
      <c r="AO276" s="2"/>
      <c r="AP276" s="2"/>
      <c r="AQ276" s="2"/>
      <c r="AR276" s="2"/>
      <c r="AS276" s="2"/>
      <c r="AT276" s="2"/>
      <c r="AU276" s="20"/>
      <c r="AV276" s="20"/>
      <c r="AW276" s="21"/>
      <c r="BB276" s="306" t="s">
        <v>65</v>
      </c>
      <c r="BO276" s="77">
        <f t="shared" si="68"/>
        <v>0</v>
      </c>
      <c r="BP276" s="77">
        <f t="shared" si="69"/>
        <v>0</v>
      </c>
      <c r="BQ276" s="77">
        <f t="shared" si="70"/>
        <v>0</v>
      </c>
      <c r="BR276" s="77">
        <f t="shared" si="71"/>
        <v>0</v>
      </c>
      <c r="BS276" s="77">
        <f t="shared" si="72"/>
        <v>0</v>
      </c>
      <c r="BT276" s="77">
        <f t="shared" si="73"/>
        <v>0</v>
      </c>
      <c r="BU276" s="77">
        <f t="shared" si="74"/>
        <v>0</v>
      </c>
      <c r="BV276" s="77">
        <f t="shared" si="75"/>
        <v>0</v>
      </c>
      <c r="BW276" s="77">
        <f t="shared" si="76"/>
        <v>0</v>
      </c>
      <c r="BX276" s="77">
        <f t="shared" si="77"/>
        <v>0</v>
      </c>
      <c r="BY276" s="77">
        <f t="shared" si="78"/>
        <v>0</v>
      </c>
      <c r="BZ276" s="77">
        <f t="shared" si="79"/>
        <v>0</v>
      </c>
      <c r="CA276" s="77">
        <f t="shared" si="80"/>
        <v>0</v>
      </c>
      <c r="CB276" s="77">
        <f t="shared" si="81"/>
        <v>0</v>
      </c>
      <c r="CC276" s="77">
        <f t="shared" si="82"/>
        <v>0</v>
      </c>
      <c r="CD276" s="77">
        <f t="shared" si="83"/>
        <v>0</v>
      </c>
    </row>
    <row r="277" spans="1:82" hidden="1" x14ac:dyDescent="0.2">
      <c r="A277" s="79" t="s">
        <v>404</v>
      </c>
      <c r="B277" s="80" t="s">
        <v>405</v>
      </c>
      <c r="C277" s="80">
        <v>4301031361</v>
      </c>
      <c r="D277" s="80">
        <v>4607091389524</v>
      </c>
      <c r="E277" s="81">
        <v>0.35</v>
      </c>
      <c r="F277" s="82">
        <v>6</v>
      </c>
      <c r="G277" s="81">
        <v>2.1</v>
      </c>
      <c r="H277" s="81">
        <v>2.23</v>
      </c>
      <c r="I277" s="83">
        <v>234</v>
      </c>
      <c r="J277" s="83" t="s">
        <v>133</v>
      </c>
      <c r="K277" s="84" t="s">
        <v>132</v>
      </c>
      <c r="L277" s="84"/>
      <c r="M277" s="423">
        <v>50</v>
      </c>
      <c r="N277" s="423"/>
      <c r="O277" s="48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P277" s="425"/>
      <c r="Q277" s="425"/>
      <c r="R277" s="425"/>
      <c r="S277" s="425"/>
      <c r="T277" s="85" t="s">
        <v>0</v>
      </c>
      <c r="U277" s="65">
        <v>0</v>
      </c>
      <c r="V277" s="66">
        <f t="shared" si="64"/>
        <v>0</v>
      </c>
      <c r="W277" s="65">
        <v>0</v>
      </c>
      <c r="X277" s="66">
        <f t="shared" si="65"/>
        <v>0</v>
      </c>
      <c r="Y277" s="65">
        <v>0</v>
      </c>
      <c r="Z277" s="66">
        <f t="shared" si="66"/>
        <v>0</v>
      </c>
      <c r="AA277" s="65">
        <v>0</v>
      </c>
      <c r="AB277" s="66">
        <f t="shared" si="67"/>
        <v>0</v>
      </c>
      <c r="AC277" s="67" t="str">
        <f>IF(IFERROR(ROUNDUP(V277/G277,0)*0.00502,0)+IFERROR(ROUNDUP(X277/G277,0)*0.00502,0)+IFERROR(ROUNDUP(Z277/G277,0)*0.00502,0)+IFERROR(ROUNDUP(AB277/G277,0)*0.00502,0)=0,"",IFERROR(ROUNDUP(V277/G277,0)*0.00502,0)+IFERROR(ROUNDUP(X277/G277,0)*0.00502,0)+IFERROR(ROUNDUP(Z277/G277,0)*0.00502,0)+IFERROR(ROUNDUP(AB277/G277,0)*0.00502,0))</f>
        <v/>
      </c>
      <c r="AD277" s="79" t="s">
        <v>57</v>
      </c>
      <c r="AE277" s="79" t="s">
        <v>57</v>
      </c>
      <c r="AF277" s="309" t="s">
        <v>403</v>
      </c>
      <c r="AG277" s="2"/>
      <c r="AH277" s="2"/>
      <c r="AI277" s="2"/>
      <c r="AJ277" s="2"/>
      <c r="AK277" s="2"/>
      <c r="AL277" s="61"/>
      <c r="AM277" s="61"/>
      <c r="AN277" s="61"/>
      <c r="AO277" s="2"/>
      <c r="AP277" s="2"/>
      <c r="AQ277" s="2"/>
      <c r="AR277" s="2"/>
      <c r="AS277" s="2"/>
      <c r="AT277" s="2"/>
      <c r="AU277" s="20"/>
      <c r="AV277" s="20"/>
      <c r="AW277" s="21"/>
      <c r="BB277" s="308" t="s">
        <v>65</v>
      </c>
      <c r="BO277" s="77">
        <f t="shared" si="68"/>
        <v>0</v>
      </c>
      <c r="BP277" s="77">
        <f t="shared" si="69"/>
        <v>0</v>
      </c>
      <c r="BQ277" s="77">
        <f t="shared" si="70"/>
        <v>0</v>
      </c>
      <c r="BR277" s="77">
        <f t="shared" si="71"/>
        <v>0</v>
      </c>
      <c r="BS277" s="77">
        <f t="shared" si="72"/>
        <v>0</v>
      </c>
      <c r="BT277" s="77">
        <f t="shared" si="73"/>
        <v>0</v>
      </c>
      <c r="BU277" s="77">
        <f t="shared" si="74"/>
        <v>0</v>
      </c>
      <c r="BV277" s="77">
        <f t="shared" si="75"/>
        <v>0</v>
      </c>
      <c r="BW277" s="77">
        <f t="shared" si="76"/>
        <v>0</v>
      </c>
      <c r="BX277" s="77">
        <f t="shared" si="77"/>
        <v>0</v>
      </c>
      <c r="BY277" s="77">
        <f t="shared" si="78"/>
        <v>0</v>
      </c>
      <c r="BZ277" s="77">
        <f t="shared" si="79"/>
        <v>0</v>
      </c>
      <c r="CA277" s="77">
        <f t="shared" si="80"/>
        <v>0</v>
      </c>
      <c r="CB277" s="77">
        <f t="shared" si="81"/>
        <v>0</v>
      </c>
      <c r="CC277" s="77">
        <f t="shared" si="82"/>
        <v>0</v>
      </c>
      <c r="CD277" s="77">
        <f t="shared" si="83"/>
        <v>0</v>
      </c>
    </row>
    <row r="278" spans="1:82" hidden="1" x14ac:dyDescent="0.2">
      <c r="A278" s="79" t="s">
        <v>406</v>
      </c>
      <c r="B278" s="80" t="s">
        <v>407</v>
      </c>
      <c r="C278" s="80">
        <v>4301031364</v>
      </c>
      <c r="D278" s="80">
        <v>4680115883161</v>
      </c>
      <c r="E278" s="81">
        <v>0.28000000000000003</v>
      </c>
      <c r="F278" s="82">
        <v>6</v>
      </c>
      <c r="G278" s="81">
        <v>1.68</v>
      </c>
      <c r="H278" s="81">
        <v>1.81</v>
      </c>
      <c r="I278" s="83">
        <v>234</v>
      </c>
      <c r="J278" s="83" t="s">
        <v>133</v>
      </c>
      <c r="K278" s="84" t="s">
        <v>132</v>
      </c>
      <c r="L278" s="84"/>
      <c r="M278" s="423">
        <v>50</v>
      </c>
      <c r="N278" s="423"/>
      <c r="O278" s="487" t="s">
        <v>408</v>
      </c>
      <c r="P278" s="425"/>
      <c r="Q278" s="425"/>
      <c r="R278" s="425"/>
      <c r="S278" s="425"/>
      <c r="T278" s="85" t="s">
        <v>0</v>
      </c>
      <c r="U278" s="65">
        <v>0</v>
      </c>
      <c r="V278" s="66">
        <f t="shared" si="64"/>
        <v>0</v>
      </c>
      <c r="W278" s="65">
        <v>0</v>
      </c>
      <c r="X278" s="66">
        <f t="shared" si="65"/>
        <v>0</v>
      </c>
      <c r="Y278" s="65">
        <v>0</v>
      </c>
      <c r="Z278" s="66">
        <f t="shared" si="66"/>
        <v>0</v>
      </c>
      <c r="AA278" s="65">
        <v>0</v>
      </c>
      <c r="AB278" s="66">
        <f t="shared" si="67"/>
        <v>0</v>
      </c>
      <c r="AC278" s="67" t="str">
        <f>IF(IFERROR(ROUNDUP(V278/G278,0)*0.00502,0)+IFERROR(ROUNDUP(X278/G278,0)*0.00502,0)+IFERROR(ROUNDUP(Z278/G278,0)*0.00502,0)+IFERROR(ROUNDUP(AB278/G278,0)*0.00502,0)=0,"",IFERROR(ROUNDUP(V278/G278,0)*0.00502,0)+IFERROR(ROUNDUP(X278/G278,0)*0.00502,0)+IFERROR(ROUNDUP(Z278/G278,0)*0.00502,0)+IFERROR(ROUNDUP(AB278/G278,0)*0.00502,0))</f>
        <v/>
      </c>
      <c r="AD278" s="79" t="s">
        <v>57</v>
      </c>
      <c r="AE278" s="79" t="s">
        <v>57</v>
      </c>
      <c r="AF278" s="311" t="s">
        <v>409</v>
      </c>
      <c r="AG278" s="2"/>
      <c r="AH278" s="2"/>
      <c r="AI278" s="2"/>
      <c r="AJ278" s="2"/>
      <c r="AK278" s="2"/>
      <c r="AL278" s="61"/>
      <c r="AM278" s="61"/>
      <c r="AN278" s="61"/>
      <c r="AO278" s="2"/>
      <c r="AP278" s="2"/>
      <c r="AQ278" s="2"/>
      <c r="AR278" s="2"/>
      <c r="AS278" s="2"/>
      <c r="AT278" s="2"/>
      <c r="AU278" s="20"/>
      <c r="AV278" s="20"/>
      <c r="AW278" s="21"/>
      <c r="BB278" s="310" t="s">
        <v>65</v>
      </c>
      <c r="BO278" s="77">
        <f t="shared" si="68"/>
        <v>0</v>
      </c>
      <c r="BP278" s="77">
        <f t="shared" si="69"/>
        <v>0</v>
      </c>
      <c r="BQ278" s="77">
        <f t="shared" si="70"/>
        <v>0</v>
      </c>
      <c r="BR278" s="77">
        <f t="shared" si="71"/>
        <v>0</v>
      </c>
      <c r="BS278" s="77">
        <f t="shared" si="72"/>
        <v>0</v>
      </c>
      <c r="BT278" s="77">
        <f t="shared" si="73"/>
        <v>0</v>
      </c>
      <c r="BU278" s="77">
        <f t="shared" si="74"/>
        <v>0</v>
      </c>
      <c r="BV278" s="77">
        <f t="shared" si="75"/>
        <v>0</v>
      </c>
      <c r="BW278" s="77">
        <f t="shared" si="76"/>
        <v>0</v>
      </c>
      <c r="BX278" s="77">
        <f t="shared" si="77"/>
        <v>0</v>
      </c>
      <c r="BY278" s="77">
        <f t="shared" si="78"/>
        <v>0</v>
      </c>
      <c r="BZ278" s="77">
        <f t="shared" si="79"/>
        <v>0</v>
      </c>
      <c r="CA278" s="77">
        <f t="shared" si="80"/>
        <v>0</v>
      </c>
      <c r="CB278" s="77">
        <f t="shared" si="81"/>
        <v>0</v>
      </c>
      <c r="CC278" s="77">
        <f t="shared" si="82"/>
        <v>0</v>
      </c>
      <c r="CD278" s="77">
        <f t="shared" si="83"/>
        <v>0</v>
      </c>
    </row>
    <row r="279" spans="1:82" hidden="1" x14ac:dyDescent="0.2">
      <c r="A279" s="79" t="s">
        <v>410</v>
      </c>
      <c r="B279" s="80" t="s">
        <v>411</v>
      </c>
      <c r="C279" s="80">
        <v>4301031360</v>
      </c>
      <c r="D279" s="80">
        <v>4607091384345</v>
      </c>
      <c r="E279" s="81">
        <v>0.35</v>
      </c>
      <c r="F279" s="82">
        <v>6</v>
      </c>
      <c r="G279" s="81">
        <v>2.1</v>
      </c>
      <c r="H279" s="81">
        <v>2.23</v>
      </c>
      <c r="I279" s="83">
        <v>234</v>
      </c>
      <c r="J279" s="83" t="s">
        <v>133</v>
      </c>
      <c r="K279" s="84" t="s">
        <v>132</v>
      </c>
      <c r="L279" s="84"/>
      <c r="M279" s="423">
        <v>50</v>
      </c>
      <c r="N279" s="423"/>
      <c r="O279" s="4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P279" s="425"/>
      <c r="Q279" s="425"/>
      <c r="R279" s="425"/>
      <c r="S279" s="425"/>
      <c r="T279" s="85" t="s">
        <v>0</v>
      </c>
      <c r="U279" s="65">
        <v>0</v>
      </c>
      <c r="V279" s="66">
        <f t="shared" si="64"/>
        <v>0</v>
      </c>
      <c r="W279" s="65">
        <v>0</v>
      </c>
      <c r="X279" s="66">
        <f t="shared" si="65"/>
        <v>0</v>
      </c>
      <c r="Y279" s="65">
        <v>0</v>
      </c>
      <c r="Z279" s="66">
        <f t="shared" si="66"/>
        <v>0</v>
      </c>
      <c r="AA279" s="65">
        <v>0</v>
      </c>
      <c r="AB279" s="66">
        <f t="shared" si="67"/>
        <v>0</v>
      </c>
      <c r="AC279" s="67" t="str">
        <f>IF(IFERROR(ROUNDUP(V279/G279,0)*0.00502,0)+IFERROR(ROUNDUP(X279/G279,0)*0.00502,0)+IFERROR(ROUNDUP(Z279/G279,0)*0.00502,0)+IFERROR(ROUNDUP(AB279/G279,0)*0.00502,0)=0,"",IFERROR(ROUNDUP(V279/G279,0)*0.00502,0)+IFERROR(ROUNDUP(X279/G279,0)*0.00502,0)+IFERROR(ROUNDUP(Z279/G279,0)*0.00502,0)+IFERROR(ROUNDUP(AB279/G279,0)*0.00502,0))</f>
        <v/>
      </c>
      <c r="AD279" s="79" t="s">
        <v>57</v>
      </c>
      <c r="AE279" s="79" t="s">
        <v>57</v>
      </c>
      <c r="AF279" s="313" t="s">
        <v>409</v>
      </c>
      <c r="AG279" s="2"/>
      <c r="AH279" s="2"/>
      <c r="AI279" s="2"/>
      <c r="AJ279" s="2"/>
      <c r="AK279" s="2"/>
      <c r="AL279" s="61"/>
      <c r="AM279" s="61"/>
      <c r="AN279" s="61"/>
      <c r="AO279" s="2"/>
      <c r="AP279" s="2"/>
      <c r="AQ279" s="2"/>
      <c r="AR279" s="2"/>
      <c r="AS279" s="2"/>
      <c r="AT279" s="2"/>
      <c r="AU279" s="20"/>
      <c r="AV279" s="20"/>
      <c r="AW279" s="21"/>
      <c r="BB279" s="312" t="s">
        <v>65</v>
      </c>
      <c r="BO279" s="77">
        <f t="shared" si="68"/>
        <v>0</v>
      </c>
      <c r="BP279" s="77">
        <f t="shared" si="69"/>
        <v>0</v>
      </c>
      <c r="BQ279" s="77">
        <f t="shared" si="70"/>
        <v>0</v>
      </c>
      <c r="BR279" s="77">
        <f t="shared" si="71"/>
        <v>0</v>
      </c>
      <c r="BS279" s="77">
        <f t="shared" si="72"/>
        <v>0</v>
      </c>
      <c r="BT279" s="77">
        <f t="shared" si="73"/>
        <v>0</v>
      </c>
      <c r="BU279" s="77">
        <f t="shared" si="74"/>
        <v>0</v>
      </c>
      <c r="BV279" s="77">
        <f t="shared" si="75"/>
        <v>0</v>
      </c>
      <c r="BW279" s="77">
        <f t="shared" si="76"/>
        <v>0</v>
      </c>
      <c r="BX279" s="77">
        <f t="shared" si="77"/>
        <v>0</v>
      </c>
      <c r="BY279" s="77">
        <f t="shared" si="78"/>
        <v>0</v>
      </c>
      <c r="BZ279" s="77">
        <f t="shared" si="79"/>
        <v>0</v>
      </c>
      <c r="CA279" s="77">
        <f t="shared" si="80"/>
        <v>0</v>
      </c>
      <c r="CB279" s="77">
        <f t="shared" si="81"/>
        <v>0</v>
      </c>
      <c r="CC279" s="77">
        <f t="shared" si="82"/>
        <v>0</v>
      </c>
      <c r="CD279" s="77">
        <f t="shared" si="83"/>
        <v>0</v>
      </c>
    </row>
    <row r="280" spans="1:82" hidden="1" x14ac:dyDescent="0.2">
      <c r="A280" s="420"/>
      <c r="B280" s="420"/>
      <c r="C280" s="420"/>
      <c r="D280" s="420"/>
      <c r="E280" s="420"/>
      <c r="F280" s="420"/>
      <c r="G280" s="420"/>
      <c r="H280" s="420"/>
      <c r="I280" s="420"/>
      <c r="J280" s="420"/>
      <c r="K280" s="420"/>
      <c r="L280" s="420"/>
      <c r="M280" s="420"/>
      <c r="N280" s="420"/>
      <c r="O280" s="426" t="s">
        <v>43</v>
      </c>
      <c r="P280" s="427"/>
      <c r="Q280" s="427"/>
      <c r="R280" s="427"/>
      <c r="S280" s="427"/>
      <c r="T280" s="39" t="s">
        <v>42</v>
      </c>
      <c r="U280" s="50">
        <f>IFERROR(U271/G271,0)+IFERROR(U272/G272,0)+IFERROR(U273/G273,0)+IFERROR(U274/G274,0)+IFERROR(U275/G275,0)+IFERROR(U276/G276,0)+IFERROR(U277/G277,0)+IFERROR(U278/G278,0)+IFERROR(U279/G279,0)</f>
        <v>0</v>
      </c>
      <c r="V280" s="50">
        <f>IFERROR(V271/G271,0)+IFERROR(V272/G272,0)+IFERROR(V273/G273,0)+IFERROR(V274/G274,0)+IFERROR(V275/G275,0)+IFERROR(V276/G276,0)+IFERROR(V277/G277,0)+IFERROR(V278/G278,0)+IFERROR(V279/G279,0)</f>
        <v>0</v>
      </c>
      <c r="W280" s="50">
        <f>IFERROR(W271/G271,0)+IFERROR(W272/G272,0)+IFERROR(W273/G273,0)+IFERROR(W274/G274,0)+IFERROR(W275/G275,0)+IFERROR(W276/G276,0)+IFERROR(W277/G277,0)+IFERROR(W278/G278,0)+IFERROR(W279/G279,0)</f>
        <v>0</v>
      </c>
      <c r="X280" s="50">
        <f>IFERROR(X271/G271,0)+IFERROR(X272/G272,0)+IFERROR(X273/G273,0)+IFERROR(X274/G274,0)+IFERROR(X275/G275,0)+IFERROR(X276/G276,0)+IFERROR(X277/G277,0)+IFERROR(X278/G278,0)+IFERROR(X279/G279,0)</f>
        <v>0</v>
      </c>
      <c r="Y280" s="50">
        <f>IFERROR(Y271/G271,0)+IFERROR(Y272/G272,0)+IFERROR(Y273/G273,0)+IFERROR(Y274/G274,0)+IFERROR(Y275/G275,0)+IFERROR(Y276/G276,0)+IFERROR(Y277/G277,0)+IFERROR(Y278/G278,0)+IFERROR(Y279/G279,0)</f>
        <v>0</v>
      </c>
      <c r="Z280" s="50">
        <f>IFERROR(Z271/G271,0)+IFERROR(Z272/G272,0)+IFERROR(Z273/G273,0)+IFERROR(Z274/G274,0)+IFERROR(Z275/G275,0)+IFERROR(Z276/G276,0)+IFERROR(Z277/G277,0)+IFERROR(Z278/G278,0)+IFERROR(Z279/G279,0)</f>
        <v>0</v>
      </c>
      <c r="AA280" s="50">
        <f>IFERROR(AA271/G271,0)+IFERROR(AA272/G272,0)+IFERROR(AA273/G273,0)+IFERROR(AA274/G274,0)+IFERROR(AA275/G275,0)+IFERROR(AA276/G276,0)+IFERROR(AA277/G277,0)+IFERROR(AA278/G278,0)+IFERROR(AA279/G279,0)</f>
        <v>0</v>
      </c>
      <c r="AB280" s="50">
        <f>IFERROR(AB271/G271,0)+IFERROR(AB272/G272,0)+IFERROR(AB273/G273,0)+IFERROR(AB274/G274,0)+IFERROR(AB275/G275,0)+IFERROR(AB276/G276,0)+IFERROR(AB277/G277,0)+IFERROR(AB278/G278,0)+IFERROR(AB279/G279,0)</f>
        <v>0</v>
      </c>
      <c r="AC280" s="50">
        <f>IFERROR(IF(AC271="",0,AC271),0)+IFERROR(IF(AC272="",0,AC272),0)+IFERROR(IF(AC273="",0,AC273),0)+IFERROR(IF(AC274="",0,AC274),0)+IFERROR(IF(AC275="",0,AC275),0)+IFERROR(IF(AC276="",0,AC276),0)+IFERROR(IF(AC277="",0,AC277),0)+IFERROR(IF(AC278="",0,AC278),0)+IFERROR(IF(AC279="",0,AC279),0)</f>
        <v>0</v>
      </c>
      <c r="AD280" s="3"/>
      <c r="AE280" s="72"/>
      <c r="AF280" s="3"/>
      <c r="AG280" s="3"/>
      <c r="AH280" s="3"/>
      <c r="AI280" s="3"/>
      <c r="AJ280" s="3"/>
      <c r="AK280" s="3"/>
      <c r="AL280" s="62"/>
      <c r="AM280" s="62"/>
      <c r="AN280" s="62"/>
      <c r="AO280" s="3"/>
      <c r="AP280" s="3"/>
      <c r="AQ280" s="2"/>
      <c r="AR280" s="2"/>
      <c r="AS280" s="2"/>
      <c r="AT280" s="2"/>
      <c r="AU280" s="20"/>
      <c r="AV280" s="20"/>
      <c r="AW280" s="21"/>
    </row>
    <row r="281" spans="1:82" hidden="1" x14ac:dyDescent="0.2">
      <c r="A281" s="420"/>
      <c r="B281" s="420"/>
      <c r="C281" s="420"/>
      <c r="D281" s="420"/>
      <c r="E281" s="420"/>
      <c r="F281" s="420"/>
      <c r="G281" s="420"/>
      <c r="H281" s="420"/>
      <c r="I281" s="420"/>
      <c r="J281" s="420"/>
      <c r="K281" s="420"/>
      <c r="L281" s="420"/>
      <c r="M281" s="420"/>
      <c r="N281" s="420"/>
      <c r="O281" s="426" t="s">
        <v>43</v>
      </c>
      <c r="P281" s="427"/>
      <c r="Q281" s="427"/>
      <c r="R281" s="427"/>
      <c r="S281" s="427"/>
      <c r="T281" s="39" t="s">
        <v>0</v>
      </c>
      <c r="U281" s="102">
        <f t="shared" ref="U281:AB281" si="84">IFERROR(SUM(U271:U279),0)</f>
        <v>0</v>
      </c>
      <c r="V281" s="102">
        <f t="shared" si="84"/>
        <v>0</v>
      </c>
      <c r="W281" s="102">
        <f t="shared" si="84"/>
        <v>0</v>
      </c>
      <c r="X281" s="102">
        <f t="shared" si="84"/>
        <v>0</v>
      </c>
      <c r="Y281" s="102">
        <f t="shared" si="84"/>
        <v>0</v>
      </c>
      <c r="Z281" s="102">
        <f t="shared" si="84"/>
        <v>0</v>
      </c>
      <c r="AA281" s="102">
        <f t="shared" si="84"/>
        <v>0</v>
      </c>
      <c r="AB281" s="102">
        <f t="shared" si="84"/>
        <v>0</v>
      </c>
      <c r="AC281" s="50" t="s">
        <v>57</v>
      </c>
      <c r="AD281" s="3"/>
      <c r="AE281" s="72"/>
      <c r="AF281" s="3"/>
      <c r="AG281" s="3"/>
      <c r="AH281" s="3"/>
      <c r="AI281" s="3"/>
      <c r="AJ281" s="3"/>
      <c r="AK281" s="3"/>
      <c r="AL281" s="62"/>
      <c r="AM281" s="62"/>
      <c r="AN281" s="62"/>
      <c r="AO281" s="3"/>
      <c r="AP281" s="3"/>
      <c r="AQ281" s="2"/>
      <c r="AR281" s="2"/>
      <c r="AS281" s="2"/>
      <c r="AT281" s="2"/>
      <c r="AU281" s="20"/>
      <c r="AV281" s="20"/>
      <c r="AW281" s="21"/>
    </row>
    <row r="282" spans="1:82" ht="15" hidden="1" x14ac:dyDescent="0.25">
      <c r="A282" s="428" t="s">
        <v>82</v>
      </c>
      <c r="B282" s="429"/>
      <c r="C282" s="429"/>
      <c r="D282" s="429"/>
      <c r="E282" s="429"/>
      <c r="F282" s="429"/>
      <c r="G282" s="429"/>
      <c r="H282" s="429"/>
      <c r="I282" s="429"/>
      <c r="J282" s="429"/>
      <c r="K282" s="429"/>
      <c r="L282" s="429"/>
      <c r="M282" s="429"/>
      <c r="N282" s="429"/>
      <c r="O282" s="429"/>
      <c r="P282" s="429"/>
      <c r="Q282" s="429"/>
      <c r="R282" s="429"/>
      <c r="S282" s="429"/>
      <c r="T282" s="429"/>
      <c r="U282" s="429"/>
      <c r="V282" s="429"/>
      <c r="W282" s="429"/>
      <c r="X282" s="430"/>
      <c r="Y282" s="430"/>
      <c r="Z282" s="430"/>
      <c r="AA282" s="431"/>
      <c r="AB282" s="431"/>
      <c r="AC282" s="431"/>
      <c r="AD282" s="431"/>
      <c r="AE282" s="432"/>
      <c r="AF282" s="433"/>
      <c r="AG282" s="2"/>
      <c r="AH282" s="2"/>
      <c r="AI282" s="2"/>
      <c r="AJ282" s="2"/>
      <c r="AK282" s="61"/>
      <c r="AL282" s="61"/>
      <c r="AM282" s="61"/>
      <c r="AN282" s="2"/>
      <c r="AO282" s="2"/>
      <c r="AP282" s="2"/>
      <c r="AQ282" s="2"/>
      <c r="AR282" s="2"/>
    </row>
    <row r="283" spans="1:82" hidden="1" x14ac:dyDescent="0.2">
      <c r="A283" s="79" t="s">
        <v>412</v>
      </c>
      <c r="B283" s="80" t="s">
        <v>413</v>
      </c>
      <c r="C283" s="80">
        <v>4301051284</v>
      </c>
      <c r="D283" s="80">
        <v>4607091384352</v>
      </c>
      <c r="E283" s="81">
        <v>0.6</v>
      </c>
      <c r="F283" s="82">
        <v>4</v>
      </c>
      <c r="G283" s="81">
        <v>2.4</v>
      </c>
      <c r="H283" s="81">
        <v>2.6459999999999999</v>
      </c>
      <c r="I283" s="83">
        <v>132</v>
      </c>
      <c r="J283" s="83" t="s">
        <v>100</v>
      </c>
      <c r="K283" s="84" t="s">
        <v>99</v>
      </c>
      <c r="L283" s="84"/>
      <c r="M283" s="423">
        <v>45</v>
      </c>
      <c r="N283" s="423"/>
      <c r="O283" s="4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P283" s="425"/>
      <c r="Q283" s="425"/>
      <c r="R283" s="425"/>
      <c r="S283" s="425"/>
      <c r="T283" s="85" t="s">
        <v>0</v>
      </c>
      <c r="U283" s="65">
        <v>0</v>
      </c>
      <c r="V283" s="66">
        <f>IFERROR(IF(U283="",0,CEILING((U283/$G283),1)*$G283),"")</f>
        <v>0</v>
      </c>
      <c r="W283" s="65">
        <v>0</v>
      </c>
      <c r="X283" s="66">
        <f>IFERROR(IF(W283="",0,CEILING((W283/$G283),1)*$G283),"")</f>
        <v>0</v>
      </c>
      <c r="Y283" s="65">
        <v>0</v>
      </c>
      <c r="Z283" s="66">
        <f>IFERROR(IF(Y283="",0,CEILING((Y283/$G283),1)*$G283),"")</f>
        <v>0</v>
      </c>
      <c r="AA283" s="65">
        <v>0</v>
      </c>
      <c r="AB283" s="66">
        <f>IFERROR(IF(AA283="",0,CEILING((AA283/$G283),1)*$G283),"")</f>
        <v>0</v>
      </c>
      <c r="AC283" s="67" t="str">
        <f>IF(IFERROR(ROUNDUP(V283/G283,0)*0.00902,0)+IFERROR(ROUNDUP(X283/G283,0)*0.00902,0)+IFERROR(ROUNDUP(Z283/G283,0)*0.00902,0)+IFERROR(ROUNDUP(AB283/G283,0)*0.00902,0)=0,"",IFERROR(ROUNDUP(V283/G283,0)*0.00902,0)+IFERROR(ROUNDUP(X283/G283,0)*0.00902,0)+IFERROR(ROUNDUP(Z283/G283,0)*0.00902,0)+IFERROR(ROUNDUP(AB283/G283,0)*0.00902,0))</f>
        <v/>
      </c>
      <c r="AD283" s="79" t="s">
        <v>57</v>
      </c>
      <c r="AE283" s="79" t="s">
        <v>57</v>
      </c>
      <c r="AF283" s="315" t="s">
        <v>414</v>
      </c>
      <c r="AG283" s="2"/>
      <c r="AH283" s="2"/>
      <c r="AI283" s="2"/>
      <c r="AJ283" s="2"/>
      <c r="AK283" s="2"/>
      <c r="AL283" s="61"/>
      <c r="AM283" s="61"/>
      <c r="AN283" s="61"/>
      <c r="AO283" s="2"/>
      <c r="AP283" s="2"/>
      <c r="AQ283" s="2"/>
      <c r="AR283" s="2"/>
      <c r="AS283" s="2"/>
      <c r="AT283" s="2"/>
      <c r="AU283" s="20"/>
      <c r="AV283" s="20"/>
      <c r="AW283" s="21"/>
      <c r="BB283" s="314" t="s">
        <v>65</v>
      </c>
      <c r="BO283" s="77">
        <f>IFERROR(U283*H283/G283,0)</f>
        <v>0</v>
      </c>
      <c r="BP283" s="77">
        <f>IFERROR(V283*H283/G283,0)</f>
        <v>0</v>
      </c>
      <c r="BQ283" s="77">
        <f>IFERROR(1/I283*(U283/G283),0)</f>
        <v>0</v>
      </c>
      <c r="BR283" s="77">
        <f>IFERROR(1/I283*(V283/G283),0)</f>
        <v>0</v>
      </c>
      <c r="BS283" s="77">
        <f>IFERROR(W283*H283/G283,0)</f>
        <v>0</v>
      </c>
      <c r="BT283" s="77">
        <f>IFERROR(X283*H283/G283,0)</f>
        <v>0</v>
      </c>
      <c r="BU283" s="77">
        <f>IFERROR(1/I283*(W283/G283),0)</f>
        <v>0</v>
      </c>
      <c r="BV283" s="77">
        <f>IFERROR(1/I283*(X283/G283),0)</f>
        <v>0</v>
      </c>
      <c r="BW283" s="77">
        <f>IFERROR(Y283*H283/G283,0)</f>
        <v>0</v>
      </c>
      <c r="BX283" s="77">
        <f>IFERROR(Z283*H283/G283,0)</f>
        <v>0</v>
      </c>
      <c r="BY283" s="77">
        <f>IFERROR(1/I283*(Y283/G283),0)</f>
        <v>0</v>
      </c>
      <c r="BZ283" s="77">
        <f>IFERROR(1/I283*(Z283/G283),0)</f>
        <v>0</v>
      </c>
      <c r="CA283" s="77">
        <f>IFERROR(AA283*H283/G283,0)</f>
        <v>0</v>
      </c>
      <c r="CB283" s="77">
        <f>IFERROR(AB283*H283/G283,0)</f>
        <v>0</v>
      </c>
      <c r="CC283" s="77">
        <f>IFERROR(1/I283*(AA283/G283),0)</f>
        <v>0</v>
      </c>
      <c r="CD283" s="77">
        <f>IFERROR(1/I283*(AB283/G283),0)</f>
        <v>0</v>
      </c>
    </row>
    <row r="284" spans="1:82" hidden="1" x14ac:dyDescent="0.2">
      <c r="A284" s="420"/>
      <c r="B284" s="420"/>
      <c r="C284" s="420"/>
      <c r="D284" s="420"/>
      <c r="E284" s="420"/>
      <c r="F284" s="420"/>
      <c r="G284" s="420"/>
      <c r="H284" s="420"/>
      <c r="I284" s="420"/>
      <c r="J284" s="420"/>
      <c r="K284" s="420"/>
      <c r="L284" s="420"/>
      <c r="M284" s="420"/>
      <c r="N284" s="420"/>
      <c r="O284" s="426" t="s">
        <v>43</v>
      </c>
      <c r="P284" s="427"/>
      <c r="Q284" s="427"/>
      <c r="R284" s="427"/>
      <c r="S284" s="427"/>
      <c r="T284" s="39" t="s">
        <v>42</v>
      </c>
      <c r="U284" s="50">
        <f>IFERROR(U283/G283,0)</f>
        <v>0</v>
      </c>
      <c r="V284" s="50">
        <f>IFERROR(V283/G283,0)</f>
        <v>0</v>
      </c>
      <c r="W284" s="50">
        <f>IFERROR(W283/G283,0)</f>
        <v>0</v>
      </c>
      <c r="X284" s="50">
        <f>IFERROR(X283/G283,0)</f>
        <v>0</v>
      </c>
      <c r="Y284" s="50">
        <f>IFERROR(Y283/G283,0)</f>
        <v>0</v>
      </c>
      <c r="Z284" s="50">
        <f>IFERROR(Z283/G283,0)</f>
        <v>0</v>
      </c>
      <c r="AA284" s="50">
        <f>IFERROR(AA283/G283,0)</f>
        <v>0</v>
      </c>
      <c r="AB284" s="50">
        <f>IFERROR(AB283/G283,0)</f>
        <v>0</v>
      </c>
      <c r="AC284" s="50">
        <f>IFERROR(IF(AC283="",0,AC283),0)</f>
        <v>0</v>
      </c>
      <c r="AD284" s="3"/>
      <c r="AE284" s="72"/>
      <c r="AF284" s="3"/>
      <c r="AG284" s="3"/>
      <c r="AH284" s="3"/>
      <c r="AI284" s="3"/>
      <c r="AJ284" s="3"/>
      <c r="AK284" s="3"/>
      <c r="AL284" s="62"/>
      <c r="AM284" s="62"/>
      <c r="AN284" s="62"/>
      <c r="AO284" s="3"/>
      <c r="AP284" s="3"/>
      <c r="AQ284" s="2"/>
      <c r="AR284" s="2"/>
      <c r="AS284" s="2"/>
      <c r="AT284" s="2"/>
      <c r="AU284" s="20"/>
      <c r="AV284" s="20"/>
      <c r="AW284" s="21"/>
    </row>
    <row r="285" spans="1:82" hidden="1" x14ac:dyDescent="0.2">
      <c r="A285" s="420"/>
      <c r="B285" s="420"/>
      <c r="C285" s="420"/>
      <c r="D285" s="420"/>
      <c r="E285" s="420"/>
      <c r="F285" s="420"/>
      <c r="G285" s="420"/>
      <c r="H285" s="420"/>
      <c r="I285" s="420"/>
      <c r="J285" s="420"/>
      <c r="K285" s="420"/>
      <c r="L285" s="420"/>
      <c r="M285" s="420"/>
      <c r="N285" s="420"/>
      <c r="O285" s="426" t="s">
        <v>43</v>
      </c>
      <c r="P285" s="427"/>
      <c r="Q285" s="427"/>
      <c r="R285" s="427"/>
      <c r="S285" s="427"/>
      <c r="T285" s="39" t="s">
        <v>0</v>
      </c>
      <c r="U285" s="102">
        <f t="shared" ref="U285:AB285" si="85">IFERROR(SUM(U283:U283),0)</f>
        <v>0</v>
      </c>
      <c r="V285" s="102">
        <f t="shared" si="85"/>
        <v>0</v>
      </c>
      <c r="W285" s="102">
        <f t="shared" si="85"/>
        <v>0</v>
      </c>
      <c r="X285" s="102">
        <f t="shared" si="85"/>
        <v>0</v>
      </c>
      <c r="Y285" s="102">
        <f t="shared" si="85"/>
        <v>0</v>
      </c>
      <c r="Z285" s="102">
        <f t="shared" si="85"/>
        <v>0</v>
      </c>
      <c r="AA285" s="102">
        <f t="shared" si="85"/>
        <v>0</v>
      </c>
      <c r="AB285" s="102">
        <f t="shared" si="85"/>
        <v>0</v>
      </c>
      <c r="AC285" s="50" t="s">
        <v>57</v>
      </c>
      <c r="AD285" s="3"/>
      <c r="AE285" s="72"/>
      <c r="AF285" s="3"/>
      <c r="AG285" s="3"/>
      <c r="AH285" s="3"/>
      <c r="AI285" s="3"/>
      <c r="AJ285" s="3"/>
      <c r="AK285" s="3"/>
      <c r="AL285" s="62"/>
      <c r="AM285" s="62"/>
      <c r="AN285" s="62"/>
      <c r="AO285" s="3"/>
      <c r="AP285" s="3"/>
      <c r="AQ285" s="2"/>
      <c r="AR285" s="2"/>
      <c r="AS285" s="2"/>
      <c r="AT285" s="2"/>
      <c r="AU285" s="20"/>
      <c r="AV285" s="20"/>
      <c r="AW285" s="21"/>
    </row>
    <row r="286" spans="1:82" ht="15" hidden="1" x14ac:dyDescent="0.25">
      <c r="A286" s="443" t="s">
        <v>415</v>
      </c>
      <c r="B286" s="430"/>
      <c r="C286" s="430"/>
      <c r="D286" s="430"/>
      <c r="E286" s="430"/>
      <c r="F286" s="430"/>
      <c r="G286" s="430"/>
      <c r="H286" s="430"/>
      <c r="I286" s="430"/>
      <c r="J286" s="430"/>
      <c r="K286" s="430"/>
      <c r="L286" s="430"/>
      <c r="M286" s="430"/>
      <c r="N286" s="430"/>
      <c r="O286" s="430"/>
      <c r="P286" s="430"/>
      <c r="Q286" s="430"/>
      <c r="R286" s="430"/>
      <c r="S286" s="430"/>
      <c r="T286" s="430"/>
      <c r="U286" s="430"/>
      <c r="V286" s="430"/>
      <c r="W286" s="430"/>
      <c r="X286" s="430"/>
      <c r="Y286" s="430"/>
      <c r="Z286" s="430"/>
      <c r="AA286" s="431"/>
      <c r="AB286" s="431"/>
      <c r="AC286" s="431"/>
      <c r="AD286" s="431"/>
      <c r="AE286" s="432"/>
      <c r="AF286" s="444"/>
      <c r="AG286" s="2"/>
      <c r="AH286" s="2"/>
      <c r="AI286" s="2"/>
      <c r="AJ286" s="2"/>
      <c r="AK286" s="61"/>
      <c r="AL286" s="61"/>
      <c r="AM286" s="61"/>
      <c r="AN286" s="2"/>
      <c r="AO286" s="2"/>
      <c r="AP286" s="2"/>
      <c r="AQ286" s="2"/>
      <c r="AR286" s="2"/>
    </row>
    <row r="287" spans="1:82" ht="15" hidden="1" x14ac:dyDescent="0.25">
      <c r="A287" s="428" t="s">
        <v>123</v>
      </c>
      <c r="B287" s="429"/>
      <c r="C287" s="429"/>
      <c r="D287" s="429"/>
      <c r="E287" s="429"/>
      <c r="F287" s="429"/>
      <c r="G287" s="429"/>
      <c r="H287" s="429"/>
      <c r="I287" s="429"/>
      <c r="J287" s="429"/>
      <c r="K287" s="429"/>
      <c r="L287" s="429"/>
      <c r="M287" s="429"/>
      <c r="N287" s="429"/>
      <c r="O287" s="429"/>
      <c r="P287" s="429"/>
      <c r="Q287" s="429"/>
      <c r="R287" s="429"/>
      <c r="S287" s="429"/>
      <c r="T287" s="429"/>
      <c r="U287" s="429"/>
      <c r="V287" s="429"/>
      <c r="W287" s="429"/>
      <c r="X287" s="430"/>
      <c r="Y287" s="430"/>
      <c r="Z287" s="430"/>
      <c r="AA287" s="431"/>
      <c r="AB287" s="431"/>
      <c r="AC287" s="431"/>
      <c r="AD287" s="431"/>
      <c r="AE287" s="432"/>
      <c r="AF287" s="433"/>
      <c r="AG287" s="2"/>
      <c r="AH287" s="2"/>
      <c r="AI287" s="2"/>
      <c r="AJ287" s="2"/>
      <c r="AK287" s="61"/>
      <c r="AL287" s="61"/>
      <c r="AM287" s="61"/>
      <c r="AN287" s="2"/>
      <c r="AO287" s="2"/>
      <c r="AP287" s="2"/>
      <c r="AQ287" s="2"/>
      <c r="AR287" s="2"/>
    </row>
    <row r="288" spans="1:82" hidden="1" x14ac:dyDescent="0.2">
      <c r="A288" s="79" t="s">
        <v>416</v>
      </c>
      <c r="B288" s="80" t="s">
        <v>417</v>
      </c>
      <c r="C288" s="80">
        <v>4301020319</v>
      </c>
      <c r="D288" s="80">
        <v>4680115885240</v>
      </c>
      <c r="E288" s="81">
        <v>0.35</v>
      </c>
      <c r="F288" s="82">
        <v>6</v>
      </c>
      <c r="G288" s="81">
        <v>2.1</v>
      </c>
      <c r="H288" s="81">
        <v>2.31</v>
      </c>
      <c r="I288" s="83">
        <v>182</v>
      </c>
      <c r="J288" s="83" t="s">
        <v>86</v>
      </c>
      <c r="K288" s="84" t="s">
        <v>132</v>
      </c>
      <c r="L288" s="84"/>
      <c r="M288" s="423">
        <v>40</v>
      </c>
      <c r="N288" s="423"/>
      <c r="O288" s="4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P288" s="425"/>
      <c r="Q288" s="425"/>
      <c r="R288" s="425"/>
      <c r="S288" s="425"/>
      <c r="T288" s="85" t="s">
        <v>0</v>
      </c>
      <c r="U288" s="65">
        <v>0</v>
      </c>
      <c r="V288" s="66">
        <f>IFERROR(IF(U288="",0,CEILING((U288/$G288),1)*$G288),"")</f>
        <v>0</v>
      </c>
      <c r="W288" s="65">
        <v>0</v>
      </c>
      <c r="X288" s="66">
        <f>IFERROR(IF(W288="",0,CEILING((W288/$G288),1)*$G288),"")</f>
        <v>0</v>
      </c>
      <c r="Y288" s="65">
        <v>0</v>
      </c>
      <c r="Z288" s="66">
        <f>IFERROR(IF(Y288="",0,CEILING((Y288/$G288),1)*$G288),"")</f>
        <v>0</v>
      </c>
      <c r="AA288" s="65">
        <v>0</v>
      </c>
      <c r="AB288" s="66">
        <f>IFERROR(IF(AA288="",0,CEILING((AA288/$G288),1)*$G288),"")</f>
        <v>0</v>
      </c>
      <c r="AC288" s="67" t="str">
        <f>IF(IFERROR(ROUNDUP(V288/G288,0)*0.00651,0)+IFERROR(ROUNDUP(X288/G288,0)*0.00651,0)+IFERROR(ROUNDUP(Z288/G288,0)*0.00651,0)+IFERROR(ROUNDUP(AB288/G288,0)*0.00651,0)=0,"",IFERROR(ROUNDUP(V288/G288,0)*0.00651,0)+IFERROR(ROUNDUP(X288/G288,0)*0.00651,0)+IFERROR(ROUNDUP(Z288/G288,0)*0.00651,0)+IFERROR(ROUNDUP(AB288/G288,0)*0.00651,0))</f>
        <v/>
      </c>
      <c r="AD288" s="79" t="s">
        <v>57</v>
      </c>
      <c r="AE288" s="79" t="s">
        <v>57</v>
      </c>
      <c r="AF288" s="317" t="s">
        <v>418</v>
      </c>
      <c r="AG288" s="2"/>
      <c r="AH288" s="2"/>
      <c r="AI288" s="2"/>
      <c r="AJ288" s="2"/>
      <c r="AK288" s="2"/>
      <c r="AL288" s="61"/>
      <c r="AM288" s="61"/>
      <c r="AN288" s="61"/>
      <c r="AO288" s="2"/>
      <c r="AP288" s="2"/>
      <c r="AQ288" s="2"/>
      <c r="AR288" s="2"/>
      <c r="AS288" s="2"/>
      <c r="AT288" s="2"/>
      <c r="AU288" s="20"/>
      <c r="AV288" s="20"/>
      <c r="AW288" s="21"/>
      <c r="BB288" s="316" t="s">
        <v>65</v>
      </c>
      <c r="BO288" s="77">
        <f>IFERROR(U288*H288/G288,0)</f>
        <v>0</v>
      </c>
      <c r="BP288" s="77">
        <f>IFERROR(V288*H288/G288,0)</f>
        <v>0</v>
      </c>
      <c r="BQ288" s="77">
        <f>IFERROR(1/I288*(U288/G288),0)</f>
        <v>0</v>
      </c>
      <c r="BR288" s="77">
        <f>IFERROR(1/I288*(V288/G288),0)</f>
        <v>0</v>
      </c>
      <c r="BS288" s="77">
        <f>IFERROR(W288*H288/G288,0)</f>
        <v>0</v>
      </c>
      <c r="BT288" s="77">
        <f>IFERROR(X288*H288/G288,0)</f>
        <v>0</v>
      </c>
      <c r="BU288" s="77">
        <f>IFERROR(1/I288*(W288/G288),0)</f>
        <v>0</v>
      </c>
      <c r="BV288" s="77">
        <f>IFERROR(1/I288*(X288/G288),0)</f>
        <v>0</v>
      </c>
      <c r="BW288" s="77">
        <f>IFERROR(Y288*H288/G288,0)</f>
        <v>0</v>
      </c>
      <c r="BX288" s="77">
        <f>IFERROR(Z288*H288/G288,0)</f>
        <v>0</v>
      </c>
      <c r="BY288" s="77">
        <f>IFERROR(1/I288*(Y288/G288),0)</f>
        <v>0</v>
      </c>
      <c r="BZ288" s="77">
        <f>IFERROR(1/I288*(Z288/G288),0)</f>
        <v>0</v>
      </c>
      <c r="CA288" s="77">
        <f>IFERROR(AA288*H288/G288,0)</f>
        <v>0</v>
      </c>
      <c r="CB288" s="77">
        <f>IFERROR(AB288*H288/G288,0)</f>
        <v>0</v>
      </c>
      <c r="CC288" s="77">
        <f>IFERROR(1/I288*(AA288/G288),0)</f>
        <v>0</v>
      </c>
      <c r="CD288" s="77">
        <f>IFERROR(1/I288*(AB288/G288),0)</f>
        <v>0</v>
      </c>
    </row>
    <row r="289" spans="1:82" hidden="1" x14ac:dyDescent="0.2">
      <c r="A289" s="420"/>
      <c r="B289" s="420"/>
      <c r="C289" s="420"/>
      <c r="D289" s="420"/>
      <c r="E289" s="420"/>
      <c r="F289" s="420"/>
      <c r="G289" s="420"/>
      <c r="H289" s="420"/>
      <c r="I289" s="420"/>
      <c r="J289" s="420"/>
      <c r="K289" s="420"/>
      <c r="L289" s="420"/>
      <c r="M289" s="420"/>
      <c r="N289" s="420"/>
      <c r="O289" s="426" t="s">
        <v>43</v>
      </c>
      <c r="P289" s="427"/>
      <c r="Q289" s="427"/>
      <c r="R289" s="427"/>
      <c r="S289" s="427"/>
      <c r="T289" s="39" t="s">
        <v>42</v>
      </c>
      <c r="U289" s="50">
        <f>IFERROR(U288/G288,0)</f>
        <v>0</v>
      </c>
      <c r="V289" s="50">
        <f>IFERROR(V288/G288,0)</f>
        <v>0</v>
      </c>
      <c r="W289" s="50">
        <f>IFERROR(W288/G288,0)</f>
        <v>0</v>
      </c>
      <c r="X289" s="50">
        <f>IFERROR(X288/G288,0)</f>
        <v>0</v>
      </c>
      <c r="Y289" s="50">
        <f>IFERROR(Y288/G288,0)</f>
        <v>0</v>
      </c>
      <c r="Z289" s="50">
        <f>IFERROR(Z288/G288,0)</f>
        <v>0</v>
      </c>
      <c r="AA289" s="50">
        <f>IFERROR(AA288/G288,0)</f>
        <v>0</v>
      </c>
      <c r="AB289" s="50">
        <f>IFERROR(AB288/G288,0)</f>
        <v>0</v>
      </c>
      <c r="AC289" s="50">
        <f>IFERROR(IF(AC288="",0,AC288),0)</f>
        <v>0</v>
      </c>
      <c r="AD289" s="3"/>
      <c r="AE289" s="72"/>
      <c r="AF289" s="3"/>
      <c r="AG289" s="3"/>
      <c r="AH289" s="3"/>
      <c r="AI289" s="3"/>
      <c r="AJ289" s="3"/>
      <c r="AK289" s="3"/>
      <c r="AL289" s="62"/>
      <c r="AM289" s="62"/>
      <c r="AN289" s="62"/>
      <c r="AO289" s="3"/>
      <c r="AP289" s="3"/>
      <c r="AQ289" s="2"/>
      <c r="AR289" s="2"/>
      <c r="AS289" s="2"/>
      <c r="AT289" s="2"/>
      <c r="AU289" s="20"/>
      <c r="AV289" s="20"/>
      <c r="AW289" s="21"/>
    </row>
    <row r="290" spans="1:82" hidden="1" x14ac:dyDescent="0.2">
      <c r="A290" s="420"/>
      <c r="B290" s="420"/>
      <c r="C290" s="420"/>
      <c r="D290" s="420"/>
      <c r="E290" s="420"/>
      <c r="F290" s="420"/>
      <c r="G290" s="420"/>
      <c r="H290" s="420"/>
      <c r="I290" s="420"/>
      <c r="J290" s="420"/>
      <c r="K290" s="420"/>
      <c r="L290" s="420"/>
      <c r="M290" s="420"/>
      <c r="N290" s="420"/>
      <c r="O290" s="426" t="s">
        <v>43</v>
      </c>
      <c r="P290" s="427"/>
      <c r="Q290" s="427"/>
      <c r="R290" s="427"/>
      <c r="S290" s="427"/>
      <c r="T290" s="39" t="s">
        <v>0</v>
      </c>
      <c r="U290" s="102">
        <f t="shared" ref="U290:AB290" si="86">IFERROR(SUM(U288:U288),0)</f>
        <v>0</v>
      </c>
      <c r="V290" s="102">
        <f t="shared" si="86"/>
        <v>0</v>
      </c>
      <c r="W290" s="102">
        <f t="shared" si="86"/>
        <v>0</v>
      </c>
      <c r="X290" s="102">
        <f t="shared" si="86"/>
        <v>0</v>
      </c>
      <c r="Y290" s="102">
        <f t="shared" si="86"/>
        <v>0</v>
      </c>
      <c r="Z290" s="102">
        <f t="shared" si="86"/>
        <v>0</v>
      </c>
      <c r="AA290" s="102">
        <f t="shared" si="86"/>
        <v>0</v>
      </c>
      <c r="AB290" s="102">
        <f t="shared" si="86"/>
        <v>0</v>
      </c>
      <c r="AC290" s="50" t="s">
        <v>57</v>
      </c>
      <c r="AD290" s="3"/>
      <c r="AE290" s="72"/>
      <c r="AF290" s="3"/>
      <c r="AG290" s="3"/>
      <c r="AH290" s="3"/>
      <c r="AI290" s="3"/>
      <c r="AJ290" s="3"/>
      <c r="AK290" s="3"/>
      <c r="AL290" s="62"/>
      <c r="AM290" s="62"/>
      <c r="AN290" s="62"/>
      <c r="AO290" s="3"/>
      <c r="AP290" s="3"/>
      <c r="AQ290" s="2"/>
      <c r="AR290" s="2"/>
      <c r="AS290" s="2"/>
      <c r="AT290" s="2"/>
      <c r="AU290" s="20"/>
      <c r="AV290" s="20"/>
      <c r="AW290" s="21"/>
    </row>
    <row r="291" spans="1:82" ht="15" hidden="1" x14ac:dyDescent="0.25">
      <c r="A291" s="428" t="s">
        <v>129</v>
      </c>
      <c r="B291" s="429"/>
      <c r="C291" s="429"/>
      <c r="D291" s="429"/>
      <c r="E291" s="429"/>
      <c r="F291" s="429"/>
      <c r="G291" s="429"/>
      <c r="H291" s="429"/>
      <c r="I291" s="429"/>
      <c r="J291" s="429"/>
      <c r="K291" s="429"/>
      <c r="L291" s="429"/>
      <c r="M291" s="429"/>
      <c r="N291" s="429"/>
      <c r="O291" s="429"/>
      <c r="P291" s="429"/>
      <c r="Q291" s="429"/>
      <c r="R291" s="429"/>
      <c r="S291" s="429"/>
      <c r="T291" s="429"/>
      <c r="U291" s="429"/>
      <c r="V291" s="429"/>
      <c r="W291" s="429"/>
      <c r="X291" s="430"/>
      <c r="Y291" s="430"/>
      <c r="Z291" s="430"/>
      <c r="AA291" s="431"/>
      <c r="AB291" s="431"/>
      <c r="AC291" s="431"/>
      <c r="AD291" s="431"/>
      <c r="AE291" s="432"/>
      <c r="AF291" s="433"/>
      <c r="AG291" s="2"/>
      <c r="AH291" s="2"/>
      <c r="AI291" s="2"/>
      <c r="AJ291" s="2"/>
      <c r="AK291" s="61"/>
      <c r="AL291" s="61"/>
      <c r="AM291" s="61"/>
      <c r="AN291" s="2"/>
      <c r="AO291" s="2"/>
      <c r="AP291" s="2"/>
      <c r="AQ291" s="2"/>
      <c r="AR291" s="2"/>
    </row>
    <row r="292" spans="1:82" hidden="1" x14ac:dyDescent="0.2">
      <c r="A292" s="79" t="s">
        <v>419</v>
      </c>
      <c r="B292" s="80" t="s">
        <v>420</v>
      </c>
      <c r="C292" s="80">
        <v>4301031324</v>
      </c>
      <c r="D292" s="80">
        <v>4607091389739</v>
      </c>
      <c r="E292" s="81">
        <v>0.7</v>
      </c>
      <c r="F292" s="82">
        <v>6</v>
      </c>
      <c r="G292" s="81">
        <v>4.2</v>
      </c>
      <c r="H292" s="81">
        <v>4.4400000000000004</v>
      </c>
      <c r="I292" s="83">
        <v>132</v>
      </c>
      <c r="J292" s="83" t="s">
        <v>100</v>
      </c>
      <c r="K292" s="84" t="s">
        <v>132</v>
      </c>
      <c r="L292" s="84"/>
      <c r="M292" s="423">
        <v>50</v>
      </c>
      <c r="N292" s="423"/>
      <c r="O292" s="481" t="str">
        <f>HYPERLINK("https://abi.ru/products/Охлажденные/Баварушка/Балыкбургская/Копченые колбасы/P004327/","Копченые колбасы «Балыкбургская с копченым балыком» вес айцел ТМ «Баварушка»")</f>
        <v>Копченые колбасы «Балыкбургская с копченым балыком» вес айцел ТМ «Баварушка»</v>
      </c>
      <c r="P292" s="425"/>
      <c r="Q292" s="425"/>
      <c r="R292" s="425"/>
      <c r="S292" s="425"/>
      <c r="T292" s="85" t="s">
        <v>0</v>
      </c>
      <c r="U292" s="65">
        <v>0</v>
      </c>
      <c r="V292" s="66">
        <f>IFERROR(IF(U292="",0,CEILING((U292/$G292),1)*$G292),"")</f>
        <v>0</v>
      </c>
      <c r="W292" s="65">
        <v>0</v>
      </c>
      <c r="X292" s="66">
        <f>IFERROR(IF(W292="",0,CEILING((W292/$G292),1)*$G292),"")</f>
        <v>0</v>
      </c>
      <c r="Y292" s="65">
        <v>0</v>
      </c>
      <c r="Z292" s="66">
        <f>IFERROR(IF(Y292="",0,CEILING((Y292/$G292),1)*$G292),"")</f>
        <v>0</v>
      </c>
      <c r="AA292" s="65">
        <v>0</v>
      </c>
      <c r="AB292" s="66">
        <f>IFERROR(IF(AA292="",0,CEILING((AA292/$G292),1)*$G292),"")</f>
        <v>0</v>
      </c>
      <c r="AC292" s="67" t="str">
        <f>IF(IFERROR(ROUNDUP(V292/G292,0)*0.00902,0)+IFERROR(ROUNDUP(X292/G292,0)*0.00902,0)+IFERROR(ROUNDUP(Z292/G292,0)*0.00902,0)+IFERROR(ROUNDUP(AB292/G292,0)*0.00902,0)=0,"",IFERROR(ROUNDUP(V292/G292,0)*0.00902,0)+IFERROR(ROUNDUP(X292/G292,0)*0.00902,0)+IFERROR(ROUNDUP(Z292/G292,0)*0.00902,0)+IFERROR(ROUNDUP(AB292/G292,0)*0.00902,0))</f>
        <v/>
      </c>
      <c r="AD292" s="79" t="s">
        <v>57</v>
      </c>
      <c r="AE292" s="79" t="s">
        <v>57</v>
      </c>
      <c r="AF292" s="319" t="s">
        <v>421</v>
      </c>
      <c r="AG292" s="2"/>
      <c r="AH292" s="2"/>
      <c r="AI292" s="2"/>
      <c r="AJ292" s="2"/>
      <c r="AK292" s="2"/>
      <c r="AL292" s="61"/>
      <c r="AM292" s="61"/>
      <c r="AN292" s="61"/>
      <c r="AO292" s="2"/>
      <c r="AP292" s="2"/>
      <c r="AQ292" s="2"/>
      <c r="AR292" s="2"/>
      <c r="AS292" s="2"/>
      <c r="AT292" s="2"/>
      <c r="AU292" s="20"/>
      <c r="AV292" s="20"/>
      <c r="AW292" s="21"/>
      <c r="BB292" s="318" t="s">
        <v>65</v>
      </c>
      <c r="BO292" s="77">
        <f>IFERROR(U292*H292/G292,0)</f>
        <v>0</v>
      </c>
      <c r="BP292" s="77">
        <f>IFERROR(V292*H292/G292,0)</f>
        <v>0</v>
      </c>
      <c r="BQ292" s="77">
        <f>IFERROR(1/I292*(U292/G292),0)</f>
        <v>0</v>
      </c>
      <c r="BR292" s="77">
        <f>IFERROR(1/I292*(V292/G292),0)</f>
        <v>0</v>
      </c>
      <c r="BS292" s="77">
        <f>IFERROR(W292*H292/G292,0)</f>
        <v>0</v>
      </c>
      <c r="BT292" s="77">
        <f>IFERROR(X292*H292/G292,0)</f>
        <v>0</v>
      </c>
      <c r="BU292" s="77">
        <f>IFERROR(1/I292*(W292/G292),0)</f>
        <v>0</v>
      </c>
      <c r="BV292" s="77">
        <f>IFERROR(1/I292*(X292/G292),0)</f>
        <v>0</v>
      </c>
      <c r="BW292" s="77">
        <f>IFERROR(Y292*H292/G292,0)</f>
        <v>0</v>
      </c>
      <c r="BX292" s="77">
        <f>IFERROR(Z292*H292/G292,0)</f>
        <v>0</v>
      </c>
      <c r="BY292" s="77">
        <f>IFERROR(1/I292*(Y292/G292),0)</f>
        <v>0</v>
      </c>
      <c r="BZ292" s="77">
        <f>IFERROR(1/I292*(Z292/G292),0)</f>
        <v>0</v>
      </c>
      <c r="CA292" s="77">
        <f>IFERROR(AA292*H292/G292,0)</f>
        <v>0</v>
      </c>
      <c r="CB292" s="77">
        <f>IFERROR(AB292*H292/G292,0)</f>
        <v>0</v>
      </c>
      <c r="CC292" s="77">
        <f>IFERROR(1/I292*(AA292/G292),0)</f>
        <v>0</v>
      </c>
      <c r="CD292" s="77">
        <f>IFERROR(1/I292*(AB292/G292),0)</f>
        <v>0</v>
      </c>
    </row>
    <row r="293" spans="1:82" hidden="1" x14ac:dyDescent="0.2">
      <c r="A293" s="79" t="s">
        <v>422</v>
      </c>
      <c r="B293" s="80" t="s">
        <v>423</v>
      </c>
      <c r="C293" s="80">
        <v>4301031373</v>
      </c>
      <c r="D293" s="80">
        <v>4680115880771</v>
      </c>
      <c r="E293" s="81">
        <v>0.28000000000000003</v>
      </c>
      <c r="F293" s="82">
        <v>6</v>
      </c>
      <c r="G293" s="81">
        <v>1.68</v>
      </c>
      <c r="H293" s="81">
        <v>1.81</v>
      </c>
      <c r="I293" s="83">
        <v>234</v>
      </c>
      <c r="J293" s="83" t="s">
        <v>133</v>
      </c>
      <c r="K293" s="84" t="s">
        <v>132</v>
      </c>
      <c r="L293" s="84"/>
      <c r="M293" s="423">
        <v>50</v>
      </c>
      <c r="N293" s="423"/>
      <c r="O293" s="482" t="s">
        <v>424</v>
      </c>
      <c r="P293" s="425"/>
      <c r="Q293" s="425"/>
      <c r="R293" s="425"/>
      <c r="S293" s="425"/>
      <c r="T293" s="85" t="s">
        <v>0</v>
      </c>
      <c r="U293" s="65">
        <v>0</v>
      </c>
      <c r="V293" s="66">
        <f>IFERROR(IF(U293="",0,CEILING((U293/$G293),1)*$G293),"")</f>
        <v>0</v>
      </c>
      <c r="W293" s="65">
        <v>0</v>
      </c>
      <c r="X293" s="66">
        <f>IFERROR(IF(W293="",0,CEILING((W293/$G293),1)*$G293),"")</f>
        <v>0</v>
      </c>
      <c r="Y293" s="65">
        <v>0</v>
      </c>
      <c r="Z293" s="66">
        <f>IFERROR(IF(Y293="",0,CEILING((Y293/$G293),1)*$G293),"")</f>
        <v>0</v>
      </c>
      <c r="AA293" s="65">
        <v>0</v>
      </c>
      <c r="AB293" s="66">
        <f>IFERROR(IF(AA293="",0,CEILING((AA293/$G293),1)*$G293),"")</f>
        <v>0</v>
      </c>
      <c r="AC293" s="67" t="str">
        <f>IF(IFERROR(ROUNDUP(V293/G293,0)*0.00502,0)+IFERROR(ROUNDUP(X293/G293,0)*0.00502,0)+IFERROR(ROUNDUP(Z293/G293,0)*0.00502,0)+IFERROR(ROUNDUP(AB293/G293,0)*0.00502,0)=0,"",IFERROR(ROUNDUP(V293/G293,0)*0.00502,0)+IFERROR(ROUNDUP(X293/G293,0)*0.00502,0)+IFERROR(ROUNDUP(Z293/G293,0)*0.00502,0)+IFERROR(ROUNDUP(AB293/G293,0)*0.00502,0))</f>
        <v/>
      </c>
      <c r="AD293" s="79" t="s">
        <v>57</v>
      </c>
      <c r="AE293" s="79" t="s">
        <v>57</v>
      </c>
      <c r="AF293" s="321" t="s">
        <v>425</v>
      </c>
      <c r="AG293" s="2"/>
      <c r="AH293" s="2"/>
      <c r="AI293" s="2"/>
      <c r="AJ293" s="2"/>
      <c r="AK293" s="2"/>
      <c r="AL293" s="61"/>
      <c r="AM293" s="61"/>
      <c r="AN293" s="61"/>
      <c r="AO293" s="2"/>
      <c r="AP293" s="2"/>
      <c r="AQ293" s="2"/>
      <c r="AR293" s="2"/>
      <c r="AS293" s="2"/>
      <c r="AT293" s="2"/>
      <c r="AU293" s="20"/>
      <c r="AV293" s="20"/>
      <c r="AW293" s="21"/>
      <c r="BB293" s="320" t="s">
        <v>65</v>
      </c>
      <c r="BO293" s="77">
        <f>IFERROR(U293*H293/G293,0)</f>
        <v>0</v>
      </c>
      <c r="BP293" s="77">
        <f>IFERROR(V293*H293/G293,0)</f>
        <v>0</v>
      </c>
      <c r="BQ293" s="77">
        <f>IFERROR(1/I293*(U293/G293),0)</f>
        <v>0</v>
      </c>
      <c r="BR293" s="77">
        <f>IFERROR(1/I293*(V293/G293),0)</f>
        <v>0</v>
      </c>
      <c r="BS293" s="77">
        <f>IFERROR(W293*H293/G293,0)</f>
        <v>0</v>
      </c>
      <c r="BT293" s="77">
        <f>IFERROR(X293*H293/G293,0)</f>
        <v>0</v>
      </c>
      <c r="BU293" s="77">
        <f>IFERROR(1/I293*(W293/G293),0)</f>
        <v>0</v>
      </c>
      <c r="BV293" s="77">
        <f>IFERROR(1/I293*(X293/G293),0)</f>
        <v>0</v>
      </c>
      <c r="BW293" s="77">
        <f>IFERROR(Y293*H293/G293,0)</f>
        <v>0</v>
      </c>
      <c r="BX293" s="77">
        <f>IFERROR(Z293*H293/G293,0)</f>
        <v>0</v>
      </c>
      <c r="BY293" s="77">
        <f>IFERROR(1/I293*(Y293/G293),0)</f>
        <v>0</v>
      </c>
      <c r="BZ293" s="77">
        <f>IFERROR(1/I293*(Z293/G293),0)</f>
        <v>0</v>
      </c>
      <c r="CA293" s="77">
        <f>IFERROR(AA293*H293/G293,0)</f>
        <v>0</v>
      </c>
      <c r="CB293" s="77">
        <f>IFERROR(AB293*H293/G293,0)</f>
        <v>0</v>
      </c>
      <c r="CC293" s="77">
        <f>IFERROR(1/I293*(AA293/G293),0)</f>
        <v>0</v>
      </c>
      <c r="CD293" s="77">
        <f>IFERROR(1/I293*(AB293/G293),0)</f>
        <v>0</v>
      </c>
    </row>
    <row r="294" spans="1:82" hidden="1" x14ac:dyDescent="0.2">
      <c r="A294" s="420"/>
      <c r="B294" s="420"/>
      <c r="C294" s="420"/>
      <c r="D294" s="420"/>
      <c r="E294" s="420"/>
      <c r="F294" s="420"/>
      <c r="G294" s="420"/>
      <c r="H294" s="420"/>
      <c r="I294" s="420"/>
      <c r="J294" s="420"/>
      <c r="K294" s="420"/>
      <c r="L294" s="420"/>
      <c r="M294" s="420"/>
      <c r="N294" s="420"/>
      <c r="O294" s="426" t="s">
        <v>43</v>
      </c>
      <c r="P294" s="427"/>
      <c r="Q294" s="427"/>
      <c r="R294" s="427"/>
      <c r="S294" s="427"/>
      <c r="T294" s="39" t="s">
        <v>42</v>
      </c>
      <c r="U294" s="50">
        <f>IFERROR(U292/G292,0)+IFERROR(U293/G293,0)</f>
        <v>0</v>
      </c>
      <c r="V294" s="50">
        <f>IFERROR(V292/G292,0)+IFERROR(V293/G293,0)</f>
        <v>0</v>
      </c>
      <c r="W294" s="50">
        <f>IFERROR(W292/G292,0)+IFERROR(W293/G293,0)</f>
        <v>0</v>
      </c>
      <c r="X294" s="50">
        <f>IFERROR(X292/G292,0)+IFERROR(X293/G293,0)</f>
        <v>0</v>
      </c>
      <c r="Y294" s="50">
        <f>IFERROR(Y292/G292,0)+IFERROR(Y293/G293,0)</f>
        <v>0</v>
      </c>
      <c r="Z294" s="50">
        <f>IFERROR(Z292/G292,0)+IFERROR(Z293/G293,0)</f>
        <v>0</v>
      </c>
      <c r="AA294" s="50">
        <f>IFERROR(AA292/G292,0)+IFERROR(AA293/G293,0)</f>
        <v>0</v>
      </c>
      <c r="AB294" s="50">
        <f>IFERROR(AB292/G292,0)+IFERROR(AB293/G293,0)</f>
        <v>0</v>
      </c>
      <c r="AC294" s="50">
        <f>IFERROR(IF(AC292="",0,AC292),0)+IFERROR(IF(AC293="",0,AC293),0)</f>
        <v>0</v>
      </c>
      <c r="AD294" s="3"/>
      <c r="AE294" s="72"/>
      <c r="AF294" s="3"/>
      <c r="AG294" s="3"/>
      <c r="AH294" s="3"/>
      <c r="AI294" s="3"/>
      <c r="AJ294" s="3"/>
      <c r="AK294" s="3"/>
      <c r="AL294" s="62"/>
      <c r="AM294" s="62"/>
      <c r="AN294" s="62"/>
      <c r="AO294" s="3"/>
      <c r="AP294" s="3"/>
      <c r="AQ294" s="2"/>
      <c r="AR294" s="2"/>
      <c r="AS294" s="2"/>
      <c r="AT294" s="2"/>
      <c r="AU294" s="20"/>
      <c r="AV294" s="20"/>
      <c r="AW294" s="21"/>
    </row>
    <row r="295" spans="1:82" hidden="1" x14ac:dyDescent="0.2">
      <c r="A295" s="420"/>
      <c r="B295" s="420"/>
      <c r="C295" s="420"/>
      <c r="D295" s="420"/>
      <c r="E295" s="420"/>
      <c r="F295" s="420"/>
      <c r="G295" s="420"/>
      <c r="H295" s="420"/>
      <c r="I295" s="420"/>
      <c r="J295" s="420"/>
      <c r="K295" s="420"/>
      <c r="L295" s="420"/>
      <c r="M295" s="420"/>
      <c r="N295" s="420"/>
      <c r="O295" s="426" t="s">
        <v>43</v>
      </c>
      <c r="P295" s="427"/>
      <c r="Q295" s="427"/>
      <c r="R295" s="427"/>
      <c r="S295" s="427"/>
      <c r="T295" s="39" t="s">
        <v>0</v>
      </c>
      <c r="U295" s="102">
        <f t="shared" ref="U295:AB295" si="87">IFERROR(SUM(U292:U293),0)</f>
        <v>0</v>
      </c>
      <c r="V295" s="102">
        <f t="shared" si="87"/>
        <v>0</v>
      </c>
      <c r="W295" s="102">
        <f t="shared" si="87"/>
        <v>0</v>
      </c>
      <c r="X295" s="102">
        <f t="shared" si="87"/>
        <v>0</v>
      </c>
      <c r="Y295" s="102">
        <f t="shared" si="87"/>
        <v>0</v>
      </c>
      <c r="Z295" s="102">
        <f t="shared" si="87"/>
        <v>0</v>
      </c>
      <c r="AA295" s="102">
        <f t="shared" si="87"/>
        <v>0</v>
      </c>
      <c r="AB295" s="102">
        <f t="shared" si="87"/>
        <v>0</v>
      </c>
      <c r="AC295" s="50" t="s">
        <v>57</v>
      </c>
      <c r="AD295" s="3"/>
      <c r="AE295" s="72"/>
      <c r="AF295" s="3"/>
      <c r="AG295" s="3"/>
      <c r="AH295" s="3"/>
      <c r="AI295" s="3"/>
      <c r="AJ295" s="3"/>
      <c r="AK295" s="3"/>
      <c r="AL295" s="62"/>
      <c r="AM295" s="62"/>
      <c r="AN295" s="62"/>
      <c r="AO295" s="3"/>
      <c r="AP295" s="3"/>
      <c r="AQ295" s="2"/>
      <c r="AR295" s="2"/>
      <c r="AS295" s="2"/>
      <c r="AT295" s="2"/>
      <c r="AU295" s="20"/>
      <c r="AV295" s="20"/>
      <c r="AW295" s="21"/>
    </row>
    <row r="296" spans="1:82" ht="15" hidden="1" x14ac:dyDescent="0.25">
      <c r="A296" s="443" t="s">
        <v>426</v>
      </c>
      <c r="B296" s="430"/>
      <c r="C296" s="430"/>
      <c r="D296" s="430"/>
      <c r="E296" s="430"/>
      <c r="F296" s="430"/>
      <c r="G296" s="430"/>
      <c r="H296" s="430"/>
      <c r="I296" s="430"/>
      <c r="J296" s="430"/>
      <c r="K296" s="430"/>
      <c r="L296" s="430"/>
      <c r="M296" s="430"/>
      <c r="N296" s="430"/>
      <c r="O296" s="430"/>
      <c r="P296" s="430"/>
      <c r="Q296" s="430"/>
      <c r="R296" s="430"/>
      <c r="S296" s="430"/>
      <c r="T296" s="430"/>
      <c r="U296" s="430"/>
      <c r="V296" s="430"/>
      <c r="W296" s="430"/>
      <c r="X296" s="430"/>
      <c r="Y296" s="430"/>
      <c r="Z296" s="430"/>
      <c r="AA296" s="431"/>
      <c r="AB296" s="431"/>
      <c r="AC296" s="431"/>
      <c r="AD296" s="431"/>
      <c r="AE296" s="432"/>
      <c r="AF296" s="444"/>
      <c r="AG296" s="2"/>
      <c r="AH296" s="2"/>
      <c r="AI296" s="2"/>
      <c r="AJ296" s="2"/>
      <c r="AK296" s="61"/>
      <c r="AL296" s="61"/>
      <c r="AM296" s="61"/>
      <c r="AN296" s="2"/>
      <c r="AO296" s="2"/>
      <c r="AP296" s="2"/>
      <c r="AQ296" s="2"/>
      <c r="AR296" s="2"/>
    </row>
    <row r="297" spans="1:82" ht="15" hidden="1" x14ac:dyDescent="0.25">
      <c r="A297" s="428" t="s">
        <v>129</v>
      </c>
      <c r="B297" s="429"/>
      <c r="C297" s="429"/>
      <c r="D297" s="429"/>
      <c r="E297" s="429"/>
      <c r="F297" s="429"/>
      <c r="G297" s="429"/>
      <c r="H297" s="429"/>
      <c r="I297" s="429"/>
      <c r="J297" s="429"/>
      <c r="K297" s="429"/>
      <c r="L297" s="429"/>
      <c r="M297" s="429"/>
      <c r="N297" s="429"/>
      <c r="O297" s="429"/>
      <c r="P297" s="429"/>
      <c r="Q297" s="429"/>
      <c r="R297" s="429"/>
      <c r="S297" s="429"/>
      <c r="T297" s="429"/>
      <c r="U297" s="429"/>
      <c r="V297" s="429"/>
      <c r="W297" s="429"/>
      <c r="X297" s="430"/>
      <c r="Y297" s="430"/>
      <c r="Z297" s="430"/>
      <c r="AA297" s="431"/>
      <c r="AB297" s="431"/>
      <c r="AC297" s="431"/>
      <c r="AD297" s="431"/>
      <c r="AE297" s="432"/>
      <c r="AF297" s="433"/>
      <c r="AG297" s="2"/>
      <c r="AH297" s="2"/>
      <c r="AI297" s="2"/>
      <c r="AJ297" s="2"/>
      <c r="AK297" s="61"/>
      <c r="AL297" s="61"/>
      <c r="AM297" s="61"/>
      <c r="AN297" s="2"/>
      <c r="AO297" s="2"/>
      <c r="AP297" s="2"/>
      <c r="AQ297" s="2"/>
      <c r="AR297" s="2"/>
    </row>
    <row r="298" spans="1:82" hidden="1" x14ac:dyDescent="0.2">
      <c r="A298" s="79" t="s">
        <v>427</v>
      </c>
      <c r="B298" s="80" t="s">
        <v>428</v>
      </c>
      <c r="C298" s="80">
        <v>4301031294</v>
      </c>
      <c r="D298" s="80">
        <v>4680115885189</v>
      </c>
      <c r="E298" s="81">
        <v>0.2</v>
      </c>
      <c r="F298" s="82">
        <v>6</v>
      </c>
      <c r="G298" s="81">
        <v>1.2</v>
      </c>
      <c r="H298" s="81">
        <v>1.3720000000000001</v>
      </c>
      <c r="I298" s="83">
        <v>234</v>
      </c>
      <c r="J298" s="83" t="s">
        <v>133</v>
      </c>
      <c r="K298" s="84" t="s">
        <v>132</v>
      </c>
      <c r="L298" s="84"/>
      <c r="M298" s="423">
        <v>40</v>
      </c>
      <c r="N298" s="423"/>
      <c r="O298" s="47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P298" s="425"/>
      <c r="Q298" s="425"/>
      <c r="R298" s="425"/>
      <c r="S298" s="425"/>
      <c r="T298" s="85" t="s">
        <v>0</v>
      </c>
      <c r="U298" s="65">
        <v>0</v>
      </c>
      <c r="V298" s="66">
        <f>IFERROR(IF(U298="",0,CEILING((U298/$G298),1)*$G298),"")</f>
        <v>0</v>
      </c>
      <c r="W298" s="65">
        <v>0</v>
      </c>
      <c r="X298" s="66">
        <f>IFERROR(IF(W298="",0,CEILING((W298/$G298),1)*$G298),"")</f>
        <v>0</v>
      </c>
      <c r="Y298" s="65">
        <v>0</v>
      </c>
      <c r="Z298" s="66">
        <f>IFERROR(IF(Y298="",0,CEILING((Y298/$G298),1)*$G298),"")</f>
        <v>0</v>
      </c>
      <c r="AA298" s="65">
        <v>0</v>
      </c>
      <c r="AB298" s="66">
        <f>IFERROR(IF(AA298="",0,CEILING((AA298/$G298),1)*$G298),"")</f>
        <v>0</v>
      </c>
      <c r="AC298" s="67" t="str">
        <f>IF(IFERROR(ROUNDUP(V298/G298,0)*0.00502,0)+IFERROR(ROUNDUP(X298/G298,0)*0.00502,0)+IFERROR(ROUNDUP(Z298/G298,0)*0.00502,0)+IFERROR(ROUNDUP(AB298/G298,0)*0.00502,0)=0,"",IFERROR(ROUNDUP(V298/G298,0)*0.00502,0)+IFERROR(ROUNDUP(X298/G298,0)*0.00502,0)+IFERROR(ROUNDUP(Z298/G298,0)*0.00502,0)+IFERROR(ROUNDUP(AB298/G298,0)*0.00502,0))</f>
        <v/>
      </c>
      <c r="AD298" s="79" t="s">
        <v>57</v>
      </c>
      <c r="AE298" s="79" t="s">
        <v>57</v>
      </c>
      <c r="AF298" s="323" t="s">
        <v>429</v>
      </c>
      <c r="AG298" s="2"/>
      <c r="AH298" s="2"/>
      <c r="AI298" s="2"/>
      <c r="AJ298" s="2"/>
      <c r="AK298" s="2"/>
      <c r="AL298" s="61"/>
      <c r="AM298" s="61"/>
      <c r="AN298" s="61"/>
      <c r="AO298" s="2"/>
      <c r="AP298" s="2"/>
      <c r="AQ298" s="2"/>
      <c r="AR298" s="2"/>
      <c r="AS298" s="2"/>
      <c r="AT298" s="2"/>
      <c r="AU298" s="20"/>
      <c r="AV298" s="20"/>
      <c r="AW298" s="21"/>
      <c r="BB298" s="322" t="s">
        <v>65</v>
      </c>
      <c r="BO298" s="77">
        <f>IFERROR(U298*H298/G298,0)</f>
        <v>0</v>
      </c>
      <c r="BP298" s="77">
        <f>IFERROR(V298*H298/G298,0)</f>
        <v>0</v>
      </c>
      <c r="BQ298" s="77">
        <f>IFERROR(1/I298*(U298/G298),0)</f>
        <v>0</v>
      </c>
      <c r="BR298" s="77">
        <f>IFERROR(1/I298*(V298/G298),0)</f>
        <v>0</v>
      </c>
      <c r="BS298" s="77">
        <f>IFERROR(W298*H298/G298,0)</f>
        <v>0</v>
      </c>
      <c r="BT298" s="77">
        <f>IFERROR(X298*H298/G298,0)</f>
        <v>0</v>
      </c>
      <c r="BU298" s="77">
        <f>IFERROR(1/I298*(W298/G298),0)</f>
        <v>0</v>
      </c>
      <c r="BV298" s="77">
        <f>IFERROR(1/I298*(X298/G298),0)</f>
        <v>0</v>
      </c>
      <c r="BW298" s="77">
        <f>IFERROR(Y298*H298/G298,0)</f>
        <v>0</v>
      </c>
      <c r="BX298" s="77">
        <f>IFERROR(Z298*H298/G298,0)</f>
        <v>0</v>
      </c>
      <c r="BY298" s="77">
        <f>IFERROR(1/I298*(Y298/G298),0)</f>
        <v>0</v>
      </c>
      <c r="BZ298" s="77">
        <f>IFERROR(1/I298*(Z298/G298),0)</f>
        <v>0</v>
      </c>
      <c r="CA298" s="77">
        <f>IFERROR(AA298*H298/G298,0)</f>
        <v>0</v>
      </c>
      <c r="CB298" s="77">
        <f>IFERROR(AB298*H298/G298,0)</f>
        <v>0</v>
      </c>
      <c r="CC298" s="77">
        <f>IFERROR(1/I298*(AA298/G298),0)</f>
        <v>0</v>
      </c>
      <c r="CD298" s="77">
        <f>IFERROR(1/I298*(AB298/G298),0)</f>
        <v>0</v>
      </c>
    </row>
    <row r="299" spans="1:82" hidden="1" x14ac:dyDescent="0.2">
      <c r="A299" s="79" t="s">
        <v>430</v>
      </c>
      <c r="B299" s="80" t="s">
        <v>431</v>
      </c>
      <c r="C299" s="80">
        <v>4301031347</v>
      </c>
      <c r="D299" s="80">
        <v>4680115885110</v>
      </c>
      <c r="E299" s="81">
        <v>0.2</v>
      </c>
      <c r="F299" s="82">
        <v>6</v>
      </c>
      <c r="G299" s="81">
        <v>1.2</v>
      </c>
      <c r="H299" s="81">
        <v>2.1</v>
      </c>
      <c r="I299" s="83">
        <v>182</v>
      </c>
      <c r="J299" s="83" t="s">
        <v>86</v>
      </c>
      <c r="K299" s="84" t="s">
        <v>132</v>
      </c>
      <c r="L299" s="84"/>
      <c r="M299" s="423">
        <v>50</v>
      </c>
      <c r="N299" s="423"/>
      <c r="O299" s="479" t="s">
        <v>432</v>
      </c>
      <c r="P299" s="425"/>
      <c r="Q299" s="425"/>
      <c r="R299" s="425"/>
      <c r="S299" s="425"/>
      <c r="T299" s="85" t="s">
        <v>0</v>
      </c>
      <c r="U299" s="65">
        <v>0</v>
      </c>
      <c r="V299" s="66">
        <f>IFERROR(IF(U299="",0,CEILING((U299/$G299),1)*$G299),"")</f>
        <v>0</v>
      </c>
      <c r="W299" s="65">
        <v>0</v>
      </c>
      <c r="X299" s="66">
        <f>IFERROR(IF(W299="",0,CEILING((W299/$G299),1)*$G299),"")</f>
        <v>0</v>
      </c>
      <c r="Y299" s="65">
        <v>0</v>
      </c>
      <c r="Z299" s="66">
        <f>IFERROR(IF(Y299="",0,CEILING((Y299/$G299),1)*$G299),"")</f>
        <v>0</v>
      </c>
      <c r="AA299" s="65">
        <v>0</v>
      </c>
      <c r="AB299" s="66">
        <f>IFERROR(IF(AA299="",0,CEILING((AA299/$G299),1)*$G299),"")</f>
        <v>0</v>
      </c>
      <c r="AC299" s="67" t="str">
        <f>IF(IFERROR(ROUNDUP(V299/G299,0)*0.00651,0)+IFERROR(ROUNDUP(X299/G299,0)*0.00651,0)+IFERROR(ROUNDUP(Z299/G299,0)*0.00651,0)+IFERROR(ROUNDUP(AB299/G299,0)*0.00651,0)=0,"",IFERROR(ROUNDUP(V299/G299,0)*0.00651,0)+IFERROR(ROUNDUP(X299/G299,0)*0.00651,0)+IFERROR(ROUNDUP(Z299/G299,0)*0.00651,0)+IFERROR(ROUNDUP(AB299/G299,0)*0.00651,0))</f>
        <v/>
      </c>
      <c r="AD299" s="79" t="s">
        <v>57</v>
      </c>
      <c r="AE299" s="79" t="s">
        <v>57</v>
      </c>
      <c r="AF299" s="325" t="s">
        <v>433</v>
      </c>
      <c r="AG299" s="2"/>
      <c r="AH299" s="2"/>
      <c r="AI299" s="2"/>
      <c r="AJ299" s="2"/>
      <c r="AK299" s="2"/>
      <c r="AL299" s="61"/>
      <c r="AM299" s="61"/>
      <c r="AN299" s="61"/>
      <c r="AO299" s="2"/>
      <c r="AP299" s="2"/>
      <c r="AQ299" s="2"/>
      <c r="AR299" s="2"/>
      <c r="AS299" s="2"/>
      <c r="AT299" s="2"/>
      <c r="AU299" s="20"/>
      <c r="AV299" s="20"/>
      <c r="AW299" s="21"/>
      <c r="BB299" s="324" t="s">
        <v>65</v>
      </c>
      <c r="BO299" s="77">
        <f>IFERROR(U299*H299/G299,0)</f>
        <v>0</v>
      </c>
      <c r="BP299" s="77">
        <f>IFERROR(V299*H299/G299,0)</f>
        <v>0</v>
      </c>
      <c r="BQ299" s="77">
        <f>IFERROR(1/I299*(U299/G299),0)</f>
        <v>0</v>
      </c>
      <c r="BR299" s="77">
        <f>IFERROR(1/I299*(V299/G299),0)</f>
        <v>0</v>
      </c>
      <c r="BS299" s="77">
        <f>IFERROR(W299*H299/G299,0)</f>
        <v>0</v>
      </c>
      <c r="BT299" s="77">
        <f>IFERROR(X299*H299/G299,0)</f>
        <v>0</v>
      </c>
      <c r="BU299" s="77">
        <f>IFERROR(1/I299*(W299/G299),0)</f>
        <v>0</v>
      </c>
      <c r="BV299" s="77">
        <f>IFERROR(1/I299*(X299/G299),0)</f>
        <v>0</v>
      </c>
      <c r="BW299" s="77">
        <f>IFERROR(Y299*H299/G299,0)</f>
        <v>0</v>
      </c>
      <c r="BX299" s="77">
        <f>IFERROR(Z299*H299/G299,0)</f>
        <v>0</v>
      </c>
      <c r="BY299" s="77">
        <f>IFERROR(1/I299*(Y299/G299),0)</f>
        <v>0</v>
      </c>
      <c r="BZ299" s="77">
        <f>IFERROR(1/I299*(Z299/G299),0)</f>
        <v>0</v>
      </c>
      <c r="CA299" s="77">
        <f>IFERROR(AA299*H299/G299,0)</f>
        <v>0</v>
      </c>
      <c r="CB299" s="77">
        <f>IFERROR(AB299*H299/G299,0)</f>
        <v>0</v>
      </c>
      <c r="CC299" s="77">
        <f>IFERROR(1/I299*(AA299/G299),0)</f>
        <v>0</v>
      </c>
      <c r="CD299" s="77">
        <f>IFERROR(1/I299*(AB299/G299),0)</f>
        <v>0</v>
      </c>
    </row>
    <row r="300" spans="1:82" hidden="1" x14ac:dyDescent="0.2">
      <c r="A300" s="79" t="s">
        <v>434</v>
      </c>
      <c r="B300" s="80" t="s">
        <v>435</v>
      </c>
      <c r="C300" s="80">
        <v>4301031416</v>
      </c>
      <c r="D300" s="80">
        <v>4680115885219</v>
      </c>
      <c r="E300" s="81">
        <v>0.28000000000000003</v>
      </c>
      <c r="F300" s="82">
        <v>6</v>
      </c>
      <c r="G300" s="81">
        <v>1.68</v>
      </c>
      <c r="H300" s="81">
        <v>2.5</v>
      </c>
      <c r="I300" s="83">
        <v>234</v>
      </c>
      <c r="J300" s="83" t="s">
        <v>133</v>
      </c>
      <c r="K300" s="84" t="s">
        <v>132</v>
      </c>
      <c r="L300" s="84"/>
      <c r="M300" s="423">
        <v>50</v>
      </c>
      <c r="N300" s="423"/>
      <c r="O300" s="480" t="s">
        <v>436</v>
      </c>
      <c r="P300" s="425"/>
      <c r="Q300" s="425"/>
      <c r="R300" s="425"/>
      <c r="S300" s="425"/>
      <c r="T300" s="85" t="s">
        <v>0</v>
      </c>
      <c r="U300" s="65">
        <v>0</v>
      </c>
      <c r="V300" s="66">
        <f>IFERROR(IF(U300="",0,CEILING((U300/$G300),1)*$G300),"")</f>
        <v>0</v>
      </c>
      <c r="W300" s="65">
        <v>0</v>
      </c>
      <c r="X300" s="66">
        <f>IFERROR(IF(W300="",0,CEILING((W300/$G300),1)*$G300),"")</f>
        <v>0</v>
      </c>
      <c r="Y300" s="65">
        <v>0</v>
      </c>
      <c r="Z300" s="66">
        <f>IFERROR(IF(Y300="",0,CEILING((Y300/$G300),1)*$G300),"")</f>
        <v>0</v>
      </c>
      <c r="AA300" s="65">
        <v>0</v>
      </c>
      <c r="AB300" s="66">
        <f>IFERROR(IF(AA300="",0,CEILING((AA300/$G300),1)*$G300),"")</f>
        <v>0</v>
      </c>
      <c r="AC300" s="67" t="str">
        <f>IF(IFERROR(ROUNDUP(V300/G300,0)*0.00502,0)+IFERROR(ROUNDUP(X300/G300,0)*0.00502,0)+IFERROR(ROUNDUP(Z300/G300,0)*0.00502,0)+IFERROR(ROUNDUP(AB300/G300,0)*0.00502,0)=0,"",IFERROR(ROUNDUP(V300/G300,0)*0.00502,0)+IFERROR(ROUNDUP(X300/G300,0)*0.00502,0)+IFERROR(ROUNDUP(Z300/G300,0)*0.00502,0)+IFERROR(ROUNDUP(AB300/G300,0)*0.00502,0))</f>
        <v/>
      </c>
      <c r="AD300" s="79" t="s">
        <v>57</v>
      </c>
      <c r="AE300" s="79" t="s">
        <v>57</v>
      </c>
      <c r="AF300" s="327" t="s">
        <v>437</v>
      </c>
      <c r="AG300" s="2"/>
      <c r="AH300" s="2"/>
      <c r="AI300" s="2"/>
      <c r="AJ300" s="2"/>
      <c r="AK300" s="2"/>
      <c r="AL300" s="61"/>
      <c r="AM300" s="61"/>
      <c r="AN300" s="61"/>
      <c r="AO300" s="2"/>
      <c r="AP300" s="2"/>
      <c r="AQ300" s="2"/>
      <c r="AR300" s="2"/>
      <c r="AS300" s="2"/>
      <c r="AT300" s="2"/>
      <c r="AU300" s="20"/>
      <c r="AV300" s="20"/>
      <c r="AW300" s="21"/>
      <c r="BB300" s="326" t="s">
        <v>65</v>
      </c>
      <c r="BO300" s="77">
        <f>IFERROR(U300*H300/G300,0)</f>
        <v>0</v>
      </c>
      <c r="BP300" s="77">
        <f>IFERROR(V300*H300/G300,0)</f>
        <v>0</v>
      </c>
      <c r="BQ300" s="77">
        <f>IFERROR(1/I300*(U300/G300),0)</f>
        <v>0</v>
      </c>
      <c r="BR300" s="77">
        <f>IFERROR(1/I300*(V300/G300),0)</f>
        <v>0</v>
      </c>
      <c r="BS300" s="77">
        <f>IFERROR(W300*H300/G300,0)</f>
        <v>0</v>
      </c>
      <c r="BT300" s="77">
        <f>IFERROR(X300*H300/G300,0)</f>
        <v>0</v>
      </c>
      <c r="BU300" s="77">
        <f>IFERROR(1/I300*(W300/G300),0)</f>
        <v>0</v>
      </c>
      <c r="BV300" s="77">
        <f>IFERROR(1/I300*(X300/G300),0)</f>
        <v>0</v>
      </c>
      <c r="BW300" s="77">
        <f>IFERROR(Y300*H300/G300,0)</f>
        <v>0</v>
      </c>
      <c r="BX300" s="77">
        <f>IFERROR(Z300*H300/G300,0)</f>
        <v>0</v>
      </c>
      <c r="BY300" s="77">
        <f>IFERROR(1/I300*(Y300/G300),0)</f>
        <v>0</v>
      </c>
      <c r="BZ300" s="77">
        <f>IFERROR(1/I300*(Z300/G300),0)</f>
        <v>0</v>
      </c>
      <c r="CA300" s="77">
        <f>IFERROR(AA300*H300/G300,0)</f>
        <v>0</v>
      </c>
      <c r="CB300" s="77">
        <f>IFERROR(AB300*H300/G300,0)</f>
        <v>0</v>
      </c>
      <c r="CC300" s="77">
        <f>IFERROR(1/I300*(AA300/G300),0)</f>
        <v>0</v>
      </c>
      <c r="CD300" s="77">
        <f>IFERROR(1/I300*(AB300/G300),0)</f>
        <v>0</v>
      </c>
    </row>
    <row r="301" spans="1:82" hidden="1" x14ac:dyDescent="0.2">
      <c r="A301" s="420"/>
      <c r="B301" s="420"/>
      <c r="C301" s="420"/>
      <c r="D301" s="420"/>
      <c r="E301" s="420"/>
      <c r="F301" s="420"/>
      <c r="G301" s="420"/>
      <c r="H301" s="420"/>
      <c r="I301" s="420"/>
      <c r="J301" s="420"/>
      <c r="K301" s="420"/>
      <c r="L301" s="420"/>
      <c r="M301" s="420"/>
      <c r="N301" s="420"/>
      <c r="O301" s="426" t="s">
        <v>43</v>
      </c>
      <c r="P301" s="427"/>
      <c r="Q301" s="427"/>
      <c r="R301" s="427"/>
      <c r="S301" s="427"/>
      <c r="T301" s="39" t="s">
        <v>42</v>
      </c>
      <c r="U301" s="50">
        <f>IFERROR(U298/G298,0)+IFERROR(U299/G299,0)+IFERROR(U300/G300,0)</f>
        <v>0</v>
      </c>
      <c r="V301" s="50">
        <f>IFERROR(V298/G298,0)+IFERROR(V299/G299,0)+IFERROR(V300/G300,0)</f>
        <v>0</v>
      </c>
      <c r="W301" s="50">
        <f>IFERROR(W298/G298,0)+IFERROR(W299/G299,0)+IFERROR(W300/G300,0)</f>
        <v>0</v>
      </c>
      <c r="X301" s="50">
        <f>IFERROR(X298/G298,0)+IFERROR(X299/G299,0)+IFERROR(X300/G300,0)</f>
        <v>0</v>
      </c>
      <c r="Y301" s="50">
        <f>IFERROR(Y298/G298,0)+IFERROR(Y299/G299,0)+IFERROR(Y300/G300,0)</f>
        <v>0</v>
      </c>
      <c r="Z301" s="50">
        <f>IFERROR(Z298/G298,0)+IFERROR(Z299/G299,0)+IFERROR(Z300/G300,0)</f>
        <v>0</v>
      </c>
      <c r="AA301" s="50">
        <f>IFERROR(AA298/G298,0)+IFERROR(AA299/G299,0)+IFERROR(AA300/G300,0)</f>
        <v>0</v>
      </c>
      <c r="AB301" s="50">
        <f>IFERROR(AB298/G298,0)+IFERROR(AB299/G299,0)+IFERROR(AB300/G300,0)</f>
        <v>0</v>
      </c>
      <c r="AC301" s="50">
        <f>IFERROR(IF(AC298="",0,AC298),0)+IFERROR(IF(AC299="",0,AC299),0)+IFERROR(IF(AC300="",0,AC300),0)</f>
        <v>0</v>
      </c>
      <c r="AD301" s="3"/>
      <c r="AE301" s="72"/>
      <c r="AF301" s="3"/>
      <c r="AG301" s="3"/>
      <c r="AH301" s="3"/>
      <c r="AI301" s="3"/>
      <c r="AJ301" s="3"/>
      <c r="AK301" s="3"/>
      <c r="AL301" s="62"/>
      <c r="AM301" s="62"/>
      <c r="AN301" s="62"/>
      <c r="AO301" s="3"/>
      <c r="AP301" s="3"/>
      <c r="AQ301" s="2"/>
      <c r="AR301" s="2"/>
      <c r="AS301" s="2"/>
      <c r="AT301" s="2"/>
      <c r="AU301" s="20"/>
      <c r="AV301" s="20"/>
      <c r="AW301" s="21"/>
    </row>
    <row r="302" spans="1:82" hidden="1" x14ac:dyDescent="0.2">
      <c r="A302" s="420"/>
      <c r="B302" s="420"/>
      <c r="C302" s="420"/>
      <c r="D302" s="420"/>
      <c r="E302" s="420"/>
      <c r="F302" s="420"/>
      <c r="G302" s="420"/>
      <c r="H302" s="420"/>
      <c r="I302" s="420"/>
      <c r="J302" s="420"/>
      <c r="K302" s="420"/>
      <c r="L302" s="420"/>
      <c r="M302" s="420"/>
      <c r="N302" s="420"/>
      <c r="O302" s="426" t="s">
        <v>43</v>
      </c>
      <c r="P302" s="427"/>
      <c r="Q302" s="427"/>
      <c r="R302" s="427"/>
      <c r="S302" s="427"/>
      <c r="T302" s="39" t="s">
        <v>0</v>
      </c>
      <c r="U302" s="102">
        <f t="shared" ref="U302:AB302" si="88">IFERROR(SUM(U298:U300),0)</f>
        <v>0</v>
      </c>
      <c r="V302" s="102">
        <f t="shared" si="88"/>
        <v>0</v>
      </c>
      <c r="W302" s="102">
        <f t="shared" si="88"/>
        <v>0</v>
      </c>
      <c r="X302" s="102">
        <f t="shared" si="88"/>
        <v>0</v>
      </c>
      <c r="Y302" s="102">
        <f t="shared" si="88"/>
        <v>0</v>
      </c>
      <c r="Z302" s="102">
        <f t="shared" si="88"/>
        <v>0</v>
      </c>
      <c r="AA302" s="102">
        <f t="shared" si="88"/>
        <v>0</v>
      </c>
      <c r="AB302" s="102">
        <f t="shared" si="88"/>
        <v>0</v>
      </c>
      <c r="AC302" s="50" t="s">
        <v>57</v>
      </c>
      <c r="AD302" s="3"/>
      <c r="AE302" s="72"/>
      <c r="AF302" s="3"/>
      <c r="AG302" s="3"/>
      <c r="AH302" s="3"/>
      <c r="AI302" s="3"/>
      <c r="AJ302" s="3"/>
      <c r="AK302" s="3"/>
      <c r="AL302" s="62"/>
      <c r="AM302" s="62"/>
      <c r="AN302" s="62"/>
      <c r="AO302" s="3"/>
      <c r="AP302" s="3"/>
      <c r="AQ302" s="2"/>
      <c r="AR302" s="2"/>
      <c r="AS302" s="2"/>
      <c r="AT302" s="2"/>
      <c r="AU302" s="20"/>
      <c r="AV302" s="20"/>
      <c r="AW302" s="21"/>
    </row>
    <row r="303" spans="1:82" ht="15" hidden="1" x14ac:dyDescent="0.25">
      <c r="A303" s="443" t="s">
        <v>438</v>
      </c>
      <c r="B303" s="430"/>
      <c r="C303" s="430"/>
      <c r="D303" s="430"/>
      <c r="E303" s="430"/>
      <c r="F303" s="430"/>
      <c r="G303" s="430"/>
      <c r="H303" s="430"/>
      <c r="I303" s="430"/>
      <c r="J303" s="430"/>
      <c r="K303" s="430"/>
      <c r="L303" s="430"/>
      <c r="M303" s="430"/>
      <c r="N303" s="430"/>
      <c r="O303" s="430"/>
      <c r="P303" s="430"/>
      <c r="Q303" s="430"/>
      <c r="R303" s="430"/>
      <c r="S303" s="430"/>
      <c r="T303" s="430"/>
      <c r="U303" s="430"/>
      <c r="V303" s="430"/>
      <c r="W303" s="430"/>
      <c r="X303" s="430"/>
      <c r="Y303" s="430"/>
      <c r="Z303" s="430"/>
      <c r="AA303" s="431"/>
      <c r="AB303" s="431"/>
      <c r="AC303" s="431"/>
      <c r="AD303" s="431"/>
      <c r="AE303" s="432"/>
      <c r="AF303" s="444"/>
      <c r="AG303" s="2"/>
      <c r="AH303" s="2"/>
      <c r="AI303" s="2"/>
      <c r="AJ303" s="2"/>
      <c r="AK303" s="61"/>
      <c r="AL303" s="61"/>
      <c r="AM303" s="61"/>
      <c r="AN303" s="2"/>
      <c r="AO303" s="2"/>
      <c r="AP303" s="2"/>
      <c r="AQ303" s="2"/>
      <c r="AR303" s="2"/>
    </row>
    <row r="304" spans="1:82" ht="15" hidden="1" x14ac:dyDescent="0.25">
      <c r="A304" s="428" t="s">
        <v>129</v>
      </c>
      <c r="B304" s="429"/>
      <c r="C304" s="429"/>
      <c r="D304" s="429"/>
      <c r="E304" s="429"/>
      <c r="F304" s="429"/>
      <c r="G304" s="429"/>
      <c r="H304" s="429"/>
      <c r="I304" s="429"/>
      <c r="J304" s="429"/>
      <c r="K304" s="429"/>
      <c r="L304" s="429"/>
      <c r="M304" s="429"/>
      <c r="N304" s="429"/>
      <c r="O304" s="429"/>
      <c r="P304" s="429"/>
      <c r="Q304" s="429"/>
      <c r="R304" s="429"/>
      <c r="S304" s="429"/>
      <c r="T304" s="429"/>
      <c r="U304" s="429"/>
      <c r="V304" s="429"/>
      <c r="W304" s="429"/>
      <c r="X304" s="430"/>
      <c r="Y304" s="430"/>
      <c r="Z304" s="430"/>
      <c r="AA304" s="431"/>
      <c r="AB304" s="431"/>
      <c r="AC304" s="431"/>
      <c r="AD304" s="431"/>
      <c r="AE304" s="432"/>
      <c r="AF304" s="433"/>
      <c r="AG304" s="2"/>
      <c r="AH304" s="2"/>
      <c r="AI304" s="2"/>
      <c r="AJ304" s="2"/>
      <c r="AK304" s="61"/>
      <c r="AL304" s="61"/>
      <c r="AM304" s="61"/>
      <c r="AN304" s="2"/>
      <c r="AO304" s="2"/>
      <c r="AP304" s="2"/>
      <c r="AQ304" s="2"/>
      <c r="AR304" s="2"/>
    </row>
    <row r="305" spans="1:82" hidden="1" x14ac:dyDescent="0.2">
      <c r="A305" s="79" t="s">
        <v>439</v>
      </c>
      <c r="B305" s="80" t="s">
        <v>440</v>
      </c>
      <c r="C305" s="80">
        <v>4301031261</v>
      </c>
      <c r="D305" s="80">
        <v>4680115885103</v>
      </c>
      <c r="E305" s="81">
        <v>0.27</v>
      </c>
      <c r="F305" s="82">
        <v>6</v>
      </c>
      <c r="G305" s="81">
        <v>1.62</v>
      </c>
      <c r="H305" s="81">
        <v>1.8</v>
      </c>
      <c r="I305" s="83">
        <v>182</v>
      </c>
      <c r="J305" s="83" t="s">
        <v>86</v>
      </c>
      <c r="K305" s="84" t="s">
        <v>132</v>
      </c>
      <c r="L305" s="84"/>
      <c r="M305" s="423">
        <v>40</v>
      </c>
      <c r="N305" s="423"/>
      <c r="O305" s="47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P305" s="425"/>
      <c r="Q305" s="425"/>
      <c r="R305" s="425"/>
      <c r="S305" s="425"/>
      <c r="T305" s="85" t="s">
        <v>0</v>
      </c>
      <c r="U305" s="65">
        <v>0</v>
      </c>
      <c r="V305" s="66">
        <f>IFERROR(IF(U305="",0,CEILING((U305/$G305),1)*$G305),"")</f>
        <v>0</v>
      </c>
      <c r="W305" s="65">
        <v>0</v>
      </c>
      <c r="X305" s="66">
        <f>IFERROR(IF(W305="",0,CEILING((W305/$G305),1)*$G305),"")</f>
        <v>0</v>
      </c>
      <c r="Y305" s="65">
        <v>0</v>
      </c>
      <c r="Z305" s="66">
        <f>IFERROR(IF(Y305="",0,CEILING((Y305/$G305),1)*$G305),"")</f>
        <v>0</v>
      </c>
      <c r="AA305" s="65">
        <v>0</v>
      </c>
      <c r="AB305" s="66">
        <f>IFERROR(IF(AA305="",0,CEILING((AA305/$G305),1)*$G305),"")</f>
        <v>0</v>
      </c>
      <c r="AC305" s="67" t="str">
        <f>IF(IFERROR(ROUNDUP(V305/G305,0)*0.00651,0)+IFERROR(ROUNDUP(X305/G305,0)*0.00651,0)+IFERROR(ROUNDUP(Z305/G305,0)*0.00651,0)+IFERROR(ROUNDUP(AB305/G305,0)*0.00651,0)=0,"",IFERROR(ROUNDUP(V305/G305,0)*0.00651,0)+IFERROR(ROUNDUP(X305/G305,0)*0.00651,0)+IFERROR(ROUNDUP(Z305/G305,0)*0.00651,0)+IFERROR(ROUNDUP(AB305/G305,0)*0.00651,0))</f>
        <v/>
      </c>
      <c r="AD305" s="79" t="s">
        <v>57</v>
      </c>
      <c r="AE305" s="79" t="s">
        <v>57</v>
      </c>
      <c r="AF305" s="329" t="s">
        <v>441</v>
      </c>
      <c r="AG305" s="2"/>
      <c r="AH305" s="2"/>
      <c r="AI305" s="2"/>
      <c r="AJ305" s="2"/>
      <c r="AK305" s="2"/>
      <c r="AL305" s="61"/>
      <c r="AM305" s="61"/>
      <c r="AN305" s="61"/>
      <c r="AO305" s="2"/>
      <c r="AP305" s="2"/>
      <c r="AQ305" s="2"/>
      <c r="AR305" s="2"/>
      <c r="AS305" s="2"/>
      <c r="AT305" s="2"/>
      <c r="AU305" s="20"/>
      <c r="AV305" s="20"/>
      <c r="AW305" s="21"/>
      <c r="BB305" s="328" t="s">
        <v>65</v>
      </c>
      <c r="BO305" s="77">
        <f>IFERROR(U305*H305/G305,0)</f>
        <v>0</v>
      </c>
      <c r="BP305" s="77">
        <f>IFERROR(V305*H305/G305,0)</f>
        <v>0</v>
      </c>
      <c r="BQ305" s="77">
        <f>IFERROR(1/I305*(U305/G305),0)</f>
        <v>0</v>
      </c>
      <c r="BR305" s="77">
        <f>IFERROR(1/I305*(V305/G305),0)</f>
        <v>0</v>
      </c>
      <c r="BS305" s="77">
        <f>IFERROR(W305*H305/G305,0)</f>
        <v>0</v>
      </c>
      <c r="BT305" s="77">
        <f>IFERROR(X305*H305/G305,0)</f>
        <v>0</v>
      </c>
      <c r="BU305" s="77">
        <f>IFERROR(1/I305*(W305/G305),0)</f>
        <v>0</v>
      </c>
      <c r="BV305" s="77">
        <f>IFERROR(1/I305*(X305/G305),0)</f>
        <v>0</v>
      </c>
      <c r="BW305" s="77">
        <f>IFERROR(Y305*H305/G305,0)</f>
        <v>0</v>
      </c>
      <c r="BX305" s="77">
        <f>IFERROR(Z305*H305/G305,0)</f>
        <v>0</v>
      </c>
      <c r="BY305" s="77">
        <f>IFERROR(1/I305*(Y305/G305),0)</f>
        <v>0</v>
      </c>
      <c r="BZ305" s="77">
        <f>IFERROR(1/I305*(Z305/G305),0)</f>
        <v>0</v>
      </c>
      <c r="CA305" s="77">
        <f>IFERROR(AA305*H305/G305,0)</f>
        <v>0</v>
      </c>
      <c r="CB305" s="77">
        <f>IFERROR(AB305*H305/G305,0)</f>
        <v>0</v>
      </c>
      <c r="CC305" s="77">
        <f>IFERROR(1/I305*(AA305/G305),0)</f>
        <v>0</v>
      </c>
      <c r="CD305" s="77">
        <f>IFERROR(1/I305*(AB305/G305),0)</f>
        <v>0</v>
      </c>
    </row>
    <row r="306" spans="1:82" hidden="1" x14ac:dyDescent="0.2">
      <c r="A306" s="79" t="s">
        <v>439</v>
      </c>
      <c r="B306" s="80" t="s">
        <v>442</v>
      </c>
      <c r="C306" s="80">
        <v>4301031400</v>
      </c>
      <c r="D306" s="80">
        <v>4680115886353</v>
      </c>
      <c r="E306" s="81">
        <v>0.27</v>
      </c>
      <c r="F306" s="82">
        <v>6</v>
      </c>
      <c r="G306" s="81">
        <v>1.62</v>
      </c>
      <c r="H306" s="81">
        <v>1.8</v>
      </c>
      <c r="I306" s="83">
        <v>182</v>
      </c>
      <c r="J306" s="83" t="s">
        <v>86</v>
      </c>
      <c r="K306" s="84" t="s">
        <v>132</v>
      </c>
      <c r="L306" s="84"/>
      <c r="M306" s="423">
        <v>40</v>
      </c>
      <c r="N306" s="423"/>
      <c r="O306" s="477" t="s">
        <v>443</v>
      </c>
      <c r="P306" s="425"/>
      <c r="Q306" s="425"/>
      <c r="R306" s="425"/>
      <c r="S306" s="425"/>
      <c r="T306" s="85" t="s">
        <v>0</v>
      </c>
      <c r="U306" s="65">
        <v>0</v>
      </c>
      <c r="V306" s="66">
        <f>IFERROR(IF(U306="",0,CEILING((U306/$G306),1)*$G306),"")</f>
        <v>0</v>
      </c>
      <c r="W306" s="65">
        <v>0</v>
      </c>
      <c r="X306" s="66">
        <f>IFERROR(IF(W306="",0,CEILING((W306/$G306),1)*$G306),"")</f>
        <v>0</v>
      </c>
      <c r="Y306" s="65">
        <v>0</v>
      </c>
      <c r="Z306" s="66">
        <f>IFERROR(IF(Y306="",0,CEILING((Y306/$G306),1)*$G306),"")</f>
        <v>0</v>
      </c>
      <c r="AA306" s="65">
        <v>0</v>
      </c>
      <c r="AB306" s="66">
        <f>IFERROR(IF(AA306="",0,CEILING((AA306/$G306),1)*$G306),"")</f>
        <v>0</v>
      </c>
      <c r="AC306" s="67" t="str">
        <f>IF(IFERROR(ROUNDUP(V306/G306,0)*0.00651,0)+IFERROR(ROUNDUP(X306/G306,0)*0.00651,0)+IFERROR(ROUNDUP(Z306/G306,0)*0.00651,0)+IFERROR(ROUNDUP(AB306/G306,0)*0.00651,0)=0,"",IFERROR(ROUNDUP(V306/G306,0)*0.00651,0)+IFERROR(ROUNDUP(X306/G306,0)*0.00651,0)+IFERROR(ROUNDUP(Z306/G306,0)*0.00651,0)+IFERROR(ROUNDUP(AB306/G306,0)*0.00651,0))</f>
        <v/>
      </c>
      <c r="AD306" s="79" t="s">
        <v>57</v>
      </c>
      <c r="AE306" s="79" t="s">
        <v>57</v>
      </c>
      <c r="AF306" s="331" t="s">
        <v>441</v>
      </c>
      <c r="AG306" s="2"/>
      <c r="AH306" s="2"/>
      <c r="AI306" s="2"/>
      <c r="AJ306" s="2"/>
      <c r="AK306" s="2"/>
      <c r="AL306" s="61"/>
      <c r="AM306" s="61"/>
      <c r="AN306" s="61"/>
      <c r="AO306" s="2"/>
      <c r="AP306" s="2"/>
      <c r="AQ306" s="2"/>
      <c r="AR306" s="2"/>
      <c r="AS306" s="2"/>
      <c r="AT306" s="2"/>
      <c r="AU306" s="20"/>
      <c r="AV306" s="20"/>
      <c r="AW306" s="21"/>
      <c r="BB306" s="330" t="s">
        <v>65</v>
      </c>
      <c r="BO306" s="77">
        <f>IFERROR(U306*H306/G306,0)</f>
        <v>0</v>
      </c>
      <c r="BP306" s="77">
        <f>IFERROR(V306*H306/G306,0)</f>
        <v>0</v>
      </c>
      <c r="BQ306" s="77">
        <f>IFERROR(1/I306*(U306/G306),0)</f>
        <v>0</v>
      </c>
      <c r="BR306" s="77">
        <f>IFERROR(1/I306*(V306/G306),0)</f>
        <v>0</v>
      </c>
      <c r="BS306" s="77">
        <f>IFERROR(W306*H306/G306,0)</f>
        <v>0</v>
      </c>
      <c r="BT306" s="77">
        <f>IFERROR(X306*H306/G306,0)</f>
        <v>0</v>
      </c>
      <c r="BU306" s="77">
        <f>IFERROR(1/I306*(W306/G306),0)</f>
        <v>0</v>
      </c>
      <c r="BV306" s="77">
        <f>IFERROR(1/I306*(X306/G306),0)</f>
        <v>0</v>
      </c>
      <c r="BW306" s="77">
        <f>IFERROR(Y306*H306/G306,0)</f>
        <v>0</v>
      </c>
      <c r="BX306" s="77">
        <f>IFERROR(Z306*H306/G306,0)</f>
        <v>0</v>
      </c>
      <c r="BY306" s="77">
        <f>IFERROR(1/I306*(Y306/G306),0)</f>
        <v>0</v>
      </c>
      <c r="BZ306" s="77">
        <f>IFERROR(1/I306*(Z306/G306),0)</f>
        <v>0</v>
      </c>
      <c r="CA306" s="77">
        <f>IFERROR(AA306*H306/G306,0)</f>
        <v>0</v>
      </c>
      <c r="CB306" s="77">
        <f>IFERROR(AB306*H306/G306,0)</f>
        <v>0</v>
      </c>
      <c r="CC306" s="77">
        <f>IFERROR(1/I306*(AA306/G306),0)</f>
        <v>0</v>
      </c>
      <c r="CD306" s="77">
        <f>IFERROR(1/I306*(AB306/G306),0)</f>
        <v>0</v>
      </c>
    </row>
    <row r="307" spans="1:82" hidden="1" x14ac:dyDescent="0.2">
      <c r="A307" s="420"/>
      <c r="B307" s="420"/>
      <c r="C307" s="420"/>
      <c r="D307" s="420"/>
      <c r="E307" s="420"/>
      <c r="F307" s="420"/>
      <c r="G307" s="420"/>
      <c r="H307" s="420"/>
      <c r="I307" s="420"/>
      <c r="J307" s="420"/>
      <c r="K307" s="420"/>
      <c r="L307" s="420"/>
      <c r="M307" s="420"/>
      <c r="N307" s="420"/>
      <c r="O307" s="426" t="s">
        <v>43</v>
      </c>
      <c r="P307" s="427"/>
      <c r="Q307" s="427"/>
      <c r="R307" s="427"/>
      <c r="S307" s="427"/>
      <c r="T307" s="39" t="s">
        <v>42</v>
      </c>
      <c r="U307" s="50">
        <f>IFERROR(U305/G305,0)+IFERROR(U306/G306,0)</f>
        <v>0</v>
      </c>
      <c r="V307" s="50">
        <f>IFERROR(V305/G305,0)+IFERROR(V306/G306,0)</f>
        <v>0</v>
      </c>
      <c r="W307" s="50">
        <f>IFERROR(W305/G305,0)+IFERROR(W306/G306,0)</f>
        <v>0</v>
      </c>
      <c r="X307" s="50">
        <f>IFERROR(X305/G305,0)+IFERROR(X306/G306,0)</f>
        <v>0</v>
      </c>
      <c r="Y307" s="50">
        <f>IFERROR(Y305/G305,0)+IFERROR(Y306/G306,0)</f>
        <v>0</v>
      </c>
      <c r="Z307" s="50">
        <f>IFERROR(Z305/G305,0)+IFERROR(Z306/G306,0)</f>
        <v>0</v>
      </c>
      <c r="AA307" s="50">
        <f>IFERROR(AA305/G305,0)+IFERROR(AA306/G306,0)</f>
        <v>0</v>
      </c>
      <c r="AB307" s="50">
        <f>IFERROR(AB305/G305,0)+IFERROR(AB306/G306,0)</f>
        <v>0</v>
      </c>
      <c r="AC307" s="50">
        <f>IFERROR(IF(AC305="",0,AC305),0)+IFERROR(IF(AC306="",0,AC306),0)</f>
        <v>0</v>
      </c>
      <c r="AD307" s="3"/>
      <c r="AE307" s="72"/>
      <c r="AF307" s="3"/>
      <c r="AG307" s="3"/>
      <c r="AH307" s="3"/>
      <c r="AI307" s="3"/>
      <c r="AJ307" s="3"/>
      <c r="AK307" s="3"/>
      <c r="AL307" s="62"/>
      <c r="AM307" s="62"/>
      <c r="AN307" s="62"/>
      <c r="AO307" s="3"/>
      <c r="AP307" s="3"/>
      <c r="AQ307" s="2"/>
      <c r="AR307" s="2"/>
      <c r="AS307" s="2"/>
      <c r="AT307" s="2"/>
      <c r="AU307" s="20"/>
      <c r="AV307" s="20"/>
      <c r="AW307" s="21"/>
    </row>
    <row r="308" spans="1:82" hidden="1" x14ac:dyDescent="0.2">
      <c r="A308" s="420"/>
      <c r="B308" s="420"/>
      <c r="C308" s="420"/>
      <c r="D308" s="420"/>
      <c r="E308" s="420"/>
      <c r="F308" s="420"/>
      <c r="G308" s="420"/>
      <c r="H308" s="420"/>
      <c r="I308" s="420"/>
      <c r="J308" s="420"/>
      <c r="K308" s="420"/>
      <c r="L308" s="420"/>
      <c r="M308" s="420"/>
      <c r="N308" s="420"/>
      <c r="O308" s="426" t="s">
        <v>43</v>
      </c>
      <c r="P308" s="427"/>
      <c r="Q308" s="427"/>
      <c r="R308" s="427"/>
      <c r="S308" s="427"/>
      <c r="T308" s="39" t="s">
        <v>0</v>
      </c>
      <c r="U308" s="102">
        <f t="shared" ref="U308:AB308" si="89">IFERROR(SUM(U305:U306),0)</f>
        <v>0</v>
      </c>
      <c r="V308" s="102">
        <f t="shared" si="89"/>
        <v>0</v>
      </c>
      <c r="W308" s="102">
        <f t="shared" si="89"/>
        <v>0</v>
      </c>
      <c r="X308" s="102">
        <f t="shared" si="89"/>
        <v>0</v>
      </c>
      <c r="Y308" s="102">
        <f t="shared" si="89"/>
        <v>0</v>
      </c>
      <c r="Z308" s="102">
        <f t="shared" si="89"/>
        <v>0</v>
      </c>
      <c r="AA308" s="102">
        <f t="shared" si="89"/>
        <v>0</v>
      </c>
      <c r="AB308" s="102">
        <f t="shared" si="89"/>
        <v>0</v>
      </c>
      <c r="AC308" s="50" t="s">
        <v>57</v>
      </c>
      <c r="AD308" s="3"/>
      <c r="AE308" s="72"/>
      <c r="AF308" s="3"/>
      <c r="AG308" s="3"/>
      <c r="AH308" s="3"/>
      <c r="AI308" s="3"/>
      <c r="AJ308" s="3"/>
      <c r="AK308" s="3"/>
      <c r="AL308" s="62"/>
      <c r="AM308" s="62"/>
      <c r="AN308" s="62"/>
      <c r="AO308" s="3"/>
      <c r="AP308" s="3"/>
      <c r="AQ308" s="2"/>
      <c r="AR308" s="2"/>
      <c r="AS308" s="2"/>
      <c r="AT308" s="2"/>
      <c r="AU308" s="20"/>
      <c r="AV308" s="20"/>
      <c r="AW308" s="21"/>
    </row>
    <row r="309" spans="1:82" ht="15" hidden="1" x14ac:dyDescent="0.25">
      <c r="A309" s="428" t="s">
        <v>146</v>
      </c>
      <c r="B309" s="429"/>
      <c r="C309" s="429"/>
      <c r="D309" s="429"/>
      <c r="E309" s="429"/>
      <c r="F309" s="429"/>
      <c r="G309" s="429"/>
      <c r="H309" s="429"/>
      <c r="I309" s="429"/>
      <c r="J309" s="429"/>
      <c r="K309" s="429"/>
      <c r="L309" s="429"/>
      <c r="M309" s="429"/>
      <c r="N309" s="429"/>
      <c r="O309" s="429"/>
      <c r="P309" s="429"/>
      <c r="Q309" s="429"/>
      <c r="R309" s="429"/>
      <c r="S309" s="429"/>
      <c r="T309" s="429"/>
      <c r="U309" s="429"/>
      <c r="V309" s="429"/>
      <c r="W309" s="429"/>
      <c r="X309" s="430"/>
      <c r="Y309" s="430"/>
      <c r="Z309" s="430"/>
      <c r="AA309" s="431"/>
      <c r="AB309" s="431"/>
      <c r="AC309" s="431"/>
      <c r="AD309" s="431"/>
      <c r="AE309" s="432"/>
      <c r="AF309" s="433"/>
      <c r="AG309" s="2"/>
      <c r="AH309" s="2"/>
      <c r="AI309" s="2"/>
      <c r="AJ309" s="2"/>
      <c r="AK309" s="61"/>
      <c r="AL309" s="61"/>
      <c r="AM309" s="61"/>
      <c r="AN309" s="2"/>
      <c r="AO309" s="2"/>
      <c r="AP309" s="2"/>
      <c r="AQ309" s="2"/>
      <c r="AR309" s="2"/>
    </row>
    <row r="310" spans="1:82" ht="22.5" hidden="1" x14ac:dyDescent="0.2">
      <c r="A310" s="79" t="s">
        <v>444</v>
      </c>
      <c r="B310" s="80" t="s">
        <v>445</v>
      </c>
      <c r="C310" s="80">
        <v>4301060412</v>
      </c>
      <c r="D310" s="80">
        <v>4680115885509</v>
      </c>
      <c r="E310" s="81">
        <v>0.27</v>
      </c>
      <c r="F310" s="82">
        <v>6</v>
      </c>
      <c r="G310" s="81">
        <v>1.62</v>
      </c>
      <c r="H310" s="81">
        <v>1.8660000000000001</v>
      </c>
      <c r="I310" s="83">
        <v>182</v>
      </c>
      <c r="J310" s="83" t="s">
        <v>86</v>
      </c>
      <c r="K310" s="84" t="s">
        <v>132</v>
      </c>
      <c r="L310" s="84"/>
      <c r="M310" s="423">
        <v>35</v>
      </c>
      <c r="N310" s="423"/>
      <c r="O310" s="475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P310" s="425"/>
      <c r="Q310" s="425"/>
      <c r="R310" s="425"/>
      <c r="S310" s="425"/>
      <c r="T310" s="85" t="s">
        <v>0</v>
      </c>
      <c r="U310" s="65">
        <v>0</v>
      </c>
      <c r="V310" s="66">
        <f>IFERROR(IF(U310="",0,CEILING((U310/$G310),1)*$G310),"")</f>
        <v>0</v>
      </c>
      <c r="W310" s="65">
        <v>0</v>
      </c>
      <c r="X310" s="66">
        <f>IFERROR(IF(W310="",0,CEILING((W310/$G310),1)*$G310),"")</f>
        <v>0</v>
      </c>
      <c r="Y310" s="65">
        <v>0</v>
      </c>
      <c r="Z310" s="66">
        <f>IFERROR(IF(Y310="",0,CEILING((Y310/$G310),1)*$G310),"")</f>
        <v>0</v>
      </c>
      <c r="AA310" s="65">
        <v>0</v>
      </c>
      <c r="AB310" s="66">
        <f>IFERROR(IF(AA310="",0,CEILING((AA310/$G310),1)*$G310),"")</f>
        <v>0</v>
      </c>
      <c r="AC310" s="67" t="str">
        <f>IF(IFERROR(ROUNDUP(V310/G310,0)*0.00651,0)+IFERROR(ROUNDUP(X310/G310,0)*0.00651,0)+IFERROR(ROUNDUP(Z310/G310,0)*0.00651,0)+IFERROR(ROUNDUP(AB310/G310,0)*0.00651,0)=0,"",IFERROR(ROUNDUP(V310/G310,0)*0.00651,0)+IFERROR(ROUNDUP(X310/G310,0)*0.00651,0)+IFERROR(ROUNDUP(Z310/G310,0)*0.00651,0)+IFERROR(ROUNDUP(AB310/G310,0)*0.00651,0))</f>
        <v/>
      </c>
      <c r="AD310" s="79" t="s">
        <v>57</v>
      </c>
      <c r="AE310" s="79" t="s">
        <v>57</v>
      </c>
      <c r="AF310" s="333" t="s">
        <v>446</v>
      </c>
      <c r="AG310" s="2"/>
      <c r="AH310" s="2"/>
      <c r="AI310" s="2"/>
      <c r="AJ310" s="2"/>
      <c r="AK310" s="2"/>
      <c r="AL310" s="61"/>
      <c r="AM310" s="61"/>
      <c r="AN310" s="61"/>
      <c r="AO310" s="2"/>
      <c r="AP310" s="2"/>
      <c r="AQ310" s="2"/>
      <c r="AR310" s="2"/>
      <c r="AS310" s="2"/>
      <c r="AT310" s="2"/>
      <c r="AU310" s="20"/>
      <c r="AV310" s="20"/>
      <c r="AW310" s="21"/>
      <c r="BB310" s="332" t="s">
        <v>65</v>
      </c>
      <c r="BO310" s="77">
        <f>IFERROR(U310*H310/G310,0)</f>
        <v>0</v>
      </c>
      <c r="BP310" s="77">
        <f>IFERROR(V310*H310/G310,0)</f>
        <v>0</v>
      </c>
      <c r="BQ310" s="77">
        <f>IFERROR(1/I310*(U310/G310),0)</f>
        <v>0</v>
      </c>
      <c r="BR310" s="77">
        <f>IFERROR(1/I310*(V310/G310),0)</f>
        <v>0</v>
      </c>
      <c r="BS310" s="77">
        <f>IFERROR(W310*H310/G310,0)</f>
        <v>0</v>
      </c>
      <c r="BT310" s="77">
        <f>IFERROR(X310*H310/G310,0)</f>
        <v>0</v>
      </c>
      <c r="BU310" s="77">
        <f>IFERROR(1/I310*(W310/G310),0)</f>
        <v>0</v>
      </c>
      <c r="BV310" s="77">
        <f>IFERROR(1/I310*(X310/G310),0)</f>
        <v>0</v>
      </c>
      <c r="BW310" s="77">
        <f>IFERROR(Y310*H310/G310,0)</f>
        <v>0</v>
      </c>
      <c r="BX310" s="77">
        <f>IFERROR(Z310*H310/G310,0)</f>
        <v>0</v>
      </c>
      <c r="BY310" s="77">
        <f>IFERROR(1/I310*(Y310/G310),0)</f>
        <v>0</v>
      </c>
      <c r="BZ310" s="77">
        <f>IFERROR(1/I310*(Z310/G310),0)</f>
        <v>0</v>
      </c>
      <c r="CA310" s="77">
        <f>IFERROR(AA310*H310/G310,0)</f>
        <v>0</v>
      </c>
      <c r="CB310" s="77">
        <f>IFERROR(AB310*H310/G310,0)</f>
        <v>0</v>
      </c>
      <c r="CC310" s="77">
        <f>IFERROR(1/I310*(AA310/G310),0)</f>
        <v>0</v>
      </c>
      <c r="CD310" s="77">
        <f>IFERROR(1/I310*(AB310/G310),0)</f>
        <v>0</v>
      </c>
    </row>
    <row r="311" spans="1:82" hidden="1" x14ac:dyDescent="0.2">
      <c r="A311" s="420"/>
      <c r="B311" s="420"/>
      <c r="C311" s="420"/>
      <c r="D311" s="420"/>
      <c r="E311" s="420"/>
      <c r="F311" s="420"/>
      <c r="G311" s="420"/>
      <c r="H311" s="420"/>
      <c r="I311" s="420"/>
      <c r="J311" s="420"/>
      <c r="K311" s="420"/>
      <c r="L311" s="420"/>
      <c r="M311" s="420"/>
      <c r="N311" s="420"/>
      <c r="O311" s="426" t="s">
        <v>43</v>
      </c>
      <c r="P311" s="427"/>
      <c r="Q311" s="427"/>
      <c r="R311" s="427"/>
      <c r="S311" s="427"/>
      <c r="T311" s="39" t="s">
        <v>42</v>
      </c>
      <c r="U311" s="50">
        <f>IFERROR(U310/G310,0)</f>
        <v>0</v>
      </c>
      <c r="V311" s="50">
        <f>IFERROR(V310/G310,0)</f>
        <v>0</v>
      </c>
      <c r="W311" s="50">
        <f>IFERROR(W310/G310,0)</f>
        <v>0</v>
      </c>
      <c r="X311" s="50">
        <f>IFERROR(X310/G310,0)</f>
        <v>0</v>
      </c>
      <c r="Y311" s="50">
        <f>IFERROR(Y310/G310,0)</f>
        <v>0</v>
      </c>
      <c r="Z311" s="50">
        <f>IFERROR(Z310/G310,0)</f>
        <v>0</v>
      </c>
      <c r="AA311" s="50">
        <f>IFERROR(AA310/G310,0)</f>
        <v>0</v>
      </c>
      <c r="AB311" s="50">
        <f>IFERROR(AB310/G310,0)</f>
        <v>0</v>
      </c>
      <c r="AC311" s="50">
        <f>IFERROR(IF(AC310="",0,AC310),0)</f>
        <v>0</v>
      </c>
      <c r="AD311" s="3"/>
      <c r="AE311" s="72"/>
      <c r="AF311" s="3"/>
      <c r="AG311" s="3"/>
      <c r="AH311" s="3"/>
      <c r="AI311" s="3"/>
      <c r="AJ311" s="3"/>
      <c r="AK311" s="3"/>
      <c r="AL311" s="62"/>
      <c r="AM311" s="62"/>
      <c r="AN311" s="62"/>
      <c r="AO311" s="3"/>
      <c r="AP311" s="3"/>
      <c r="AQ311" s="2"/>
      <c r="AR311" s="2"/>
      <c r="AS311" s="2"/>
      <c r="AT311" s="2"/>
      <c r="AU311" s="20"/>
      <c r="AV311" s="20"/>
      <c r="AW311" s="21"/>
    </row>
    <row r="312" spans="1:82" hidden="1" x14ac:dyDescent="0.2">
      <c r="A312" s="420"/>
      <c r="B312" s="420"/>
      <c r="C312" s="420"/>
      <c r="D312" s="420"/>
      <c r="E312" s="420"/>
      <c r="F312" s="420"/>
      <c r="G312" s="420"/>
      <c r="H312" s="420"/>
      <c r="I312" s="420"/>
      <c r="J312" s="420"/>
      <c r="K312" s="420"/>
      <c r="L312" s="420"/>
      <c r="M312" s="420"/>
      <c r="N312" s="420"/>
      <c r="O312" s="426" t="s">
        <v>43</v>
      </c>
      <c r="P312" s="427"/>
      <c r="Q312" s="427"/>
      <c r="R312" s="427"/>
      <c r="S312" s="427"/>
      <c r="T312" s="39" t="s">
        <v>0</v>
      </c>
      <c r="U312" s="102">
        <f t="shared" ref="U312:AB312" si="90">IFERROR(SUM(U310:U310),0)</f>
        <v>0</v>
      </c>
      <c r="V312" s="102">
        <f t="shared" si="90"/>
        <v>0</v>
      </c>
      <c r="W312" s="102">
        <f t="shared" si="90"/>
        <v>0</v>
      </c>
      <c r="X312" s="102">
        <f t="shared" si="90"/>
        <v>0</v>
      </c>
      <c r="Y312" s="102">
        <f t="shared" si="90"/>
        <v>0</v>
      </c>
      <c r="Z312" s="102">
        <f t="shared" si="90"/>
        <v>0</v>
      </c>
      <c r="AA312" s="102">
        <f t="shared" si="90"/>
        <v>0</v>
      </c>
      <c r="AB312" s="102">
        <f t="shared" si="90"/>
        <v>0</v>
      </c>
      <c r="AC312" s="50" t="s">
        <v>57</v>
      </c>
      <c r="AD312" s="3"/>
      <c r="AE312" s="72"/>
      <c r="AF312" s="3"/>
      <c r="AG312" s="3"/>
      <c r="AH312" s="3"/>
      <c r="AI312" s="3"/>
      <c r="AJ312" s="3"/>
      <c r="AK312" s="3"/>
      <c r="AL312" s="62"/>
      <c r="AM312" s="62"/>
      <c r="AN312" s="62"/>
      <c r="AO312" s="3"/>
      <c r="AP312" s="3"/>
      <c r="AQ312" s="2"/>
      <c r="AR312" s="2"/>
      <c r="AS312" s="2"/>
      <c r="AT312" s="2"/>
      <c r="AU312" s="20"/>
      <c r="AV312" s="20"/>
      <c r="AW312" s="21"/>
    </row>
    <row r="313" spans="1:82" ht="27.75" hidden="1" customHeight="1" x14ac:dyDescent="0.2">
      <c r="A313" s="456" t="s">
        <v>447</v>
      </c>
      <c r="B313" s="457"/>
      <c r="C313" s="457"/>
      <c r="D313" s="457"/>
      <c r="E313" s="457"/>
      <c r="F313" s="457"/>
      <c r="G313" s="457"/>
      <c r="H313" s="457"/>
      <c r="I313" s="457"/>
      <c r="J313" s="457"/>
      <c r="K313" s="457"/>
      <c r="L313" s="457"/>
      <c r="M313" s="457"/>
      <c r="N313" s="457"/>
      <c r="O313" s="457"/>
      <c r="P313" s="457"/>
      <c r="Q313" s="457"/>
      <c r="R313" s="457"/>
      <c r="S313" s="457"/>
      <c r="T313" s="457"/>
      <c r="U313" s="457"/>
      <c r="V313" s="457"/>
      <c r="W313" s="458"/>
      <c r="X313" s="458"/>
      <c r="Y313" s="458"/>
      <c r="Z313" s="458"/>
      <c r="AA313" s="431"/>
      <c r="AB313" s="431"/>
      <c r="AC313" s="431"/>
      <c r="AD313" s="431"/>
      <c r="AE313" s="432"/>
      <c r="AF313" s="459"/>
      <c r="AG313" s="2"/>
      <c r="AH313" s="2"/>
      <c r="AI313" s="2"/>
      <c r="AJ313" s="2"/>
      <c r="AK313" s="61"/>
      <c r="AL313" s="61"/>
      <c r="AM313" s="61"/>
      <c r="AN313" s="2"/>
      <c r="AO313" s="2"/>
      <c r="AP313" s="2"/>
      <c r="AQ313" s="2"/>
      <c r="AR313" s="2"/>
    </row>
    <row r="314" spans="1:82" ht="15" hidden="1" x14ac:dyDescent="0.25">
      <c r="A314" s="443" t="s">
        <v>447</v>
      </c>
      <c r="B314" s="430"/>
      <c r="C314" s="430"/>
      <c r="D314" s="430"/>
      <c r="E314" s="430"/>
      <c r="F314" s="430"/>
      <c r="G314" s="430"/>
      <c r="H314" s="430"/>
      <c r="I314" s="430"/>
      <c r="J314" s="430"/>
      <c r="K314" s="430"/>
      <c r="L314" s="430"/>
      <c r="M314" s="430"/>
      <c r="N314" s="430"/>
      <c r="O314" s="430"/>
      <c r="P314" s="430"/>
      <c r="Q314" s="430"/>
      <c r="R314" s="430"/>
      <c r="S314" s="430"/>
      <c r="T314" s="430"/>
      <c r="U314" s="430"/>
      <c r="V314" s="430"/>
      <c r="W314" s="430"/>
      <c r="X314" s="430"/>
      <c r="Y314" s="430"/>
      <c r="Z314" s="430"/>
      <c r="AA314" s="431"/>
      <c r="AB314" s="431"/>
      <c r="AC314" s="431"/>
      <c r="AD314" s="431"/>
      <c r="AE314" s="432"/>
      <c r="AF314" s="444"/>
      <c r="AG314" s="2"/>
      <c r="AH314" s="2"/>
      <c r="AI314" s="2"/>
      <c r="AJ314" s="2"/>
      <c r="AK314" s="61"/>
      <c r="AL314" s="61"/>
      <c r="AM314" s="61"/>
      <c r="AN314" s="2"/>
      <c r="AO314" s="2"/>
      <c r="AP314" s="2"/>
      <c r="AQ314" s="2"/>
      <c r="AR314" s="2"/>
    </row>
    <row r="315" spans="1:82" ht="15" hidden="1" x14ac:dyDescent="0.25">
      <c r="A315" s="428" t="s">
        <v>96</v>
      </c>
      <c r="B315" s="429"/>
      <c r="C315" s="429"/>
      <c r="D315" s="429"/>
      <c r="E315" s="429"/>
      <c r="F315" s="429"/>
      <c r="G315" s="429"/>
      <c r="H315" s="429"/>
      <c r="I315" s="429"/>
      <c r="J315" s="429"/>
      <c r="K315" s="429"/>
      <c r="L315" s="429"/>
      <c r="M315" s="429"/>
      <c r="N315" s="429"/>
      <c r="O315" s="429"/>
      <c r="P315" s="429"/>
      <c r="Q315" s="429"/>
      <c r="R315" s="429"/>
      <c r="S315" s="429"/>
      <c r="T315" s="429"/>
      <c r="U315" s="429"/>
      <c r="V315" s="429"/>
      <c r="W315" s="429"/>
      <c r="X315" s="430"/>
      <c r="Y315" s="430"/>
      <c r="Z315" s="430"/>
      <c r="AA315" s="431"/>
      <c r="AB315" s="431"/>
      <c r="AC315" s="431"/>
      <c r="AD315" s="431"/>
      <c r="AE315" s="432"/>
      <c r="AF315" s="433"/>
      <c r="AG315" s="2"/>
      <c r="AH315" s="2"/>
      <c r="AI315" s="2"/>
      <c r="AJ315" s="2"/>
      <c r="AK315" s="61"/>
      <c r="AL315" s="61"/>
      <c r="AM315" s="61"/>
      <c r="AN315" s="2"/>
      <c r="AO315" s="2"/>
      <c r="AP315" s="2"/>
      <c r="AQ315" s="2"/>
      <c r="AR315" s="2"/>
    </row>
    <row r="316" spans="1:82" hidden="1" x14ac:dyDescent="0.2">
      <c r="A316" s="79" t="s">
        <v>448</v>
      </c>
      <c r="B316" s="80" t="s">
        <v>449</v>
      </c>
      <c r="C316" s="80">
        <v>4301011769</v>
      </c>
      <c r="D316" s="80">
        <v>4607091389067</v>
      </c>
      <c r="E316" s="81">
        <v>0.88</v>
      </c>
      <c r="F316" s="82">
        <v>6</v>
      </c>
      <c r="G316" s="81">
        <v>5.28</v>
      </c>
      <c r="H316" s="81">
        <v>5.64</v>
      </c>
      <c r="I316" s="83">
        <v>104</v>
      </c>
      <c r="J316" s="83" t="s">
        <v>114</v>
      </c>
      <c r="K316" s="84" t="s">
        <v>99</v>
      </c>
      <c r="L316" s="84"/>
      <c r="M316" s="423">
        <v>60</v>
      </c>
      <c r="N316" s="423"/>
      <c r="O316" s="4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P316" s="425"/>
      <c r="Q316" s="425"/>
      <c r="R316" s="425"/>
      <c r="S316" s="425"/>
      <c r="T316" s="85" t="s">
        <v>0</v>
      </c>
      <c r="U316" s="65">
        <v>0</v>
      </c>
      <c r="V316" s="66">
        <f t="shared" ref="V316:V322" si="91">IFERROR(IF(U316="",0,CEILING((U316/$G316),1)*$G316),"")</f>
        <v>0</v>
      </c>
      <c r="W316" s="65">
        <v>0</v>
      </c>
      <c r="X316" s="66">
        <f t="shared" ref="X316:X322" si="92">IFERROR(IF(W316="",0,CEILING((W316/$G316),1)*$G316),"")</f>
        <v>0</v>
      </c>
      <c r="Y316" s="65">
        <v>0</v>
      </c>
      <c r="Z316" s="66">
        <f t="shared" ref="Z316:Z322" si="93">IFERROR(IF(Y316="",0,CEILING((Y316/$G316),1)*$G316),"")</f>
        <v>0</v>
      </c>
      <c r="AA316" s="65">
        <v>0</v>
      </c>
      <c r="AB316" s="66">
        <f t="shared" ref="AB316:AB322" si="94">IFERROR(IF(AA316="",0,CEILING((AA316/$G316),1)*$G316),"")</f>
        <v>0</v>
      </c>
      <c r="AC316" s="67" t="str">
        <f>IF(IFERROR(ROUNDUP(V316/G316,0)*0.01196,0)+IFERROR(ROUNDUP(X316/G316,0)*0.01196,0)+IFERROR(ROUNDUP(Z316/G316,0)*0.01196,0)+IFERROR(ROUNDUP(AB316/G316,0)*0.01196,0)=0,"",IFERROR(ROUNDUP(V316/G316,0)*0.01196,0)+IFERROR(ROUNDUP(X316/G316,0)*0.01196,0)+IFERROR(ROUNDUP(Z316/G316,0)*0.01196,0)+IFERROR(ROUNDUP(AB316/G316,0)*0.01196,0))</f>
        <v/>
      </c>
      <c r="AD316" s="79" t="s">
        <v>57</v>
      </c>
      <c r="AE316" s="79" t="s">
        <v>57</v>
      </c>
      <c r="AF316" s="335" t="s">
        <v>450</v>
      </c>
      <c r="AG316" s="2"/>
      <c r="AH316" s="2"/>
      <c r="AI316" s="2"/>
      <c r="AJ316" s="2"/>
      <c r="AK316" s="2"/>
      <c r="AL316" s="61"/>
      <c r="AM316" s="61"/>
      <c r="AN316" s="61"/>
      <c r="AO316" s="2"/>
      <c r="AP316" s="2"/>
      <c r="AQ316" s="2"/>
      <c r="AR316" s="2"/>
      <c r="AS316" s="2"/>
      <c r="AT316" s="2"/>
      <c r="AU316" s="20"/>
      <c r="AV316" s="20"/>
      <c r="AW316" s="21"/>
      <c r="BB316" s="334" t="s">
        <v>65</v>
      </c>
      <c r="BO316" s="77">
        <f t="shared" ref="BO316:BO322" si="95">IFERROR(U316*H316/G316,0)</f>
        <v>0</v>
      </c>
      <c r="BP316" s="77">
        <f t="shared" ref="BP316:BP322" si="96">IFERROR(V316*H316/G316,0)</f>
        <v>0</v>
      </c>
      <c r="BQ316" s="77">
        <f t="shared" ref="BQ316:BQ322" si="97">IFERROR(1/I316*(U316/G316),0)</f>
        <v>0</v>
      </c>
      <c r="BR316" s="77">
        <f t="shared" ref="BR316:BR322" si="98">IFERROR(1/I316*(V316/G316),0)</f>
        <v>0</v>
      </c>
      <c r="BS316" s="77">
        <f t="shared" ref="BS316:BS322" si="99">IFERROR(W316*H316/G316,0)</f>
        <v>0</v>
      </c>
      <c r="BT316" s="77">
        <f t="shared" ref="BT316:BT322" si="100">IFERROR(X316*H316/G316,0)</f>
        <v>0</v>
      </c>
      <c r="BU316" s="77">
        <f t="shared" ref="BU316:BU322" si="101">IFERROR(1/I316*(W316/G316),0)</f>
        <v>0</v>
      </c>
      <c r="BV316" s="77">
        <f t="shared" ref="BV316:BV322" si="102">IFERROR(1/I316*(X316/G316),0)</f>
        <v>0</v>
      </c>
      <c r="BW316" s="77">
        <f t="shared" ref="BW316:BW322" si="103">IFERROR(Y316*H316/G316,0)</f>
        <v>0</v>
      </c>
      <c r="BX316" s="77">
        <f t="shared" ref="BX316:BX322" si="104">IFERROR(Z316*H316/G316,0)</f>
        <v>0</v>
      </c>
      <c r="BY316" s="77">
        <f t="shared" ref="BY316:BY322" si="105">IFERROR(1/I316*(Y316/G316),0)</f>
        <v>0</v>
      </c>
      <c r="BZ316" s="77">
        <f t="shared" ref="BZ316:BZ322" si="106">IFERROR(1/I316*(Z316/G316),0)</f>
        <v>0</v>
      </c>
      <c r="CA316" s="77">
        <f t="shared" ref="CA316:CA322" si="107">IFERROR(AA316*H316/G316,0)</f>
        <v>0</v>
      </c>
      <c r="CB316" s="77">
        <f t="shared" ref="CB316:CB322" si="108">IFERROR(AB316*H316/G316,0)</f>
        <v>0</v>
      </c>
      <c r="CC316" s="77">
        <f t="shared" ref="CC316:CC322" si="109">IFERROR(1/I316*(AA316/G316),0)</f>
        <v>0</v>
      </c>
      <c r="CD316" s="77">
        <f t="shared" ref="CD316:CD322" si="110">IFERROR(1/I316*(AB316/G316),0)</f>
        <v>0</v>
      </c>
    </row>
    <row r="317" spans="1:82" hidden="1" x14ac:dyDescent="0.2">
      <c r="A317" s="79" t="s">
        <v>451</v>
      </c>
      <c r="B317" s="80" t="s">
        <v>452</v>
      </c>
      <c r="C317" s="80">
        <v>4301011959</v>
      </c>
      <c r="D317" s="80">
        <v>4680115882782</v>
      </c>
      <c r="E317" s="81">
        <v>0.6</v>
      </c>
      <c r="F317" s="82">
        <v>6</v>
      </c>
      <c r="G317" s="81">
        <v>3.6</v>
      </c>
      <c r="H317" s="81">
        <v>3.81</v>
      </c>
      <c r="I317" s="83">
        <v>132</v>
      </c>
      <c r="J317" s="83" t="s">
        <v>100</v>
      </c>
      <c r="K317" s="84" t="s">
        <v>106</v>
      </c>
      <c r="L317" s="84"/>
      <c r="M317" s="423">
        <v>60</v>
      </c>
      <c r="N317" s="423"/>
      <c r="O317" s="471" t="str">
        <f>HYPERLINK("https://abi.ru/products/Охлажденные/Дугушка/Дугушка/Вареные колбасы/P004403/","Вареные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P317" s="425"/>
      <c r="Q317" s="425"/>
      <c r="R317" s="425"/>
      <c r="S317" s="425"/>
      <c r="T317" s="85" t="s">
        <v>0</v>
      </c>
      <c r="U317" s="65">
        <v>0</v>
      </c>
      <c r="V317" s="66">
        <f t="shared" si="91"/>
        <v>0</v>
      </c>
      <c r="W317" s="65">
        <v>0</v>
      </c>
      <c r="X317" s="66">
        <f t="shared" si="92"/>
        <v>0</v>
      </c>
      <c r="Y317" s="65">
        <v>0</v>
      </c>
      <c r="Z317" s="66">
        <f t="shared" si="93"/>
        <v>0</v>
      </c>
      <c r="AA317" s="65">
        <v>0</v>
      </c>
      <c r="AB317" s="66">
        <f t="shared" si="94"/>
        <v>0</v>
      </c>
      <c r="AC317" s="67" t="str">
        <f>IF(IFERROR(ROUNDUP(V317/G317,0)*0.00902,0)+IFERROR(ROUNDUP(X317/G317,0)*0.00902,0)+IFERROR(ROUNDUP(Z317/G317,0)*0.00902,0)+IFERROR(ROUNDUP(AB317/G317,0)*0.00902,0)=0,"",IFERROR(ROUNDUP(V317/G317,0)*0.00902,0)+IFERROR(ROUNDUP(X317/G317,0)*0.00902,0)+IFERROR(ROUNDUP(Z317/G317,0)*0.00902,0)+IFERROR(ROUNDUP(AB317/G317,0)*0.00902,0))</f>
        <v/>
      </c>
      <c r="AD317" s="79" t="s">
        <v>57</v>
      </c>
      <c r="AE317" s="79" t="s">
        <v>57</v>
      </c>
      <c r="AF317" s="337" t="s">
        <v>453</v>
      </c>
      <c r="AG317" s="2"/>
      <c r="AH317" s="2"/>
      <c r="AI317" s="2"/>
      <c r="AJ317" s="2"/>
      <c r="AK317" s="2"/>
      <c r="AL317" s="61"/>
      <c r="AM317" s="61"/>
      <c r="AN317" s="61"/>
      <c r="AO317" s="2"/>
      <c r="AP317" s="2"/>
      <c r="AQ317" s="2"/>
      <c r="AR317" s="2"/>
      <c r="AS317" s="2"/>
      <c r="AT317" s="2"/>
      <c r="AU317" s="20"/>
      <c r="AV317" s="20"/>
      <c r="AW317" s="21"/>
      <c r="BB317" s="336" t="s">
        <v>65</v>
      </c>
      <c r="BO317" s="77">
        <f t="shared" si="95"/>
        <v>0</v>
      </c>
      <c r="BP317" s="77">
        <f t="shared" si="96"/>
        <v>0</v>
      </c>
      <c r="BQ317" s="77">
        <f t="shared" si="97"/>
        <v>0</v>
      </c>
      <c r="BR317" s="77">
        <f t="shared" si="98"/>
        <v>0</v>
      </c>
      <c r="BS317" s="77">
        <f t="shared" si="99"/>
        <v>0</v>
      </c>
      <c r="BT317" s="77">
        <f t="shared" si="100"/>
        <v>0</v>
      </c>
      <c r="BU317" s="77">
        <f t="shared" si="101"/>
        <v>0</v>
      </c>
      <c r="BV317" s="77">
        <f t="shared" si="102"/>
        <v>0</v>
      </c>
      <c r="BW317" s="77">
        <f t="shared" si="103"/>
        <v>0</v>
      </c>
      <c r="BX317" s="77">
        <f t="shared" si="104"/>
        <v>0</v>
      </c>
      <c r="BY317" s="77">
        <f t="shared" si="105"/>
        <v>0</v>
      </c>
      <c r="BZ317" s="77">
        <f t="shared" si="106"/>
        <v>0</v>
      </c>
      <c r="CA317" s="77">
        <f t="shared" si="107"/>
        <v>0</v>
      </c>
      <c r="CB317" s="77">
        <f t="shared" si="108"/>
        <v>0</v>
      </c>
      <c r="CC317" s="77">
        <f t="shared" si="109"/>
        <v>0</v>
      </c>
      <c r="CD317" s="77">
        <f t="shared" si="110"/>
        <v>0</v>
      </c>
    </row>
    <row r="318" spans="1:82" hidden="1" x14ac:dyDescent="0.2">
      <c r="A318" s="79" t="s">
        <v>451</v>
      </c>
      <c r="B318" s="80" t="s">
        <v>454</v>
      </c>
      <c r="C318" s="80">
        <v>4301012036</v>
      </c>
      <c r="D318" s="80">
        <v>4680115882782</v>
      </c>
      <c r="E318" s="81">
        <v>0.6</v>
      </c>
      <c r="F318" s="82">
        <v>8</v>
      </c>
      <c r="G318" s="81">
        <v>4.8</v>
      </c>
      <c r="H318" s="81">
        <v>6.96</v>
      </c>
      <c r="I318" s="83">
        <v>120</v>
      </c>
      <c r="J318" s="83" t="s">
        <v>100</v>
      </c>
      <c r="K318" s="84" t="s">
        <v>106</v>
      </c>
      <c r="L318" s="84"/>
      <c r="M318" s="423">
        <v>60</v>
      </c>
      <c r="N318" s="423"/>
      <c r="O318" s="4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P318" s="425"/>
      <c r="Q318" s="425"/>
      <c r="R318" s="425"/>
      <c r="S318" s="425"/>
      <c r="T318" s="85" t="s">
        <v>0</v>
      </c>
      <c r="U318" s="65">
        <v>0</v>
      </c>
      <c r="V318" s="66">
        <f t="shared" si="91"/>
        <v>0</v>
      </c>
      <c r="W318" s="65">
        <v>0</v>
      </c>
      <c r="X318" s="66">
        <f t="shared" si="92"/>
        <v>0</v>
      </c>
      <c r="Y318" s="65">
        <v>0</v>
      </c>
      <c r="Z318" s="66">
        <f t="shared" si="93"/>
        <v>0</v>
      </c>
      <c r="AA318" s="65">
        <v>0</v>
      </c>
      <c r="AB318" s="66">
        <f t="shared" si="94"/>
        <v>0</v>
      </c>
      <c r="AC318" s="67" t="str">
        <f>IF(IFERROR(ROUNDUP(V318/G318,0)*0.00937,0)+IFERROR(ROUNDUP(X318/G318,0)*0.00937,0)+IFERROR(ROUNDUP(Z318/G318,0)*0.00937,0)+IFERROR(ROUNDUP(AB318/G318,0)*0.00937,0)=0,"",IFERROR(ROUNDUP(V318/G318,0)*0.00937,0)+IFERROR(ROUNDUP(X318/G318,0)*0.00937,0)+IFERROR(ROUNDUP(Z318/G318,0)*0.00937,0)+IFERROR(ROUNDUP(AB318/G318,0)*0.00937,0))</f>
        <v/>
      </c>
      <c r="AD318" s="79" t="s">
        <v>57</v>
      </c>
      <c r="AE318" s="79" t="s">
        <v>57</v>
      </c>
      <c r="AF318" s="339" t="s">
        <v>453</v>
      </c>
      <c r="AG318" s="2"/>
      <c r="AH318" s="2"/>
      <c r="AI318" s="2"/>
      <c r="AJ318" s="2"/>
      <c r="AK318" s="2"/>
      <c r="AL318" s="61"/>
      <c r="AM318" s="61"/>
      <c r="AN318" s="61"/>
      <c r="AO318" s="2"/>
      <c r="AP318" s="2"/>
      <c r="AQ318" s="2"/>
      <c r="AR318" s="2"/>
      <c r="AS318" s="2"/>
      <c r="AT318" s="2"/>
      <c r="AU318" s="20"/>
      <c r="AV318" s="20"/>
      <c r="AW318" s="21"/>
      <c r="BB318" s="338" t="s">
        <v>65</v>
      </c>
      <c r="BO318" s="77">
        <f t="shared" si="95"/>
        <v>0</v>
      </c>
      <c r="BP318" s="77">
        <f t="shared" si="96"/>
        <v>0</v>
      </c>
      <c r="BQ318" s="77">
        <f t="shared" si="97"/>
        <v>0</v>
      </c>
      <c r="BR318" s="77">
        <f t="shared" si="98"/>
        <v>0</v>
      </c>
      <c r="BS318" s="77">
        <f t="shared" si="99"/>
        <v>0</v>
      </c>
      <c r="BT318" s="77">
        <f t="shared" si="100"/>
        <v>0</v>
      </c>
      <c r="BU318" s="77">
        <f t="shared" si="101"/>
        <v>0</v>
      </c>
      <c r="BV318" s="77">
        <f t="shared" si="102"/>
        <v>0</v>
      </c>
      <c r="BW318" s="77">
        <f t="shared" si="103"/>
        <v>0</v>
      </c>
      <c r="BX318" s="77">
        <f t="shared" si="104"/>
        <v>0</v>
      </c>
      <c r="BY318" s="77">
        <f t="shared" si="105"/>
        <v>0</v>
      </c>
      <c r="BZ318" s="77">
        <f t="shared" si="106"/>
        <v>0</v>
      </c>
      <c r="CA318" s="77">
        <f t="shared" si="107"/>
        <v>0</v>
      </c>
      <c r="CB318" s="77">
        <f t="shared" si="108"/>
        <v>0</v>
      </c>
      <c r="CC318" s="77">
        <f t="shared" si="109"/>
        <v>0</v>
      </c>
      <c r="CD318" s="77">
        <f t="shared" si="110"/>
        <v>0</v>
      </c>
    </row>
    <row r="319" spans="1:82" hidden="1" x14ac:dyDescent="0.2">
      <c r="A319" s="79" t="s">
        <v>455</v>
      </c>
      <c r="B319" s="80" t="s">
        <v>456</v>
      </c>
      <c r="C319" s="80">
        <v>4301012055</v>
      </c>
      <c r="D319" s="80">
        <v>4680115886469</v>
      </c>
      <c r="E319" s="81">
        <v>0.55000000000000004</v>
      </c>
      <c r="F319" s="82">
        <v>8</v>
      </c>
      <c r="G319" s="81">
        <v>4.4000000000000004</v>
      </c>
      <c r="H319" s="81">
        <v>4.6100000000000003</v>
      </c>
      <c r="I319" s="83">
        <v>132</v>
      </c>
      <c r="J319" s="83" t="s">
        <v>100</v>
      </c>
      <c r="K319" s="84" t="s">
        <v>106</v>
      </c>
      <c r="L319" s="84"/>
      <c r="M319" s="423">
        <v>60</v>
      </c>
      <c r="N319" s="423"/>
      <c r="O319" s="473" t="s">
        <v>457</v>
      </c>
      <c r="P319" s="425"/>
      <c r="Q319" s="425"/>
      <c r="R319" s="425"/>
      <c r="S319" s="425"/>
      <c r="T319" s="85" t="s">
        <v>0</v>
      </c>
      <c r="U319" s="65">
        <v>0</v>
      </c>
      <c r="V319" s="66">
        <f t="shared" si="91"/>
        <v>0</v>
      </c>
      <c r="W319" s="65">
        <v>0</v>
      </c>
      <c r="X319" s="66">
        <f t="shared" si="92"/>
        <v>0</v>
      </c>
      <c r="Y319" s="65">
        <v>0</v>
      </c>
      <c r="Z319" s="66">
        <f t="shared" si="93"/>
        <v>0</v>
      </c>
      <c r="AA319" s="65">
        <v>0</v>
      </c>
      <c r="AB319" s="66">
        <f t="shared" si="94"/>
        <v>0</v>
      </c>
      <c r="AC319" s="67" t="str">
        <f>IF(IFERROR(ROUNDUP(V319/G319,0)*0.00902,0)+IFERROR(ROUNDUP(X319/G319,0)*0.00902,0)+IFERROR(ROUNDUP(Z319/G319,0)*0.00902,0)+IFERROR(ROUNDUP(AB319/G319,0)*0.00902,0)=0,"",IFERROR(ROUNDUP(V319/G319,0)*0.00902,0)+IFERROR(ROUNDUP(X319/G319,0)*0.00902,0)+IFERROR(ROUNDUP(Z319/G319,0)*0.00902,0)+IFERROR(ROUNDUP(AB319/G319,0)*0.00902,0))</f>
        <v/>
      </c>
      <c r="AD319" s="79" t="s">
        <v>57</v>
      </c>
      <c r="AE319" s="79" t="s">
        <v>57</v>
      </c>
      <c r="AF319" s="341" t="s">
        <v>458</v>
      </c>
      <c r="AG319" s="2"/>
      <c r="AH319" s="2"/>
      <c r="AI319" s="2"/>
      <c r="AJ319" s="2"/>
      <c r="AK319" s="2"/>
      <c r="AL319" s="61"/>
      <c r="AM319" s="61"/>
      <c r="AN319" s="61"/>
      <c r="AO319" s="2"/>
      <c r="AP319" s="2"/>
      <c r="AQ319" s="2"/>
      <c r="AR319" s="2"/>
      <c r="AS319" s="2"/>
      <c r="AT319" s="2"/>
      <c r="AU319" s="20"/>
      <c r="AV319" s="20"/>
      <c r="AW319" s="21"/>
      <c r="BB319" s="340" t="s">
        <v>65</v>
      </c>
      <c r="BO319" s="77">
        <f t="shared" si="95"/>
        <v>0</v>
      </c>
      <c r="BP319" s="77">
        <f t="shared" si="96"/>
        <v>0</v>
      </c>
      <c r="BQ319" s="77">
        <f t="shared" si="97"/>
        <v>0</v>
      </c>
      <c r="BR319" s="77">
        <f t="shared" si="98"/>
        <v>0</v>
      </c>
      <c r="BS319" s="77">
        <f t="shared" si="99"/>
        <v>0</v>
      </c>
      <c r="BT319" s="77">
        <f t="shared" si="100"/>
        <v>0</v>
      </c>
      <c r="BU319" s="77">
        <f t="shared" si="101"/>
        <v>0</v>
      </c>
      <c r="BV319" s="77">
        <f t="shared" si="102"/>
        <v>0</v>
      </c>
      <c r="BW319" s="77">
        <f t="shared" si="103"/>
        <v>0</v>
      </c>
      <c r="BX319" s="77">
        <f t="shared" si="104"/>
        <v>0</v>
      </c>
      <c r="BY319" s="77">
        <f t="shared" si="105"/>
        <v>0</v>
      </c>
      <c r="BZ319" s="77">
        <f t="shared" si="106"/>
        <v>0</v>
      </c>
      <c r="CA319" s="77">
        <f t="shared" si="107"/>
        <v>0</v>
      </c>
      <c r="CB319" s="77">
        <f t="shared" si="108"/>
        <v>0</v>
      </c>
      <c r="CC319" s="77">
        <f t="shared" si="109"/>
        <v>0</v>
      </c>
      <c r="CD319" s="77">
        <f t="shared" si="110"/>
        <v>0</v>
      </c>
    </row>
    <row r="320" spans="1:82" hidden="1" x14ac:dyDescent="0.2">
      <c r="A320" s="79" t="s">
        <v>459</v>
      </c>
      <c r="B320" s="80" t="s">
        <v>460</v>
      </c>
      <c r="C320" s="80">
        <v>4301012066</v>
      </c>
      <c r="D320" s="80">
        <v>4680115886483</v>
      </c>
      <c r="E320" s="81">
        <v>0.55000000000000004</v>
      </c>
      <c r="F320" s="82">
        <v>8</v>
      </c>
      <c r="G320" s="81">
        <v>4.4000000000000004</v>
      </c>
      <c r="H320" s="81">
        <v>4.6100000000000003</v>
      </c>
      <c r="I320" s="83">
        <v>132</v>
      </c>
      <c r="J320" s="83" t="s">
        <v>100</v>
      </c>
      <c r="K320" s="84" t="s">
        <v>99</v>
      </c>
      <c r="L320" s="84"/>
      <c r="M320" s="423">
        <v>60</v>
      </c>
      <c r="N320" s="423"/>
      <c r="O320" s="474" t="s">
        <v>461</v>
      </c>
      <c r="P320" s="425"/>
      <c r="Q320" s="425"/>
      <c r="R320" s="425"/>
      <c r="S320" s="425"/>
      <c r="T320" s="85" t="s">
        <v>0</v>
      </c>
      <c r="U320" s="65">
        <v>0</v>
      </c>
      <c r="V320" s="66">
        <f t="shared" si="91"/>
        <v>0</v>
      </c>
      <c r="W320" s="65">
        <v>0</v>
      </c>
      <c r="X320" s="66">
        <f t="shared" si="92"/>
        <v>0</v>
      </c>
      <c r="Y320" s="65">
        <v>0</v>
      </c>
      <c r="Z320" s="66">
        <f t="shared" si="93"/>
        <v>0</v>
      </c>
      <c r="AA320" s="65">
        <v>0</v>
      </c>
      <c r="AB320" s="66">
        <f t="shared" si="94"/>
        <v>0</v>
      </c>
      <c r="AC320" s="67" t="str">
        <f>IF(IFERROR(ROUNDUP(V320/G320,0)*0.00902,0)+IFERROR(ROUNDUP(X320/G320,0)*0.00902,0)+IFERROR(ROUNDUP(Z320/G320,0)*0.00902,0)+IFERROR(ROUNDUP(AB320/G320,0)*0.00902,0)=0,"",IFERROR(ROUNDUP(V320/G320,0)*0.00902,0)+IFERROR(ROUNDUP(X320/G320,0)*0.00902,0)+IFERROR(ROUNDUP(Z320/G320,0)*0.00902,0)+IFERROR(ROUNDUP(AB320/G320,0)*0.00902,0))</f>
        <v/>
      </c>
      <c r="AD320" s="79" t="s">
        <v>57</v>
      </c>
      <c r="AE320" s="79" t="s">
        <v>57</v>
      </c>
      <c r="AF320" s="343" t="s">
        <v>462</v>
      </c>
      <c r="AG320" s="2"/>
      <c r="AH320" s="2"/>
      <c r="AI320" s="2"/>
      <c r="AJ320" s="2"/>
      <c r="AK320" s="2"/>
      <c r="AL320" s="61"/>
      <c r="AM320" s="61"/>
      <c r="AN320" s="61"/>
      <c r="AO320" s="2"/>
      <c r="AP320" s="2"/>
      <c r="AQ320" s="2"/>
      <c r="AR320" s="2"/>
      <c r="AS320" s="2"/>
      <c r="AT320" s="2"/>
      <c r="AU320" s="20"/>
      <c r="AV320" s="20"/>
      <c r="AW320" s="21"/>
      <c r="BB320" s="342" t="s">
        <v>65</v>
      </c>
      <c r="BO320" s="77">
        <f t="shared" si="95"/>
        <v>0</v>
      </c>
      <c r="BP320" s="77">
        <f t="shared" si="96"/>
        <v>0</v>
      </c>
      <c r="BQ320" s="77">
        <f t="shared" si="97"/>
        <v>0</v>
      </c>
      <c r="BR320" s="77">
        <f t="shared" si="98"/>
        <v>0</v>
      </c>
      <c r="BS320" s="77">
        <f t="shared" si="99"/>
        <v>0</v>
      </c>
      <c r="BT320" s="77">
        <f t="shared" si="100"/>
        <v>0</v>
      </c>
      <c r="BU320" s="77">
        <f t="shared" si="101"/>
        <v>0</v>
      </c>
      <c r="BV320" s="77">
        <f t="shared" si="102"/>
        <v>0</v>
      </c>
      <c r="BW320" s="77">
        <f t="shared" si="103"/>
        <v>0</v>
      </c>
      <c r="BX320" s="77">
        <f t="shared" si="104"/>
        <v>0</v>
      </c>
      <c r="BY320" s="77">
        <f t="shared" si="105"/>
        <v>0</v>
      </c>
      <c r="BZ320" s="77">
        <f t="shared" si="106"/>
        <v>0</v>
      </c>
      <c r="CA320" s="77">
        <f t="shared" si="107"/>
        <v>0</v>
      </c>
      <c r="CB320" s="77">
        <f t="shared" si="108"/>
        <v>0</v>
      </c>
      <c r="CC320" s="77">
        <f t="shared" si="109"/>
        <v>0</v>
      </c>
      <c r="CD320" s="77">
        <f t="shared" si="110"/>
        <v>0</v>
      </c>
    </row>
    <row r="321" spans="1:82" hidden="1" x14ac:dyDescent="0.2">
      <c r="A321" s="79" t="s">
        <v>463</v>
      </c>
      <c r="B321" s="80" t="s">
        <v>464</v>
      </c>
      <c r="C321" s="80">
        <v>4301012050</v>
      </c>
      <c r="D321" s="80">
        <v>4680115885479</v>
      </c>
      <c r="E321" s="81">
        <v>0.4</v>
      </c>
      <c r="F321" s="82">
        <v>6</v>
      </c>
      <c r="G321" s="81">
        <v>2.4</v>
      </c>
      <c r="H321" s="81">
        <v>2.58</v>
      </c>
      <c r="I321" s="83">
        <v>182</v>
      </c>
      <c r="J321" s="83" t="s">
        <v>86</v>
      </c>
      <c r="K321" s="84" t="s">
        <v>106</v>
      </c>
      <c r="L321" s="84"/>
      <c r="M321" s="423">
        <v>60</v>
      </c>
      <c r="N321" s="423"/>
      <c r="O321" s="467" t="s">
        <v>465</v>
      </c>
      <c r="P321" s="425"/>
      <c r="Q321" s="425"/>
      <c r="R321" s="425"/>
      <c r="S321" s="425"/>
      <c r="T321" s="85" t="s">
        <v>0</v>
      </c>
      <c r="U321" s="65">
        <v>0</v>
      </c>
      <c r="V321" s="66">
        <f t="shared" si="91"/>
        <v>0</v>
      </c>
      <c r="W321" s="65">
        <v>0</v>
      </c>
      <c r="X321" s="66">
        <f t="shared" si="92"/>
        <v>0</v>
      </c>
      <c r="Y321" s="65">
        <v>0</v>
      </c>
      <c r="Z321" s="66">
        <f t="shared" si="93"/>
        <v>0</v>
      </c>
      <c r="AA321" s="65">
        <v>0</v>
      </c>
      <c r="AB321" s="66">
        <f t="shared" si="94"/>
        <v>0</v>
      </c>
      <c r="AC321" s="67" t="str">
        <f>IF(IFERROR(ROUNDUP(V321/G321,0)*0.00651,0)+IFERROR(ROUNDUP(X321/G321,0)*0.00651,0)+IFERROR(ROUNDUP(Z321/G321,0)*0.00651,0)+IFERROR(ROUNDUP(AB321/G321,0)*0.00651,0)=0,"",IFERROR(ROUNDUP(V321/G321,0)*0.00651,0)+IFERROR(ROUNDUP(X321/G321,0)*0.00651,0)+IFERROR(ROUNDUP(Z321/G321,0)*0.00651,0)+IFERROR(ROUNDUP(AB321/G321,0)*0.00651,0))</f>
        <v/>
      </c>
      <c r="AD321" s="79" t="s">
        <v>57</v>
      </c>
      <c r="AE321" s="79" t="s">
        <v>57</v>
      </c>
      <c r="AF321" s="345" t="s">
        <v>466</v>
      </c>
      <c r="AG321" s="2"/>
      <c r="AH321" s="2"/>
      <c r="AI321" s="2"/>
      <c r="AJ321" s="2"/>
      <c r="AK321" s="2"/>
      <c r="AL321" s="61"/>
      <c r="AM321" s="61"/>
      <c r="AN321" s="61"/>
      <c r="AO321" s="2"/>
      <c r="AP321" s="2"/>
      <c r="AQ321" s="2"/>
      <c r="AR321" s="2"/>
      <c r="AS321" s="2"/>
      <c r="AT321" s="2"/>
      <c r="AU321" s="20"/>
      <c r="AV321" s="20"/>
      <c r="AW321" s="21"/>
      <c r="BB321" s="344" t="s">
        <v>65</v>
      </c>
      <c r="BO321" s="77">
        <f t="shared" si="95"/>
        <v>0</v>
      </c>
      <c r="BP321" s="77">
        <f t="shared" si="96"/>
        <v>0</v>
      </c>
      <c r="BQ321" s="77">
        <f t="shared" si="97"/>
        <v>0</v>
      </c>
      <c r="BR321" s="77">
        <f t="shared" si="98"/>
        <v>0</v>
      </c>
      <c r="BS321" s="77">
        <f t="shared" si="99"/>
        <v>0</v>
      </c>
      <c r="BT321" s="77">
        <f t="shared" si="100"/>
        <v>0</v>
      </c>
      <c r="BU321" s="77">
        <f t="shared" si="101"/>
        <v>0</v>
      </c>
      <c r="BV321" s="77">
        <f t="shared" si="102"/>
        <v>0</v>
      </c>
      <c r="BW321" s="77">
        <f t="shared" si="103"/>
        <v>0</v>
      </c>
      <c r="BX321" s="77">
        <f t="shared" si="104"/>
        <v>0</v>
      </c>
      <c r="BY321" s="77">
        <f t="shared" si="105"/>
        <v>0</v>
      </c>
      <c r="BZ321" s="77">
        <f t="shared" si="106"/>
        <v>0</v>
      </c>
      <c r="CA321" s="77">
        <f t="shared" si="107"/>
        <v>0</v>
      </c>
      <c r="CB321" s="77">
        <f t="shared" si="108"/>
        <v>0</v>
      </c>
      <c r="CC321" s="77">
        <f t="shared" si="109"/>
        <v>0</v>
      </c>
      <c r="CD321" s="77">
        <f t="shared" si="110"/>
        <v>0</v>
      </c>
    </row>
    <row r="322" spans="1:82" hidden="1" x14ac:dyDescent="0.2">
      <c r="A322" s="79" t="s">
        <v>467</v>
      </c>
      <c r="B322" s="80" t="s">
        <v>468</v>
      </c>
      <c r="C322" s="80">
        <v>4301012058</v>
      </c>
      <c r="D322" s="80">
        <v>4680115886490</v>
      </c>
      <c r="E322" s="81">
        <v>0.55000000000000004</v>
      </c>
      <c r="F322" s="82">
        <v>8</v>
      </c>
      <c r="G322" s="81">
        <v>4.4000000000000004</v>
      </c>
      <c r="H322" s="81">
        <v>4.6100000000000003</v>
      </c>
      <c r="I322" s="83">
        <v>132</v>
      </c>
      <c r="J322" s="83" t="s">
        <v>100</v>
      </c>
      <c r="K322" s="84" t="s">
        <v>106</v>
      </c>
      <c r="L322" s="84"/>
      <c r="M322" s="423">
        <v>60</v>
      </c>
      <c r="N322" s="423"/>
      <c r="O322" s="46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P322" s="425"/>
      <c r="Q322" s="425"/>
      <c r="R322" s="425"/>
      <c r="S322" s="425"/>
      <c r="T322" s="85" t="s">
        <v>0</v>
      </c>
      <c r="U322" s="65">
        <v>0</v>
      </c>
      <c r="V322" s="66">
        <f t="shared" si="91"/>
        <v>0</v>
      </c>
      <c r="W322" s="65">
        <v>0</v>
      </c>
      <c r="X322" s="66">
        <f t="shared" si="92"/>
        <v>0</v>
      </c>
      <c r="Y322" s="65">
        <v>0</v>
      </c>
      <c r="Z322" s="66">
        <f t="shared" si="93"/>
        <v>0</v>
      </c>
      <c r="AA322" s="65">
        <v>0</v>
      </c>
      <c r="AB322" s="66">
        <f t="shared" si="94"/>
        <v>0</v>
      </c>
      <c r="AC322" s="67" t="str">
        <f>IF(IFERROR(ROUNDUP(V322/G322,0)*0.00902,0)+IFERROR(ROUNDUP(X322/G322,0)*0.00902,0)+IFERROR(ROUNDUP(Z322/G322,0)*0.00902,0)+IFERROR(ROUNDUP(AB322/G322,0)*0.00902,0)=0,"",IFERROR(ROUNDUP(V322/G322,0)*0.00902,0)+IFERROR(ROUNDUP(X322/G322,0)*0.00902,0)+IFERROR(ROUNDUP(Z322/G322,0)*0.00902,0)+IFERROR(ROUNDUP(AB322/G322,0)*0.00902,0))</f>
        <v/>
      </c>
      <c r="AD322" s="79" t="s">
        <v>57</v>
      </c>
      <c r="AE322" s="79" t="s">
        <v>57</v>
      </c>
      <c r="AF322" s="347" t="s">
        <v>469</v>
      </c>
      <c r="AG322" s="2"/>
      <c r="AH322" s="2"/>
      <c r="AI322" s="2"/>
      <c r="AJ322" s="2"/>
      <c r="AK322" s="2"/>
      <c r="AL322" s="61"/>
      <c r="AM322" s="61"/>
      <c r="AN322" s="61"/>
      <c r="AO322" s="2"/>
      <c r="AP322" s="2"/>
      <c r="AQ322" s="2"/>
      <c r="AR322" s="2"/>
      <c r="AS322" s="2"/>
      <c r="AT322" s="2"/>
      <c r="AU322" s="20"/>
      <c r="AV322" s="20"/>
      <c r="AW322" s="21"/>
      <c r="BB322" s="346" t="s">
        <v>65</v>
      </c>
      <c r="BO322" s="77">
        <f t="shared" si="95"/>
        <v>0</v>
      </c>
      <c r="BP322" s="77">
        <f t="shared" si="96"/>
        <v>0</v>
      </c>
      <c r="BQ322" s="77">
        <f t="shared" si="97"/>
        <v>0</v>
      </c>
      <c r="BR322" s="77">
        <f t="shared" si="98"/>
        <v>0</v>
      </c>
      <c r="BS322" s="77">
        <f t="shared" si="99"/>
        <v>0</v>
      </c>
      <c r="BT322" s="77">
        <f t="shared" si="100"/>
        <v>0</v>
      </c>
      <c r="BU322" s="77">
        <f t="shared" si="101"/>
        <v>0</v>
      </c>
      <c r="BV322" s="77">
        <f t="shared" si="102"/>
        <v>0</v>
      </c>
      <c r="BW322" s="77">
        <f t="shared" si="103"/>
        <v>0</v>
      </c>
      <c r="BX322" s="77">
        <f t="shared" si="104"/>
        <v>0</v>
      </c>
      <c r="BY322" s="77">
        <f t="shared" si="105"/>
        <v>0</v>
      </c>
      <c r="BZ322" s="77">
        <f t="shared" si="106"/>
        <v>0</v>
      </c>
      <c r="CA322" s="77">
        <f t="shared" si="107"/>
        <v>0</v>
      </c>
      <c r="CB322" s="77">
        <f t="shared" si="108"/>
        <v>0</v>
      </c>
      <c r="CC322" s="77">
        <f t="shared" si="109"/>
        <v>0</v>
      </c>
      <c r="CD322" s="77">
        <f t="shared" si="110"/>
        <v>0</v>
      </c>
    </row>
    <row r="323" spans="1:82" hidden="1" x14ac:dyDescent="0.2">
      <c r="A323" s="420"/>
      <c r="B323" s="420"/>
      <c r="C323" s="420"/>
      <c r="D323" s="420"/>
      <c r="E323" s="420"/>
      <c r="F323" s="420"/>
      <c r="G323" s="420"/>
      <c r="H323" s="420"/>
      <c r="I323" s="420"/>
      <c r="J323" s="420"/>
      <c r="K323" s="420"/>
      <c r="L323" s="420"/>
      <c r="M323" s="420"/>
      <c r="N323" s="420"/>
      <c r="O323" s="426" t="s">
        <v>43</v>
      </c>
      <c r="P323" s="427"/>
      <c r="Q323" s="427"/>
      <c r="R323" s="427"/>
      <c r="S323" s="427"/>
      <c r="T323" s="39" t="s">
        <v>42</v>
      </c>
      <c r="U323" s="50">
        <f>IFERROR(U316/G316,0)+IFERROR(U317/G317,0)+IFERROR(U318/G318,0)+IFERROR(U319/G319,0)+IFERROR(U320/G320,0)+IFERROR(U321/G321,0)+IFERROR(U322/G322,0)</f>
        <v>0</v>
      </c>
      <c r="V323" s="50">
        <f>IFERROR(V316/G316,0)+IFERROR(V317/G317,0)+IFERROR(V318/G318,0)+IFERROR(V319/G319,0)+IFERROR(V320/G320,0)+IFERROR(V321/G321,0)+IFERROR(V322/G322,0)</f>
        <v>0</v>
      </c>
      <c r="W323" s="50">
        <f>IFERROR(W316/G316,0)+IFERROR(W317/G317,0)+IFERROR(W318/G318,0)+IFERROR(W319/G319,0)+IFERROR(W320/G320,0)+IFERROR(W321/G321,0)+IFERROR(W322/G322,0)</f>
        <v>0</v>
      </c>
      <c r="X323" s="50">
        <f>IFERROR(X316/G316,0)+IFERROR(X317/G317,0)+IFERROR(X318/G318,0)+IFERROR(X319/G319,0)+IFERROR(X320/G320,0)+IFERROR(X321/G321,0)+IFERROR(X322/G322,0)</f>
        <v>0</v>
      </c>
      <c r="Y323" s="50">
        <f>IFERROR(Y316/G316,0)+IFERROR(Y317/G317,0)+IFERROR(Y318/G318,0)+IFERROR(Y319/G319,0)+IFERROR(Y320/G320,0)+IFERROR(Y321/G321,0)+IFERROR(Y322/G322,0)</f>
        <v>0</v>
      </c>
      <c r="Z323" s="50">
        <f>IFERROR(Z316/G316,0)+IFERROR(Z317/G317,0)+IFERROR(Z318/G318,0)+IFERROR(Z319/G319,0)+IFERROR(Z320/G320,0)+IFERROR(Z321/G321,0)+IFERROR(Z322/G322,0)</f>
        <v>0</v>
      </c>
      <c r="AA323" s="50">
        <f>IFERROR(AA316/G316,0)+IFERROR(AA317/G317,0)+IFERROR(AA318/G318,0)+IFERROR(AA319/G319,0)+IFERROR(AA320/G320,0)+IFERROR(AA321/G321,0)+IFERROR(AA322/G322,0)</f>
        <v>0</v>
      </c>
      <c r="AB323" s="50">
        <f>IFERROR(AB316/G316,0)+IFERROR(AB317/G317,0)+IFERROR(AB318/G318,0)+IFERROR(AB319/G319,0)+IFERROR(AB320/G320,0)+IFERROR(AB321/G321,0)+IFERROR(AB322/G322,0)</f>
        <v>0</v>
      </c>
      <c r="AC323" s="50">
        <f>IFERROR(IF(AC316="",0,AC316),0)+IFERROR(IF(AC317="",0,AC317),0)+IFERROR(IF(AC318="",0,AC318),0)+IFERROR(IF(AC319="",0,AC319),0)+IFERROR(IF(AC320="",0,AC320),0)+IFERROR(IF(AC321="",0,AC321),0)+IFERROR(IF(AC322="",0,AC322),0)</f>
        <v>0</v>
      </c>
      <c r="AD323" s="3"/>
      <c r="AE323" s="72"/>
      <c r="AF323" s="3"/>
      <c r="AG323" s="3"/>
      <c r="AH323" s="3"/>
      <c r="AI323" s="3"/>
      <c r="AJ323" s="3"/>
      <c r="AK323" s="3"/>
      <c r="AL323" s="62"/>
      <c r="AM323" s="62"/>
      <c r="AN323" s="62"/>
      <c r="AO323" s="3"/>
      <c r="AP323" s="3"/>
      <c r="AQ323" s="2"/>
      <c r="AR323" s="2"/>
      <c r="AS323" s="2"/>
      <c r="AT323" s="2"/>
      <c r="AU323" s="20"/>
      <c r="AV323" s="20"/>
      <c r="AW323" s="21"/>
    </row>
    <row r="324" spans="1:82" hidden="1" x14ac:dyDescent="0.2">
      <c r="A324" s="420"/>
      <c r="B324" s="420"/>
      <c r="C324" s="420"/>
      <c r="D324" s="420"/>
      <c r="E324" s="420"/>
      <c r="F324" s="420"/>
      <c r="G324" s="420"/>
      <c r="H324" s="420"/>
      <c r="I324" s="420"/>
      <c r="J324" s="420"/>
      <c r="K324" s="420"/>
      <c r="L324" s="420"/>
      <c r="M324" s="420"/>
      <c r="N324" s="420"/>
      <c r="O324" s="426" t="s">
        <v>43</v>
      </c>
      <c r="P324" s="427"/>
      <c r="Q324" s="427"/>
      <c r="R324" s="427"/>
      <c r="S324" s="427"/>
      <c r="T324" s="39" t="s">
        <v>0</v>
      </c>
      <c r="U324" s="102">
        <f t="shared" ref="U324:AB324" si="111">IFERROR(SUM(U316:U322),0)</f>
        <v>0</v>
      </c>
      <c r="V324" s="102">
        <f t="shared" si="111"/>
        <v>0</v>
      </c>
      <c r="W324" s="102">
        <f t="shared" si="111"/>
        <v>0</v>
      </c>
      <c r="X324" s="102">
        <f t="shared" si="111"/>
        <v>0</v>
      </c>
      <c r="Y324" s="102">
        <f t="shared" si="111"/>
        <v>0</v>
      </c>
      <c r="Z324" s="102">
        <f t="shared" si="111"/>
        <v>0</v>
      </c>
      <c r="AA324" s="102">
        <f t="shared" si="111"/>
        <v>0</v>
      </c>
      <c r="AB324" s="102">
        <f t="shared" si="111"/>
        <v>0</v>
      </c>
      <c r="AC324" s="50" t="s">
        <v>57</v>
      </c>
      <c r="AD324" s="3"/>
      <c r="AE324" s="72"/>
      <c r="AF324" s="3"/>
      <c r="AG324" s="3"/>
      <c r="AH324" s="3"/>
      <c r="AI324" s="3"/>
      <c r="AJ324" s="3"/>
      <c r="AK324" s="3"/>
      <c r="AL324" s="62"/>
      <c r="AM324" s="62"/>
      <c r="AN324" s="62"/>
      <c r="AO324" s="3"/>
      <c r="AP324" s="3"/>
      <c r="AQ324" s="2"/>
      <c r="AR324" s="2"/>
      <c r="AS324" s="2"/>
      <c r="AT324" s="2"/>
      <c r="AU324" s="20"/>
      <c r="AV324" s="20"/>
      <c r="AW324" s="21"/>
    </row>
    <row r="325" spans="1:82" ht="15" hidden="1" x14ac:dyDescent="0.25">
      <c r="A325" s="428" t="s">
        <v>129</v>
      </c>
      <c r="B325" s="429"/>
      <c r="C325" s="429"/>
      <c r="D325" s="429"/>
      <c r="E325" s="429"/>
      <c r="F325" s="429"/>
      <c r="G325" s="429"/>
      <c r="H325" s="429"/>
      <c r="I325" s="429"/>
      <c r="J325" s="429"/>
      <c r="K325" s="429"/>
      <c r="L325" s="429"/>
      <c r="M325" s="429"/>
      <c r="N325" s="429"/>
      <c r="O325" s="429"/>
      <c r="P325" s="429"/>
      <c r="Q325" s="429"/>
      <c r="R325" s="429"/>
      <c r="S325" s="429"/>
      <c r="T325" s="429"/>
      <c r="U325" s="429"/>
      <c r="V325" s="429"/>
      <c r="W325" s="429"/>
      <c r="X325" s="430"/>
      <c r="Y325" s="430"/>
      <c r="Z325" s="430"/>
      <c r="AA325" s="431"/>
      <c r="AB325" s="431"/>
      <c r="AC325" s="431"/>
      <c r="AD325" s="431"/>
      <c r="AE325" s="432"/>
      <c r="AF325" s="433"/>
      <c r="AG325" s="2"/>
      <c r="AH325" s="2"/>
      <c r="AI325" s="2"/>
      <c r="AJ325" s="2"/>
      <c r="AK325" s="61"/>
      <c r="AL325" s="61"/>
      <c r="AM325" s="61"/>
      <c r="AN325" s="2"/>
      <c r="AO325" s="2"/>
      <c r="AP325" s="2"/>
      <c r="AQ325" s="2"/>
      <c r="AR325" s="2"/>
    </row>
    <row r="326" spans="1:82" hidden="1" x14ac:dyDescent="0.2">
      <c r="A326" s="79" t="s">
        <v>470</v>
      </c>
      <c r="B326" s="80" t="s">
        <v>471</v>
      </c>
      <c r="C326" s="80">
        <v>4301031409</v>
      </c>
      <c r="D326" s="80">
        <v>4680115886438</v>
      </c>
      <c r="E326" s="81">
        <v>0.4</v>
      </c>
      <c r="F326" s="82">
        <v>6</v>
      </c>
      <c r="G326" s="81">
        <v>2.4</v>
      </c>
      <c r="H326" s="81">
        <v>2.58</v>
      </c>
      <c r="I326" s="83">
        <v>182</v>
      </c>
      <c r="J326" s="83" t="s">
        <v>86</v>
      </c>
      <c r="K326" s="84" t="s">
        <v>106</v>
      </c>
      <c r="L326" s="84"/>
      <c r="M326" s="423">
        <v>70</v>
      </c>
      <c r="N326" s="423"/>
      <c r="O326" s="469" t="s">
        <v>472</v>
      </c>
      <c r="P326" s="425"/>
      <c r="Q326" s="425"/>
      <c r="R326" s="425"/>
      <c r="S326" s="425"/>
      <c r="T326" s="85" t="s">
        <v>0</v>
      </c>
      <c r="U326" s="65">
        <v>0</v>
      </c>
      <c r="V326" s="66">
        <f>IFERROR(IF(U326="",0,CEILING((U326/$G326),1)*$G326),"")</f>
        <v>0</v>
      </c>
      <c r="W326" s="65">
        <v>0</v>
      </c>
      <c r="X326" s="66">
        <f>IFERROR(IF(W326="",0,CEILING((W326/$G326),1)*$G326),"")</f>
        <v>0</v>
      </c>
      <c r="Y326" s="65">
        <v>0</v>
      </c>
      <c r="Z326" s="66">
        <f>IFERROR(IF(Y326="",0,CEILING((Y326/$G326),1)*$G326),"")</f>
        <v>0</v>
      </c>
      <c r="AA326" s="65">
        <v>0</v>
      </c>
      <c r="AB326" s="66">
        <f>IFERROR(IF(AA326="",0,CEILING((AA326/$G326),1)*$G326),"")</f>
        <v>0</v>
      </c>
      <c r="AC326" s="67" t="str">
        <f>IF(IFERROR(ROUNDUP(V326/G326,0)*0.00651,0)+IFERROR(ROUNDUP(X326/G326,0)*0.00651,0)+IFERROR(ROUNDUP(Z326/G326,0)*0.00651,0)+IFERROR(ROUNDUP(AB326/G326,0)*0.00651,0)=0,"",IFERROR(ROUNDUP(V326/G326,0)*0.00651,0)+IFERROR(ROUNDUP(X326/G326,0)*0.00651,0)+IFERROR(ROUNDUP(Z326/G326,0)*0.00651,0)+IFERROR(ROUNDUP(AB326/G326,0)*0.00651,0))</f>
        <v/>
      </c>
      <c r="AD326" s="79" t="s">
        <v>57</v>
      </c>
      <c r="AE326" s="79" t="s">
        <v>57</v>
      </c>
      <c r="AF326" s="349" t="s">
        <v>473</v>
      </c>
      <c r="AG326" s="2"/>
      <c r="AH326" s="2"/>
      <c r="AI326" s="2"/>
      <c r="AJ326" s="2"/>
      <c r="AK326" s="2"/>
      <c r="AL326" s="61"/>
      <c r="AM326" s="61"/>
      <c r="AN326" s="61"/>
      <c r="AO326" s="2"/>
      <c r="AP326" s="2"/>
      <c r="AQ326" s="2"/>
      <c r="AR326" s="2"/>
      <c r="AS326" s="2"/>
      <c r="AT326" s="2"/>
      <c r="AU326" s="20"/>
      <c r="AV326" s="20"/>
      <c r="AW326" s="21"/>
      <c r="BB326" s="348" t="s">
        <v>65</v>
      </c>
      <c r="BO326" s="77">
        <f>IFERROR(U326*H326/G326,0)</f>
        <v>0</v>
      </c>
      <c r="BP326" s="77">
        <f>IFERROR(V326*H326/G326,0)</f>
        <v>0</v>
      </c>
      <c r="BQ326" s="77">
        <f>IFERROR(1/I326*(U326/G326),0)</f>
        <v>0</v>
      </c>
      <c r="BR326" s="77">
        <f>IFERROR(1/I326*(V326/G326),0)</f>
        <v>0</v>
      </c>
      <c r="BS326" s="77">
        <f>IFERROR(W326*H326/G326,0)</f>
        <v>0</v>
      </c>
      <c r="BT326" s="77">
        <f>IFERROR(X326*H326/G326,0)</f>
        <v>0</v>
      </c>
      <c r="BU326" s="77">
        <f>IFERROR(1/I326*(W326/G326),0)</f>
        <v>0</v>
      </c>
      <c r="BV326" s="77">
        <f>IFERROR(1/I326*(X326/G326),0)</f>
        <v>0</v>
      </c>
      <c r="BW326" s="77">
        <f>IFERROR(Y326*H326/G326,0)</f>
        <v>0</v>
      </c>
      <c r="BX326" s="77">
        <f>IFERROR(Z326*H326/G326,0)</f>
        <v>0</v>
      </c>
      <c r="BY326" s="77">
        <f>IFERROR(1/I326*(Y326/G326),0)</f>
        <v>0</v>
      </c>
      <c r="BZ326" s="77">
        <f>IFERROR(1/I326*(Z326/G326),0)</f>
        <v>0</v>
      </c>
      <c r="CA326" s="77">
        <f>IFERROR(AA326*H326/G326,0)</f>
        <v>0</v>
      </c>
      <c r="CB326" s="77">
        <f>IFERROR(AB326*H326/G326,0)</f>
        <v>0</v>
      </c>
      <c r="CC326" s="77">
        <f>IFERROR(1/I326*(AA326/G326),0)</f>
        <v>0</v>
      </c>
      <c r="CD326" s="77">
        <f>IFERROR(1/I326*(AB326/G326),0)</f>
        <v>0</v>
      </c>
    </row>
    <row r="327" spans="1:82" hidden="1" x14ac:dyDescent="0.2">
      <c r="A327" s="79" t="s">
        <v>474</v>
      </c>
      <c r="B327" s="80" t="s">
        <v>475</v>
      </c>
      <c r="C327" s="80">
        <v>4301031419</v>
      </c>
      <c r="D327" s="80">
        <v>4680115882072</v>
      </c>
      <c r="E327" s="81">
        <v>0.6</v>
      </c>
      <c r="F327" s="82">
        <v>8</v>
      </c>
      <c r="G327" s="81">
        <v>4.8</v>
      </c>
      <c r="H327" s="81">
        <v>6.93</v>
      </c>
      <c r="I327" s="83">
        <v>132</v>
      </c>
      <c r="J327" s="83" t="s">
        <v>100</v>
      </c>
      <c r="K327" s="84" t="s">
        <v>106</v>
      </c>
      <c r="L327" s="84"/>
      <c r="M327" s="423">
        <v>70</v>
      </c>
      <c r="N327" s="423"/>
      <c r="O327" s="464" t="s">
        <v>476</v>
      </c>
      <c r="P327" s="425"/>
      <c r="Q327" s="425"/>
      <c r="R327" s="425"/>
      <c r="S327" s="425"/>
      <c r="T327" s="85" t="s">
        <v>0</v>
      </c>
      <c r="U327" s="65">
        <v>0</v>
      </c>
      <c r="V327" s="66">
        <f>IFERROR(IF(U327="",0,CEILING((U327/$G327),1)*$G327),"")</f>
        <v>0</v>
      </c>
      <c r="W327" s="65">
        <v>0</v>
      </c>
      <c r="X327" s="66">
        <f>IFERROR(IF(W327="",0,CEILING((W327/$G327),1)*$G327),"")</f>
        <v>0</v>
      </c>
      <c r="Y327" s="65">
        <v>0</v>
      </c>
      <c r="Z327" s="66">
        <f>IFERROR(IF(Y327="",0,CEILING((Y327/$G327),1)*$G327),"")</f>
        <v>0</v>
      </c>
      <c r="AA327" s="65">
        <v>0</v>
      </c>
      <c r="AB327" s="66">
        <f>IFERROR(IF(AA327="",0,CEILING((AA327/$G327),1)*$G327),"")</f>
        <v>0</v>
      </c>
      <c r="AC327" s="67" t="str">
        <f>IF(IFERROR(ROUNDUP(V327/G327,0)*0.00902,0)+IFERROR(ROUNDUP(X327/G327,0)*0.00902,0)+IFERROR(ROUNDUP(Z327/G327,0)*0.00902,0)+IFERROR(ROUNDUP(AB327/G327,0)*0.00902,0)=0,"",IFERROR(ROUNDUP(V327/G327,0)*0.00902,0)+IFERROR(ROUNDUP(X327/G327,0)*0.00902,0)+IFERROR(ROUNDUP(Z327/G327,0)*0.00902,0)+IFERROR(ROUNDUP(AB327/G327,0)*0.00902,0))</f>
        <v/>
      </c>
      <c r="AD327" s="79" t="s">
        <v>57</v>
      </c>
      <c r="AE327" s="79" t="s">
        <v>57</v>
      </c>
      <c r="AF327" s="351" t="s">
        <v>473</v>
      </c>
      <c r="AG327" s="2"/>
      <c r="AH327" s="2"/>
      <c r="AI327" s="2"/>
      <c r="AJ327" s="2"/>
      <c r="AK327" s="2"/>
      <c r="AL327" s="61"/>
      <c r="AM327" s="61"/>
      <c r="AN327" s="61"/>
      <c r="AO327" s="2"/>
      <c r="AP327" s="2"/>
      <c r="AQ327" s="2"/>
      <c r="AR327" s="2"/>
      <c r="AS327" s="2"/>
      <c r="AT327" s="2"/>
      <c r="AU327" s="20"/>
      <c r="AV327" s="20"/>
      <c r="AW327" s="21"/>
      <c r="BB327" s="350" t="s">
        <v>65</v>
      </c>
      <c r="BO327" s="77">
        <f>IFERROR(U327*H327/G327,0)</f>
        <v>0</v>
      </c>
      <c r="BP327" s="77">
        <f>IFERROR(V327*H327/G327,0)</f>
        <v>0</v>
      </c>
      <c r="BQ327" s="77">
        <f>IFERROR(1/I327*(U327/G327),0)</f>
        <v>0</v>
      </c>
      <c r="BR327" s="77">
        <f>IFERROR(1/I327*(V327/G327),0)</f>
        <v>0</v>
      </c>
      <c r="BS327" s="77">
        <f>IFERROR(W327*H327/G327,0)</f>
        <v>0</v>
      </c>
      <c r="BT327" s="77">
        <f>IFERROR(X327*H327/G327,0)</f>
        <v>0</v>
      </c>
      <c r="BU327" s="77">
        <f>IFERROR(1/I327*(W327/G327),0)</f>
        <v>0</v>
      </c>
      <c r="BV327" s="77">
        <f>IFERROR(1/I327*(X327/G327),0)</f>
        <v>0</v>
      </c>
      <c r="BW327" s="77">
        <f>IFERROR(Y327*H327/G327,0)</f>
        <v>0</v>
      </c>
      <c r="BX327" s="77">
        <f>IFERROR(Z327*H327/G327,0)</f>
        <v>0</v>
      </c>
      <c r="BY327" s="77">
        <f>IFERROR(1/I327*(Y327/G327),0)</f>
        <v>0</v>
      </c>
      <c r="BZ327" s="77">
        <f>IFERROR(1/I327*(Z327/G327),0)</f>
        <v>0</v>
      </c>
      <c r="CA327" s="77">
        <f>IFERROR(AA327*H327/G327,0)</f>
        <v>0</v>
      </c>
      <c r="CB327" s="77">
        <f>IFERROR(AB327*H327/G327,0)</f>
        <v>0</v>
      </c>
      <c r="CC327" s="77">
        <f>IFERROR(1/I327*(AA327/G327),0)</f>
        <v>0</v>
      </c>
      <c r="CD327" s="77">
        <f>IFERROR(1/I327*(AB327/G327),0)</f>
        <v>0</v>
      </c>
    </row>
    <row r="328" spans="1:82" hidden="1" x14ac:dyDescent="0.2">
      <c r="A328" s="79" t="s">
        <v>477</v>
      </c>
      <c r="B328" s="80" t="s">
        <v>478</v>
      </c>
      <c r="C328" s="80">
        <v>4301031352</v>
      </c>
      <c r="D328" s="80">
        <v>4680115882102</v>
      </c>
      <c r="E328" s="81">
        <v>0.6</v>
      </c>
      <c r="F328" s="82">
        <v>6</v>
      </c>
      <c r="G328" s="81">
        <v>3.6</v>
      </c>
      <c r="H328" s="81">
        <v>3.81</v>
      </c>
      <c r="I328" s="83">
        <v>132</v>
      </c>
      <c r="J328" s="83" t="s">
        <v>100</v>
      </c>
      <c r="K328" s="84" t="s">
        <v>132</v>
      </c>
      <c r="L328" s="84"/>
      <c r="M328" s="423">
        <v>70</v>
      </c>
      <c r="N328" s="423"/>
      <c r="O328" s="465" t="s">
        <v>479</v>
      </c>
      <c r="P328" s="425"/>
      <c r="Q328" s="425"/>
      <c r="R328" s="425"/>
      <c r="S328" s="425"/>
      <c r="T328" s="85" t="s">
        <v>0</v>
      </c>
      <c r="U328" s="65">
        <v>0</v>
      </c>
      <c r="V328" s="66">
        <f>IFERROR(IF(U328="",0,CEILING((U328/$G328),1)*$G328),"")</f>
        <v>0</v>
      </c>
      <c r="W328" s="65">
        <v>0</v>
      </c>
      <c r="X328" s="66">
        <f>IFERROR(IF(W328="",0,CEILING((W328/$G328),1)*$G328),"")</f>
        <v>0</v>
      </c>
      <c r="Y328" s="65">
        <v>0</v>
      </c>
      <c r="Z328" s="66">
        <f>IFERROR(IF(Y328="",0,CEILING((Y328/$G328),1)*$G328),"")</f>
        <v>0</v>
      </c>
      <c r="AA328" s="65">
        <v>0</v>
      </c>
      <c r="AB328" s="66">
        <f>IFERROR(IF(AA328="",0,CEILING((AA328/$G328),1)*$G328),"")</f>
        <v>0</v>
      </c>
      <c r="AC328" s="67" t="str">
        <f>IF(IFERROR(ROUNDUP(V328/G328,0)*0.00902,0)+IFERROR(ROUNDUP(X328/G328,0)*0.00902,0)+IFERROR(ROUNDUP(Z328/G328,0)*0.00902,0)+IFERROR(ROUNDUP(AB328/G328,0)*0.00902,0)=0,"",IFERROR(ROUNDUP(V328/G328,0)*0.00902,0)+IFERROR(ROUNDUP(X328/G328,0)*0.00902,0)+IFERROR(ROUNDUP(Z328/G328,0)*0.00902,0)+IFERROR(ROUNDUP(AB328/G328,0)*0.00902,0))</f>
        <v/>
      </c>
      <c r="AD328" s="79" t="s">
        <v>57</v>
      </c>
      <c r="AE328" s="79" t="s">
        <v>57</v>
      </c>
      <c r="AF328" s="353" t="s">
        <v>480</v>
      </c>
      <c r="AG328" s="2"/>
      <c r="AH328" s="2"/>
      <c r="AI328" s="2"/>
      <c r="AJ328" s="2"/>
      <c r="AK328" s="2"/>
      <c r="AL328" s="61"/>
      <c r="AM328" s="61"/>
      <c r="AN328" s="61"/>
      <c r="AO328" s="2"/>
      <c r="AP328" s="2"/>
      <c r="AQ328" s="2"/>
      <c r="AR328" s="2"/>
      <c r="AS328" s="2"/>
      <c r="AT328" s="2"/>
      <c r="AU328" s="20"/>
      <c r="AV328" s="20"/>
      <c r="AW328" s="21"/>
      <c r="BB328" s="352" t="s">
        <v>65</v>
      </c>
      <c r="BO328" s="77">
        <f>IFERROR(U328*H328/G328,0)</f>
        <v>0</v>
      </c>
      <c r="BP328" s="77">
        <f>IFERROR(V328*H328/G328,0)</f>
        <v>0</v>
      </c>
      <c r="BQ328" s="77">
        <f>IFERROR(1/I328*(U328/G328),0)</f>
        <v>0</v>
      </c>
      <c r="BR328" s="77">
        <f>IFERROR(1/I328*(V328/G328),0)</f>
        <v>0</v>
      </c>
      <c r="BS328" s="77">
        <f>IFERROR(W328*H328/G328,0)</f>
        <v>0</v>
      </c>
      <c r="BT328" s="77">
        <f>IFERROR(X328*H328/G328,0)</f>
        <v>0</v>
      </c>
      <c r="BU328" s="77">
        <f>IFERROR(1/I328*(W328/G328),0)</f>
        <v>0</v>
      </c>
      <c r="BV328" s="77">
        <f>IFERROR(1/I328*(X328/G328),0)</f>
        <v>0</v>
      </c>
      <c r="BW328" s="77">
        <f>IFERROR(Y328*H328/G328,0)</f>
        <v>0</v>
      </c>
      <c r="BX328" s="77">
        <f>IFERROR(Z328*H328/G328,0)</f>
        <v>0</v>
      </c>
      <c r="BY328" s="77">
        <f>IFERROR(1/I328*(Y328/G328),0)</f>
        <v>0</v>
      </c>
      <c r="BZ328" s="77">
        <f>IFERROR(1/I328*(Z328/G328),0)</f>
        <v>0</v>
      </c>
      <c r="CA328" s="77">
        <f>IFERROR(AA328*H328/G328,0)</f>
        <v>0</v>
      </c>
      <c r="CB328" s="77">
        <f>IFERROR(AB328*H328/G328,0)</f>
        <v>0</v>
      </c>
      <c r="CC328" s="77">
        <f>IFERROR(1/I328*(AA328/G328),0)</f>
        <v>0</v>
      </c>
      <c r="CD328" s="77">
        <f>IFERROR(1/I328*(AB328/G328),0)</f>
        <v>0</v>
      </c>
    </row>
    <row r="329" spans="1:82" hidden="1" x14ac:dyDescent="0.2">
      <c r="A329" s="420"/>
      <c r="B329" s="420"/>
      <c r="C329" s="420"/>
      <c r="D329" s="420"/>
      <c r="E329" s="420"/>
      <c r="F329" s="420"/>
      <c r="G329" s="420"/>
      <c r="H329" s="420"/>
      <c r="I329" s="420"/>
      <c r="J329" s="420"/>
      <c r="K329" s="420"/>
      <c r="L329" s="420"/>
      <c r="M329" s="420"/>
      <c r="N329" s="420"/>
      <c r="O329" s="426" t="s">
        <v>43</v>
      </c>
      <c r="P329" s="427"/>
      <c r="Q329" s="427"/>
      <c r="R329" s="427"/>
      <c r="S329" s="427"/>
      <c r="T329" s="39" t="s">
        <v>42</v>
      </c>
      <c r="U329" s="50">
        <f>IFERROR(U326/G326,0)+IFERROR(U327/G327,0)+IFERROR(U328/G328,0)</f>
        <v>0</v>
      </c>
      <c r="V329" s="50">
        <f>IFERROR(V326/G326,0)+IFERROR(V327/G327,0)+IFERROR(V328/G328,0)</f>
        <v>0</v>
      </c>
      <c r="W329" s="50">
        <f>IFERROR(W326/G326,0)+IFERROR(W327/G327,0)+IFERROR(W328/G328,0)</f>
        <v>0</v>
      </c>
      <c r="X329" s="50">
        <f>IFERROR(X326/G326,0)+IFERROR(X327/G327,0)+IFERROR(X328/G328,0)</f>
        <v>0</v>
      </c>
      <c r="Y329" s="50">
        <f>IFERROR(Y326/G326,0)+IFERROR(Y327/G327,0)+IFERROR(Y328/G328,0)</f>
        <v>0</v>
      </c>
      <c r="Z329" s="50">
        <f>IFERROR(Z326/G326,0)+IFERROR(Z327/G327,0)+IFERROR(Z328/G328,0)</f>
        <v>0</v>
      </c>
      <c r="AA329" s="50">
        <f>IFERROR(AA326/G326,0)+IFERROR(AA327/G327,0)+IFERROR(AA328/G328,0)</f>
        <v>0</v>
      </c>
      <c r="AB329" s="50">
        <f>IFERROR(AB326/G326,0)+IFERROR(AB327/G327,0)+IFERROR(AB328/G328,0)</f>
        <v>0</v>
      </c>
      <c r="AC329" s="50">
        <f>IFERROR(IF(AC326="",0,AC326),0)+IFERROR(IF(AC327="",0,AC327),0)+IFERROR(IF(AC328="",0,AC328),0)</f>
        <v>0</v>
      </c>
      <c r="AD329" s="3"/>
      <c r="AE329" s="72"/>
      <c r="AF329" s="3"/>
      <c r="AG329" s="3"/>
      <c r="AH329" s="3"/>
      <c r="AI329" s="3"/>
      <c r="AJ329" s="3"/>
      <c r="AK329" s="3"/>
      <c r="AL329" s="62"/>
      <c r="AM329" s="62"/>
      <c r="AN329" s="62"/>
      <c r="AO329" s="3"/>
      <c r="AP329" s="3"/>
      <c r="AQ329" s="2"/>
      <c r="AR329" s="2"/>
      <c r="AS329" s="2"/>
      <c r="AT329" s="2"/>
      <c r="AU329" s="20"/>
      <c r="AV329" s="20"/>
      <c r="AW329" s="21"/>
    </row>
    <row r="330" spans="1:82" hidden="1" x14ac:dyDescent="0.2">
      <c r="A330" s="420"/>
      <c r="B330" s="420"/>
      <c r="C330" s="420"/>
      <c r="D330" s="420"/>
      <c r="E330" s="420"/>
      <c r="F330" s="420"/>
      <c r="G330" s="420"/>
      <c r="H330" s="420"/>
      <c r="I330" s="420"/>
      <c r="J330" s="420"/>
      <c r="K330" s="420"/>
      <c r="L330" s="420"/>
      <c r="M330" s="420"/>
      <c r="N330" s="420"/>
      <c r="O330" s="426" t="s">
        <v>43</v>
      </c>
      <c r="P330" s="427"/>
      <c r="Q330" s="427"/>
      <c r="R330" s="427"/>
      <c r="S330" s="427"/>
      <c r="T330" s="39" t="s">
        <v>0</v>
      </c>
      <c r="U330" s="102">
        <f t="shared" ref="U330:AB330" si="112">IFERROR(SUM(U326:U328),0)</f>
        <v>0</v>
      </c>
      <c r="V330" s="102">
        <f t="shared" si="112"/>
        <v>0</v>
      </c>
      <c r="W330" s="102">
        <f t="shared" si="112"/>
        <v>0</v>
      </c>
      <c r="X330" s="102">
        <f t="shared" si="112"/>
        <v>0</v>
      </c>
      <c r="Y330" s="102">
        <f t="shared" si="112"/>
        <v>0</v>
      </c>
      <c r="Z330" s="102">
        <f t="shared" si="112"/>
        <v>0</v>
      </c>
      <c r="AA330" s="102">
        <f t="shared" si="112"/>
        <v>0</v>
      </c>
      <c r="AB330" s="102">
        <f t="shared" si="112"/>
        <v>0</v>
      </c>
      <c r="AC330" s="50" t="s">
        <v>57</v>
      </c>
      <c r="AD330" s="3"/>
      <c r="AE330" s="72"/>
      <c r="AF330" s="3"/>
      <c r="AG330" s="3"/>
      <c r="AH330" s="3"/>
      <c r="AI330" s="3"/>
      <c r="AJ330" s="3"/>
      <c r="AK330" s="3"/>
      <c r="AL330" s="62"/>
      <c r="AM330" s="62"/>
      <c r="AN330" s="62"/>
      <c r="AO330" s="3"/>
      <c r="AP330" s="3"/>
      <c r="AQ330" s="2"/>
      <c r="AR330" s="2"/>
      <c r="AS330" s="2"/>
      <c r="AT330" s="2"/>
      <c r="AU330" s="20"/>
      <c r="AV330" s="20"/>
      <c r="AW330" s="21"/>
    </row>
    <row r="331" spans="1:82" ht="15" hidden="1" x14ac:dyDescent="0.25">
      <c r="A331" s="428" t="s">
        <v>82</v>
      </c>
      <c r="B331" s="429"/>
      <c r="C331" s="429"/>
      <c r="D331" s="429"/>
      <c r="E331" s="429"/>
      <c r="F331" s="429"/>
      <c r="G331" s="429"/>
      <c r="H331" s="429"/>
      <c r="I331" s="429"/>
      <c r="J331" s="429"/>
      <c r="K331" s="429"/>
      <c r="L331" s="429"/>
      <c r="M331" s="429"/>
      <c r="N331" s="429"/>
      <c r="O331" s="429"/>
      <c r="P331" s="429"/>
      <c r="Q331" s="429"/>
      <c r="R331" s="429"/>
      <c r="S331" s="429"/>
      <c r="T331" s="429"/>
      <c r="U331" s="429"/>
      <c r="V331" s="429"/>
      <c r="W331" s="429"/>
      <c r="X331" s="430"/>
      <c r="Y331" s="430"/>
      <c r="Z331" s="430"/>
      <c r="AA331" s="431"/>
      <c r="AB331" s="431"/>
      <c r="AC331" s="431"/>
      <c r="AD331" s="431"/>
      <c r="AE331" s="432"/>
      <c r="AF331" s="433"/>
      <c r="AG331" s="2"/>
      <c r="AH331" s="2"/>
      <c r="AI331" s="2"/>
      <c r="AJ331" s="2"/>
      <c r="AK331" s="61"/>
      <c r="AL331" s="61"/>
      <c r="AM331" s="61"/>
      <c r="AN331" s="2"/>
      <c r="AO331" s="2"/>
      <c r="AP331" s="2"/>
      <c r="AQ331" s="2"/>
      <c r="AR331" s="2"/>
    </row>
    <row r="332" spans="1:82" hidden="1" x14ac:dyDescent="0.2">
      <c r="A332" s="79" t="s">
        <v>481</v>
      </c>
      <c r="B332" s="80" t="s">
        <v>482</v>
      </c>
      <c r="C332" s="80">
        <v>4301051232</v>
      </c>
      <c r="D332" s="80">
        <v>4607091383409</v>
      </c>
      <c r="E332" s="81">
        <v>1.3</v>
      </c>
      <c r="F332" s="82">
        <v>6</v>
      </c>
      <c r="G332" s="81">
        <v>7.8</v>
      </c>
      <c r="H332" s="81">
        <v>8.3010000000000002</v>
      </c>
      <c r="I332" s="83">
        <v>64</v>
      </c>
      <c r="J332" s="83" t="s">
        <v>114</v>
      </c>
      <c r="K332" s="84" t="s">
        <v>99</v>
      </c>
      <c r="L332" s="84"/>
      <c r="M332" s="423">
        <v>45</v>
      </c>
      <c r="N332" s="423"/>
      <c r="O332" s="46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P332" s="425"/>
      <c r="Q332" s="425"/>
      <c r="R332" s="425"/>
      <c r="S332" s="425"/>
      <c r="T332" s="85" t="s">
        <v>0</v>
      </c>
      <c r="U332" s="65">
        <v>0</v>
      </c>
      <c r="V332" s="66">
        <f>IFERROR(IF(U332="",0,CEILING((U332/$G332),1)*$G332),"")</f>
        <v>0</v>
      </c>
      <c r="W332" s="65">
        <v>0</v>
      </c>
      <c r="X332" s="66">
        <f>IFERROR(IF(W332="",0,CEILING((W332/$G332),1)*$G332),"")</f>
        <v>0</v>
      </c>
      <c r="Y332" s="65">
        <v>0</v>
      </c>
      <c r="Z332" s="66">
        <f>IFERROR(IF(Y332="",0,CEILING((Y332/$G332),1)*$G332),"")</f>
        <v>0</v>
      </c>
      <c r="AA332" s="65">
        <v>0</v>
      </c>
      <c r="AB332" s="66">
        <f>IFERROR(IF(AA332="",0,CEILING((AA332/$G332),1)*$G332),"")</f>
        <v>0</v>
      </c>
      <c r="AC332" s="67" t="str">
        <f>IF(IFERROR(ROUNDUP(V332/G332,0)*0.01898,0)+IFERROR(ROUNDUP(X332/G332,0)*0.01898,0)+IFERROR(ROUNDUP(Z332/G332,0)*0.01898,0)+IFERROR(ROUNDUP(AB332/G332,0)*0.01898,0)=0,"",IFERROR(ROUNDUP(V332/G332,0)*0.01898,0)+IFERROR(ROUNDUP(X332/G332,0)*0.01898,0)+IFERROR(ROUNDUP(Z332/G332,0)*0.01898,0)+IFERROR(ROUNDUP(AB332/G332,0)*0.01898,0))</f>
        <v/>
      </c>
      <c r="AD332" s="79" t="s">
        <v>57</v>
      </c>
      <c r="AE332" s="79" t="s">
        <v>57</v>
      </c>
      <c r="AF332" s="355" t="s">
        <v>483</v>
      </c>
      <c r="AG332" s="2"/>
      <c r="AH332" s="2"/>
      <c r="AI332" s="2"/>
      <c r="AJ332" s="2"/>
      <c r="AK332" s="2"/>
      <c r="AL332" s="61"/>
      <c r="AM332" s="61"/>
      <c r="AN332" s="61"/>
      <c r="AO332" s="2"/>
      <c r="AP332" s="2"/>
      <c r="AQ332" s="2"/>
      <c r="AR332" s="2"/>
      <c r="AS332" s="2"/>
      <c r="AT332" s="2"/>
      <c r="AU332" s="20"/>
      <c r="AV332" s="20"/>
      <c r="AW332" s="21"/>
      <c r="BB332" s="354" t="s">
        <v>65</v>
      </c>
      <c r="BO332" s="77">
        <f>IFERROR(U332*H332/G332,0)</f>
        <v>0</v>
      </c>
      <c r="BP332" s="77">
        <f>IFERROR(V332*H332/G332,0)</f>
        <v>0</v>
      </c>
      <c r="BQ332" s="77">
        <f>IFERROR(1/I332*(U332/G332),0)</f>
        <v>0</v>
      </c>
      <c r="BR332" s="77">
        <f>IFERROR(1/I332*(V332/G332),0)</f>
        <v>0</v>
      </c>
      <c r="BS332" s="77">
        <f>IFERROR(W332*H332/G332,0)</f>
        <v>0</v>
      </c>
      <c r="BT332" s="77">
        <f>IFERROR(X332*H332/G332,0)</f>
        <v>0</v>
      </c>
      <c r="BU332" s="77">
        <f>IFERROR(1/I332*(W332/G332),0)</f>
        <v>0</v>
      </c>
      <c r="BV332" s="77">
        <f>IFERROR(1/I332*(X332/G332),0)</f>
        <v>0</v>
      </c>
      <c r="BW332" s="77">
        <f>IFERROR(Y332*H332/G332,0)</f>
        <v>0</v>
      </c>
      <c r="BX332" s="77">
        <f>IFERROR(Z332*H332/G332,0)</f>
        <v>0</v>
      </c>
      <c r="BY332" s="77">
        <f>IFERROR(1/I332*(Y332/G332),0)</f>
        <v>0</v>
      </c>
      <c r="BZ332" s="77">
        <f>IFERROR(1/I332*(Z332/G332),0)</f>
        <v>0</v>
      </c>
      <c r="CA332" s="77">
        <f>IFERROR(AA332*H332/G332,0)</f>
        <v>0</v>
      </c>
      <c r="CB332" s="77">
        <f>IFERROR(AB332*H332/G332,0)</f>
        <v>0</v>
      </c>
      <c r="CC332" s="77">
        <f>IFERROR(1/I332*(AA332/G332),0)</f>
        <v>0</v>
      </c>
      <c r="CD332" s="77">
        <f>IFERROR(1/I332*(AB332/G332),0)</f>
        <v>0</v>
      </c>
    </row>
    <row r="333" spans="1:82" ht="22.5" hidden="1" x14ac:dyDescent="0.2">
      <c r="A333" s="79" t="s">
        <v>484</v>
      </c>
      <c r="B333" s="80" t="s">
        <v>485</v>
      </c>
      <c r="C333" s="80">
        <v>4301051233</v>
      </c>
      <c r="D333" s="80">
        <v>4607091383416</v>
      </c>
      <c r="E333" s="81">
        <v>1.3</v>
      </c>
      <c r="F333" s="82">
        <v>6</v>
      </c>
      <c r="G333" s="81">
        <v>7.8</v>
      </c>
      <c r="H333" s="81">
        <v>8.3010000000000002</v>
      </c>
      <c r="I333" s="83">
        <v>64</v>
      </c>
      <c r="J333" s="83" t="s">
        <v>114</v>
      </c>
      <c r="K333" s="84" t="s">
        <v>99</v>
      </c>
      <c r="L333" s="84"/>
      <c r="M333" s="423">
        <v>45</v>
      </c>
      <c r="N333" s="423"/>
      <c r="O333" s="46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P333" s="425"/>
      <c r="Q333" s="425"/>
      <c r="R333" s="425"/>
      <c r="S333" s="425"/>
      <c r="T333" s="85" t="s">
        <v>0</v>
      </c>
      <c r="U333" s="65">
        <v>0</v>
      </c>
      <c r="V333" s="66">
        <f>IFERROR(IF(U333="",0,CEILING((U333/$G333),1)*$G333),"")</f>
        <v>0</v>
      </c>
      <c r="W333" s="65">
        <v>0</v>
      </c>
      <c r="X333" s="66">
        <f>IFERROR(IF(W333="",0,CEILING((W333/$G333),1)*$G333),"")</f>
        <v>0</v>
      </c>
      <c r="Y333" s="65">
        <v>0</v>
      </c>
      <c r="Z333" s="66">
        <f>IFERROR(IF(Y333="",0,CEILING((Y333/$G333),1)*$G333),"")</f>
        <v>0</v>
      </c>
      <c r="AA333" s="65">
        <v>0</v>
      </c>
      <c r="AB333" s="66">
        <f>IFERROR(IF(AA333="",0,CEILING((AA333/$G333),1)*$G333),"")</f>
        <v>0</v>
      </c>
      <c r="AC333" s="67" t="str">
        <f>IF(IFERROR(ROUNDUP(V333/G333,0)*0.01898,0)+IFERROR(ROUNDUP(X333/G333,0)*0.01898,0)+IFERROR(ROUNDUP(Z333/G333,0)*0.01898,0)+IFERROR(ROUNDUP(AB333/G333,0)*0.01898,0)=0,"",IFERROR(ROUNDUP(V333/G333,0)*0.01898,0)+IFERROR(ROUNDUP(X333/G333,0)*0.01898,0)+IFERROR(ROUNDUP(Z333/G333,0)*0.01898,0)+IFERROR(ROUNDUP(AB333/G333,0)*0.01898,0))</f>
        <v/>
      </c>
      <c r="AD333" s="79" t="s">
        <v>57</v>
      </c>
      <c r="AE333" s="79" t="s">
        <v>57</v>
      </c>
      <c r="AF333" s="357" t="s">
        <v>486</v>
      </c>
      <c r="AG333" s="2"/>
      <c r="AH333" s="2"/>
      <c r="AI333" s="2"/>
      <c r="AJ333" s="2"/>
      <c r="AK333" s="2"/>
      <c r="AL333" s="61"/>
      <c r="AM333" s="61"/>
      <c r="AN333" s="61"/>
      <c r="AO333" s="2"/>
      <c r="AP333" s="2"/>
      <c r="AQ333" s="2"/>
      <c r="AR333" s="2"/>
      <c r="AS333" s="2"/>
      <c r="AT333" s="2"/>
      <c r="AU333" s="20"/>
      <c r="AV333" s="20"/>
      <c r="AW333" s="21"/>
      <c r="BB333" s="356" t="s">
        <v>65</v>
      </c>
      <c r="BO333" s="77">
        <f>IFERROR(U333*H333/G333,0)</f>
        <v>0</v>
      </c>
      <c r="BP333" s="77">
        <f>IFERROR(V333*H333/G333,0)</f>
        <v>0</v>
      </c>
      <c r="BQ333" s="77">
        <f>IFERROR(1/I333*(U333/G333),0)</f>
        <v>0</v>
      </c>
      <c r="BR333" s="77">
        <f>IFERROR(1/I333*(V333/G333),0)</f>
        <v>0</v>
      </c>
      <c r="BS333" s="77">
        <f>IFERROR(W333*H333/G333,0)</f>
        <v>0</v>
      </c>
      <c r="BT333" s="77">
        <f>IFERROR(X333*H333/G333,0)</f>
        <v>0</v>
      </c>
      <c r="BU333" s="77">
        <f>IFERROR(1/I333*(W333/G333),0)</f>
        <v>0</v>
      </c>
      <c r="BV333" s="77">
        <f>IFERROR(1/I333*(X333/G333),0)</f>
        <v>0</v>
      </c>
      <c r="BW333" s="77">
        <f>IFERROR(Y333*H333/G333,0)</f>
        <v>0</v>
      </c>
      <c r="BX333" s="77">
        <f>IFERROR(Z333*H333/G333,0)</f>
        <v>0</v>
      </c>
      <c r="BY333" s="77">
        <f>IFERROR(1/I333*(Y333/G333),0)</f>
        <v>0</v>
      </c>
      <c r="BZ333" s="77">
        <f>IFERROR(1/I333*(Z333/G333),0)</f>
        <v>0</v>
      </c>
      <c r="CA333" s="77">
        <f>IFERROR(AA333*H333/G333,0)</f>
        <v>0</v>
      </c>
      <c r="CB333" s="77">
        <f>IFERROR(AB333*H333/G333,0)</f>
        <v>0</v>
      </c>
      <c r="CC333" s="77">
        <f>IFERROR(1/I333*(AA333/G333),0)</f>
        <v>0</v>
      </c>
      <c r="CD333" s="77">
        <f>IFERROR(1/I333*(AB333/G333),0)</f>
        <v>0</v>
      </c>
    </row>
    <row r="334" spans="1:82" ht="22.5" hidden="1" x14ac:dyDescent="0.2">
      <c r="A334" s="79" t="s">
        <v>487</v>
      </c>
      <c r="B334" s="80" t="s">
        <v>488</v>
      </c>
      <c r="C334" s="80">
        <v>4301051064</v>
      </c>
      <c r="D334" s="80">
        <v>4680115883536</v>
      </c>
      <c r="E334" s="81">
        <v>0.3</v>
      </c>
      <c r="F334" s="82">
        <v>6</v>
      </c>
      <c r="G334" s="81">
        <v>1.8</v>
      </c>
      <c r="H334" s="81">
        <v>2.0459999999999998</v>
      </c>
      <c r="I334" s="83">
        <v>182</v>
      </c>
      <c r="J334" s="83" t="s">
        <v>86</v>
      </c>
      <c r="K334" s="84" t="s">
        <v>99</v>
      </c>
      <c r="L334" s="84"/>
      <c r="M334" s="423">
        <v>45</v>
      </c>
      <c r="N334" s="423"/>
      <c r="O334" s="4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P334" s="425"/>
      <c r="Q334" s="425"/>
      <c r="R334" s="425"/>
      <c r="S334" s="425"/>
      <c r="T334" s="85" t="s">
        <v>0</v>
      </c>
      <c r="U334" s="65">
        <v>0</v>
      </c>
      <c r="V334" s="66">
        <f>IFERROR(IF(U334="",0,CEILING((U334/$G334),1)*$G334),"")</f>
        <v>0</v>
      </c>
      <c r="W334" s="65">
        <v>0</v>
      </c>
      <c r="X334" s="66">
        <f>IFERROR(IF(W334="",0,CEILING((W334/$G334),1)*$G334),"")</f>
        <v>0</v>
      </c>
      <c r="Y334" s="65">
        <v>0</v>
      </c>
      <c r="Z334" s="66">
        <f>IFERROR(IF(Y334="",0,CEILING((Y334/$G334),1)*$G334),"")</f>
        <v>0</v>
      </c>
      <c r="AA334" s="65">
        <v>0</v>
      </c>
      <c r="AB334" s="66">
        <f>IFERROR(IF(AA334="",0,CEILING((AA334/$G334),1)*$G334),"")</f>
        <v>0</v>
      </c>
      <c r="AC334" s="67" t="str">
        <f>IF(IFERROR(ROUNDUP(V334/G334,0)*0.00651,0)+IFERROR(ROUNDUP(X334/G334,0)*0.00651,0)+IFERROR(ROUNDUP(Z334/G334,0)*0.00651,0)+IFERROR(ROUNDUP(AB334/G334,0)*0.00651,0)=0,"",IFERROR(ROUNDUP(V334/G334,0)*0.00651,0)+IFERROR(ROUNDUP(X334/G334,0)*0.00651,0)+IFERROR(ROUNDUP(Z334/G334,0)*0.00651,0)+IFERROR(ROUNDUP(AB334/G334,0)*0.00651,0))</f>
        <v/>
      </c>
      <c r="AD334" s="79" t="s">
        <v>57</v>
      </c>
      <c r="AE334" s="79" t="s">
        <v>57</v>
      </c>
      <c r="AF334" s="359" t="s">
        <v>489</v>
      </c>
      <c r="AG334" s="2"/>
      <c r="AH334" s="2"/>
      <c r="AI334" s="2"/>
      <c r="AJ334" s="2"/>
      <c r="AK334" s="2"/>
      <c r="AL334" s="61"/>
      <c r="AM334" s="61"/>
      <c r="AN334" s="61"/>
      <c r="AO334" s="2"/>
      <c r="AP334" s="2"/>
      <c r="AQ334" s="2"/>
      <c r="AR334" s="2"/>
      <c r="AS334" s="2"/>
      <c r="AT334" s="2"/>
      <c r="AU334" s="20"/>
      <c r="AV334" s="20"/>
      <c r="AW334" s="21"/>
      <c r="BB334" s="358" t="s">
        <v>65</v>
      </c>
      <c r="BO334" s="77">
        <f>IFERROR(U334*H334/G334,0)</f>
        <v>0</v>
      </c>
      <c r="BP334" s="77">
        <f>IFERROR(V334*H334/G334,0)</f>
        <v>0</v>
      </c>
      <c r="BQ334" s="77">
        <f>IFERROR(1/I334*(U334/G334),0)</f>
        <v>0</v>
      </c>
      <c r="BR334" s="77">
        <f>IFERROR(1/I334*(V334/G334),0)</f>
        <v>0</v>
      </c>
      <c r="BS334" s="77">
        <f>IFERROR(W334*H334/G334,0)</f>
        <v>0</v>
      </c>
      <c r="BT334" s="77">
        <f>IFERROR(X334*H334/G334,0)</f>
        <v>0</v>
      </c>
      <c r="BU334" s="77">
        <f>IFERROR(1/I334*(W334/G334),0)</f>
        <v>0</v>
      </c>
      <c r="BV334" s="77">
        <f>IFERROR(1/I334*(X334/G334),0)</f>
        <v>0</v>
      </c>
      <c r="BW334" s="77">
        <f>IFERROR(Y334*H334/G334,0)</f>
        <v>0</v>
      </c>
      <c r="BX334" s="77">
        <f>IFERROR(Z334*H334/G334,0)</f>
        <v>0</v>
      </c>
      <c r="BY334" s="77">
        <f>IFERROR(1/I334*(Y334/G334),0)</f>
        <v>0</v>
      </c>
      <c r="BZ334" s="77">
        <f>IFERROR(1/I334*(Z334/G334),0)</f>
        <v>0</v>
      </c>
      <c r="CA334" s="77">
        <f>IFERROR(AA334*H334/G334,0)</f>
        <v>0</v>
      </c>
      <c r="CB334" s="77">
        <f>IFERROR(AB334*H334/G334,0)</f>
        <v>0</v>
      </c>
      <c r="CC334" s="77">
        <f>IFERROR(1/I334*(AA334/G334),0)</f>
        <v>0</v>
      </c>
      <c r="CD334" s="77">
        <f>IFERROR(1/I334*(AB334/G334),0)</f>
        <v>0</v>
      </c>
    </row>
    <row r="335" spans="1:82" hidden="1" x14ac:dyDescent="0.2">
      <c r="A335" s="420"/>
      <c r="B335" s="420"/>
      <c r="C335" s="420"/>
      <c r="D335" s="420"/>
      <c r="E335" s="420"/>
      <c r="F335" s="420"/>
      <c r="G335" s="420"/>
      <c r="H335" s="420"/>
      <c r="I335" s="420"/>
      <c r="J335" s="420"/>
      <c r="K335" s="420"/>
      <c r="L335" s="420"/>
      <c r="M335" s="420"/>
      <c r="N335" s="420"/>
      <c r="O335" s="426" t="s">
        <v>43</v>
      </c>
      <c r="P335" s="427"/>
      <c r="Q335" s="427"/>
      <c r="R335" s="427"/>
      <c r="S335" s="427"/>
      <c r="T335" s="39" t="s">
        <v>42</v>
      </c>
      <c r="U335" s="50">
        <f>IFERROR(U332/G332,0)+IFERROR(U333/G333,0)+IFERROR(U334/G334,0)</f>
        <v>0</v>
      </c>
      <c r="V335" s="50">
        <f>IFERROR(V332/G332,0)+IFERROR(V333/G333,0)+IFERROR(V334/G334,0)</f>
        <v>0</v>
      </c>
      <c r="W335" s="50">
        <f>IFERROR(W332/G332,0)+IFERROR(W333/G333,0)+IFERROR(W334/G334,0)</f>
        <v>0</v>
      </c>
      <c r="X335" s="50">
        <f>IFERROR(X332/G332,0)+IFERROR(X333/G333,0)+IFERROR(X334/G334,0)</f>
        <v>0</v>
      </c>
      <c r="Y335" s="50">
        <f>IFERROR(Y332/G332,0)+IFERROR(Y333/G333,0)+IFERROR(Y334/G334,0)</f>
        <v>0</v>
      </c>
      <c r="Z335" s="50">
        <f>IFERROR(Z332/G332,0)+IFERROR(Z333/G333,0)+IFERROR(Z334/G334,0)</f>
        <v>0</v>
      </c>
      <c r="AA335" s="50">
        <f>IFERROR(AA332/G332,0)+IFERROR(AA333/G333,0)+IFERROR(AA334/G334,0)</f>
        <v>0</v>
      </c>
      <c r="AB335" s="50">
        <f>IFERROR(AB332/G332,0)+IFERROR(AB333/G333,0)+IFERROR(AB334/G334,0)</f>
        <v>0</v>
      </c>
      <c r="AC335" s="50">
        <f>IFERROR(IF(AC332="",0,AC332),0)+IFERROR(IF(AC333="",0,AC333),0)+IFERROR(IF(AC334="",0,AC334),0)</f>
        <v>0</v>
      </c>
      <c r="AD335" s="3"/>
      <c r="AE335" s="72"/>
      <c r="AF335" s="3"/>
      <c r="AG335" s="3"/>
      <c r="AH335" s="3"/>
      <c r="AI335" s="3"/>
      <c r="AJ335" s="3"/>
      <c r="AK335" s="3"/>
      <c r="AL335" s="62"/>
      <c r="AM335" s="62"/>
      <c r="AN335" s="62"/>
      <c r="AO335" s="3"/>
      <c r="AP335" s="3"/>
      <c r="AQ335" s="2"/>
      <c r="AR335" s="2"/>
      <c r="AS335" s="2"/>
      <c r="AT335" s="2"/>
      <c r="AU335" s="20"/>
      <c r="AV335" s="20"/>
      <c r="AW335" s="21"/>
    </row>
    <row r="336" spans="1:82" hidden="1" x14ac:dyDescent="0.2">
      <c r="A336" s="420"/>
      <c r="B336" s="420"/>
      <c r="C336" s="420"/>
      <c r="D336" s="420"/>
      <c r="E336" s="420"/>
      <c r="F336" s="420"/>
      <c r="G336" s="420"/>
      <c r="H336" s="420"/>
      <c r="I336" s="420"/>
      <c r="J336" s="420"/>
      <c r="K336" s="420"/>
      <c r="L336" s="420"/>
      <c r="M336" s="420"/>
      <c r="N336" s="420"/>
      <c r="O336" s="426" t="s">
        <v>43</v>
      </c>
      <c r="P336" s="427"/>
      <c r="Q336" s="427"/>
      <c r="R336" s="427"/>
      <c r="S336" s="427"/>
      <c r="T336" s="39" t="s">
        <v>0</v>
      </c>
      <c r="U336" s="102">
        <f t="shared" ref="U336:AB336" si="113">IFERROR(SUM(U332:U334),0)</f>
        <v>0</v>
      </c>
      <c r="V336" s="102">
        <f t="shared" si="113"/>
        <v>0</v>
      </c>
      <c r="W336" s="102">
        <f t="shared" si="113"/>
        <v>0</v>
      </c>
      <c r="X336" s="102">
        <f t="shared" si="113"/>
        <v>0</v>
      </c>
      <c r="Y336" s="102">
        <f t="shared" si="113"/>
        <v>0</v>
      </c>
      <c r="Z336" s="102">
        <f t="shared" si="113"/>
        <v>0</v>
      </c>
      <c r="AA336" s="102">
        <f t="shared" si="113"/>
        <v>0</v>
      </c>
      <c r="AB336" s="102">
        <f t="shared" si="113"/>
        <v>0</v>
      </c>
      <c r="AC336" s="50" t="s">
        <v>57</v>
      </c>
      <c r="AD336" s="3"/>
      <c r="AE336" s="72"/>
      <c r="AF336" s="3"/>
      <c r="AG336" s="3"/>
      <c r="AH336" s="3"/>
      <c r="AI336" s="3"/>
      <c r="AJ336" s="3"/>
      <c r="AK336" s="3"/>
      <c r="AL336" s="62"/>
      <c r="AM336" s="62"/>
      <c r="AN336" s="62"/>
      <c r="AO336" s="3"/>
      <c r="AP336" s="3"/>
      <c r="AQ336" s="2"/>
      <c r="AR336" s="2"/>
      <c r="AS336" s="2"/>
      <c r="AT336" s="2"/>
      <c r="AU336" s="20"/>
      <c r="AV336" s="20"/>
      <c r="AW336" s="21"/>
    </row>
    <row r="337" spans="1:82" ht="15" hidden="1" x14ac:dyDescent="0.25">
      <c r="A337" s="428" t="s">
        <v>146</v>
      </c>
      <c r="B337" s="429"/>
      <c r="C337" s="429"/>
      <c r="D337" s="429"/>
      <c r="E337" s="429"/>
      <c r="F337" s="429"/>
      <c r="G337" s="429"/>
      <c r="H337" s="429"/>
      <c r="I337" s="429"/>
      <c r="J337" s="429"/>
      <c r="K337" s="429"/>
      <c r="L337" s="429"/>
      <c r="M337" s="429"/>
      <c r="N337" s="429"/>
      <c r="O337" s="429"/>
      <c r="P337" s="429"/>
      <c r="Q337" s="429"/>
      <c r="R337" s="429"/>
      <c r="S337" s="429"/>
      <c r="T337" s="429"/>
      <c r="U337" s="429"/>
      <c r="V337" s="429"/>
      <c r="W337" s="429"/>
      <c r="X337" s="430"/>
      <c r="Y337" s="430"/>
      <c r="Z337" s="430"/>
      <c r="AA337" s="431"/>
      <c r="AB337" s="431"/>
      <c r="AC337" s="431"/>
      <c r="AD337" s="431"/>
      <c r="AE337" s="432"/>
      <c r="AF337" s="433"/>
      <c r="AG337" s="2"/>
      <c r="AH337" s="2"/>
      <c r="AI337" s="2"/>
      <c r="AJ337" s="2"/>
      <c r="AK337" s="61"/>
      <c r="AL337" s="61"/>
      <c r="AM337" s="61"/>
      <c r="AN337" s="2"/>
      <c r="AO337" s="2"/>
      <c r="AP337" s="2"/>
      <c r="AQ337" s="2"/>
      <c r="AR337" s="2"/>
    </row>
    <row r="338" spans="1:82" ht="33.75" hidden="1" x14ac:dyDescent="0.2">
      <c r="A338" s="79" t="s">
        <v>490</v>
      </c>
      <c r="B338" s="80" t="s">
        <v>491</v>
      </c>
      <c r="C338" s="80">
        <v>4301060451</v>
      </c>
      <c r="D338" s="80">
        <v>4680115885035</v>
      </c>
      <c r="E338" s="81">
        <v>1</v>
      </c>
      <c r="F338" s="82">
        <v>4</v>
      </c>
      <c r="G338" s="81">
        <v>4</v>
      </c>
      <c r="H338" s="81">
        <v>4.4160000000000004</v>
      </c>
      <c r="I338" s="83">
        <v>104</v>
      </c>
      <c r="J338" s="83" t="s">
        <v>114</v>
      </c>
      <c r="K338" s="84" t="s">
        <v>85</v>
      </c>
      <c r="L338" s="84"/>
      <c r="M338" s="423">
        <v>35</v>
      </c>
      <c r="N338" s="423"/>
      <c r="O338" s="46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P338" s="425"/>
      <c r="Q338" s="425"/>
      <c r="R338" s="425"/>
      <c r="S338" s="425"/>
      <c r="T338" s="85" t="s">
        <v>0</v>
      </c>
      <c r="U338" s="65">
        <v>0</v>
      </c>
      <c r="V338" s="66">
        <f>IFERROR(IF(U338="",0,CEILING((U338/$G338),1)*$G338),"")</f>
        <v>0</v>
      </c>
      <c r="W338" s="65">
        <v>0</v>
      </c>
      <c r="X338" s="66">
        <f>IFERROR(IF(W338="",0,CEILING((W338/$G338),1)*$G338),"")</f>
        <v>0</v>
      </c>
      <c r="Y338" s="65">
        <v>0</v>
      </c>
      <c r="Z338" s="66">
        <f>IFERROR(IF(Y338="",0,CEILING((Y338/$G338),1)*$G338),"")</f>
        <v>0</v>
      </c>
      <c r="AA338" s="65">
        <v>0</v>
      </c>
      <c r="AB338" s="66">
        <f>IFERROR(IF(AA338="",0,CEILING((AA338/$G338),1)*$G338),"")</f>
        <v>0</v>
      </c>
      <c r="AC338" s="67" t="str">
        <f>IF(IFERROR(ROUNDUP(V338/G338,0)*0.01196,0)+IFERROR(ROUNDUP(X338/G338,0)*0.01196,0)+IFERROR(ROUNDUP(Z338/G338,0)*0.01196,0)+IFERROR(ROUNDUP(AB338/G338,0)*0.01196,0)=0,"",IFERROR(ROUNDUP(V338/G338,0)*0.01196,0)+IFERROR(ROUNDUP(X338/G338,0)*0.01196,0)+IFERROR(ROUNDUP(Z338/G338,0)*0.01196,0)+IFERROR(ROUNDUP(AB338/G338,0)*0.01196,0))</f>
        <v/>
      </c>
      <c r="AD338" s="79" t="s">
        <v>57</v>
      </c>
      <c r="AE338" s="79" t="s">
        <v>57</v>
      </c>
      <c r="AF338" s="361" t="s">
        <v>492</v>
      </c>
      <c r="AG338" s="2"/>
      <c r="AH338" s="2"/>
      <c r="AI338" s="2"/>
      <c r="AJ338" s="2"/>
      <c r="AK338" s="2"/>
      <c r="AL338" s="61"/>
      <c r="AM338" s="61"/>
      <c r="AN338" s="61"/>
      <c r="AO338" s="2"/>
      <c r="AP338" s="2"/>
      <c r="AQ338" s="2"/>
      <c r="AR338" s="2"/>
      <c r="AS338" s="2"/>
      <c r="AT338" s="2"/>
      <c r="AU338" s="20"/>
      <c r="AV338" s="20"/>
      <c r="AW338" s="21"/>
      <c r="BB338" s="360" t="s">
        <v>65</v>
      </c>
      <c r="BO338" s="77">
        <f>IFERROR(U338*H338/G338,0)</f>
        <v>0</v>
      </c>
      <c r="BP338" s="77">
        <f>IFERROR(V338*H338/G338,0)</f>
        <v>0</v>
      </c>
      <c r="BQ338" s="77">
        <f>IFERROR(1/I338*(U338/G338),0)</f>
        <v>0</v>
      </c>
      <c r="BR338" s="77">
        <f>IFERROR(1/I338*(V338/G338),0)</f>
        <v>0</v>
      </c>
      <c r="BS338" s="77">
        <f>IFERROR(W338*H338/G338,0)</f>
        <v>0</v>
      </c>
      <c r="BT338" s="77">
        <f>IFERROR(X338*H338/G338,0)</f>
        <v>0</v>
      </c>
      <c r="BU338" s="77">
        <f>IFERROR(1/I338*(W338/G338),0)</f>
        <v>0</v>
      </c>
      <c r="BV338" s="77">
        <f>IFERROR(1/I338*(X338/G338),0)</f>
        <v>0</v>
      </c>
      <c r="BW338" s="77">
        <f>IFERROR(Y338*H338/G338,0)</f>
        <v>0</v>
      </c>
      <c r="BX338" s="77">
        <f>IFERROR(Z338*H338/G338,0)</f>
        <v>0</v>
      </c>
      <c r="BY338" s="77">
        <f>IFERROR(1/I338*(Y338/G338),0)</f>
        <v>0</v>
      </c>
      <c r="BZ338" s="77">
        <f>IFERROR(1/I338*(Z338/G338),0)</f>
        <v>0</v>
      </c>
      <c r="CA338" s="77">
        <f>IFERROR(AA338*H338/G338,0)</f>
        <v>0</v>
      </c>
      <c r="CB338" s="77">
        <f>IFERROR(AB338*H338/G338,0)</f>
        <v>0</v>
      </c>
      <c r="CC338" s="77">
        <f>IFERROR(1/I338*(AA338/G338),0)</f>
        <v>0</v>
      </c>
      <c r="CD338" s="77">
        <f>IFERROR(1/I338*(AB338/G338),0)</f>
        <v>0</v>
      </c>
    </row>
    <row r="339" spans="1:82" ht="33.75" hidden="1" x14ac:dyDescent="0.2">
      <c r="A339" s="79" t="s">
        <v>493</v>
      </c>
      <c r="B339" s="80" t="s">
        <v>494</v>
      </c>
      <c r="C339" s="80">
        <v>4301060449</v>
      </c>
      <c r="D339" s="80">
        <v>4680115885936</v>
      </c>
      <c r="E339" s="81">
        <v>1.3</v>
      </c>
      <c r="F339" s="82">
        <v>6</v>
      </c>
      <c r="G339" s="81">
        <v>7.8</v>
      </c>
      <c r="H339" s="81">
        <v>8.2349999999999994</v>
      </c>
      <c r="I339" s="83">
        <v>64</v>
      </c>
      <c r="J339" s="83" t="s">
        <v>114</v>
      </c>
      <c r="K339" s="84" t="s">
        <v>85</v>
      </c>
      <c r="L339" s="84"/>
      <c r="M339" s="423">
        <v>35</v>
      </c>
      <c r="N339" s="423"/>
      <c r="O339" s="455" t="s">
        <v>495</v>
      </c>
      <c r="P339" s="425"/>
      <c r="Q339" s="425"/>
      <c r="R339" s="425"/>
      <c r="S339" s="425"/>
      <c r="T339" s="85" t="s">
        <v>0</v>
      </c>
      <c r="U339" s="65">
        <v>0</v>
      </c>
      <c r="V339" s="66">
        <f>IFERROR(IF(U339="",0,CEILING((U339/$G339),1)*$G339),"")</f>
        <v>0</v>
      </c>
      <c r="W339" s="65">
        <v>0</v>
      </c>
      <c r="X339" s="66">
        <f>IFERROR(IF(W339="",0,CEILING((W339/$G339),1)*$G339),"")</f>
        <v>0</v>
      </c>
      <c r="Y339" s="65">
        <v>0</v>
      </c>
      <c r="Z339" s="66">
        <f>IFERROR(IF(Y339="",0,CEILING((Y339/$G339),1)*$G339),"")</f>
        <v>0</v>
      </c>
      <c r="AA339" s="65">
        <v>0</v>
      </c>
      <c r="AB339" s="66">
        <f>IFERROR(IF(AA339="",0,CEILING((AA339/$G339),1)*$G339),"")</f>
        <v>0</v>
      </c>
      <c r="AC339" s="67" t="str">
        <f>IF(IFERROR(ROUNDUP(V339/G339,0)*0.01898,0)+IFERROR(ROUNDUP(X339/G339,0)*0.01898,0)+IFERROR(ROUNDUP(Z339/G339,0)*0.01898,0)+IFERROR(ROUNDUP(AB339/G339,0)*0.01898,0)=0,"",IFERROR(ROUNDUP(V339/G339,0)*0.01898,0)+IFERROR(ROUNDUP(X339/G339,0)*0.01898,0)+IFERROR(ROUNDUP(Z339/G339,0)*0.01898,0)+IFERROR(ROUNDUP(AB339/G339,0)*0.01898,0))</f>
        <v/>
      </c>
      <c r="AD339" s="79" t="s">
        <v>57</v>
      </c>
      <c r="AE339" s="79" t="s">
        <v>57</v>
      </c>
      <c r="AF339" s="363" t="s">
        <v>492</v>
      </c>
      <c r="AG339" s="2"/>
      <c r="AH339" s="2"/>
      <c r="AI339" s="2"/>
      <c r="AJ339" s="2"/>
      <c r="AK339" s="2"/>
      <c r="AL339" s="61"/>
      <c r="AM339" s="61"/>
      <c r="AN339" s="61"/>
      <c r="AO339" s="2"/>
      <c r="AP339" s="2"/>
      <c r="AQ339" s="2"/>
      <c r="AR339" s="2"/>
      <c r="AS339" s="2"/>
      <c r="AT339" s="2"/>
      <c r="AU339" s="20"/>
      <c r="AV339" s="20"/>
      <c r="AW339" s="21"/>
      <c r="BB339" s="362" t="s">
        <v>65</v>
      </c>
      <c r="BO339" s="77">
        <f>IFERROR(U339*H339/G339,0)</f>
        <v>0</v>
      </c>
      <c r="BP339" s="77">
        <f>IFERROR(V339*H339/G339,0)</f>
        <v>0</v>
      </c>
      <c r="BQ339" s="77">
        <f>IFERROR(1/I339*(U339/G339),0)</f>
        <v>0</v>
      </c>
      <c r="BR339" s="77">
        <f>IFERROR(1/I339*(V339/G339),0)</f>
        <v>0</v>
      </c>
      <c r="BS339" s="77">
        <f>IFERROR(W339*H339/G339,0)</f>
        <v>0</v>
      </c>
      <c r="BT339" s="77">
        <f>IFERROR(X339*H339/G339,0)</f>
        <v>0</v>
      </c>
      <c r="BU339" s="77">
        <f>IFERROR(1/I339*(W339/G339),0)</f>
        <v>0</v>
      </c>
      <c r="BV339" s="77">
        <f>IFERROR(1/I339*(X339/G339),0)</f>
        <v>0</v>
      </c>
      <c r="BW339" s="77">
        <f>IFERROR(Y339*H339/G339,0)</f>
        <v>0</v>
      </c>
      <c r="BX339" s="77">
        <f>IFERROR(Z339*H339/G339,0)</f>
        <v>0</v>
      </c>
      <c r="BY339" s="77">
        <f>IFERROR(1/I339*(Y339/G339),0)</f>
        <v>0</v>
      </c>
      <c r="BZ339" s="77">
        <f>IFERROR(1/I339*(Z339/G339),0)</f>
        <v>0</v>
      </c>
      <c r="CA339" s="77">
        <f>IFERROR(AA339*H339/G339,0)</f>
        <v>0</v>
      </c>
      <c r="CB339" s="77">
        <f>IFERROR(AB339*H339/G339,0)</f>
        <v>0</v>
      </c>
      <c r="CC339" s="77">
        <f>IFERROR(1/I339*(AA339/G339),0)</f>
        <v>0</v>
      </c>
      <c r="CD339" s="77">
        <f>IFERROR(1/I339*(AB339/G339),0)</f>
        <v>0</v>
      </c>
    </row>
    <row r="340" spans="1:82" hidden="1" x14ac:dyDescent="0.2">
      <c r="A340" s="420"/>
      <c r="B340" s="420"/>
      <c r="C340" s="420"/>
      <c r="D340" s="420"/>
      <c r="E340" s="420"/>
      <c r="F340" s="420"/>
      <c r="G340" s="420"/>
      <c r="H340" s="420"/>
      <c r="I340" s="420"/>
      <c r="J340" s="420"/>
      <c r="K340" s="420"/>
      <c r="L340" s="420"/>
      <c r="M340" s="420"/>
      <c r="N340" s="420"/>
      <c r="O340" s="426" t="s">
        <v>43</v>
      </c>
      <c r="P340" s="427"/>
      <c r="Q340" s="427"/>
      <c r="R340" s="427"/>
      <c r="S340" s="427"/>
      <c r="T340" s="39" t="s">
        <v>42</v>
      </c>
      <c r="U340" s="50">
        <f>IFERROR(U338/G338,0)+IFERROR(U339/G339,0)</f>
        <v>0</v>
      </c>
      <c r="V340" s="50">
        <f>IFERROR(V338/G338,0)+IFERROR(V339/G339,0)</f>
        <v>0</v>
      </c>
      <c r="W340" s="50">
        <f>IFERROR(W338/G338,0)+IFERROR(W339/G339,0)</f>
        <v>0</v>
      </c>
      <c r="X340" s="50">
        <f>IFERROR(X338/G338,0)+IFERROR(X339/G339,0)</f>
        <v>0</v>
      </c>
      <c r="Y340" s="50">
        <f>IFERROR(Y338/G338,0)+IFERROR(Y339/G339,0)</f>
        <v>0</v>
      </c>
      <c r="Z340" s="50">
        <f>IFERROR(Z338/G338,0)+IFERROR(Z339/G339,0)</f>
        <v>0</v>
      </c>
      <c r="AA340" s="50">
        <f>IFERROR(AA338/G338,0)+IFERROR(AA339/G339,0)</f>
        <v>0</v>
      </c>
      <c r="AB340" s="50">
        <f>IFERROR(AB338/G338,0)+IFERROR(AB339/G339,0)</f>
        <v>0</v>
      </c>
      <c r="AC340" s="50">
        <f>IFERROR(IF(AC338="",0,AC338),0)+IFERROR(IF(AC339="",0,AC339),0)</f>
        <v>0</v>
      </c>
      <c r="AD340" s="3"/>
      <c r="AE340" s="72"/>
      <c r="AF340" s="3"/>
      <c r="AG340" s="3"/>
      <c r="AH340" s="3"/>
      <c r="AI340" s="3"/>
      <c r="AJ340" s="3"/>
      <c r="AK340" s="3"/>
      <c r="AL340" s="62"/>
      <c r="AM340" s="62"/>
      <c r="AN340" s="62"/>
      <c r="AO340" s="3"/>
      <c r="AP340" s="3"/>
      <c r="AQ340" s="2"/>
      <c r="AR340" s="2"/>
      <c r="AS340" s="2"/>
      <c r="AT340" s="2"/>
      <c r="AU340" s="20"/>
      <c r="AV340" s="20"/>
      <c r="AW340" s="21"/>
    </row>
    <row r="341" spans="1:82" hidden="1" x14ac:dyDescent="0.2">
      <c r="A341" s="420"/>
      <c r="B341" s="420"/>
      <c r="C341" s="420"/>
      <c r="D341" s="420"/>
      <c r="E341" s="420"/>
      <c r="F341" s="420"/>
      <c r="G341" s="420"/>
      <c r="H341" s="420"/>
      <c r="I341" s="420"/>
      <c r="J341" s="420"/>
      <c r="K341" s="420"/>
      <c r="L341" s="420"/>
      <c r="M341" s="420"/>
      <c r="N341" s="420"/>
      <c r="O341" s="426" t="s">
        <v>43</v>
      </c>
      <c r="P341" s="427"/>
      <c r="Q341" s="427"/>
      <c r="R341" s="427"/>
      <c r="S341" s="427"/>
      <c r="T341" s="39" t="s">
        <v>0</v>
      </c>
      <c r="U341" s="102">
        <f t="shared" ref="U341:AB341" si="114">IFERROR(SUM(U338:U339),0)</f>
        <v>0</v>
      </c>
      <c r="V341" s="102">
        <f t="shared" si="114"/>
        <v>0</v>
      </c>
      <c r="W341" s="102">
        <f t="shared" si="114"/>
        <v>0</v>
      </c>
      <c r="X341" s="102">
        <f t="shared" si="114"/>
        <v>0</v>
      </c>
      <c r="Y341" s="102">
        <f t="shared" si="114"/>
        <v>0</v>
      </c>
      <c r="Z341" s="102">
        <f t="shared" si="114"/>
        <v>0</v>
      </c>
      <c r="AA341" s="102">
        <f t="shared" si="114"/>
        <v>0</v>
      </c>
      <c r="AB341" s="102">
        <f t="shared" si="114"/>
        <v>0</v>
      </c>
      <c r="AC341" s="50" t="s">
        <v>57</v>
      </c>
      <c r="AD341" s="3"/>
      <c r="AE341" s="72"/>
      <c r="AF341" s="3"/>
      <c r="AG341" s="3"/>
      <c r="AH341" s="3"/>
      <c r="AI341" s="3"/>
      <c r="AJ341" s="3"/>
      <c r="AK341" s="3"/>
      <c r="AL341" s="62"/>
      <c r="AM341" s="62"/>
      <c r="AN341" s="62"/>
      <c r="AO341" s="3"/>
      <c r="AP341" s="3"/>
      <c r="AQ341" s="2"/>
      <c r="AR341" s="2"/>
      <c r="AS341" s="2"/>
      <c r="AT341" s="2"/>
      <c r="AU341" s="20"/>
      <c r="AV341" s="20"/>
      <c r="AW341" s="21"/>
    </row>
    <row r="342" spans="1:82" ht="27.75" hidden="1" customHeight="1" x14ac:dyDescent="0.2">
      <c r="A342" s="456" t="s">
        <v>496</v>
      </c>
      <c r="B342" s="457"/>
      <c r="C342" s="457"/>
      <c r="D342" s="457"/>
      <c r="E342" s="457"/>
      <c r="F342" s="457"/>
      <c r="G342" s="457"/>
      <c r="H342" s="457"/>
      <c r="I342" s="457"/>
      <c r="J342" s="457"/>
      <c r="K342" s="457"/>
      <c r="L342" s="457"/>
      <c r="M342" s="457"/>
      <c r="N342" s="457"/>
      <c r="O342" s="457"/>
      <c r="P342" s="457"/>
      <c r="Q342" s="457"/>
      <c r="R342" s="457"/>
      <c r="S342" s="457"/>
      <c r="T342" s="457"/>
      <c r="U342" s="457"/>
      <c r="V342" s="457"/>
      <c r="W342" s="458"/>
      <c r="X342" s="458"/>
      <c r="Y342" s="458"/>
      <c r="Z342" s="458"/>
      <c r="AA342" s="431"/>
      <c r="AB342" s="431"/>
      <c r="AC342" s="431"/>
      <c r="AD342" s="431"/>
      <c r="AE342" s="432"/>
      <c r="AF342" s="459"/>
      <c r="AG342" s="2"/>
      <c r="AH342" s="2"/>
      <c r="AI342" s="2"/>
      <c r="AJ342" s="2"/>
      <c r="AK342" s="61"/>
      <c r="AL342" s="61"/>
      <c r="AM342" s="61"/>
      <c r="AN342" s="2"/>
      <c r="AO342" s="2"/>
      <c r="AP342" s="2"/>
      <c r="AQ342" s="2"/>
      <c r="AR342" s="2"/>
    </row>
    <row r="343" spans="1:82" ht="15" hidden="1" x14ac:dyDescent="0.25">
      <c r="A343" s="443" t="s">
        <v>496</v>
      </c>
      <c r="B343" s="430"/>
      <c r="C343" s="430"/>
      <c r="D343" s="430"/>
      <c r="E343" s="430"/>
      <c r="F343" s="430"/>
      <c r="G343" s="430"/>
      <c r="H343" s="430"/>
      <c r="I343" s="430"/>
      <c r="J343" s="430"/>
      <c r="K343" s="430"/>
      <c r="L343" s="430"/>
      <c r="M343" s="430"/>
      <c r="N343" s="430"/>
      <c r="O343" s="430"/>
      <c r="P343" s="430"/>
      <c r="Q343" s="430"/>
      <c r="R343" s="430"/>
      <c r="S343" s="430"/>
      <c r="T343" s="430"/>
      <c r="U343" s="430"/>
      <c r="V343" s="430"/>
      <c r="W343" s="430"/>
      <c r="X343" s="430"/>
      <c r="Y343" s="430"/>
      <c r="Z343" s="430"/>
      <c r="AA343" s="431"/>
      <c r="AB343" s="431"/>
      <c r="AC343" s="431"/>
      <c r="AD343" s="431"/>
      <c r="AE343" s="432"/>
      <c r="AF343" s="444"/>
      <c r="AG343" s="2"/>
      <c r="AH343" s="2"/>
      <c r="AI343" s="2"/>
      <c r="AJ343" s="2"/>
      <c r="AK343" s="61"/>
      <c r="AL343" s="61"/>
      <c r="AM343" s="61"/>
      <c r="AN343" s="2"/>
      <c r="AO343" s="2"/>
      <c r="AP343" s="2"/>
      <c r="AQ343" s="2"/>
      <c r="AR343" s="2"/>
    </row>
    <row r="344" spans="1:82" ht="15" hidden="1" x14ac:dyDescent="0.25">
      <c r="A344" s="428" t="s">
        <v>96</v>
      </c>
      <c r="B344" s="429"/>
      <c r="C344" s="429"/>
      <c r="D344" s="429"/>
      <c r="E344" s="429"/>
      <c r="F344" s="429"/>
      <c r="G344" s="429"/>
      <c r="H344" s="429"/>
      <c r="I344" s="429"/>
      <c r="J344" s="429"/>
      <c r="K344" s="429"/>
      <c r="L344" s="429"/>
      <c r="M344" s="429"/>
      <c r="N344" s="429"/>
      <c r="O344" s="429"/>
      <c r="P344" s="429"/>
      <c r="Q344" s="429"/>
      <c r="R344" s="429"/>
      <c r="S344" s="429"/>
      <c r="T344" s="429"/>
      <c r="U344" s="429"/>
      <c r="V344" s="429"/>
      <c r="W344" s="429"/>
      <c r="X344" s="430"/>
      <c r="Y344" s="430"/>
      <c r="Z344" s="430"/>
      <c r="AA344" s="431"/>
      <c r="AB344" s="431"/>
      <c r="AC344" s="431"/>
      <c r="AD344" s="431"/>
      <c r="AE344" s="432"/>
      <c r="AF344" s="433"/>
      <c r="AG344" s="2"/>
      <c r="AH344" s="2"/>
      <c r="AI344" s="2"/>
      <c r="AJ344" s="2"/>
      <c r="AK344" s="61"/>
      <c r="AL344" s="61"/>
      <c r="AM344" s="61"/>
      <c r="AN344" s="2"/>
      <c r="AO344" s="2"/>
      <c r="AP344" s="2"/>
      <c r="AQ344" s="2"/>
      <c r="AR344" s="2"/>
    </row>
    <row r="345" spans="1:82" hidden="1" x14ac:dyDescent="0.2">
      <c r="A345" s="79" t="s">
        <v>497</v>
      </c>
      <c r="B345" s="80" t="s">
        <v>498</v>
      </c>
      <c r="C345" s="80">
        <v>4301011763</v>
      </c>
      <c r="D345" s="80">
        <v>4640242181011</v>
      </c>
      <c r="E345" s="81">
        <v>1.35</v>
      </c>
      <c r="F345" s="82">
        <v>8</v>
      </c>
      <c r="G345" s="81">
        <v>10.8</v>
      </c>
      <c r="H345" s="81">
        <v>11.234999999999999</v>
      </c>
      <c r="I345" s="83">
        <v>64</v>
      </c>
      <c r="J345" s="83" t="s">
        <v>114</v>
      </c>
      <c r="K345" s="84" t="s">
        <v>99</v>
      </c>
      <c r="L345" s="84"/>
      <c r="M345" s="423">
        <v>55</v>
      </c>
      <c r="N345" s="423"/>
      <c r="O345" s="460" t="s">
        <v>499</v>
      </c>
      <c r="P345" s="425"/>
      <c r="Q345" s="425"/>
      <c r="R345" s="425"/>
      <c r="S345" s="425"/>
      <c r="T345" s="85" t="s">
        <v>0</v>
      </c>
      <c r="U345" s="65">
        <v>0</v>
      </c>
      <c r="V345" s="66">
        <f>IFERROR(IF(U345="",0,CEILING((U345/$G345),1)*$G345),"")</f>
        <v>0</v>
      </c>
      <c r="W345" s="65">
        <v>0</v>
      </c>
      <c r="X345" s="66">
        <f>IFERROR(IF(W345="",0,CEILING((W345/$G345),1)*$G345),"")</f>
        <v>0</v>
      </c>
      <c r="Y345" s="65">
        <v>0</v>
      </c>
      <c r="Z345" s="66">
        <f>IFERROR(IF(Y345="",0,CEILING((Y345/$G345),1)*$G345),"")</f>
        <v>0</v>
      </c>
      <c r="AA345" s="65">
        <v>0</v>
      </c>
      <c r="AB345" s="66">
        <f>IFERROR(IF(AA345="",0,CEILING((AA345/$G345),1)*$G345),"")</f>
        <v>0</v>
      </c>
      <c r="AC345" s="67" t="str">
        <f>IF(IFERROR(ROUNDUP(V345/G345,0)*0.01898,0)+IFERROR(ROUNDUP(X345/G345,0)*0.01898,0)+IFERROR(ROUNDUP(Z345/G345,0)*0.01898,0)+IFERROR(ROUNDUP(AB345/G345,0)*0.01898,0)=0,"",IFERROR(ROUNDUP(V345/G345,0)*0.01898,0)+IFERROR(ROUNDUP(X345/G345,0)*0.01898,0)+IFERROR(ROUNDUP(Z345/G345,0)*0.01898,0)+IFERROR(ROUNDUP(AB345/G345,0)*0.01898,0))</f>
        <v/>
      </c>
      <c r="AD345" s="79" t="s">
        <v>57</v>
      </c>
      <c r="AE345" s="79" t="s">
        <v>57</v>
      </c>
      <c r="AF345" s="365" t="s">
        <v>500</v>
      </c>
      <c r="AG345" s="2"/>
      <c r="AH345" s="2"/>
      <c r="AI345" s="2"/>
      <c r="AJ345" s="2"/>
      <c r="AK345" s="2"/>
      <c r="AL345" s="61"/>
      <c r="AM345" s="61"/>
      <c r="AN345" s="61"/>
      <c r="AO345" s="2"/>
      <c r="AP345" s="2"/>
      <c r="AQ345" s="2"/>
      <c r="AR345" s="2"/>
      <c r="AS345" s="2"/>
      <c r="AT345" s="2"/>
      <c r="AU345" s="20"/>
      <c r="AV345" s="20"/>
      <c r="AW345" s="21"/>
      <c r="BB345" s="364" t="s">
        <v>65</v>
      </c>
      <c r="BO345" s="77">
        <f>IFERROR(U345*H345/G345,0)</f>
        <v>0</v>
      </c>
      <c r="BP345" s="77">
        <f>IFERROR(V345*H345/G345,0)</f>
        <v>0</v>
      </c>
      <c r="BQ345" s="77">
        <f>IFERROR(1/I345*(U345/G345),0)</f>
        <v>0</v>
      </c>
      <c r="BR345" s="77">
        <f>IFERROR(1/I345*(V345/G345),0)</f>
        <v>0</v>
      </c>
      <c r="BS345" s="77">
        <f>IFERROR(W345*H345/G345,0)</f>
        <v>0</v>
      </c>
      <c r="BT345" s="77">
        <f>IFERROR(X345*H345/G345,0)</f>
        <v>0</v>
      </c>
      <c r="BU345" s="77">
        <f>IFERROR(1/I345*(W345/G345),0)</f>
        <v>0</v>
      </c>
      <c r="BV345" s="77">
        <f>IFERROR(1/I345*(X345/G345),0)</f>
        <v>0</v>
      </c>
      <c r="BW345" s="77">
        <f>IFERROR(Y345*H345/G345,0)</f>
        <v>0</v>
      </c>
      <c r="BX345" s="77">
        <f>IFERROR(Z345*H345/G345,0)</f>
        <v>0</v>
      </c>
      <c r="BY345" s="77">
        <f>IFERROR(1/I345*(Y345/G345),0)</f>
        <v>0</v>
      </c>
      <c r="BZ345" s="77">
        <f>IFERROR(1/I345*(Z345/G345),0)</f>
        <v>0</v>
      </c>
      <c r="CA345" s="77">
        <f>IFERROR(AA345*H345/G345,0)</f>
        <v>0</v>
      </c>
      <c r="CB345" s="77">
        <f>IFERROR(AB345*H345/G345,0)</f>
        <v>0</v>
      </c>
      <c r="CC345" s="77">
        <f>IFERROR(1/I345*(AA345/G345),0)</f>
        <v>0</v>
      </c>
      <c r="CD345" s="77">
        <f>IFERROR(1/I345*(AB345/G345),0)</f>
        <v>0</v>
      </c>
    </row>
    <row r="346" spans="1:82" hidden="1" x14ac:dyDescent="0.2">
      <c r="A346" s="79" t="s">
        <v>501</v>
      </c>
      <c r="B346" s="80" t="s">
        <v>502</v>
      </c>
      <c r="C346" s="80">
        <v>4301011762</v>
      </c>
      <c r="D346" s="80">
        <v>4640242180922</v>
      </c>
      <c r="E346" s="81">
        <v>1.35</v>
      </c>
      <c r="F346" s="82">
        <v>8</v>
      </c>
      <c r="G346" s="81">
        <v>10.8</v>
      </c>
      <c r="H346" s="81">
        <v>11.234999999999999</v>
      </c>
      <c r="I346" s="83">
        <v>64</v>
      </c>
      <c r="J346" s="83" t="s">
        <v>114</v>
      </c>
      <c r="K346" s="84" t="s">
        <v>106</v>
      </c>
      <c r="L346" s="84"/>
      <c r="M346" s="423">
        <v>55</v>
      </c>
      <c r="N346" s="423"/>
      <c r="O346" s="452" t="s">
        <v>503</v>
      </c>
      <c r="P346" s="425"/>
      <c r="Q346" s="425"/>
      <c r="R346" s="425"/>
      <c r="S346" s="425"/>
      <c r="T346" s="85" t="s">
        <v>0</v>
      </c>
      <c r="U346" s="65">
        <v>0</v>
      </c>
      <c r="V346" s="66">
        <f>IFERROR(IF(U346="",0,CEILING((U346/$G346),1)*$G346),"")</f>
        <v>0</v>
      </c>
      <c r="W346" s="65">
        <v>0</v>
      </c>
      <c r="X346" s="66">
        <f>IFERROR(IF(W346="",0,CEILING((W346/$G346),1)*$G346),"")</f>
        <v>0</v>
      </c>
      <c r="Y346" s="65">
        <v>0</v>
      </c>
      <c r="Z346" s="66">
        <f>IFERROR(IF(Y346="",0,CEILING((Y346/$G346),1)*$G346),"")</f>
        <v>0</v>
      </c>
      <c r="AA346" s="65">
        <v>0</v>
      </c>
      <c r="AB346" s="66">
        <f>IFERROR(IF(AA346="",0,CEILING((AA346/$G346),1)*$G346),"")</f>
        <v>0</v>
      </c>
      <c r="AC346" s="67" t="str">
        <f>IF(IFERROR(ROUNDUP(V346/G346,0)*0.01898,0)+IFERROR(ROUNDUP(X346/G346,0)*0.01898,0)+IFERROR(ROUNDUP(Z346/G346,0)*0.01898,0)+IFERROR(ROUNDUP(AB346/G346,0)*0.01898,0)=0,"",IFERROR(ROUNDUP(V346/G346,0)*0.01898,0)+IFERROR(ROUNDUP(X346/G346,0)*0.01898,0)+IFERROR(ROUNDUP(Z346/G346,0)*0.01898,0)+IFERROR(ROUNDUP(AB346/G346,0)*0.01898,0))</f>
        <v/>
      </c>
      <c r="AD346" s="79" t="s">
        <v>57</v>
      </c>
      <c r="AE346" s="79" t="s">
        <v>57</v>
      </c>
      <c r="AF346" s="367" t="s">
        <v>504</v>
      </c>
      <c r="AG346" s="2"/>
      <c r="AH346" s="2"/>
      <c r="AI346" s="2"/>
      <c r="AJ346" s="2"/>
      <c r="AK346" s="2"/>
      <c r="AL346" s="61"/>
      <c r="AM346" s="61"/>
      <c r="AN346" s="61"/>
      <c r="AO346" s="2"/>
      <c r="AP346" s="2"/>
      <c r="AQ346" s="2"/>
      <c r="AR346" s="2"/>
      <c r="AS346" s="2"/>
      <c r="AT346" s="2"/>
      <c r="AU346" s="20"/>
      <c r="AV346" s="20"/>
      <c r="AW346" s="21"/>
      <c r="BB346" s="366" t="s">
        <v>65</v>
      </c>
      <c r="BO346" s="77">
        <f>IFERROR(U346*H346/G346,0)</f>
        <v>0</v>
      </c>
      <c r="BP346" s="77">
        <f>IFERROR(V346*H346/G346,0)</f>
        <v>0</v>
      </c>
      <c r="BQ346" s="77">
        <f>IFERROR(1/I346*(U346/G346),0)</f>
        <v>0</v>
      </c>
      <c r="BR346" s="77">
        <f>IFERROR(1/I346*(V346/G346),0)</f>
        <v>0</v>
      </c>
      <c r="BS346" s="77">
        <f>IFERROR(W346*H346/G346,0)</f>
        <v>0</v>
      </c>
      <c r="BT346" s="77">
        <f>IFERROR(X346*H346/G346,0)</f>
        <v>0</v>
      </c>
      <c r="BU346" s="77">
        <f>IFERROR(1/I346*(W346/G346),0)</f>
        <v>0</v>
      </c>
      <c r="BV346" s="77">
        <f>IFERROR(1/I346*(X346/G346),0)</f>
        <v>0</v>
      </c>
      <c r="BW346" s="77">
        <f>IFERROR(Y346*H346/G346,0)</f>
        <v>0</v>
      </c>
      <c r="BX346" s="77">
        <f>IFERROR(Z346*H346/G346,0)</f>
        <v>0</v>
      </c>
      <c r="BY346" s="77">
        <f>IFERROR(1/I346*(Y346/G346),0)</f>
        <v>0</v>
      </c>
      <c r="BZ346" s="77">
        <f>IFERROR(1/I346*(Z346/G346),0)</f>
        <v>0</v>
      </c>
      <c r="CA346" s="77">
        <f>IFERROR(AA346*H346/G346,0)</f>
        <v>0</v>
      </c>
      <c r="CB346" s="77">
        <f>IFERROR(AB346*H346/G346,0)</f>
        <v>0</v>
      </c>
      <c r="CC346" s="77">
        <f>IFERROR(1/I346*(AA346/G346),0)</f>
        <v>0</v>
      </c>
      <c r="CD346" s="77">
        <f>IFERROR(1/I346*(AB346/G346),0)</f>
        <v>0</v>
      </c>
    </row>
    <row r="347" spans="1:82" hidden="1" x14ac:dyDescent="0.2">
      <c r="A347" s="79" t="s">
        <v>505</v>
      </c>
      <c r="B347" s="80" t="s">
        <v>506</v>
      </c>
      <c r="C347" s="80">
        <v>4301011764</v>
      </c>
      <c r="D347" s="80">
        <v>4640242181189</v>
      </c>
      <c r="E347" s="81">
        <v>0.4</v>
      </c>
      <c r="F347" s="82">
        <v>10</v>
      </c>
      <c r="G347" s="81">
        <v>4</v>
      </c>
      <c r="H347" s="81">
        <v>4.21</v>
      </c>
      <c r="I347" s="83">
        <v>132</v>
      </c>
      <c r="J347" s="83" t="s">
        <v>100</v>
      </c>
      <c r="K347" s="84" t="s">
        <v>99</v>
      </c>
      <c r="L347" s="84"/>
      <c r="M347" s="423">
        <v>55</v>
      </c>
      <c r="N347" s="423"/>
      <c r="O347" s="453" t="s">
        <v>507</v>
      </c>
      <c r="P347" s="425"/>
      <c r="Q347" s="425"/>
      <c r="R347" s="425"/>
      <c r="S347" s="425"/>
      <c r="T347" s="85" t="s">
        <v>0</v>
      </c>
      <c r="U347" s="65">
        <v>0</v>
      </c>
      <c r="V347" s="66">
        <f>IFERROR(IF(U347="",0,CEILING((U347/$G347),1)*$G347),"")</f>
        <v>0</v>
      </c>
      <c r="W347" s="65">
        <v>0</v>
      </c>
      <c r="X347" s="66">
        <f>IFERROR(IF(W347="",0,CEILING((W347/$G347),1)*$G347),"")</f>
        <v>0</v>
      </c>
      <c r="Y347" s="65">
        <v>0</v>
      </c>
      <c r="Z347" s="66">
        <f>IFERROR(IF(Y347="",0,CEILING((Y347/$G347),1)*$G347),"")</f>
        <v>0</v>
      </c>
      <c r="AA347" s="65">
        <v>0</v>
      </c>
      <c r="AB347" s="66">
        <f>IFERROR(IF(AA347="",0,CEILING((AA347/$G347),1)*$G347),"")</f>
        <v>0</v>
      </c>
      <c r="AC347" s="67" t="str">
        <f>IF(IFERROR(ROUNDUP(V347/G347,0)*0.00902,0)+IFERROR(ROUNDUP(X347/G347,0)*0.00902,0)+IFERROR(ROUNDUP(Z347/G347,0)*0.00902,0)+IFERROR(ROUNDUP(AB347/G347,0)*0.00902,0)=0,"",IFERROR(ROUNDUP(V347/G347,0)*0.00902,0)+IFERROR(ROUNDUP(X347/G347,0)*0.00902,0)+IFERROR(ROUNDUP(Z347/G347,0)*0.00902,0)+IFERROR(ROUNDUP(AB347/G347,0)*0.00902,0))</f>
        <v/>
      </c>
      <c r="AD347" s="79" t="s">
        <v>57</v>
      </c>
      <c r="AE347" s="79" t="s">
        <v>57</v>
      </c>
      <c r="AF347" s="369" t="s">
        <v>500</v>
      </c>
      <c r="AG347" s="2"/>
      <c r="AH347" s="2"/>
      <c r="AI347" s="2"/>
      <c r="AJ347" s="2"/>
      <c r="AK347" s="2"/>
      <c r="AL347" s="61"/>
      <c r="AM347" s="61"/>
      <c r="AN347" s="61"/>
      <c r="AO347" s="2"/>
      <c r="AP347" s="2"/>
      <c r="AQ347" s="2"/>
      <c r="AR347" s="2"/>
      <c r="AS347" s="2"/>
      <c r="AT347" s="2"/>
      <c r="AU347" s="20"/>
      <c r="AV347" s="20"/>
      <c r="AW347" s="21"/>
      <c r="BB347" s="368" t="s">
        <v>65</v>
      </c>
      <c r="BO347" s="77">
        <f>IFERROR(U347*H347/G347,0)</f>
        <v>0</v>
      </c>
      <c r="BP347" s="77">
        <f>IFERROR(V347*H347/G347,0)</f>
        <v>0</v>
      </c>
      <c r="BQ347" s="77">
        <f>IFERROR(1/I347*(U347/G347),0)</f>
        <v>0</v>
      </c>
      <c r="BR347" s="77">
        <f>IFERROR(1/I347*(V347/G347),0)</f>
        <v>0</v>
      </c>
      <c r="BS347" s="77">
        <f>IFERROR(W347*H347/G347,0)</f>
        <v>0</v>
      </c>
      <c r="BT347" s="77">
        <f>IFERROR(X347*H347/G347,0)</f>
        <v>0</v>
      </c>
      <c r="BU347" s="77">
        <f>IFERROR(1/I347*(W347/G347),0)</f>
        <v>0</v>
      </c>
      <c r="BV347" s="77">
        <f>IFERROR(1/I347*(X347/G347),0)</f>
        <v>0</v>
      </c>
      <c r="BW347" s="77">
        <f>IFERROR(Y347*H347/G347,0)</f>
        <v>0</v>
      </c>
      <c r="BX347" s="77">
        <f>IFERROR(Z347*H347/G347,0)</f>
        <v>0</v>
      </c>
      <c r="BY347" s="77">
        <f>IFERROR(1/I347*(Y347/G347),0)</f>
        <v>0</v>
      </c>
      <c r="BZ347" s="77">
        <f>IFERROR(1/I347*(Z347/G347),0)</f>
        <v>0</v>
      </c>
      <c r="CA347" s="77">
        <f>IFERROR(AA347*H347/G347,0)</f>
        <v>0</v>
      </c>
      <c r="CB347" s="77">
        <f>IFERROR(AB347*H347/G347,0)</f>
        <v>0</v>
      </c>
      <c r="CC347" s="77">
        <f>IFERROR(1/I347*(AA347/G347),0)</f>
        <v>0</v>
      </c>
      <c r="CD347" s="77">
        <f>IFERROR(1/I347*(AB347/G347),0)</f>
        <v>0</v>
      </c>
    </row>
    <row r="348" spans="1:82" hidden="1" x14ac:dyDescent="0.2">
      <c r="A348" s="79" t="s">
        <v>508</v>
      </c>
      <c r="B348" s="80" t="s">
        <v>509</v>
      </c>
      <c r="C348" s="80">
        <v>4301011765</v>
      </c>
      <c r="D348" s="80">
        <v>4640242181172</v>
      </c>
      <c r="E348" s="81">
        <v>0.4</v>
      </c>
      <c r="F348" s="82">
        <v>10</v>
      </c>
      <c r="G348" s="81">
        <v>4</v>
      </c>
      <c r="H348" s="81">
        <v>4.21</v>
      </c>
      <c r="I348" s="83">
        <v>132</v>
      </c>
      <c r="J348" s="83" t="s">
        <v>100</v>
      </c>
      <c r="K348" s="84" t="s">
        <v>106</v>
      </c>
      <c r="L348" s="84"/>
      <c r="M348" s="423">
        <v>55</v>
      </c>
      <c r="N348" s="423"/>
      <c r="O348" s="454" t="s">
        <v>510</v>
      </c>
      <c r="P348" s="425"/>
      <c r="Q348" s="425"/>
      <c r="R348" s="425"/>
      <c r="S348" s="425"/>
      <c r="T348" s="85" t="s">
        <v>0</v>
      </c>
      <c r="U348" s="65">
        <v>0</v>
      </c>
      <c r="V348" s="66">
        <f>IFERROR(IF(U348="",0,CEILING((U348/$G348),1)*$G348),"")</f>
        <v>0</v>
      </c>
      <c r="W348" s="65">
        <v>0</v>
      </c>
      <c r="X348" s="66">
        <f>IFERROR(IF(W348="",0,CEILING((W348/$G348),1)*$G348),"")</f>
        <v>0</v>
      </c>
      <c r="Y348" s="65">
        <v>0</v>
      </c>
      <c r="Z348" s="66">
        <f>IFERROR(IF(Y348="",0,CEILING((Y348/$G348),1)*$G348),"")</f>
        <v>0</v>
      </c>
      <c r="AA348" s="65">
        <v>0</v>
      </c>
      <c r="AB348" s="66">
        <f>IFERROR(IF(AA348="",0,CEILING((AA348/$G348),1)*$G348),"")</f>
        <v>0</v>
      </c>
      <c r="AC348" s="67" t="str">
        <f>IF(IFERROR(ROUNDUP(V348/G348,0)*0.00902,0)+IFERROR(ROUNDUP(X348/G348,0)*0.00902,0)+IFERROR(ROUNDUP(Z348/G348,0)*0.00902,0)+IFERROR(ROUNDUP(AB348/G348,0)*0.00902,0)=0,"",IFERROR(ROUNDUP(V348/G348,0)*0.00902,0)+IFERROR(ROUNDUP(X348/G348,0)*0.00902,0)+IFERROR(ROUNDUP(Z348/G348,0)*0.00902,0)+IFERROR(ROUNDUP(AB348/G348,0)*0.00902,0))</f>
        <v/>
      </c>
      <c r="AD348" s="79" t="s">
        <v>57</v>
      </c>
      <c r="AE348" s="79" t="s">
        <v>57</v>
      </c>
      <c r="AF348" s="371" t="s">
        <v>504</v>
      </c>
      <c r="AG348" s="2"/>
      <c r="AH348" s="2"/>
      <c r="AI348" s="2"/>
      <c r="AJ348" s="2"/>
      <c r="AK348" s="2"/>
      <c r="AL348" s="61"/>
      <c r="AM348" s="61"/>
      <c r="AN348" s="61"/>
      <c r="AO348" s="2"/>
      <c r="AP348" s="2"/>
      <c r="AQ348" s="2"/>
      <c r="AR348" s="2"/>
      <c r="AS348" s="2"/>
      <c r="AT348" s="2"/>
      <c r="AU348" s="20"/>
      <c r="AV348" s="20"/>
      <c r="AW348" s="21"/>
      <c r="BB348" s="370" t="s">
        <v>65</v>
      </c>
      <c r="BO348" s="77">
        <f>IFERROR(U348*H348/G348,0)</f>
        <v>0</v>
      </c>
      <c r="BP348" s="77">
        <f>IFERROR(V348*H348/G348,0)</f>
        <v>0</v>
      </c>
      <c r="BQ348" s="77">
        <f>IFERROR(1/I348*(U348/G348),0)</f>
        <v>0</v>
      </c>
      <c r="BR348" s="77">
        <f>IFERROR(1/I348*(V348/G348),0)</f>
        <v>0</v>
      </c>
      <c r="BS348" s="77">
        <f>IFERROR(W348*H348/G348,0)</f>
        <v>0</v>
      </c>
      <c r="BT348" s="77">
        <f>IFERROR(X348*H348/G348,0)</f>
        <v>0</v>
      </c>
      <c r="BU348" s="77">
        <f>IFERROR(1/I348*(W348/G348),0)</f>
        <v>0</v>
      </c>
      <c r="BV348" s="77">
        <f>IFERROR(1/I348*(X348/G348),0)</f>
        <v>0</v>
      </c>
      <c r="BW348" s="77">
        <f>IFERROR(Y348*H348/G348,0)</f>
        <v>0</v>
      </c>
      <c r="BX348" s="77">
        <f>IFERROR(Z348*H348/G348,0)</f>
        <v>0</v>
      </c>
      <c r="BY348" s="77">
        <f>IFERROR(1/I348*(Y348/G348),0)</f>
        <v>0</v>
      </c>
      <c r="BZ348" s="77">
        <f>IFERROR(1/I348*(Z348/G348),0)</f>
        <v>0</v>
      </c>
      <c r="CA348" s="77">
        <f>IFERROR(AA348*H348/G348,0)</f>
        <v>0</v>
      </c>
      <c r="CB348" s="77">
        <f>IFERROR(AB348*H348/G348,0)</f>
        <v>0</v>
      </c>
      <c r="CC348" s="77">
        <f>IFERROR(1/I348*(AA348/G348),0)</f>
        <v>0</v>
      </c>
      <c r="CD348" s="77">
        <f>IFERROR(1/I348*(AB348/G348),0)</f>
        <v>0</v>
      </c>
    </row>
    <row r="349" spans="1:82" hidden="1" x14ac:dyDescent="0.2">
      <c r="A349" s="420"/>
      <c r="B349" s="420"/>
      <c r="C349" s="420"/>
      <c r="D349" s="420"/>
      <c r="E349" s="420"/>
      <c r="F349" s="420"/>
      <c r="G349" s="420"/>
      <c r="H349" s="420"/>
      <c r="I349" s="420"/>
      <c r="J349" s="420"/>
      <c r="K349" s="420"/>
      <c r="L349" s="420"/>
      <c r="M349" s="420"/>
      <c r="N349" s="420"/>
      <c r="O349" s="426" t="s">
        <v>43</v>
      </c>
      <c r="P349" s="427"/>
      <c r="Q349" s="427"/>
      <c r="R349" s="427"/>
      <c r="S349" s="427"/>
      <c r="T349" s="39" t="s">
        <v>42</v>
      </c>
      <c r="U349" s="50">
        <f>IFERROR(U345/G345,0)+IFERROR(U346/G346,0)+IFERROR(U347/G347,0)+IFERROR(U348/G348,0)</f>
        <v>0</v>
      </c>
      <c r="V349" s="50">
        <f>IFERROR(V345/G345,0)+IFERROR(V346/G346,0)+IFERROR(V347/G347,0)+IFERROR(V348/G348,0)</f>
        <v>0</v>
      </c>
      <c r="W349" s="50">
        <f>IFERROR(W345/G345,0)+IFERROR(W346/G346,0)+IFERROR(W347/G347,0)+IFERROR(W348/G348,0)</f>
        <v>0</v>
      </c>
      <c r="X349" s="50">
        <f>IFERROR(X345/G345,0)+IFERROR(X346/G346,0)+IFERROR(X347/G347,0)+IFERROR(X348/G348,0)</f>
        <v>0</v>
      </c>
      <c r="Y349" s="50">
        <f>IFERROR(Y345/G345,0)+IFERROR(Y346/G346,0)+IFERROR(Y347/G347,0)+IFERROR(Y348/G348,0)</f>
        <v>0</v>
      </c>
      <c r="Z349" s="50">
        <f>IFERROR(Z345/G345,0)+IFERROR(Z346/G346,0)+IFERROR(Z347/G347,0)+IFERROR(Z348/G348,0)</f>
        <v>0</v>
      </c>
      <c r="AA349" s="50">
        <f>IFERROR(AA345/G345,0)+IFERROR(AA346/G346,0)+IFERROR(AA347/G347,0)+IFERROR(AA348/G348,0)</f>
        <v>0</v>
      </c>
      <c r="AB349" s="50">
        <f>IFERROR(AB345/G345,0)+IFERROR(AB346/G346,0)+IFERROR(AB347/G347,0)+IFERROR(AB348/G348,0)</f>
        <v>0</v>
      </c>
      <c r="AC349" s="50">
        <f>IFERROR(IF(AC345="",0,AC345),0)+IFERROR(IF(AC346="",0,AC346),0)+IFERROR(IF(AC347="",0,AC347),0)+IFERROR(IF(AC348="",0,AC348),0)</f>
        <v>0</v>
      </c>
      <c r="AD349" s="3"/>
      <c r="AE349" s="72"/>
      <c r="AF349" s="3"/>
      <c r="AG349" s="3"/>
      <c r="AH349" s="3"/>
      <c r="AI349" s="3"/>
      <c r="AJ349" s="3"/>
      <c r="AK349" s="3"/>
      <c r="AL349" s="62"/>
      <c r="AM349" s="62"/>
      <c r="AN349" s="62"/>
      <c r="AO349" s="3"/>
      <c r="AP349" s="3"/>
      <c r="AQ349" s="2"/>
      <c r="AR349" s="2"/>
      <c r="AS349" s="2"/>
      <c r="AT349" s="2"/>
      <c r="AU349" s="20"/>
      <c r="AV349" s="20"/>
      <c r="AW349" s="21"/>
    </row>
    <row r="350" spans="1:82" hidden="1" x14ac:dyDescent="0.2">
      <c r="A350" s="420"/>
      <c r="B350" s="420"/>
      <c r="C350" s="420"/>
      <c r="D350" s="420"/>
      <c r="E350" s="420"/>
      <c r="F350" s="420"/>
      <c r="G350" s="420"/>
      <c r="H350" s="420"/>
      <c r="I350" s="420"/>
      <c r="J350" s="420"/>
      <c r="K350" s="420"/>
      <c r="L350" s="420"/>
      <c r="M350" s="420"/>
      <c r="N350" s="420"/>
      <c r="O350" s="426" t="s">
        <v>43</v>
      </c>
      <c r="P350" s="427"/>
      <c r="Q350" s="427"/>
      <c r="R350" s="427"/>
      <c r="S350" s="427"/>
      <c r="T350" s="39" t="s">
        <v>0</v>
      </c>
      <c r="U350" s="102">
        <f t="shared" ref="U350:AB350" si="115">IFERROR(SUM(U345:U348),0)</f>
        <v>0</v>
      </c>
      <c r="V350" s="102">
        <f t="shared" si="115"/>
        <v>0</v>
      </c>
      <c r="W350" s="102">
        <f t="shared" si="115"/>
        <v>0</v>
      </c>
      <c r="X350" s="102">
        <f t="shared" si="115"/>
        <v>0</v>
      </c>
      <c r="Y350" s="102">
        <f t="shared" si="115"/>
        <v>0</v>
      </c>
      <c r="Z350" s="102">
        <f t="shared" si="115"/>
        <v>0</v>
      </c>
      <c r="AA350" s="102">
        <f t="shared" si="115"/>
        <v>0</v>
      </c>
      <c r="AB350" s="102">
        <f t="shared" si="115"/>
        <v>0</v>
      </c>
      <c r="AC350" s="50" t="s">
        <v>57</v>
      </c>
      <c r="AD350" s="3"/>
      <c r="AE350" s="72"/>
      <c r="AF350" s="3"/>
      <c r="AG350" s="3"/>
      <c r="AH350" s="3"/>
      <c r="AI350" s="3"/>
      <c r="AJ350" s="3"/>
      <c r="AK350" s="3"/>
      <c r="AL350" s="62"/>
      <c r="AM350" s="62"/>
      <c r="AN350" s="62"/>
      <c r="AO350" s="3"/>
      <c r="AP350" s="3"/>
      <c r="AQ350" s="2"/>
      <c r="AR350" s="2"/>
      <c r="AS350" s="2"/>
      <c r="AT350" s="2"/>
      <c r="AU350" s="20"/>
      <c r="AV350" s="20"/>
      <c r="AW350" s="21"/>
    </row>
    <row r="351" spans="1:82" ht="15" hidden="1" x14ac:dyDescent="0.25">
      <c r="A351" s="428" t="s">
        <v>129</v>
      </c>
      <c r="B351" s="429"/>
      <c r="C351" s="429"/>
      <c r="D351" s="429"/>
      <c r="E351" s="429"/>
      <c r="F351" s="429"/>
      <c r="G351" s="429"/>
      <c r="H351" s="429"/>
      <c r="I351" s="429"/>
      <c r="J351" s="429"/>
      <c r="K351" s="429"/>
      <c r="L351" s="429"/>
      <c r="M351" s="429"/>
      <c r="N351" s="429"/>
      <c r="O351" s="429"/>
      <c r="P351" s="429"/>
      <c r="Q351" s="429"/>
      <c r="R351" s="429"/>
      <c r="S351" s="429"/>
      <c r="T351" s="429"/>
      <c r="U351" s="429"/>
      <c r="V351" s="429"/>
      <c r="W351" s="429"/>
      <c r="X351" s="430"/>
      <c r="Y351" s="430"/>
      <c r="Z351" s="430"/>
      <c r="AA351" s="431"/>
      <c r="AB351" s="431"/>
      <c r="AC351" s="431"/>
      <c r="AD351" s="431"/>
      <c r="AE351" s="432"/>
      <c r="AF351" s="433"/>
      <c r="AG351" s="2"/>
      <c r="AH351" s="2"/>
      <c r="AI351" s="2"/>
      <c r="AJ351" s="2"/>
      <c r="AK351" s="61"/>
      <c r="AL351" s="61"/>
      <c r="AM351" s="61"/>
      <c r="AN351" s="2"/>
      <c r="AO351" s="2"/>
      <c r="AP351" s="2"/>
      <c r="AQ351" s="2"/>
      <c r="AR351" s="2"/>
    </row>
    <row r="352" spans="1:82" hidden="1" x14ac:dyDescent="0.2">
      <c r="A352" s="79" t="s">
        <v>511</v>
      </c>
      <c r="B352" s="80" t="s">
        <v>512</v>
      </c>
      <c r="C352" s="80">
        <v>4301031244</v>
      </c>
      <c r="D352" s="80">
        <v>4640242180595</v>
      </c>
      <c r="E352" s="81">
        <v>0.7</v>
      </c>
      <c r="F352" s="82">
        <v>6</v>
      </c>
      <c r="G352" s="81">
        <v>4.2</v>
      </c>
      <c r="H352" s="81">
        <v>4.47</v>
      </c>
      <c r="I352" s="83">
        <v>132</v>
      </c>
      <c r="J352" s="83" t="s">
        <v>100</v>
      </c>
      <c r="K352" s="84" t="s">
        <v>132</v>
      </c>
      <c r="L352" s="84"/>
      <c r="M352" s="423">
        <v>40</v>
      </c>
      <c r="N352" s="423"/>
      <c r="O352" s="448" t="s">
        <v>513</v>
      </c>
      <c r="P352" s="425"/>
      <c r="Q352" s="425"/>
      <c r="R352" s="425"/>
      <c r="S352" s="425"/>
      <c r="T352" s="85" t="s">
        <v>0</v>
      </c>
      <c r="U352" s="65">
        <v>0</v>
      </c>
      <c r="V352" s="66">
        <f t="shared" ref="V352:V357" si="116">IFERROR(IF(U352="",0,CEILING((U352/$G352),1)*$G352),"")</f>
        <v>0</v>
      </c>
      <c r="W352" s="65">
        <v>0</v>
      </c>
      <c r="X352" s="66">
        <f t="shared" ref="X352:X357" si="117">IFERROR(IF(W352="",0,CEILING((W352/$G352),1)*$G352),"")</f>
        <v>0</v>
      </c>
      <c r="Y352" s="65">
        <v>0</v>
      </c>
      <c r="Z352" s="66">
        <f t="shared" ref="Z352:Z357" si="118">IFERROR(IF(Y352="",0,CEILING((Y352/$G352),1)*$G352),"")</f>
        <v>0</v>
      </c>
      <c r="AA352" s="65">
        <v>0</v>
      </c>
      <c r="AB352" s="66">
        <f t="shared" ref="AB352:AB357" si="119">IFERROR(IF(AA352="",0,CEILING((AA352/$G352),1)*$G352),"")</f>
        <v>0</v>
      </c>
      <c r="AC352" s="67" t="str">
        <f>IF(IFERROR(ROUNDUP(V352/G352,0)*0.00902,0)+IFERROR(ROUNDUP(X352/G352,0)*0.00902,0)+IFERROR(ROUNDUP(Z352/G352,0)*0.00902,0)+IFERROR(ROUNDUP(AB352/G352,0)*0.00902,0)=0,"",IFERROR(ROUNDUP(V352/G352,0)*0.00902,0)+IFERROR(ROUNDUP(X352/G352,0)*0.00902,0)+IFERROR(ROUNDUP(Z352/G352,0)*0.00902,0)+IFERROR(ROUNDUP(AB352/G352,0)*0.00902,0))</f>
        <v/>
      </c>
      <c r="AD352" s="79" t="s">
        <v>57</v>
      </c>
      <c r="AE352" s="79" t="s">
        <v>57</v>
      </c>
      <c r="AF352" s="373" t="s">
        <v>514</v>
      </c>
      <c r="AG352" s="2"/>
      <c r="AH352" s="2"/>
      <c r="AI352" s="2"/>
      <c r="AJ352" s="2"/>
      <c r="AK352" s="2"/>
      <c r="AL352" s="61"/>
      <c r="AM352" s="61"/>
      <c r="AN352" s="61"/>
      <c r="AO352" s="2"/>
      <c r="AP352" s="2"/>
      <c r="AQ352" s="2"/>
      <c r="AR352" s="2"/>
      <c r="AS352" s="2"/>
      <c r="AT352" s="2"/>
      <c r="AU352" s="20"/>
      <c r="AV352" s="20"/>
      <c r="AW352" s="21"/>
      <c r="BB352" s="372" t="s">
        <v>65</v>
      </c>
      <c r="BO352" s="77">
        <f t="shared" ref="BO352:BO357" si="120">IFERROR(U352*H352/G352,0)</f>
        <v>0</v>
      </c>
      <c r="BP352" s="77">
        <f t="shared" ref="BP352:BP357" si="121">IFERROR(V352*H352/G352,0)</f>
        <v>0</v>
      </c>
      <c r="BQ352" s="77">
        <f t="shared" ref="BQ352:BQ357" si="122">IFERROR(1/I352*(U352/G352),0)</f>
        <v>0</v>
      </c>
      <c r="BR352" s="77">
        <f t="shared" ref="BR352:BR357" si="123">IFERROR(1/I352*(V352/G352),0)</f>
        <v>0</v>
      </c>
      <c r="BS352" s="77">
        <f t="shared" ref="BS352:BS357" si="124">IFERROR(W352*H352/G352,0)</f>
        <v>0</v>
      </c>
      <c r="BT352" s="77">
        <f t="shared" ref="BT352:BT357" si="125">IFERROR(X352*H352/G352,0)</f>
        <v>0</v>
      </c>
      <c r="BU352" s="77">
        <f t="shared" ref="BU352:BU357" si="126">IFERROR(1/I352*(W352/G352),0)</f>
        <v>0</v>
      </c>
      <c r="BV352" s="77">
        <f t="shared" ref="BV352:BV357" si="127">IFERROR(1/I352*(X352/G352),0)</f>
        <v>0</v>
      </c>
      <c r="BW352" s="77">
        <f t="shared" ref="BW352:BW357" si="128">IFERROR(Y352*H352/G352,0)</f>
        <v>0</v>
      </c>
      <c r="BX352" s="77">
        <f t="shared" ref="BX352:BX357" si="129">IFERROR(Z352*H352/G352,0)</f>
        <v>0</v>
      </c>
      <c r="BY352" s="77">
        <f t="shared" ref="BY352:BY357" si="130">IFERROR(1/I352*(Y352/G352),0)</f>
        <v>0</v>
      </c>
      <c r="BZ352" s="77">
        <f t="shared" ref="BZ352:BZ357" si="131">IFERROR(1/I352*(Z352/G352),0)</f>
        <v>0</v>
      </c>
      <c r="CA352" s="77">
        <f t="shared" ref="CA352:CA357" si="132">IFERROR(AA352*H352/G352,0)</f>
        <v>0</v>
      </c>
      <c r="CB352" s="77">
        <f t="shared" ref="CB352:CB357" si="133">IFERROR(AB352*H352/G352,0)</f>
        <v>0</v>
      </c>
      <c r="CC352" s="77">
        <f t="shared" ref="CC352:CC357" si="134">IFERROR(1/I352*(AA352/G352),0)</f>
        <v>0</v>
      </c>
      <c r="CD352" s="77">
        <f t="shared" ref="CD352:CD357" si="135">IFERROR(1/I352*(AB352/G352),0)</f>
        <v>0</v>
      </c>
    </row>
    <row r="353" spans="1:82" hidden="1" x14ac:dyDescent="0.2">
      <c r="A353" s="79" t="s">
        <v>515</v>
      </c>
      <c r="B353" s="80" t="s">
        <v>516</v>
      </c>
      <c r="C353" s="80">
        <v>4301031289</v>
      </c>
      <c r="D353" s="80">
        <v>4640242181615</v>
      </c>
      <c r="E353" s="81">
        <v>0.7</v>
      </c>
      <c r="F353" s="82">
        <v>6</v>
      </c>
      <c r="G353" s="81">
        <v>4.2</v>
      </c>
      <c r="H353" s="81">
        <v>4.41</v>
      </c>
      <c r="I353" s="83">
        <v>132</v>
      </c>
      <c r="J353" s="83" t="s">
        <v>100</v>
      </c>
      <c r="K353" s="84" t="s">
        <v>132</v>
      </c>
      <c r="L353" s="84"/>
      <c r="M353" s="423">
        <v>45</v>
      </c>
      <c r="N353" s="423"/>
      <c r="O353" s="449" t="s">
        <v>517</v>
      </c>
      <c r="P353" s="425"/>
      <c r="Q353" s="425"/>
      <c r="R353" s="425"/>
      <c r="S353" s="425"/>
      <c r="T353" s="85" t="s">
        <v>0</v>
      </c>
      <c r="U353" s="65">
        <v>0</v>
      </c>
      <c r="V353" s="66">
        <f t="shared" si="116"/>
        <v>0</v>
      </c>
      <c r="W353" s="65">
        <v>0</v>
      </c>
      <c r="X353" s="66">
        <f t="shared" si="117"/>
        <v>0</v>
      </c>
      <c r="Y353" s="65">
        <v>0</v>
      </c>
      <c r="Z353" s="66">
        <f t="shared" si="118"/>
        <v>0</v>
      </c>
      <c r="AA353" s="65">
        <v>0</v>
      </c>
      <c r="AB353" s="66">
        <f t="shared" si="119"/>
        <v>0</v>
      </c>
      <c r="AC353" s="67" t="str">
        <f>IF(IFERROR(ROUNDUP(V353/G353,0)*0.00902,0)+IFERROR(ROUNDUP(X353/G353,0)*0.00902,0)+IFERROR(ROUNDUP(Z353/G353,0)*0.00902,0)+IFERROR(ROUNDUP(AB353/G353,0)*0.00902,0)=0,"",IFERROR(ROUNDUP(V353/G353,0)*0.00902,0)+IFERROR(ROUNDUP(X353/G353,0)*0.00902,0)+IFERROR(ROUNDUP(Z353/G353,0)*0.00902,0)+IFERROR(ROUNDUP(AB353/G353,0)*0.00902,0))</f>
        <v/>
      </c>
      <c r="AD353" s="79" t="s">
        <v>57</v>
      </c>
      <c r="AE353" s="79" t="s">
        <v>57</v>
      </c>
      <c r="AF353" s="375" t="s">
        <v>518</v>
      </c>
      <c r="AG353" s="2"/>
      <c r="AH353" s="2"/>
      <c r="AI353" s="2"/>
      <c r="AJ353" s="2"/>
      <c r="AK353" s="2"/>
      <c r="AL353" s="61"/>
      <c r="AM353" s="61"/>
      <c r="AN353" s="61"/>
      <c r="AO353" s="2"/>
      <c r="AP353" s="2"/>
      <c r="AQ353" s="2"/>
      <c r="AR353" s="2"/>
      <c r="AS353" s="2"/>
      <c r="AT353" s="2"/>
      <c r="AU353" s="20"/>
      <c r="AV353" s="20"/>
      <c r="AW353" s="21"/>
      <c r="BB353" s="374" t="s">
        <v>65</v>
      </c>
      <c r="BO353" s="77">
        <f t="shared" si="120"/>
        <v>0</v>
      </c>
      <c r="BP353" s="77">
        <f t="shared" si="121"/>
        <v>0</v>
      </c>
      <c r="BQ353" s="77">
        <f t="shared" si="122"/>
        <v>0</v>
      </c>
      <c r="BR353" s="77">
        <f t="shared" si="123"/>
        <v>0</v>
      </c>
      <c r="BS353" s="77">
        <f t="shared" si="124"/>
        <v>0</v>
      </c>
      <c r="BT353" s="77">
        <f t="shared" si="125"/>
        <v>0</v>
      </c>
      <c r="BU353" s="77">
        <f t="shared" si="126"/>
        <v>0</v>
      </c>
      <c r="BV353" s="77">
        <f t="shared" si="127"/>
        <v>0</v>
      </c>
      <c r="BW353" s="77">
        <f t="shared" si="128"/>
        <v>0</v>
      </c>
      <c r="BX353" s="77">
        <f t="shared" si="129"/>
        <v>0</v>
      </c>
      <c r="BY353" s="77">
        <f t="shared" si="130"/>
        <v>0</v>
      </c>
      <c r="BZ353" s="77">
        <f t="shared" si="131"/>
        <v>0</v>
      </c>
      <c r="CA353" s="77">
        <f t="shared" si="132"/>
        <v>0</v>
      </c>
      <c r="CB353" s="77">
        <f t="shared" si="133"/>
        <v>0</v>
      </c>
      <c r="CC353" s="77">
        <f t="shared" si="134"/>
        <v>0</v>
      </c>
      <c r="CD353" s="77">
        <f t="shared" si="135"/>
        <v>0</v>
      </c>
    </row>
    <row r="354" spans="1:82" hidden="1" x14ac:dyDescent="0.2">
      <c r="A354" s="79" t="s">
        <v>519</v>
      </c>
      <c r="B354" s="80" t="s">
        <v>520</v>
      </c>
      <c r="C354" s="80">
        <v>4301031285</v>
      </c>
      <c r="D354" s="80">
        <v>4640242181639</v>
      </c>
      <c r="E354" s="81">
        <v>0.7</v>
      </c>
      <c r="F354" s="82">
        <v>6</v>
      </c>
      <c r="G354" s="81">
        <v>4.2</v>
      </c>
      <c r="H354" s="81">
        <v>4.41</v>
      </c>
      <c r="I354" s="83">
        <v>132</v>
      </c>
      <c r="J354" s="83" t="s">
        <v>100</v>
      </c>
      <c r="K354" s="84" t="s">
        <v>132</v>
      </c>
      <c r="L354" s="84"/>
      <c r="M354" s="423">
        <v>45</v>
      </c>
      <c r="N354" s="423"/>
      <c r="O354" s="450" t="s">
        <v>521</v>
      </c>
      <c r="P354" s="425"/>
      <c r="Q354" s="425"/>
      <c r="R354" s="425"/>
      <c r="S354" s="425"/>
      <c r="T354" s="85" t="s">
        <v>0</v>
      </c>
      <c r="U354" s="65">
        <v>0</v>
      </c>
      <c r="V354" s="66">
        <f t="shared" si="116"/>
        <v>0</v>
      </c>
      <c r="W354" s="65">
        <v>0</v>
      </c>
      <c r="X354" s="66">
        <f t="shared" si="117"/>
        <v>0</v>
      </c>
      <c r="Y354" s="65">
        <v>0</v>
      </c>
      <c r="Z354" s="66">
        <f t="shared" si="118"/>
        <v>0</v>
      </c>
      <c r="AA354" s="65">
        <v>0</v>
      </c>
      <c r="AB354" s="66">
        <f t="shared" si="119"/>
        <v>0</v>
      </c>
      <c r="AC354" s="67" t="str">
        <f>IF(IFERROR(ROUNDUP(V354/G354,0)*0.00902,0)+IFERROR(ROUNDUP(X354/G354,0)*0.00902,0)+IFERROR(ROUNDUP(Z354/G354,0)*0.00902,0)+IFERROR(ROUNDUP(AB354/G354,0)*0.00902,0)=0,"",IFERROR(ROUNDUP(V354/G354,0)*0.00902,0)+IFERROR(ROUNDUP(X354/G354,0)*0.00902,0)+IFERROR(ROUNDUP(Z354/G354,0)*0.00902,0)+IFERROR(ROUNDUP(AB354/G354,0)*0.00902,0))</f>
        <v/>
      </c>
      <c r="AD354" s="79" t="s">
        <v>57</v>
      </c>
      <c r="AE354" s="79" t="s">
        <v>57</v>
      </c>
      <c r="AF354" s="377" t="s">
        <v>522</v>
      </c>
      <c r="AG354" s="2"/>
      <c r="AH354" s="2"/>
      <c r="AI354" s="2"/>
      <c r="AJ354" s="2"/>
      <c r="AK354" s="2"/>
      <c r="AL354" s="61"/>
      <c r="AM354" s="61"/>
      <c r="AN354" s="61"/>
      <c r="AO354" s="2"/>
      <c r="AP354" s="2"/>
      <c r="AQ354" s="2"/>
      <c r="AR354" s="2"/>
      <c r="AS354" s="2"/>
      <c r="AT354" s="2"/>
      <c r="AU354" s="20"/>
      <c r="AV354" s="20"/>
      <c r="AW354" s="21"/>
      <c r="BB354" s="376" t="s">
        <v>65</v>
      </c>
      <c r="BO354" s="77">
        <f t="shared" si="120"/>
        <v>0</v>
      </c>
      <c r="BP354" s="77">
        <f t="shared" si="121"/>
        <v>0</v>
      </c>
      <c r="BQ354" s="77">
        <f t="shared" si="122"/>
        <v>0</v>
      </c>
      <c r="BR354" s="77">
        <f t="shared" si="123"/>
        <v>0</v>
      </c>
      <c r="BS354" s="77">
        <f t="shared" si="124"/>
        <v>0</v>
      </c>
      <c r="BT354" s="77">
        <f t="shared" si="125"/>
        <v>0</v>
      </c>
      <c r="BU354" s="77">
        <f t="shared" si="126"/>
        <v>0</v>
      </c>
      <c r="BV354" s="77">
        <f t="shared" si="127"/>
        <v>0</v>
      </c>
      <c r="BW354" s="77">
        <f t="shared" si="128"/>
        <v>0</v>
      </c>
      <c r="BX354" s="77">
        <f t="shared" si="129"/>
        <v>0</v>
      </c>
      <c r="BY354" s="77">
        <f t="shared" si="130"/>
        <v>0</v>
      </c>
      <c r="BZ354" s="77">
        <f t="shared" si="131"/>
        <v>0</v>
      </c>
      <c r="CA354" s="77">
        <f t="shared" si="132"/>
        <v>0</v>
      </c>
      <c r="CB354" s="77">
        <f t="shared" si="133"/>
        <v>0</v>
      </c>
      <c r="CC354" s="77">
        <f t="shared" si="134"/>
        <v>0</v>
      </c>
      <c r="CD354" s="77">
        <f t="shared" si="135"/>
        <v>0</v>
      </c>
    </row>
    <row r="355" spans="1:82" hidden="1" x14ac:dyDescent="0.2">
      <c r="A355" s="79" t="s">
        <v>523</v>
      </c>
      <c r="B355" s="80" t="s">
        <v>524</v>
      </c>
      <c r="C355" s="80">
        <v>4301031287</v>
      </c>
      <c r="D355" s="80">
        <v>4640242181622</v>
      </c>
      <c r="E355" s="81">
        <v>0.7</v>
      </c>
      <c r="F355" s="82">
        <v>6</v>
      </c>
      <c r="G355" s="81">
        <v>4.2</v>
      </c>
      <c r="H355" s="81">
        <v>4.41</v>
      </c>
      <c r="I355" s="83">
        <v>132</v>
      </c>
      <c r="J355" s="83" t="s">
        <v>100</v>
      </c>
      <c r="K355" s="84" t="s">
        <v>132</v>
      </c>
      <c r="L355" s="84"/>
      <c r="M355" s="423">
        <v>45</v>
      </c>
      <c r="N355" s="423"/>
      <c r="O355" s="451" t="s">
        <v>525</v>
      </c>
      <c r="P355" s="425"/>
      <c r="Q355" s="425"/>
      <c r="R355" s="425"/>
      <c r="S355" s="425"/>
      <c r="T355" s="85" t="s">
        <v>0</v>
      </c>
      <c r="U355" s="65">
        <v>0</v>
      </c>
      <c r="V355" s="66">
        <f t="shared" si="116"/>
        <v>0</v>
      </c>
      <c r="W355" s="65">
        <v>0</v>
      </c>
      <c r="X355" s="66">
        <f t="shared" si="117"/>
        <v>0</v>
      </c>
      <c r="Y355" s="65">
        <v>0</v>
      </c>
      <c r="Z355" s="66">
        <f t="shared" si="118"/>
        <v>0</v>
      </c>
      <c r="AA355" s="65">
        <v>0</v>
      </c>
      <c r="AB355" s="66">
        <f t="shared" si="119"/>
        <v>0</v>
      </c>
      <c r="AC355" s="67" t="str">
        <f>IF(IFERROR(ROUNDUP(V355/G355,0)*0.00902,0)+IFERROR(ROUNDUP(X355/G355,0)*0.00902,0)+IFERROR(ROUNDUP(Z355/G355,0)*0.00902,0)+IFERROR(ROUNDUP(AB355/G355,0)*0.00902,0)=0,"",IFERROR(ROUNDUP(V355/G355,0)*0.00902,0)+IFERROR(ROUNDUP(X355/G355,0)*0.00902,0)+IFERROR(ROUNDUP(Z355/G355,0)*0.00902,0)+IFERROR(ROUNDUP(AB355/G355,0)*0.00902,0))</f>
        <v/>
      </c>
      <c r="AD355" s="79" t="s">
        <v>57</v>
      </c>
      <c r="AE355" s="79" t="s">
        <v>57</v>
      </c>
      <c r="AF355" s="379" t="s">
        <v>526</v>
      </c>
      <c r="AG355" s="2"/>
      <c r="AH355" s="2"/>
      <c r="AI355" s="2"/>
      <c r="AJ355" s="2"/>
      <c r="AK355" s="2"/>
      <c r="AL355" s="61"/>
      <c r="AM355" s="61"/>
      <c r="AN355" s="61"/>
      <c r="AO355" s="2"/>
      <c r="AP355" s="2"/>
      <c r="AQ355" s="2"/>
      <c r="AR355" s="2"/>
      <c r="AS355" s="2"/>
      <c r="AT355" s="2"/>
      <c r="AU355" s="20"/>
      <c r="AV355" s="20"/>
      <c r="AW355" s="21"/>
      <c r="BB355" s="378" t="s">
        <v>65</v>
      </c>
      <c r="BO355" s="77">
        <f t="shared" si="120"/>
        <v>0</v>
      </c>
      <c r="BP355" s="77">
        <f t="shared" si="121"/>
        <v>0</v>
      </c>
      <c r="BQ355" s="77">
        <f t="shared" si="122"/>
        <v>0</v>
      </c>
      <c r="BR355" s="77">
        <f t="shared" si="123"/>
        <v>0</v>
      </c>
      <c r="BS355" s="77">
        <f t="shared" si="124"/>
        <v>0</v>
      </c>
      <c r="BT355" s="77">
        <f t="shared" si="125"/>
        <v>0</v>
      </c>
      <c r="BU355" s="77">
        <f t="shared" si="126"/>
        <v>0</v>
      </c>
      <c r="BV355" s="77">
        <f t="shared" si="127"/>
        <v>0</v>
      </c>
      <c r="BW355" s="77">
        <f t="shared" si="128"/>
        <v>0</v>
      </c>
      <c r="BX355" s="77">
        <f t="shared" si="129"/>
        <v>0</v>
      </c>
      <c r="BY355" s="77">
        <f t="shared" si="130"/>
        <v>0</v>
      </c>
      <c r="BZ355" s="77">
        <f t="shared" si="131"/>
        <v>0</v>
      </c>
      <c r="CA355" s="77">
        <f t="shared" si="132"/>
        <v>0</v>
      </c>
      <c r="CB355" s="77">
        <f t="shared" si="133"/>
        <v>0</v>
      </c>
      <c r="CC355" s="77">
        <f t="shared" si="134"/>
        <v>0</v>
      </c>
      <c r="CD355" s="77">
        <f t="shared" si="135"/>
        <v>0</v>
      </c>
    </row>
    <row r="356" spans="1:82" hidden="1" x14ac:dyDescent="0.2">
      <c r="A356" s="79" t="s">
        <v>527</v>
      </c>
      <c r="B356" s="80" t="s">
        <v>528</v>
      </c>
      <c r="C356" s="80">
        <v>4301031203</v>
      </c>
      <c r="D356" s="80">
        <v>4640242180908</v>
      </c>
      <c r="E356" s="81">
        <v>0.28000000000000003</v>
      </c>
      <c r="F356" s="82">
        <v>6</v>
      </c>
      <c r="G356" s="81">
        <v>1.68</v>
      </c>
      <c r="H356" s="81">
        <v>1.81</v>
      </c>
      <c r="I356" s="83">
        <v>234</v>
      </c>
      <c r="J356" s="83" t="s">
        <v>133</v>
      </c>
      <c r="K356" s="84" t="s">
        <v>132</v>
      </c>
      <c r="L356" s="84"/>
      <c r="M356" s="423">
        <v>40</v>
      </c>
      <c r="N356" s="423"/>
      <c r="O356" s="445" t="s">
        <v>529</v>
      </c>
      <c r="P356" s="425"/>
      <c r="Q356" s="425"/>
      <c r="R356" s="425"/>
      <c r="S356" s="425"/>
      <c r="T356" s="85" t="s">
        <v>0</v>
      </c>
      <c r="U356" s="65">
        <v>0</v>
      </c>
      <c r="V356" s="66">
        <f t="shared" si="116"/>
        <v>0</v>
      </c>
      <c r="W356" s="65">
        <v>0</v>
      </c>
      <c r="X356" s="66">
        <f t="shared" si="117"/>
        <v>0</v>
      </c>
      <c r="Y356" s="65">
        <v>0</v>
      </c>
      <c r="Z356" s="66">
        <f t="shared" si="118"/>
        <v>0</v>
      </c>
      <c r="AA356" s="65">
        <v>0</v>
      </c>
      <c r="AB356" s="66">
        <f t="shared" si="119"/>
        <v>0</v>
      </c>
      <c r="AC356" s="67" t="str">
        <f>IF(IFERROR(ROUNDUP(V356/G356,0)*0.00502,0)+IFERROR(ROUNDUP(X356/G356,0)*0.00502,0)+IFERROR(ROUNDUP(Z356/G356,0)*0.00502,0)+IFERROR(ROUNDUP(AB356/G356,0)*0.00502,0)=0,"",IFERROR(ROUNDUP(V356/G356,0)*0.00502,0)+IFERROR(ROUNDUP(X356/G356,0)*0.00502,0)+IFERROR(ROUNDUP(Z356/G356,0)*0.00502,0)+IFERROR(ROUNDUP(AB356/G356,0)*0.00502,0))</f>
        <v/>
      </c>
      <c r="AD356" s="79" t="s">
        <v>57</v>
      </c>
      <c r="AE356" s="79" t="s">
        <v>57</v>
      </c>
      <c r="AF356" s="381" t="s">
        <v>530</v>
      </c>
      <c r="AG356" s="2"/>
      <c r="AH356" s="2"/>
      <c r="AI356" s="2"/>
      <c r="AJ356" s="2"/>
      <c r="AK356" s="2"/>
      <c r="AL356" s="61"/>
      <c r="AM356" s="61"/>
      <c r="AN356" s="61"/>
      <c r="AO356" s="2"/>
      <c r="AP356" s="2"/>
      <c r="AQ356" s="2"/>
      <c r="AR356" s="2"/>
      <c r="AS356" s="2"/>
      <c r="AT356" s="2"/>
      <c r="AU356" s="20"/>
      <c r="AV356" s="20"/>
      <c r="AW356" s="21"/>
      <c r="BB356" s="380" t="s">
        <v>65</v>
      </c>
      <c r="BO356" s="77">
        <f t="shared" si="120"/>
        <v>0</v>
      </c>
      <c r="BP356" s="77">
        <f t="shared" si="121"/>
        <v>0</v>
      </c>
      <c r="BQ356" s="77">
        <f t="shared" si="122"/>
        <v>0</v>
      </c>
      <c r="BR356" s="77">
        <f t="shared" si="123"/>
        <v>0</v>
      </c>
      <c r="BS356" s="77">
        <f t="shared" si="124"/>
        <v>0</v>
      </c>
      <c r="BT356" s="77">
        <f t="shared" si="125"/>
        <v>0</v>
      </c>
      <c r="BU356" s="77">
        <f t="shared" si="126"/>
        <v>0</v>
      </c>
      <c r="BV356" s="77">
        <f t="shared" si="127"/>
        <v>0</v>
      </c>
      <c r="BW356" s="77">
        <f t="shared" si="128"/>
        <v>0</v>
      </c>
      <c r="BX356" s="77">
        <f t="shared" si="129"/>
        <v>0</v>
      </c>
      <c r="BY356" s="77">
        <f t="shared" si="130"/>
        <v>0</v>
      </c>
      <c r="BZ356" s="77">
        <f t="shared" si="131"/>
        <v>0</v>
      </c>
      <c r="CA356" s="77">
        <f t="shared" si="132"/>
        <v>0</v>
      </c>
      <c r="CB356" s="77">
        <f t="shared" si="133"/>
        <v>0</v>
      </c>
      <c r="CC356" s="77">
        <f t="shared" si="134"/>
        <v>0</v>
      </c>
      <c r="CD356" s="77">
        <f t="shared" si="135"/>
        <v>0</v>
      </c>
    </row>
    <row r="357" spans="1:82" hidden="1" x14ac:dyDescent="0.2">
      <c r="A357" s="79" t="s">
        <v>531</v>
      </c>
      <c r="B357" s="80" t="s">
        <v>532</v>
      </c>
      <c r="C357" s="80">
        <v>4301031200</v>
      </c>
      <c r="D357" s="80">
        <v>4640242180489</v>
      </c>
      <c r="E357" s="81">
        <v>0.28000000000000003</v>
      </c>
      <c r="F357" s="82">
        <v>6</v>
      </c>
      <c r="G357" s="81">
        <v>1.68</v>
      </c>
      <c r="H357" s="81">
        <v>1.84</v>
      </c>
      <c r="I357" s="83">
        <v>234</v>
      </c>
      <c r="J357" s="83" t="s">
        <v>133</v>
      </c>
      <c r="K357" s="84" t="s">
        <v>132</v>
      </c>
      <c r="L357" s="84"/>
      <c r="M357" s="423">
        <v>40</v>
      </c>
      <c r="N357" s="423"/>
      <c r="O357" s="446" t="s">
        <v>533</v>
      </c>
      <c r="P357" s="425"/>
      <c r="Q357" s="425"/>
      <c r="R357" s="425"/>
      <c r="S357" s="425"/>
      <c r="T357" s="85" t="s">
        <v>0</v>
      </c>
      <c r="U357" s="65">
        <v>0</v>
      </c>
      <c r="V357" s="66">
        <f t="shared" si="116"/>
        <v>0</v>
      </c>
      <c r="W357" s="65">
        <v>0</v>
      </c>
      <c r="X357" s="66">
        <f t="shared" si="117"/>
        <v>0</v>
      </c>
      <c r="Y357" s="65">
        <v>0</v>
      </c>
      <c r="Z357" s="66">
        <f t="shared" si="118"/>
        <v>0</v>
      </c>
      <c r="AA357" s="65">
        <v>0</v>
      </c>
      <c r="AB357" s="66">
        <f t="shared" si="119"/>
        <v>0</v>
      </c>
      <c r="AC357" s="67" t="str">
        <f>IF(IFERROR(ROUNDUP(V357/G357,0)*0.00502,0)+IFERROR(ROUNDUP(X357/G357,0)*0.00502,0)+IFERROR(ROUNDUP(Z357/G357,0)*0.00502,0)+IFERROR(ROUNDUP(AB357/G357,0)*0.00502,0)=0,"",IFERROR(ROUNDUP(V357/G357,0)*0.00502,0)+IFERROR(ROUNDUP(X357/G357,0)*0.00502,0)+IFERROR(ROUNDUP(Z357/G357,0)*0.00502,0)+IFERROR(ROUNDUP(AB357/G357,0)*0.00502,0))</f>
        <v/>
      </c>
      <c r="AD357" s="79" t="s">
        <v>57</v>
      </c>
      <c r="AE357" s="79" t="s">
        <v>57</v>
      </c>
      <c r="AF357" s="383" t="s">
        <v>514</v>
      </c>
      <c r="AG357" s="2"/>
      <c r="AH357" s="2"/>
      <c r="AI357" s="2"/>
      <c r="AJ357" s="2"/>
      <c r="AK357" s="2"/>
      <c r="AL357" s="61"/>
      <c r="AM357" s="61"/>
      <c r="AN357" s="61"/>
      <c r="AO357" s="2"/>
      <c r="AP357" s="2"/>
      <c r="AQ357" s="2"/>
      <c r="AR357" s="2"/>
      <c r="AS357" s="2"/>
      <c r="AT357" s="2"/>
      <c r="AU357" s="20"/>
      <c r="AV357" s="20"/>
      <c r="AW357" s="21"/>
      <c r="BB357" s="382" t="s">
        <v>65</v>
      </c>
      <c r="BO357" s="77">
        <f t="shared" si="120"/>
        <v>0</v>
      </c>
      <c r="BP357" s="77">
        <f t="shared" si="121"/>
        <v>0</v>
      </c>
      <c r="BQ357" s="77">
        <f t="shared" si="122"/>
        <v>0</v>
      </c>
      <c r="BR357" s="77">
        <f t="shared" si="123"/>
        <v>0</v>
      </c>
      <c r="BS357" s="77">
        <f t="shared" si="124"/>
        <v>0</v>
      </c>
      <c r="BT357" s="77">
        <f t="shared" si="125"/>
        <v>0</v>
      </c>
      <c r="BU357" s="77">
        <f t="shared" si="126"/>
        <v>0</v>
      </c>
      <c r="BV357" s="77">
        <f t="shared" si="127"/>
        <v>0</v>
      </c>
      <c r="BW357" s="77">
        <f t="shared" si="128"/>
        <v>0</v>
      </c>
      <c r="BX357" s="77">
        <f t="shared" si="129"/>
        <v>0</v>
      </c>
      <c r="BY357" s="77">
        <f t="shared" si="130"/>
        <v>0</v>
      </c>
      <c r="BZ357" s="77">
        <f t="shared" si="131"/>
        <v>0</v>
      </c>
      <c r="CA357" s="77">
        <f t="shared" si="132"/>
        <v>0</v>
      </c>
      <c r="CB357" s="77">
        <f t="shared" si="133"/>
        <v>0</v>
      </c>
      <c r="CC357" s="77">
        <f t="shared" si="134"/>
        <v>0</v>
      </c>
      <c r="CD357" s="77">
        <f t="shared" si="135"/>
        <v>0</v>
      </c>
    </row>
    <row r="358" spans="1:82" hidden="1" x14ac:dyDescent="0.2">
      <c r="A358" s="420"/>
      <c r="B358" s="420"/>
      <c r="C358" s="420"/>
      <c r="D358" s="420"/>
      <c r="E358" s="420"/>
      <c r="F358" s="420"/>
      <c r="G358" s="420"/>
      <c r="H358" s="420"/>
      <c r="I358" s="420"/>
      <c r="J358" s="420"/>
      <c r="K358" s="420"/>
      <c r="L358" s="420"/>
      <c r="M358" s="420"/>
      <c r="N358" s="420"/>
      <c r="O358" s="426" t="s">
        <v>43</v>
      </c>
      <c r="P358" s="427"/>
      <c r="Q358" s="427"/>
      <c r="R358" s="427"/>
      <c r="S358" s="427"/>
      <c r="T358" s="39" t="s">
        <v>42</v>
      </c>
      <c r="U358" s="50">
        <f>IFERROR(U352/G352,0)+IFERROR(U353/G353,0)+IFERROR(U354/G354,0)+IFERROR(U355/G355,0)+IFERROR(U356/G356,0)+IFERROR(U357/G357,0)</f>
        <v>0</v>
      </c>
      <c r="V358" s="50">
        <f>IFERROR(V352/G352,0)+IFERROR(V353/G353,0)+IFERROR(V354/G354,0)+IFERROR(V355/G355,0)+IFERROR(V356/G356,0)+IFERROR(V357/G357,0)</f>
        <v>0</v>
      </c>
      <c r="W358" s="50">
        <f>IFERROR(W352/G352,0)+IFERROR(W353/G353,0)+IFERROR(W354/G354,0)+IFERROR(W355/G355,0)+IFERROR(W356/G356,0)+IFERROR(W357/G357,0)</f>
        <v>0</v>
      </c>
      <c r="X358" s="50">
        <f>IFERROR(X352/G352,0)+IFERROR(X353/G353,0)+IFERROR(X354/G354,0)+IFERROR(X355/G355,0)+IFERROR(X356/G356,0)+IFERROR(X357/G357,0)</f>
        <v>0</v>
      </c>
      <c r="Y358" s="50">
        <f>IFERROR(Y352/G352,0)+IFERROR(Y353/G353,0)+IFERROR(Y354/G354,0)+IFERROR(Y355/G355,0)+IFERROR(Y356/G356,0)+IFERROR(Y357/G357,0)</f>
        <v>0</v>
      </c>
      <c r="Z358" s="50">
        <f>IFERROR(Z352/G352,0)+IFERROR(Z353/G353,0)+IFERROR(Z354/G354,0)+IFERROR(Z355/G355,0)+IFERROR(Z356/G356,0)+IFERROR(Z357/G357,0)</f>
        <v>0</v>
      </c>
      <c r="AA358" s="50">
        <f>IFERROR(AA352/G352,0)+IFERROR(AA353/G353,0)+IFERROR(AA354/G354,0)+IFERROR(AA355/G355,0)+IFERROR(AA356/G356,0)+IFERROR(AA357/G357,0)</f>
        <v>0</v>
      </c>
      <c r="AB358" s="50">
        <f>IFERROR(AB352/G352,0)+IFERROR(AB353/G353,0)+IFERROR(AB354/G354,0)+IFERROR(AB355/G355,0)+IFERROR(AB356/G356,0)+IFERROR(AB357/G357,0)</f>
        <v>0</v>
      </c>
      <c r="AC358" s="50">
        <f>IFERROR(IF(AC352="",0,AC352),0)+IFERROR(IF(AC353="",0,AC353),0)+IFERROR(IF(AC354="",0,AC354),0)+IFERROR(IF(AC355="",0,AC355),0)+IFERROR(IF(AC356="",0,AC356),0)+IFERROR(IF(AC357="",0,AC357),0)</f>
        <v>0</v>
      </c>
      <c r="AD358" s="3"/>
      <c r="AE358" s="72"/>
      <c r="AF358" s="3"/>
      <c r="AG358" s="3"/>
      <c r="AH358" s="3"/>
      <c r="AI358" s="3"/>
      <c r="AJ358" s="3"/>
      <c r="AK358" s="3"/>
      <c r="AL358" s="62"/>
      <c r="AM358" s="62"/>
      <c r="AN358" s="62"/>
      <c r="AO358" s="3"/>
      <c r="AP358" s="3"/>
      <c r="AQ358" s="2"/>
      <c r="AR358" s="2"/>
      <c r="AS358" s="2"/>
      <c r="AT358" s="2"/>
      <c r="AU358" s="20"/>
      <c r="AV358" s="20"/>
      <c r="AW358" s="21"/>
    </row>
    <row r="359" spans="1:82" hidden="1" x14ac:dyDescent="0.2">
      <c r="A359" s="420"/>
      <c r="B359" s="420"/>
      <c r="C359" s="420"/>
      <c r="D359" s="420"/>
      <c r="E359" s="420"/>
      <c r="F359" s="420"/>
      <c r="G359" s="420"/>
      <c r="H359" s="420"/>
      <c r="I359" s="420"/>
      <c r="J359" s="420"/>
      <c r="K359" s="420"/>
      <c r="L359" s="420"/>
      <c r="M359" s="420"/>
      <c r="N359" s="420"/>
      <c r="O359" s="426" t="s">
        <v>43</v>
      </c>
      <c r="P359" s="427"/>
      <c r="Q359" s="427"/>
      <c r="R359" s="427"/>
      <c r="S359" s="427"/>
      <c r="T359" s="39" t="s">
        <v>0</v>
      </c>
      <c r="U359" s="102">
        <f t="shared" ref="U359:AB359" si="136">IFERROR(SUM(U352:U357),0)</f>
        <v>0</v>
      </c>
      <c r="V359" s="102">
        <f t="shared" si="136"/>
        <v>0</v>
      </c>
      <c r="W359" s="102">
        <f t="shared" si="136"/>
        <v>0</v>
      </c>
      <c r="X359" s="102">
        <f t="shared" si="136"/>
        <v>0</v>
      </c>
      <c r="Y359" s="102">
        <f t="shared" si="136"/>
        <v>0</v>
      </c>
      <c r="Z359" s="102">
        <f t="shared" si="136"/>
        <v>0</v>
      </c>
      <c r="AA359" s="102">
        <f t="shared" si="136"/>
        <v>0</v>
      </c>
      <c r="AB359" s="102">
        <f t="shared" si="136"/>
        <v>0</v>
      </c>
      <c r="AC359" s="50" t="s">
        <v>57</v>
      </c>
      <c r="AD359" s="3"/>
      <c r="AE359" s="72"/>
      <c r="AF359" s="3"/>
      <c r="AG359" s="3"/>
      <c r="AH359" s="3"/>
      <c r="AI359" s="3"/>
      <c r="AJ359" s="3"/>
      <c r="AK359" s="3"/>
      <c r="AL359" s="62"/>
      <c r="AM359" s="62"/>
      <c r="AN359" s="62"/>
      <c r="AO359" s="3"/>
      <c r="AP359" s="3"/>
      <c r="AQ359" s="2"/>
      <c r="AR359" s="2"/>
      <c r="AS359" s="2"/>
      <c r="AT359" s="2"/>
      <c r="AU359" s="20"/>
      <c r="AV359" s="20"/>
      <c r="AW359" s="21"/>
    </row>
    <row r="360" spans="1:82" ht="15" hidden="1" x14ac:dyDescent="0.25">
      <c r="A360" s="428" t="s">
        <v>82</v>
      </c>
      <c r="B360" s="429"/>
      <c r="C360" s="429"/>
      <c r="D360" s="429"/>
      <c r="E360" s="429"/>
      <c r="F360" s="429"/>
      <c r="G360" s="429"/>
      <c r="H360" s="429"/>
      <c r="I360" s="429"/>
      <c r="J360" s="429"/>
      <c r="K360" s="429"/>
      <c r="L360" s="429"/>
      <c r="M360" s="429"/>
      <c r="N360" s="429"/>
      <c r="O360" s="429"/>
      <c r="P360" s="429"/>
      <c r="Q360" s="429"/>
      <c r="R360" s="429"/>
      <c r="S360" s="429"/>
      <c r="T360" s="429"/>
      <c r="U360" s="429"/>
      <c r="V360" s="429"/>
      <c r="W360" s="429"/>
      <c r="X360" s="430"/>
      <c r="Y360" s="430"/>
      <c r="Z360" s="430"/>
      <c r="AA360" s="431"/>
      <c r="AB360" s="431"/>
      <c r="AC360" s="431"/>
      <c r="AD360" s="431"/>
      <c r="AE360" s="432"/>
      <c r="AF360" s="433"/>
      <c r="AG360" s="2"/>
      <c r="AH360" s="2"/>
      <c r="AI360" s="2"/>
      <c r="AJ360" s="2"/>
      <c r="AK360" s="61"/>
      <c r="AL360" s="61"/>
      <c r="AM360" s="61"/>
      <c r="AN360" s="2"/>
      <c r="AO360" s="2"/>
      <c r="AP360" s="2"/>
      <c r="AQ360" s="2"/>
      <c r="AR360" s="2"/>
    </row>
    <row r="361" spans="1:82" hidden="1" x14ac:dyDescent="0.2">
      <c r="A361" s="79" t="s">
        <v>534</v>
      </c>
      <c r="B361" s="80" t="s">
        <v>535</v>
      </c>
      <c r="C361" s="80">
        <v>4301051933</v>
      </c>
      <c r="D361" s="80">
        <v>4640242180540</v>
      </c>
      <c r="E361" s="81">
        <v>1.3</v>
      </c>
      <c r="F361" s="82">
        <v>6</v>
      </c>
      <c r="G361" s="81">
        <v>7.8</v>
      </c>
      <c r="H361" s="81">
        <v>8.3190000000000008</v>
      </c>
      <c r="I361" s="83">
        <v>64</v>
      </c>
      <c r="J361" s="83" t="s">
        <v>114</v>
      </c>
      <c r="K361" s="84" t="s">
        <v>99</v>
      </c>
      <c r="L361" s="84"/>
      <c r="M361" s="423">
        <v>45</v>
      </c>
      <c r="N361" s="423"/>
      <c r="O361" s="447" t="s">
        <v>536</v>
      </c>
      <c r="P361" s="425"/>
      <c r="Q361" s="425"/>
      <c r="R361" s="425"/>
      <c r="S361" s="425"/>
      <c r="T361" s="85" t="s">
        <v>0</v>
      </c>
      <c r="U361" s="65">
        <v>0</v>
      </c>
      <c r="V361" s="66">
        <f>IFERROR(IF(U361="",0,CEILING((U361/$G361),1)*$G361),"")</f>
        <v>0</v>
      </c>
      <c r="W361" s="65">
        <v>0</v>
      </c>
      <c r="X361" s="66">
        <f>IFERROR(IF(W361="",0,CEILING((W361/$G361),1)*$G361),"")</f>
        <v>0</v>
      </c>
      <c r="Y361" s="65">
        <v>0</v>
      </c>
      <c r="Z361" s="66">
        <f>IFERROR(IF(Y361="",0,CEILING((Y361/$G361),1)*$G361),"")</f>
        <v>0</v>
      </c>
      <c r="AA361" s="65">
        <v>0</v>
      </c>
      <c r="AB361" s="66">
        <f>IFERROR(IF(AA361="",0,CEILING((AA361/$G361),1)*$G361),"")</f>
        <v>0</v>
      </c>
      <c r="AC361" s="67" t="str">
        <f>IF(IFERROR(ROUNDUP(V361/G361,0)*0.01898,0)+IFERROR(ROUNDUP(X361/G361,0)*0.01898,0)+IFERROR(ROUNDUP(Z361/G361,0)*0.01898,0)+IFERROR(ROUNDUP(AB361/G361,0)*0.01898,0)=0,"",IFERROR(ROUNDUP(V361/G361,0)*0.01898,0)+IFERROR(ROUNDUP(X361/G361,0)*0.01898,0)+IFERROR(ROUNDUP(Z361/G361,0)*0.01898,0)+IFERROR(ROUNDUP(AB361/G361,0)*0.01898,0))</f>
        <v/>
      </c>
      <c r="AD361" s="79" t="s">
        <v>57</v>
      </c>
      <c r="AE361" s="79" t="s">
        <v>57</v>
      </c>
      <c r="AF361" s="385" t="s">
        <v>537</v>
      </c>
      <c r="AG361" s="2"/>
      <c r="AH361" s="2"/>
      <c r="AI361" s="2"/>
      <c r="AJ361" s="2"/>
      <c r="AK361" s="2"/>
      <c r="AL361" s="61"/>
      <c r="AM361" s="61"/>
      <c r="AN361" s="61"/>
      <c r="AO361" s="2"/>
      <c r="AP361" s="2"/>
      <c r="AQ361" s="2"/>
      <c r="AR361" s="2"/>
      <c r="AS361" s="2"/>
      <c r="AT361" s="2"/>
      <c r="AU361" s="20"/>
      <c r="AV361" s="20"/>
      <c r="AW361" s="21"/>
      <c r="BB361" s="384" t="s">
        <v>65</v>
      </c>
      <c r="BO361" s="77">
        <f>IFERROR(U361*H361/G361,0)</f>
        <v>0</v>
      </c>
      <c r="BP361" s="77">
        <f>IFERROR(V361*H361/G361,0)</f>
        <v>0</v>
      </c>
      <c r="BQ361" s="77">
        <f>IFERROR(1/I361*(U361/G361),0)</f>
        <v>0</v>
      </c>
      <c r="BR361" s="77">
        <f>IFERROR(1/I361*(V361/G361),0)</f>
        <v>0</v>
      </c>
      <c r="BS361" s="77">
        <f>IFERROR(W361*H361/G361,0)</f>
        <v>0</v>
      </c>
      <c r="BT361" s="77">
        <f>IFERROR(X361*H361/G361,0)</f>
        <v>0</v>
      </c>
      <c r="BU361" s="77">
        <f>IFERROR(1/I361*(W361/G361),0)</f>
        <v>0</v>
      </c>
      <c r="BV361" s="77">
        <f>IFERROR(1/I361*(X361/G361),0)</f>
        <v>0</v>
      </c>
      <c r="BW361" s="77">
        <f>IFERROR(Y361*H361/G361,0)</f>
        <v>0</v>
      </c>
      <c r="BX361" s="77">
        <f>IFERROR(Z361*H361/G361,0)</f>
        <v>0</v>
      </c>
      <c r="BY361" s="77">
        <f>IFERROR(1/I361*(Y361/G361),0)</f>
        <v>0</v>
      </c>
      <c r="BZ361" s="77">
        <f>IFERROR(1/I361*(Z361/G361),0)</f>
        <v>0</v>
      </c>
      <c r="CA361" s="77">
        <f>IFERROR(AA361*H361/G361,0)</f>
        <v>0</v>
      </c>
      <c r="CB361" s="77">
        <f>IFERROR(AB361*H361/G361,0)</f>
        <v>0</v>
      </c>
      <c r="CC361" s="77">
        <f>IFERROR(1/I361*(AA361/G361),0)</f>
        <v>0</v>
      </c>
      <c r="CD361" s="77">
        <f>IFERROR(1/I361*(AB361/G361),0)</f>
        <v>0</v>
      </c>
    </row>
    <row r="362" spans="1:82" hidden="1" x14ac:dyDescent="0.2">
      <c r="A362" s="79" t="s">
        <v>538</v>
      </c>
      <c r="B362" s="80" t="s">
        <v>539</v>
      </c>
      <c r="C362" s="80">
        <v>4301051920</v>
      </c>
      <c r="D362" s="80">
        <v>4640242181233</v>
      </c>
      <c r="E362" s="81">
        <v>0.3</v>
      </c>
      <c r="F362" s="82">
        <v>6</v>
      </c>
      <c r="G362" s="81">
        <v>1.8</v>
      </c>
      <c r="H362" s="81">
        <v>2.0640000000000001</v>
      </c>
      <c r="I362" s="83">
        <v>182</v>
      </c>
      <c r="J362" s="83" t="s">
        <v>86</v>
      </c>
      <c r="K362" s="84" t="s">
        <v>85</v>
      </c>
      <c r="L362" s="84"/>
      <c r="M362" s="423">
        <v>45</v>
      </c>
      <c r="N362" s="423"/>
      <c r="O362" s="441" t="s">
        <v>540</v>
      </c>
      <c r="P362" s="425"/>
      <c r="Q362" s="425"/>
      <c r="R362" s="425"/>
      <c r="S362" s="425"/>
      <c r="T362" s="85" t="s">
        <v>0</v>
      </c>
      <c r="U362" s="65">
        <v>0</v>
      </c>
      <c r="V362" s="66">
        <f>IFERROR(IF(U362="",0,CEILING((U362/$G362),1)*$G362),"")</f>
        <v>0</v>
      </c>
      <c r="W362" s="65">
        <v>0</v>
      </c>
      <c r="X362" s="66">
        <f>IFERROR(IF(W362="",0,CEILING((W362/$G362),1)*$G362),"")</f>
        <v>0</v>
      </c>
      <c r="Y362" s="65">
        <v>0</v>
      </c>
      <c r="Z362" s="66">
        <f>IFERROR(IF(Y362="",0,CEILING((Y362/$G362),1)*$G362),"")</f>
        <v>0</v>
      </c>
      <c r="AA362" s="65">
        <v>0</v>
      </c>
      <c r="AB362" s="66">
        <f>IFERROR(IF(AA362="",0,CEILING((AA362/$G362),1)*$G362),"")</f>
        <v>0</v>
      </c>
      <c r="AC362" s="67" t="str">
        <f>IF(IFERROR(ROUNDUP(V362/G362,0)*0.00651,0)+IFERROR(ROUNDUP(X362/G362,0)*0.00651,0)+IFERROR(ROUNDUP(Z362/G362,0)*0.00651,0)+IFERROR(ROUNDUP(AB362/G362,0)*0.00651,0)=0,"",IFERROR(ROUNDUP(V362/G362,0)*0.00651,0)+IFERROR(ROUNDUP(X362/G362,0)*0.00651,0)+IFERROR(ROUNDUP(Z362/G362,0)*0.00651,0)+IFERROR(ROUNDUP(AB362/G362,0)*0.00651,0))</f>
        <v/>
      </c>
      <c r="AD362" s="79" t="s">
        <v>57</v>
      </c>
      <c r="AE362" s="79" t="s">
        <v>57</v>
      </c>
      <c r="AF362" s="387" t="s">
        <v>541</v>
      </c>
      <c r="AG362" s="2"/>
      <c r="AH362" s="2"/>
      <c r="AI362" s="2"/>
      <c r="AJ362" s="2"/>
      <c r="AK362" s="2"/>
      <c r="AL362" s="61"/>
      <c r="AM362" s="61"/>
      <c r="AN362" s="61"/>
      <c r="AO362" s="2"/>
      <c r="AP362" s="2"/>
      <c r="AQ362" s="2"/>
      <c r="AR362" s="2"/>
      <c r="AS362" s="2"/>
      <c r="AT362" s="2"/>
      <c r="AU362" s="20"/>
      <c r="AV362" s="20"/>
      <c r="AW362" s="21"/>
      <c r="BB362" s="386" t="s">
        <v>65</v>
      </c>
      <c r="BO362" s="77">
        <f>IFERROR(U362*H362/G362,0)</f>
        <v>0</v>
      </c>
      <c r="BP362" s="77">
        <f>IFERROR(V362*H362/G362,0)</f>
        <v>0</v>
      </c>
      <c r="BQ362" s="77">
        <f>IFERROR(1/I362*(U362/G362),0)</f>
        <v>0</v>
      </c>
      <c r="BR362" s="77">
        <f>IFERROR(1/I362*(V362/G362),0)</f>
        <v>0</v>
      </c>
      <c r="BS362" s="77">
        <f>IFERROR(W362*H362/G362,0)</f>
        <v>0</v>
      </c>
      <c r="BT362" s="77">
        <f>IFERROR(X362*H362/G362,0)</f>
        <v>0</v>
      </c>
      <c r="BU362" s="77">
        <f>IFERROR(1/I362*(W362/G362),0)</f>
        <v>0</v>
      </c>
      <c r="BV362" s="77">
        <f>IFERROR(1/I362*(X362/G362),0)</f>
        <v>0</v>
      </c>
      <c r="BW362" s="77">
        <f>IFERROR(Y362*H362/G362,0)</f>
        <v>0</v>
      </c>
      <c r="BX362" s="77">
        <f>IFERROR(Z362*H362/G362,0)</f>
        <v>0</v>
      </c>
      <c r="BY362" s="77">
        <f>IFERROR(1/I362*(Y362/G362),0)</f>
        <v>0</v>
      </c>
      <c r="BZ362" s="77">
        <f>IFERROR(1/I362*(Z362/G362),0)</f>
        <v>0</v>
      </c>
      <c r="CA362" s="77">
        <f>IFERROR(AA362*H362/G362,0)</f>
        <v>0</v>
      </c>
      <c r="CB362" s="77">
        <f>IFERROR(AB362*H362/G362,0)</f>
        <v>0</v>
      </c>
      <c r="CC362" s="77">
        <f>IFERROR(1/I362*(AA362/G362),0)</f>
        <v>0</v>
      </c>
      <c r="CD362" s="77">
        <f>IFERROR(1/I362*(AB362/G362),0)</f>
        <v>0</v>
      </c>
    </row>
    <row r="363" spans="1:82" hidden="1" x14ac:dyDescent="0.2">
      <c r="A363" s="79" t="s">
        <v>542</v>
      </c>
      <c r="B363" s="80" t="s">
        <v>543</v>
      </c>
      <c r="C363" s="80">
        <v>4301051921</v>
      </c>
      <c r="D363" s="80">
        <v>4640242181226</v>
      </c>
      <c r="E363" s="81">
        <v>0.3</v>
      </c>
      <c r="F363" s="82">
        <v>6</v>
      </c>
      <c r="G363" s="81">
        <v>1.8</v>
      </c>
      <c r="H363" s="81">
        <v>2.052</v>
      </c>
      <c r="I363" s="83">
        <v>182</v>
      </c>
      <c r="J363" s="83" t="s">
        <v>86</v>
      </c>
      <c r="K363" s="84" t="s">
        <v>85</v>
      </c>
      <c r="L363" s="84"/>
      <c r="M363" s="423">
        <v>45</v>
      </c>
      <c r="N363" s="423"/>
      <c r="O363" s="442" t="s">
        <v>544</v>
      </c>
      <c r="P363" s="425"/>
      <c r="Q363" s="425"/>
      <c r="R363" s="425"/>
      <c r="S363" s="425"/>
      <c r="T363" s="85" t="s">
        <v>0</v>
      </c>
      <c r="U363" s="65">
        <v>0</v>
      </c>
      <c r="V363" s="66">
        <f>IFERROR(IF(U363="",0,CEILING((U363/$G363),1)*$G363),"")</f>
        <v>0</v>
      </c>
      <c r="W363" s="65">
        <v>0</v>
      </c>
      <c r="X363" s="66">
        <f>IFERROR(IF(W363="",0,CEILING((W363/$G363),1)*$G363),"")</f>
        <v>0</v>
      </c>
      <c r="Y363" s="65">
        <v>0</v>
      </c>
      <c r="Z363" s="66">
        <f>IFERROR(IF(Y363="",0,CEILING((Y363/$G363),1)*$G363),"")</f>
        <v>0</v>
      </c>
      <c r="AA363" s="65">
        <v>0</v>
      </c>
      <c r="AB363" s="66">
        <f>IFERROR(IF(AA363="",0,CEILING((AA363/$G363),1)*$G363),"")</f>
        <v>0</v>
      </c>
      <c r="AC363" s="67" t="str">
        <f>IF(IFERROR(ROUNDUP(V363/G363,0)*0.00651,0)+IFERROR(ROUNDUP(X363/G363,0)*0.00651,0)+IFERROR(ROUNDUP(Z363/G363,0)*0.00651,0)+IFERROR(ROUNDUP(AB363/G363,0)*0.00651,0)=0,"",IFERROR(ROUNDUP(V363/G363,0)*0.00651,0)+IFERROR(ROUNDUP(X363/G363,0)*0.00651,0)+IFERROR(ROUNDUP(Z363/G363,0)*0.00651,0)+IFERROR(ROUNDUP(AB363/G363,0)*0.00651,0))</f>
        <v/>
      </c>
      <c r="AD363" s="79" t="s">
        <v>57</v>
      </c>
      <c r="AE363" s="79" t="s">
        <v>57</v>
      </c>
      <c r="AF363" s="389" t="s">
        <v>537</v>
      </c>
      <c r="AG363" s="2"/>
      <c r="AH363" s="2"/>
      <c r="AI363" s="2"/>
      <c r="AJ363" s="2"/>
      <c r="AK363" s="2"/>
      <c r="AL363" s="61"/>
      <c r="AM363" s="61"/>
      <c r="AN363" s="61"/>
      <c r="AO363" s="2"/>
      <c r="AP363" s="2"/>
      <c r="AQ363" s="2"/>
      <c r="AR363" s="2"/>
      <c r="AS363" s="2"/>
      <c r="AT363" s="2"/>
      <c r="AU363" s="20"/>
      <c r="AV363" s="20"/>
      <c r="AW363" s="21"/>
      <c r="BB363" s="388" t="s">
        <v>65</v>
      </c>
      <c r="BO363" s="77">
        <f>IFERROR(U363*H363/G363,0)</f>
        <v>0</v>
      </c>
      <c r="BP363" s="77">
        <f>IFERROR(V363*H363/G363,0)</f>
        <v>0</v>
      </c>
      <c r="BQ363" s="77">
        <f>IFERROR(1/I363*(U363/G363),0)</f>
        <v>0</v>
      </c>
      <c r="BR363" s="77">
        <f>IFERROR(1/I363*(V363/G363),0)</f>
        <v>0</v>
      </c>
      <c r="BS363" s="77">
        <f>IFERROR(W363*H363/G363,0)</f>
        <v>0</v>
      </c>
      <c r="BT363" s="77">
        <f>IFERROR(X363*H363/G363,0)</f>
        <v>0</v>
      </c>
      <c r="BU363" s="77">
        <f>IFERROR(1/I363*(W363/G363),0)</f>
        <v>0</v>
      </c>
      <c r="BV363" s="77">
        <f>IFERROR(1/I363*(X363/G363),0)</f>
        <v>0</v>
      </c>
      <c r="BW363" s="77">
        <f>IFERROR(Y363*H363/G363,0)</f>
        <v>0</v>
      </c>
      <c r="BX363" s="77">
        <f>IFERROR(Z363*H363/G363,0)</f>
        <v>0</v>
      </c>
      <c r="BY363" s="77">
        <f>IFERROR(1/I363*(Y363/G363),0)</f>
        <v>0</v>
      </c>
      <c r="BZ363" s="77">
        <f>IFERROR(1/I363*(Z363/G363),0)</f>
        <v>0</v>
      </c>
      <c r="CA363" s="77">
        <f>IFERROR(AA363*H363/G363,0)</f>
        <v>0</v>
      </c>
      <c r="CB363" s="77">
        <f>IFERROR(AB363*H363/G363,0)</f>
        <v>0</v>
      </c>
      <c r="CC363" s="77">
        <f>IFERROR(1/I363*(AA363/G363),0)</f>
        <v>0</v>
      </c>
      <c r="CD363" s="77">
        <f>IFERROR(1/I363*(AB363/G363),0)</f>
        <v>0</v>
      </c>
    </row>
    <row r="364" spans="1:82" hidden="1" x14ac:dyDescent="0.2">
      <c r="A364" s="420"/>
      <c r="B364" s="420"/>
      <c r="C364" s="420"/>
      <c r="D364" s="420"/>
      <c r="E364" s="420"/>
      <c r="F364" s="420"/>
      <c r="G364" s="420"/>
      <c r="H364" s="420"/>
      <c r="I364" s="420"/>
      <c r="J364" s="420"/>
      <c r="K364" s="420"/>
      <c r="L364" s="420"/>
      <c r="M364" s="420"/>
      <c r="N364" s="420"/>
      <c r="O364" s="426" t="s">
        <v>43</v>
      </c>
      <c r="P364" s="427"/>
      <c r="Q364" s="427"/>
      <c r="R364" s="427"/>
      <c r="S364" s="427"/>
      <c r="T364" s="39" t="s">
        <v>42</v>
      </c>
      <c r="U364" s="50">
        <f>IFERROR(U361/G361,0)+IFERROR(U362/G362,0)+IFERROR(U363/G363,0)</f>
        <v>0</v>
      </c>
      <c r="V364" s="50">
        <f>IFERROR(V361/G361,0)+IFERROR(V362/G362,0)+IFERROR(V363/G363,0)</f>
        <v>0</v>
      </c>
      <c r="W364" s="50">
        <f>IFERROR(W361/G361,0)+IFERROR(W362/G362,0)+IFERROR(W363/G363,0)</f>
        <v>0</v>
      </c>
      <c r="X364" s="50">
        <f>IFERROR(X361/G361,0)+IFERROR(X362/G362,0)+IFERROR(X363/G363,0)</f>
        <v>0</v>
      </c>
      <c r="Y364" s="50">
        <f>IFERROR(Y361/G361,0)+IFERROR(Y362/G362,0)+IFERROR(Y363/G363,0)</f>
        <v>0</v>
      </c>
      <c r="Z364" s="50">
        <f>IFERROR(Z361/G361,0)+IFERROR(Z362/G362,0)+IFERROR(Z363/G363,0)</f>
        <v>0</v>
      </c>
      <c r="AA364" s="50">
        <f>IFERROR(AA361/G361,0)+IFERROR(AA362/G362,0)+IFERROR(AA363/G363,0)</f>
        <v>0</v>
      </c>
      <c r="AB364" s="50">
        <f>IFERROR(AB361/G361,0)+IFERROR(AB362/G362,0)+IFERROR(AB363/G363,0)</f>
        <v>0</v>
      </c>
      <c r="AC364" s="50">
        <f>IFERROR(IF(AC361="",0,AC361),0)+IFERROR(IF(AC362="",0,AC362),0)+IFERROR(IF(AC363="",0,AC363),0)</f>
        <v>0</v>
      </c>
      <c r="AD364" s="3"/>
      <c r="AE364" s="72"/>
      <c r="AF364" s="3"/>
      <c r="AG364" s="3"/>
      <c r="AH364" s="3"/>
      <c r="AI364" s="3"/>
      <c r="AJ364" s="3"/>
      <c r="AK364" s="3"/>
      <c r="AL364" s="62"/>
      <c r="AM364" s="62"/>
      <c r="AN364" s="62"/>
      <c r="AO364" s="3"/>
      <c r="AP364" s="3"/>
      <c r="AQ364" s="2"/>
      <c r="AR364" s="2"/>
      <c r="AS364" s="2"/>
      <c r="AT364" s="2"/>
      <c r="AU364" s="20"/>
      <c r="AV364" s="20"/>
      <c r="AW364" s="21"/>
    </row>
    <row r="365" spans="1:82" hidden="1" x14ac:dyDescent="0.2">
      <c r="A365" s="420"/>
      <c r="B365" s="420"/>
      <c r="C365" s="420"/>
      <c r="D365" s="420"/>
      <c r="E365" s="420"/>
      <c r="F365" s="420"/>
      <c r="G365" s="420"/>
      <c r="H365" s="420"/>
      <c r="I365" s="420"/>
      <c r="J365" s="420"/>
      <c r="K365" s="420"/>
      <c r="L365" s="420"/>
      <c r="M365" s="420"/>
      <c r="N365" s="420"/>
      <c r="O365" s="426" t="s">
        <v>43</v>
      </c>
      <c r="P365" s="427"/>
      <c r="Q365" s="427"/>
      <c r="R365" s="427"/>
      <c r="S365" s="427"/>
      <c r="T365" s="39" t="s">
        <v>0</v>
      </c>
      <c r="U365" s="102">
        <f t="shared" ref="U365:AB365" si="137">IFERROR(SUM(U361:U363),0)</f>
        <v>0</v>
      </c>
      <c r="V365" s="102">
        <f t="shared" si="137"/>
        <v>0</v>
      </c>
      <c r="W365" s="102">
        <f t="shared" si="137"/>
        <v>0</v>
      </c>
      <c r="X365" s="102">
        <f t="shared" si="137"/>
        <v>0</v>
      </c>
      <c r="Y365" s="102">
        <f t="shared" si="137"/>
        <v>0</v>
      </c>
      <c r="Z365" s="102">
        <f t="shared" si="137"/>
        <v>0</v>
      </c>
      <c r="AA365" s="102">
        <f t="shared" si="137"/>
        <v>0</v>
      </c>
      <c r="AB365" s="102">
        <f t="shared" si="137"/>
        <v>0</v>
      </c>
      <c r="AC365" s="50" t="s">
        <v>57</v>
      </c>
      <c r="AD365" s="3"/>
      <c r="AE365" s="72"/>
      <c r="AF365" s="3"/>
      <c r="AG365" s="3"/>
      <c r="AH365" s="3"/>
      <c r="AI365" s="3"/>
      <c r="AJ365" s="3"/>
      <c r="AK365" s="3"/>
      <c r="AL365" s="62"/>
      <c r="AM365" s="62"/>
      <c r="AN365" s="62"/>
      <c r="AO365" s="3"/>
      <c r="AP365" s="3"/>
      <c r="AQ365" s="2"/>
      <c r="AR365" s="2"/>
      <c r="AS365" s="2"/>
      <c r="AT365" s="2"/>
      <c r="AU365" s="20"/>
      <c r="AV365" s="20"/>
      <c r="AW365" s="21"/>
    </row>
    <row r="366" spans="1:82" ht="15" hidden="1" x14ac:dyDescent="0.25">
      <c r="A366" s="443" t="s">
        <v>545</v>
      </c>
      <c r="B366" s="430"/>
      <c r="C366" s="430"/>
      <c r="D366" s="430"/>
      <c r="E366" s="430"/>
      <c r="F366" s="430"/>
      <c r="G366" s="430"/>
      <c r="H366" s="430"/>
      <c r="I366" s="430"/>
      <c r="J366" s="430"/>
      <c r="K366" s="430"/>
      <c r="L366" s="430"/>
      <c r="M366" s="430"/>
      <c r="N366" s="430"/>
      <c r="O366" s="430"/>
      <c r="P366" s="430"/>
      <c r="Q366" s="430"/>
      <c r="R366" s="430"/>
      <c r="S366" s="430"/>
      <c r="T366" s="430"/>
      <c r="U366" s="430"/>
      <c r="V366" s="430"/>
      <c r="W366" s="430"/>
      <c r="X366" s="430"/>
      <c r="Y366" s="430"/>
      <c r="Z366" s="430"/>
      <c r="AA366" s="431"/>
      <c r="AB366" s="431"/>
      <c r="AC366" s="431"/>
      <c r="AD366" s="431"/>
      <c r="AE366" s="432"/>
      <c r="AF366" s="444"/>
      <c r="AG366" s="2"/>
      <c r="AH366" s="2"/>
      <c r="AI366" s="2"/>
      <c r="AJ366" s="2"/>
      <c r="AK366" s="61"/>
      <c r="AL366" s="61"/>
      <c r="AM366" s="61"/>
      <c r="AN366" s="2"/>
      <c r="AO366" s="2"/>
      <c r="AP366" s="2"/>
      <c r="AQ366" s="2"/>
      <c r="AR366" s="2"/>
    </row>
    <row r="367" spans="1:82" ht="15" hidden="1" x14ac:dyDescent="0.25">
      <c r="A367" s="428" t="s">
        <v>96</v>
      </c>
      <c r="B367" s="429"/>
      <c r="C367" s="429"/>
      <c r="D367" s="429"/>
      <c r="E367" s="429"/>
      <c r="F367" s="429"/>
      <c r="G367" s="429"/>
      <c r="H367" s="429"/>
      <c r="I367" s="429"/>
      <c r="J367" s="429"/>
      <c r="K367" s="429"/>
      <c r="L367" s="429"/>
      <c r="M367" s="429"/>
      <c r="N367" s="429"/>
      <c r="O367" s="429"/>
      <c r="P367" s="429"/>
      <c r="Q367" s="429"/>
      <c r="R367" s="429"/>
      <c r="S367" s="429"/>
      <c r="T367" s="429"/>
      <c r="U367" s="429"/>
      <c r="V367" s="429"/>
      <c r="W367" s="429"/>
      <c r="X367" s="430"/>
      <c r="Y367" s="430"/>
      <c r="Z367" s="430"/>
      <c r="AA367" s="431"/>
      <c r="AB367" s="431"/>
      <c r="AC367" s="431"/>
      <c r="AD367" s="431"/>
      <c r="AE367" s="432"/>
      <c r="AF367" s="433"/>
      <c r="AG367" s="2"/>
      <c r="AH367" s="2"/>
      <c r="AI367" s="2"/>
      <c r="AJ367" s="2"/>
      <c r="AK367" s="61"/>
      <c r="AL367" s="61"/>
      <c r="AM367" s="61"/>
      <c r="AN367" s="2"/>
      <c r="AO367" s="2"/>
      <c r="AP367" s="2"/>
      <c r="AQ367" s="2"/>
      <c r="AR367" s="2"/>
    </row>
    <row r="368" spans="1:82" hidden="1" x14ac:dyDescent="0.2">
      <c r="A368" s="79" t="s">
        <v>546</v>
      </c>
      <c r="B368" s="80" t="s">
        <v>547</v>
      </c>
      <c r="C368" s="80">
        <v>4301011951</v>
      </c>
      <c r="D368" s="80">
        <v>4640242180045</v>
      </c>
      <c r="E368" s="81">
        <v>1.5</v>
      </c>
      <c r="F368" s="82">
        <v>8</v>
      </c>
      <c r="G368" s="81">
        <v>12</v>
      </c>
      <c r="H368" s="81">
        <v>12.435</v>
      </c>
      <c r="I368" s="83">
        <v>64</v>
      </c>
      <c r="J368" s="83" t="s">
        <v>114</v>
      </c>
      <c r="K368" s="84" t="s">
        <v>106</v>
      </c>
      <c r="L368" s="84"/>
      <c r="M368" s="423">
        <v>55</v>
      </c>
      <c r="N368" s="423"/>
      <c r="O368" s="438" t="s">
        <v>548</v>
      </c>
      <c r="P368" s="425"/>
      <c r="Q368" s="425"/>
      <c r="R368" s="425"/>
      <c r="S368" s="425"/>
      <c r="T368" s="85" t="s">
        <v>0</v>
      </c>
      <c r="U368" s="65">
        <v>0</v>
      </c>
      <c r="V368" s="66">
        <f>IFERROR(IF(U368="",0,CEILING((U368/$G368),1)*$G368),"")</f>
        <v>0</v>
      </c>
      <c r="W368" s="65">
        <v>0</v>
      </c>
      <c r="X368" s="66">
        <f>IFERROR(IF(W368="",0,CEILING((W368/$G368),1)*$G368),"")</f>
        <v>0</v>
      </c>
      <c r="Y368" s="65">
        <v>0</v>
      </c>
      <c r="Z368" s="66">
        <f>IFERROR(IF(Y368="",0,CEILING((Y368/$G368),1)*$G368),"")</f>
        <v>0</v>
      </c>
      <c r="AA368" s="65">
        <v>0</v>
      </c>
      <c r="AB368" s="66">
        <f>IFERROR(IF(AA368="",0,CEILING((AA368/$G368),1)*$G368),"")</f>
        <v>0</v>
      </c>
      <c r="AC368" s="67" t="str">
        <f>IF(IFERROR(ROUNDUP(V368/G368,0)*0.01898,0)+IFERROR(ROUNDUP(X368/G368,0)*0.01898,0)+IFERROR(ROUNDUP(Z368/G368,0)*0.01898,0)+IFERROR(ROUNDUP(AB368/G368,0)*0.01898,0)=0,"",IFERROR(ROUNDUP(V368/G368,0)*0.01898,0)+IFERROR(ROUNDUP(X368/G368,0)*0.01898,0)+IFERROR(ROUNDUP(Z368/G368,0)*0.01898,0)+IFERROR(ROUNDUP(AB368/G368,0)*0.01898,0))</f>
        <v/>
      </c>
      <c r="AD368" s="79" t="s">
        <v>57</v>
      </c>
      <c r="AE368" s="79" t="s">
        <v>57</v>
      </c>
      <c r="AF368" s="391" t="s">
        <v>549</v>
      </c>
      <c r="AG368" s="2"/>
      <c r="AH368" s="2"/>
      <c r="AI368" s="2"/>
      <c r="AJ368" s="2"/>
      <c r="AK368" s="2"/>
      <c r="AL368" s="61"/>
      <c r="AM368" s="61"/>
      <c r="AN368" s="61"/>
      <c r="AO368" s="2"/>
      <c r="AP368" s="2"/>
      <c r="AQ368" s="2"/>
      <c r="AR368" s="2"/>
      <c r="AS368" s="2"/>
      <c r="AT368" s="2"/>
      <c r="AU368" s="20"/>
      <c r="AV368" s="20"/>
      <c r="AW368" s="21"/>
      <c r="BB368" s="390" t="s">
        <v>65</v>
      </c>
      <c r="BO368" s="77">
        <f>IFERROR(U368*H368/G368,0)</f>
        <v>0</v>
      </c>
      <c r="BP368" s="77">
        <f>IFERROR(V368*H368/G368,0)</f>
        <v>0</v>
      </c>
      <c r="BQ368" s="77">
        <f>IFERROR(1/I368*(U368/G368),0)</f>
        <v>0</v>
      </c>
      <c r="BR368" s="77">
        <f>IFERROR(1/I368*(V368/G368),0)</f>
        <v>0</v>
      </c>
      <c r="BS368" s="77">
        <f>IFERROR(W368*H368/G368,0)</f>
        <v>0</v>
      </c>
      <c r="BT368" s="77">
        <f>IFERROR(X368*H368/G368,0)</f>
        <v>0</v>
      </c>
      <c r="BU368" s="77">
        <f>IFERROR(1/I368*(W368/G368),0)</f>
        <v>0</v>
      </c>
      <c r="BV368" s="77">
        <f>IFERROR(1/I368*(X368/G368),0)</f>
        <v>0</v>
      </c>
      <c r="BW368" s="77">
        <f>IFERROR(Y368*H368/G368,0)</f>
        <v>0</v>
      </c>
      <c r="BX368" s="77">
        <f>IFERROR(Z368*H368/G368,0)</f>
        <v>0</v>
      </c>
      <c r="BY368" s="77">
        <f>IFERROR(1/I368*(Y368/G368),0)</f>
        <v>0</v>
      </c>
      <c r="BZ368" s="77">
        <f>IFERROR(1/I368*(Z368/G368),0)</f>
        <v>0</v>
      </c>
      <c r="CA368" s="77">
        <f>IFERROR(AA368*H368/G368,0)</f>
        <v>0</v>
      </c>
      <c r="CB368" s="77">
        <f>IFERROR(AB368*H368/G368,0)</f>
        <v>0</v>
      </c>
      <c r="CC368" s="77">
        <f>IFERROR(1/I368*(AA368/G368),0)</f>
        <v>0</v>
      </c>
      <c r="CD368" s="77">
        <f>IFERROR(1/I368*(AB368/G368),0)</f>
        <v>0</v>
      </c>
    </row>
    <row r="369" spans="1:82" hidden="1" x14ac:dyDescent="0.2">
      <c r="A369" s="79" t="s">
        <v>550</v>
      </c>
      <c r="B369" s="80" t="s">
        <v>551</v>
      </c>
      <c r="C369" s="80">
        <v>4301011548</v>
      </c>
      <c r="D369" s="80">
        <v>4640242180052</v>
      </c>
      <c r="E369" s="81">
        <v>1.5</v>
      </c>
      <c r="F369" s="82">
        <v>8</v>
      </c>
      <c r="G369" s="81">
        <v>12</v>
      </c>
      <c r="H369" s="81">
        <v>12.435</v>
      </c>
      <c r="I369" s="83">
        <v>64</v>
      </c>
      <c r="J369" s="83" t="s">
        <v>114</v>
      </c>
      <c r="K369" s="84" t="s">
        <v>106</v>
      </c>
      <c r="L369" s="84"/>
      <c r="M369" s="423">
        <v>55</v>
      </c>
      <c r="N369" s="423"/>
      <c r="O369" s="439" t="s">
        <v>552</v>
      </c>
      <c r="P369" s="425"/>
      <c r="Q369" s="425"/>
      <c r="R369" s="425"/>
      <c r="S369" s="425"/>
      <c r="T369" s="85" t="s">
        <v>0</v>
      </c>
      <c r="U369" s="65">
        <v>0</v>
      </c>
      <c r="V369" s="66">
        <f>IFERROR(IF(U369="",0,CEILING((U369/$G369),1)*$G369),"")</f>
        <v>0</v>
      </c>
      <c r="W369" s="65">
        <v>0</v>
      </c>
      <c r="X369" s="66">
        <f>IFERROR(IF(W369="",0,CEILING((W369/$G369),1)*$G369),"")</f>
        <v>0</v>
      </c>
      <c r="Y369" s="65">
        <v>0</v>
      </c>
      <c r="Z369" s="66">
        <f>IFERROR(IF(Y369="",0,CEILING((Y369/$G369),1)*$G369),"")</f>
        <v>0</v>
      </c>
      <c r="AA369" s="65">
        <v>0</v>
      </c>
      <c r="AB369" s="66">
        <f>IFERROR(IF(AA369="",0,CEILING((AA369/$G369),1)*$G369),"")</f>
        <v>0</v>
      </c>
      <c r="AC369" s="67" t="str">
        <f>IF(IFERROR(ROUNDUP(V369/G369,0)*0.01898,0)+IFERROR(ROUNDUP(X369/G369,0)*0.01898,0)+IFERROR(ROUNDUP(Z369/G369,0)*0.01898,0)+IFERROR(ROUNDUP(AB369/G369,0)*0.01898,0)=0,"",IFERROR(ROUNDUP(V369/G369,0)*0.01898,0)+IFERROR(ROUNDUP(X369/G369,0)*0.01898,0)+IFERROR(ROUNDUP(Z369/G369,0)*0.01898,0)+IFERROR(ROUNDUP(AB369/G369,0)*0.01898,0))</f>
        <v/>
      </c>
      <c r="AD369" s="79" t="s">
        <v>57</v>
      </c>
      <c r="AE369" s="79" t="s">
        <v>57</v>
      </c>
      <c r="AF369" s="393" t="s">
        <v>553</v>
      </c>
      <c r="AG369" s="2"/>
      <c r="AH369" s="2"/>
      <c r="AI369" s="2"/>
      <c r="AJ369" s="2"/>
      <c r="AK369" s="2"/>
      <c r="AL369" s="61"/>
      <c r="AM369" s="61"/>
      <c r="AN369" s="61"/>
      <c r="AO369" s="2"/>
      <c r="AP369" s="2"/>
      <c r="AQ369" s="2"/>
      <c r="AR369" s="2"/>
      <c r="AS369" s="2"/>
      <c r="AT369" s="2"/>
      <c r="AU369" s="20"/>
      <c r="AV369" s="20"/>
      <c r="AW369" s="21"/>
      <c r="BB369" s="392" t="s">
        <v>65</v>
      </c>
      <c r="BO369" s="77">
        <f>IFERROR(U369*H369/G369,0)</f>
        <v>0</v>
      </c>
      <c r="BP369" s="77">
        <f>IFERROR(V369*H369/G369,0)</f>
        <v>0</v>
      </c>
      <c r="BQ369" s="77">
        <f>IFERROR(1/I369*(U369/G369),0)</f>
        <v>0</v>
      </c>
      <c r="BR369" s="77">
        <f>IFERROR(1/I369*(V369/G369),0)</f>
        <v>0</v>
      </c>
      <c r="BS369" s="77">
        <f>IFERROR(W369*H369/G369,0)</f>
        <v>0</v>
      </c>
      <c r="BT369" s="77">
        <f>IFERROR(X369*H369/G369,0)</f>
        <v>0</v>
      </c>
      <c r="BU369" s="77">
        <f>IFERROR(1/I369*(W369/G369),0)</f>
        <v>0</v>
      </c>
      <c r="BV369" s="77">
        <f>IFERROR(1/I369*(X369/G369),0)</f>
        <v>0</v>
      </c>
      <c r="BW369" s="77">
        <f>IFERROR(Y369*H369/G369,0)</f>
        <v>0</v>
      </c>
      <c r="BX369" s="77">
        <f>IFERROR(Z369*H369/G369,0)</f>
        <v>0</v>
      </c>
      <c r="BY369" s="77">
        <f>IFERROR(1/I369*(Y369/G369),0)</f>
        <v>0</v>
      </c>
      <c r="BZ369" s="77">
        <f>IFERROR(1/I369*(Z369/G369),0)</f>
        <v>0</v>
      </c>
      <c r="CA369" s="77">
        <f>IFERROR(AA369*H369/G369,0)</f>
        <v>0</v>
      </c>
      <c r="CB369" s="77">
        <f>IFERROR(AB369*H369/G369,0)</f>
        <v>0</v>
      </c>
      <c r="CC369" s="77">
        <f>IFERROR(1/I369*(AA369/G369),0)</f>
        <v>0</v>
      </c>
      <c r="CD369" s="77">
        <f>IFERROR(1/I369*(AB369/G369),0)</f>
        <v>0</v>
      </c>
    </row>
    <row r="370" spans="1:82" hidden="1" x14ac:dyDescent="0.2">
      <c r="A370" s="420"/>
      <c r="B370" s="420"/>
      <c r="C370" s="420"/>
      <c r="D370" s="420"/>
      <c r="E370" s="420"/>
      <c r="F370" s="420"/>
      <c r="G370" s="420"/>
      <c r="H370" s="420"/>
      <c r="I370" s="420"/>
      <c r="J370" s="420"/>
      <c r="K370" s="420"/>
      <c r="L370" s="420"/>
      <c r="M370" s="420"/>
      <c r="N370" s="420"/>
      <c r="O370" s="426" t="s">
        <v>43</v>
      </c>
      <c r="P370" s="427"/>
      <c r="Q370" s="427"/>
      <c r="R370" s="427"/>
      <c r="S370" s="427"/>
      <c r="T370" s="39" t="s">
        <v>42</v>
      </c>
      <c r="U370" s="50">
        <f>IFERROR(U368/G368,0)+IFERROR(U369/G369,0)</f>
        <v>0</v>
      </c>
      <c r="V370" s="50">
        <f>IFERROR(V368/G368,0)+IFERROR(V369/G369,0)</f>
        <v>0</v>
      </c>
      <c r="W370" s="50">
        <f>IFERROR(W368/G368,0)+IFERROR(W369/G369,0)</f>
        <v>0</v>
      </c>
      <c r="X370" s="50">
        <f>IFERROR(X368/G368,0)+IFERROR(X369/G369,0)</f>
        <v>0</v>
      </c>
      <c r="Y370" s="50">
        <f>IFERROR(Y368/G368,0)+IFERROR(Y369/G369,0)</f>
        <v>0</v>
      </c>
      <c r="Z370" s="50">
        <f>IFERROR(Z368/G368,0)+IFERROR(Z369/G369,0)</f>
        <v>0</v>
      </c>
      <c r="AA370" s="50">
        <f>IFERROR(AA368/G368,0)+IFERROR(AA369/G369,0)</f>
        <v>0</v>
      </c>
      <c r="AB370" s="50">
        <f>IFERROR(AB368/G368,0)+IFERROR(AB369/G369,0)</f>
        <v>0</v>
      </c>
      <c r="AC370" s="50">
        <f>IFERROR(IF(AC368="",0,AC368),0)+IFERROR(IF(AC369="",0,AC369),0)</f>
        <v>0</v>
      </c>
      <c r="AD370" s="3"/>
      <c r="AE370" s="72"/>
      <c r="AF370" s="3"/>
      <c r="AG370" s="3"/>
      <c r="AH370" s="3"/>
      <c r="AI370" s="3"/>
      <c r="AJ370" s="3"/>
      <c r="AK370" s="3"/>
      <c r="AL370" s="62"/>
      <c r="AM370" s="62"/>
      <c r="AN370" s="62"/>
      <c r="AO370" s="3"/>
      <c r="AP370" s="3"/>
      <c r="AQ370" s="2"/>
      <c r="AR370" s="2"/>
      <c r="AS370" s="2"/>
      <c r="AT370" s="2"/>
      <c r="AU370" s="20"/>
      <c r="AV370" s="20"/>
      <c r="AW370" s="21"/>
    </row>
    <row r="371" spans="1:82" hidden="1" x14ac:dyDescent="0.2">
      <c r="A371" s="420"/>
      <c r="B371" s="420"/>
      <c r="C371" s="420"/>
      <c r="D371" s="420"/>
      <c r="E371" s="420"/>
      <c r="F371" s="420"/>
      <c r="G371" s="420"/>
      <c r="H371" s="420"/>
      <c r="I371" s="420"/>
      <c r="J371" s="420"/>
      <c r="K371" s="420"/>
      <c r="L371" s="420"/>
      <c r="M371" s="420"/>
      <c r="N371" s="420"/>
      <c r="O371" s="426" t="s">
        <v>43</v>
      </c>
      <c r="P371" s="427"/>
      <c r="Q371" s="427"/>
      <c r="R371" s="427"/>
      <c r="S371" s="427"/>
      <c r="T371" s="39" t="s">
        <v>0</v>
      </c>
      <c r="U371" s="102">
        <f t="shared" ref="U371:AB371" si="138">IFERROR(SUM(U368:U369),0)</f>
        <v>0</v>
      </c>
      <c r="V371" s="102">
        <f t="shared" si="138"/>
        <v>0</v>
      </c>
      <c r="W371" s="102">
        <f t="shared" si="138"/>
        <v>0</v>
      </c>
      <c r="X371" s="102">
        <f t="shared" si="138"/>
        <v>0</v>
      </c>
      <c r="Y371" s="102">
        <f t="shared" si="138"/>
        <v>0</v>
      </c>
      <c r="Z371" s="102">
        <f t="shared" si="138"/>
        <v>0</v>
      </c>
      <c r="AA371" s="102">
        <f t="shared" si="138"/>
        <v>0</v>
      </c>
      <c r="AB371" s="102">
        <f t="shared" si="138"/>
        <v>0</v>
      </c>
      <c r="AC371" s="50" t="s">
        <v>57</v>
      </c>
      <c r="AD371" s="3"/>
      <c r="AE371" s="72"/>
      <c r="AF371" s="3"/>
      <c r="AG371" s="3"/>
      <c r="AH371" s="3"/>
      <c r="AI371" s="3"/>
      <c r="AJ371" s="3"/>
      <c r="AK371" s="3"/>
      <c r="AL371" s="62"/>
      <c r="AM371" s="62"/>
      <c r="AN371" s="62"/>
      <c r="AO371" s="3"/>
      <c r="AP371" s="3"/>
      <c r="AQ371" s="2"/>
      <c r="AR371" s="2"/>
      <c r="AS371" s="2"/>
      <c r="AT371" s="2"/>
      <c r="AU371" s="20"/>
      <c r="AV371" s="20"/>
      <c r="AW371" s="21"/>
    </row>
    <row r="372" spans="1:82" ht="15" hidden="1" x14ac:dyDescent="0.25">
      <c r="A372" s="428" t="s">
        <v>129</v>
      </c>
      <c r="B372" s="429"/>
      <c r="C372" s="429"/>
      <c r="D372" s="429"/>
      <c r="E372" s="429"/>
      <c r="F372" s="429"/>
      <c r="G372" s="429"/>
      <c r="H372" s="429"/>
      <c r="I372" s="429"/>
      <c r="J372" s="429"/>
      <c r="K372" s="429"/>
      <c r="L372" s="429"/>
      <c r="M372" s="429"/>
      <c r="N372" s="429"/>
      <c r="O372" s="429"/>
      <c r="P372" s="429"/>
      <c r="Q372" s="429"/>
      <c r="R372" s="429"/>
      <c r="S372" s="429"/>
      <c r="T372" s="429"/>
      <c r="U372" s="429"/>
      <c r="V372" s="429"/>
      <c r="W372" s="429"/>
      <c r="X372" s="430"/>
      <c r="Y372" s="430"/>
      <c r="Z372" s="430"/>
      <c r="AA372" s="431"/>
      <c r="AB372" s="431"/>
      <c r="AC372" s="431"/>
      <c r="AD372" s="431"/>
      <c r="AE372" s="432"/>
      <c r="AF372" s="433"/>
      <c r="AG372" s="2"/>
      <c r="AH372" s="2"/>
      <c r="AI372" s="2"/>
      <c r="AJ372" s="2"/>
      <c r="AK372" s="61"/>
      <c r="AL372" s="61"/>
      <c r="AM372" s="61"/>
      <c r="AN372" s="2"/>
      <c r="AO372" s="2"/>
      <c r="AP372" s="2"/>
      <c r="AQ372" s="2"/>
      <c r="AR372" s="2"/>
    </row>
    <row r="373" spans="1:82" hidden="1" x14ac:dyDescent="0.2">
      <c r="A373" s="79" t="s">
        <v>554</v>
      </c>
      <c r="B373" s="80" t="s">
        <v>555</v>
      </c>
      <c r="C373" s="80">
        <v>4301031312</v>
      </c>
      <c r="D373" s="80">
        <v>4640242180083</v>
      </c>
      <c r="E373" s="81">
        <v>0.7</v>
      </c>
      <c r="F373" s="82">
        <v>6</v>
      </c>
      <c r="G373" s="81">
        <v>4.2</v>
      </c>
      <c r="H373" s="81">
        <v>4.41</v>
      </c>
      <c r="I373" s="83">
        <v>132</v>
      </c>
      <c r="J373" s="83" t="s">
        <v>100</v>
      </c>
      <c r="K373" s="84" t="s">
        <v>132</v>
      </c>
      <c r="L373" s="84"/>
      <c r="M373" s="423">
        <v>40</v>
      </c>
      <c r="N373" s="423"/>
      <c r="O373" s="440" t="s">
        <v>556</v>
      </c>
      <c r="P373" s="425"/>
      <c r="Q373" s="425"/>
      <c r="R373" s="425"/>
      <c r="S373" s="425"/>
      <c r="T373" s="85" t="s">
        <v>0</v>
      </c>
      <c r="U373" s="65">
        <v>0</v>
      </c>
      <c r="V373" s="66">
        <f>IFERROR(IF(U373="",0,CEILING((U373/$G373),1)*$G373),"")</f>
        <v>0</v>
      </c>
      <c r="W373" s="65">
        <v>0</v>
      </c>
      <c r="X373" s="66">
        <f>IFERROR(IF(W373="",0,CEILING((W373/$G373),1)*$G373),"")</f>
        <v>0</v>
      </c>
      <c r="Y373" s="65">
        <v>0</v>
      </c>
      <c r="Z373" s="66">
        <f>IFERROR(IF(Y373="",0,CEILING((Y373/$G373),1)*$G373),"")</f>
        <v>0</v>
      </c>
      <c r="AA373" s="65">
        <v>0</v>
      </c>
      <c r="AB373" s="66">
        <f>IFERROR(IF(AA373="",0,CEILING((AA373/$G373),1)*$G373),"")</f>
        <v>0</v>
      </c>
      <c r="AC373" s="67" t="str">
        <f>IF(IFERROR(ROUNDUP(V373/G373,0)*0.00902,0)+IFERROR(ROUNDUP(X373/G373,0)*0.00902,0)+IFERROR(ROUNDUP(Z373/G373,0)*0.00902,0)+IFERROR(ROUNDUP(AB373/G373,0)*0.00902,0)=0,"",IFERROR(ROUNDUP(V373/G373,0)*0.00902,0)+IFERROR(ROUNDUP(X373/G373,0)*0.00902,0)+IFERROR(ROUNDUP(Z373/G373,0)*0.00902,0)+IFERROR(ROUNDUP(AB373/G373,0)*0.00902,0))</f>
        <v/>
      </c>
      <c r="AD373" s="79" t="s">
        <v>57</v>
      </c>
      <c r="AE373" s="79" t="s">
        <v>57</v>
      </c>
      <c r="AF373" s="395" t="s">
        <v>557</v>
      </c>
      <c r="AG373" s="2"/>
      <c r="AH373" s="2"/>
      <c r="AI373" s="2"/>
      <c r="AJ373" s="2"/>
      <c r="AK373" s="2"/>
      <c r="AL373" s="61"/>
      <c r="AM373" s="61"/>
      <c r="AN373" s="61"/>
      <c r="AO373" s="2"/>
      <c r="AP373" s="2"/>
      <c r="AQ373" s="2"/>
      <c r="AR373" s="2"/>
      <c r="AS373" s="2"/>
      <c r="AT373" s="2"/>
      <c r="AU373" s="20"/>
      <c r="AV373" s="20"/>
      <c r="AW373" s="21"/>
      <c r="BB373" s="394" t="s">
        <v>65</v>
      </c>
      <c r="BO373" s="77">
        <f>IFERROR(U373*H373/G373,0)</f>
        <v>0</v>
      </c>
      <c r="BP373" s="77">
        <f>IFERROR(V373*H373/G373,0)</f>
        <v>0</v>
      </c>
      <c r="BQ373" s="77">
        <f>IFERROR(1/I373*(U373/G373),0)</f>
        <v>0</v>
      </c>
      <c r="BR373" s="77">
        <f>IFERROR(1/I373*(V373/G373),0)</f>
        <v>0</v>
      </c>
      <c r="BS373" s="77">
        <f>IFERROR(W373*H373/G373,0)</f>
        <v>0</v>
      </c>
      <c r="BT373" s="77">
        <f>IFERROR(X373*H373/G373,0)</f>
        <v>0</v>
      </c>
      <c r="BU373" s="77">
        <f>IFERROR(1/I373*(W373/G373),0)</f>
        <v>0</v>
      </c>
      <c r="BV373" s="77">
        <f>IFERROR(1/I373*(X373/G373),0)</f>
        <v>0</v>
      </c>
      <c r="BW373" s="77">
        <f>IFERROR(Y373*H373/G373,0)</f>
        <v>0</v>
      </c>
      <c r="BX373" s="77">
        <f>IFERROR(Z373*H373/G373,0)</f>
        <v>0</v>
      </c>
      <c r="BY373" s="77">
        <f>IFERROR(1/I373*(Y373/G373),0)</f>
        <v>0</v>
      </c>
      <c r="BZ373" s="77">
        <f>IFERROR(1/I373*(Z373/G373),0)</f>
        <v>0</v>
      </c>
      <c r="CA373" s="77">
        <f>IFERROR(AA373*H373/G373,0)</f>
        <v>0</v>
      </c>
      <c r="CB373" s="77">
        <f>IFERROR(AB373*H373/G373,0)</f>
        <v>0</v>
      </c>
      <c r="CC373" s="77">
        <f>IFERROR(1/I373*(AA373/G373),0)</f>
        <v>0</v>
      </c>
      <c r="CD373" s="77">
        <f>IFERROR(1/I373*(AB373/G373),0)</f>
        <v>0</v>
      </c>
    </row>
    <row r="374" spans="1:82" hidden="1" x14ac:dyDescent="0.2">
      <c r="A374" s="79" t="s">
        <v>558</v>
      </c>
      <c r="B374" s="80" t="s">
        <v>559</v>
      </c>
      <c r="C374" s="80">
        <v>4301031232</v>
      </c>
      <c r="D374" s="80">
        <v>4640242180076</v>
      </c>
      <c r="E374" s="81">
        <v>0.7</v>
      </c>
      <c r="F374" s="82">
        <v>6</v>
      </c>
      <c r="G374" s="81">
        <v>4.2</v>
      </c>
      <c r="H374" s="81">
        <v>4.41</v>
      </c>
      <c r="I374" s="83">
        <v>132</v>
      </c>
      <c r="J374" s="83" t="s">
        <v>100</v>
      </c>
      <c r="K374" s="84" t="s">
        <v>132</v>
      </c>
      <c r="L374" s="84"/>
      <c r="M374" s="423">
        <v>40</v>
      </c>
      <c r="N374" s="423"/>
      <c r="O374" s="435" t="s">
        <v>560</v>
      </c>
      <c r="P374" s="425"/>
      <c r="Q374" s="425"/>
      <c r="R374" s="425"/>
      <c r="S374" s="425"/>
      <c r="T374" s="85" t="s">
        <v>0</v>
      </c>
      <c r="U374" s="65">
        <v>0</v>
      </c>
      <c r="V374" s="66">
        <f>IFERROR(IF(U374="",0,CEILING((U374/$G374),1)*$G374),"")</f>
        <v>0</v>
      </c>
      <c r="W374" s="65">
        <v>0</v>
      </c>
      <c r="X374" s="66">
        <f>IFERROR(IF(W374="",0,CEILING((W374/$G374),1)*$G374),"")</f>
        <v>0</v>
      </c>
      <c r="Y374" s="65">
        <v>0</v>
      </c>
      <c r="Z374" s="66">
        <f>IFERROR(IF(Y374="",0,CEILING((Y374/$G374),1)*$G374),"")</f>
        <v>0</v>
      </c>
      <c r="AA374" s="65">
        <v>0</v>
      </c>
      <c r="AB374" s="66">
        <f>IFERROR(IF(AA374="",0,CEILING((AA374/$G374),1)*$G374),"")</f>
        <v>0</v>
      </c>
      <c r="AC374" s="67" t="str">
        <f>IF(IFERROR(ROUNDUP(V374/G374,0)*0.00902,0)+IFERROR(ROUNDUP(X374/G374,0)*0.00902,0)+IFERROR(ROUNDUP(Z374/G374,0)*0.00902,0)+IFERROR(ROUNDUP(AB374/G374,0)*0.00902,0)=0,"",IFERROR(ROUNDUP(V374/G374,0)*0.00902,0)+IFERROR(ROUNDUP(X374/G374,0)*0.00902,0)+IFERROR(ROUNDUP(Z374/G374,0)*0.00902,0)+IFERROR(ROUNDUP(AB374/G374,0)*0.00902,0))</f>
        <v/>
      </c>
      <c r="AD374" s="79" t="s">
        <v>57</v>
      </c>
      <c r="AE374" s="79" t="s">
        <v>57</v>
      </c>
      <c r="AF374" s="397" t="s">
        <v>561</v>
      </c>
      <c r="AG374" s="2"/>
      <c r="AH374" s="2"/>
      <c r="AI374" s="2"/>
      <c r="AJ374" s="2"/>
      <c r="AK374" s="2"/>
      <c r="AL374" s="61"/>
      <c r="AM374" s="61"/>
      <c r="AN374" s="61"/>
      <c r="AO374" s="2"/>
      <c r="AP374" s="2"/>
      <c r="AQ374" s="2"/>
      <c r="AR374" s="2"/>
      <c r="AS374" s="2"/>
      <c r="AT374" s="2"/>
      <c r="AU374" s="20"/>
      <c r="AV374" s="20"/>
      <c r="AW374" s="21"/>
      <c r="BB374" s="396" t="s">
        <v>65</v>
      </c>
      <c r="BO374" s="77">
        <f>IFERROR(U374*H374/G374,0)</f>
        <v>0</v>
      </c>
      <c r="BP374" s="77">
        <f>IFERROR(V374*H374/G374,0)</f>
        <v>0</v>
      </c>
      <c r="BQ374" s="77">
        <f>IFERROR(1/I374*(U374/G374),0)</f>
        <v>0</v>
      </c>
      <c r="BR374" s="77">
        <f>IFERROR(1/I374*(V374/G374),0)</f>
        <v>0</v>
      </c>
      <c r="BS374" s="77">
        <f>IFERROR(W374*H374/G374,0)</f>
        <v>0</v>
      </c>
      <c r="BT374" s="77">
        <f>IFERROR(X374*H374/G374,0)</f>
        <v>0</v>
      </c>
      <c r="BU374" s="77">
        <f>IFERROR(1/I374*(W374/G374),0)</f>
        <v>0</v>
      </c>
      <c r="BV374" s="77">
        <f>IFERROR(1/I374*(X374/G374),0)</f>
        <v>0</v>
      </c>
      <c r="BW374" s="77">
        <f>IFERROR(Y374*H374/G374,0)</f>
        <v>0</v>
      </c>
      <c r="BX374" s="77">
        <f>IFERROR(Z374*H374/G374,0)</f>
        <v>0</v>
      </c>
      <c r="BY374" s="77">
        <f>IFERROR(1/I374*(Y374/G374),0)</f>
        <v>0</v>
      </c>
      <c r="BZ374" s="77">
        <f>IFERROR(1/I374*(Z374/G374),0)</f>
        <v>0</v>
      </c>
      <c r="CA374" s="77">
        <f>IFERROR(AA374*H374/G374,0)</f>
        <v>0</v>
      </c>
      <c r="CB374" s="77">
        <f>IFERROR(AB374*H374/G374,0)</f>
        <v>0</v>
      </c>
      <c r="CC374" s="77">
        <f>IFERROR(1/I374*(AA374/G374),0)</f>
        <v>0</v>
      </c>
      <c r="CD374" s="77">
        <f>IFERROR(1/I374*(AB374/G374),0)</f>
        <v>0</v>
      </c>
    </row>
    <row r="375" spans="1:82" hidden="1" x14ac:dyDescent="0.2">
      <c r="A375" s="420"/>
      <c r="B375" s="420"/>
      <c r="C375" s="420"/>
      <c r="D375" s="420"/>
      <c r="E375" s="420"/>
      <c r="F375" s="420"/>
      <c r="G375" s="420"/>
      <c r="H375" s="420"/>
      <c r="I375" s="420"/>
      <c r="J375" s="420"/>
      <c r="K375" s="420"/>
      <c r="L375" s="420"/>
      <c r="M375" s="420"/>
      <c r="N375" s="420"/>
      <c r="O375" s="426" t="s">
        <v>43</v>
      </c>
      <c r="P375" s="427"/>
      <c r="Q375" s="427"/>
      <c r="R375" s="427"/>
      <c r="S375" s="427"/>
      <c r="T375" s="39" t="s">
        <v>42</v>
      </c>
      <c r="U375" s="50">
        <f>IFERROR(U373/G373,0)+IFERROR(U374/G374,0)</f>
        <v>0</v>
      </c>
      <c r="V375" s="50">
        <f>IFERROR(V373/G373,0)+IFERROR(V374/G374,0)</f>
        <v>0</v>
      </c>
      <c r="W375" s="50">
        <f>IFERROR(W373/G373,0)+IFERROR(W374/G374,0)</f>
        <v>0</v>
      </c>
      <c r="X375" s="50">
        <f>IFERROR(X373/G373,0)+IFERROR(X374/G374,0)</f>
        <v>0</v>
      </c>
      <c r="Y375" s="50">
        <f>IFERROR(Y373/G373,0)+IFERROR(Y374/G374,0)</f>
        <v>0</v>
      </c>
      <c r="Z375" s="50">
        <f>IFERROR(Z373/G373,0)+IFERROR(Z374/G374,0)</f>
        <v>0</v>
      </c>
      <c r="AA375" s="50">
        <f>IFERROR(AA373/G373,0)+IFERROR(AA374/G374,0)</f>
        <v>0</v>
      </c>
      <c r="AB375" s="50">
        <f>IFERROR(AB373/G373,0)+IFERROR(AB374/G374,0)</f>
        <v>0</v>
      </c>
      <c r="AC375" s="50">
        <f>IFERROR(IF(AC373="",0,AC373),0)+IFERROR(IF(AC374="",0,AC374),0)</f>
        <v>0</v>
      </c>
      <c r="AD375" s="3"/>
      <c r="AE375" s="72"/>
      <c r="AF375" s="3"/>
      <c r="AG375" s="3"/>
      <c r="AH375" s="3"/>
      <c r="AI375" s="3"/>
      <c r="AJ375" s="3"/>
      <c r="AK375" s="3"/>
      <c r="AL375" s="62"/>
      <c r="AM375" s="62"/>
      <c r="AN375" s="62"/>
      <c r="AO375" s="3"/>
      <c r="AP375" s="3"/>
      <c r="AQ375" s="2"/>
      <c r="AR375" s="2"/>
      <c r="AS375" s="2"/>
      <c r="AT375" s="2"/>
      <c r="AU375" s="20"/>
      <c r="AV375" s="20"/>
      <c r="AW375" s="21"/>
    </row>
    <row r="376" spans="1:82" hidden="1" x14ac:dyDescent="0.2">
      <c r="A376" s="420"/>
      <c r="B376" s="420"/>
      <c r="C376" s="420"/>
      <c r="D376" s="420"/>
      <c r="E376" s="420"/>
      <c r="F376" s="420"/>
      <c r="G376" s="420"/>
      <c r="H376" s="420"/>
      <c r="I376" s="420"/>
      <c r="J376" s="420"/>
      <c r="K376" s="420"/>
      <c r="L376" s="420"/>
      <c r="M376" s="420"/>
      <c r="N376" s="420"/>
      <c r="O376" s="426" t="s">
        <v>43</v>
      </c>
      <c r="P376" s="427"/>
      <c r="Q376" s="427"/>
      <c r="R376" s="427"/>
      <c r="S376" s="427"/>
      <c r="T376" s="39" t="s">
        <v>0</v>
      </c>
      <c r="U376" s="102">
        <f t="shared" ref="U376:AB376" si="139">IFERROR(SUM(U373:U374),0)</f>
        <v>0</v>
      </c>
      <c r="V376" s="102">
        <f t="shared" si="139"/>
        <v>0</v>
      </c>
      <c r="W376" s="102">
        <f t="shared" si="139"/>
        <v>0</v>
      </c>
      <c r="X376" s="102">
        <f t="shared" si="139"/>
        <v>0</v>
      </c>
      <c r="Y376" s="102">
        <f t="shared" si="139"/>
        <v>0</v>
      </c>
      <c r="Z376" s="102">
        <f t="shared" si="139"/>
        <v>0</v>
      </c>
      <c r="AA376" s="102">
        <f t="shared" si="139"/>
        <v>0</v>
      </c>
      <c r="AB376" s="102">
        <f t="shared" si="139"/>
        <v>0</v>
      </c>
      <c r="AC376" s="50" t="s">
        <v>57</v>
      </c>
      <c r="AD376" s="3"/>
      <c r="AE376" s="72"/>
      <c r="AF376" s="3"/>
      <c r="AG376" s="3"/>
      <c r="AH376" s="3"/>
      <c r="AI376" s="3"/>
      <c r="AJ376" s="3"/>
      <c r="AK376" s="3"/>
      <c r="AL376" s="62"/>
      <c r="AM376" s="62"/>
      <c r="AN376" s="62"/>
      <c r="AO376" s="3"/>
      <c r="AP376" s="3"/>
      <c r="AQ376" s="2"/>
      <c r="AR376" s="2"/>
      <c r="AS376" s="2"/>
      <c r="AT376" s="2"/>
      <c r="AU376" s="20"/>
      <c r="AV376" s="20"/>
      <c r="AW376" s="21"/>
    </row>
    <row r="377" spans="1:82" ht="15" hidden="1" x14ac:dyDescent="0.25">
      <c r="A377" s="428" t="s">
        <v>82</v>
      </c>
      <c r="B377" s="429"/>
      <c r="C377" s="429"/>
      <c r="D377" s="429"/>
      <c r="E377" s="429"/>
      <c r="F377" s="429"/>
      <c r="G377" s="429"/>
      <c r="H377" s="429"/>
      <c r="I377" s="429"/>
      <c r="J377" s="429"/>
      <c r="K377" s="429"/>
      <c r="L377" s="429"/>
      <c r="M377" s="429"/>
      <c r="N377" s="429"/>
      <c r="O377" s="429"/>
      <c r="P377" s="429"/>
      <c r="Q377" s="429"/>
      <c r="R377" s="429"/>
      <c r="S377" s="429"/>
      <c r="T377" s="429"/>
      <c r="U377" s="429"/>
      <c r="V377" s="429"/>
      <c r="W377" s="429"/>
      <c r="X377" s="430"/>
      <c r="Y377" s="430"/>
      <c r="Z377" s="430"/>
      <c r="AA377" s="431"/>
      <c r="AB377" s="431"/>
      <c r="AC377" s="431"/>
      <c r="AD377" s="431"/>
      <c r="AE377" s="432"/>
      <c r="AF377" s="433"/>
      <c r="AG377" s="2"/>
      <c r="AH377" s="2"/>
      <c r="AI377" s="2"/>
      <c r="AJ377" s="2"/>
      <c r="AK377" s="61"/>
      <c r="AL377" s="61"/>
      <c r="AM377" s="61"/>
      <c r="AN377" s="2"/>
      <c r="AO377" s="2"/>
      <c r="AP377" s="2"/>
      <c r="AQ377" s="2"/>
      <c r="AR377" s="2"/>
    </row>
    <row r="378" spans="1:82" hidden="1" x14ac:dyDescent="0.2">
      <c r="A378" s="79" t="s">
        <v>562</v>
      </c>
      <c r="B378" s="80" t="s">
        <v>563</v>
      </c>
      <c r="C378" s="80">
        <v>4301051914</v>
      </c>
      <c r="D378" s="80">
        <v>4640242180113</v>
      </c>
      <c r="E378" s="81">
        <v>1.5</v>
      </c>
      <c r="F378" s="82">
        <v>6</v>
      </c>
      <c r="G378" s="81">
        <v>9</v>
      </c>
      <c r="H378" s="81">
        <v>9.4350000000000005</v>
      </c>
      <c r="I378" s="83">
        <v>64</v>
      </c>
      <c r="J378" s="83" t="s">
        <v>114</v>
      </c>
      <c r="K378" s="84" t="s">
        <v>85</v>
      </c>
      <c r="L378" s="84"/>
      <c r="M378" s="423">
        <v>45</v>
      </c>
      <c r="N378" s="423"/>
      <c r="O378" s="436" t="s">
        <v>564</v>
      </c>
      <c r="P378" s="425"/>
      <c r="Q378" s="425"/>
      <c r="R378" s="425"/>
      <c r="S378" s="425"/>
      <c r="T378" s="85" t="s">
        <v>0</v>
      </c>
      <c r="U378" s="65">
        <v>0</v>
      </c>
      <c r="V378" s="66">
        <f>IFERROR(IF(U378="",0,CEILING((U378/$G378),1)*$G378),"")</f>
        <v>0</v>
      </c>
      <c r="W378" s="65">
        <v>0</v>
      </c>
      <c r="X378" s="66">
        <f>IFERROR(IF(W378="",0,CEILING((W378/$G378),1)*$G378),"")</f>
        <v>0</v>
      </c>
      <c r="Y378" s="65">
        <v>0</v>
      </c>
      <c r="Z378" s="66">
        <f>IFERROR(IF(Y378="",0,CEILING((Y378/$G378),1)*$G378),"")</f>
        <v>0</v>
      </c>
      <c r="AA378" s="65">
        <v>0</v>
      </c>
      <c r="AB378" s="66">
        <f>IFERROR(IF(AA378="",0,CEILING((AA378/$G378),1)*$G378),"")</f>
        <v>0</v>
      </c>
      <c r="AC378" s="67" t="str">
        <f>IF(IFERROR(ROUNDUP(V378/G378,0)*0.01898,0)+IFERROR(ROUNDUP(X378/G378,0)*0.01898,0)+IFERROR(ROUNDUP(Z378/G378,0)*0.01898,0)+IFERROR(ROUNDUP(AB378/G378,0)*0.01898,0)=0,"",IFERROR(ROUNDUP(V378/G378,0)*0.01898,0)+IFERROR(ROUNDUP(X378/G378,0)*0.01898,0)+IFERROR(ROUNDUP(Z378/G378,0)*0.01898,0)+IFERROR(ROUNDUP(AB378/G378,0)*0.01898,0))</f>
        <v/>
      </c>
      <c r="AD378" s="79" t="s">
        <v>57</v>
      </c>
      <c r="AE378" s="79" t="s">
        <v>57</v>
      </c>
      <c r="AF378" s="399" t="s">
        <v>565</v>
      </c>
      <c r="AG378" s="2"/>
      <c r="AH378" s="2"/>
      <c r="AI378" s="2"/>
      <c r="AJ378" s="2"/>
      <c r="AK378" s="2"/>
      <c r="AL378" s="61"/>
      <c r="AM378" s="61"/>
      <c r="AN378" s="61"/>
      <c r="AO378" s="2"/>
      <c r="AP378" s="2"/>
      <c r="AQ378" s="2"/>
      <c r="AR378" s="2"/>
      <c r="AS378" s="2"/>
      <c r="AT378" s="2"/>
      <c r="AU378" s="20"/>
      <c r="AV378" s="20"/>
      <c r="AW378" s="21"/>
      <c r="BB378" s="398" t="s">
        <v>65</v>
      </c>
      <c r="BO378" s="77">
        <f>IFERROR(U378*H378/G378,0)</f>
        <v>0</v>
      </c>
      <c r="BP378" s="77">
        <f>IFERROR(V378*H378/G378,0)</f>
        <v>0</v>
      </c>
      <c r="BQ378" s="77">
        <f>IFERROR(1/I378*(U378/G378),0)</f>
        <v>0</v>
      </c>
      <c r="BR378" s="77">
        <f>IFERROR(1/I378*(V378/G378),0)</f>
        <v>0</v>
      </c>
      <c r="BS378" s="77">
        <f>IFERROR(W378*H378/G378,0)</f>
        <v>0</v>
      </c>
      <c r="BT378" s="77">
        <f>IFERROR(X378*H378/G378,0)</f>
        <v>0</v>
      </c>
      <c r="BU378" s="77">
        <f>IFERROR(1/I378*(W378/G378),0)</f>
        <v>0</v>
      </c>
      <c r="BV378" s="77">
        <f>IFERROR(1/I378*(X378/G378),0)</f>
        <v>0</v>
      </c>
      <c r="BW378" s="77">
        <f>IFERROR(Y378*H378/G378,0)</f>
        <v>0</v>
      </c>
      <c r="BX378" s="77">
        <f>IFERROR(Z378*H378/G378,0)</f>
        <v>0</v>
      </c>
      <c r="BY378" s="77">
        <f>IFERROR(1/I378*(Y378/G378),0)</f>
        <v>0</v>
      </c>
      <c r="BZ378" s="77">
        <f>IFERROR(1/I378*(Z378/G378),0)</f>
        <v>0</v>
      </c>
      <c r="CA378" s="77">
        <f>IFERROR(AA378*H378/G378,0)</f>
        <v>0</v>
      </c>
      <c r="CB378" s="77">
        <f>IFERROR(AB378*H378/G378,0)</f>
        <v>0</v>
      </c>
      <c r="CC378" s="77">
        <f>IFERROR(1/I378*(AA378/G378),0)</f>
        <v>0</v>
      </c>
      <c r="CD378" s="77">
        <f>IFERROR(1/I378*(AB378/G378),0)</f>
        <v>0</v>
      </c>
    </row>
    <row r="379" spans="1:82" hidden="1" x14ac:dyDescent="0.2">
      <c r="A379" s="79" t="s">
        <v>566</v>
      </c>
      <c r="B379" s="80" t="s">
        <v>567</v>
      </c>
      <c r="C379" s="80">
        <v>4301051916</v>
      </c>
      <c r="D379" s="80">
        <v>4640242180106</v>
      </c>
      <c r="E379" s="81">
        <v>1.5</v>
      </c>
      <c r="F379" s="82">
        <v>6</v>
      </c>
      <c r="G379" s="81">
        <v>9</v>
      </c>
      <c r="H379" s="81">
        <v>9.4350000000000005</v>
      </c>
      <c r="I379" s="83">
        <v>64</v>
      </c>
      <c r="J379" s="83" t="s">
        <v>114</v>
      </c>
      <c r="K379" s="84" t="s">
        <v>99</v>
      </c>
      <c r="L379" s="84"/>
      <c r="M379" s="423">
        <v>45</v>
      </c>
      <c r="N379" s="423"/>
      <c r="O379" s="437" t="s">
        <v>568</v>
      </c>
      <c r="P379" s="425"/>
      <c r="Q379" s="425"/>
      <c r="R379" s="425"/>
      <c r="S379" s="425"/>
      <c r="T379" s="85" t="s">
        <v>0</v>
      </c>
      <c r="U379" s="65">
        <v>0</v>
      </c>
      <c r="V379" s="66">
        <f>IFERROR(IF(U379="",0,CEILING((U379/$G379),1)*$G379),"")</f>
        <v>0</v>
      </c>
      <c r="W379" s="65">
        <v>0</v>
      </c>
      <c r="X379" s="66">
        <f>IFERROR(IF(W379="",0,CEILING((W379/$G379),1)*$G379),"")</f>
        <v>0</v>
      </c>
      <c r="Y379" s="65">
        <v>0</v>
      </c>
      <c r="Z379" s="66">
        <f>IFERROR(IF(Y379="",0,CEILING((Y379/$G379),1)*$G379),"")</f>
        <v>0</v>
      </c>
      <c r="AA379" s="65">
        <v>0</v>
      </c>
      <c r="AB379" s="66">
        <f>IFERROR(IF(AA379="",0,CEILING((AA379/$G379),1)*$G379),"")</f>
        <v>0</v>
      </c>
      <c r="AC379" s="67" t="str">
        <f>IF(IFERROR(ROUNDUP(V379/G379,0)*0.01898,0)+IFERROR(ROUNDUP(X379/G379,0)*0.01898,0)+IFERROR(ROUNDUP(Z379/G379,0)*0.01898,0)+IFERROR(ROUNDUP(AB379/G379,0)*0.01898,0)=0,"",IFERROR(ROUNDUP(V379/G379,0)*0.01898,0)+IFERROR(ROUNDUP(X379/G379,0)*0.01898,0)+IFERROR(ROUNDUP(Z379/G379,0)*0.01898,0)+IFERROR(ROUNDUP(AB379/G379,0)*0.01898,0))</f>
        <v/>
      </c>
      <c r="AD379" s="79" t="s">
        <v>57</v>
      </c>
      <c r="AE379" s="79" t="s">
        <v>57</v>
      </c>
      <c r="AF379" s="401" t="s">
        <v>569</v>
      </c>
      <c r="AG379" s="2"/>
      <c r="AH379" s="2"/>
      <c r="AI379" s="2"/>
      <c r="AJ379" s="2"/>
      <c r="AK379" s="2"/>
      <c r="AL379" s="61"/>
      <c r="AM379" s="61"/>
      <c r="AN379" s="61"/>
      <c r="AO379" s="2"/>
      <c r="AP379" s="2"/>
      <c r="AQ379" s="2"/>
      <c r="AR379" s="2"/>
      <c r="AS379" s="2"/>
      <c r="AT379" s="2"/>
      <c r="AU379" s="20"/>
      <c r="AV379" s="20"/>
      <c r="AW379" s="21"/>
      <c r="BB379" s="400" t="s">
        <v>65</v>
      </c>
      <c r="BO379" s="77">
        <f>IFERROR(U379*H379/G379,0)</f>
        <v>0</v>
      </c>
      <c r="BP379" s="77">
        <f>IFERROR(V379*H379/G379,0)</f>
        <v>0</v>
      </c>
      <c r="BQ379" s="77">
        <f>IFERROR(1/I379*(U379/G379),0)</f>
        <v>0</v>
      </c>
      <c r="BR379" s="77">
        <f>IFERROR(1/I379*(V379/G379),0)</f>
        <v>0</v>
      </c>
      <c r="BS379" s="77">
        <f>IFERROR(W379*H379/G379,0)</f>
        <v>0</v>
      </c>
      <c r="BT379" s="77">
        <f>IFERROR(X379*H379/G379,0)</f>
        <v>0</v>
      </c>
      <c r="BU379" s="77">
        <f>IFERROR(1/I379*(W379/G379),0)</f>
        <v>0</v>
      </c>
      <c r="BV379" s="77">
        <f>IFERROR(1/I379*(X379/G379),0)</f>
        <v>0</v>
      </c>
      <c r="BW379" s="77">
        <f>IFERROR(Y379*H379/G379,0)</f>
        <v>0</v>
      </c>
      <c r="BX379" s="77">
        <f>IFERROR(Z379*H379/G379,0)</f>
        <v>0</v>
      </c>
      <c r="BY379" s="77">
        <f>IFERROR(1/I379*(Y379/G379),0)</f>
        <v>0</v>
      </c>
      <c r="BZ379" s="77">
        <f>IFERROR(1/I379*(Z379/G379),0)</f>
        <v>0</v>
      </c>
      <c r="CA379" s="77">
        <f>IFERROR(AA379*H379/G379,0)</f>
        <v>0</v>
      </c>
      <c r="CB379" s="77">
        <f>IFERROR(AB379*H379/G379,0)</f>
        <v>0</v>
      </c>
      <c r="CC379" s="77">
        <f>IFERROR(1/I379*(AA379/G379),0)</f>
        <v>0</v>
      </c>
      <c r="CD379" s="77">
        <f>IFERROR(1/I379*(AB379/G379),0)</f>
        <v>0</v>
      </c>
    </row>
    <row r="380" spans="1:82" hidden="1" x14ac:dyDescent="0.2">
      <c r="A380" s="79" t="s">
        <v>570</v>
      </c>
      <c r="B380" s="80" t="s">
        <v>571</v>
      </c>
      <c r="C380" s="80">
        <v>4301052011</v>
      </c>
      <c r="D380" s="80">
        <v>4640242181196</v>
      </c>
      <c r="E380" s="81">
        <v>1.5</v>
      </c>
      <c r="F380" s="82">
        <v>6</v>
      </c>
      <c r="G380" s="81">
        <v>9</v>
      </c>
      <c r="H380" s="81">
        <v>9.4350000000000005</v>
      </c>
      <c r="I380" s="83">
        <v>64</v>
      </c>
      <c r="J380" s="83" t="s">
        <v>114</v>
      </c>
      <c r="K380" s="84" t="s">
        <v>99</v>
      </c>
      <c r="L380" s="84"/>
      <c r="M380" s="423">
        <v>45</v>
      </c>
      <c r="N380" s="423"/>
      <c r="O380" s="424" t="s">
        <v>572</v>
      </c>
      <c r="P380" s="425"/>
      <c r="Q380" s="425"/>
      <c r="R380" s="425"/>
      <c r="S380" s="425"/>
      <c r="T380" s="85" t="s">
        <v>0</v>
      </c>
      <c r="U380" s="65">
        <v>0</v>
      </c>
      <c r="V380" s="66">
        <f>IFERROR(IF(U380="",0,CEILING((U380/$G380),1)*$G380),"")</f>
        <v>0</v>
      </c>
      <c r="W380" s="65">
        <v>0</v>
      </c>
      <c r="X380" s="66">
        <f>IFERROR(IF(W380="",0,CEILING((W380/$G380),1)*$G380),"")</f>
        <v>0</v>
      </c>
      <c r="Y380" s="65">
        <v>0</v>
      </c>
      <c r="Z380" s="66">
        <f>IFERROR(IF(Y380="",0,CEILING((Y380/$G380),1)*$G380),"")</f>
        <v>0</v>
      </c>
      <c r="AA380" s="65">
        <v>0</v>
      </c>
      <c r="AB380" s="66">
        <f>IFERROR(IF(AA380="",0,CEILING((AA380/$G380),1)*$G380),"")</f>
        <v>0</v>
      </c>
      <c r="AC380" s="67" t="str">
        <f>IF(IFERROR(ROUNDUP(V380/G380,0)*0.01898,0)+IFERROR(ROUNDUP(X380/G380,0)*0.01898,0)+IFERROR(ROUNDUP(Z380/G380,0)*0.01898,0)+IFERROR(ROUNDUP(AB380/G380,0)*0.01898,0)=0,"",IFERROR(ROUNDUP(V380/G380,0)*0.01898,0)+IFERROR(ROUNDUP(X380/G380,0)*0.01898,0)+IFERROR(ROUNDUP(Z380/G380,0)*0.01898,0)+IFERROR(ROUNDUP(AB380/G380,0)*0.01898,0))</f>
        <v/>
      </c>
      <c r="AD380" s="79" t="s">
        <v>57</v>
      </c>
      <c r="AE380" s="79" t="s">
        <v>57</v>
      </c>
      <c r="AF380" s="403" t="s">
        <v>573</v>
      </c>
      <c r="AG380" s="2"/>
      <c r="AH380" s="2"/>
      <c r="AI380" s="2"/>
      <c r="AJ380" s="2"/>
      <c r="AK380" s="2"/>
      <c r="AL380" s="61"/>
      <c r="AM380" s="61"/>
      <c r="AN380" s="61"/>
      <c r="AO380" s="2"/>
      <c r="AP380" s="2"/>
      <c r="AQ380" s="2"/>
      <c r="AR380" s="2"/>
      <c r="AS380" s="2"/>
      <c r="AT380" s="2"/>
      <c r="AU380" s="20"/>
      <c r="AV380" s="20"/>
      <c r="AW380" s="21"/>
      <c r="BB380" s="402" t="s">
        <v>65</v>
      </c>
      <c r="BO380" s="77">
        <f>IFERROR(U380*H380/G380,0)</f>
        <v>0</v>
      </c>
      <c r="BP380" s="77">
        <f>IFERROR(V380*H380/G380,0)</f>
        <v>0</v>
      </c>
      <c r="BQ380" s="77">
        <f>IFERROR(1/I380*(U380/G380),0)</f>
        <v>0</v>
      </c>
      <c r="BR380" s="77">
        <f>IFERROR(1/I380*(V380/G380),0)</f>
        <v>0</v>
      </c>
      <c r="BS380" s="77">
        <f>IFERROR(W380*H380/G380,0)</f>
        <v>0</v>
      </c>
      <c r="BT380" s="77">
        <f>IFERROR(X380*H380/G380,0)</f>
        <v>0</v>
      </c>
      <c r="BU380" s="77">
        <f>IFERROR(1/I380*(W380/G380),0)</f>
        <v>0</v>
      </c>
      <c r="BV380" s="77">
        <f>IFERROR(1/I380*(X380/G380),0)</f>
        <v>0</v>
      </c>
      <c r="BW380" s="77">
        <f>IFERROR(Y380*H380/G380,0)</f>
        <v>0</v>
      </c>
      <c r="BX380" s="77">
        <f>IFERROR(Z380*H380/G380,0)</f>
        <v>0</v>
      </c>
      <c r="BY380" s="77">
        <f>IFERROR(1/I380*(Y380/G380),0)</f>
        <v>0</v>
      </c>
      <c r="BZ380" s="77">
        <f>IFERROR(1/I380*(Z380/G380),0)</f>
        <v>0</v>
      </c>
      <c r="CA380" s="77">
        <f>IFERROR(AA380*H380/G380,0)</f>
        <v>0</v>
      </c>
      <c r="CB380" s="77">
        <f>IFERROR(AB380*H380/G380,0)</f>
        <v>0</v>
      </c>
      <c r="CC380" s="77">
        <f>IFERROR(1/I380*(AA380/G380),0)</f>
        <v>0</v>
      </c>
      <c r="CD380" s="77">
        <f>IFERROR(1/I380*(AB380/G380),0)</f>
        <v>0</v>
      </c>
    </row>
    <row r="381" spans="1:82" hidden="1" x14ac:dyDescent="0.2">
      <c r="A381" s="420"/>
      <c r="B381" s="420"/>
      <c r="C381" s="420"/>
      <c r="D381" s="420"/>
      <c r="E381" s="420"/>
      <c r="F381" s="420"/>
      <c r="G381" s="420"/>
      <c r="H381" s="420"/>
      <c r="I381" s="420"/>
      <c r="J381" s="420"/>
      <c r="K381" s="420"/>
      <c r="L381" s="420"/>
      <c r="M381" s="420"/>
      <c r="N381" s="420"/>
      <c r="O381" s="426" t="s">
        <v>43</v>
      </c>
      <c r="P381" s="427"/>
      <c r="Q381" s="427"/>
      <c r="R381" s="427"/>
      <c r="S381" s="427"/>
      <c r="T381" s="39" t="s">
        <v>42</v>
      </c>
      <c r="U381" s="50">
        <f>IFERROR(U378/G378,0)+IFERROR(U379/G379,0)+IFERROR(U380/G380,0)</f>
        <v>0</v>
      </c>
      <c r="V381" s="50">
        <f>IFERROR(V378/G378,0)+IFERROR(V379/G379,0)+IFERROR(V380/G380,0)</f>
        <v>0</v>
      </c>
      <c r="W381" s="50">
        <f>IFERROR(W378/G378,0)+IFERROR(W379/G379,0)+IFERROR(W380/G380,0)</f>
        <v>0</v>
      </c>
      <c r="X381" s="50">
        <f>IFERROR(X378/G378,0)+IFERROR(X379/G379,0)+IFERROR(X380/G380,0)</f>
        <v>0</v>
      </c>
      <c r="Y381" s="50">
        <f>IFERROR(Y378/G378,0)+IFERROR(Y379/G379,0)+IFERROR(Y380/G380,0)</f>
        <v>0</v>
      </c>
      <c r="Z381" s="50">
        <f>IFERROR(Z378/G378,0)+IFERROR(Z379/G379,0)+IFERROR(Z380/G380,0)</f>
        <v>0</v>
      </c>
      <c r="AA381" s="50">
        <f>IFERROR(AA378/G378,0)+IFERROR(AA379/G379,0)+IFERROR(AA380/G380,0)</f>
        <v>0</v>
      </c>
      <c r="AB381" s="50">
        <f>IFERROR(AB378/G378,0)+IFERROR(AB379/G379,0)+IFERROR(AB380/G380,0)</f>
        <v>0</v>
      </c>
      <c r="AC381" s="50">
        <f>IFERROR(IF(AC378="",0,AC378),0)+IFERROR(IF(AC379="",0,AC379),0)+IFERROR(IF(AC380="",0,AC380),0)</f>
        <v>0</v>
      </c>
      <c r="AD381" s="3"/>
      <c r="AE381" s="72"/>
      <c r="AF381" s="3"/>
      <c r="AG381" s="3"/>
      <c r="AH381" s="3"/>
      <c r="AI381" s="3"/>
      <c r="AJ381" s="3"/>
      <c r="AK381" s="3"/>
      <c r="AL381" s="62"/>
      <c r="AM381" s="62"/>
      <c r="AN381" s="62"/>
      <c r="AO381" s="3"/>
      <c r="AP381" s="3"/>
      <c r="AQ381" s="2"/>
      <c r="AR381" s="2"/>
      <c r="AS381" s="2"/>
      <c r="AT381" s="2"/>
      <c r="AU381" s="20"/>
      <c r="AV381" s="20"/>
      <c r="AW381" s="21"/>
    </row>
    <row r="382" spans="1:82" hidden="1" x14ac:dyDescent="0.2">
      <c r="A382" s="420"/>
      <c r="B382" s="420"/>
      <c r="C382" s="420"/>
      <c r="D382" s="420"/>
      <c r="E382" s="420"/>
      <c r="F382" s="420"/>
      <c r="G382" s="420"/>
      <c r="H382" s="420"/>
      <c r="I382" s="420"/>
      <c r="J382" s="420"/>
      <c r="K382" s="420"/>
      <c r="L382" s="420"/>
      <c r="M382" s="420"/>
      <c r="N382" s="420"/>
      <c r="O382" s="426" t="s">
        <v>43</v>
      </c>
      <c r="P382" s="427"/>
      <c r="Q382" s="427"/>
      <c r="R382" s="427"/>
      <c r="S382" s="427"/>
      <c r="T382" s="39" t="s">
        <v>0</v>
      </c>
      <c r="U382" s="102">
        <f t="shared" ref="U382:AB382" si="140">IFERROR(SUM(U378:U380),0)</f>
        <v>0</v>
      </c>
      <c r="V382" s="102">
        <f t="shared" si="140"/>
        <v>0</v>
      </c>
      <c r="W382" s="102">
        <f t="shared" si="140"/>
        <v>0</v>
      </c>
      <c r="X382" s="102">
        <f t="shared" si="140"/>
        <v>0</v>
      </c>
      <c r="Y382" s="102">
        <f t="shared" si="140"/>
        <v>0</v>
      </c>
      <c r="Z382" s="102">
        <f t="shared" si="140"/>
        <v>0</v>
      </c>
      <c r="AA382" s="102">
        <f t="shared" si="140"/>
        <v>0</v>
      </c>
      <c r="AB382" s="102">
        <f t="shared" si="140"/>
        <v>0</v>
      </c>
      <c r="AC382" s="50" t="s">
        <v>57</v>
      </c>
      <c r="AD382" s="3"/>
      <c r="AE382" s="72"/>
      <c r="AF382" s="3"/>
      <c r="AG382" s="3"/>
      <c r="AH382" s="3"/>
      <c r="AI382" s="3"/>
      <c r="AJ382" s="3"/>
      <c r="AK382" s="3"/>
      <c r="AL382" s="62"/>
      <c r="AM382" s="62"/>
      <c r="AN382" s="62"/>
      <c r="AO382" s="3"/>
      <c r="AP382" s="3"/>
      <c r="AQ382" s="2"/>
      <c r="AR382" s="2"/>
      <c r="AS382" s="2"/>
      <c r="AT382" s="2"/>
      <c r="AU382" s="20"/>
      <c r="AV382" s="20"/>
      <c r="AW382" s="21"/>
    </row>
    <row r="383" spans="1:82" ht="15" hidden="1" x14ac:dyDescent="0.25">
      <c r="A383" s="428" t="s">
        <v>146</v>
      </c>
      <c r="B383" s="429"/>
      <c r="C383" s="429"/>
      <c r="D383" s="429"/>
      <c r="E383" s="429"/>
      <c r="F383" s="429"/>
      <c r="G383" s="429"/>
      <c r="H383" s="429"/>
      <c r="I383" s="429"/>
      <c r="J383" s="429"/>
      <c r="K383" s="429"/>
      <c r="L383" s="429"/>
      <c r="M383" s="429"/>
      <c r="N383" s="429"/>
      <c r="O383" s="429"/>
      <c r="P383" s="429"/>
      <c r="Q383" s="429"/>
      <c r="R383" s="429"/>
      <c r="S383" s="429"/>
      <c r="T383" s="429"/>
      <c r="U383" s="429"/>
      <c r="V383" s="429"/>
      <c r="W383" s="429"/>
      <c r="X383" s="430"/>
      <c r="Y383" s="430"/>
      <c r="Z383" s="430"/>
      <c r="AA383" s="431"/>
      <c r="AB383" s="431"/>
      <c r="AC383" s="431"/>
      <c r="AD383" s="431"/>
      <c r="AE383" s="432"/>
      <c r="AF383" s="433"/>
      <c r="AG383" s="2"/>
      <c r="AH383" s="2"/>
      <c r="AI383" s="2"/>
      <c r="AJ383" s="2"/>
      <c r="AK383" s="61"/>
      <c r="AL383" s="61"/>
      <c r="AM383" s="61"/>
      <c r="AN383" s="2"/>
      <c r="AO383" s="2"/>
      <c r="AP383" s="2"/>
      <c r="AQ383" s="2"/>
      <c r="AR383" s="2"/>
    </row>
    <row r="384" spans="1:82" hidden="1" x14ac:dyDescent="0.2">
      <c r="A384" s="79" t="s">
        <v>574</v>
      </c>
      <c r="B384" s="80" t="s">
        <v>575</v>
      </c>
      <c r="C384" s="80">
        <v>4301060454</v>
      </c>
      <c r="D384" s="80">
        <v>4640242181165</v>
      </c>
      <c r="E384" s="81">
        <v>1.5</v>
      </c>
      <c r="F384" s="82">
        <v>6</v>
      </c>
      <c r="G384" s="81">
        <v>9</v>
      </c>
      <c r="H384" s="81">
        <v>9.4350000000000005</v>
      </c>
      <c r="I384" s="83">
        <v>64</v>
      </c>
      <c r="J384" s="83" t="s">
        <v>114</v>
      </c>
      <c r="K384" s="84" t="s">
        <v>99</v>
      </c>
      <c r="L384" s="84"/>
      <c r="M384" s="423">
        <v>40</v>
      </c>
      <c r="N384" s="423"/>
      <c r="O384" s="434" t="s">
        <v>576</v>
      </c>
      <c r="P384" s="425"/>
      <c r="Q384" s="425"/>
      <c r="R384" s="425"/>
      <c r="S384" s="425"/>
      <c r="T384" s="85" t="s">
        <v>0</v>
      </c>
      <c r="U384" s="65">
        <v>0</v>
      </c>
      <c r="V384" s="66">
        <f>IFERROR(IF(U384="",0,CEILING((U384/$G384),1)*$G384),"")</f>
        <v>0</v>
      </c>
      <c r="W384" s="65">
        <v>0</v>
      </c>
      <c r="X384" s="66">
        <f>IFERROR(IF(W384="",0,CEILING((W384/$G384),1)*$G384),"")</f>
        <v>0</v>
      </c>
      <c r="Y384" s="65">
        <v>0</v>
      </c>
      <c r="Z384" s="66">
        <f>IFERROR(IF(Y384="",0,CEILING((Y384/$G384),1)*$G384),"")</f>
        <v>0</v>
      </c>
      <c r="AA384" s="65">
        <v>0</v>
      </c>
      <c r="AB384" s="66">
        <f>IFERROR(IF(AA384="",0,CEILING((AA384/$G384),1)*$G384),"")</f>
        <v>0</v>
      </c>
      <c r="AC384" s="67" t="str">
        <f>IF(IFERROR(ROUNDUP(V384/G384,0)*0.01898,0)+IFERROR(ROUNDUP(X384/G384,0)*0.01898,0)+IFERROR(ROUNDUP(Z384/G384,0)*0.01898,0)+IFERROR(ROUNDUP(AB384/G384,0)*0.01898,0)=0,"",IFERROR(ROUNDUP(V384/G384,0)*0.01898,0)+IFERROR(ROUNDUP(X384/G384,0)*0.01898,0)+IFERROR(ROUNDUP(Z384/G384,0)*0.01898,0)+IFERROR(ROUNDUP(AB384/G384,0)*0.01898,0))</f>
        <v/>
      </c>
      <c r="AD384" s="79" t="s">
        <v>57</v>
      </c>
      <c r="AE384" s="79" t="s">
        <v>57</v>
      </c>
      <c r="AF384" s="405" t="s">
        <v>577</v>
      </c>
      <c r="AG384" s="2"/>
      <c r="AH384" s="2"/>
      <c r="AI384" s="2"/>
      <c r="AJ384" s="2"/>
      <c r="AK384" s="2"/>
      <c r="AL384" s="61"/>
      <c r="AM384" s="61"/>
      <c r="AN384" s="61"/>
      <c r="AO384" s="2"/>
      <c r="AP384" s="2"/>
      <c r="AQ384" s="2"/>
      <c r="AR384" s="2"/>
      <c r="AS384" s="2"/>
      <c r="AT384" s="2"/>
      <c r="AU384" s="20"/>
      <c r="AV384" s="20"/>
      <c r="AW384" s="21"/>
      <c r="BB384" s="404" t="s">
        <v>65</v>
      </c>
      <c r="BO384" s="77">
        <f>IFERROR(U384*H384/G384,0)</f>
        <v>0</v>
      </c>
      <c r="BP384" s="77">
        <f>IFERROR(V384*H384/G384,0)</f>
        <v>0</v>
      </c>
      <c r="BQ384" s="77">
        <f>IFERROR(1/I384*(U384/G384),0)</f>
        <v>0</v>
      </c>
      <c r="BR384" s="77">
        <f>IFERROR(1/I384*(V384/G384),0)</f>
        <v>0</v>
      </c>
      <c r="BS384" s="77">
        <f>IFERROR(W384*H384/G384,0)</f>
        <v>0</v>
      </c>
      <c r="BT384" s="77">
        <f>IFERROR(X384*H384/G384,0)</f>
        <v>0</v>
      </c>
      <c r="BU384" s="77">
        <f>IFERROR(1/I384*(W384/G384),0)</f>
        <v>0</v>
      </c>
      <c r="BV384" s="77">
        <f>IFERROR(1/I384*(X384/G384),0)</f>
        <v>0</v>
      </c>
      <c r="BW384" s="77">
        <f>IFERROR(Y384*H384/G384,0)</f>
        <v>0</v>
      </c>
      <c r="BX384" s="77">
        <f>IFERROR(Z384*H384/G384,0)</f>
        <v>0</v>
      </c>
      <c r="BY384" s="77">
        <f>IFERROR(1/I384*(Y384/G384),0)</f>
        <v>0</v>
      </c>
      <c r="BZ384" s="77">
        <f>IFERROR(1/I384*(Z384/G384),0)</f>
        <v>0</v>
      </c>
      <c r="CA384" s="77">
        <f>IFERROR(AA384*H384/G384,0)</f>
        <v>0</v>
      </c>
      <c r="CB384" s="77">
        <f>IFERROR(AB384*H384/G384,0)</f>
        <v>0</v>
      </c>
      <c r="CC384" s="77">
        <f>IFERROR(1/I384*(AA384/G384),0)</f>
        <v>0</v>
      </c>
      <c r="CD384" s="77">
        <f>IFERROR(1/I384*(AB384/G384),0)</f>
        <v>0</v>
      </c>
    </row>
    <row r="385" spans="1:51" hidden="1" x14ac:dyDescent="0.2">
      <c r="A385" s="420"/>
      <c r="B385" s="420"/>
      <c r="C385" s="420"/>
      <c r="D385" s="420"/>
      <c r="E385" s="420"/>
      <c r="F385" s="420"/>
      <c r="G385" s="420"/>
      <c r="H385" s="420"/>
      <c r="I385" s="420"/>
      <c r="J385" s="420"/>
      <c r="K385" s="420"/>
      <c r="L385" s="420"/>
      <c r="M385" s="420"/>
      <c r="N385" s="420"/>
      <c r="O385" s="426" t="s">
        <v>43</v>
      </c>
      <c r="P385" s="427"/>
      <c r="Q385" s="427"/>
      <c r="R385" s="427"/>
      <c r="S385" s="427"/>
      <c r="T385" s="39" t="s">
        <v>42</v>
      </c>
      <c r="U385" s="50">
        <f>IFERROR(U384/G384,0)</f>
        <v>0</v>
      </c>
      <c r="V385" s="50">
        <f>IFERROR(V384/G384,0)</f>
        <v>0</v>
      </c>
      <c r="W385" s="50">
        <f>IFERROR(W384/G384,0)</f>
        <v>0</v>
      </c>
      <c r="X385" s="50">
        <f>IFERROR(X384/G384,0)</f>
        <v>0</v>
      </c>
      <c r="Y385" s="50">
        <f>IFERROR(Y384/G384,0)</f>
        <v>0</v>
      </c>
      <c r="Z385" s="50">
        <f>IFERROR(Z384/G384,0)</f>
        <v>0</v>
      </c>
      <c r="AA385" s="50">
        <f>IFERROR(AA384/G384,0)</f>
        <v>0</v>
      </c>
      <c r="AB385" s="50">
        <f>IFERROR(AB384/G384,0)</f>
        <v>0</v>
      </c>
      <c r="AC385" s="50">
        <f>IFERROR(IF(AC384="",0,AC384),0)</f>
        <v>0</v>
      </c>
      <c r="AD385" s="3"/>
      <c r="AE385" s="72"/>
      <c r="AF385" s="3"/>
      <c r="AG385" s="3"/>
      <c r="AH385" s="3"/>
      <c r="AI385" s="3"/>
      <c r="AJ385" s="3"/>
      <c r="AK385" s="3"/>
      <c r="AL385" s="62"/>
      <c r="AM385" s="62"/>
      <c r="AN385" s="62"/>
      <c r="AO385" s="3"/>
      <c r="AP385" s="3"/>
      <c r="AQ385" s="2"/>
      <c r="AR385" s="2"/>
      <c r="AS385" s="2"/>
      <c r="AT385" s="2"/>
      <c r="AU385" s="20"/>
      <c r="AV385" s="20"/>
      <c r="AW385" s="21"/>
    </row>
    <row r="386" spans="1:51" hidden="1" x14ac:dyDescent="0.2">
      <c r="A386" s="420"/>
      <c r="B386" s="420"/>
      <c r="C386" s="420"/>
      <c r="D386" s="420"/>
      <c r="E386" s="420"/>
      <c r="F386" s="420"/>
      <c r="G386" s="420"/>
      <c r="H386" s="420"/>
      <c r="I386" s="420"/>
      <c r="J386" s="420"/>
      <c r="K386" s="420"/>
      <c r="L386" s="420"/>
      <c r="M386" s="420"/>
      <c r="N386" s="420"/>
      <c r="O386" s="426" t="s">
        <v>43</v>
      </c>
      <c r="P386" s="427"/>
      <c r="Q386" s="427"/>
      <c r="R386" s="427"/>
      <c r="S386" s="427"/>
      <c r="T386" s="39" t="s">
        <v>0</v>
      </c>
      <c r="U386" s="102">
        <f t="shared" ref="U386:AB386" si="141">IFERROR(SUM(U384:U384),0)</f>
        <v>0</v>
      </c>
      <c r="V386" s="102">
        <f t="shared" si="141"/>
        <v>0</v>
      </c>
      <c r="W386" s="102">
        <f t="shared" si="141"/>
        <v>0</v>
      </c>
      <c r="X386" s="102">
        <f t="shared" si="141"/>
        <v>0</v>
      </c>
      <c r="Y386" s="102">
        <f t="shared" si="141"/>
        <v>0</v>
      </c>
      <c r="Z386" s="102">
        <f t="shared" si="141"/>
        <v>0</v>
      </c>
      <c r="AA386" s="102">
        <f t="shared" si="141"/>
        <v>0</v>
      </c>
      <c r="AB386" s="102">
        <f t="shared" si="141"/>
        <v>0</v>
      </c>
      <c r="AC386" s="50" t="s">
        <v>57</v>
      </c>
      <c r="AD386" s="3"/>
      <c r="AE386" s="72"/>
      <c r="AF386" s="3"/>
      <c r="AG386" s="3"/>
      <c r="AH386" s="3"/>
      <c r="AI386" s="3"/>
      <c r="AJ386" s="3"/>
      <c r="AK386" s="3"/>
      <c r="AL386" s="62"/>
      <c r="AM386" s="62"/>
      <c r="AN386" s="62"/>
      <c r="AO386" s="3"/>
      <c r="AP386" s="3"/>
      <c r="AQ386" s="2"/>
      <c r="AR386" s="2"/>
      <c r="AS386" s="2"/>
      <c r="AT386" s="2"/>
      <c r="AU386" s="20"/>
      <c r="AV386" s="20"/>
      <c r="AW386" s="21"/>
    </row>
    <row r="387" spans="1:51" ht="15" customHeight="1" x14ac:dyDescent="0.2">
      <c r="A387" s="420"/>
      <c r="B387" s="420"/>
      <c r="C387" s="420"/>
      <c r="D387" s="420"/>
      <c r="E387" s="420"/>
      <c r="F387" s="420"/>
      <c r="G387" s="420"/>
      <c r="H387" s="420"/>
      <c r="I387" s="420"/>
      <c r="J387" s="420"/>
      <c r="K387" s="420"/>
      <c r="L387" s="420"/>
      <c r="M387" s="420"/>
      <c r="N387" s="420"/>
      <c r="O387" s="418" t="s">
        <v>35</v>
      </c>
      <c r="P387" s="419"/>
      <c r="Q387" s="419"/>
      <c r="R387" s="419"/>
      <c r="S387" s="419"/>
      <c r="T387" s="39" t="s">
        <v>0</v>
      </c>
      <c r="U387" s="103">
        <f t="shared" ref="U387:AB387" si="142">U24+U28+U36+U40+U48+U54+U59+U65+U70+U75+U83+U88+U92+U97+U102+U110+U116+U123+U128+U134+U139+U143+U149+U154+U158+U162+U169+U179+U185+U189+U194+U199+U204+U208+U213+U220+U226+U234+U239+U244+U252+U257+U263+U267+U281+U285+U290+U295+U302+U308+U312+U324+U330+U336+U341+U350+U359+U365+U371+U376+U382+U386</f>
        <v>20</v>
      </c>
      <c r="V387" s="103">
        <f t="shared" si="142"/>
        <v>21.6</v>
      </c>
      <c r="W387" s="103">
        <f t="shared" si="142"/>
        <v>0</v>
      </c>
      <c r="X387" s="103">
        <f t="shared" si="142"/>
        <v>0</v>
      </c>
      <c r="Y387" s="103">
        <f t="shared" si="142"/>
        <v>0</v>
      </c>
      <c r="Z387" s="103">
        <f t="shared" si="142"/>
        <v>0</v>
      </c>
      <c r="AA387" s="103">
        <f t="shared" si="142"/>
        <v>0</v>
      </c>
      <c r="AB387" s="103">
        <f t="shared" si="142"/>
        <v>0</v>
      </c>
      <c r="AC387" s="53" t="s">
        <v>57</v>
      </c>
      <c r="AD387" s="2"/>
      <c r="AE387" s="71"/>
      <c r="AF387" s="2"/>
      <c r="AG387" s="2"/>
      <c r="AH387" s="2"/>
      <c r="AI387" s="2"/>
      <c r="AJ387" s="2"/>
      <c r="AK387" s="2"/>
      <c r="AL387" s="61"/>
      <c r="AM387" s="61"/>
      <c r="AN387" s="61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x14ac:dyDescent="0.2">
      <c r="A388" s="420"/>
      <c r="B388" s="420"/>
      <c r="C388" s="420"/>
      <c r="D388" s="420"/>
      <c r="E388" s="420"/>
      <c r="F388" s="420"/>
      <c r="G388" s="420"/>
      <c r="H388" s="420"/>
      <c r="I388" s="420"/>
      <c r="J388" s="420"/>
      <c r="K388" s="420"/>
      <c r="L388" s="420"/>
      <c r="M388" s="420"/>
      <c r="N388" s="420"/>
      <c r="O388" s="418" t="s">
        <v>36</v>
      </c>
      <c r="P388" s="419"/>
      <c r="Q388" s="419"/>
      <c r="R388" s="419"/>
      <c r="S388" s="419"/>
      <c r="T388" s="39" t="s">
        <v>0</v>
      </c>
      <c r="U388" s="52">
        <f>IFERROR(SUM(BO21:BO384),0)</f>
        <v>21.75925925925926</v>
      </c>
      <c r="V388" s="52">
        <f>IFERROR(SUM(BP21:BP384),0)</f>
        <v>23.5</v>
      </c>
      <c r="W388" s="52">
        <f>IFERROR(SUM(BS21:BS384),0)</f>
        <v>0</v>
      </c>
      <c r="X388" s="52">
        <f>IFERROR(SUM(BT21:BT384),0)</f>
        <v>0</v>
      </c>
      <c r="Y388" s="52">
        <f>IFERROR(SUM(BW21:BW384),0)</f>
        <v>0</v>
      </c>
      <c r="Z388" s="52">
        <f>IFERROR(SUM(BX21:BX384),0)</f>
        <v>0</v>
      </c>
      <c r="AA388" s="52">
        <f>IFERROR(SUM(CA21:CA384),0)</f>
        <v>0</v>
      </c>
      <c r="AB388" s="52">
        <f>IFERROR(SUM(CB21:CB384),0)</f>
        <v>0</v>
      </c>
      <c r="AC388" s="53" t="s">
        <v>57</v>
      </c>
      <c r="AD388" s="2"/>
      <c r="AE388" s="71"/>
      <c r="AF388" s="104"/>
      <c r="AG388" s="2"/>
      <c r="AH388" s="2"/>
      <c r="AI388" s="2"/>
      <c r="AJ388" s="2"/>
      <c r="AK388" s="2"/>
      <c r="AL388" s="61"/>
      <c r="AM388" s="61"/>
      <c r="AN388" s="61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spans="1:51" x14ac:dyDescent="0.2">
      <c r="A389" s="420"/>
      <c r="B389" s="420"/>
      <c r="C389" s="420"/>
      <c r="D389" s="420"/>
      <c r="E389" s="420"/>
      <c r="F389" s="420"/>
      <c r="G389" s="420"/>
      <c r="H389" s="420"/>
      <c r="I389" s="420"/>
      <c r="J389" s="420"/>
      <c r="K389" s="420"/>
      <c r="L389" s="420"/>
      <c r="M389" s="420"/>
      <c r="N389" s="420"/>
      <c r="O389" s="418" t="s">
        <v>37</v>
      </c>
      <c r="P389" s="419"/>
      <c r="Q389" s="419"/>
      <c r="R389" s="419"/>
      <c r="S389" s="419"/>
      <c r="T389" s="39" t="s">
        <v>22</v>
      </c>
      <c r="U389" s="52">
        <f>ROUNDUP(SUM(BQ21:BQ384),0)</f>
        <v>1</v>
      </c>
      <c r="V389" s="52">
        <f>ROUNDUP(SUM(BR21:BR384),0)</f>
        <v>1</v>
      </c>
      <c r="W389" s="52">
        <f>ROUNDUP(SUM(BU21:BU384),0)</f>
        <v>0</v>
      </c>
      <c r="X389" s="52">
        <f>ROUNDUP(SUM(BV21:BV384),0)</f>
        <v>0</v>
      </c>
      <c r="Y389" s="52">
        <f>ROUNDUP(SUM(BY21:BY384),0)</f>
        <v>0</v>
      </c>
      <c r="Z389" s="52">
        <f>ROUNDUP(SUM(BZ21:BZ384),0)</f>
        <v>0</v>
      </c>
      <c r="AA389" s="52">
        <f>ROUNDUP(SUM(CC21:CC384),0)</f>
        <v>0</v>
      </c>
      <c r="AB389" s="52">
        <f>ROUNDUP(SUM(CD21:CD384),0)</f>
        <v>0</v>
      </c>
      <c r="AC389" s="53" t="s">
        <v>57</v>
      </c>
      <c r="AD389" s="2"/>
      <c r="AE389" s="71"/>
      <c r="AF389" s="2"/>
      <c r="AG389" s="2"/>
      <c r="AH389" s="2"/>
      <c r="AI389" s="2"/>
      <c r="AJ389" s="2"/>
      <c r="AK389" s="2"/>
      <c r="AL389" s="61"/>
      <c r="AM389" s="61"/>
      <c r="AN389" s="61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x14ac:dyDescent="0.2">
      <c r="A390" s="420"/>
      <c r="B390" s="420"/>
      <c r="C390" s="420"/>
      <c r="D390" s="420"/>
      <c r="E390" s="420"/>
      <c r="F390" s="420"/>
      <c r="G390" s="420"/>
      <c r="H390" s="420"/>
      <c r="I390" s="420"/>
      <c r="J390" s="420"/>
      <c r="K390" s="420"/>
      <c r="L390" s="420"/>
      <c r="M390" s="420"/>
      <c r="N390" s="420"/>
      <c r="O390" s="418" t="s">
        <v>38</v>
      </c>
      <c r="P390" s="419"/>
      <c r="Q390" s="419"/>
      <c r="R390" s="419"/>
      <c r="S390" s="419"/>
      <c r="T390" s="39" t="s">
        <v>0</v>
      </c>
      <c r="U390" s="107">
        <f t="shared" ref="U390:AB390" si="143">U388+U389*25</f>
        <v>46.75925925925926</v>
      </c>
      <c r="V390" s="107">
        <f t="shared" si="143"/>
        <v>48.5</v>
      </c>
      <c r="W390" s="107">
        <f t="shared" si="143"/>
        <v>0</v>
      </c>
      <c r="X390" s="107">
        <f t="shared" si="143"/>
        <v>0</v>
      </c>
      <c r="Y390" s="107">
        <f t="shared" si="143"/>
        <v>0</v>
      </c>
      <c r="Z390" s="107">
        <f t="shared" si="143"/>
        <v>0</v>
      </c>
      <c r="AA390" s="107">
        <f t="shared" si="143"/>
        <v>0</v>
      </c>
      <c r="AB390" s="107">
        <f t="shared" si="143"/>
        <v>0</v>
      </c>
      <c r="AC390" s="53" t="s">
        <v>57</v>
      </c>
      <c r="AL390" s="61"/>
      <c r="AM390" s="61"/>
      <c r="AN390" s="61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x14ac:dyDescent="0.2">
      <c r="A391" s="420"/>
      <c r="B391" s="420"/>
      <c r="C391" s="420"/>
      <c r="D391" s="420"/>
      <c r="E391" s="420"/>
      <c r="F391" s="420"/>
      <c r="G391" s="420"/>
      <c r="H391" s="420"/>
      <c r="I391" s="420"/>
      <c r="J391" s="420"/>
      <c r="K391" s="420"/>
      <c r="L391" s="420"/>
      <c r="M391" s="420"/>
      <c r="N391" s="420"/>
      <c r="O391" s="418" t="s">
        <v>39</v>
      </c>
      <c r="P391" s="419"/>
      <c r="Q391" s="419"/>
      <c r="R391" s="419"/>
      <c r="S391" s="419"/>
      <c r="T391" s="39" t="s">
        <v>22</v>
      </c>
      <c r="U391" s="108">
        <f t="shared" ref="U391:AB391" si="144">U23+U27+U35+U39+U47+U53+U58+U64+U69+U74+U82+U87+U91+U96+U101+U109+U115+U122+U127+U133+U138+U142+U148+U153+U157+U161+U168+U178+U184+U188+U193+U198+U203+U207+U212+U219+U225+U233+U238+U243+U251+U256+U262+U266+U280+U284+U289+U294+U301+U307+U311+U323+U329+U335+U340+U349+U358+U364+U370+U375+U381+U385</f>
        <v>9.2592592592592595</v>
      </c>
      <c r="V391" s="108">
        <f t="shared" si="144"/>
        <v>10</v>
      </c>
      <c r="W391" s="108">
        <f t="shared" si="144"/>
        <v>0</v>
      </c>
      <c r="X391" s="108">
        <f t="shared" si="144"/>
        <v>0</v>
      </c>
      <c r="Y391" s="108">
        <f t="shared" si="144"/>
        <v>0</v>
      </c>
      <c r="Z391" s="108">
        <f t="shared" si="144"/>
        <v>0</v>
      </c>
      <c r="AA391" s="108">
        <f t="shared" si="144"/>
        <v>0</v>
      </c>
      <c r="AB391" s="108">
        <f t="shared" si="144"/>
        <v>0</v>
      </c>
      <c r="AC391" s="53" t="s">
        <v>57</v>
      </c>
      <c r="AL391" s="61"/>
      <c r="AM391" s="61"/>
      <c r="AN391" s="61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spans="1:51" ht="14.25" hidden="1" x14ac:dyDescent="0.2">
      <c r="A392" s="420"/>
      <c r="B392" s="420"/>
      <c r="C392" s="420"/>
      <c r="D392" s="420"/>
      <c r="E392" s="420"/>
      <c r="F392" s="420"/>
      <c r="G392" s="420"/>
      <c r="H392" s="420"/>
      <c r="I392" s="420"/>
      <c r="J392" s="420"/>
      <c r="K392" s="420"/>
      <c r="L392" s="420"/>
      <c r="M392" s="420"/>
      <c r="N392" s="420"/>
      <c r="O392" s="418" t="s">
        <v>41</v>
      </c>
      <c r="P392" s="419"/>
      <c r="Q392" s="419"/>
      <c r="R392" s="419"/>
      <c r="S392" s="419"/>
      <c r="T392" s="40" t="s">
        <v>40</v>
      </c>
      <c r="U392" s="53" t="s">
        <v>57</v>
      </c>
      <c r="V392" s="53" t="s">
        <v>57</v>
      </c>
      <c r="W392" s="53" t="s">
        <v>57</v>
      </c>
      <c r="X392" s="53" t="s">
        <v>57</v>
      </c>
      <c r="Y392" s="53" t="s">
        <v>57</v>
      </c>
      <c r="Z392" s="53" t="s">
        <v>57</v>
      </c>
      <c r="AA392" s="53" t="s">
        <v>57</v>
      </c>
      <c r="AB392" s="53" t="s">
        <v>57</v>
      </c>
      <c r="AC392" s="53">
        <f>AC23+AC27+AC35+AC39+AC47+AC53+AC58+AC64+AC69+AC74+AC82+AC87+AC91+AC96+AC101+AC109+AC115+AC122+AC127+AC133+AC138+AC142+AC148+AC153+AC157+AC161+AC168+AC178+AC184+AC188+AC193+AC198+AC203+AC207+AC212+AC219+AC225+AC233+AC238+AC243+AC251+AC256+AC262+AC266+AC280+AC284+AC289+AC294+AC301+AC307+AC311+AC323+AC329+AC335+AC340+AC349+AC358+AC364+AC370+AC375+AC381+AC385</f>
        <v>5.8999999999999997E-2</v>
      </c>
      <c r="AF392" s="109"/>
      <c r="AL392" s="61"/>
      <c r="AM392" s="61"/>
      <c r="AN392" s="61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ht="12.75" customHeight="1" thickBot="1" x14ac:dyDescent="0.25">
      <c r="A393" s="6"/>
      <c r="B393" s="6"/>
      <c r="C393" s="6"/>
      <c r="D393" s="6"/>
      <c r="E393" s="6"/>
      <c r="F393" s="7"/>
      <c r="G393" s="7"/>
      <c r="H393" s="6"/>
      <c r="I393" s="6"/>
      <c r="J393" s="6"/>
      <c r="K393" s="11"/>
      <c r="L393" s="11"/>
      <c r="M393" s="11"/>
      <c r="N393" s="8"/>
      <c r="O393" s="9"/>
      <c r="P393" s="9"/>
      <c r="Q393" s="10"/>
      <c r="T393" s="4"/>
      <c r="U393" s="406"/>
      <c r="V393" s="407"/>
      <c r="W393" s="408"/>
      <c r="X393" s="408"/>
      <c r="Y393" s="408"/>
      <c r="Z393" s="408"/>
      <c r="AA393" s="407"/>
      <c r="AB393" s="409"/>
      <c r="AC393" s="409"/>
      <c r="AF393" s="110"/>
      <c r="AK393" s="61"/>
      <c r="AL393" s="61"/>
      <c r="AM393" s="61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:51" ht="26.25" thickBot="1" x14ac:dyDescent="0.25">
      <c r="A394" s="57" t="s">
        <v>10</v>
      </c>
      <c r="B394" s="86" t="s">
        <v>81</v>
      </c>
      <c r="C394" s="413" t="s">
        <v>94</v>
      </c>
      <c r="D394" s="413" t="s">
        <v>94</v>
      </c>
      <c r="E394" s="413" t="s">
        <v>94</v>
      </c>
      <c r="F394" s="413" t="s">
        <v>94</v>
      </c>
      <c r="G394" s="413" t="s">
        <v>94</v>
      </c>
      <c r="H394" s="413" t="s">
        <v>204</v>
      </c>
      <c r="I394" s="413" t="s">
        <v>204</v>
      </c>
      <c r="J394" s="421"/>
      <c r="K394" s="413" t="s">
        <v>204</v>
      </c>
      <c r="L394" s="422"/>
      <c r="M394" s="413" t="s">
        <v>204</v>
      </c>
      <c r="N394" s="413" t="s">
        <v>204</v>
      </c>
      <c r="O394" s="413" t="s">
        <v>204</v>
      </c>
      <c r="P394" s="413" t="s">
        <v>204</v>
      </c>
      <c r="Q394" s="413" t="s">
        <v>204</v>
      </c>
      <c r="R394" s="413" t="s">
        <v>204</v>
      </c>
      <c r="S394" s="413" t="s">
        <v>204</v>
      </c>
      <c r="T394" s="413" t="s">
        <v>204</v>
      </c>
      <c r="U394" s="413" t="s">
        <v>204</v>
      </c>
      <c r="V394" s="86" t="s">
        <v>355</v>
      </c>
      <c r="W394" s="413" t="s">
        <v>382</v>
      </c>
      <c r="X394" s="413" t="s">
        <v>382</v>
      </c>
      <c r="Y394" s="413" t="s">
        <v>382</v>
      </c>
      <c r="Z394" s="413" t="s">
        <v>382</v>
      </c>
      <c r="AA394" s="86" t="s">
        <v>447</v>
      </c>
      <c r="AB394" s="416" t="s">
        <v>496</v>
      </c>
      <c r="AC394" s="415" t="s">
        <v>496</v>
      </c>
      <c r="AF394" s="111"/>
      <c r="AK394" s="61"/>
      <c r="AL394" s="61"/>
      <c r="AM394" s="61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spans="1:51" ht="13.5" thickBot="1" x14ac:dyDescent="0.25">
      <c r="A395" s="417" t="s">
        <v>11</v>
      </c>
      <c r="B395" s="413" t="s">
        <v>81</v>
      </c>
      <c r="C395" s="413" t="s">
        <v>95</v>
      </c>
      <c r="D395" s="413" t="s">
        <v>111</v>
      </c>
      <c r="E395" s="413" t="s">
        <v>153</v>
      </c>
      <c r="F395" s="413" t="s">
        <v>173</v>
      </c>
      <c r="G395" s="413" t="s">
        <v>94</v>
      </c>
      <c r="H395" s="413" t="s">
        <v>205</v>
      </c>
      <c r="I395" s="413" t="s">
        <v>221</v>
      </c>
      <c r="K395" s="413" t="s">
        <v>249</v>
      </c>
      <c r="L395" s="12"/>
      <c r="M395" s="413" t="s">
        <v>249</v>
      </c>
      <c r="N395" s="413" t="s">
        <v>263</v>
      </c>
      <c r="O395" s="413" t="s">
        <v>273</v>
      </c>
      <c r="P395" s="413" t="s">
        <v>287</v>
      </c>
      <c r="Q395" s="413" t="s">
        <v>297</v>
      </c>
      <c r="R395" s="413" t="s">
        <v>305</v>
      </c>
      <c r="S395" s="413" t="s">
        <v>312</v>
      </c>
      <c r="T395" s="413" t="s">
        <v>317</v>
      </c>
      <c r="U395" s="413" t="s">
        <v>348</v>
      </c>
      <c r="V395" s="413" t="s">
        <v>356</v>
      </c>
      <c r="W395" s="413" t="s">
        <v>383</v>
      </c>
      <c r="X395" s="413" t="s">
        <v>415</v>
      </c>
      <c r="Y395" s="413" t="s">
        <v>426</v>
      </c>
      <c r="Z395" s="413" t="s">
        <v>438</v>
      </c>
      <c r="AA395" s="413" t="s">
        <v>447</v>
      </c>
      <c r="AB395" s="414" t="s">
        <v>496</v>
      </c>
      <c r="AC395" s="415" t="s">
        <v>545</v>
      </c>
      <c r="AK395" s="61"/>
      <c r="AL395" s="61"/>
      <c r="AM395" s="61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:51" ht="13.5" thickBot="1" x14ac:dyDescent="0.25">
      <c r="A396" s="417"/>
      <c r="B396" s="413"/>
      <c r="C396" s="413"/>
      <c r="D396" s="413"/>
      <c r="E396" s="413"/>
      <c r="F396" s="413"/>
      <c r="G396" s="413"/>
      <c r="H396" s="413"/>
      <c r="I396" s="413"/>
      <c r="K396" s="413"/>
      <c r="L396" s="12"/>
      <c r="M396" s="413"/>
      <c r="N396" s="413"/>
      <c r="O396" s="413"/>
      <c r="P396" s="413"/>
      <c r="Q396" s="413"/>
      <c r="R396" s="413"/>
      <c r="S396" s="413"/>
      <c r="T396" s="413"/>
      <c r="U396" s="413"/>
      <c r="V396" s="413"/>
      <c r="W396" s="413"/>
      <c r="X396" s="413"/>
      <c r="Y396" s="413"/>
      <c r="Z396" s="413"/>
      <c r="AA396" s="413"/>
      <c r="AB396" s="414"/>
      <c r="AC396" s="415"/>
      <c r="AK396" s="61"/>
      <c r="AL396" s="61"/>
      <c r="AM396" s="61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spans="1:51" ht="17.25" thickBot="1" x14ac:dyDescent="0.25">
      <c r="A397" s="57" t="s">
        <v>14</v>
      </c>
      <c r="B397" s="58">
        <f>IFERROR(IF(V21="",0,V21)+IF(X21="",0,X21)+IF(Z21="",0,Z21)+IF(AB21="",0,AB21)+IF(V22="",0,V22)+IF(X22="",0,X22)+IF(Z22="",0,Z22)+IF(AB22="",0,AB22)+IF(V26="",0,V26)+IF(X26="",0,X26)+IF(Z26="",0,Z26)+IF(AB26="",0,AB26),0)</f>
        <v>0</v>
      </c>
      <c r="C397" s="58">
        <f>IFERROR(IF(V32="",0,V32)+IF(X32="",0,X32)+IF(Z32="",0,Z32)+IF(AB32="",0,AB32)+IF(V33="",0,V33)+IF(X33="",0,X33)+IF(Z33="",0,Z33)+IF(AB33="",0,AB33)+IF(V34="",0,V34)+IF(X34="",0,X34)+IF(Z34="",0,Z34)+IF(AB34="",0,AB34)+IF(V38="",0,V38)+IF(X38="",0,X38)+IF(Z38="",0,Z38)+IF(AB38="",0,AB38),0)</f>
        <v>0</v>
      </c>
      <c r="D397" s="58">
        <f>IFERROR(IF(V43="",0,V43)+IF(X43="",0,X43)+IF(Z43="",0,Z43)+IF(AB43="",0,AB43)+IF(V44="",0,V44)+IF(X44="",0,X44)+IF(Z44="",0,Z44)+IF(AB44="",0,AB44)+IF(V45="",0,V45)+IF(X45="",0,X45)+IF(Z45="",0,Z45)+IF(AB45="",0,AB45)+IF(V46="",0,V46)+IF(X46="",0,X46)+IF(Z46="",0,Z46)+IF(AB46="",0,AB46)+IF(V50="",0,V50)+IF(X50="",0,X50)+IF(Z50="",0,Z50)+IF(AB50="",0,AB50)+IF(V51="",0,V51)+IF(X51="",0,X51)+IF(Z51="",0,Z51)+IF(AB51="",0,AB51)+IF(V52="",0,V52)+IF(X52="",0,X52)+IF(Z52="",0,Z52)+IF(AB52="",0,AB52)+IF(V56="",0,V56)+IF(X56="",0,X56)+IF(Z56="",0,Z56)+IF(AB56="",0,AB56)+IF(V57="",0,V57)+IF(X57="",0,X57)+IF(Z57="",0,Z57)+IF(AB57="",0,AB57)+IF(V61="",0,V61)+IF(X61="",0,X61)+IF(Z61="",0,Z61)+IF(AB61="",0,AB61)+IF(V62="",0,V62)+IF(X62="",0,X62)+IF(Z62="",0,Z62)+IF(AB62="",0,AB62)+IF(V63="",0,V63)+IF(X63="",0,X63)+IF(Z63="",0,Z63)+IF(AB63="",0,AB63)+IF(V67="",0,V67)+IF(X67="",0,X67)+IF(Z67="",0,Z67)+IF(AB67="",0,AB67)+IF(V68="",0,V68)+IF(X68="",0,X68)+IF(Z68="",0,Z68)+IF(AB68="",0,AB68),0)</f>
        <v>0</v>
      </c>
      <c r="E397" s="58">
        <f>IFERROR(IF(V73="",0,V73)+IF(X73="",0,X73)+IF(Z73="",0,Z73)+IF(AB73="",0,AB73)+IF(V77="",0,V77)+IF(X77="",0,X77)+IF(Z77="",0,Z77)+IF(AB77="",0,AB77)+IF(V78="",0,V78)+IF(X78="",0,X78)+IF(Z78="",0,Z78)+IF(AB78="",0,AB78)+IF(V79="",0,V79)+IF(X79="",0,X79)+IF(Z79="",0,Z79)+IF(AB79="",0,AB79)+IF(V80="",0,V80)+IF(X80="",0,X80)+IF(Z80="",0,Z80)+IF(AB80="",0,AB80)+IF(V81="",0,V81)+IF(X81="",0,X81)+IF(Z81="",0,Z81)+IF(AB81="",0,AB81),0)</f>
        <v>0</v>
      </c>
      <c r="F397" s="58">
        <f>IFERROR(IF(V86="",0,V86)+IF(X86="",0,X86)+IF(Z86="",0,Z86)+IF(AB86="",0,AB86)+IF(V90="",0,V90)+IF(X90="",0,X90)+IF(Z90="",0,Z90)+IF(AB90="",0,AB90)+IF(V94="",0,V94)+IF(X94="",0,X94)+IF(Z94="",0,Z94)+IF(AB94="",0,AB94)+IF(V95="",0,V95)+IF(X95="",0,X95)+IF(Z95="",0,Z95)+IF(AB95="",0,AB95)+IF(V99="",0,V99)+IF(X99="",0,X99)+IF(Z99="",0,Z99)+IF(AB99="",0,AB99)+IF(V100="",0,V100)+IF(X100="",0,X100)+IF(Z100="",0,Z100)+IF(AB100="",0,AB100),0)</f>
        <v>0</v>
      </c>
      <c r="G397" s="58">
        <f>IFERROR(IF(V105="",0,V105)+IF(X105="",0,X105)+IF(Z105="",0,Z105)+IF(AB105="",0,AB105)+IF(V106="",0,V106)+IF(X106="",0,X106)+IF(Z106="",0,Z106)+IF(AB106="",0,AB106)+IF(V107="",0,V107)+IF(X107="",0,X107)+IF(Z107="",0,Z107)+IF(AB107="",0,AB107)+IF(V108="",0,V108)+IF(X108="",0,X108)+IF(Z108="",0,Z108)+IF(AB108="",0,AB108),0)</f>
        <v>0</v>
      </c>
      <c r="H397" s="58">
        <f>IFERROR(IF(V114="",0,V114)+IF(X114="",0,X114)+IF(Z114="",0,Z114)+IF(AB114="",0,AB114)+IF(V118="",0,V118)+IF(X118="",0,X118)+IF(Z118="",0,Z118)+IF(AB118="",0,AB118)+IF(V119="",0,V119)+IF(X119="",0,X119)+IF(Z119="",0,Z119)+IF(AB119="",0,AB119)+IF(V120="",0,V120)+IF(X120="",0,X120)+IF(Z120="",0,Z120)+IF(AB120="",0,AB120)+IF(V121="",0,V121)+IF(X121="",0,X121)+IF(Z121="",0,Z121)+IF(AB121="",0,AB121),0)</f>
        <v>0</v>
      </c>
      <c r="I397" s="58">
        <f>IFERROR(IF(V126="",0,V126)+IF(X126="",0,X126)+IF(Z126="",0,Z126)+IF(AB126="",0,AB126)+IF(V130="",0,V130)+IF(X130="",0,X130)+IF(Z130="",0,Z130)+IF(AB130="",0,AB130)+IF(V131="",0,V131)+IF(X131="",0,X131)+IF(Z131="",0,Z131)+IF(AB131="",0,AB131)+IF(V132="",0,V132)+IF(X132="",0,X132)+IF(Z132="",0,Z132)+IF(AB132="",0,AB132)+IF(V136="",0,V136)+IF(X136="",0,X136)+IF(Z136="",0,Z136)+IF(AB136="",0,AB136)+IF(V137="",0,V137)+IF(X137="",0,X137)+IF(Z137="",0,Z137)+IF(AB137="",0,AB137)+IF(V141="",0,V141)+IF(X141="",0,X141)+IF(Z141="",0,Z141)+IF(AB141="",0,AB141),0)</f>
        <v>0</v>
      </c>
      <c r="K397" s="58">
        <f>IFERROR(IF(V152="",0,V152)+IF(X152="",0,X152)+IF(Z152="",0,Z152)+IF(AB152="",0,AB152)+IF(V156="",0,V156)+IF(X156="",0,X156)+IF(Z156="",0,Z156)+IF(AB156="",0,AB156)+IF(V160="",0,V160)+IF(X160="",0,X160)+IF(Z160="",0,Z160)+IF(AB160="",0,AB160),0)</f>
        <v>21.6</v>
      </c>
      <c r="L397" s="12"/>
      <c r="M397" s="58">
        <f>IFERROR(IF(V152="",0,V152)+IF(X152="",0,X152)+IF(Z152="",0,Z152)+IF(AB152="",0,AB152)+IF(V156="",0,V156)+IF(X156="",0,X156)+IF(Z156="",0,Z156)+IF(AB156="",0,AB156)+IF(V160="",0,V160)+IF(X160="",0,X160)+IF(Z160="",0,Z160)+IF(AB160="",0,AB160),0)</f>
        <v>21.6</v>
      </c>
      <c r="N397" s="58">
        <f>IFERROR(IF(V165="",0,V165)+IF(X165="",0,X165)+IF(Z165="",0,Z165)+IF(AB165="",0,AB165)+IF(V166="",0,V166)+IF(X166="",0,X166)+IF(Z166="",0,Z166)+IF(AB166="",0,AB166)+IF(V167="",0,V167)+IF(X167="",0,X167)+IF(Z167="",0,Z167)+IF(AB167="",0,AB167),0)</f>
        <v>0</v>
      </c>
      <c r="O397" s="58">
        <f>IFERROR(IF(V172="",0,V172)+IF(X172="",0,X172)+IF(Z172="",0,Z172)+IF(AB172="",0,AB172)+IF(V173="",0,V173)+IF(X173="",0,X173)+IF(Z173="",0,Z173)+IF(AB173="",0,AB173)+IF(V174="",0,V174)+IF(X174="",0,X174)+IF(Z174="",0,Z174)+IF(AB174="",0,AB174)+IF(V175="",0,V175)+IF(X175="",0,X175)+IF(Z175="",0,Z175)+IF(AB175="",0,AB175)+IF(V176="",0,V176)+IF(X176="",0,X176)+IF(Z176="",0,Z176)+IF(AB176="",0,AB176)+IF(V177="",0,V177)+IF(X177="",0,X177)+IF(Z177="",0,Z177)+IF(AB177="",0,AB177),0)</f>
        <v>0</v>
      </c>
      <c r="P397" s="58">
        <f>IFERROR(IF(V182="",0,V182)+IF(X182="",0,X182)+IF(Z182="",0,Z182)+IF(AB182="",0,AB182)+IF(V183="",0,V183)+IF(X183="",0,X183)+IF(Z183="",0,Z183)+IF(AB183="",0,AB183)+IF(V187="",0,V187)+IF(X187="",0,X187)+IF(Z187="",0,Z187)+IF(AB187="",0,AB187),0)</f>
        <v>0</v>
      </c>
      <c r="Q397" s="58">
        <f>IFERROR(IF(V192="",0,V192)+IF(X192="",0,X192)+IF(Z192="",0,Z192)+IF(AB192="",0,AB192)+IF(V196="",0,V196)+IF(X196="",0,X196)+IF(Z196="",0,Z196)+IF(AB196="",0,AB196)+IF(V197="",0,V197)+IF(X197="",0,X197)+IF(Z197="",0,Z197)+IF(AB197="",0,AB197),0)</f>
        <v>0</v>
      </c>
      <c r="R397" s="58">
        <f>IFERROR(IF(V202="",0,V202)+IF(X202="",0,X202)+IF(Z202="",0,Z202)+IF(AB202="",0,AB202)+IF(V206="",0,V206)+IF(X206="",0,X206)+IF(Z206="",0,Z206)+IF(AB206="",0,AB206),0)</f>
        <v>0</v>
      </c>
      <c r="S397" s="58">
        <f>IFERROR(IF(V211="",0,V211)+IF(X211="",0,X211)+IF(Z211="",0,Z211)+IF(AB211="",0,AB211),0)</f>
        <v>0</v>
      </c>
      <c r="T397" s="58">
        <f>IFERROR(IF(V216="",0,V216)+IF(X216="",0,X216)+IF(Z216="",0,Z216)+IF(AB216="",0,AB216)+IF(V217="",0,V217)+IF(X217="",0,X217)+IF(Z217="",0,Z217)+IF(AB217="",0,AB217)+IF(V218="",0,V218)+IF(X218="",0,X218)+IF(Z218="",0,Z218)+IF(AB218="",0,AB218)+IF(V222="",0,V222)+IF(X222="",0,X222)+IF(Z222="",0,Z222)+IF(AB222="",0,AB222)+IF(V223="",0,V223)+IF(X223="",0,X223)+IF(Z223="",0,Z223)+IF(AB223="",0,AB223)+IF(V224="",0,V224)+IF(X224="",0,X224)+IF(Z224="",0,Z224)+IF(AB224="",0,AB224)+IF(V228="",0,V228)+IF(X228="",0,X228)+IF(Z228="",0,Z228)+IF(AB228="",0,AB228)+IF(V229="",0,V229)+IF(X229="",0,X229)+IF(Z229="",0,Z229)+IF(AB229="",0,AB229)+IF(V230="",0,V230)+IF(X230="",0,X230)+IF(Z230="",0,Z230)+IF(AB230="",0,AB230)+IF(V231="",0,V231)+IF(X231="",0,X231)+IF(Z231="",0,Z231)+IF(AB231="",0,AB231)+IF(V232="",0,V232)+IF(X232="",0,X232)+IF(Z232="",0,Z232)+IF(AB232="",0,AB232),0)</f>
        <v>0</v>
      </c>
      <c r="U397" s="58">
        <f>IFERROR(IF(V237="",0,V237)+IF(X237="",0,X237)+IF(Z237="",0,Z237)+IF(AB237="",0,AB237)+IF(V241="",0,V241)+IF(X241="",0,X241)+IF(Z241="",0,Z241)+IF(AB241="",0,AB241)+IF(V242="",0,V242)+IF(X242="",0,X242)+IF(Z242="",0,Z242)+IF(AB242="",0,AB242),0)</f>
        <v>0</v>
      </c>
      <c r="V397" s="58">
        <f>IFERROR(IF(V248="",0,V248)+IF(X248="",0,X248)+IF(Z248="",0,Z248)+IF(AB248="",0,AB248)+IF(V249="",0,V249)+IF(X249="",0,X249)+IF(Z249="",0,Z249)+IF(AB249="",0,AB249)+IF(V250="",0,V250)+IF(X250="",0,X250)+IF(Z250="",0,Z250)+IF(AB250="",0,AB250)+IF(V254="",0,V254)+IF(X254="",0,X254)+IF(Z254="",0,Z254)+IF(AB254="",0,AB254)+IF(V255="",0,V255)+IF(X255="",0,X255)+IF(Z255="",0,Z255)+IF(AB255="",0,AB255)+IF(V259="",0,V259)+IF(X259="",0,X259)+IF(Z259="",0,Z259)+IF(AB259="",0,AB259)+IF(V260="",0,V260)+IF(X260="",0,X260)+IF(Z260="",0,Z260)+IF(AB260="",0,AB260)+IF(V261="",0,V261)+IF(X261="",0,X261)+IF(Z261="",0,Z261)+IF(AB261="",0,AB261)+IF(V265="",0,V265)+IF(X265="",0,X265)+IF(Z265="",0,Z265)+IF(AB265="",0,AB265),0)</f>
        <v>0</v>
      </c>
      <c r="W397" s="58">
        <f>IFERROR(IF(V271="",0,V271)+IF(X271="",0,X271)+IF(Z271="",0,Z271)+IF(AB271="",0,AB271)+IF(V272="",0,V272)+IF(X272="",0,X272)+IF(Z272="",0,Z272)+IF(AB272="",0,AB272)+IF(V273="",0,V273)+IF(X273="",0,X273)+IF(Z273="",0,Z273)+IF(AB273="",0,AB273)+IF(V274="",0,V274)+IF(X274="",0,X274)+IF(Z274="",0,Z274)+IF(AB274="",0,AB274)+IF(V275="",0,V275)+IF(X275="",0,X275)+IF(Z275="",0,Z275)+IF(AB275="",0,AB275)+IF(V276="",0,V276)+IF(X276="",0,X276)+IF(Z276="",0,Z276)+IF(AB276="",0,AB276)+IF(V277="",0,V277)+IF(X277="",0,X277)+IF(Z277="",0,Z277)+IF(AB277="",0,AB277)+IF(V278="",0,V278)+IF(X278="",0,X278)+IF(Z278="",0,Z278)+IF(AB278="",0,AB278)+IF(V279="",0,V279)+IF(X279="",0,X279)+IF(Z279="",0,Z279)+IF(AB279="",0,AB279)+IF(V283="",0,V283)+IF(X283="",0,X283)+IF(Z283="",0,Z283)+IF(AB283="",0,AB283),0)</f>
        <v>0</v>
      </c>
      <c r="X397" s="58">
        <f>IFERROR(IF(V288="",0,V288)+IF(X288="",0,X288)+IF(Z288="",0,Z288)+IF(AB288="",0,AB288)+IF(V292="",0,V292)+IF(X292="",0,X292)+IF(Z292="",0,Z292)+IF(AB292="",0,AB292)+IF(V293="",0,V293)+IF(X293="",0,X293)+IF(Z293="",0,Z293)+IF(AB293="",0,AB293),0)</f>
        <v>0</v>
      </c>
      <c r="Y397" s="58">
        <f>IFERROR(IF(V298="",0,V298)+IF(X298="",0,X298)+IF(Z298="",0,Z298)+IF(AB298="",0,AB298)+IF(V299="",0,V299)+IF(X299="",0,X299)+IF(Z299="",0,Z299)+IF(AB299="",0,AB299)+IF(V300="",0,V300)+IF(X300="",0,X300)+IF(Z300="",0,Z300)+IF(AB300="",0,AB300),0)</f>
        <v>0</v>
      </c>
      <c r="Z397" s="58">
        <f>IFERROR(IF(V305="",0,V305)+IF(X305="",0,X305)+IF(Z305="",0,Z305)+IF(AB305="",0,AB305)+IF(V306="",0,V306)+IF(X306="",0,X306)+IF(Z306="",0,Z306)+IF(AB306="",0,AB306)+IF(V310="",0,V310)+IF(X310="",0,X310)+IF(Z310="",0,Z310)+IF(AB310="",0,AB310),0)</f>
        <v>0</v>
      </c>
      <c r="AA397" s="58">
        <f>IFERROR(IF(V316="",0,V316)+IF(X316="",0,X316)+IF(Z316="",0,Z316)+IF(AB316="",0,AB316)+IF(V317="",0,V317)+IF(X317="",0,X317)+IF(Z317="",0,Z317)+IF(AB317="",0,AB317)+IF(V318="",0,V318)+IF(X318="",0,X318)+IF(Z318="",0,Z318)+IF(AB318="",0,AB318)+IF(V319="",0,V319)+IF(X319="",0,X319)+IF(Z319="",0,Z319)+IF(AB319="",0,AB319)+IF(V320="",0,V320)+IF(X320="",0,X320)+IF(Z320="",0,Z320)+IF(AB320="",0,AB320)+IF(V321="",0,V321)+IF(X321="",0,X321)+IF(Z321="",0,Z321)+IF(AB321="",0,AB321)+IF(V322="",0,V322)+IF(X322="",0,X322)+IF(Z322="",0,Z322)+IF(AB322="",0,AB322)+IF(V326="",0,V326)+IF(X326="",0,X326)+IF(Z326="",0,Z326)+IF(AB326="",0,AB326)+IF(V327="",0,V327)+IF(X327="",0,X327)+IF(Z327="",0,Z327)+IF(AB327="",0,AB327)+IF(V328="",0,V328)+IF(X328="",0,X328)+IF(Z328="",0,Z328)+IF(AB328="",0,AB328)+IF(V332="",0,V332)+IF(X332="",0,X332)+IF(Z332="",0,Z332)+IF(AB332="",0,AB332)+IF(V333="",0,V333)+IF(X333="",0,X333)+IF(Z333="",0,Z333)+IF(AB333="",0,AB333)+IF(V334="",0,V334)+IF(X334="",0,X334)+IF(Z334="",0,Z334)+IF(AB334="",0,AB334)+IF(V338="",0,V338)+IF(X338="",0,X338)+IF(Z338="",0,Z338)+IF(AB338="",0,AB338)+IF(V339="",0,V339)+IF(X339="",0,X339)+IF(Z339="",0,Z339)+IF(AB339="",0,AB339),0)</f>
        <v>0</v>
      </c>
      <c r="AB397" s="411">
        <f>IFERROR(IF(V345="",0,V345)+IF(X345="",0,X345)+IF(Z345="",0,Z345)+IF(AB345="",0,AB345)+IF(V346="",0,V346)+IF(X346="",0,X346)+IF(Z346="",0,Z346)+IF(AB346="",0,AB346)+IF(V347="",0,V347)+IF(X347="",0,X347)+IF(Z347="",0,Z347)+IF(AB347="",0,AB347)+IF(V348="",0,V348)+IF(X348="",0,X348)+IF(Z348="",0,Z348)+IF(AB348="",0,AB348)+IF(V352="",0,V352)+IF(X352="",0,X352)+IF(Z352="",0,Z352)+IF(AB352="",0,AB352)+IF(V353="",0,V353)+IF(X353="",0,X353)+IF(Z353="",0,Z353)+IF(AB353="",0,AB353)+IF(V354="",0,V354)+IF(X354="",0,X354)+IF(Z354="",0,Z354)+IF(AB354="",0,AB354)+IF(V355="",0,V355)+IF(X355="",0,X355)+IF(Z355="",0,Z355)+IF(AB355="",0,AB355)+IF(V356="",0,V356)+IF(X356="",0,X356)+IF(Z356="",0,Z356)+IF(AB356="",0,AB356)+IF(V357="",0,V357)+IF(X357="",0,X357)+IF(Z357="",0,Z357)+IF(AB357="",0,AB357)+IF(V361="",0,V361)+IF(X361="",0,X361)+IF(Z361="",0,Z361)+IF(AB361="",0,AB361)+IF(V362="",0,V362)+IF(X362="",0,X362)+IF(Z362="",0,Z362)+IF(AB362="",0,AB362)+IF(V363="",0,V363)+IF(X363="",0,X363)+IF(Z363="",0,Z363)+IF(AB363="",0,AB363),0)</f>
        <v>0</v>
      </c>
      <c r="AC397" s="412">
        <f>IFERROR(IF(V368="",0,V368)+IF(X368="",0,X368)+IF(Z368="",0,Z368)+IF(AB368="",0,AB368)+IF(V369="",0,V369)+IF(X369="",0,X369)+IF(Z369="",0,Z369)+IF(AB369="",0,AB369)+IF(V373="",0,V373)+IF(X373="",0,X373)+IF(Z373="",0,Z373)+IF(AB373="",0,AB373)+IF(V374="",0,V374)+IF(X374="",0,X374)+IF(Z374="",0,Z374)+IF(AB374="",0,AB374)+IF(V378="",0,V378)+IF(X378="",0,X378)+IF(Z378="",0,Z378)+IF(AB378="",0,AB378)+IF(V379="",0,V379)+IF(X379="",0,X379)+IF(Z379="",0,Z379)+IF(AB379="",0,AB379)+IF(V380="",0,V380)+IF(X380="",0,X380)+IF(Z380="",0,Z380)+IF(AB380="",0,AB380)+IF(V384="",0,V384)+IF(X384="",0,X384)+IF(Z384="",0,Z384)+IF(AB384="",0,AB384),0)</f>
        <v>0</v>
      </c>
      <c r="AK397" s="61"/>
      <c r="AL397" s="61"/>
      <c r="AM397" s="61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:51" x14ac:dyDescent="0.2">
      <c r="AC398" s="410"/>
    </row>
  </sheetData>
  <sheetProtection algorithmName="SHA-512" hashValue="vcLv6pNzgBxRFRaSUGp1m8t4rugjfM3neELl3cskmIkwgi41LDNYfZuh3U9u2QBrWI2kMbpOxqCmoFuS3/tbbg==" saltValue="3t0pn7THKNLx+lozIw0JuA==" spinCount="100000" sheet="1" objects="1" scenarios="1" sort="0" autoFilter="0" pivotTables="0"/>
  <autoFilter ref="A17:BC392" xr:uid="{00000000-0009-0000-0000-000000000000}">
    <filterColumn colId="12" showButton="0"/>
    <filterColumn colId="14" showButton="0"/>
    <filterColumn colId="15" showButton="0"/>
    <filterColumn colId="16" showButton="0"/>
    <filterColumn colId="17" showButton="0"/>
    <filterColumn colId="20">
      <filters>
        <filter val="1"/>
        <filter val="20,00"/>
        <filter val="22"/>
        <filter val="46,76"/>
        <filter val="9,26"/>
      </filters>
    </filterColumn>
  </autoFilter>
  <dataConsolidate/>
  <mergeCells count="667">
    <mergeCell ref="A1:E1"/>
    <mergeCell ref="G1:P1"/>
    <mergeCell ref="Q1:R1"/>
    <mergeCell ref="B2:C2"/>
    <mergeCell ref="F2:H2"/>
    <mergeCell ref="O2:R3"/>
    <mergeCell ref="A5:D5"/>
    <mergeCell ref="E5:F5"/>
    <mergeCell ref="G5:H5"/>
    <mergeCell ref="I5:N5"/>
    <mergeCell ref="U5:AB5"/>
    <mergeCell ref="A6:D6"/>
    <mergeCell ref="E6:N6"/>
    <mergeCell ref="R6:R8"/>
    <mergeCell ref="S6:S8"/>
    <mergeCell ref="U6:V8"/>
    <mergeCell ref="W6:X8"/>
    <mergeCell ref="Y6:Z8"/>
    <mergeCell ref="AA6:AB8"/>
    <mergeCell ref="E7:N7"/>
    <mergeCell ref="A8:D8"/>
    <mergeCell ref="E8:N8"/>
    <mergeCell ref="B9:D9"/>
    <mergeCell ref="E9:F9"/>
    <mergeCell ref="G9:H9"/>
    <mergeCell ref="I9:K9"/>
    <mergeCell ref="M9:N9"/>
    <mergeCell ref="U9:V9"/>
    <mergeCell ref="W9:X9"/>
    <mergeCell ref="Y9:Z9"/>
    <mergeCell ref="AA9:AB9"/>
    <mergeCell ref="B10:D10"/>
    <mergeCell ref="E10:F10"/>
    <mergeCell ref="G10:H10"/>
    <mergeCell ref="I10:N10"/>
    <mergeCell ref="A12:N12"/>
    <mergeCell ref="A13:N13"/>
    <mergeCell ref="A14:N14"/>
    <mergeCell ref="A15:N15"/>
    <mergeCell ref="U15:AB15"/>
    <mergeCell ref="O15:S16"/>
    <mergeCell ref="U16:V16"/>
    <mergeCell ref="W16:X16"/>
    <mergeCell ref="Y16:Z16"/>
    <mergeCell ref="AA16:AB16"/>
    <mergeCell ref="M17:N17"/>
    <mergeCell ref="O17:S17"/>
    <mergeCell ref="AG17:AI17"/>
    <mergeCell ref="A18:AF18"/>
    <mergeCell ref="A19:AF19"/>
    <mergeCell ref="A20:AF20"/>
    <mergeCell ref="M21:N21"/>
    <mergeCell ref="O21:S21"/>
    <mergeCell ref="M22:N22"/>
    <mergeCell ref="O22:S22"/>
    <mergeCell ref="O23:S23"/>
    <mergeCell ref="A23:N24"/>
    <mergeCell ref="O24:S24"/>
    <mergeCell ref="A25:AF25"/>
    <mergeCell ref="M26:N26"/>
    <mergeCell ref="O26:S26"/>
    <mergeCell ref="O27:S27"/>
    <mergeCell ref="A27:N28"/>
    <mergeCell ref="O28:S28"/>
    <mergeCell ref="A29:AF29"/>
    <mergeCell ref="A30:AF30"/>
    <mergeCell ref="A31:AF31"/>
    <mergeCell ref="M32:N32"/>
    <mergeCell ref="O32:S32"/>
    <mergeCell ref="M33:N33"/>
    <mergeCell ref="O33:S33"/>
    <mergeCell ref="M34:N34"/>
    <mergeCell ref="O34:S34"/>
    <mergeCell ref="O35:S35"/>
    <mergeCell ref="A35:N36"/>
    <mergeCell ref="O36:S36"/>
    <mergeCell ref="A37:AF37"/>
    <mergeCell ref="M38:N38"/>
    <mergeCell ref="O38:S38"/>
    <mergeCell ref="O39:S39"/>
    <mergeCell ref="A39:N40"/>
    <mergeCell ref="O40:S40"/>
    <mergeCell ref="A41:AF41"/>
    <mergeCell ref="A42:AF42"/>
    <mergeCell ref="M43:N43"/>
    <mergeCell ref="O43:S43"/>
    <mergeCell ref="M44:N44"/>
    <mergeCell ref="O44:S44"/>
    <mergeCell ref="M45:N45"/>
    <mergeCell ref="O45:S45"/>
    <mergeCell ref="M46:N46"/>
    <mergeCell ref="O46:S46"/>
    <mergeCell ref="O47:S47"/>
    <mergeCell ref="A47:N48"/>
    <mergeCell ref="O48:S48"/>
    <mergeCell ref="A49:AF49"/>
    <mergeCell ref="M50:N50"/>
    <mergeCell ref="O50:S50"/>
    <mergeCell ref="M51:N51"/>
    <mergeCell ref="O51:S51"/>
    <mergeCell ref="M52:N52"/>
    <mergeCell ref="O52:S52"/>
    <mergeCell ref="O53:S53"/>
    <mergeCell ref="A53:N54"/>
    <mergeCell ref="O54:S54"/>
    <mergeCell ref="A55:AF55"/>
    <mergeCell ref="M56:N56"/>
    <mergeCell ref="O56:S56"/>
    <mergeCell ref="M57:N57"/>
    <mergeCell ref="O57:S57"/>
    <mergeCell ref="O58:S58"/>
    <mergeCell ref="A58:N59"/>
    <mergeCell ref="O59:S59"/>
    <mergeCell ref="A60:AF60"/>
    <mergeCell ref="M61:N61"/>
    <mergeCell ref="O61:S61"/>
    <mergeCell ref="M62:N62"/>
    <mergeCell ref="O62:S62"/>
    <mergeCell ref="M63:N63"/>
    <mergeCell ref="O63:S63"/>
    <mergeCell ref="O64:S64"/>
    <mergeCell ref="A64:N65"/>
    <mergeCell ref="O65:S65"/>
    <mergeCell ref="A66:AF66"/>
    <mergeCell ref="M67:N67"/>
    <mergeCell ref="O67:S67"/>
    <mergeCell ref="M68:N68"/>
    <mergeCell ref="O68:S68"/>
    <mergeCell ref="O69:S69"/>
    <mergeCell ref="A69:N70"/>
    <mergeCell ref="O70:S70"/>
    <mergeCell ref="A71:AF71"/>
    <mergeCell ref="A72:AF72"/>
    <mergeCell ref="M73:N73"/>
    <mergeCell ref="O73:S73"/>
    <mergeCell ref="O74:S74"/>
    <mergeCell ref="A74:N75"/>
    <mergeCell ref="O75:S75"/>
    <mergeCell ref="A76:AF76"/>
    <mergeCell ref="M77:N77"/>
    <mergeCell ref="O77:S77"/>
    <mergeCell ref="M78:N78"/>
    <mergeCell ref="O78:S78"/>
    <mergeCell ref="M79:N79"/>
    <mergeCell ref="O79:S79"/>
    <mergeCell ref="M80:N80"/>
    <mergeCell ref="O80:S80"/>
    <mergeCell ref="M81:N81"/>
    <mergeCell ref="O81:S81"/>
    <mergeCell ref="O82:S82"/>
    <mergeCell ref="A82:N83"/>
    <mergeCell ref="O83:S83"/>
    <mergeCell ref="A84:AF84"/>
    <mergeCell ref="A85:AF85"/>
    <mergeCell ref="M86:N86"/>
    <mergeCell ref="O86:S86"/>
    <mergeCell ref="O87:S87"/>
    <mergeCell ref="A87:N88"/>
    <mergeCell ref="O88:S88"/>
    <mergeCell ref="A89:AF89"/>
    <mergeCell ref="M90:N90"/>
    <mergeCell ref="O90:S90"/>
    <mergeCell ref="O91:S91"/>
    <mergeCell ref="A91:N92"/>
    <mergeCell ref="O92:S92"/>
    <mergeCell ref="A93:AF93"/>
    <mergeCell ref="M94:N94"/>
    <mergeCell ref="O94:S94"/>
    <mergeCell ref="M95:N95"/>
    <mergeCell ref="O95:S95"/>
    <mergeCell ref="O96:S96"/>
    <mergeCell ref="A96:N97"/>
    <mergeCell ref="O97:S97"/>
    <mergeCell ref="A98:AF98"/>
    <mergeCell ref="M99:N99"/>
    <mergeCell ref="O99:S99"/>
    <mergeCell ref="M100:N100"/>
    <mergeCell ref="O100:S100"/>
    <mergeCell ref="O101:S101"/>
    <mergeCell ref="A101:N102"/>
    <mergeCell ref="O102:S102"/>
    <mergeCell ref="A103:AF103"/>
    <mergeCell ref="A104:AF104"/>
    <mergeCell ref="M105:N105"/>
    <mergeCell ref="O105:S105"/>
    <mergeCell ref="M106:N106"/>
    <mergeCell ref="O106:S106"/>
    <mergeCell ref="M107:N107"/>
    <mergeCell ref="O107:S107"/>
    <mergeCell ref="M108:N108"/>
    <mergeCell ref="O108:S108"/>
    <mergeCell ref="O109:S109"/>
    <mergeCell ref="A109:N110"/>
    <mergeCell ref="O110:S110"/>
    <mergeCell ref="A111:AF111"/>
    <mergeCell ref="A112:AF112"/>
    <mergeCell ref="A113:AF113"/>
    <mergeCell ref="M114:N114"/>
    <mergeCell ref="O114:S114"/>
    <mergeCell ref="O115:S115"/>
    <mergeCell ref="A115:N116"/>
    <mergeCell ref="O116:S116"/>
    <mergeCell ref="A117:AF117"/>
    <mergeCell ref="M118:N118"/>
    <mergeCell ref="O118:S118"/>
    <mergeCell ref="M119:N119"/>
    <mergeCell ref="O119:S119"/>
    <mergeCell ref="M120:N120"/>
    <mergeCell ref="O120:S120"/>
    <mergeCell ref="M121:N121"/>
    <mergeCell ref="O121:S121"/>
    <mergeCell ref="O122:S122"/>
    <mergeCell ref="A122:N123"/>
    <mergeCell ref="O123:S123"/>
    <mergeCell ref="A124:AF124"/>
    <mergeCell ref="A125:AF125"/>
    <mergeCell ref="M126:N126"/>
    <mergeCell ref="O126:S126"/>
    <mergeCell ref="O127:S127"/>
    <mergeCell ref="A127:N128"/>
    <mergeCell ref="O128:S128"/>
    <mergeCell ref="A129:AF129"/>
    <mergeCell ref="M130:N130"/>
    <mergeCell ref="O130:S130"/>
    <mergeCell ref="M131:N131"/>
    <mergeCell ref="O131:S131"/>
    <mergeCell ref="M132:N132"/>
    <mergeCell ref="O132:S132"/>
    <mergeCell ref="O133:S133"/>
    <mergeCell ref="A133:N134"/>
    <mergeCell ref="O134:S134"/>
    <mergeCell ref="A135:AF135"/>
    <mergeCell ref="M136:N136"/>
    <mergeCell ref="O136:S136"/>
    <mergeCell ref="M137:N137"/>
    <mergeCell ref="O137:S137"/>
    <mergeCell ref="O138:S138"/>
    <mergeCell ref="A138:N139"/>
    <mergeCell ref="O139:S139"/>
    <mergeCell ref="A140:AF140"/>
    <mergeCell ref="M141:N141"/>
    <mergeCell ref="O141:S141"/>
    <mergeCell ref="O142:S142"/>
    <mergeCell ref="A142:N143"/>
    <mergeCell ref="O143:S143"/>
    <mergeCell ref="A144:AF144"/>
    <mergeCell ref="A145:AF145"/>
    <mergeCell ref="M146:N146"/>
    <mergeCell ref="O146:S146"/>
    <mergeCell ref="M147:N147"/>
    <mergeCell ref="O147:S147"/>
    <mergeCell ref="O148:S148"/>
    <mergeCell ref="A148:N149"/>
    <mergeCell ref="O149:S149"/>
    <mergeCell ref="A150:AF150"/>
    <mergeCell ref="A151:AF151"/>
    <mergeCell ref="M152:N152"/>
    <mergeCell ref="O152:S152"/>
    <mergeCell ref="O153:S153"/>
    <mergeCell ref="A153:N154"/>
    <mergeCell ref="O154:S154"/>
    <mergeCell ref="A155:AF155"/>
    <mergeCell ref="M156:N156"/>
    <mergeCell ref="O156:S156"/>
    <mergeCell ref="O157:S157"/>
    <mergeCell ref="A157:N158"/>
    <mergeCell ref="O158:S158"/>
    <mergeCell ref="A159:AF159"/>
    <mergeCell ref="M160:N160"/>
    <mergeCell ref="O160:S160"/>
    <mergeCell ref="O161:S161"/>
    <mergeCell ref="A161:N162"/>
    <mergeCell ref="O162:S162"/>
    <mergeCell ref="A163:AF163"/>
    <mergeCell ref="A164:AF164"/>
    <mergeCell ref="M165:N165"/>
    <mergeCell ref="O165:S165"/>
    <mergeCell ref="M166:N166"/>
    <mergeCell ref="O166:S166"/>
    <mergeCell ref="M167:N167"/>
    <mergeCell ref="O167:S167"/>
    <mergeCell ref="O168:S168"/>
    <mergeCell ref="A168:N169"/>
    <mergeCell ref="O169:S169"/>
    <mergeCell ref="A170:AF170"/>
    <mergeCell ref="A171:AF171"/>
    <mergeCell ref="M172:N172"/>
    <mergeCell ref="O172:S172"/>
    <mergeCell ref="M173:N173"/>
    <mergeCell ref="O173:S173"/>
    <mergeCell ref="M174:N174"/>
    <mergeCell ref="O174:S174"/>
    <mergeCell ref="M175:N175"/>
    <mergeCell ref="O175:S175"/>
    <mergeCell ref="M176:N176"/>
    <mergeCell ref="O176:S176"/>
    <mergeCell ref="M177:N177"/>
    <mergeCell ref="O177:S177"/>
    <mergeCell ref="O178:S178"/>
    <mergeCell ref="A178:N179"/>
    <mergeCell ref="O179:S179"/>
    <mergeCell ref="A180:AF180"/>
    <mergeCell ref="A181:AF181"/>
    <mergeCell ref="M182:N182"/>
    <mergeCell ref="O182:S182"/>
    <mergeCell ref="M183:N183"/>
    <mergeCell ref="O183:S183"/>
    <mergeCell ref="O184:S184"/>
    <mergeCell ref="A184:N185"/>
    <mergeCell ref="O185:S185"/>
    <mergeCell ref="A186:AF186"/>
    <mergeCell ref="M187:N187"/>
    <mergeCell ref="O187:S187"/>
    <mergeCell ref="O188:S188"/>
    <mergeCell ref="A188:N189"/>
    <mergeCell ref="O189:S189"/>
    <mergeCell ref="A190:AF190"/>
    <mergeCell ref="A191:AF191"/>
    <mergeCell ref="M192:N192"/>
    <mergeCell ref="O192:S192"/>
    <mergeCell ref="O193:S193"/>
    <mergeCell ref="A193:N194"/>
    <mergeCell ref="O194:S194"/>
    <mergeCell ref="A195:AF195"/>
    <mergeCell ref="M196:N196"/>
    <mergeCell ref="O196:S196"/>
    <mergeCell ref="M197:N197"/>
    <mergeCell ref="O197:S197"/>
    <mergeCell ref="O198:S198"/>
    <mergeCell ref="A198:N199"/>
    <mergeCell ref="O199:S199"/>
    <mergeCell ref="A200:AF200"/>
    <mergeCell ref="A201:AF201"/>
    <mergeCell ref="M202:N202"/>
    <mergeCell ref="O202:S202"/>
    <mergeCell ref="O203:S203"/>
    <mergeCell ref="A203:N204"/>
    <mergeCell ref="O204:S204"/>
    <mergeCell ref="A205:AF205"/>
    <mergeCell ref="M206:N206"/>
    <mergeCell ref="O206:S206"/>
    <mergeCell ref="O207:S207"/>
    <mergeCell ref="A207:N208"/>
    <mergeCell ref="O208:S208"/>
    <mergeCell ref="A209:AF209"/>
    <mergeCell ref="A210:AF210"/>
    <mergeCell ref="M211:N211"/>
    <mergeCell ref="O211:S211"/>
    <mergeCell ref="O212:S212"/>
    <mergeCell ref="A212:N213"/>
    <mergeCell ref="O213:S213"/>
    <mergeCell ref="A214:AF214"/>
    <mergeCell ref="A215:AF215"/>
    <mergeCell ref="M216:N216"/>
    <mergeCell ref="O216:S216"/>
    <mergeCell ref="M217:N217"/>
    <mergeCell ref="O217:S217"/>
    <mergeCell ref="M218:N218"/>
    <mergeCell ref="O218:S218"/>
    <mergeCell ref="O219:S219"/>
    <mergeCell ref="A219:N220"/>
    <mergeCell ref="O220:S220"/>
    <mergeCell ref="A221:AF221"/>
    <mergeCell ref="M222:N222"/>
    <mergeCell ref="O222:S222"/>
    <mergeCell ref="M223:N223"/>
    <mergeCell ref="O223:S223"/>
    <mergeCell ref="M224:N224"/>
    <mergeCell ref="O224:S224"/>
    <mergeCell ref="O225:S225"/>
    <mergeCell ref="A225:N226"/>
    <mergeCell ref="O226:S226"/>
    <mergeCell ref="A227:AF227"/>
    <mergeCell ref="M228:N228"/>
    <mergeCell ref="O228:S228"/>
    <mergeCell ref="M229:N229"/>
    <mergeCell ref="O229:S229"/>
    <mergeCell ref="M230:N230"/>
    <mergeCell ref="O230:S230"/>
    <mergeCell ref="M231:N231"/>
    <mergeCell ref="O231:S231"/>
    <mergeCell ref="M232:N232"/>
    <mergeCell ref="O232:S232"/>
    <mergeCell ref="O233:S233"/>
    <mergeCell ref="A233:N234"/>
    <mergeCell ref="O234:S234"/>
    <mergeCell ref="A235:AF235"/>
    <mergeCell ref="A236:AF236"/>
    <mergeCell ref="M237:N237"/>
    <mergeCell ref="O237:S237"/>
    <mergeCell ref="O238:S238"/>
    <mergeCell ref="A238:N239"/>
    <mergeCell ref="O239:S239"/>
    <mergeCell ref="A240:AF240"/>
    <mergeCell ref="M241:N241"/>
    <mergeCell ref="O241:S241"/>
    <mergeCell ref="M242:N242"/>
    <mergeCell ref="O242:S242"/>
    <mergeCell ref="O243:S243"/>
    <mergeCell ref="A243:N244"/>
    <mergeCell ref="O244:S244"/>
    <mergeCell ref="A245:AF245"/>
    <mergeCell ref="A246:AF246"/>
    <mergeCell ref="A247:AF247"/>
    <mergeCell ref="M248:N248"/>
    <mergeCell ref="O248:S248"/>
    <mergeCell ref="M249:N249"/>
    <mergeCell ref="O249:S249"/>
    <mergeCell ref="M250:N250"/>
    <mergeCell ref="O250:S250"/>
    <mergeCell ref="O251:S251"/>
    <mergeCell ref="A251:N252"/>
    <mergeCell ref="O252:S252"/>
    <mergeCell ref="A253:AF253"/>
    <mergeCell ref="M254:N254"/>
    <mergeCell ref="O254:S254"/>
    <mergeCell ref="M255:N255"/>
    <mergeCell ref="O255:S255"/>
    <mergeCell ref="O256:S256"/>
    <mergeCell ref="A256:N257"/>
    <mergeCell ref="O257:S257"/>
    <mergeCell ref="A258:AF258"/>
    <mergeCell ref="M259:N259"/>
    <mergeCell ref="O259:S259"/>
    <mergeCell ref="M260:N260"/>
    <mergeCell ref="O260:S260"/>
    <mergeCell ref="M261:N261"/>
    <mergeCell ref="O261:S261"/>
    <mergeCell ref="O262:S262"/>
    <mergeCell ref="A262:N263"/>
    <mergeCell ref="O263:S263"/>
    <mergeCell ref="A264:AF264"/>
    <mergeCell ref="M265:N265"/>
    <mergeCell ref="O265:S265"/>
    <mergeCell ref="O266:S266"/>
    <mergeCell ref="A266:N267"/>
    <mergeCell ref="O267:S267"/>
    <mergeCell ref="A268:AF268"/>
    <mergeCell ref="A269:AF269"/>
    <mergeCell ref="A270:AF270"/>
    <mergeCell ref="M271:N271"/>
    <mergeCell ref="O271:S271"/>
    <mergeCell ref="M272:N272"/>
    <mergeCell ref="O272:S272"/>
    <mergeCell ref="M273:N273"/>
    <mergeCell ref="O273:S273"/>
    <mergeCell ref="M274:N274"/>
    <mergeCell ref="O274:S274"/>
    <mergeCell ref="M275:N275"/>
    <mergeCell ref="O275:S275"/>
    <mergeCell ref="M276:N276"/>
    <mergeCell ref="O276:S276"/>
    <mergeCell ref="M277:N277"/>
    <mergeCell ref="O277:S277"/>
    <mergeCell ref="M278:N278"/>
    <mergeCell ref="O278:S278"/>
    <mergeCell ref="M279:N279"/>
    <mergeCell ref="O279:S279"/>
    <mergeCell ref="O280:S280"/>
    <mergeCell ref="A280:N281"/>
    <mergeCell ref="O281:S281"/>
    <mergeCell ref="A282:AF282"/>
    <mergeCell ref="M283:N283"/>
    <mergeCell ref="O283:S283"/>
    <mergeCell ref="O284:S284"/>
    <mergeCell ref="A284:N285"/>
    <mergeCell ref="O285:S285"/>
    <mergeCell ref="A286:AF286"/>
    <mergeCell ref="A287:AF287"/>
    <mergeCell ref="M288:N288"/>
    <mergeCell ref="O288:S288"/>
    <mergeCell ref="O289:S289"/>
    <mergeCell ref="A289:N290"/>
    <mergeCell ref="O290:S290"/>
    <mergeCell ref="A291:AF291"/>
    <mergeCell ref="M292:N292"/>
    <mergeCell ref="O292:S292"/>
    <mergeCell ref="M293:N293"/>
    <mergeCell ref="O293:S293"/>
    <mergeCell ref="O294:S294"/>
    <mergeCell ref="A294:N295"/>
    <mergeCell ref="O295:S295"/>
    <mergeCell ref="A296:AF296"/>
    <mergeCell ref="A297:AF297"/>
    <mergeCell ref="M298:N298"/>
    <mergeCell ref="O298:S298"/>
    <mergeCell ref="M299:N299"/>
    <mergeCell ref="O299:S299"/>
    <mergeCell ref="M300:N300"/>
    <mergeCell ref="O300:S300"/>
    <mergeCell ref="O301:S301"/>
    <mergeCell ref="A301:N302"/>
    <mergeCell ref="O302:S302"/>
    <mergeCell ref="A303:AF303"/>
    <mergeCell ref="A304:AF304"/>
    <mergeCell ref="M305:N305"/>
    <mergeCell ref="O305:S305"/>
    <mergeCell ref="M306:N306"/>
    <mergeCell ref="O306:S306"/>
    <mergeCell ref="O307:S307"/>
    <mergeCell ref="A307:N308"/>
    <mergeCell ref="O308:S308"/>
    <mergeCell ref="A309:AF309"/>
    <mergeCell ref="M310:N310"/>
    <mergeCell ref="O310:S310"/>
    <mergeCell ref="O311:S311"/>
    <mergeCell ref="A311:N312"/>
    <mergeCell ref="O312:S312"/>
    <mergeCell ref="A313:AF313"/>
    <mergeCell ref="A314:AF314"/>
    <mergeCell ref="A315:AF315"/>
    <mergeCell ref="M316:N316"/>
    <mergeCell ref="O316:S316"/>
    <mergeCell ref="M317:N317"/>
    <mergeCell ref="O317:S317"/>
    <mergeCell ref="M318:N318"/>
    <mergeCell ref="O318:S318"/>
    <mergeCell ref="M319:N319"/>
    <mergeCell ref="O319:S319"/>
    <mergeCell ref="M320:N320"/>
    <mergeCell ref="O320:S320"/>
    <mergeCell ref="M321:N321"/>
    <mergeCell ref="O321:S321"/>
    <mergeCell ref="M322:N322"/>
    <mergeCell ref="O322:S322"/>
    <mergeCell ref="O323:S323"/>
    <mergeCell ref="A323:N324"/>
    <mergeCell ref="O324:S324"/>
    <mergeCell ref="A325:AF325"/>
    <mergeCell ref="M326:N326"/>
    <mergeCell ref="O326:S326"/>
    <mergeCell ref="M327:N327"/>
    <mergeCell ref="O327:S327"/>
    <mergeCell ref="M328:N328"/>
    <mergeCell ref="O328:S328"/>
    <mergeCell ref="O329:S329"/>
    <mergeCell ref="A329:N330"/>
    <mergeCell ref="O330:S330"/>
    <mergeCell ref="A331:AF331"/>
    <mergeCell ref="M332:N332"/>
    <mergeCell ref="O332:S332"/>
    <mergeCell ref="M333:N333"/>
    <mergeCell ref="O333:S333"/>
    <mergeCell ref="M334:N334"/>
    <mergeCell ref="O334:S334"/>
    <mergeCell ref="O335:S335"/>
    <mergeCell ref="A335:N336"/>
    <mergeCell ref="O336:S336"/>
    <mergeCell ref="A337:AF337"/>
    <mergeCell ref="M338:N338"/>
    <mergeCell ref="O338:S338"/>
    <mergeCell ref="M339:N339"/>
    <mergeCell ref="O339:S339"/>
    <mergeCell ref="O340:S340"/>
    <mergeCell ref="A340:N341"/>
    <mergeCell ref="O341:S341"/>
    <mergeCell ref="A342:AF342"/>
    <mergeCell ref="A343:AF343"/>
    <mergeCell ref="A344:AF344"/>
    <mergeCell ref="M345:N345"/>
    <mergeCell ref="O345:S345"/>
    <mergeCell ref="M346:N346"/>
    <mergeCell ref="O346:S346"/>
    <mergeCell ref="M347:N347"/>
    <mergeCell ref="O347:S347"/>
    <mergeCell ref="M348:N348"/>
    <mergeCell ref="O348:S348"/>
    <mergeCell ref="O349:S349"/>
    <mergeCell ref="A349:N350"/>
    <mergeCell ref="O350:S350"/>
    <mergeCell ref="A351:AF351"/>
    <mergeCell ref="M352:N352"/>
    <mergeCell ref="O352:S352"/>
    <mergeCell ref="M353:N353"/>
    <mergeCell ref="O353:S353"/>
    <mergeCell ref="M354:N354"/>
    <mergeCell ref="O354:S354"/>
    <mergeCell ref="M355:N355"/>
    <mergeCell ref="O355:S355"/>
    <mergeCell ref="M356:N356"/>
    <mergeCell ref="O356:S356"/>
    <mergeCell ref="M357:N357"/>
    <mergeCell ref="O357:S357"/>
    <mergeCell ref="O358:S358"/>
    <mergeCell ref="A358:N359"/>
    <mergeCell ref="O359:S359"/>
    <mergeCell ref="A360:AF360"/>
    <mergeCell ref="M361:N361"/>
    <mergeCell ref="O361:S361"/>
    <mergeCell ref="M362:N362"/>
    <mergeCell ref="O362:S362"/>
    <mergeCell ref="M363:N363"/>
    <mergeCell ref="O363:S363"/>
    <mergeCell ref="O364:S364"/>
    <mergeCell ref="A364:N365"/>
    <mergeCell ref="O365:S365"/>
    <mergeCell ref="A366:AF366"/>
    <mergeCell ref="A367:AF367"/>
    <mergeCell ref="M368:N368"/>
    <mergeCell ref="O368:S368"/>
    <mergeCell ref="M369:N369"/>
    <mergeCell ref="O369:S369"/>
    <mergeCell ref="O370:S370"/>
    <mergeCell ref="A370:N371"/>
    <mergeCell ref="O371:S371"/>
    <mergeCell ref="A372:AF372"/>
    <mergeCell ref="M373:N373"/>
    <mergeCell ref="O373:S373"/>
    <mergeCell ref="M374:N374"/>
    <mergeCell ref="O374:S374"/>
    <mergeCell ref="O375:S375"/>
    <mergeCell ref="A375:N376"/>
    <mergeCell ref="O376:S376"/>
    <mergeCell ref="A377:AF377"/>
    <mergeCell ref="M378:N378"/>
    <mergeCell ref="O378:S378"/>
    <mergeCell ref="M379:N379"/>
    <mergeCell ref="O379:S379"/>
    <mergeCell ref="M380:N380"/>
    <mergeCell ref="O380:S380"/>
    <mergeCell ref="O381:S381"/>
    <mergeCell ref="A381:N382"/>
    <mergeCell ref="O382:S382"/>
    <mergeCell ref="A383:AF383"/>
    <mergeCell ref="M384:N384"/>
    <mergeCell ref="O384:S384"/>
    <mergeCell ref="O385:S385"/>
    <mergeCell ref="A385:N386"/>
    <mergeCell ref="O386:S386"/>
    <mergeCell ref="T395:T396"/>
    <mergeCell ref="U395:U396"/>
    <mergeCell ref="V395:V396"/>
    <mergeCell ref="W395:W396"/>
    <mergeCell ref="X395:X396"/>
    <mergeCell ref="O387:S387"/>
    <mergeCell ref="A387:N392"/>
    <mergeCell ref="O388:S388"/>
    <mergeCell ref="O389:S389"/>
    <mergeCell ref="O390:S390"/>
    <mergeCell ref="O391:S391"/>
    <mergeCell ref="O392:S392"/>
    <mergeCell ref="C394:G394"/>
    <mergeCell ref="H394:U394"/>
    <mergeCell ref="Y395:Y396"/>
    <mergeCell ref="Z395:Z396"/>
    <mergeCell ref="AA395:AA396"/>
    <mergeCell ref="AB395:AB396"/>
    <mergeCell ref="AC395:AC396"/>
    <mergeCell ref="W394:Z394"/>
    <mergeCell ref="AB394:AC394"/>
    <mergeCell ref="A395:A396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K395:K396"/>
    <mergeCell ref="M395:M396"/>
    <mergeCell ref="N395:N396"/>
    <mergeCell ref="O395:O396"/>
    <mergeCell ref="P395:P396"/>
    <mergeCell ref="Q395:Q396"/>
    <mergeCell ref="R395:R396"/>
    <mergeCell ref="S395:S396"/>
  </mergeCells>
  <phoneticPr fontId="3" type="noConversion"/>
  <conditionalFormatting sqref="O9:Q13 I9:J10 M9 B9:F9 B10:D10 E8:N8 A8">
    <cfRule type="expression" dxfId="3" priority="25" stopIfTrue="1">
      <formula>IF($S$5="самовывоз",1,0)</formula>
    </cfRule>
  </conditionalFormatting>
  <conditionalFormatting sqref="G9:H9">
    <cfRule type="expression" dxfId="2" priority="4" stopIfTrue="1">
      <formula>IF($S$5="самовывоз",1,0)</formula>
    </cfRule>
  </conditionalFormatting>
  <conditionalFormatting sqref="G10:H10">
    <cfRule type="expression" dxfId="1" priority="3" stopIfTrue="1">
      <formula>IF($S$5="самовывоз",1,0)</formula>
    </cfRule>
  </conditionalFormatting>
  <conditionalFormatting sqref="E10:F10">
    <cfRule type="expression" dxfId="0" priority="1" stopIfTrue="1">
      <formula>IF($S$5="самовывоз",1,0)</formula>
    </cfRule>
  </conditionalFormatting>
  <dataValidations xWindow="1604" yWindow="464" count="16">
    <dataValidation operator="equal" allowBlank="1" showInputMessage="1" showErrorMessage="1" error="укажите вес, кратный весу коробки" sqref="Y21:Z23 W21:X21" xr:uid="{00000000-0002-0000-0000-000000000000}"/>
    <dataValidation allowBlank="1" showInputMessage="1" showErrorMessage="1" prompt="День недели загрузки. Считается сам." sqref="O6:Q7" xr:uid="{00000000-0002-0000-0000-000001000000}"/>
    <dataValidation allowBlank="1" showInputMessage="1" showErrorMessage="1" prompt="Введите код клиента в системе Axapta" sqref="S9" xr:uid="{00000000-0002-0000-0000-000002000000}"/>
    <dataValidation allowBlank="1" showInputMessage="1" showErrorMessage="1" prompt="Введите название вашей фирмы." sqref="S6:S7" xr:uid="{00000000-0002-0000-0000-000003000000}"/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" xr:uid="{00000000-0002-0000-0000-000004000000}">
      <formula1>43831</formula1>
      <formula2>47484</formula2>
    </dataValidation>
    <dataValidation type="time" showInputMessage="1" showErrorMessage="1" errorTitle="Внимание!" error="Укаите время загрузки. Пример: 9:00" prompt="Укаите время загрузки. Пример: 9:00" sqref="Q8" xr:uid="{00000000-0002-0000-0000-000005000000}">
      <formula1>0.000694444444444444</formula1>
      <formula2>0.999305555555556</formula2>
    </dataValidation>
    <dataValidation type="list" allowBlank="1" showInputMessage="1" showErrorMessage="1" sqref="E9:F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prompt="Определите тип Вашего заказа" sqref="S10:T10" xr:uid="{00000000-0002-0000-0000-000007000000}">
      <formula1>"Дозаказ, Замена, Основной заказ"</formula1>
    </dataValidation>
    <dataValidation type="list" allowBlank="1" showInputMessage="1" showErrorMessage="1" sqref="S5" xr:uid="{00000000-0002-0000-0000-000008000000}">
      <formula1>DeliveryMethodList</formula1>
    </dataValidation>
    <dataValidation type="list" allowBlank="1" showInputMessage="1" showErrorMessage="1" sqref="E6:N6" xr:uid="{00000000-0002-0000-0000-000009000000}">
      <formula1>DeliveryAdressList</formula1>
    </dataValidation>
    <dataValidation type="list" allowBlank="1" showInputMessage="1" showErrorMessage="1" sqref="M8:N8" xr:uid="{00000000-0002-0000-0000-00000A000000}">
      <formula1>CHOOSE($E$7,UnloadAdressList)</formula1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Q13" xr:uid="{00000000-0002-0000-0000-00000B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" xr:uid="{00000000-0002-0000-0000-00000C000000}">
      <formula1>43831</formula1>
      <formula2>47484</formula2>
    </dataValidation>
    <dataValidation type="list" allowBlank="1" showInputMessage="1" showErrorMessage="1" sqref="E10:F10" xr:uid="{00000000-0002-0000-0000-00000D000000}">
      <formula1>IF($E$9="Уполномоченное лицо",NumProxySet,null)</formula1>
    </dataValidation>
    <dataValidation type="list" allowBlank="1" showInputMessage="1" showErrorMessage="1" sqref="S11" xr:uid="{00000000-0002-0000-0000-00000E000000}">
      <formula1>DeliveryConditionsList</formula1>
    </dataValidation>
    <dataValidation type="list" allowBlank="1" showInputMessage="1" showErrorMessage="1" sqref="E8:L8" xr:uid="{00000000-0002-0000-0000-00000F000000}">
      <formula1>CHOOSE($E$7,UnloadAdressList0001,UnloadAdressList0002)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I9 M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1:H28"/>
  <sheetViews>
    <sheetView workbookViewId="0">
      <selection activeCell="B9" sqref="B9"/>
    </sheetView>
  </sheetViews>
  <sheetFormatPr defaultColWidth="8.85546875" defaultRowHeight="12.75" x14ac:dyDescent="0.2"/>
  <cols>
    <col min="1" max="1" width="8.85546875" customWidth="1"/>
    <col min="2" max="2" width="19.42578125" customWidth="1"/>
    <col min="3" max="3" width="19.5703125" customWidth="1"/>
    <col min="4" max="4" width="21.42578125" customWidth="1"/>
  </cols>
  <sheetData>
    <row r="1" spans="2:8" x14ac:dyDescent="0.2">
      <c r="C1" s="47"/>
      <c r="D1" s="47"/>
      <c r="G1" t="s">
        <v>578</v>
      </c>
      <c r="H1" s="47"/>
    </row>
    <row r="2" spans="2:8" x14ac:dyDescent="0.2">
      <c r="B2" s="46"/>
      <c r="C2" s="46"/>
      <c r="D2" s="46"/>
    </row>
    <row r="3" spans="2:8" x14ac:dyDescent="0.2">
      <c r="B3" t="s">
        <v>579</v>
      </c>
      <c r="C3" t="s">
        <v>57</v>
      </c>
      <c r="D3" t="s">
        <v>57</v>
      </c>
      <c r="E3" t="s">
        <v>57</v>
      </c>
    </row>
    <row r="4" spans="2:8" x14ac:dyDescent="0.2">
      <c r="B4" t="s">
        <v>580</v>
      </c>
      <c r="C4" t="s">
        <v>57</v>
      </c>
      <c r="D4" t="s">
        <v>57</v>
      </c>
      <c r="E4" t="s">
        <v>57</v>
      </c>
    </row>
    <row r="5" spans="2:8" x14ac:dyDescent="0.2">
      <c r="B5" s="46"/>
      <c r="C5" s="46"/>
      <c r="D5" s="46"/>
    </row>
    <row r="6" spans="2:8" x14ac:dyDescent="0.2">
      <c r="B6" t="s">
        <v>581</v>
      </c>
      <c r="C6" t="s">
        <v>582</v>
      </c>
      <c r="D6" t="s">
        <v>583</v>
      </c>
      <c r="E6" t="s">
        <v>57</v>
      </c>
    </row>
    <row r="7" spans="2:8" x14ac:dyDescent="0.2">
      <c r="B7" t="s">
        <v>584</v>
      </c>
      <c r="C7" t="s">
        <v>585</v>
      </c>
      <c r="D7" t="s">
        <v>586</v>
      </c>
      <c r="E7" t="s">
        <v>57</v>
      </c>
    </row>
    <row r="8" spans="2:8" x14ac:dyDescent="0.2">
      <c r="B8" s="46"/>
      <c r="C8" s="46"/>
      <c r="D8" s="46"/>
    </row>
    <row r="9" spans="2:8" x14ac:dyDescent="0.2">
      <c r="B9" t="s">
        <v>587</v>
      </c>
      <c r="C9" t="s">
        <v>582</v>
      </c>
      <c r="D9" t="s">
        <v>57</v>
      </c>
      <c r="E9" t="s">
        <v>57</v>
      </c>
    </row>
    <row r="10" spans="2:8" x14ac:dyDescent="0.2">
      <c r="B10" s="46"/>
      <c r="C10" s="46"/>
      <c r="D10" s="46"/>
    </row>
    <row r="11" spans="2:8" x14ac:dyDescent="0.2">
      <c r="B11" t="s">
        <v>587</v>
      </c>
      <c r="C11" t="s">
        <v>585</v>
      </c>
      <c r="D11" t="s">
        <v>57</v>
      </c>
      <c r="E11" t="s">
        <v>57</v>
      </c>
    </row>
    <row r="12" spans="2:8" x14ac:dyDescent="0.2">
      <c r="B12" s="46"/>
      <c r="C12" s="46"/>
      <c r="D12" s="46"/>
    </row>
    <row r="13" spans="2:8" x14ac:dyDescent="0.2">
      <c r="B13" t="s">
        <v>588</v>
      </c>
      <c r="C13" t="s">
        <v>57</v>
      </c>
      <c r="D13" t="s">
        <v>57</v>
      </c>
      <c r="E13" t="s">
        <v>57</v>
      </c>
    </row>
    <row r="14" spans="2:8" x14ac:dyDescent="0.2">
      <c r="B14" t="s">
        <v>589</v>
      </c>
      <c r="C14" t="s">
        <v>57</v>
      </c>
      <c r="D14" t="s">
        <v>57</v>
      </c>
      <c r="E14" t="s">
        <v>57</v>
      </c>
    </row>
    <row r="15" spans="2:8" x14ac:dyDescent="0.2">
      <c r="B15" t="s">
        <v>590</v>
      </c>
      <c r="C15" t="s">
        <v>57</v>
      </c>
      <c r="D15" t="s">
        <v>57</v>
      </c>
      <c r="E15" t="s">
        <v>57</v>
      </c>
    </row>
    <row r="16" spans="2:8" x14ac:dyDescent="0.2">
      <c r="B16" t="s">
        <v>591</v>
      </c>
      <c r="C16" t="s">
        <v>57</v>
      </c>
      <c r="D16" t="s">
        <v>57</v>
      </c>
      <c r="E16" t="s">
        <v>57</v>
      </c>
    </row>
    <row r="17" spans="2:5" x14ac:dyDescent="0.2">
      <c r="B17" s="46"/>
      <c r="C17" s="46"/>
      <c r="D17" s="46"/>
    </row>
    <row r="18" spans="2:5" x14ac:dyDescent="0.2">
      <c r="B18" t="s">
        <v>592</v>
      </c>
      <c r="C18" t="s">
        <v>57</v>
      </c>
      <c r="D18" t="s">
        <v>57</v>
      </c>
      <c r="E18" t="s">
        <v>57</v>
      </c>
    </row>
    <row r="19" spans="2:5" x14ac:dyDescent="0.2">
      <c r="B19" t="s">
        <v>593</v>
      </c>
      <c r="C19" t="s">
        <v>57</v>
      </c>
      <c r="D19" t="s">
        <v>57</v>
      </c>
      <c r="E19" t="s">
        <v>57</v>
      </c>
    </row>
    <row r="20" spans="2:5" x14ac:dyDescent="0.2">
      <c r="B20" t="s">
        <v>594</v>
      </c>
      <c r="C20" t="s">
        <v>57</v>
      </c>
      <c r="D20" t="s">
        <v>57</v>
      </c>
      <c r="E20" t="s">
        <v>57</v>
      </c>
    </row>
    <row r="21" spans="2:5" x14ac:dyDescent="0.2">
      <c r="B21" t="s">
        <v>595</v>
      </c>
      <c r="C21" t="s">
        <v>57</v>
      </c>
      <c r="D21" t="s">
        <v>57</v>
      </c>
      <c r="E21" t="s">
        <v>57</v>
      </c>
    </row>
    <row r="22" spans="2:5" x14ac:dyDescent="0.2">
      <c r="B22" t="s">
        <v>596</v>
      </c>
      <c r="C22" t="s">
        <v>57</v>
      </c>
      <c r="D22" t="s">
        <v>57</v>
      </c>
      <c r="E22" t="s">
        <v>57</v>
      </c>
    </row>
    <row r="23" spans="2:5" x14ac:dyDescent="0.2">
      <c r="B23" t="s">
        <v>597</v>
      </c>
      <c r="C23" t="s">
        <v>57</v>
      </c>
      <c r="D23" t="s">
        <v>57</v>
      </c>
      <c r="E23" t="s">
        <v>57</v>
      </c>
    </row>
    <row r="24" spans="2:5" x14ac:dyDescent="0.2">
      <c r="B24" t="s">
        <v>598</v>
      </c>
      <c r="C24" t="s">
        <v>57</v>
      </c>
      <c r="D24" t="s">
        <v>57</v>
      </c>
      <c r="E24" t="s">
        <v>57</v>
      </c>
    </row>
    <row r="25" spans="2:5" x14ac:dyDescent="0.2">
      <c r="B25" t="s">
        <v>599</v>
      </c>
      <c r="C25" t="s">
        <v>57</v>
      </c>
      <c r="D25" t="s">
        <v>57</v>
      </c>
      <c r="E25" t="s">
        <v>57</v>
      </c>
    </row>
    <row r="26" spans="2:5" x14ac:dyDescent="0.2">
      <c r="B26" t="s">
        <v>600</v>
      </c>
      <c r="C26" t="s">
        <v>57</v>
      </c>
      <c r="D26" t="s">
        <v>57</v>
      </c>
      <c r="E26" t="s">
        <v>57</v>
      </c>
    </row>
    <row r="27" spans="2:5" x14ac:dyDescent="0.2">
      <c r="B27" t="s">
        <v>601</v>
      </c>
      <c r="C27" t="s">
        <v>57</v>
      </c>
      <c r="D27" t="s">
        <v>57</v>
      </c>
      <c r="E27" t="s">
        <v>57</v>
      </c>
    </row>
    <row r="28" spans="2:5" x14ac:dyDescent="0.2">
      <c r="B28" t="s">
        <v>602</v>
      </c>
      <c r="C28" t="s">
        <v>57</v>
      </c>
      <c r="D28" t="s">
        <v>57</v>
      </c>
      <c r="E28" t="s">
        <v>57</v>
      </c>
    </row>
  </sheetData>
  <sheetProtection algorithmName="SHA-512" hashValue="eSpBaby7MXHFvw6UvYzTcrQwC/lJPTY9Dfel1dcwNzuVRTQh7VQGwtjU52qc4nwJTkCHNrFjVNmP1fFQ05A8CA==" saltValue="3PPD0tXr4HyJTxibf8/XOA==" spinCount="100000" sheet="1" objects="1" scenarios="1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0CF199-44DB-46CB-BF2B-9C7A1722C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3F0035-6E4E-43BA-BE44-382C230EB1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570CF9-5129-41F0-BDC4-2C84A010CF0D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bb0b2827-4eb3-461f-8866-28597c48f47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1543</vt:i4>
      </vt:variant>
    </vt:vector>
  </HeadingPairs>
  <TitlesOfParts>
    <vt:vector size="15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IOSG1</vt:lpstr>
      <vt:lpstr>IOSG2</vt:lpstr>
      <vt:lpstr>IOSG3</vt:lpstr>
      <vt:lpstr>IOSG4</vt:lpstr>
      <vt:lpstr>LoadDate</vt:lpstr>
      <vt:lpstr>LoadTime</vt:lpstr>
      <vt:lpstr>NumProxy</vt:lpstr>
      <vt:lpstr>NumProxySet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SalesQty1_1</vt:lpstr>
      <vt:lpstr>SalesQty1_2</vt:lpstr>
      <vt:lpstr>SalesQty1_3</vt:lpstr>
      <vt:lpstr>SalesQty1_4</vt:lpstr>
      <vt:lpstr>SalesQty10_1</vt:lpstr>
      <vt:lpstr>SalesQty10_2</vt:lpstr>
      <vt:lpstr>SalesQty10_3</vt:lpstr>
      <vt:lpstr>SalesQty10_4</vt:lpstr>
      <vt:lpstr>SalesQty100_1</vt:lpstr>
      <vt:lpstr>SalesQty100_2</vt:lpstr>
      <vt:lpstr>SalesQty100_3</vt:lpstr>
      <vt:lpstr>SalesQty100_4</vt:lpstr>
      <vt:lpstr>SalesQty101_1</vt:lpstr>
      <vt:lpstr>SalesQty101_2</vt:lpstr>
      <vt:lpstr>SalesQty101_3</vt:lpstr>
      <vt:lpstr>SalesQty101_4</vt:lpstr>
      <vt:lpstr>SalesQty102_1</vt:lpstr>
      <vt:lpstr>SalesQty102_2</vt:lpstr>
      <vt:lpstr>SalesQty102_3</vt:lpstr>
      <vt:lpstr>SalesQty102_4</vt:lpstr>
      <vt:lpstr>SalesQty103_1</vt:lpstr>
      <vt:lpstr>SalesQty103_2</vt:lpstr>
      <vt:lpstr>SalesQty103_3</vt:lpstr>
      <vt:lpstr>SalesQty103_4</vt:lpstr>
      <vt:lpstr>SalesQty104_1</vt:lpstr>
      <vt:lpstr>SalesQty104_2</vt:lpstr>
      <vt:lpstr>SalesQty104_3</vt:lpstr>
      <vt:lpstr>SalesQty104_4</vt:lpstr>
      <vt:lpstr>SalesQty105_1</vt:lpstr>
      <vt:lpstr>SalesQty105_2</vt:lpstr>
      <vt:lpstr>SalesQty105_3</vt:lpstr>
      <vt:lpstr>SalesQty105_4</vt:lpstr>
      <vt:lpstr>SalesQty106_1</vt:lpstr>
      <vt:lpstr>SalesQty106_2</vt:lpstr>
      <vt:lpstr>SalesQty106_3</vt:lpstr>
      <vt:lpstr>SalesQty106_4</vt:lpstr>
      <vt:lpstr>SalesQty107_1</vt:lpstr>
      <vt:lpstr>SalesQty107_2</vt:lpstr>
      <vt:lpstr>SalesQty107_3</vt:lpstr>
      <vt:lpstr>SalesQty107_4</vt:lpstr>
      <vt:lpstr>SalesQty108_1</vt:lpstr>
      <vt:lpstr>SalesQty108_2</vt:lpstr>
      <vt:lpstr>SalesQty108_3</vt:lpstr>
      <vt:lpstr>SalesQty108_4</vt:lpstr>
      <vt:lpstr>SalesQty109_1</vt:lpstr>
      <vt:lpstr>SalesQty109_2</vt:lpstr>
      <vt:lpstr>SalesQty109_3</vt:lpstr>
      <vt:lpstr>SalesQty109_4</vt:lpstr>
      <vt:lpstr>SalesQty11_1</vt:lpstr>
      <vt:lpstr>SalesQty11_2</vt:lpstr>
      <vt:lpstr>SalesQty11_3</vt:lpstr>
      <vt:lpstr>SalesQty11_4</vt:lpstr>
      <vt:lpstr>SalesQty110_1</vt:lpstr>
      <vt:lpstr>SalesQty110_2</vt:lpstr>
      <vt:lpstr>SalesQty110_3</vt:lpstr>
      <vt:lpstr>SalesQty110_4</vt:lpstr>
      <vt:lpstr>SalesQty111_1</vt:lpstr>
      <vt:lpstr>SalesQty111_2</vt:lpstr>
      <vt:lpstr>SalesQty111_3</vt:lpstr>
      <vt:lpstr>SalesQty111_4</vt:lpstr>
      <vt:lpstr>SalesQty112_1</vt:lpstr>
      <vt:lpstr>SalesQty112_2</vt:lpstr>
      <vt:lpstr>SalesQty112_3</vt:lpstr>
      <vt:lpstr>SalesQty112_4</vt:lpstr>
      <vt:lpstr>SalesQty113_1</vt:lpstr>
      <vt:lpstr>SalesQty113_2</vt:lpstr>
      <vt:lpstr>SalesQty113_3</vt:lpstr>
      <vt:lpstr>SalesQty113_4</vt:lpstr>
      <vt:lpstr>SalesQty114_1</vt:lpstr>
      <vt:lpstr>SalesQty114_2</vt:lpstr>
      <vt:lpstr>SalesQty114_3</vt:lpstr>
      <vt:lpstr>SalesQty114_4</vt:lpstr>
      <vt:lpstr>SalesQty115_1</vt:lpstr>
      <vt:lpstr>SalesQty115_2</vt:lpstr>
      <vt:lpstr>SalesQty115_3</vt:lpstr>
      <vt:lpstr>SalesQty115_4</vt:lpstr>
      <vt:lpstr>SalesQty116_1</vt:lpstr>
      <vt:lpstr>SalesQty116_2</vt:lpstr>
      <vt:lpstr>SalesQty116_3</vt:lpstr>
      <vt:lpstr>SalesQty116_4</vt:lpstr>
      <vt:lpstr>SalesQty117_1</vt:lpstr>
      <vt:lpstr>SalesQty117_2</vt:lpstr>
      <vt:lpstr>SalesQty117_3</vt:lpstr>
      <vt:lpstr>SalesQty117_4</vt:lpstr>
      <vt:lpstr>SalesQty118_1</vt:lpstr>
      <vt:lpstr>SalesQty118_2</vt:lpstr>
      <vt:lpstr>SalesQty118_3</vt:lpstr>
      <vt:lpstr>SalesQty118_4</vt:lpstr>
      <vt:lpstr>SalesQty119_1</vt:lpstr>
      <vt:lpstr>SalesQty119_2</vt:lpstr>
      <vt:lpstr>SalesQty119_3</vt:lpstr>
      <vt:lpstr>SalesQty119_4</vt:lpstr>
      <vt:lpstr>SalesQty12_1</vt:lpstr>
      <vt:lpstr>SalesQty12_2</vt:lpstr>
      <vt:lpstr>SalesQty12_3</vt:lpstr>
      <vt:lpstr>SalesQty12_4</vt:lpstr>
      <vt:lpstr>SalesQty120_1</vt:lpstr>
      <vt:lpstr>SalesQty120_2</vt:lpstr>
      <vt:lpstr>SalesQty120_3</vt:lpstr>
      <vt:lpstr>SalesQty120_4</vt:lpstr>
      <vt:lpstr>SalesQty121_1</vt:lpstr>
      <vt:lpstr>SalesQty121_2</vt:lpstr>
      <vt:lpstr>SalesQty121_3</vt:lpstr>
      <vt:lpstr>SalesQty121_4</vt:lpstr>
      <vt:lpstr>SalesQty122_1</vt:lpstr>
      <vt:lpstr>SalesQty122_2</vt:lpstr>
      <vt:lpstr>SalesQty122_3</vt:lpstr>
      <vt:lpstr>SalesQty122_4</vt:lpstr>
      <vt:lpstr>SalesQty123_1</vt:lpstr>
      <vt:lpstr>SalesQty123_2</vt:lpstr>
      <vt:lpstr>SalesQty123_3</vt:lpstr>
      <vt:lpstr>SalesQty123_4</vt:lpstr>
      <vt:lpstr>SalesQty124_1</vt:lpstr>
      <vt:lpstr>SalesQty124_2</vt:lpstr>
      <vt:lpstr>SalesQty124_3</vt:lpstr>
      <vt:lpstr>SalesQty124_4</vt:lpstr>
      <vt:lpstr>SalesQty125_1</vt:lpstr>
      <vt:lpstr>SalesQty125_2</vt:lpstr>
      <vt:lpstr>SalesQty125_3</vt:lpstr>
      <vt:lpstr>SalesQty125_4</vt:lpstr>
      <vt:lpstr>SalesQty126_1</vt:lpstr>
      <vt:lpstr>SalesQty126_2</vt:lpstr>
      <vt:lpstr>SalesQty126_3</vt:lpstr>
      <vt:lpstr>SalesQty126_4</vt:lpstr>
      <vt:lpstr>SalesQty127_1</vt:lpstr>
      <vt:lpstr>SalesQty127_2</vt:lpstr>
      <vt:lpstr>SalesQty127_3</vt:lpstr>
      <vt:lpstr>SalesQty127_4</vt:lpstr>
      <vt:lpstr>SalesQty128_1</vt:lpstr>
      <vt:lpstr>SalesQty128_2</vt:lpstr>
      <vt:lpstr>SalesQty128_3</vt:lpstr>
      <vt:lpstr>SalesQty128_4</vt:lpstr>
      <vt:lpstr>SalesQty129_1</vt:lpstr>
      <vt:lpstr>SalesQty129_2</vt:lpstr>
      <vt:lpstr>SalesQty129_3</vt:lpstr>
      <vt:lpstr>SalesQty129_4</vt:lpstr>
      <vt:lpstr>SalesQty13_1</vt:lpstr>
      <vt:lpstr>SalesQty13_2</vt:lpstr>
      <vt:lpstr>SalesQty13_3</vt:lpstr>
      <vt:lpstr>SalesQty13_4</vt:lpstr>
      <vt:lpstr>SalesQty130_1</vt:lpstr>
      <vt:lpstr>SalesQty130_2</vt:lpstr>
      <vt:lpstr>SalesQty130_3</vt:lpstr>
      <vt:lpstr>SalesQty130_4</vt:lpstr>
      <vt:lpstr>SalesQty131_1</vt:lpstr>
      <vt:lpstr>SalesQty131_2</vt:lpstr>
      <vt:lpstr>SalesQty131_3</vt:lpstr>
      <vt:lpstr>SalesQty131_4</vt:lpstr>
      <vt:lpstr>SalesQty132_1</vt:lpstr>
      <vt:lpstr>SalesQty132_2</vt:lpstr>
      <vt:lpstr>SalesQty132_3</vt:lpstr>
      <vt:lpstr>SalesQty132_4</vt:lpstr>
      <vt:lpstr>SalesQty133_1</vt:lpstr>
      <vt:lpstr>SalesQty133_2</vt:lpstr>
      <vt:lpstr>SalesQty133_3</vt:lpstr>
      <vt:lpstr>SalesQty133_4</vt:lpstr>
      <vt:lpstr>SalesQty134_1</vt:lpstr>
      <vt:lpstr>SalesQty134_2</vt:lpstr>
      <vt:lpstr>SalesQty134_3</vt:lpstr>
      <vt:lpstr>SalesQty134_4</vt:lpstr>
      <vt:lpstr>SalesQty135_1</vt:lpstr>
      <vt:lpstr>SalesQty135_2</vt:lpstr>
      <vt:lpstr>SalesQty135_3</vt:lpstr>
      <vt:lpstr>SalesQty135_4</vt:lpstr>
      <vt:lpstr>SalesQty136_1</vt:lpstr>
      <vt:lpstr>SalesQty136_2</vt:lpstr>
      <vt:lpstr>SalesQty136_3</vt:lpstr>
      <vt:lpstr>SalesQty136_4</vt:lpstr>
      <vt:lpstr>SalesQty137_1</vt:lpstr>
      <vt:lpstr>SalesQty137_2</vt:lpstr>
      <vt:lpstr>SalesQty137_3</vt:lpstr>
      <vt:lpstr>SalesQty137_4</vt:lpstr>
      <vt:lpstr>SalesQty138_1</vt:lpstr>
      <vt:lpstr>SalesQty138_2</vt:lpstr>
      <vt:lpstr>SalesQty138_3</vt:lpstr>
      <vt:lpstr>SalesQty138_4</vt:lpstr>
      <vt:lpstr>SalesQty139_1</vt:lpstr>
      <vt:lpstr>SalesQty139_2</vt:lpstr>
      <vt:lpstr>SalesQty139_3</vt:lpstr>
      <vt:lpstr>SalesQty139_4</vt:lpstr>
      <vt:lpstr>SalesQty14_1</vt:lpstr>
      <vt:lpstr>SalesQty14_2</vt:lpstr>
      <vt:lpstr>SalesQty14_3</vt:lpstr>
      <vt:lpstr>SalesQty14_4</vt:lpstr>
      <vt:lpstr>SalesQty140_1</vt:lpstr>
      <vt:lpstr>SalesQty140_2</vt:lpstr>
      <vt:lpstr>SalesQty140_3</vt:lpstr>
      <vt:lpstr>SalesQty140_4</vt:lpstr>
      <vt:lpstr>SalesQty141_1</vt:lpstr>
      <vt:lpstr>SalesQty141_2</vt:lpstr>
      <vt:lpstr>SalesQty141_3</vt:lpstr>
      <vt:lpstr>SalesQty141_4</vt:lpstr>
      <vt:lpstr>SalesQty142_1</vt:lpstr>
      <vt:lpstr>SalesQty142_2</vt:lpstr>
      <vt:lpstr>SalesQty142_3</vt:lpstr>
      <vt:lpstr>SalesQty142_4</vt:lpstr>
      <vt:lpstr>SalesQty143_1</vt:lpstr>
      <vt:lpstr>SalesQty143_2</vt:lpstr>
      <vt:lpstr>SalesQty143_3</vt:lpstr>
      <vt:lpstr>SalesQty143_4</vt:lpstr>
      <vt:lpstr>SalesQty144_1</vt:lpstr>
      <vt:lpstr>SalesQty144_2</vt:lpstr>
      <vt:lpstr>SalesQty144_3</vt:lpstr>
      <vt:lpstr>SalesQty144_4</vt:lpstr>
      <vt:lpstr>SalesQty145_1</vt:lpstr>
      <vt:lpstr>SalesQty145_2</vt:lpstr>
      <vt:lpstr>SalesQty145_3</vt:lpstr>
      <vt:lpstr>SalesQty145_4</vt:lpstr>
      <vt:lpstr>SalesQty146_1</vt:lpstr>
      <vt:lpstr>SalesQty146_2</vt:lpstr>
      <vt:lpstr>SalesQty146_3</vt:lpstr>
      <vt:lpstr>SalesQty146_4</vt:lpstr>
      <vt:lpstr>SalesQty147_1</vt:lpstr>
      <vt:lpstr>SalesQty147_2</vt:lpstr>
      <vt:lpstr>SalesQty147_3</vt:lpstr>
      <vt:lpstr>SalesQty147_4</vt:lpstr>
      <vt:lpstr>SalesQty148_1</vt:lpstr>
      <vt:lpstr>SalesQty148_2</vt:lpstr>
      <vt:lpstr>SalesQty148_3</vt:lpstr>
      <vt:lpstr>SalesQty148_4</vt:lpstr>
      <vt:lpstr>SalesQty149_1</vt:lpstr>
      <vt:lpstr>SalesQty149_2</vt:lpstr>
      <vt:lpstr>SalesQty149_3</vt:lpstr>
      <vt:lpstr>SalesQty149_4</vt:lpstr>
      <vt:lpstr>SalesQty15_1</vt:lpstr>
      <vt:lpstr>SalesQty15_2</vt:lpstr>
      <vt:lpstr>SalesQty15_3</vt:lpstr>
      <vt:lpstr>SalesQty15_4</vt:lpstr>
      <vt:lpstr>SalesQty150_1</vt:lpstr>
      <vt:lpstr>SalesQty150_2</vt:lpstr>
      <vt:lpstr>SalesQty150_3</vt:lpstr>
      <vt:lpstr>SalesQty150_4</vt:lpstr>
      <vt:lpstr>SalesQty16_1</vt:lpstr>
      <vt:lpstr>SalesQty16_2</vt:lpstr>
      <vt:lpstr>SalesQty16_3</vt:lpstr>
      <vt:lpstr>SalesQty16_4</vt:lpstr>
      <vt:lpstr>SalesQty17_1</vt:lpstr>
      <vt:lpstr>SalesQty17_2</vt:lpstr>
      <vt:lpstr>SalesQty17_3</vt:lpstr>
      <vt:lpstr>SalesQty17_4</vt:lpstr>
      <vt:lpstr>SalesQty18_1</vt:lpstr>
      <vt:lpstr>SalesQty18_2</vt:lpstr>
      <vt:lpstr>SalesQty18_3</vt:lpstr>
      <vt:lpstr>SalesQty18_4</vt:lpstr>
      <vt:lpstr>SalesQty19_1</vt:lpstr>
      <vt:lpstr>SalesQty19_2</vt:lpstr>
      <vt:lpstr>SalesQty19_3</vt:lpstr>
      <vt:lpstr>SalesQty19_4</vt:lpstr>
      <vt:lpstr>SalesQty2_1</vt:lpstr>
      <vt:lpstr>SalesQty2_2</vt:lpstr>
      <vt:lpstr>SalesQty2_3</vt:lpstr>
      <vt:lpstr>SalesQty2_4</vt:lpstr>
      <vt:lpstr>SalesQty20_1</vt:lpstr>
      <vt:lpstr>SalesQty20_2</vt:lpstr>
      <vt:lpstr>SalesQty20_3</vt:lpstr>
      <vt:lpstr>SalesQty20_4</vt:lpstr>
      <vt:lpstr>SalesQty21_1</vt:lpstr>
      <vt:lpstr>SalesQty21_2</vt:lpstr>
      <vt:lpstr>SalesQty21_3</vt:lpstr>
      <vt:lpstr>SalesQty21_4</vt:lpstr>
      <vt:lpstr>SalesQty22_1</vt:lpstr>
      <vt:lpstr>SalesQty22_2</vt:lpstr>
      <vt:lpstr>SalesQty22_3</vt:lpstr>
      <vt:lpstr>SalesQty22_4</vt:lpstr>
      <vt:lpstr>SalesQty23_1</vt:lpstr>
      <vt:lpstr>SalesQty23_2</vt:lpstr>
      <vt:lpstr>SalesQty23_3</vt:lpstr>
      <vt:lpstr>SalesQty23_4</vt:lpstr>
      <vt:lpstr>SalesQty24_1</vt:lpstr>
      <vt:lpstr>SalesQty24_2</vt:lpstr>
      <vt:lpstr>SalesQty24_3</vt:lpstr>
      <vt:lpstr>SalesQty24_4</vt:lpstr>
      <vt:lpstr>SalesQty25_1</vt:lpstr>
      <vt:lpstr>SalesQty25_2</vt:lpstr>
      <vt:lpstr>SalesQty25_3</vt:lpstr>
      <vt:lpstr>SalesQty25_4</vt:lpstr>
      <vt:lpstr>SalesQty26_1</vt:lpstr>
      <vt:lpstr>SalesQty26_2</vt:lpstr>
      <vt:lpstr>SalesQty26_3</vt:lpstr>
      <vt:lpstr>SalesQty26_4</vt:lpstr>
      <vt:lpstr>SalesQty27_1</vt:lpstr>
      <vt:lpstr>SalesQty27_2</vt:lpstr>
      <vt:lpstr>SalesQty27_3</vt:lpstr>
      <vt:lpstr>SalesQty27_4</vt:lpstr>
      <vt:lpstr>SalesQty28_1</vt:lpstr>
      <vt:lpstr>SalesQty28_2</vt:lpstr>
      <vt:lpstr>SalesQty28_3</vt:lpstr>
      <vt:lpstr>SalesQty28_4</vt:lpstr>
      <vt:lpstr>SalesQty29_1</vt:lpstr>
      <vt:lpstr>SalesQty29_2</vt:lpstr>
      <vt:lpstr>SalesQty29_3</vt:lpstr>
      <vt:lpstr>SalesQty29_4</vt:lpstr>
      <vt:lpstr>SalesQty3_1</vt:lpstr>
      <vt:lpstr>SalesQty3_2</vt:lpstr>
      <vt:lpstr>SalesQty3_3</vt:lpstr>
      <vt:lpstr>SalesQty3_4</vt:lpstr>
      <vt:lpstr>SalesQty30_1</vt:lpstr>
      <vt:lpstr>SalesQty30_2</vt:lpstr>
      <vt:lpstr>SalesQty30_3</vt:lpstr>
      <vt:lpstr>SalesQty30_4</vt:lpstr>
      <vt:lpstr>SalesQty31_1</vt:lpstr>
      <vt:lpstr>SalesQty31_2</vt:lpstr>
      <vt:lpstr>SalesQty31_3</vt:lpstr>
      <vt:lpstr>SalesQty31_4</vt:lpstr>
      <vt:lpstr>SalesQty32_1</vt:lpstr>
      <vt:lpstr>SalesQty32_2</vt:lpstr>
      <vt:lpstr>SalesQty32_3</vt:lpstr>
      <vt:lpstr>SalesQty32_4</vt:lpstr>
      <vt:lpstr>SalesQty33_1</vt:lpstr>
      <vt:lpstr>SalesQty33_2</vt:lpstr>
      <vt:lpstr>SalesQty33_3</vt:lpstr>
      <vt:lpstr>SalesQty33_4</vt:lpstr>
      <vt:lpstr>SalesQty34_1</vt:lpstr>
      <vt:lpstr>SalesQty34_2</vt:lpstr>
      <vt:lpstr>SalesQty34_3</vt:lpstr>
      <vt:lpstr>SalesQty34_4</vt:lpstr>
      <vt:lpstr>SalesQty35_1</vt:lpstr>
      <vt:lpstr>SalesQty35_2</vt:lpstr>
      <vt:lpstr>SalesQty35_3</vt:lpstr>
      <vt:lpstr>SalesQty35_4</vt:lpstr>
      <vt:lpstr>SalesQty36_1</vt:lpstr>
      <vt:lpstr>SalesQty36_2</vt:lpstr>
      <vt:lpstr>SalesQty36_3</vt:lpstr>
      <vt:lpstr>SalesQty36_4</vt:lpstr>
      <vt:lpstr>SalesQty37_1</vt:lpstr>
      <vt:lpstr>SalesQty37_2</vt:lpstr>
      <vt:lpstr>SalesQty37_3</vt:lpstr>
      <vt:lpstr>SalesQty37_4</vt:lpstr>
      <vt:lpstr>SalesQty38_1</vt:lpstr>
      <vt:lpstr>SalesQty38_2</vt:lpstr>
      <vt:lpstr>SalesQty38_3</vt:lpstr>
      <vt:lpstr>SalesQty38_4</vt:lpstr>
      <vt:lpstr>SalesQty39_1</vt:lpstr>
      <vt:lpstr>SalesQty39_2</vt:lpstr>
      <vt:lpstr>SalesQty39_3</vt:lpstr>
      <vt:lpstr>SalesQty39_4</vt:lpstr>
      <vt:lpstr>SalesQty4_1</vt:lpstr>
      <vt:lpstr>SalesQty4_2</vt:lpstr>
      <vt:lpstr>SalesQty4_3</vt:lpstr>
      <vt:lpstr>SalesQty4_4</vt:lpstr>
      <vt:lpstr>SalesQty40_1</vt:lpstr>
      <vt:lpstr>SalesQty40_2</vt:lpstr>
      <vt:lpstr>SalesQty40_3</vt:lpstr>
      <vt:lpstr>SalesQty40_4</vt:lpstr>
      <vt:lpstr>SalesQty41_1</vt:lpstr>
      <vt:lpstr>SalesQty41_2</vt:lpstr>
      <vt:lpstr>SalesQty41_3</vt:lpstr>
      <vt:lpstr>SalesQty41_4</vt:lpstr>
      <vt:lpstr>SalesQty42_1</vt:lpstr>
      <vt:lpstr>SalesQty42_2</vt:lpstr>
      <vt:lpstr>SalesQty42_3</vt:lpstr>
      <vt:lpstr>SalesQty42_4</vt:lpstr>
      <vt:lpstr>SalesQty43_1</vt:lpstr>
      <vt:lpstr>SalesQty43_2</vt:lpstr>
      <vt:lpstr>SalesQty43_3</vt:lpstr>
      <vt:lpstr>SalesQty43_4</vt:lpstr>
      <vt:lpstr>SalesQty44_1</vt:lpstr>
      <vt:lpstr>SalesQty44_2</vt:lpstr>
      <vt:lpstr>SalesQty44_3</vt:lpstr>
      <vt:lpstr>SalesQty44_4</vt:lpstr>
      <vt:lpstr>SalesQty45_1</vt:lpstr>
      <vt:lpstr>SalesQty45_2</vt:lpstr>
      <vt:lpstr>SalesQty45_3</vt:lpstr>
      <vt:lpstr>SalesQty45_4</vt:lpstr>
      <vt:lpstr>SalesQty46_1</vt:lpstr>
      <vt:lpstr>SalesQty46_2</vt:lpstr>
      <vt:lpstr>SalesQty46_3</vt:lpstr>
      <vt:lpstr>SalesQty46_4</vt:lpstr>
      <vt:lpstr>SalesQty47_1</vt:lpstr>
      <vt:lpstr>SalesQty47_2</vt:lpstr>
      <vt:lpstr>SalesQty47_3</vt:lpstr>
      <vt:lpstr>SalesQty47_4</vt:lpstr>
      <vt:lpstr>SalesQty48_1</vt:lpstr>
      <vt:lpstr>SalesQty48_2</vt:lpstr>
      <vt:lpstr>SalesQty48_3</vt:lpstr>
      <vt:lpstr>SalesQty48_4</vt:lpstr>
      <vt:lpstr>SalesQty49_1</vt:lpstr>
      <vt:lpstr>SalesQty49_2</vt:lpstr>
      <vt:lpstr>SalesQty49_3</vt:lpstr>
      <vt:lpstr>SalesQty49_4</vt:lpstr>
      <vt:lpstr>SalesQty5_1</vt:lpstr>
      <vt:lpstr>SalesQty5_2</vt:lpstr>
      <vt:lpstr>SalesQty5_3</vt:lpstr>
      <vt:lpstr>SalesQty5_4</vt:lpstr>
      <vt:lpstr>SalesQty50_1</vt:lpstr>
      <vt:lpstr>SalesQty50_2</vt:lpstr>
      <vt:lpstr>SalesQty50_3</vt:lpstr>
      <vt:lpstr>SalesQty50_4</vt:lpstr>
      <vt:lpstr>SalesQty51_1</vt:lpstr>
      <vt:lpstr>SalesQty51_2</vt:lpstr>
      <vt:lpstr>SalesQty51_3</vt:lpstr>
      <vt:lpstr>SalesQty51_4</vt:lpstr>
      <vt:lpstr>SalesQty52_1</vt:lpstr>
      <vt:lpstr>SalesQty52_2</vt:lpstr>
      <vt:lpstr>SalesQty52_3</vt:lpstr>
      <vt:lpstr>SalesQty52_4</vt:lpstr>
      <vt:lpstr>SalesQty53_1</vt:lpstr>
      <vt:lpstr>SalesQty53_2</vt:lpstr>
      <vt:lpstr>SalesQty53_3</vt:lpstr>
      <vt:lpstr>SalesQty53_4</vt:lpstr>
      <vt:lpstr>SalesQty54_1</vt:lpstr>
      <vt:lpstr>SalesQty54_2</vt:lpstr>
      <vt:lpstr>SalesQty54_3</vt:lpstr>
      <vt:lpstr>SalesQty54_4</vt:lpstr>
      <vt:lpstr>SalesQty55_1</vt:lpstr>
      <vt:lpstr>SalesQty55_2</vt:lpstr>
      <vt:lpstr>SalesQty55_3</vt:lpstr>
      <vt:lpstr>SalesQty55_4</vt:lpstr>
      <vt:lpstr>SalesQty56_1</vt:lpstr>
      <vt:lpstr>SalesQty56_2</vt:lpstr>
      <vt:lpstr>SalesQty56_3</vt:lpstr>
      <vt:lpstr>SalesQty56_4</vt:lpstr>
      <vt:lpstr>SalesQty57_1</vt:lpstr>
      <vt:lpstr>SalesQty57_2</vt:lpstr>
      <vt:lpstr>SalesQty57_3</vt:lpstr>
      <vt:lpstr>SalesQty57_4</vt:lpstr>
      <vt:lpstr>SalesQty58_1</vt:lpstr>
      <vt:lpstr>SalesQty58_2</vt:lpstr>
      <vt:lpstr>SalesQty58_3</vt:lpstr>
      <vt:lpstr>SalesQty58_4</vt:lpstr>
      <vt:lpstr>SalesQty59_1</vt:lpstr>
      <vt:lpstr>SalesQty59_2</vt:lpstr>
      <vt:lpstr>SalesQty59_3</vt:lpstr>
      <vt:lpstr>SalesQty59_4</vt:lpstr>
      <vt:lpstr>SalesQty6_1</vt:lpstr>
      <vt:lpstr>SalesQty6_2</vt:lpstr>
      <vt:lpstr>SalesQty6_3</vt:lpstr>
      <vt:lpstr>SalesQty6_4</vt:lpstr>
      <vt:lpstr>SalesQty60_1</vt:lpstr>
      <vt:lpstr>SalesQty60_2</vt:lpstr>
      <vt:lpstr>SalesQty60_3</vt:lpstr>
      <vt:lpstr>SalesQty60_4</vt:lpstr>
      <vt:lpstr>SalesQty61_1</vt:lpstr>
      <vt:lpstr>SalesQty61_2</vt:lpstr>
      <vt:lpstr>SalesQty61_3</vt:lpstr>
      <vt:lpstr>SalesQty61_4</vt:lpstr>
      <vt:lpstr>SalesQty62_1</vt:lpstr>
      <vt:lpstr>SalesQty62_2</vt:lpstr>
      <vt:lpstr>SalesQty62_3</vt:lpstr>
      <vt:lpstr>SalesQty62_4</vt:lpstr>
      <vt:lpstr>SalesQty63_1</vt:lpstr>
      <vt:lpstr>SalesQty63_2</vt:lpstr>
      <vt:lpstr>SalesQty63_3</vt:lpstr>
      <vt:lpstr>SalesQty63_4</vt:lpstr>
      <vt:lpstr>SalesQty64_1</vt:lpstr>
      <vt:lpstr>SalesQty64_2</vt:lpstr>
      <vt:lpstr>SalesQty64_3</vt:lpstr>
      <vt:lpstr>SalesQty64_4</vt:lpstr>
      <vt:lpstr>SalesQty65_1</vt:lpstr>
      <vt:lpstr>SalesQty65_2</vt:lpstr>
      <vt:lpstr>SalesQty65_3</vt:lpstr>
      <vt:lpstr>SalesQty65_4</vt:lpstr>
      <vt:lpstr>SalesQty66_1</vt:lpstr>
      <vt:lpstr>SalesQty66_2</vt:lpstr>
      <vt:lpstr>SalesQty66_3</vt:lpstr>
      <vt:lpstr>SalesQty66_4</vt:lpstr>
      <vt:lpstr>SalesQty67_1</vt:lpstr>
      <vt:lpstr>SalesQty67_2</vt:lpstr>
      <vt:lpstr>SalesQty67_3</vt:lpstr>
      <vt:lpstr>SalesQty67_4</vt:lpstr>
      <vt:lpstr>SalesQty68_1</vt:lpstr>
      <vt:lpstr>SalesQty68_2</vt:lpstr>
      <vt:lpstr>SalesQty68_3</vt:lpstr>
      <vt:lpstr>SalesQty68_4</vt:lpstr>
      <vt:lpstr>SalesQty69_1</vt:lpstr>
      <vt:lpstr>SalesQty69_2</vt:lpstr>
      <vt:lpstr>SalesQty69_3</vt:lpstr>
      <vt:lpstr>SalesQty69_4</vt:lpstr>
      <vt:lpstr>SalesQty7_1</vt:lpstr>
      <vt:lpstr>SalesQty7_2</vt:lpstr>
      <vt:lpstr>SalesQty7_3</vt:lpstr>
      <vt:lpstr>SalesQty7_4</vt:lpstr>
      <vt:lpstr>SalesQty70_1</vt:lpstr>
      <vt:lpstr>SalesQty70_2</vt:lpstr>
      <vt:lpstr>SalesQty70_3</vt:lpstr>
      <vt:lpstr>SalesQty70_4</vt:lpstr>
      <vt:lpstr>SalesQty71_1</vt:lpstr>
      <vt:lpstr>SalesQty71_2</vt:lpstr>
      <vt:lpstr>SalesQty71_3</vt:lpstr>
      <vt:lpstr>SalesQty71_4</vt:lpstr>
      <vt:lpstr>SalesQty72_1</vt:lpstr>
      <vt:lpstr>SalesQty72_2</vt:lpstr>
      <vt:lpstr>SalesQty72_3</vt:lpstr>
      <vt:lpstr>SalesQty72_4</vt:lpstr>
      <vt:lpstr>SalesQty73_1</vt:lpstr>
      <vt:lpstr>SalesQty73_2</vt:lpstr>
      <vt:lpstr>SalesQty73_3</vt:lpstr>
      <vt:lpstr>SalesQty73_4</vt:lpstr>
      <vt:lpstr>SalesQty74_1</vt:lpstr>
      <vt:lpstr>SalesQty74_2</vt:lpstr>
      <vt:lpstr>SalesQty74_3</vt:lpstr>
      <vt:lpstr>SalesQty74_4</vt:lpstr>
      <vt:lpstr>SalesQty75_1</vt:lpstr>
      <vt:lpstr>SalesQty75_2</vt:lpstr>
      <vt:lpstr>SalesQty75_3</vt:lpstr>
      <vt:lpstr>SalesQty75_4</vt:lpstr>
      <vt:lpstr>SalesQty76_1</vt:lpstr>
      <vt:lpstr>SalesQty76_2</vt:lpstr>
      <vt:lpstr>SalesQty76_3</vt:lpstr>
      <vt:lpstr>SalesQty76_4</vt:lpstr>
      <vt:lpstr>SalesQty77_1</vt:lpstr>
      <vt:lpstr>SalesQty77_2</vt:lpstr>
      <vt:lpstr>SalesQty77_3</vt:lpstr>
      <vt:lpstr>SalesQty77_4</vt:lpstr>
      <vt:lpstr>SalesQty78_1</vt:lpstr>
      <vt:lpstr>SalesQty78_2</vt:lpstr>
      <vt:lpstr>SalesQty78_3</vt:lpstr>
      <vt:lpstr>SalesQty78_4</vt:lpstr>
      <vt:lpstr>SalesQty79_1</vt:lpstr>
      <vt:lpstr>SalesQty79_2</vt:lpstr>
      <vt:lpstr>SalesQty79_3</vt:lpstr>
      <vt:lpstr>SalesQty79_4</vt:lpstr>
      <vt:lpstr>SalesQty8_1</vt:lpstr>
      <vt:lpstr>SalesQty8_2</vt:lpstr>
      <vt:lpstr>SalesQty8_3</vt:lpstr>
      <vt:lpstr>SalesQty8_4</vt:lpstr>
      <vt:lpstr>SalesQty80_1</vt:lpstr>
      <vt:lpstr>SalesQty80_2</vt:lpstr>
      <vt:lpstr>SalesQty80_3</vt:lpstr>
      <vt:lpstr>SalesQty80_4</vt:lpstr>
      <vt:lpstr>SalesQty81_1</vt:lpstr>
      <vt:lpstr>SalesQty81_2</vt:lpstr>
      <vt:lpstr>SalesQty81_3</vt:lpstr>
      <vt:lpstr>SalesQty81_4</vt:lpstr>
      <vt:lpstr>SalesQty82_1</vt:lpstr>
      <vt:lpstr>SalesQty82_2</vt:lpstr>
      <vt:lpstr>SalesQty82_3</vt:lpstr>
      <vt:lpstr>SalesQty82_4</vt:lpstr>
      <vt:lpstr>SalesQty83_1</vt:lpstr>
      <vt:lpstr>SalesQty83_2</vt:lpstr>
      <vt:lpstr>SalesQty83_3</vt:lpstr>
      <vt:lpstr>SalesQty83_4</vt:lpstr>
      <vt:lpstr>SalesQty84_1</vt:lpstr>
      <vt:lpstr>SalesQty84_2</vt:lpstr>
      <vt:lpstr>SalesQty84_3</vt:lpstr>
      <vt:lpstr>SalesQty84_4</vt:lpstr>
      <vt:lpstr>SalesQty85_1</vt:lpstr>
      <vt:lpstr>SalesQty85_2</vt:lpstr>
      <vt:lpstr>SalesQty85_3</vt:lpstr>
      <vt:lpstr>SalesQty85_4</vt:lpstr>
      <vt:lpstr>SalesQty86_1</vt:lpstr>
      <vt:lpstr>SalesQty86_2</vt:lpstr>
      <vt:lpstr>SalesQty86_3</vt:lpstr>
      <vt:lpstr>SalesQty86_4</vt:lpstr>
      <vt:lpstr>SalesQty87_1</vt:lpstr>
      <vt:lpstr>SalesQty87_2</vt:lpstr>
      <vt:lpstr>SalesQty87_3</vt:lpstr>
      <vt:lpstr>SalesQty87_4</vt:lpstr>
      <vt:lpstr>SalesQty88_1</vt:lpstr>
      <vt:lpstr>SalesQty88_2</vt:lpstr>
      <vt:lpstr>SalesQty88_3</vt:lpstr>
      <vt:lpstr>SalesQty88_4</vt:lpstr>
      <vt:lpstr>SalesQty89_1</vt:lpstr>
      <vt:lpstr>SalesQty89_2</vt:lpstr>
      <vt:lpstr>SalesQty89_3</vt:lpstr>
      <vt:lpstr>SalesQty89_4</vt:lpstr>
      <vt:lpstr>SalesQty9_1</vt:lpstr>
      <vt:lpstr>SalesQty9_2</vt:lpstr>
      <vt:lpstr>SalesQty9_3</vt:lpstr>
      <vt:lpstr>SalesQty9_4</vt:lpstr>
      <vt:lpstr>SalesQty90_1</vt:lpstr>
      <vt:lpstr>SalesQty90_2</vt:lpstr>
      <vt:lpstr>SalesQty90_3</vt:lpstr>
      <vt:lpstr>SalesQty90_4</vt:lpstr>
      <vt:lpstr>SalesQty91_1</vt:lpstr>
      <vt:lpstr>SalesQty91_2</vt:lpstr>
      <vt:lpstr>SalesQty91_3</vt:lpstr>
      <vt:lpstr>SalesQty91_4</vt:lpstr>
      <vt:lpstr>SalesQty92_1</vt:lpstr>
      <vt:lpstr>SalesQty92_2</vt:lpstr>
      <vt:lpstr>SalesQty92_3</vt:lpstr>
      <vt:lpstr>SalesQty92_4</vt:lpstr>
      <vt:lpstr>SalesQty93_1</vt:lpstr>
      <vt:lpstr>SalesQty93_2</vt:lpstr>
      <vt:lpstr>SalesQty93_3</vt:lpstr>
      <vt:lpstr>SalesQty93_4</vt:lpstr>
      <vt:lpstr>SalesQty94_1</vt:lpstr>
      <vt:lpstr>SalesQty94_2</vt:lpstr>
      <vt:lpstr>SalesQty94_3</vt:lpstr>
      <vt:lpstr>SalesQty94_4</vt:lpstr>
      <vt:lpstr>SalesQty95_1</vt:lpstr>
      <vt:lpstr>SalesQty95_2</vt:lpstr>
      <vt:lpstr>SalesQty95_3</vt:lpstr>
      <vt:lpstr>SalesQty95_4</vt:lpstr>
      <vt:lpstr>SalesQty96_1</vt:lpstr>
      <vt:lpstr>SalesQty96_2</vt:lpstr>
      <vt:lpstr>SalesQty96_3</vt:lpstr>
      <vt:lpstr>SalesQty96_4</vt:lpstr>
      <vt:lpstr>SalesQty97_1</vt:lpstr>
      <vt:lpstr>SalesQty97_2</vt:lpstr>
      <vt:lpstr>SalesQty97_3</vt:lpstr>
      <vt:lpstr>SalesQty97_4</vt:lpstr>
      <vt:lpstr>SalesQty98_1</vt:lpstr>
      <vt:lpstr>SalesQty98_2</vt:lpstr>
      <vt:lpstr>SalesQty98_3</vt:lpstr>
      <vt:lpstr>SalesQty98_4</vt:lpstr>
      <vt:lpstr>SalesQty99_1</vt:lpstr>
      <vt:lpstr>SalesQty99_2</vt:lpstr>
      <vt:lpstr>SalesQty99_3</vt:lpstr>
      <vt:lpstr>SalesQty99_4</vt:lpstr>
      <vt:lpstr>SalesRequestType</vt:lpstr>
      <vt:lpstr>SalesRoundBox1_1</vt:lpstr>
      <vt:lpstr>SalesRoundBox1_2</vt:lpstr>
      <vt:lpstr>SalesRoundBox1_3</vt:lpstr>
      <vt:lpstr>SalesRoundBox1_4</vt:lpstr>
      <vt:lpstr>SalesRoundBox10_1</vt:lpstr>
      <vt:lpstr>SalesRoundBox10_2</vt:lpstr>
      <vt:lpstr>SalesRoundBox10_3</vt:lpstr>
      <vt:lpstr>SalesRoundBox10_4</vt:lpstr>
      <vt:lpstr>SalesRoundBox100_1</vt:lpstr>
      <vt:lpstr>SalesRoundBox100_2</vt:lpstr>
      <vt:lpstr>SalesRoundBox100_3</vt:lpstr>
      <vt:lpstr>SalesRoundBox100_4</vt:lpstr>
      <vt:lpstr>SalesRoundBox101_1</vt:lpstr>
      <vt:lpstr>SalesRoundBox101_2</vt:lpstr>
      <vt:lpstr>SalesRoundBox101_3</vt:lpstr>
      <vt:lpstr>SalesRoundBox101_4</vt:lpstr>
      <vt:lpstr>SalesRoundBox102_1</vt:lpstr>
      <vt:lpstr>SalesRoundBox102_2</vt:lpstr>
      <vt:lpstr>SalesRoundBox102_3</vt:lpstr>
      <vt:lpstr>SalesRoundBox102_4</vt:lpstr>
      <vt:lpstr>SalesRoundBox103_1</vt:lpstr>
      <vt:lpstr>SalesRoundBox103_2</vt:lpstr>
      <vt:lpstr>SalesRoundBox103_3</vt:lpstr>
      <vt:lpstr>SalesRoundBox103_4</vt:lpstr>
      <vt:lpstr>SalesRoundBox104_1</vt:lpstr>
      <vt:lpstr>SalesRoundBox104_2</vt:lpstr>
      <vt:lpstr>SalesRoundBox104_3</vt:lpstr>
      <vt:lpstr>SalesRoundBox104_4</vt:lpstr>
      <vt:lpstr>SalesRoundBox105_1</vt:lpstr>
      <vt:lpstr>SalesRoundBox105_2</vt:lpstr>
      <vt:lpstr>SalesRoundBox105_3</vt:lpstr>
      <vt:lpstr>SalesRoundBox105_4</vt:lpstr>
      <vt:lpstr>SalesRoundBox106_1</vt:lpstr>
      <vt:lpstr>SalesRoundBox106_2</vt:lpstr>
      <vt:lpstr>SalesRoundBox106_3</vt:lpstr>
      <vt:lpstr>SalesRoundBox106_4</vt:lpstr>
      <vt:lpstr>SalesRoundBox107_1</vt:lpstr>
      <vt:lpstr>SalesRoundBox107_2</vt:lpstr>
      <vt:lpstr>SalesRoundBox107_3</vt:lpstr>
      <vt:lpstr>SalesRoundBox107_4</vt:lpstr>
      <vt:lpstr>SalesRoundBox108_1</vt:lpstr>
      <vt:lpstr>SalesRoundBox108_2</vt:lpstr>
      <vt:lpstr>SalesRoundBox108_3</vt:lpstr>
      <vt:lpstr>SalesRoundBox108_4</vt:lpstr>
      <vt:lpstr>SalesRoundBox109_1</vt:lpstr>
      <vt:lpstr>SalesRoundBox109_2</vt:lpstr>
      <vt:lpstr>SalesRoundBox109_3</vt:lpstr>
      <vt:lpstr>SalesRoundBox109_4</vt:lpstr>
      <vt:lpstr>SalesRoundBox11_1</vt:lpstr>
      <vt:lpstr>SalesRoundBox11_2</vt:lpstr>
      <vt:lpstr>SalesRoundBox11_3</vt:lpstr>
      <vt:lpstr>SalesRoundBox11_4</vt:lpstr>
      <vt:lpstr>SalesRoundBox110_1</vt:lpstr>
      <vt:lpstr>SalesRoundBox110_2</vt:lpstr>
      <vt:lpstr>SalesRoundBox110_3</vt:lpstr>
      <vt:lpstr>SalesRoundBox110_4</vt:lpstr>
      <vt:lpstr>SalesRoundBox111_1</vt:lpstr>
      <vt:lpstr>SalesRoundBox111_2</vt:lpstr>
      <vt:lpstr>SalesRoundBox111_3</vt:lpstr>
      <vt:lpstr>SalesRoundBox111_4</vt:lpstr>
      <vt:lpstr>SalesRoundBox112_1</vt:lpstr>
      <vt:lpstr>SalesRoundBox112_2</vt:lpstr>
      <vt:lpstr>SalesRoundBox112_3</vt:lpstr>
      <vt:lpstr>SalesRoundBox112_4</vt:lpstr>
      <vt:lpstr>SalesRoundBox113_1</vt:lpstr>
      <vt:lpstr>SalesRoundBox113_2</vt:lpstr>
      <vt:lpstr>SalesRoundBox113_3</vt:lpstr>
      <vt:lpstr>SalesRoundBox113_4</vt:lpstr>
      <vt:lpstr>SalesRoundBox114_1</vt:lpstr>
      <vt:lpstr>SalesRoundBox114_2</vt:lpstr>
      <vt:lpstr>SalesRoundBox114_3</vt:lpstr>
      <vt:lpstr>SalesRoundBox114_4</vt:lpstr>
      <vt:lpstr>SalesRoundBox115_1</vt:lpstr>
      <vt:lpstr>SalesRoundBox115_2</vt:lpstr>
      <vt:lpstr>SalesRoundBox115_3</vt:lpstr>
      <vt:lpstr>SalesRoundBox115_4</vt:lpstr>
      <vt:lpstr>SalesRoundBox116_1</vt:lpstr>
      <vt:lpstr>SalesRoundBox116_2</vt:lpstr>
      <vt:lpstr>SalesRoundBox116_3</vt:lpstr>
      <vt:lpstr>SalesRoundBox116_4</vt:lpstr>
      <vt:lpstr>SalesRoundBox117_1</vt:lpstr>
      <vt:lpstr>SalesRoundBox117_2</vt:lpstr>
      <vt:lpstr>SalesRoundBox117_3</vt:lpstr>
      <vt:lpstr>SalesRoundBox117_4</vt:lpstr>
      <vt:lpstr>SalesRoundBox118_1</vt:lpstr>
      <vt:lpstr>SalesRoundBox118_2</vt:lpstr>
      <vt:lpstr>SalesRoundBox118_3</vt:lpstr>
      <vt:lpstr>SalesRoundBox118_4</vt:lpstr>
      <vt:lpstr>SalesRoundBox119_1</vt:lpstr>
      <vt:lpstr>SalesRoundBox119_2</vt:lpstr>
      <vt:lpstr>SalesRoundBox119_3</vt:lpstr>
      <vt:lpstr>SalesRoundBox119_4</vt:lpstr>
      <vt:lpstr>SalesRoundBox12_1</vt:lpstr>
      <vt:lpstr>SalesRoundBox12_2</vt:lpstr>
      <vt:lpstr>SalesRoundBox12_3</vt:lpstr>
      <vt:lpstr>SalesRoundBox12_4</vt:lpstr>
      <vt:lpstr>SalesRoundBox120_1</vt:lpstr>
      <vt:lpstr>SalesRoundBox120_2</vt:lpstr>
      <vt:lpstr>SalesRoundBox120_3</vt:lpstr>
      <vt:lpstr>SalesRoundBox120_4</vt:lpstr>
      <vt:lpstr>SalesRoundBox121_1</vt:lpstr>
      <vt:lpstr>SalesRoundBox121_2</vt:lpstr>
      <vt:lpstr>SalesRoundBox121_3</vt:lpstr>
      <vt:lpstr>SalesRoundBox121_4</vt:lpstr>
      <vt:lpstr>SalesRoundBox122_1</vt:lpstr>
      <vt:lpstr>SalesRoundBox122_2</vt:lpstr>
      <vt:lpstr>SalesRoundBox122_3</vt:lpstr>
      <vt:lpstr>SalesRoundBox122_4</vt:lpstr>
      <vt:lpstr>SalesRoundBox123_1</vt:lpstr>
      <vt:lpstr>SalesRoundBox123_2</vt:lpstr>
      <vt:lpstr>SalesRoundBox123_3</vt:lpstr>
      <vt:lpstr>SalesRoundBox123_4</vt:lpstr>
      <vt:lpstr>SalesRoundBox124_1</vt:lpstr>
      <vt:lpstr>SalesRoundBox124_2</vt:lpstr>
      <vt:lpstr>SalesRoundBox124_3</vt:lpstr>
      <vt:lpstr>SalesRoundBox124_4</vt:lpstr>
      <vt:lpstr>SalesRoundBox125_1</vt:lpstr>
      <vt:lpstr>SalesRoundBox125_2</vt:lpstr>
      <vt:lpstr>SalesRoundBox125_3</vt:lpstr>
      <vt:lpstr>SalesRoundBox125_4</vt:lpstr>
      <vt:lpstr>SalesRoundBox126_1</vt:lpstr>
      <vt:lpstr>SalesRoundBox126_2</vt:lpstr>
      <vt:lpstr>SalesRoundBox126_3</vt:lpstr>
      <vt:lpstr>SalesRoundBox126_4</vt:lpstr>
      <vt:lpstr>SalesRoundBox127_1</vt:lpstr>
      <vt:lpstr>SalesRoundBox127_2</vt:lpstr>
      <vt:lpstr>SalesRoundBox127_3</vt:lpstr>
      <vt:lpstr>SalesRoundBox127_4</vt:lpstr>
      <vt:lpstr>SalesRoundBox128_1</vt:lpstr>
      <vt:lpstr>SalesRoundBox128_2</vt:lpstr>
      <vt:lpstr>SalesRoundBox128_3</vt:lpstr>
      <vt:lpstr>SalesRoundBox128_4</vt:lpstr>
      <vt:lpstr>SalesRoundBox129_1</vt:lpstr>
      <vt:lpstr>SalesRoundBox129_2</vt:lpstr>
      <vt:lpstr>SalesRoundBox129_3</vt:lpstr>
      <vt:lpstr>SalesRoundBox129_4</vt:lpstr>
      <vt:lpstr>SalesRoundBox13_1</vt:lpstr>
      <vt:lpstr>SalesRoundBox13_2</vt:lpstr>
      <vt:lpstr>SalesRoundBox13_3</vt:lpstr>
      <vt:lpstr>SalesRoundBox13_4</vt:lpstr>
      <vt:lpstr>SalesRoundBox130_1</vt:lpstr>
      <vt:lpstr>SalesRoundBox130_2</vt:lpstr>
      <vt:lpstr>SalesRoundBox130_3</vt:lpstr>
      <vt:lpstr>SalesRoundBox130_4</vt:lpstr>
      <vt:lpstr>SalesRoundBox131_1</vt:lpstr>
      <vt:lpstr>SalesRoundBox131_2</vt:lpstr>
      <vt:lpstr>SalesRoundBox131_3</vt:lpstr>
      <vt:lpstr>SalesRoundBox131_4</vt:lpstr>
      <vt:lpstr>SalesRoundBox132_1</vt:lpstr>
      <vt:lpstr>SalesRoundBox132_2</vt:lpstr>
      <vt:lpstr>SalesRoundBox132_3</vt:lpstr>
      <vt:lpstr>SalesRoundBox132_4</vt:lpstr>
      <vt:lpstr>SalesRoundBox133_1</vt:lpstr>
      <vt:lpstr>SalesRoundBox133_2</vt:lpstr>
      <vt:lpstr>SalesRoundBox133_3</vt:lpstr>
      <vt:lpstr>SalesRoundBox133_4</vt:lpstr>
      <vt:lpstr>SalesRoundBox134_1</vt:lpstr>
      <vt:lpstr>SalesRoundBox134_2</vt:lpstr>
      <vt:lpstr>SalesRoundBox134_3</vt:lpstr>
      <vt:lpstr>SalesRoundBox134_4</vt:lpstr>
      <vt:lpstr>SalesRoundBox135_1</vt:lpstr>
      <vt:lpstr>SalesRoundBox135_2</vt:lpstr>
      <vt:lpstr>SalesRoundBox135_3</vt:lpstr>
      <vt:lpstr>SalesRoundBox135_4</vt:lpstr>
      <vt:lpstr>SalesRoundBox136_1</vt:lpstr>
      <vt:lpstr>SalesRoundBox136_2</vt:lpstr>
      <vt:lpstr>SalesRoundBox136_3</vt:lpstr>
      <vt:lpstr>SalesRoundBox136_4</vt:lpstr>
      <vt:lpstr>SalesRoundBox137_1</vt:lpstr>
      <vt:lpstr>SalesRoundBox137_2</vt:lpstr>
      <vt:lpstr>SalesRoundBox137_3</vt:lpstr>
      <vt:lpstr>SalesRoundBox137_4</vt:lpstr>
      <vt:lpstr>SalesRoundBox138_1</vt:lpstr>
      <vt:lpstr>SalesRoundBox138_2</vt:lpstr>
      <vt:lpstr>SalesRoundBox138_3</vt:lpstr>
      <vt:lpstr>SalesRoundBox138_4</vt:lpstr>
      <vt:lpstr>SalesRoundBox139_1</vt:lpstr>
      <vt:lpstr>SalesRoundBox139_2</vt:lpstr>
      <vt:lpstr>SalesRoundBox139_3</vt:lpstr>
      <vt:lpstr>SalesRoundBox139_4</vt:lpstr>
      <vt:lpstr>SalesRoundBox14_1</vt:lpstr>
      <vt:lpstr>SalesRoundBox14_2</vt:lpstr>
      <vt:lpstr>SalesRoundBox14_3</vt:lpstr>
      <vt:lpstr>SalesRoundBox14_4</vt:lpstr>
      <vt:lpstr>SalesRoundBox140_1</vt:lpstr>
      <vt:lpstr>SalesRoundBox140_2</vt:lpstr>
      <vt:lpstr>SalesRoundBox140_3</vt:lpstr>
      <vt:lpstr>SalesRoundBox140_4</vt:lpstr>
      <vt:lpstr>SalesRoundBox141_1</vt:lpstr>
      <vt:lpstr>SalesRoundBox141_2</vt:lpstr>
      <vt:lpstr>SalesRoundBox141_3</vt:lpstr>
      <vt:lpstr>SalesRoundBox141_4</vt:lpstr>
      <vt:lpstr>SalesRoundBox142_1</vt:lpstr>
      <vt:lpstr>SalesRoundBox142_2</vt:lpstr>
      <vt:lpstr>SalesRoundBox142_3</vt:lpstr>
      <vt:lpstr>SalesRoundBox142_4</vt:lpstr>
      <vt:lpstr>SalesRoundBox143_1</vt:lpstr>
      <vt:lpstr>SalesRoundBox143_2</vt:lpstr>
      <vt:lpstr>SalesRoundBox143_3</vt:lpstr>
      <vt:lpstr>SalesRoundBox143_4</vt:lpstr>
      <vt:lpstr>SalesRoundBox144_1</vt:lpstr>
      <vt:lpstr>SalesRoundBox144_2</vt:lpstr>
      <vt:lpstr>SalesRoundBox144_3</vt:lpstr>
      <vt:lpstr>SalesRoundBox144_4</vt:lpstr>
      <vt:lpstr>SalesRoundBox145_1</vt:lpstr>
      <vt:lpstr>SalesRoundBox145_2</vt:lpstr>
      <vt:lpstr>SalesRoundBox145_3</vt:lpstr>
      <vt:lpstr>SalesRoundBox145_4</vt:lpstr>
      <vt:lpstr>SalesRoundBox146_1</vt:lpstr>
      <vt:lpstr>SalesRoundBox146_2</vt:lpstr>
      <vt:lpstr>SalesRoundBox146_3</vt:lpstr>
      <vt:lpstr>SalesRoundBox146_4</vt:lpstr>
      <vt:lpstr>SalesRoundBox147_1</vt:lpstr>
      <vt:lpstr>SalesRoundBox147_2</vt:lpstr>
      <vt:lpstr>SalesRoundBox147_3</vt:lpstr>
      <vt:lpstr>SalesRoundBox147_4</vt:lpstr>
      <vt:lpstr>SalesRoundBox148_1</vt:lpstr>
      <vt:lpstr>SalesRoundBox148_2</vt:lpstr>
      <vt:lpstr>SalesRoundBox148_3</vt:lpstr>
      <vt:lpstr>SalesRoundBox148_4</vt:lpstr>
      <vt:lpstr>SalesRoundBox149_1</vt:lpstr>
      <vt:lpstr>SalesRoundBox149_2</vt:lpstr>
      <vt:lpstr>SalesRoundBox149_3</vt:lpstr>
      <vt:lpstr>SalesRoundBox149_4</vt:lpstr>
      <vt:lpstr>SalesRoundBox15_1</vt:lpstr>
      <vt:lpstr>SalesRoundBox15_2</vt:lpstr>
      <vt:lpstr>SalesRoundBox15_3</vt:lpstr>
      <vt:lpstr>SalesRoundBox15_4</vt:lpstr>
      <vt:lpstr>SalesRoundBox150_1</vt:lpstr>
      <vt:lpstr>SalesRoundBox150_2</vt:lpstr>
      <vt:lpstr>SalesRoundBox150_3</vt:lpstr>
      <vt:lpstr>SalesRoundBox150_4</vt:lpstr>
      <vt:lpstr>SalesRoundBox16_1</vt:lpstr>
      <vt:lpstr>SalesRoundBox16_2</vt:lpstr>
      <vt:lpstr>SalesRoundBox16_3</vt:lpstr>
      <vt:lpstr>SalesRoundBox16_4</vt:lpstr>
      <vt:lpstr>SalesRoundBox17_1</vt:lpstr>
      <vt:lpstr>SalesRoundBox17_2</vt:lpstr>
      <vt:lpstr>SalesRoundBox17_3</vt:lpstr>
      <vt:lpstr>SalesRoundBox17_4</vt:lpstr>
      <vt:lpstr>SalesRoundBox18_1</vt:lpstr>
      <vt:lpstr>SalesRoundBox18_2</vt:lpstr>
      <vt:lpstr>SalesRoundBox18_3</vt:lpstr>
      <vt:lpstr>SalesRoundBox18_4</vt:lpstr>
      <vt:lpstr>SalesRoundBox19_1</vt:lpstr>
      <vt:lpstr>SalesRoundBox19_2</vt:lpstr>
      <vt:lpstr>SalesRoundBox19_3</vt:lpstr>
      <vt:lpstr>SalesRoundBox19_4</vt:lpstr>
      <vt:lpstr>SalesRoundBox2_1</vt:lpstr>
      <vt:lpstr>SalesRoundBox2_2</vt:lpstr>
      <vt:lpstr>SalesRoundBox2_3</vt:lpstr>
      <vt:lpstr>SalesRoundBox2_4</vt:lpstr>
      <vt:lpstr>SalesRoundBox20_1</vt:lpstr>
      <vt:lpstr>SalesRoundBox20_2</vt:lpstr>
      <vt:lpstr>SalesRoundBox20_3</vt:lpstr>
      <vt:lpstr>SalesRoundBox20_4</vt:lpstr>
      <vt:lpstr>SalesRoundBox21_1</vt:lpstr>
      <vt:lpstr>SalesRoundBox21_2</vt:lpstr>
      <vt:lpstr>SalesRoundBox21_3</vt:lpstr>
      <vt:lpstr>SalesRoundBox21_4</vt:lpstr>
      <vt:lpstr>SalesRoundBox22_1</vt:lpstr>
      <vt:lpstr>SalesRoundBox22_2</vt:lpstr>
      <vt:lpstr>SalesRoundBox22_3</vt:lpstr>
      <vt:lpstr>SalesRoundBox22_4</vt:lpstr>
      <vt:lpstr>SalesRoundBox23_1</vt:lpstr>
      <vt:lpstr>SalesRoundBox23_2</vt:lpstr>
      <vt:lpstr>SalesRoundBox23_3</vt:lpstr>
      <vt:lpstr>SalesRoundBox23_4</vt:lpstr>
      <vt:lpstr>SalesRoundBox24_1</vt:lpstr>
      <vt:lpstr>SalesRoundBox24_2</vt:lpstr>
      <vt:lpstr>SalesRoundBox24_3</vt:lpstr>
      <vt:lpstr>SalesRoundBox24_4</vt:lpstr>
      <vt:lpstr>SalesRoundBox25_1</vt:lpstr>
      <vt:lpstr>SalesRoundBox25_2</vt:lpstr>
      <vt:lpstr>SalesRoundBox25_3</vt:lpstr>
      <vt:lpstr>SalesRoundBox25_4</vt:lpstr>
      <vt:lpstr>SalesRoundBox26_1</vt:lpstr>
      <vt:lpstr>SalesRoundBox26_2</vt:lpstr>
      <vt:lpstr>SalesRoundBox26_3</vt:lpstr>
      <vt:lpstr>SalesRoundBox26_4</vt:lpstr>
      <vt:lpstr>SalesRoundBox27_1</vt:lpstr>
      <vt:lpstr>SalesRoundBox27_2</vt:lpstr>
      <vt:lpstr>SalesRoundBox27_3</vt:lpstr>
      <vt:lpstr>SalesRoundBox27_4</vt:lpstr>
      <vt:lpstr>SalesRoundBox28_1</vt:lpstr>
      <vt:lpstr>SalesRoundBox28_2</vt:lpstr>
      <vt:lpstr>SalesRoundBox28_3</vt:lpstr>
      <vt:lpstr>SalesRoundBox28_4</vt:lpstr>
      <vt:lpstr>SalesRoundBox29_1</vt:lpstr>
      <vt:lpstr>SalesRoundBox29_2</vt:lpstr>
      <vt:lpstr>SalesRoundBox29_3</vt:lpstr>
      <vt:lpstr>SalesRoundBox29_4</vt:lpstr>
      <vt:lpstr>SalesRoundBox3_1</vt:lpstr>
      <vt:lpstr>SalesRoundBox3_2</vt:lpstr>
      <vt:lpstr>SalesRoundBox3_3</vt:lpstr>
      <vt:lpstr>SalesRoundBox3_4</vt:lpstr>
      <vt:lpstr>SalesRoundBox30_1</vt:lpstr>
      <vt:lpstr>SalesRoundBox30_2</vt:lpstr>
      <vt:lpstr>SalesRoundBox30_3</vt:lpstr>
      <vt:lpstr>SalesRoundBox30_4</vt:lpstr>
      <vt:lpstr>SalesRoundBox31_1</vt:lpstr>
      <vt:lpstr>SalesRoundBox31_2</vt:lpstr>
      <vt:lpstr>SalesRoundBox31_3</vt:lpstr>
      <vt:lpstr>SalesRoundBox31_4</vt:lpstr>
      <vt:lpstr>SalesRoundBox32_1</vt:lpstr>
      <vt:lpstr>SalesRoundBox32_2</vt:lpstr>
      <vt:lpstr>SalesRoundBox32_3</vt:lpstr>
      <vt:lpstr>SalesRoundBox32_4</vt:lpstr>
      <vt:lpstr>SalesRoundBox33_1</vt:lpstr>
      <vt:lpstr>SalesRoundBox33_2</vt:lpstr>
      <vt:lpstr>SalesRoundBox33_3</vt:lpstr>
      <vt:lpstr>SalesRoundBox33_4</vt:lpstr>
      <vt:lpstr>SalesRoundBox34_1</vt:lpstr>
      <vt:lpstr>SalesRoundBox34_2</vt:lpstr>
      <vt:lpstr>SalesRoundBox34_3</vt:lpstr>
      <vt:lpstr>SalesRoundBox34_4</vt:lpstr>
      <vt:lpstr>SalesRoundBox35_1</vt:lpstr>
      <vt:lpstr>SalesRoundBox35_2</vt:lpstr>
      <vt:lpstr>SalesRoundBox35_3</vt:lpstr>
      <vt:lpstr>SalesRoundBox35_4</vt:lpstr>
      <vt:lpstr>SalesRoundBox36_1</vt:lpstr>
      <vt:lpstr>SalesRoundBox36_2</vt:lpstr>
      <vt:lpstr>SalesRoundBox36_3</vt:lpstr>
      <vt:lpstr>SalesRoundBox36_4</vt:lpstr>
      <vt:lpstr>SalesRoundBox37_1</vt:lpstr>
      <vt:lpstr>SalesRoundBox37_2</vt:lpstr>
      <vt:lpstr>SalesRoundBox37_3</vt:lpstr>
      <vt:lpstr>SalesRoundBox37_4</vt:lpstr>
      <vt:lpstr>SalesRoundBox38_1</vt:lpstr>
      <vt:lpstr>SalesRoundBox38_2</vt:lpstr>
      <vt:lpstr>SalesRoundBox38_3</vt:lpstr>
      <vt:lpstr>SalesRoundBox38_4</vt:lpstr>
      <vt:lpstr>SalesRoundBox39_1</vt:lpstr>
      <vt:lpstr>SalesRoundBox39_2</vt:lpstr>
      <vt:lpstr>SalesRoundBox39_3</vt:lpstr>
      <vt:lpstr>SalesRoundBox39_4</vt:lpstr>
      <vt:lpstr>SalesRoundBox4_1</vt:lpstr>
      <vt:lpstr>SalesRoundBox4_2</vt:lpstr>
      <vt:lpstr>SalesRoundBox4_3</vt:lpstr>
      <vt:lpstr>SalesRoundBox4_4</vt:lpstr>
      <vt:lpstr>SalesRoundBox40_1</vt:lpstr>
      <vt:lpstr>SalesRoundBox40_2</vt:lpstr>
      <vt:lpstr>SalesRoundBox40_3</vt:lpstr>
      <vt:lpstr>SalesRoundBox40_4</vt:lpstr>
      <vt:lpstr>SalesRoundBox41_1</vt:lpstr>
      <vt:lpstr>SalesRoundBox41_2</vt:lpstr>
      <vt:lpstr>SalesRoundBox41_3</vt:lpstr>
      <vt:lpstr>SalesRoundBox41_4</vt:lpstr>
      <vt:lpstr>SalesRoundBox42_1</vt:lpstr>
      <vt:lpstr>SalesRoundBox42_2</vt:lpstr>
      <vt:lpstr>SalesRoundBox42_3</vt:lpstr>
      <vt:lpstr>SalesRoundBox42_4</vt:lpstr>
      <vt:lpstr>SalesRoundBox43_1</vt:lpstr>
      <vt:lpstr>SalesRoundBox43_2</vt:lpstr>
      <vt:lpstr>SalesRoundBox43_3</vt:lpstr>
      <vt:lpstr>SalesRoundBox43_4</vt:lpstr>
      <vt:lpstr>SalesRoundBox44_1</vt:lpstr>
      <vt:lpstr>SalesRoundBox44_2</vt:lpstr>
      <vt:lpstr>SalesRoundBox44_3</vt:lpstr>
      <vt:lpstr>SalesRoundBox44_4</vt:lpstr>
      <vt:lpstr>SalesRoundBox45_1</vt:lpstr>
      <vt:lpstr>SalesRoundBox45_2</vt:lpstr>
      <vt:lpstr>SalesRoundBox45_3</vt:lpstr>
      <vt:lpstr>SalesRoundBox45_4</vt:lpstr>
      <vt:lpstr>SalesRoundBox46_1</vt:lpstr>
      <vt:lpstr>SalesRoundBox46_2</vt:lpstr>
      <vt:lpstr>SalesRoundBox46_3</vt:lpstr>
      <vt:lpstr>SalesRoundBox46_4</vt:lpstr>
      <vt:lpstr>SalesRoundBox47_1</vt:lpstr>
      <vt:lpstr>SalesRoundBox47_2</vt:lpstr>
      <vt:lpstr>SalesRoundBox47_3</vt:lpstr>
      <vt:lpstr>SalesRoundBox47_4</vt:lpstr>
      <vt:lpstr>SalesRoundBox48_1</vt:lpstr>
      <vt:lpstr>SalesRoundBox48_2</vt:lpstr>
      <vt:lpstr>SalesRoundBox48_3</vt:lpstr>
      <vt:lpstr>SalesRoundBox48_4</vt:lpstr>
      <vt:lpstr>SalesRoundBox49_1</vt:lpstr>
      <vt:lpstr>SalesRoundBox49_2</vt:lpstr>
      <vt:lpstr>SalesRoundBox49_3</vt:lpstr>
      <vt:lpstr>SalesRoundBox49_4</vt:lpstr>
      <vt:lpstr>SalesRoundBox5_1</vt:lpstr>
      <vt:lpstr>SalesRoundBox5_2</vt:lpstr>
      <vt:lpstr>SalesRoundBox5_3</vt:lpstr>
      <vt:lpstr>SalesRoundBox5_4</vt:lpstr>
      <vt:lpstr>SalesRoundBox50_1</vt:lpstr>
      <vt:lpstr>SalesRoundBox50_2</vt:lpstr>
      <vt:lpstr>SalesRoundBox50_3</vt:lpstr>
      <vt:lpstr>SalesRoundBox50_4</vt:lpstr>
      <vt:lpstr>SalesRoundBox51_1</vt:lpstr>
      <vt:lpstr>SalesRoundBox51_2</vt:lpstr>
      <vt:lpstr>SalesRoundBox51_3</vt:lpstr>
      <vt:lpstr>SalesRoundBox51_4</vt:lpstr>
      <vt:lpstr>SalesRoundBox52_1</vt:lpstr>
      <vt:lpstr>SalesRoundBox52_2</vt:lpstr>
      <vt:lpstr>SalesRoundBox52_3</vt:lpstr>
      <vt:lpstr>SalesRoundBox52_4</vt:lpstr>
      <vt:lpstr>SalesRoundBox53_1</vt:lpstr>
      <vt:lpstr>SalesRoundBox53_2</vt:lpstr>
      <vt:lpstr>SalesRoundBox53_3</vt:lpstr>
      <vt:lpstr>SalesRoundBox53_4</vt:lpstr>
      <vt:lpstr>SalesRoundBox54_1</vt:lpstr>
      <vt:lpstr>SalesRoundBox54_2</vt:lpstr>
      <vt:lpstr>SalesRoundBox54_3</vt:lpstr>
      <vt:lpstr>SalesRoundBox54_4</vt:lpstr>
      <vt:lpstr>SalesRoundBox55_1</vt:lpstr>
      <vt:lpstr>SalesRoundBox55_2</vt:lpstr>
      <vt:lpstr>SalesRoundBox55_3</vt:lpstr>
      <vt:lpstr>SalesRoundBox55_4</vt:lpstr>
      <vt:lpstr>SalesRoundBox56_1</vt:lpstr>
      <vt:lpstr>SalesRoundBox56_2</vt:lpstr>
      <vt:lpstr>SalesRoundBox56_3</vt:lpstr>
      <vt:lpstr>SalesRoundBox56_4</vt:lpstr>
      <vt:lpstr>SalesRoundBox57_1</vt:lpstr>
      <vt:lpstr>SalesRoundBox57_2</vt:lpstr>
      <vt:lpstr>SalesRoundBox57_3</vt:lpstr>
      <vt:lpstr>SalesRoundBox57_4</vt:lpstr>
      <vt:lpstr>SalesRoundBox58_1</vt:lpstr>
      <vt:lpstr>SalesRoundBox58_2</vt:lpstr>
      <vt:lpstr>SalesRoundBox58_3</vt:lpstr>
      <vt:lpstr>SalesRoundBox58_4</vt:lpstr>
      <vt:lpstr>SalesRoundBox59_1</vt:lpstr>
      <vt:lpstr>SalesRoundBox59_2</vt:lpstr>
      <vt:lpstr>SalesRoundBox59_3</vt:lpstr>
      <vt:lpstr>SalesRoundBox59_4</vt:lpstr>
      <vt:lpstr>SalesRoundBox6_1</vt:lpstr>
      <vt:lpstr>SalesRoundBox6_2</vt:lpstr>
      <vt:lpstr>SalesRoundBox6_3</vt:lpstr>
      <vt:lpstr>SalesRoundBox6_4</vt:lpstr>
      <vt:lpstr>SalesRoundBox60_1</vt:lpstr>
      <vt:lpstr>SalesRoundBox60_2</vt:lpstr>
      <vt:lpstr>SalesRoundBox60_3</vt:lpstr>
      <vt:lpstr>SalesRoundBox60_4</vt:lpstr>
      <vt:lpstr>SalesRoundBox61_1</vt:lpstr>
      <vt:lpstr>SalesRoundBox61_2</vt:lpstr>
      <vt:lpstr>SalesRoundBox61_3</vt:lpstr>
      <vt:lpstr>SalesRoundBox61_4</vt:lpstr>
      <vt:lpstr>SalesRoundBox62_1</vt:lpstr>
      <vt:lpstr>SalesRoundBox62_2</vt:lpstr>
      <vt:lpstr>SalesRoundBox62_3</vt:lpstr>
      <vt:lpstr>SalesRoundBox62_4</vt:lpstr>
      <vt:lpstr>SalesRoundBox63_1</vt:lpstr>
      <vt:lpstr>SalesRoundBox63_2</vt:lpstr>
      <vt:lpstr>SalesRoundBox63_3</vt:lpstr>
      <vt:lpstr>SalesRoundBox63_4</vt:lpstr>
      <vt:lpstr>SalesRoundBox64_1</vt:lpstr>
      <vt:lpstr>SalesRoundBox64_2</vt:lpstr>
      <vt:lpstr>SalesRoundBox64_3</vt:lpstr>
      <vt:lpstr>SalesRoundBox64_4</vt:lpstr>
      <vt:lpstr>SalesRoundBox65_1</vt:lpstr>
      <vt:lpstr>SalesRoundBox65_2</vt:lpstr>
      <vt:lpstr>SalesRoundBox65_3</vt:lpstr>
      <vt:lpstr>SalesRoundBox65_4</vt:lpstr>
      <vt:lpstr>SalesRoundBox66_1</vt:lpstr>
      <vt:lpstr>SalesRoundBox66_2</vt:lpstr>
      <vt:lpstr>SalesRoundBox66_3</vt:lpstr>
      <vt:lpstr>SalesRoundBox66_4</vt:lpstr>
      <vt:lpstr>SalesRoundBox67_1</vt:lpstr>
      <vt:lpstr>SalesRoundBox67_2</vt:lpstr>
      <vt:lpstr>SalesRoundBox67_3</vt:lpstr>
      <vt:lpstr>SalesRoundBox67_4</vt:lpstr>
      <vt:lpstr>SalesRoundBox68_1</vt:lpstr>
      <vt:lpstr>SalesRoundBox68_2</vt:lpstr>
      <vt:lpstr>SalesRoundBox68_3</vt:lpstr>
      <vt:lpstr>SalesRoundBox68_4</vt:lpstr>
      <vt:lpstr>SalesRoundBox69_1</vt:lpstr>
      <vt:lpstr>SalesRoundBox69_2</vt:lpstr>
      <vt:lpstr>SalesRoundBox69_3</vt:lpstr>
      <vt:lpstr>SalesRoundBox69_4</vt:lpstr>
      <vt:lpstr>SalesRoundBox7_1</vt:lpstr>
      <vt:lpstr>SalesRoundBox7_2</vt:lpstr>
      <vt:lpstr>SalesRoundBox7_3</vt:lpstr>
      <vt:lpstr>SalesRoundBox7_4</vt:lpstr>
      <vt:lpstr>SalesRoundBox70_1</vt:lpstr>
      <vt:lpstr>SalesRoundBox70_2</vt:lpstr>
      <vt:lpstr>SalesRoundBox70_3</vt:lpstr>
      <vt:lpstr>SalesRoundBox70_4</vt:lpstr>
      <vt:lpstr>SalesRoundBox71_1</vt:lpstr>
      <vt:lpstr>SalesRoundBox71_2</vt:lpstr>
      <vt:lpstr>SalesRoundBox71_3</vt:lpstr>
      <vt:lpstr>SalesRoundBox71_4</vt:lpstr>
      <vt:lpstr>SalesRoundBox72_1</vt:lpstr>
      <vt:lpstr>SalesRoundBox72_2</vt:lpstr>
      <vt:lpstr>SalesRoundBox72_3</vt:lpstr>
      <vt:lpstr>SalesRoundBox72_4</vt:lpstr>
      <vt:lpstr>SalesRoundBox73_1</vt:lpstr>
      <vt:lpstr>SalesRoundBox73_2</vt:lpstr>
      <vt:lpstr>SalesRoundBox73_3</vt:lpstr>
      <vt:lpstr>SalesRoundBox73_4</vt:lpstr>
      <vt:lpstr>SalesRoundBox74_1</vt:lpstr>
      <vt:lpstr>SalesRoundBox74_2</vt:lpstr>
      <vt:lpstr>SalesRoundBox74_3</vt:lpstr>
      <vt:lpstr>SalesRoundBox74_4</vt:lpstr>
      <vt:lpstr>SalesRoundBox75_1</vt:lpstr>
      <vt:lpstr>SalesRoundBox75_2</vt:lpstr>
      <vt:lpstr>SalesRoundBox75_3</vt:lpstr>
      <vt:lpstr>SalesRoundBox75_4</vt:lpstr>
      <vt:lpstr>SalesRoundBox76_1</vt:lpstr>
      <vt:lpstr>SalesRoundBox76_2</vt:lpstr>
      <vt:lpstr>SalesRoundBox76_3</vt:lpstr>
      <vt:lpstr>SalesRoundBox76_4</vt:lpstr>
      <vt:lpstr>SalesRoundBox77_1</vt:lpstr>
      <vt:lpstr>SalesRoundBox77_2</vt:lpstr>
      <vt:lpstr>SalesRoundBox77_3</vt:lpstr>
      <vt:lpstr>SalesRoundBox77_4</vt:lpstr>
      <vt:lpstr>SalesRoundBox78_1</vt:lpstr>
      <vt:lpstr>SalesRoundBox78_2</vt:lpstr>
      <vt:lpstr>SalesRoundBox78_3</vt:lpstr>
      <vt:lpstr>SalesRoundBox78_4</vt:lpstr>
      <vt:lpstr>SalesRoundBox79_1</vt:lpstr>
      <vt:lpstr>SalesRoundBox79_2</vt:lpstr>
      <vt:lpstr>SalesRoundBox79_3</vt:lpstr>
      <vt:lpstr>SalesRoundBox79_4</vt:lpstr>
      <vt:lpstr>SalesRoundBox8_1</vt:lpstr>
      <vt:lpstr>SalesRoundBox8_2</vt:lpstr>
      <vt:lpstr>SalesRoundBox8_3</vt:lpstr>
      <vt:lpstr>SalesRoundBox8_4</vt:lpstr>
      <vt:lpstr>SalesRoundBox80_1</vt:lpstr>
      <vt:lpstr>SalesRoundBox80_2</vt:lpstr>
      <vt:lpstr>SalesRoundBox80_3</vt:lpstr>
      <vt:lpstr>SalesRoundBox80_4</vt:lpstr>
      <vt:lpstr>SalesRoundBox81_1</vt:lpstr>
      <vt:lpstr>SalesRoundBox81_2</vt:lpstr>
      <vt:lpstr>SalesRoundBox81_3</vt:lpstr>
      <vt:lpstr>SalesRoundBox81_4</vt:lpstr>
      <vt:lpstr>SalesRoundBox82_1</vt:lpstr>
      <vt:lpstr>SalesRoundBox82_2</vt:lpstr>
      <vt:lpstr>SalesRoundBox82_3</vt:lpstr>
      <vt:lpstr>SalesRoundBox82_4</vt:lpstr>
      <vt:lpstr>SalesRoundBox83_1</vt:lpstr>
      <vt:lpstr>SalesRoundBox83_2</vt:lpstr>
      <vt:lpstr>SalesRoundBox83_3</vt:lpstr>
      <vt:lpstr>SalesRoundBox83_4</vt:lpstr>
      <vt:lpstr>SalesRoundBox84_1</vt:lpstr>
      <vt:lpstr>SalesRoundBox84_2</vt:lpstr>
      <vt:lpstr>SalesRoundBox84_3</vt:lpstr>
      <vt:lpstr>SalesRoundBox84_4</vt:lpstr>
      <vt:lpstr>SalesRoundBox85_1</vt:lpstr>
      <vt:lpstr>SalesRoundBox85_2</vt:lpstr>
      <vt:lpstr>SalesRoundBox85_3</vt:lpstr>
      <vt:lpstr>SalesRoundBox85_4</vt:lpstr>
      <vt:lpstr>SalesRoundBox86_1</vt:lpstr>
      <vt:lpstr>SalesRoundBox86_2</vt:lpstr>
      <vt:lpstr>SalesRoundBox86_3</vt:lpstr>
      <vt:lpstr>SalesRoundBox86_4</vt:lpstr>
      <vt:lpstr>SalesRoundBox87_1</vt:lpstr>
      <vt:lpstr>SalesRoundBox87_2</vt:lpstr>
      <vt:lpstr>SalesRoundBox87_3</vt:lpstr>
      <vt:lpstr>SalesRoundBox87_4</vt:lpstr>
      <vt:lpstr>SalesRoundBox88_1</vt:lpstr>
      <vt:lpstr>SalesRoundBox88_2</vt:lpstr>
      <vt:lpstr>SalesRoundBox88_3</vt:lpstr>
      <vt:lpstr>SalesRoundBox88_4</vt:lpstr>
      <vt:lpstr>SalesRoundBox89_1</vt:lpstr>
      <vt:lpstr>SalesRoundBox89_2</vt:lpstr>
      <vt:lpstr>SalesRoundBox89_3</vt:lpstr>
      <vt:lpstr>SalesRoundBox89_4</vt:lpstr>
      <vt:lpstr>SalesRoundBox9_1</vt:lpstr>
      <vt:lpstr>SalesRoundBox9_2</vt:lpstr>
      <vt:lpstr>SalesRoundBox9_3</vt:lpstr>
      <vt:lpstr>SalesRoundBox9_4</vt:lpstr>
      <vt:lpstr>SalesRoundBox90_1</vt:lpstr>
      <vt:lpstr>SalesRoundBox90_2</vt:lpstr>
      <vt:lpstr>SalesRoundBox90_3</vt:lpstr>
      <vt:lpstr>SalesRoundBox90_4</vt:lpstr>
      <vt:lpstr>SalesRoundBox91_1</vt:lpstr>
      <vt:lpstr>SalesRoundBox91_2</vt:lpstr>
      <vt:lpstr>SalesRoundBox91_3</vt:lpstr>
      <vt:lpstr>SalesRoundBox91_4</vt:lpstr>
      <vt:lpstr>SalesRoundBox92_1</vt:lpstr>
      <vt:lpstr>SalesRoundBox92_2</vt:lpstr>
      <vt:lpstr>SalesRoundBox92_3</vt:lpstr>
      <vt:lpstr>SalesRoundBox92_4</vt:lpstr>
      <vt:lpstr>SalesRoundBox93_1</vt:lpstr>
      <vt:lpstr>SalesRoundBox93_2</vt:lpstr>
      <vt:lpstr>SalesRoundBox93_3</vt:lpstr>
      <vt:lpstr>SalesRoundBox93_4</vt:lpstr>
      <vt:lpstr>SalesRoundBox94_1</vt:lpstr>
      <vt:lpstr>SalesRoundBox94_2</vt:lpstr>
      <vt:lpstr>SalesRoundBox94_3</vt:lpstr>
      <vt:lpstr>SalesRoundBox94_4</vt:lpstr>
      <vt:lpstr>SalesRoundBox95_1</vt:lpstr>
      <vt:lpstr>SalesRoundBox95_2</vt:lpstr>
      <vt:lpstr>SalesRoundBox95_3</vt:lpstr>
      <vt:lpstr>SalesRoundBox95_4</vt:lpstr>
      <vt:lpstr>SalesRoundBox96_1</vt:lpstr>
      <vt:lpstr>SalesRoundBox96_2</vt:lpstr>
      <vt:lpstr>SalesRoundBox96_3</vt:lpstr>
      <vt:lpstr>SalesRoundBox96_4</vt:lpstr>
      <vt:lpstr>SalesRoundBox97_1</vt:lpstr>
      <vt:lpstr>SalesRoundBox97_2</vt:lpstr>
      <vt:lpstr>SalesRoundBox97_3</vt:lpstr>
      <vt:lpstr>SalesRoundBox97_4</vt:lpstr>
      <vt:lpstr>SalesRoundBox98_1</vt:lpstr>
      <vt:lpstr>SalesRoundBox98_2</vt:lpstr>
      <vt:lpstr>SalesRoundBox98_3</vt:lpstr>
      <vt:lpstr>SalesRoundBox98_4</vt:lpstr>
      <vt:lpstr>SalesRoundBox99_1</vt:lpstr>
      <vt:lpstr>SalesRoundBox99_2</vt:lpstr>
      <vt:lpstr>SalesRoundBox99_3</vt:lpstr>
      <vt:lpstr>SalesRoundBox99_4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2021-11-12T12:13:47Z</dcterms:created>
  <dcterms:modified xsi:type="dcterms:W3CDTF">2025-04-11T13:10:41Z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