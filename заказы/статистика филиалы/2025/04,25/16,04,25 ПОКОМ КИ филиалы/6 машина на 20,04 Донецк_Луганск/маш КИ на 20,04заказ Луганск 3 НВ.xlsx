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4D99F4E4-D9EA-4C1B-8E34-0B34CE8BAF8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O511" i="1"/>
  <c r="BM511" i="1"/>
  <c r="Y511" i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Y447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BO434" i="1"/>
  <c r="BM434" i="1"/>
  <c r="Y434" i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3" i="1" s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3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BP320" i="1" s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1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Y282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7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4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1" i="1" s="1"/>
  <c r="P230" i="1"/>
  <c r="X227" i="1"/>
  <c r="X226" i="1"/>
  <c r="BO225" i="1"/>
  <c r="BM225" i="1"/>
  <c r="Y225" i="1"/>
  <c r="BP225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10" i="1" s="1"/>
  <c r="P201" i="1"/>
  <c r="X199" i="1"/>
  <c r="X198" i="1"/>
  <c r="BO197" i="1"/>
  <c r="BM197" i="1"/>
  <c r="Y197" i="1"/>
  <c r="BP197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1" i="1" s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Z160" i="1" s="1"/>
  <c r="P160" i="1"/>
  <c r="BP159" i="1"/>
  <c r="BO159" i="1"/>
  <c r="BN159" i="1"/>
  <c r="BM159" i="1"/>
  <c r="Z159" i="1"/>
  <c r="Y159" i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1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Y128" i="1" s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102" i="1" s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1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3" i="1" s="1"/>
  <c r="BM22" i="1"/>
  <c r="X592" i="1" s="1"/>
  <c r="X594" i="1" s="1"/>
  <c r="Y22" i="1"/>
  <c r="B601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6" i="1"/>
  <c r="BN26" i="1"/>
  <c r="X595" i="1"/>
  <c r="Y29" i="1"/>
  <c r="C601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1" i="1"/>
  <c r="Z88" i="1"/>
  <c r="Z90" i="1" s="1"/>
  <c r="BN88" i="1"/>
  <c r="BP88" i="1"/>
  <c r="Y91" i="1"/>
  <c r="Z93" i="1"/>
  <c r="Z102" i="1" s="1"/>
  <c r="BN93" i="1"/>
  <c r="BP93" i="1"/>
  <c r="Z95" i="1"/>
  <c r="BN95" i="1"/>
  <c r="Z96" i="1"/>
  <c r="BN96" i="1"/>
  <c r="Z97" i="1"/>
  <c r="BN97" i="1"/>
  <c r="Z98" i="1"/>
  <c r="BN98" i="1"/>
  <c r="Z100" i="1"/>
  <c r="BN100" i="1"/>
  <c r="Y103" i="1"/>
  <c r="F601" i="1"/>
  <c r="Z107" i="1"/>
  <c r="Z110" i="1" s="1"/>
  <c r="BN107" i="1"/>
  <c r="BP107" i="1"/>
  <c r="Z109" i="1"/>
  <c r="BN109" i="1"/>
  <c r="Y110" i="1"/>
  <c r="Z113" i="1"/>
  <c r="BN113" i="1"/>
  <c r="BP113" i="1"/>
  <c r="Z115" i="1"/>
  <c r="BN115" i="1"/>
  <c r="Y116" i="1"/>
  <c r="Z120" i="1"/>
  <c r="Z128" i="1" s="1"/>
  <c r="BN120" i="1"/>
  <c r="Z123" i="1"/>
  <c r="BN123" i="1"/>
  <c r="Z124" i="1"/>
  <c r="BN124" i="1"/>
  <c r="Z126" i="1"/>
  <c r="BN126" i="1"/>
  <c r="Y129" i="1"/>
  <c r="Z132" i="1"/>
  <c r="Z133" i="1" s="1"/>
  <c r="BN132" i="1"/>
  <c r="BP132" i="1"/>
  <c r="Z137" i="1"/>
  <c r="Z139" i="1" s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1" i="1"/>
  <c r="Y155" i="1"/>
  <c r="Y161" i="1"/>
  <c r="Z158" i="1"/>
  <c r="Z161" i="1" s="1"/>
  <c r="BN158" i="1"/>
  <c r="Y162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H9" i="1"/>
  <c r="Y28" i="1"/>
  <c r="Y55" i="1"/>
  <c r="Y139" i="1"/>
  <c r="BP160" i="1"/>
  <c r="BN160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Y193" i="1"/>
  <c r="Y199" i="1"/>
  <c r="Y209" i="1"/>
  <c r="Y221" i="1"/>
  <c r="Y227" i="1"/>
  <c r="Y238" i="1"/>
  <c r="Y243" i="1"/>
  <c r="Y248" i="1"/>
  <c r="Y262" i="1"/>
  <c r="Y267" i="1"/>
  <c r="Y274" i="1"/>
  <c r="Y283" i="1"/>
  <c r="Y288" i="1"/>
  <c r="Y292" i="1"/>
  <c r="Y296" i="1"/>
  <c r="Y301" i="1"/>
  <c r="Y306" i="1"/>
  <c r="Y310" i="1"/>
  <c r="Y326" i="1"/>
  <c r="Y332" i="1"/>
  <c r="Y340" i="1"/>
  <c r="Y346" i="1"/>
  <c r="Y354" i="1"/>
  <c r="Y360" i="1"/>
  <c r="V601" i="1"/>
  <c r="Y365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Y396" i="1"/>
  <c r="BP404" i="1"/>
  <c r="BN404" i="1"/>
  <c r="Z404" i="1"/>
  <c r="Z408" i="1" s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5" i="1"/>
  <c r="BN435" i="1"/>
  <c r="Z435" i="1"/>
  <c r="BP440" i="1"/>
  <c r="BN440" i="1"/>
  <c r="Z440" i="1"/>
  <c r="Y460" i="1"/>
  <c r="BP456" i="1"/>
  <c r="BN456" i="1"/>
  <c r="Z456" i="1"/>
  <c r="BP465" i="1"/>
  <c r="BN465" i="1"/>
  <c r="Z465" i="1"/>
  <c r="Y467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BP500" i="1"/>
  <c r="BN500" i="1"/>
  <c r="Z500" i="1"/>
  <c r="BP512" i="1"/>
  <c r="BN512" i="1"/>
  <c r="Z512" i="1"/>
  <c r="Y518" i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P601" i="1"/>
  <c r="X601" i="1"/>
  <c r="Z191" i="1"/>
  <c r="Z193" i="1" s="1"/>
  <c r="BN191" i="1"/>
  <c r="BP191" i="1"/>
  <c r="Y194" i="1"/>
  <c r="Z197" i="1"/>
  <c r="Z198" i="1" s="1"/>
  <c r="BN197" i="1"/>
  <c r="Z201" i="1"/>
  <c r="Z209" i="1" s="1"/>
  <c r="BN201" i="1"/>
  <c r="BP201" i="1"/>
  <c r="Z203" i="1"/>
  <c r="BN203" i="1"/>
  <c r="Z205" i="1"/>
  <c r="BN205" i="1"/>
  <c r="Z207" i="1"/>
  <c r="BN207" i="1"/>
  <c r="Z213" i="1"/>
  <c r="Z221" i="1" s="1"/>
  <c r="BN213" i="1"/>
  <c r="Z215" i="1"/>
  <c r="BN215" i="1"/>
  <c r="Z217" i="1"/>
  <c r="BN217" i="1"/>
  <c r="Z219" i="1"/>
  <c r="BN219" i="1"/>
  <c r="Z225" i="1"/>
  <c r="Z226" i="1" s="1"/>
  <c r="BN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Z246" i="1"/>
  <c r="Z247" i="1" s="1"/>
  <c r="BN246" i="1"/>
  <c r="BP246" i="1"/>
  <c r="L601" i="1"/>
  <c r="Z256" i="1"/>
  <c r="Z261" i="1" s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Y316" i="1"/>
  <c r="U601" i="1"/>
  <c r="Z320" i="1"/>
  <c r="Z325" i="1" s="1"/>
  <c r="BN320" i="1"/>
  <c r="Z322" i="1"/>
  <c r="BN322" i="1"/>
  <c r="Z324" i="1"/>
  <c r="BN324" i="1"/>
  <c r="Y325" i="1"/>
  <c r="Z328" i="1"/>
  <c r="Z332" i="1" s="1"/>
  <c r="BN328" i="1"/>
  <c r="BP328" i="1"/>
  <c r="Z330" i="1"/>
  <c r="BN330" i="1"/>
  <c r="Z336" i="1"/>
  <c r="Z340" i="1" s="1"/>
  <c r="BN336" i="1"/>
  <c r="Z338" i="1"/>
  <c r="BN338" i="1"/>
  <c r="Z344" i="1"/>
  <c r="Z346" i="1" s="1"/>
  <c r="BN344" i="1"/>
  <c r="Z349" i="1"/>
  <c r="BN349" i="1"/>
  <c r="BP349" i="1"/>
  <c r="Z350" i="1"/>
  <c r="BN350" i="1"/>
  <c r="Z352" i="1"/>
  <c r="BN352" i="1"/>
  <c r="Z356" i="1"/>
  <c r="Z359" i="1" s="1"/>
  <c r="BN356" i="1"/>
  <c r="BP356" i="1"/>
  <c r="Z358" i="1"/>
  <c r="BN358" i="1"/>
  <c r="Z363" i="1"/>
  <c r="Z364" i="1" s="1"/>
  <c r="BN363" i="1"/>
  <c r="BP363" i="1"/>
  <c r="Y364" i="1"/>
  <c r="BP368" i="1"/>
  <c r="BN368" i="1"/>
  <c r="Z368" i="1"/>
  <c r="Z370" i="1" s="1"/>
  <c r="BP378" i="1"/>
  <c r="BN378" i="1"/>
  <c r="Z378" i="1"/>
  <c r="Z385" i="1" s="1"/>
  <c r="BP382" i="1"/>
  <c r="BN382" i="1"/>
  <c r="Z382" i="1"/>
  <c r="Y390" i="1"/>
  <c r="Y395" i="1"/>
  <c r="BP393" i="1"/>
  <c r="BN393" i="1"/>
  <c r="Z393" i="1"/>
  <c r="Z395" i="1" s="1"/>
  <c r="Y409" i="1"/>
  <c r="BP406" i="1"/>
  <c r="BN406" i="1"/>
  <c r="Z406" i="1"/>
  <c r="Y413" i="1"/>
  <c r="BP417" i="1"/>
  <c r="BN417" i="1"/>
  <c r="Z417" i="1"/>
  <c r="Y421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Z442" i="1" s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BP459" i="1"/>
  <c r="BN459" i="1"/>
  <c r="Z459" i="1"/>
  <c r="Y461" i="1"/>
  <c r="AA601" i="1"/>
  <c r="Y466" i="1"/>
  <c r="BP464" i="1"/>
  <c r="BN464" i="1"/>
  <c r="Z464" i="1"/>
  <c r="Z466" i="1" s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Y503" i="1"/>
  <c r="BP511" i="1"/>
  <c r="BN511" i="1"/>
  <c r="Z511" i="1"/>
  <c r="Z517" i="1" s="1"/>
  <c r="BP515" i="1"/>
  <c r="BN515" i="1"/>
  <c r="Z515" i="1"/>
  <c r="AB601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Z523" i="1" l="1"/>
  <c r="Z460" i="1"/>
  <c r="Z183" i="1"/>
  <c r="Y592" i="1"/>
  <c r="Z353" i="1"/>
  <c r="Z282" i="1"/>
  <c r="Z273" i="1"/>
  <c r="Z238" i="1"/>
  <c r="Z565" i="1"/>
  <c r="Z547" i="1"/>
  <c r="Z502" i="1"/>
  <c r="Z495" i="1"/>
  <c r="Z421" i="1"/>
  <c r="Y595" i="1"/>
  <c r="Z116" i="1"/>
  <c r="Z55" i="1"/>
  <c r="Y591" i="1"/>
  <c r="Y593" i="1"/>
  <c r="Z28" i="1"/>
  <c r="Y594" i="1" l="1"/>
  <c r="Z596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<sst xmlns="http://schemas.openxmlformats.org/spreadsheetml/2006/main" count="2720" uniqueCount="975">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</sst>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3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500</v>
      </c>
      <c r="Y37" s="664">
        <f>IFERROR(IF(X37="",0,CEILING((X37/$H37),1)*$H37),"")</f>
        <v>507.6</v>
      </c>
      <c r="Z37" s="36">
        <f>IFERROR(IF(Y37=0,"",ROUNDUP(Y37/H37,0)*0.01898),"")</f>
        <v>0.89205999999999996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520.1388888888888</v>
      </c>
      <c r="BN37" s="64">
        <f>IFERROR(Y37*I37/H37,"0")</f>
        <v>528.04499999999996</v>
      </c>
      <c r="BO37" s="64">
        <f>IFERROR(1/J37*(X37/H37),"0")</f>
        <v>0.72337962962962954</v>
      </c>
      <c r="BP37" s="64">
        <f>IFERROR(1/J37*(Y37/H37),"0")</f>
        <v>0.734375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46.296296296296291</v>
      </c>
      <c r="Y41" s="665">
        <f>IFERROR(Y37/H37,"0")+IFERROR(Y38/H38,"0")+IFERROR(Y39/H39,"0")+IFERROR(Y40/H40,"0")</f>
        <v>47</v>
      </c>
      <c r="Z41" s="665">
        <f>IFERROR(IF(Z37="",0,Z37),"0")+IFERROR(IF(Z38="",0,Z38),"0")+IFERROR(IF(Z39="",0,Z39),"0")+IFERROR(IF(Z40="",0,Z40),"0")</f>
        <v>0.89205999999999996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500</v>
      </c>
      <c r="Y42" s="665">
        <f>IFERROR(SUM(Y37:Y40),"0")</f>
        <v>507.6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350</v>
      </c>
      <c r="Y50" s="664">
        <f t="shared" si="6"/>
        <v>356.40000000000003</v>
      </c>
      <c r="Z50" s="36">
        <f>IFERROR(IF(Y50=0,"",ROUNDUP(Y50/H50,0)*0.01898),"")</f>
        <v>0.62634000000000001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364.09722222222217</v>
      </c>
      <c r="BN50" s="64">
        <f t="shared" si="8"/>
        <v>370.755</v>
      </c>
      <c r="BO50" s="64">
        <f t="shared" si="9"/>
        <v>0.5063657407407407</v>
      </c>
      <c r="BP50" s="64">
        <f t="shared" si="10"/>
        <v>0.515625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8</v>
      </c>
      <c r="Y52" s="664">
        <f t="shared" si="6"/>
        <v>8</v>
      </c>
      <c r="Z52" s="36">
        <f>IFERROR(IF(Y52=0,"",ROUNDUP(Y52/H52,0)*0.00902),"")</f>
        <v>1.804E-2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8.42</v>
      </c>
      <c r="BN52" s="64">
        <f t="shared" si="8"/>
        <v>8.42</v>
      </c>
      <c r="BO52" s="64">
        <f t="shared" si="9"/>
        <v>1.5151515151515152E-2</v>
      </c>
      <c r="BP52" s="64">
        <f t="shared" si="10"/>
        <v>1.5151515151515152E-2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34.407407407407405</v>
      </c>
      <c r="Y55" s="665">
        <f>IFERROR(Y49/H49,"0")+IFERROR(Y50/H50,"0")+IFERROR(Y51/H51,"0")+IFERROR(Y52/H52,"0")+IFERROR(Y53/H53,"0")+IFERROR(Y54/H54,"0")</f>
        <v>35</v>
      </c>
      <c r="Z55" s="665">
        <f>IFERROR(IF(Z49="",0,Z49),"0")+IFERROR(IF(Z50="",0,Z50),"0")+IFERROR(IF(Z51="",0,Z51),"0")+IFERROR(IF(Z52="",0,Z52),"0")+IFERROR(IF(Z53="",0,Z53),"0")+IFERROR(IF(Z54="",0,Z54),"0")</f>
        <v>0.64437999999999995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358</v>
      </c>
      <c r="Y56" s="665">
        <f>IFERROR(SUM(Y49:Y54),"0")</f>
        <v>364.40000000000003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200</v>
      </c>
      <c r="Y58" s="664">
        <f>IFERROR(IF(X58="",0,CEILING((X58/$H58),1)*$H58),"")</f>
        <v>205.20000000000002</v>
      </c>
      <c r="Z58" s="36">
        <f>IFERROR(IF(Y58=0,"",ROUNDUP(Y58/H58,0)*0.01898),"")</f>
        <v>0.36062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208.05555555555554</v>
      </c>
      <c r="BN58" s="64">
        <f>IFERROR(Y58*I58/H58,"0")</f>
        <v>213.46499999999997</v>
      </c>
      <c r="BO58" s="64">
        <f>IFERROR(1/J58*(X58/H58),"0")</f>
        <v>0.28935185185185186</v>
      </c>
      <c r="BP58" s="64">
        <f>IFERROR(1/J58*(Y58/H58),"0")</f>
        <v>0.296875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18.518518518518519</v>
      </c>
      <c r="Y62" s="665">
        <f>IFERROR(Y58/H58,"0")+IFERROR(Y59/H59,"0")+IFERROR(Y60/H60,"0")+IFERROR(Y61/H61,"0")</f>
        <v>19</v>
      </c>
      <c r="Z62" s="665">
        <f>IFERROR(IF(Z58="",0,Z58),"0")+IFERROR(IF(Z59="",0,Z59),"0")+IFERROR(IF(Z60="",0,Z60),"0")+IFERROR(IF(Z61="",0,Z61),"0")</f>
        <v>0.36062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200</v>
      </c>
      <c r="Y63" s="665">
        <f>IFERROR(SUM(Y58:Y61),"0")</f>
        <v>205.20000000000002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500</v>
      </c>
      <c r="Y87" s="664">
        <f>IFERROR(IF(X87="",0,CEILING((X87/$H87),1)*$H87),"")</f>
        <v>507.6</v>
      </c>
      <c r="Z87" s="36">
        <f>IFERROR(IF(Y87=0,"",ROUNDUP(Y87/H87,0)*0.01898),"")</f>
        <v>0.89205999999999996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520.1388888888888</v>
      </c>
      <c r="BN87" s="64">
        <f>IFERROR(Y87*I87/H87,"0")</f>
        <v>528.04499999999996</v>
      </c>
      <c r="BO87" s="64">
        <f>IFERROR(1/J87*(X87/H87),"0")</f>
        <v>0.72337962962962954</v>
      </c>
      <c r="BP87" s="64">
        <f>IFERROR(1/J87*(Y87/H87),"0")</f>
        <v>0.734375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46.296296296296291</v>
      </c>
      <c r="Y90" s="665">
        <f>IFERROR(Y87/H87,"0")+IFERROR(Y88/H88,"0")+IFERROR(Y89/H89,"0")</f>
        <v>47</v>
      </c>
      <c r="Z90" s="665">
        <f>IFERROR(IF(Z87="",0,Z87),"0")+IFERROR(IF(Z88="",0,Z88),"0")+IFERROR(IF(Z89="",0,Z89),"0")</f>
        <v>0.89205999999999996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500</v>
      </c>
      <c r="Y91" s="665">
        <f>IFERROR(SUM(Y87:Y89),"0")</f>
        <v>507.6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90</v>
      </c>
      <c r="Y98" s="664">
        <f t="shared" si="16"/>
        <v>91.800000000000011</v>
      </c>
      <c r="Z98" s="36">
        <f>IFERROR(IF(Y98=0,"",ROUNDUP(Y98/H98,0)*0.00651),"")</f>
        <v>0.22134000000000001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98.399999999999991</v>
      </c>
      <c r="BN98" s="64">
        <f t="shared" si="18"/>
        <v>100.36799999999999</v>
      </c>
      <c r="BO98" s="64">
        <f t="shared" si="19"/>
        <v>0.18315018315018314</v>
      </c>
      <c r="BP98" s="64">
        <f t="shared" si="20"/>
        <v>0.18681318681318682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33.333333333333329</v>
      </c>
      <c r="Y102" s="665">
        <f>IFERROR(Y93/H93,"0")+IFERROR(Y94/H94,"0")+IFERROR(Y95/H95,"0")+IFERROR(Y96/H96,"0")+IFERROR(Y97/H97,"0")+IFERROR(Y98/H98,"0")+IFERROR(Y99/H99,"0")+IFERROR(Y100/H100,"0")+IFERROR(Y101/H101,"0")</f>
        <v>34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0.22134000000000001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90</v>
      </c>
      <c r="Y103" s="665">
        <f>IFERROR(SUM(Y93:Y101),"0")</f>
        <v>91.800000000000011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450</v>
      </c>
      <c r="Y106" s="664">
        <f>IFERROR(IF(X106="",0,CEILING((X106/$H106),1)*$H106),"")</f>
        <v>453.6</v>
      </c>
      <c r="Z106" s="36">
        <f>IFERROR(IF(Y106=0,"",ROUNDUP(Y106/H106,0)*0.01898),"")</f>
        <v>0.79715999999999998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468.12499999999994</v>
      </c>
      <c r="BN106" s="64">
        <f>IFERROR(Y106*I106/H106,"0")</f>
        <v>471.86999999999995</v>
      </c>
      <c r="BO106" s="64">
        <f>IFERROR(1/J106*(X106/H106),"0")</f>
        <v>0.65104166666666663</v>
      </c>
      <c r="BP106" s="64">
        <f>IFERROR(1/J106*(Y106/H106),"0")</f>
        <v>0.65625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41.666666666666664</v>
      </c>
      <c r="Y110" s="665">
        <f>IFERROR(Y106/H106,"0")+IFERROR(Y107/H107,"0")+IFERROR(Y108/H108,"0")+IFERROR(Y109/H109,"0")</f>
        <v>42</v>
      </c>
      <c r="Z110" s="665">
        <f>IFERROR(IF(Z106="",0,Z106),"0")+IFERROR(IF(Z107="",0,Z107),"0")+IFERROR(IF(Z108="",0,Z108),"0")+IFERROR(IF(Z109="",0,Z109),"0")</f>
        <v>0.79715999999999998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450</v>
      </c>
      <c r="Y111" s="665">
        <f>IFERROR(SUM(Y106:Y109),"0")</f>
        <v>453.6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100</v>
      </c>
      <c r="Y113" s="664">
        <f>IFERROR(IF(X113="",0,CEILING((X113/$H113),1)*$H113),"")</f>
        <v>108</v>
      </c>
      <c r="Z113" s="36">
        <f>IFERROR(IF(Y113=0,"",ROUNDUP(Y113/H113,0)*0.01898),"")</f>
        <v>0.1898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104.02777777777777</v>
      </c>
      <c r="BN113" s="64">
        <f>IFERROR(Y113*I113/H113,"0")</f>
        <v>112.34999999999998</v>
      </c>
      <c r="BO113" s="64">
        <f>IFERROR(1/J113*(X113/H113),"0")</f>
        <v>0.14467592592592593</v>
      </c>
      <c r="BP113" s="64">
        <f>IFERROR(1/J113*(Y113/H113),"0")</f>
        <v>0.15625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9.2592592592592595</v>
      </c>
      <c r="Y116" s="665">
        <f>IFERROR(Y113/H113,"0")+IFERROR(Y114/H114,"0")+IFERROR(Y115/H115,"0")</f>
        <v>10</v>
      </c>
      <c r="Z116" s="665">
        <f>IFERROR(IF(Z113="",0,Z113),"0")+IFERROR(IF(Z114="",0,Z114),"0")+IFERROR(IF(Z115="",0,Z115),"0")</f>
        <v>0.1898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100</v>
      </c>
      <c r="Y117" s="665">
        <f>IFERROR(SUM(Y113:Y115),"0")</f>
        <v>108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90</v>
      </c>
      <c r="Y125" s="664">
        <f t="shared" si="21"/>
        <v>91.800000000000011</v>
      </c>
      <c r="Z125" s="36">
        <f t="shared" si="26"/>
        <v>0.22134000000000001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98.399999999999991</v>
      </c>
      <c r="BN125" s="64">
        <f t="shared" si="23"/>
        <v>100.36799999999999</v>
      </c>
      <c r="BO125" s="64">
        <f t="shared" si="24"/>
        <v>0.18315018315018314</v>
      </c>
      <c r="BP125" s="64">
        <f t="shared" si="25"/>
        <v>0.18681318681318682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33.333333333333329</v>
      </c>
      <c r="Y128" s="665">
        <f>IFERROR(Y119/H119,"0")+IFERROR(Y120/H120,"0")+IFERROR(Y121/H121,"0")+IFERROR(Y122/H122,"0")+IFERROR(Y123/H123,"0")+IFERROR(Y124/H124,"0")+IFERROR(Y125/H125,"0")+IFERROR(Y126/H126,"0")+IFERROR(Y127/H127,"0")</f>
        <v>34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0.22134000000000001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90</v>
      </c>
      <c r="Y129" s="665">
        <f>IFERROR(SUM(Y119:Y127),"0")</f>
        <v>91.800000000000011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100</v>
      </c>
      <c r="Y174" s="664">
        <f t="shared" ref="Y174:Y182" si="27">IFERROR(IF(X174="",0,CEILING((X174/$H174),1)*$H174),"")</f>
        <v>100.80000000000001</v>
      </c>
      <c r="Z174" s="36">
        <f>IFERROR(IF(Y174=0,"",ROUNDUP(Y174/H174,0)*0.00902),"")</f>
        <v>0.21648000000000001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106.42857142857143</v>
      </c>
      <c r="BN174" s="64">
        <f t="shared" ref="BN174:BN182" si="29">IFERROR(Y174*I174/H174,"0")</f>
        <v>107.28</v>
      </c>
      <c r="BO174" s="64">
        <f t="shared" ref="BO174:BO182" si="30">IFERROR(1/J174*(X174/H174),"0")</f>
        <v>0.18037518037518038</v>
      </c>
      <c r="BP174" s="64">
        <f t="shared" ref="BP174:BP182" si="31">IFERROR(1/J174*(Y174/H174),"0")</f>
        <v>0.18181818181818182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158</v>
      </c>
      <c r="Y177" s="664">
        <f t="shared" si="27"/>
        <v>159.6</v>
      </c>
      <c r="Z177" s="36">
        <f>IFERROR(IF(Y177=0,"",ROUNDUP(Y177/H177,0)*0.00502),"")</f>
        <v>0.38152000000000003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167.78095238095236</v>
      </c>
      <c r="BN177" s="64">
        <f t="shared" si="29"/>
        <v>169.47999999999996</v>
      </c>
      <c r="BO177" s="64">
        <f t="shared" si="30"/>
        <v>0.32153032153032157</v>
      </c>
      <c r="BP177" s="64">
        <f t="shared" si="31"/>
        <v>0.3247863247863248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280</v>
      </c>
      <c r="Y180" s="664">
        <f t="shared" si="27"/>
        <v>281.40000000000003</v>
      </c>
      <c r="Z180" s="36">
        <f>IFERROR(IF(Y180=0,"",ROUNDUP(Y180/H180,0)*0.00502),"")</f>
        <v>0.67268000000000006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293.33333333333331</v>
      </c>
      <c r="BN180" s="64">
        <f t="shared" si="29"/>
        <v>294.80000000000007</v>
      </c>
      <c r="BO180" s="64">
        <f t="shared" si="30"/>
        <v>0.56980056980056981</v>
      </c>
      <c r="BP180" s="64">
        <f t="shared" si="31"/>
        <v>0.57264957264957272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232.38095238095235</v>
      </c>
      <c r="Y183" s="665">
        <f>IFERROR(Y174/H174,"0")+IFERROR(Y175/H175,"0")+IFERROR(Y176/H176,"0")+IFERROR(Y177/H177,"0")+IFERROR(Y178/H178,"0")+IFERROR(Y179/H179,"0")+IFERROR(Y180/H180,"0")+IFERROR(Y181/H181,"0")+IFERROR(Y182/H182,"0")</f>
        <v>234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1.27068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538</v>
      </c>
      <c r="Y184" s="665">
        <f>IFERROR(SUM(Y174:Y182),"0")</f>
        <v>541.79999999999995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200</v>
      </c>
      <c r="Y201" s="664">
        <f t="shared" ref="Y201:Y208" si="32">IFERROR(IF(X201="",0,CEILING((X201/$H201),1)*$H201),"")</f>
        <v>205.20000000000002</v>
      </c>
      <c r="Z201" s="36">
        <f>IFERROR(IF(Y201=0,"",ROUNDUP(Y201/H201,0)*0.00902),"")</f>
        <v>0.34276000000000001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207.77777777777777</v>
      </c>
      <c r="BN201" s="64">
        <f t="shared" ref="BN201:BN208" si="34">IFERROR(Y201*I201/H201,"0")</f>
        <v>213.18000000000004</v>
      </c>
      <c r="BO201" s="64">
        <f t="shared" ref="BO201:BO208" si="35">IFERROR(1/J201*(X201/H201),"0")</f>
        <v>0.28058361391694725</v>
      </c>
      <c r="BP201" s="64">
        <f t="shared" ref="BP201:BP208" si="36">IFERROR(1/J201*(Y201/H201),"0")</f>
        <v>0.2878787878787879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300</v>
      </c>
      <c r="Y204" s="664">
        <f t="shared" si="32"/>
        <v>302.40000000000003</v>
      </c>
      <c r="Z204" s="36">
        <f>IFERROR(IF(Y204=0,"",ROUNDUP(Y204/H204,0)*0.00902),"")</f>
        <v>0.50512000000000001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311.66666666666663</v>
      </c>
      <c r="BN204" s="64">
        <f t="shared" si="34"/>
        <v>314.16000000000003</v>
      </c>
      <c r="BO204" s="64">
        <f t="shared" si="35"/>
        <v>0.42087542087542085</v>
      </c>
      <c r="BP204" s="64">
        <f t="shared" si="36"/>
        <v>0.42424242424242425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92.592592592592581</v>
      </c>
      <c r="Y209" s="665">
        <f>IFERROR(Y201/H201,"0")+IFERROR(Y202/H202,"0")+IFERROR(Y203/H203,"0")+IFERROR(Y204/H204,"0")+IFERROR(Y205/H205,"0")+IFERROR(Y206/H206,"0")+IFERROR(Y207/H207,"0")+IFERROR(Y208/H208,"0")</f>
        <v>94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0.84787999999999997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500</v>
      </c>
      <c r="Y210" s="665">
        <f>IFERROR(SUM(Y201:Y208),"0")</f>
        <v>507.6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400</v>
      </c>
      <c r="Y214" s="664">
        <f t="shared" si="37"/>
        <v>400.2</v>
      </c>
      <c r="Z214" s="36">
        <f>IFERROR(IF(Y214=0,"",ROUNDUP(Y214/H214,0)*0.01898),"")</f>
        <v>0.87307999999999997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423.86206896551727</v>
      </c>
      <c r="BN214" s="64">
        <f t="shared" si="39"/>
        <v>424.07399999999996</v>
      </c>
      <c r="BO214" s="64">
        <f t="shared" si="40"/>
        <v>0.71839080459770122</v>
      </c>
      <c r="BP214" s="64">
        <f t="shared" si="41"/>
        <v>0.71875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160</v>
      </c>
      <c r="Y215" s="664">
        <f t="shared" si="37"/>
        <v>160.79999999999998</v>
      </c>
      <c r="Z215" s="36">
        <f t="shared" ref="Z215:Z220" si="42">IFERROR(IF(Y215=0,"",ROUNDUP(Y215/H215,0)*0.00651),"")</f>
        <v>0.43617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178</v>
      </c>
      <c r="BN215" s="64">
        <f t="shared" si="39"/>
        <v>178.89</v>
      </c>
      <c r="BO215" s="64">
        <f t="shared" si="40"/>
        <v>0.36630036630036633</v>
      </c>
      <c r="BP215" s="64">
        <f t="shared" si="41"/>
        <v>0.36813186813186816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440</v>
      </c>
      <c r="Y217" s="664">
        <f t="shared" si="37"/>
        <v>441.59999999999997</v>
      </c>
      <c r="Z217" s="36">
        <f t="shared" si="42"/>
        <v>1.19784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486.20000000000005</v>
      </c>
      <c r="BN217" s="64">
        <f t="shared" si="39"/>
        <v>487.96800000000002</v>
      </c>
      <c r="BO217" s="64">
        <f t="shared" si="40"/>
        <v>1.0073260073260075</v>
      </c>
      <c r="BP217" s="64">
        <f t="shared" si="41"/>
        <v>1.0109890109890112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80</v>
      </c>
      <c r="Y219" s="664">
        <f t="shared" si="37"/>
        <v>81.599999999999994</v>
      </c>
      <c r="Z219" s="36">
        <f t="shared" si="42"/>
        <v>0.22134000000000001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88.40000000000002</v>
      </c>
      <c r="BN219" s="64">
        <f t="shared" si="39"/>
        <v>90.168000000000006</v>
      </c>
      <c r="BO219" s="64">
        <f t="shared" si="40"/>
        <v>0.18315018315018317</v>
      </c>
      <c r="BP219" s="64">
        <f t="shared" si="41"/>
        <v>0.18681318681318682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329.31034482758622</v>
      </c>
      <c r="Y221" s="665">
        <f>IFERROR(Y212/H212,"0")+IFERROR(Y213/H213,"0")+IFERROR(Y214/H214,"0")+IFERROR(Y215/H215,"0")+IFERROR(Y216/H216,"0")+IFERROR(Y217/H217,"0")+IFERROR(Y218/H218,"0")+IFERROR(Y219/H219,"0")+IFERROR(Y220/H220,"0")</f>
        <v>331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2.7284299999999999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1080</v>
      </c>
      <c r="Y222" s="665">
        <f>IFERROR(SUM(Y212:Y220),"0")</f>
        <v>1084.1999999999998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100</v>
      </c>
      <c r="Y344" s="664">
        <f>IFERROR(IF(X344="",0,CEILING((X344/$H344),1)*$H344),"")</f>
        <v>101.39999999999999</v>
      </c>
      <c r="Z344" s="36">
        <f>IFERROR(IF(Y344=0,"",ROUNDUP(Y344/H344,0)*0.01898),"")</f>
        <v>0.24674000000000001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106.65384615384617</v>
      </c>
      <c r="BN344" s="64">
        <f>IFERROR(Y344*I344/H344,"0")</f>
        <v>108.14700000000001</v>
      </c>
      <c r="BO344" s="64">
        <f>IFERROR(1/J344*(X344/H344),"0")</f>
        <v>0.20032051282051283</v>
      </c>
      <c r="BP344" s="64">
        <f>IFERROR(1/J344*(Y344/H344),"0")</f>
        <v>0.203125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12.820512820512821</v>
      </c>
      <c r="Y346" s="665">
        <f>IFERROR(Y343/H343,"0")+IFERROR(Y344/H344,"0")+IFERROR(Y345/H345,"0")</f>
        <v>13</v>
      </c>
      <c r="Z346" s="665">
        <f>IFERROR(IF(Z343="",0,Z343),"0")+IFERROR(IF(Z344="",0,Z344),"0")+IFERROR(IF(Z345="",0,Z345),"0")</f>
        <v>0.24674000000000001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100</v>
      </c>
      <c r="Y347" s="665">
        <f>IFERROR(SUM(Y343:Y345),"0")</f>
        <v>101.39999999999999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295</v>
      </c>
      <c r="Y375" s="664">
        <f t="shared" ref="Y375:Y384" si="58">IFERROR(IF(X375="",0,CEILING((X375/$H375),1)*$H375),"")</f>
        <v>300</v>
      </c>
      <c r="Z375" s="36">
        <f>IFERROR(IF(Y375=0,"",ROUNDUP(Y375/H375,0)*0.02175),"")</f>
        <v>0.43499999999999994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304.44</v>
      </c>
      <c r="BN375" s="64">
        <f t="shared" ref="BN375:BN384" si="60">IFERROR(Y375*I375/H375,"0")</f>
        <v>309.60000000000002</v>
      </c>
      <c r="BO375" s="64">
        <f t="shared" ref="BO375:BO384" si="61">IFERROR(1/J375*(X375/H375),"0")</f>
        <v>0.40972222222222221</v>
      </c>
      <c r="BP375" s="64">
        <f t="shared" ref="BP375:BP384" si="62">IFERROR(1/J375*(Y375/H375),"0")</f>
        <v>0.41666666666666663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1000</v>
      </c>
      <c r="Y379" s="664">
        <f t="shared" si="58"/>
        <v>1005</v>
      </c>
      <c r="Z379" s="36">
        <f>IFERROR(IF(Y379=0,"",ROUNDUP(Y379/H379,0)*0.02175),"")</f>
        <v>1.4572499999999999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1032</v>
      </c>
      <c r="BN379" s="64">
        <f t="shared" si="60"/>
        <v>1037.1600000000001</v>
      </c>
      <c r="BO379" s="64">
        <f t="shared" si="61"/>
        <v>1.3888888888888888</v>
      </c>
      <c r="BP379" s="64">
        <f t="shared" si="62"/>
        <v>1.3958333333333333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86.333333333333343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87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1.8922499999999998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1295</v>
      </c>
      <c r="Y386" s="665">
        <f>IFERROR(SUM(Y375:Y384),"0")</f>
        <v>1305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1500</v>
      </c>
      <c r="Y388" s="664">
        <f>IFERROR(IF(X388="",0,CEILING((X388/$H388),1)*$H388),"")</f>
        <v>1500</v>
      </c>
      <c r="Z388" s="36">
        <f>IFERROR(IF(Y388=0,"",ROUNDUP(Y388/H388,0)*0.02175),"")</f>
        <v>2.1749999999999998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1548</v>
      </c>
      <c r="BN388" s="64">
        <f>IFERROR(Y388*I388/H388,"0")</f>
        <v>1548</v>
      </c>
      <c r="BO388" s="64">
        <f>IFERROR(1/J388*(X388/H388),"0")</f>
        <v>2.083333333333333</v>
      </c>
      <c r="BP388" s="64">
        <f>IFERROR(1/J388*(Y388/H388),"0")</f>
        <v>2.083333333333333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100</v>
      </c>
      <c r="Y390" s="665">
        <f>IFERROR(Y388/H388,"0")+IFERROR(Y389/H389,"0")</f>
        <v>100</v>
      </c>
      <c r="Z390" s="665">
        <f>IFERROR(IF(Z388="",0,Z388),"0")+IFERROR(IF(Z389="",0,Z389),"0")</f>
        <v>2.1749999999999998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1500</v>
      </c>
      <c r="Y391" s="665">
        <f>IFERROR(SUM(Y388:Y389),"0")</f>
        <v>1500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100</v>
      </c>
      <c r="Y481" s="664">
        <f t="shared" si="69"/>
        <v>100.32000000000001</v>
      </c>
      <c r="Z481" s="36">
        <f>IFERROR(IF(Y481=0,"",ROUNDUP(Y481/H481,0)*0.01196),"")</f>
        <v>0.22724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106.81818181818181</v>
      </c>
      <c r="BN481" s="64">
        <f t="shared" si="71"/>
        <v>107.16</v>
      </c>
      <c r="BO481" s="64">
        <f t="shared" si="72"/>
        <v>0.18210955710955709</v>
      </c>
      <c r="BP481" s="64">
        <f t="shared" si="73"/>
        <v>0.18269230769230771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400</v>
      </c>
      <c r="Y482" s="664">
        <f t="shared" si="69"/>
        <v>401.28000000000003</v>
      </c>
      <c r="Z482" s="36">
        <f>IFERROR(IF(Y482=0,"",ROUNDUP(Y482/H482,0)*0.01196),"")</f>
        <v>0.90895999999999999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427.27272727272725</v>
      </c>
      <c r="BN482" s="64">
        <f t="shared" si="71"/>
        <v>428.64</v>
      </c>
      <c r="BO482" s="64">
        <f t="shared" si="72"/>
        <v>0.72843822843822836</v>
      </c>
      <c r="BP482" s="64">
        <f t="shared" si="73"/>
        <v>0.73076923076923084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600</v>
      </c>
      <c r="Y483" s="664">
        <f t="shared" si="69"/>
        <v>601.92000000000007</v>
      </c>
      <c r="Z483" s="36">
        <f>IFERROR(IF(Y483=0,"",ROUNDUP(Y483/H483,0)*0.01196),"")</f>
        <v>1.36344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640.90909090909088</v>
      </c>
      <c r="BN483" s="64">
        <f t="shared" si="71"/>
        <v>642.96</v>
      </c>
      <c r="BO483" s="64">
        <f t="shared" si="72"/>
        <v>1.0926573426573427</v>
      </c>
      <c r="BP483" s="64">
        <f t="shared" si="73"/>
        <v>1.0961538461538463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208.33333333333331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209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2.4996400000000003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1100</v>
      </c>
      <c r="Y496" s="665">
        <f>IFERROR(SUM(Y480:Y494),"0")</f>
        <v>1103.52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300</v>
      </c>
      <c r="Y505" s="664">
        <f t="shared" ref="Y505:Y516" si="74">IFERROR(IF(X505="",0,CEILING((X505/$H505),1)*$H505),"")</f>
        <v>300.96000000000004</v>
      </c>
      <c r="Z505" s="36">
        <f>IFERROR(IF(Y505=0,"",ROUNDUP(Y505/H505,0)*0.01196),"")</f>
        <v>0.68171999999999999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320.45454545454544</v>
      </c>
      <c r="BN505" s="64">
        <f t="shared" ref="BN505:BN516" si="76">IFERROR(Y505*I505/H505,"0")</f>
        <v>321.48</v>
      </c>
      <c r="BO505" s="64">
        <f t="shared" ref="BO505:BO516" si="77">IFERROR(1/J505*(X505/H505),"0")</f>
        <v>0.54632867132867136</v>
      </c>
      <c r="BP505" s="64">
        <f t="shared" ref="BP505:BP516" si="78">IFERROR(1/J505*(Y505/H505),"0")</f>
        <v>0.54807692307692313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400</v>
      </c>
      <c r="Y506" s="664">
        <f t="shared" si="74"/>
        <v>401.28000000000003</v>
      </c>
      <c r="Z506" s="36">
        <f>IFERROR(IF(Y506=0,"",ROUNDUP(Y506/H506,0)*0.01196),"")</f>
        <v>0.90895999999999999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427.27272727272725</v>
      </c>
      <c r="BN506" s="64">
        <f t="shared" si="76"/>
        <v>428.64</v>
      </c>
      <c r="BO506" s="64">
        <f t="shared" si="77"/>
        <v>0.72843822843822836</v>
      </c>
      <c r="BP506" s="64">
        <f t="shared" si="78"/>
        <v>0.73076923076923084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100</v>
      </c>
      <c r="Y507" s="664">
        <f t="shared" si="74"/>
        <v>100.32000000000001</v>
      </c>
      <c r="Z507" s="36">
        <f>IFERROR(IF(Y507=0,"",ROUNDUP(Y507/H507,0)*0.01196),"")</f>
        <v>0.22724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106.81818181818181</v>
      </c>
      <c r="BN507" s="64">
        <f t="shared" si="76"/>
        <v>107.16</v>
      </c>
      <c r="BO507" s="64">
        <f t="shared" si="77"/>
        <v>0.18210955710955709</v>
      </c>
      <c r="BP507" s="64">
        <f t="shared" si="78"/>
        <v>0.18269230769230771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151.5151515151515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152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1.81792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800</v>
      </c>
      <c r="Y518" s="665">
        <f>IFERROR(SUM(Y505:Y516),"0")</f>
        <v>802.56000000000006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9201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9276.08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9673.892004585452</v>
      </c>
      <c r="Y592" s="665">
        <f>IFERROR(SUM(BN22:BN588),"0")</f>
        <v>9752.632999999998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16</v>
      </c>
      <c r="Y593" s="38">
        <f>ROUNDUP(SUM(BP22:BP588),0)</f>
        <v>16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10073.892004585452</v>
      </c>
      <c r="Y594" s="665">
        <f>GrossWeightTotalR+PalletQtyTotalR*25</f>
        <v>10152.632999999998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1476.3973319145732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1488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17.697300000000002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507.6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569.6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599.40000000000009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653.40000000000009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541.79999999999995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1591.7999999999997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101.39999999999999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2805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1906.08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2025-04-17T09:09:23Z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