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5E13ECB2-B404-4A69-AA86-46E568FF368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O511" i="1"/>
  <c r="BM511" i="1"/>
  <c r="Y511" i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Y447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BO434" i="1"/>
  <c r="BM434" i="1"/>
  <c r="Y434" i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3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3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BP320" i="1" s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Y282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7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4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1" i="1" s="1"/>
  <c r="P230" i="1"/>
  <c r="X227" i="1"/>
  <c r="X226" i="1"/>
  <c r="BO225" i="1"/>
  <c r="BM225" i="1"/>
  <c r="Y225" i="1"/>
  <c r="BP225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10" i="1" s="1"/>
  <c r="P201" i="1"/>
  <c r="X199" i="1"/>
  <c r="X198" i="1"/>
  <c r="BO197" i="1"/>
  <c r="BM197" i="1"/>
  <c r="Y197" i="1"/>
  <c r="BP197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1" i="1" s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Y162" i="1" s="1"/>
  <c r="P158" i="1"/>
  <c r="BP157" i="1"/>
  <c r="BO157" i="1"/>
  <c r="BN157" i="1"/>
  <c r="BM157" i="1"/>
  <c r="Z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39" i="1" s="1"/>
  <c r="P137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9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Y116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Y103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Y56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3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Y29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601" i="1"/>
  <c r="X592" i="1"/>
  <c r="X593" i="1"/>
  <c r="Z23" i="1"/>
  <c r="Z28" i="1" s="1"/>
  <c r="BN23" i="1"/>
  <c r="BP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32" i="1"/>
  <c r="Z37" i="1"/>
  <c r="BN37" i="1"/>
  <c r="BP37" i="1"/>
  <c r="Z39" i="1"/>
  <c r="BN39" i="1"/>
  <c r="Y42" i="1"/>
  <c r="Y591" i="1" s="1"/>
  <c r="D601" i="1"/>
  <c r="Z50" i="1"/>
  <c r="Z55" i="1" s="1"/>
  <c r="BN50" i="1"/>
  <c r="BP50" i="1"/>
  <c r="Z52" i="1"/>
  <c r="BN52" i="1"/>
  <c r="Z54" i="1"/>
  <c r="BN54" i="1"/>
  <c r="Y55" i="1"/>
  <c r="Z58" i="1"/>
  <c r="BN58" i="1"/>
  <c r="BP58" i="1"/>
  <c r="Z60" i="1"/>
  <c r="BN60" i="1"/>
  <c r="Y63" i="1"/>
  <c r="Z66" i="1"/>
  <c r="Z68" i="1" s="1"/>
  <c r="BN66" i="1"/>
  <c r="BP66" i="1"/>
  <c r="Z72" i="1"/>
  <c r="Z77" i="1" s="1"/>
  <c r="BN72" i="1"/>
  <c r="BP72" i="1"/>
  <c r="Z74" i="1"/>
  <c r="BN74" i="1"/>
  <c r="Z76" i="1"/>
  <c r="BN76" i="1"/>
  <c r="Z80" i="1"/>
  <c r="BN80" i="1"/>
  <c r="BP80" i="1"/>
  <c r="Z82" i="1"/>
  <c r="BN82" i="1"/>
  <c r="Y83" i="1"/>
  <c r="Z87" i="1"/>
  <c r="BN87" i="1"/>
  <c r="BP87" i="1"/>
  <c r="Z89" i="1"/>
  <c r="BN89" i="1"/>
  <c r="Y90" i="1"/>
  <c r="Z94" i="1"/>
  <c r="Z102" i="1" s="1"/>
  <c r="BN94" i="1"/>
  <c r="BP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BP114" i="1"/>
  <c r="Z119" i="1"/>
  <c r="BN119" i="1"/>
  <c r="BP119" i="1"/>
  <c r="Z121" i="1"/>
  <c r="BN121" i="1"/>
  <c r="Z122" i="1"/>
  <c r="BN122" i="1"/>
  <c r="Z125" i="1"/>
  <c r="BN125" i="1"/>
  <c r="BP126" i="1"/>
  <c r="BN126" i="1"/>
  <c r="Z126" i="1"/>
  <c r="Y133" i="1"/>
  <c r="BP143" i="1"/>
  <c r="BN143" i="1"/>
  <c r="Z143" i="1"/>
  <c r="Z144" i="1" s="1"/>
  <c r="Y145" i="1"/>
  <c r="Y150" i="1"/>
  <c r="BP147" i="1"/>
  <c r="BN147" i="1"/>
  <c r="Z147" i="1"/>
  <c r="Z149" i="1" s="1"/>
  <c r="Y161" i="1"/>
  <c r="BP160" i="1"/>
  <c r="BN160" i="1"/>
  <c r="Z160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F9" i="1"/>
  <c r="J9" i="1"/>
  <c r="Y41" i="1"/>
  <c r="Y91" i="1"/>
  <c r="Y110" i="1"/>
  <c r="Y128" i="1"/>
  <c r="BP132" i="1"/>
  <c r="Y593" i="1" s="1"/>
  <c r="BN132" i="1"/>
  <c r="Y592" i="1" s="1"/>
  <c r="Z132" i="1"/>
  <c r="Z133" i="1" s="1"/>
  <c r="Y134" i="1"/>
  <c r="Y140" i="1"/>
  <c r="BP137" i="1"/>
  <c r="BN137" i="1"/>
  <c r="Z137" i="1"/>
  <c r="Z139" i="1" s="1"/>
  <c r="G601" i="1"/>
  <c r="BP158" i="1"/>
  <c r="BN158" i="1"/>
  <c r="Z158" i="1"/>
  <c r="Z161" i="1" s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Y193" i="1"/>
  <c r="Y199" i="1"/>
  <c r="Y209" i="1"/>
  <c r="Y221" i="1"/>
  <c r="Y227" i="1"/>
  <c r="Y238" i="1"/>
  <c r="Y243" i="1"/>
  <c r="Y248" i="1"/>
  <c r="Y262" i="1"/>
  <c r="Y267" i="1"/>
  <c r="Y274" i="1"/>
  <c r="Y283" i="1"/>
  <c r="Y288" i="1"/>
  <c r="Y292" i="1"/>
  <c r="Y296" i="1"/>
  <c r="Y301" i="1"/>
  <c r="Y306" i="1"/>
  <c r="Y310" i="1"/>
  <c r="Y326" i="1"/>
  <c r="Y332" i="1"/>
  <c r="Y340" i="1"/>
  <c r="Y346" i="1"/>
  <c r="Y354" i="1"/>
  <c r="Y360" i="1"/>
  <c r="V601" i="1"/>
  <c r="Y365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Y396" i="1"/>
  <c r="BP404" i="1"/>
  <c r="BN404" i="1"/>
  <c r="Z404" i="1"/>
  <c r="Z408" i="1" s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5" i="1"/>
  <c r="BN435" i="1"/>
  <c r="Z435" i="1"/>
  <c r="BP440" i="1"/>
  <c r="BN440" i="1"/>
  <c r="Z440" i="1"/>
  <c r="Y460" i="1"/>
  <c r="BP456" i="1"/>
  <c r="BN456" i="1"/>
  <c r="Z456" i="1"/>
  <c r="BP465" i="1"/>
  <c r="BN465" i="1"/>
  <c r="Z465" i="1"/>
  <c r="Y467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BP500" i="1"/>
  <c r="BN500" i="1"/>
  <c r="Z500" i="1"/>
  <c r="BP512" i="1"/>
  <c r="BN512" i="1"/>
  <c r="Z512" i="1"/>
  <c r="Y518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P601" i="1"/>
  <c r="X601" i="1"/>
  <c r="H601" i="1"/>
  <c r="Y155" i="1"/>
  <c r="Z191" i="1"/>
  <c r="Z193" i="1" s="1"/>
  <c r="BN191" i="1"/>
  <c r="BP191" i="1"/>
  <c r="Y194" i="1"/>
  <c r="Z197" i="1"/>
  <c r="Z198" i="1" s="1"/>
  <c r="BN197" i="1"/>
  <c r="Z201" i="1"/>
  <c r="Z209" i="1" s="1"/>
  <c r="BN201" i="1"/>
  <c r="BP201" i="1"/>
  <c r="Z203" i="1"/>
  <c r="BN203" i="1"/>
  <c r="Z205" i="1"/>
  <c r="BN205" i="1"/>
  <c r="Z207" i="1"/>
  <c r="BN207" i="1"/>
  <c r="Z213" i="1"/>
  <c r="Z221" i="1" s="1"/>
  <c r="BN213" i="1"/>
  <c r="Z215" i="1"/>
  <c r="BN215" i="1"/>
  <c r="Z217" i="1"/>
  <c r="BN217" i="1"/>
  <c r="Z219" i="1"/>
  <c r="BN219" i="1"/>
  <c r="Z225" i="1"/>
  <c r="Z226" i="1" s="1"/>
  <c r="BN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Z246" i="1"/>
  <c r="Z247" i="1" s="1"/>
  <c r="BN246" i="1"/>
  <c r="BP246" i="1"/>
  <c r="L601" i="1"/>
  <c r="Z256" i="1"/>
  <c r="Z261" i="1" s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6" i="1"/>
  <c r="U601" i="1"/>
  <c r="Z320" i="1"/>
  <c r="Z325" i="1" s="1"/>
  <c r="BN320" i="1"/>
  <c r="Z322" i="1"/>
  <c r="BN322" i="1"/>
  <c r="Z324" i="1"/>
  <c r="BN324" i="1"/>
  <c r="Y325" i="1"/>
  <c r="Z328" i="1"/>
  <c r="Z332" i="1" s="1"/>
  <c r="BN328" i="1"/>
  <c r="BP328" i="1"/>
  <c r="Z330" i="1"/>
  <c r="BN330" i="1"/>
  <c r="Z336" i="1"/>
  <c r="Z340" i="1" s="1"/>
  <c r="BN336" i="1"/>
  <c r="Z338" i="1"/>
  <c r="BN338" i="1"/>
  <c r="Z344" i="1"/>
  <c r="Z346" i="1" s="1"/>
  <c r="BN344" i="1"/>
  <c r="Z349" i="1"/>
  <c r="BN349" i="1"/>
  <c r="BP349" i="1"/>
  <c r="Z350" i="1"/>
  <c r="BN350" i="1"/>
  <c r="Z352" i="1"/>
  <c r="BN352" i="1"/>
  <c r="Z356" i="1"/>
  <c r="Z359" i="1" s="1"/>
  <c r="BN356" i="1"/>
  <c r="BP356" i="1"/>
  <c r="Z358" i="1"/>
  <c r="BN358" i="1"/>
  <c r="Z363" i="1"/>
  <c r="Z364" i="1" s="1"/>
  <c r="BN363" i="1"/>
  <c r="BP363" i="1"/>
  <c r="Y364" i="1"/>
  <c r="BP368" i="1"/>
  <c r="BN368" i="1"/>
  <c r="Z368" i="1"/>
  <c r="Z370" i="1" s="1"/>
  <c r="BP378" i="1"/>
  <c r="BN378" i="1"/>
  <c r="Z378" i="1"/>
  <c r="BP382" i="1"/>
  <c r="BN382" i="1"/>
  <c r="Z382" i="1"/>
  <c r="Y390" i="1"/>
  <c r="Y395" i="1"/>
  <c r="BP393" i="1"/>
  <c r="BN393" i="1"/>
  <c r="Z393" i="1"/>
  <c r="Z395" i="1" s="1"/>
  <c r="Y409" i="1"/>
  <c r="BP406" i="1"/>
  <c r="BN406" i="1"/>
  <c r="Z406" i="1"/>
  <c r="Y413" i="1"/>
  <c r="BP417" i="1"/>
  <c r="BN417" i="1"/>
  <c r="Z417" i="1"/>
  <c r="Y421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Z442" i="1" s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BP459" i="1"/>
  <c r="BN459" i="1"/>
  <c r="Z459" i="1"/>
  <c r="Y461" i="1"/>
  <c r="AA601" i="1"/>
  <c r="Y466" i="1"/>
  <c r="BP464" i="1"/>
  <c r="BN464" i="1"/>
  <c r="Z464" i="1"/>
  <c r="Z466" i="1" s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Y503" i="1"/>
  <c r="BP511" i="1"/>
  <c r="BN511" i="1"/>
  <c r="Z511" i="1"/>
  <c r="Z517" i="1" s="1"/>
  <c r="BP515" i="1"/>
  <c r="BN515" i="1"/>
  <c r="Z515" i="1"/>
  <c r="AB601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Y594" i="1" l="1"/>
  <c r="Z353" i="1"/>
  <c r="Z282" i="1"/>
  <c r="Z273" i="1"/>
  <c r="Z238" i="1"/>
  <c r="Z565" i="1"/>
  <c r="Z547" i="1"/>
  <c r="Z502" i="1"/>
  <c r="Z495" i="1"/>
  <c r="Z421" i="1"/>
  <c r="Z128" i="1"/>
  <c r="Z90" i="1"/>
  <c r="Z83" i="1"/>
  <c r="Z62" i="1"/>
  <c r="X594" i="1"/>
  <c r="Z523" i="1"/>
  <c r="Z460" i="1"/>
  <c r="Z183" i="1"/>
  <c r="Z110" i="1"/>
  <c r="Z41" i="1"/>
  <c r="Z596" i="1" s="1"/>
  <c r="Y595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<sst xmlns="http://schemas.openxmlformats.org/spreadsheetml/2006/main" count="2720" uniqueCount="975">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</sst>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9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2000</v>
      </c>
      <c r="Y375" s="664">
        <f t="shared" ref="Y375:Y384" si="58">IFERROR(IF(X375="",0,CEILING((X375/$H375),1)*$H375),"")</f>
        <v>2010</v>
      </c>
      <c r="Z375" s="36">
        <f>IFERROR(IF(Y375=0,"",ROUNDUP(Y375/H375,0)*0.02175),"")</f>
        <v>2.9144999999999999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2064</v>
      </c>
      <c r="BN375" s="64">
        <f t="shared" ref="BN375:BN384" si="60">IFERROR(Y375*I375/H375,"0")</f>
        <v>2074.3200000000002</v>
      </c>
      <c r="BO375" s="64">
        <f t="shared" ref="BO375:BO384" si="61">IFERROR(1/J375*(X375/H375),"0")</f>
        <v>2.7777777777777777</v>
      </c>
      <c r="BP375" s="64">
        <f t="shared" ref="BP375:BP384" si="62">IFERROR(1/J375*(Y375/H375),"0")</f>
        <v>2.7916666666666665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1000</v>
      </c>
      <c r="Y379" s="664">
        <f t="shared" si="58"/>
        <v>1005</v>
      </c>
      <c r="Z379" s="36">
        <f>IFERROR(IF(Y379=0,"",ROUNDUP(Y379/H379,0)*0.02175),"")</f>
        <v>1.4572499999999999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1032</v>
      </c>
      <c r="BN379" s="64">
        <f t="shared" si="60"/>
        <v>1037.1600000000001</v>
      </c>
      <c r="BO379" s="64">
        <f t="shared" si="61"/>
        <v>1.3888888888888888</v>
      </c>
      <c r="BP379" s="64">
        <f t="shared" si="62"/>
        <v>1.3958333333333333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500</v>
      </c>
      <c r="Y380" s="664">
        <f t="shared" si="58"/>
        <v>510</v>
      </c>
      <c r="Z380" s="36">
        <f>IFERROR(IF(Y380=0,"",ROUNDUP(Y380/H380,0)*0.02175),"")</f>
        <v>0.73949999999999994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516</v>
      </c>
      <c r="BN380" s="64">
        <f t="shared" si="60"/>
        <v>526.32000000000005</v>
      </c>
      <c r="BO380" s="64">
        <f t="shared" si="61"/>
        <v>0.69444444444444442</v>
      </c>
      <c r="BP380" s="64">
        <f t="shared" si="62"/>
        <v>0.70833333333333326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233.33333333333334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235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5.1112499999999992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3500</v>
      </c>
      <c r="Y386" s="665">
        <f>IFERROR(SUM(Y375:Y384),"0")</f>
        <v>3525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1000</v>
      </c>
      <c r="Y388" s="664">
        <f>IFERROR(IF(X388="",0,CEILING((X388/$H388),1)*$H388),"")</f>
        <v>1005</v>
      </c>
      <c r="Z388" s="36">
        <f>IFERROR(IF(Y388=0,"",ROUNDUP(Y388/H388,0)*0.02175),"")</f>
        <v>1.4572499999999999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1032</v>
      </c>
      <c r="BN388" s="64">
        <f>IFERROR(Y388*I388/H388,"0")</f>
        <v>1037.1600000000001</v>
      </c>
      <c r="BO388" s="64">
        <f>IFERROR(1/J388*(X388/H388),"0")</f>
        <v>1.3888888888888888</v>
      </c>
      <c r="BP388" s="64">
        <f>IFERROR(1/J388*(Y388/H388),"0")</f>
        <v>1.3958333333333333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66.666666666666671</v>
      </c>
      <c r="Y390" s="665">
        <f>IFERROR(Y388/H388,"0")+IFERROR(Y389/H389,"0")</f>
        <v>67</v>
      </c>
      <c r="Z390" s="665">
        <f>IFERROR(IF(Z388="",0,Z388),"0")+IFERROR(IF(Z389="",0,Z389),"0")</f>
        <v>1.4572499999999999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1000</v>
      </c>
      <c r="Y391" s="665">
        <f>IFERROR(SUM(Y388:Y389),"0")</f>
        <v>1005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2320</v>
      </c>
      <c r="Y416" s="664">
        <f>IFERROR(IF(X416="",0,CEILING((X416/$H416),1)*$H416),"")</f>
        <v>2322</v>
      </c>
      <c r="Z416" s="36">
        <f>IFERROR(IF(Y416=0,"",ROUNDUP(Y416/H416,0)*0.01898),"")</f>
        <v>4.8968400000000001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2453.7866666666669</v>
      </c>
      <c r="BN416" s="64">
        <f>IFERROR(Y416*I416/H416,"0")</f>
        <v>2455.902</v>
      </c>
      <c r="BO416" s="64">
        <f>IFERROR(1/J416*(X416/H416),"0")</f>
        <v>4.0277777777777777</v>
      </c>
      <c r="BP416" s="64">
        <f>IFERROR(1/J416*(Y416/H416),"0")</f>
        <v>4.03125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257.77777777777777</v>
      </c>
      <c r="Y421" s="665">
        <f>IFERROR(Y416/H416,"0")+IFERROR(Y417/H417,"0")+IFERROR(Y418/H418,"0")+IFERROR(Y419/H419,"0")+IFERROR(Y420/H420,"0")</f>
        <v>258</v>
      </c>
      <c r="Z421" s="665">
        <f>IFERROR(IF(Z416="",0,Z416),"0")+IFERROR(IF(Z417="",0,Z417),"0")+IFERROR(IF(Z418="",0,Z418),"0")+IFERROR(IF(Z419="",0,Z419),"0")+IFERROR(IF(Z420="",0,Z420),"0")</f>
        <v>4.8968400000000001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2320</v>
      </c>
      <c r="Y422" s="665">
        <f>IFERROR(SUM(Y416:Y420),"0")</f>
        <v>2322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500</v>
      </c>
      <c r="Y483" s="664">
        <f t="shared" si="69"/>
        <v>501.6</v>
      </c>
      <c r="Z483" s="36">
        <f>IFERROR(IF(Y483=0,"",ROUNDUP(Y483/H483,0)*0.01196),"")</f>
        <v>1.1362000000000001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534.09090909090912</v>
      </c>
      <c r="BN483" s="64">
        <f t="shared" si="71"/>
        <v>535.79999999999995</v>
      </c>
      <c r="BO483" s="64">
        <f t="shared" si="72"/>
        <v>0.91054778554778548</v>
      </c>
      <c r="BP483" s="64">
        <f t="shared" si="73"/>
        <v>0.91346153846153855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94.696969696969688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95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1.1362000000000001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500</v>
      </c>
      <c r="Y496" s="665">
        <f>IFERROR(SUM(Y480:Y494),"0")</f>
        <v>501.6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500</v>
      </c>
      <c r="Y498" s="664">
        <f>IFERROR(IF(X498="",0,CEILING((X498/$H498),1)*$H498),"")</f>
        <v>501.6</v>
      </c>
      <c r="Z498" s="36">
        <f>IFERROR(IF(Y498=0,"",ROUNDUP(Y498/H498,0)*0.01196),"")</f>
        <v>1.1362000000000001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534.09090909090912</v>
      </c>
      <c r="BN498" s="64">
        <f>IFERROR(Y498*I498/H498,"0")</f>
        <v>535.79999999999995</v>
      </c>
      <c r="BO498" s="64">
        <f>IFERROR(1/J498*(X498/H498),"0")</f>
        <v>0.91054778554778548</v>
      </c>
      <c r="BP498" s="64">
        <f>IFERROR(1/J498*(Y498/H498),"0")</f>
        <v>0.91346153846153855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94.696969696969688</v>
      </c>
      <c r="Y502" s="665">
        <f>IFERROR(Y498/H498,"0")+IFERROR(Y499/H499,"0")+IFERROR(Y500/H500,"0")+IFERROR(Y501/H501,"0")</f>
        <v>95</v>
      </c>
      <c r="Z502" s="665">
        <f>IFERROR(IF(Z498="",0,Z498),"0")+IFERROR(IF(Z499="",0,Z499),"0")+IFERROR(IF(Z500="",0,Z500),"0")+IFERROR(IF(Z501="",0,Z501),"0")</f>
        <v>1.1362000000000001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500</v>
      </c>
      <c r="Y503" s="665">
        <f>IFERROR(SUM(Y498:Y501),"0")</f>
        <v>501.6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7820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7855.2000000000007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8165.9684848484849</v>
      </c>
      <c r="Y592" s="665">
        <f>IFERROR(SUM(BN22:BN588),"0")</f>
        <v>8202.4620000000014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13</v>
      </c>
      <c r="Y593" s="38">
        <f>ROUNDUP(SUM(BP22:BP588),0)</f>
        <v>13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8490.9684848484849</v>
      </c>
      <c r="Y594" s="665">
        <f>GrossWeightTotalR+PalletQtyTotalR*25</f>
        <v>8527.4620000000014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747.17171717171732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750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13.737740000000001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4530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2322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1003.2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2025-04-17T09:07:51Z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