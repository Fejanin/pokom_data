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DC1AC0A4-B388-4BBF-A129-5B9A066D1E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Z55" i="1" l="1"/>
  <c r="Z139" i="1"/>
  <c r="Z193" i="1"/>
  <c r="Z77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221" i="1"/>
  <c r="Z161" i="1"/>
  <c r="Z547" i="1"/>
  <c r="Z517" i="1"/>
  <c r="Z442" i="1"/>
  <c r="Z332" i="1"/>
  <c r="Z83" i="1"/>
  <c r="Z596" i="1" s="1"/>
  <c r="Y595" i="1"/>
  <c r="Z408" i="1"/>
  <c r="Z370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<sst xmlns="http://schemas.openxmlformats.org/spreadsheetml/2006/main" count="2720" uniqueCount="975">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</sst>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300</v>
      </c>
      <c r="Y37" s="664">
        <f>IFERROR(IF(X37="",0,CEILING((X37/$H37),1)*$H37),"")</f>
        <v>302.40000000000003</v>
      </c>
      <c r="Z37" s="36">
        <f>IFERROR(IF(Y37=0,"",ROUNDUP(Y37/H37,0)*0.01898),"")</f>
        <v>0.53144000000000002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312.08333333333331</v>
      </c>
      <c r="BN37" s="64">
        <f>IFERROR(Y37*I37/H37,"0")</f>
        <v>314.58000000000004</v>
      </c>
      <c r="BO37" s="64">
        <f>IFERROR(1/J37*(X37/H37),"0")</f>
        <v>0.43402777777777773</v>
      </c>
      <c r="BP37" s="64">
        <f>IFERROR(1/J37*(Y37/H37),"0")</f>
        <v>0.4375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27.777777777777775</v>
      </c>
      <c r="Y41" s="665">
        <f>IFERROR(Y37/H37,"0")+IFERROR(Y38/H38,"0")+IFERROR(Y39/H39,"0")+IFERROR(Y40/H40,"0")</f>
        <v>28</v>
      </c>
      <c r="Z41" s="665">
        <f>IFERROR(IF(Z37="",0,Z37),"0")+IFERROR(IF(Z38="",0,Z38),"0")+IFERROR(IF(Z39="",0,Z39),"0")+IFERROR(IF(Z40="",0,Z40),"0")</f>
        <v>0.53144000000000002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300</v>
      </c>
      <c r="Y42" s="665">
        <f>IFERROR(SUM(Y37:Y40),"0")</f>
        <v>302.40000000000003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125</v>
      </c>
      <c r="Y49" s="664">
        <f t="shared" ref="Y49:Y54" si="6">IFERROR(IF(X49="",0,CEILING((X49/$H49),1)*$H49),"")</f>
        <v>134.39999999999998</v>
      </c>
      <c r="Z49" s="36">
        <f>IFERROR(IF(Y49=0,"",ROUNDUP(Y49/H49,0)*0.01898),"")</f>
        <v>0.22776000000000002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129.85491071428572</v>
      </c>
      <c r="BN49" s="64">
        <f t="shared" ref="BN49:BN54" si="8">IFERROR(Y49*I49/H49,"0")</f>
        <v>139.61999999999998</v>
      </c>
      <c r="BO49" s="64">
        <f t="shared" ref="BO49:BO54" si="9">IFERROR(1/J49*(X49/H49),"0")</f>
        <v>0.17438616071428573</v>
      </c>
      <c r="BP49" s="64">
        <f t="shared" ref="BP49:BP54" si="10">IFERROR(1/J49*(Y49/H49),"0")</f>
        <v>0.18749999999999997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80</v>
      </c>
      <c r="Y52" s="664">
        <f t="shared" si="6"/>
        <v>80</v>
      </c>
      <c r="Z52" s="36">
        <f>IFERROR(IF(Y52=0,"",ROUNDUP(Y52/H52,0)*0.00902),"")</f>
        <v>0.1804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84.2</v>
      </c>
      <c r="BN52" s="64">
        <f t="shared" si="8"/>
        <v>84.2</v>
      </c>
      <c r="BO52" s="64">
        <f t="shared" si="9"/>
        <v>0.15151515151515152</v>
      </c>
      <c r="BP52" s="64">
        <f t="shared" si="10"/>
        <v>0.15151515151515152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49.679232804232804</v>
      </c>
      <c r="Y55" s="665">
        <f>IFERROR(Y49/H49,"0")+IFERROR(Y50/H50,"0")+IFERROR(Y51/H51,"0")+IFERROR(Y52/H52,"0")+IFERROR(Y53/H53,"0")+IFERROR(Y54/H54,"0")</f>
        <v>51</v>
      </c>
      <c r="Z55" s="665">
        <f>IFERROR(IF(Z49="",0,Z49),"0")+IFERROR(IF(Z50="",0,Z50),"0")+IFERROR(IF(Z51="",0,Z51),"0")+IFERROR(IF(Z52="",0,Z52),"0")+IFERROR(IF(Z53="",0,Z53),"0")+IFERROR(IF(Z54="",0,Z54),"0")</f>
        <v>0.76878000000000002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405</v>
      </c>
      <c r="Y56" s="665">
        <f>IFERROR(SUM(Y49:Y54),"0")</f>
        <v>419.6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300</v>
      </c>
      <c r="Y87" s="664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27.777777777777775</v>
      </c>
      <c r="Y90" s="665">
        <f>IFERROR(Y87/H87,"0")+IFERROR(Y88/H88,"0")+IFERROR(Y89/H89,"0")</f>
        <v>28</v>
      </c>
      <c r="Z90" s="665">
        <f>IFERROR(IF(Z87="",0,Z87),"0")+IFERROR(IF(Z88="",0,Z88),"0")+IFERROR(IF(Z89="",0,Z89),"0")</f>
        <v>0.53144000000000002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300</v>
      </c>
      <c r="Y91" s="665">
        <f>IFERROR(SUM(Y87:Y89),"0")</f>
        <v>302.40000000000003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200</v>
      </c>
      <c r="Y106" s="664">
        <f>IFERROR(IF(X106="",0,CEILING((X106/$H106),1)*$H106),"")</f>
        <v>205.20000000000002</v>
      </c>
      <c r="Z106" s="36">
        <f>IFERROR(IF(Y106=0,"",ROUNDUP(Y106/H106,0)*0.01898),"")</f>
        <v>0.36062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208.05555555555554</v>
      </c>
      <c r="BN106" s="64">
        <f>IFERROR(Y106*I106/H106,"0")</f>
        <v>213.46499999999997</v>
      </c>
      <c r="BO106" s="64">
        <f>IFERROR(1/J106*(X106/H106),"0")</f>
        <v>0.28935185185185186</v>
      </c>
      <c r="BP106" s="64">
        <f>IFERROR(1/J106*(Y106/H106),"0")</f>
        <v>0.296875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18.518518518518519</v>
      </c>
      <c r="Y110" s="665">
        <f>IFERROR(Y106/H106,"0")+IFERROR(Y107/H107,"0")+IFERROR(Y108/H108,"0")+IFERROR(Y109/H109,"0")</f>
        <v>19</v>
      </c>
      <c r="Z110" s="665">
        <f>IFERROR(IF(Z106="",0,Z106),"0")+IFERROR(IF(Z107="",0,Z107),"0")+IFERROR(IF(Z108="",0,Z108),"0")+IFERROR(IF(Z109="",0,Z109),"0")</f>
        <v>0.36062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200</v>
      </c>
      <c r="Y111" s="665">
        <f>IFERROR(SUM(Y106:Y109),"0")</f>
        <v>205.20000000000002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60</v>
      </c>
      <c r="Y179" s="664">
        <f t="shared" si="27"/>
        <v>61.2</v>
      </c>
      <c r="Z179" s="36">
        <f>IFERROR(IF(Y179=0,"",ROUNDUP(Y179/H179,0)*0.00502),"")</f>
        <v>0.17068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64.333333333333329</v>
      </c>
      <c r="BN179" s="64">
        <f t="shared" si="29"/>
        <v>65.62</v>
      </c>
      <c r="BO179" s="64">
        <f t="shared" si="30"/>
        <v>0.14245014245014248</v>
      </c>
      <c r="BP179" s="64">
        <f t="shared" si="31"/>
        <v>0.14529914529914531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175</v>
      </c>
      <c r="Y180" s="664">
        <f t="shared" si="27"/>
        <v>176.4</v>
      </c>
      <c r="Z180" s="36">
        <f>IFERROR(IF(Y180=0,"",ROUNDUP(Y180/H180,0)*0.00502),"")</f>
        <v>0.42168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183.33333333333334</v>
      </c>
      <c r="BN180" s="64">
        <f t="shared" si="29"/>
        <v>184.8</v>
      </c>
      <c r="BO180" s="64">
        <f t="shared" si="30"/>
        <v>0.35612535612535612</v>
      </c>
      <c r="BP180" s="64">
        <f t="shared" si="31"/>
        <v>0.35897435897435903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116.66666666666666</v>
      </c>
      <c r="Y183" s="665">
        <f>IFERROR(Y174/H174,"0")+IFERROR(Y175/H175,"0")+IFERROR(Y176/H176,"0")+IFERROR(Y177/H177,"0")+IFERROR(Y178/H178,"0")+IFERROR(Y179/H179,"0")+IFERROR(Y180/H180,"0")+IFERROR(Y181/H181,"0")+IFERROR(Y182/H182,"0")</f>
        <v>118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0.59236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235</v>
      </c>
      <c r="Y184" s="665">
        <f>IFERROR(SUM(Y174:Y182),"0")</f>
        <v>237.60000000000002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200</v>
      </c>
      <c r="Y204" s="664">
        <f t="shared" si="32"/>
        <v>205.20000000000002</v>
      </c>
      <c r="Z204" s="36">
        <f>IFERROR(IF(Y204=0,"",ROUNDUP(Y204/H204,0)*0.00902),"")</f>
        <v>0.34276000000000001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207.77777777777777</v>
      </c>
      <c r="BN204" s="64">
        <f t="shared" si="34"/>
        <v>213.18000000000004</v>
      </c>
      <c r="BO204" s="64">
        <f t="shared" si="35"/>
        <v>0.28058361391694725</v>
      </c>
      <c r="BP204" s="64">
        <f t="shared" si="36"/>
        <v>0.2878787878787879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90</v>
      </c>
      <c r="Y205" s="664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120</v>
      </c>
      <c r="Y208" s="664">
        <f t="shared" si="32"/>
        <v>120.60000000000001</v>
      </c>
      <c r="Z208" s="36">
        <f>IFERROR(IF(Y208=0,"",ROUNDUP(Y208/H208,0)*0.00502),"")</f>
        <v>0.33634000000000003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126.66666666666666</v>
      </c>
      <c r="BN208" s="64">
        <f t="shared" si="34"/>
        <v>127.30000000000001</v>
      </c>
      <c r="BO208" s="64">
        <f t="shared" si="35"/>
        <v>0.28490028490028496</v>
      </c>
      <c r="BP208" s="64">
        <f t="shared" si="36"/>
        <v>0.28632478632478636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153.7037037037037</v>
      </c>
      <c r="Y209" s="665">
        <f>IFERROR(Y201/H201,"0")+IFERROR(Y202/H202,"0")+IFERROR(Y203/H203,"0")+IFERROR(Y204/H204,"0")+IFERROR(Y205/H205,"0")+IFERROR(Y206/H206,"0")+IFERROR(Y207/H207,"0")+IFERROR(Y208/H208,"0")</f>
        <v>155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0.93010000000000015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410</v>
      </c>
      <c r="Y210" s="665">
        <f>IFERROR(SUM(Y201:Y208),"0")</f>
        <v>415.80000000000007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118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0.76817999999999997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280</v>
      </c>
      <c r="Y222" s="665">
        <f>IFERROR(SUM(Y212:Y220),"0")</f>
        <v>283.2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33.333333333333336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34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0.73949999999999994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500</v>
      </c>
      <c r="Y386" s="665">
        <f>IFERROR(SUM(Y375:Y384),"0")</f>
        <v>510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800</v>
      </c>
      <c r="Y388" s="664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53.333333333333336</v>
      </c>
      <c r="Y390" s="665">
        <f>IFERROR(Y388/H388,"0")+IFERROR(Y389/H389,"0")</f>
        <v>54</v>
      </c>
      <c r="Z390" s="665">
        <f>IFERROR(IF(Z388="",0,Z388),"0")+IFERROR(IF(Z389="",0,Z389),"0")</f>
        <v>1.1744999999999999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800</v>
      </c>
      <c r="Y391" s="665">
        <f>IFERROR(SUM(Y388:Y389),"0")</f>
        <v>810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300</v>
      </c>
      <c r="Y482" s="664">
        <f t="shared" si="69"/>
        <v>300.96000000000004</v>
      </c>
      <c r="Z482" s="36">
        <f>IFERROR(IF(Y482=0,"",ROUNDUP(Y482/H482,0)*0.01196),"")</f>
        <v>0.68171999999999999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320.45454545454544</v>
      </c>
      <c r="BN482" s="64">
        <f t="shared" si="71"/>
        <v>321.48</v>
      </c>
      <c r="BO482" s="64">
        <f t="shared" si="72"/>
        <v>0.54632867132867136</v>
      </c>
      <c r="BP482" s="64">
        <f t="shared" si="73"/>
        <v>0.54807692307692313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400</v>
      </c>
      <c r="Y483" s="664">
        <f t="shared" si="69"/>
        <v>401.28000000000003</v>
      </c>
      <c r="Z483" s="36">
        <f>IFERROR(IF(Y483=0,"",ROUNDUP(Y483/H483,0)*0.01196),"")</f>
        <v>0.90895999999999999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427.27272727272725</v>
      </c>
      <c r="BN483" s="64">
        <f t="shared" si="71"/>
        <v>428.64</v>
      </c>
      <c r="BO483" s="64">
        <f t="shared" si="72"/>
        <v>0.72843822843822836</v>
      </c>
      <c r="BP483" s="64">
        <f t="shared" si="73"/>
        <v>0.73076923076923084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132.57575757575756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1.5906799999999999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700</v>
      </c>
      <c r="Y496" s="665">
        <f>IFERROR(SUM(Y480:Y494),"0")</f>
        <v>702.24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200</v>
      </c>
      <c r="Y506" s="664">
        <f t="shared" si="74"/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213.63636363636363</v>
      </c>
      <c r="BN506" s="64">
        <f t="shared" si="76"/>
        <v>214.32</v>
      </c>
      <c r="BO506" s="64">
        <f t="shared" si="77"/>
        <v>0.36421911421911418</v>
      </c>
      <c r="BP506" s="64">
        <f t="shared" si="78"/>
        <v>0.36538461538461542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75.757575757575751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400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4530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4589.72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4759.5437996031751</v>
      </c>
      <c r="Y592" s="665">
        <f>IFERROR(SUM(BN22:BN588),"0")</f>
        <v>4821.8580000000002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8</v>
      </c>
      <c r="Y593" s="38">
        <f>ROUNDUP(SUM(BP22:BP588),0)</f>
        <v>8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4959.5437996031751</v>
      </c>
      <c r="Y594" s="665">
        <f>GrossWeightTotalR+PalletQtyTotalR*25</f>
        <v>5021.8580000000002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805.79034391534401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814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8.8965599999999991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302.40000000000003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419.6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302.40000000000003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205.20000000000002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237.60000000000002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699.00000000000011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1320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1103.52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