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00EE4377-6DFD-4BE5-9D91-B2B81E00C9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Y443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I601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Y149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3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F10" i="1" s="1"/>
  <c r="D7" i="1"/>
  <c r="Q6" i="1"/>
  <c r="P2" i="1"/>
  <c r="H9" i="1" l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BP159" i="1"/>
  <c r="BN159" i="1"/>
  <c r="Z159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Y282" i="1"/>
  <c r="BP309" i="1"/>
  <c r="BN309" i="1"/>
  <c r="Z309" i="1"/>
  <c r="Z310" i="1" s="1"/>
  <c r="BP320" i="1"/>
  <c r="BN320" i="1"/>
  <c r="Z320" i="1"/>
  <c r="Z325" i="1" s="1"/>
  <c r="Y326" i="1"/>
  <c r="BP324" i="1"/>
  <c r="BN324" i="1"/>
  <c r="Z324" i="1"/>
  <c r="F9" i="1"/>
  <c r="J9" i="1"/>
  <c r="Z22" i="1"/>
  <c r="Z28" i="1" s="1"/>
  <c r="BN22" i="1"/>
  <c r="BP22" i="1"/>
  <c r="Z26" i="1"/>
  <c r="BN26" i="1"/>
  <c r="X595" i="1"/>
  <c r="Y29" i="1"/>
  <c r="C601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1" i="1"/>
  <c r="Z88" i="1"/>
  <c r="Z90" i="1" s="1"/>
  <c r="BN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Z109" i="1"/>
  <c r="BN109" i="1"/>
  <c r="Y110" i="1"/>
  <c r="Z113" i="1"/>
  <c r="BN113" i="1"/>
  <c r="BP113" i="1"/>
  <c r="Z115" i="1"/>
  <c r="BN115" i="1"/>
  <c r="Z120" i="1"/>
  <c r="Z128" i="1" s="1"/>
  <c r="BN120" i="1"/>
  <c r="Z123" i="1"/>
  <c r="BN123" i="1"/>
  <c r="Z124" i="1"/>
  <c r="BN124" i="1"/>
  <c r="Z126" i="1"/>
  <c r="BN126" i="1"/>
  <c r="Z132" i="1"/>
  <c r="Z133" i="1" s="1"/>
  <c r="BN132" i="1"/>
  <c r="Z137" i="1"/>
  <c r="Z139" i="1" s="1"/>
  <c r="BN137" i="1"/>
  <c r="BP137" i="1"/>
  <c r="Y140" i="1"/>
  <c r="Y145" i="1"/>
  <c r="Z143" i="1"/>
  <c r="Z144" i="1" s="1"/>
  <c r="BN143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Z161" i="1" s="1"/>
  <c r="Y161" i="1"/>
  <c r="BP175" i="1"/>
  <c r="BN175" i="1"/>
  <c r="Z175" i="1"/>
  <c r="BP180" i="1"/>
  <c r="BN180" i="1"/>
  <c r="Z180" i="1"/>
  <c r="Y198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Y243" i="1"/>
  <c r="BP257" i="1"/>
  <c r="BN257" i="1"/>
  <c r="Z257" i="1"/>
  <c r="Y261" i="1"/>
  <c r="Z273" i="1"/>
  <c r="BP271" i="1"/>
  <c r="BN271" i="1"/>
  <c r="Z271" i="1"/>
  <c r="BP280" i="1"/>
  <c r="BN280" i="1"/>
  <c r="Z280" i="1"/>
  <c r="Z282" i="1" s="1"/>
  <c r="Y172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Z495" i="1" s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528" i="1"/>
  <c r="Z442" i="1"/>
  <c r="Z421" i="1"/>
  <c r="Z238" i="1"/>
  <c r="Z183" i="1"/>
  <c r="Z116" i="1"/>
  <c r="Z77" i="1"/>
  <c r="Y592" i="1"/>
  <c r="Z547" i="1"/>
  <c r="Z517" i="1"/>
  <c r="Z385" i="1"/>
  <c r="Z359" i="1"/>
  <c r="Z353" i="1"/>
  <c r="Z102" i="1"/>
  <c r="Z68" i="1"/>
  <c r="Z55" i="1"/>
  <c r="Z596" i="1" s="1"/>
  <c r="Y591" i="1"/>
  <c r="Y593" i="1"/>
  <c r="Z261" i="1"/>
  <c r="Z221" i="1"/>
  <c r="Y595" i="1"/>
  <c r="Y594" i="1" l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<sst xmlns="http://schemas.openxmlformats.org/spreadsheetml/2006/main" count="2720" uniqueCount="975">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</sst>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6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3570</v>
      </c>
      <c r="Y375" s="664">
        <f t="shared" ref="Y375:Y384" si="58">IFERROR(IF(X375="",0,CEILING((X375/$H375),1)*$H375),"")</f>
        <v>3570</v>
      </c>
      <c r="Z375" s="36">
        <f>IFERROR(IF(Y375=0,"",ROUNDUP(Y375/H375,0)*0.02175),"")</f>
        <v>5.1764999999999999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3684.24</v>
      </c>
      <c r="BN375" s="64">
        <f t="shared" ref="BN375:BN384" si="60">IFERROR(Y375*I375/H375,"0")</f>
        <v>3684.24</v>
      </c>
      <c r="BO375" s="64">
        <f t="shared" ref="BO375:BO384" si="61">IFERROR(1/J375*(X375/H375),"0")</f>
        <v>4.958333333333333</v>
      </c>
      <c r="BP375" s="64">
        <f t="shared" ref="BP375:BP384" si="62">IFERROR(1/J375*(Y375/H375),"0")</f>
        <v>4.958333333333333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238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238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5.1764999999999999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3570</v>
      </c>
      <c r="Y386" s="665">
        <f>IFERROR(SUM(Y375:Y384),"0")</f>
        <v>3570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3570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3570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3684.24</v>
      </c>
      <c r="Y592" s="665">
        <f>IFERROR(SUM(BN22:BN588),"0")</f>
        <v>3684.24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5</v>
      </c>
      <c r="Y593" s="38">
        <f>ROUNDUP(SUM(BP22:BP588),0)</f>
        <v>5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3809.24</v>
      </c>
      <c r="Y594" s="665">
        <f>GrossWeightTotalR+PalletQtyTotalR*25</f>
        <v>3809.24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238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238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5.1764999999999999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3570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