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CE39F47F-64C1-4AD4-B14D-47FF5754A6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Y150" i="1" s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77" i="1" l="1"/>
  <c r="Z55" i="1"/>
  <c r="Z139" i="1"/>
  <c r="Z193" i="1"/>
  <c r="Y33" i="1"/>
  <c r="Y41" i="1"/>
  <c r="Y62" i="1"/>
  <c r="Y78" i="1"/>
  <c r="Y84" i="1"/>
  <c r="Y103" i="1"/>
  <c r="Y129" i="1"/>
  <c r="Y133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29" i="1"/>
  <c r="Y56" i="1"/>
  <c r="Y68" i="1"/>
  <c r="Y91" i="1"/>
  <c r="Y110" i="1"/>
  <c r="Y116" i="1"/>
  <c r="Y140" i="1"/>
  <c r="Y144" i="1"/>
  <c r="BP148" i="1"/>
  <c r="BN148" i="1"/>
  <c r="Z148" i="1"/>
  <c r="Z149" i="1" s="1"/>
  <c r="H601" i="1"/>
  <c r="Y154" i="1"/>
  <c r="BP153" i="1"/>
  <c r="BN153" i="1"/>
  <c r="Z153" i="1"/>
  <c r="Z154" i="1" s="1"/>
  <c r="Y155" i="1"/>
  <c r="H9" i="1"/>
  <c r="B601" i="1"/>
  <c r="X593" i="1"/>
  <c r="X594" i="1" s="1"/>
  <c r="Z23" i="1"/>
  <c r="Z28" i="1" s="1"/>
  <c r="BN23" i="1"/>
  <c r="Y592" i="1" s="1"/>
  <c r="Y594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Z183" i="1" s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Z238" i="1" s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385" i="1"/>
  <c r="Z221" i="1"/>
  <c r="Z408" i="1"/>
  <c r="Z547" i="1"/>
  <c r="Z517" i="1"/>
  <c r="Z442" i="1"/>
  <c r="Z332" i="1"/>
  <c r="Z83" i="1"/>
  <c r="Y595" i="1"/>
  <c r="Y591" i="1"/>
  <c r="Z161" i="1"/>
  <c r="Z596" i="1" s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<sst xmlns="http://schemas.openxmlformats.org/spreadsheetml/2006/main" count="2720" uniqueCount="975">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</sst>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9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3</v>
      </c>
      <c r="Y31" s="664">
        <f>IFERROR(IF(X31="",0,CEILING((X31/$H31),1)*$H31),"")</f>
        <v>3</v>
      </c>
      <c r="Z31" s="36">
        <f>IFERROR(IF(Y31=0,"",ROUNDUP(Y31/H31,0)*0.00651),"")</f>
        <v>3.2550000000000003E-2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4.1099999999999994</v>
      </c>
      <c r="BN31" s="64">
        <f>IFERROR(Y31*I31/H31,"0")</f>
        <v>4.1099999999999994</v>
      </c>
      <c r="BO31" s="64">
        <f>IFERROR(1/J31*(X31/H31),"0")</f>
        <v>2.7472527472527476E-2</v>
      </c>
      <c r="BP31" s="64">
        <f>IFERROR(1/J31*(Y31/H31),"0")</f>
        <v>2.7472527472527476E-2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5</v>
      </c>
      <c r="Y32" s="665">
        <f>IFERROR(Y31/H31,"0")</f>
        <v>5</v>
      </c>
      <c r="Z32" s="665">
        <f>IFERROR(IF(Z31="",0,Z31),"0")</f>
        <v>3.2550000000000003E-2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3</v>
      </c>
      <c r="Y33" s="665">
        <f>IFERROR(SUM(Y31:Y31),"0")</f>
        <v>3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27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28.087499999999995</v>
      </c>
      <c r="BN37" s="64">
        <f>IFERROR(Y37*I37/H37,"0")</f>
        <v>33.705000000000005</v>
      </c>
      <c r="BO37" s="64">
        <f>IFERROR(1/J37*(X37/H37),"0")</f>
        <v>3.90625E-2</v>
      </c>
      <c r="BP37" s="64">
        <f>IFERROR(1/J37*(Y37/H37),"0")</f>
        <v>4.6875000000000007E-2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2.5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27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27</v>
      </c>
      <c r="Y49" s="664">
        <f t="shared" ref="Y49:Y54" si="6">IFERROR(IF(X49="",0,CEILING((X49/$H49),1)*$H49),"")</f>
        <v>33.599999999999994</v>
      </c>
      <c r="Z49" s="36">
        <f>IFERROR(IF(Y49=0,"",ROUNDUP(Y49/H49,0)*0.01898),"")</f>
        <v>5.6940000000000004E-2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28.048660714285713</v>
      </c>
      <c r="BN49" s="64">
        <f t="shared" ref="BN49:BN54" si="8">IFERROR(Y49*I49/H49,"0")</f>
        <v>34.904999999999994</v>
      </c>
      <c r="BO49" s="64">
        <f t="shared" ref="BO49:BO54" si="9">IFERROR(1/J49*(X49/H49),"0")</f>
        <v>3.7667410714285719E-2</v>
      </c>
      <c r="BP49" s="64">
        <f t="shared" ref="BP49:BP54" si="10">IFERROR(1/J49*(Y49/H49),"0")</f>
        <v>4.6874999999999993E-2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34</v>
      </c>
      <c r="Y52" s="664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35.784999999999997</v>
      </c>
      <c r="BN52" s="64">
        <f t="shared" si="8"/>
        <v>37.89</v>
      </c>
      <c r="BO52" s="64">
        <f t="shared" si="9"/>
        <v>6.4393939393939392E-2</v>
      </c>
      <c r="BP52" s="64">
        <f t="shared" si="10"/>
        <v>6.8181818181818177E-2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10.910714285714286</v>
      </c>
      <c r="Y55" s="665">
        <f>IFERROR(Y49/H49,"0")+IFERROR(Y50/H50,"0")+IFERROR(Y51/H51,"0")+IFERROR(Y52/H52,"0")+IFERROR(Y53/H53,"0")+IFERROR(Y54/H54,"0")</f>
        <v>12</v>
      </c>
      <c r="Z55" s="665">
        <f>IFERROR(IF(Z49="",0,Z49),"0")+IFERROR(IF(Z50="",0,Z50),"0")+IFERROR(IF(Z51="",0,Z51),"0")+IFERROR(IF(Z52="",0,Z52),"0")+IFERROR(IF(Z53="",0,Z53),"0")+IFERROR(IF(Z54="",0,Z54),"0")</f>
        <v>0.13812000000000002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61</v>
      </c>
      <c r="Y56" s="665">
        <f>IFERROR(SUM(Y49:Y54),"0")</f>
        <v>69.599999999999994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33</v>
      </c>
      <c r="Y58" s="664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34.329166666666666</v>
      </c>
      <c r="BN58" s="64">
        <f>IFERROR(Y58*I58/H58,"0")</f>
        <v>44.94</v>
      </c>
      <c r="BO58" s="64">
        <f>IFERROR(1/J58*(X58/H58),"0")</f>
        <v>4.7743055555555552E-2</v>
      </c>
      <c r="BP58" s="64">
        <f>IFERROR(1/J58*(Y58/H58),"0")</f>
        <v>6.25E-2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3.0555555555555554</v>
      </c>
      <c r="Y62" s="665">
        <f>IFERROR(Y58/H58,"0")+IFERROR(Y59/H59,"0")+IFERROR(Y60/H60,"0")+IFERROR(Y61/H61,"0")</f>
        <v>4</v>
      </c>
      <c r="Z62" s="665">
        <f>IFERROR(IF(Z58="",0,Z58),"0")+IFERROR(IF(Z59="",0,Z59),"0")+IFERROR(IF(Z60="",0,Z60),"0")+IFERROR(IF(Z61="",0,Z61),"0")</f>
        <v>7.5920000000000001E-2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33</v>
      </c>
      <c r="Y63" s="665">
        <f>IFERROR(SUM(Y58:Y61),"0")</f>
        <v>43.2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3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3.1666666666666661</v>
      </c>
      <c r="BN66" s="64">
        <f>IFERROR(Y66*I66/H66,"0")</f>
        <v>3.8</v>
      </c>
      <c r="BO66" s="64">
        <f>IFERROR(1/J66*(X66/H66),"0")</f>
        <v>7.1225071225071226E-3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7</v>
      </c>
      <c r="Y67" s="664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7.3888888888888884</v>
      </c>
      <c r="BN67" s="64">
        <f>IFERROR(Y67*I67/H67,"0")</f>
        <v>7.6</v>
      </c>
      <c r="BO67" s="64">
        <f>IFERROR(1/J67*(X67/H67),"0")</f>
        <v>1.6619183285849954E-2</v>
      </c>
      <c r="BP67" s="64">
        <f>IFERROR(1/J67*(Y67/H67),"0")</f>
        <v>1.7094017094017096E-2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5.5555555555555554</v>
      </c>
      <c r="Y68" s="665">
        <f>IFERROR(Y65/H65,"0")+IFERROR(Y66/H66,"0")+IFERROR(Y67/H67,"0")</f>
        <v>6</v>
      </c>
      <c r="Z68" s="665">
        <f>IFERROR(IF(Z65="",0,Z65),"0")+IFERROR(IF(Z66="",0,Z66),"0")+IFERROR(IF(Z67="",0,Z67),"0")</f>
        <v>3.0120000000000001E-2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10</v>
      </c>
      <c r="Y69" s="665">
        <f>IFERROR(SUM(Y65:Y67),"0")</f>
        <v>10.8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59</v>
      </c>
      <c r="Y87" s="664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61.376388888888883</v>
      </c>
      <c r="BN87" s="64">
        <f>IFERROR(Y87*I87/H87,"0")</f>
        <v>67.410000000000011</v>
      </c>
      <c r="BO87" s="64">
        <f>IFERROR(1/J87*(X87/H87),"0")</f>
        <v>8.5358796296296294E-2</v>
      </c>
      <c r="BP87" s="64">
        <f>IFERROR(1/J87*(Y87/H87),"0")</f>
        <v>9.3750000000000014E-2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34</v>
      </c>
      <c r="Y89" s="664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35.586666666666666</v>
      </c>
      <c r="BN89" s="64">
        <f>IFERROR(Y89*I89/H89,"0")</f>
        <v>37.68</v>
      </c>
      <c r="BO89" s="64">
        <f>IFERROR(1/J89*(X89/H89),"0")</f>
        <v>5.7239057239057242E-2</v>
      </c>
      <c r="BP89" s="64">
        <f>IFERROR(1/J89*(Y89/H89),"0")</f>
        <v>6.0606060606060608E-2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13.018518518518519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0.18604000000000001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93</v>
      </c>
      <c r="Y91" s="665">
        <f>IFERROR(SUM(Y87:Y89),"0")</f>
        <v>100.80000000000001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50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52.013888888888886</v>
      </c>
      <c r="BN106" s="64">
        <f>IFERROR(Y106*I106/H106,"0")</f>
        <v>56.17499999999999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47</v>
      </c>
      <c r="Y108" s="664">
        <f>IFERROR(IF(X108="",0,CEILING((X108/$H108),1)*$H108),"")</f>
        <v>49.5</v>
      </c>
      <c r="Z108" s="36">
        <f>IFERROR(IF(Y108=0,"",ROUNDUP(Y108/H108,0)*0.00902),"")</f>
        <v>9.9220000000000003E-2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49.193333333333335</v>
      </c>
      <c r="BN108" s="64">
        <f>IFERROR(Y108*I108/H108,"0")</f>
        <v>51.81</v>
      </c>
      <c r="BO108" s="64">
        <f>IFERROR(1/J108*(X108/H108),"0")</f>
        <v>7.9124579124579125E-2</v>
      </c>
      <c r="BP108" s="64">
        <f>IFERROR(1/J108*(Y108/H108),"0")</f>
        <v>8.3333333333333343E-2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15.074074074074074</v>
      </c>
      <c r="Y110" s="665">
        <f>IFERROR(Y106/H106,"0")+IFERROR(Y107/H107,"0")+IFERROR(Y108/H108,"0")+IFERROR(Y109/H109,"0")</f>
        <v>16</v>
      </c>
      <c r="Z110" s="665">
        <f>IFERROR(IF(Z106="",0,Z106),"0")+IFERROR(IF(Z107="",0,Z107),"0")+IFERROR(IF(Z108="",0,Z108),"0")+IFERROR(IF(Z109="",0,Z109),"0")</f>
        <v>0.19412000000000001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97</v>
      </c>
      <c r="Y111" s="665">
        <f>IFERROR(SUM(Y106:Y109),"0")</f>
        <v>103.5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73</v>
      </c>
      <c r="Y120" s="664">
        <f t="shared" si="21"/>
        <v>75.600000000000009</v>
      </c>
      <c r="Z120" s="36">
        <f>IFERROR(IF(Y120=0,"",ROUNDUP(Y120/H120,0)*0.01898),"")</f>
        <v>0.17082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77.458214285714277</v>
      </c>
      <c r="BN120" s="64">
        <f t="shared" si="23"/>
        <v>80.217000000000013</v>
      </c>
      <c r="BO120" s="64">
        <f t="shared" si="24"/>
        <v>0.13578869047619047</v>
      </c>
      <c r="BP120" s="64">
        <f t="shared" si="25"/>
        <v>0.140625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7</v>
      </c>
      <c r="Y125" s="664">
        <f t="shared" si="21"/>
        <v>8.1000000000000014</v>
      </c>
      <c r="Z125" s="36">
        <f t="shared" si="26"/>
        <v>1.9529999999999999E-2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7.6533333333333333</v>
      </c>
      <c r="BN125" s="64">
        <f t="shared" si="23"/>
        <v>8.8560000000000016</v>
      </c>
      <c r="BO125" s="64">
        <f t="shared" si="24"/>
        <v>1.4245014245014245E-2</v>
      </c>
      <c r="BP125" s="64">
        <f t="shared" si="25"/>
        <v>1.6483516483516487E-2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11.283068783068781</v>
      </c>
      <c r="Y128" s="665">
        <f>IFERROR(Y119/H119,"0")+IFERROR(Y120/H120,"0")+IFERROR(Y121/H121,"0")+IFERROR(Y122/H122,"0")+IFERROR(Y123/H123,"0")+IFERROR(Y124/H124,"0")+IFERROR(Y125/H125,"0")+IFERROR(Y126/H126,"0")+IFERROR(Y127/H127,"0")</f>
        <v>12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0.19034999999999999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80</v>
      </c>
      <c r="Y129" s="665">
        <f>IFERROR(SUM(Y119:Y127),"0")</f>
        <v>83.700000000000017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38</v>
      </c>
      <c r="Y170" s="664">
        <f>IFERROR(IF(X170="",0,CEILING((X170/$H170),1)*$H170),"")</f>
        <v>39.6</v>
      </c>
      <c r="Z170" s="36">
        <f>IFERROR(IF(Y170=0,"",ROUNDUP(Y170/H170,0)*0.00502),"")</f>
        <v>0.1004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39.919191919191924</v>
      </c>
      <c r="BN170" s="64">
        <f>IFERROR(Y170*I170/H170,"0")</f>
        <v>41.600000000000009</v>
      </c>
      <c r="BO170" s="64">
        <f>IFERROR(1/J170*(X170/H170),"0")</f>
        <v>8.2016748683415366E-2</v>
      </c>
      <c r="BP170" s="64">
        <f>IFERROR(1/J170*(Y170/H170),"0")</f>
        <v>8.5470085470085472E-2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19.191919191919194</v>
      </c>
      <c r="Y171" s="665">
        <f>IFERROR(Y170/H170,"0")</f>
        <v>20</v>
      </c>
      <c r="Z171" s="665">
        <f>IFERROR(IF(Z170="",0,Z170),"0")</f>
        <v>0.1004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38</v>
      </c>
      <c r="Y172" s="665">
        <f>IFERROR(SUM(Y170:Y170),"0")</f>
        <v>39.6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138</v>
      </c>
      <c r="Y174" s="664">
        <f t="shared" ref="Y174:Y182" si="27">IFERROR(IF(X174="",0,CEILING((X174/$H174),1)*$H174),"")</f>
        <v>138.6</v>
      </c>
      <c r="Z174" s="36">
        <f>IFERROR(IF(Y174=0,"",ROUNDUP(Y174/H174,0)*0.00902),"")</f>
        <v>0.29766000000000004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146.87142857142857</v>
      </c>
      <c r="BN174" s="64">
        <f t="shared" ref="BN174:BN182" si="29">IFERROR(Y174*I174/H174,"0")</f>
        <v>147.50999999999996</v>
      </c>
      <c r="BO174" s="64">
        <f t="shared" ref="BO174:BO182" si="30">IFERROR(1/J174*(X174/H174),"0")</f>
        <v>0.2489177489177489</v>
      </c>
      <c r="BP174" s="64">
        <f t="shared" ref="BP174:BP182" si="31">IFERROR(1/J174*(Y174/H174),"0")</f>
        <v>0.25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199</v>
      </c>
      <c r="Y176" s="664">
        <f t="shared" si="27"/>
        <v>201.60000000000002</v>
      </c>
      <c r="Z176" s="36">
        <f>IFERROR(IF(Y176=0,"",ROUNDUP(Y176/H176,0)*0.00902),"")</f>
        <v>0.43296000000000001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208.95</v>
      </c>
      <c r="BN176" s="64">
        <f t="shared" si="29"/>
        <v>211.68000000000004</v>
      </c>
      <c r="BO176" s="64">
        <f t="shared" si="30"/>
        <v>0.35894660894660896</v>
      </c>
      <c r="BP176" s="64">
        <f t="shared" si="31"/>
        <v>0.36363636363636365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40</v>
      </c>
      <c r="Y179" s="664">
        <f t="shared" si="27"/>
        <v>41.4</v>
      </c>
      <c r="Z179" s="36">
        <f>IFERROR(IF(Y179=0,"",ROUNDUP(Y179/H179,0)*0.00502),"")</f>
        <v>0.11546000000000001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42.888888888888893</v>
      </c>
      <c r="BN179" s="64">
        <f t="shared" si="29"/>
        <v>44.39</v>
      </c>
      <c r="BO179" s="64">
        <f t="shared" si="30"/>
        <v>9.4966761633428307E-2</v>
      </c>
      <c r="BP179" s="64">
        <f t="shared" si="31"/>
        <v>9.8290598290598302E-2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28</v>
      </c>
      <c r="Y180" s="664">
        <f t="shared" si="27"/>
        <v>29.400000000000002</v>
      </c>
      <c r="Z180" s="36">
        <f>IFERROR(IF(Y180=0,"",ROUNDUP(Y180/H180,0)*0.00502),"")</f>
        <v>7.0280000000000009E-2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29.333333333333336</v>
      </c>
      <c r="BN180" s="64">
        <f t="shared" si="29"/>
        <v>30.8</v>
      </c>
      <c r="BO180" s="64">
        <f t="shared" si="30"/>
        <v>5.6980056980056981E-2</v>
      </c>
      <c r="BP180" s="64">
        <f t="shared" si="31"/>
        <v>5.9829059829059839E-2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115.7936507936508</v>
      </c>
      <c r="Y183" s="665">
        <f>IFERROR(Y174/H174,"0")+IFERROR(Y175/H175,"0")+IFERROR(Y176/H176,"0")+IFERROR(Y177/H177,"0")+IFERROR(Y178/H178,"0")+IFERROR(Y179/H179,"0")+IFERROR(Y180/H180,"0")+IFERROR(Y181/H181,"0")+IFERROR(Y182/H182,"0")</f>
        <v>118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0.91636000000000006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405</v>
      </c>
      <c r="Y184" s="665">
        <f>IFERROR(SUM(Y174:Y182),"0")</f>
        <v>411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164</v>
      </c>
      <c r="Y201" s="664">
        <f t="shared" ref="Y201:Y208" si="32">IFERROR(IF(X201="",0,CEILING((X201/$H201),1)*$H201),"")</f>
        <v>167.4</v>
      </c>
      <c r="Z201" s="36">
        <f>IFERROR(IF(Y201=0,"",ROUNDUP(Y201/H201,0)*0.00902),"")</f>
        <v>0.27961999999999998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170.37777777777779</v>
      </c>
      <c r="BN201" s="64">
        <f t="shared" ref="BN201:BN208" si="34">IFERROR(Y201*I201/H201,"0")</f>
        <v>173.91</v>
      </c>
      <c r="BO201" s="64">
        <f t="shared" ref="BO201:BO208" si="35">IFERROR(1/J201*(X201/H201),"0")</f>
        <v>0.23007856341189672</v>
      </c>
      <c r="BP201" s="64">
        <f t="shared" ref="BP201:BP208" si="36">IFERROR(1/J201*(Y201/H201),"0")</f>
        <v>0.23484848484848486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79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82.072222222222223</v>
      </c>
      <c r="BN202" s="64">
        <f t="shared" si="34"/>
        <v>84.15</v>
      </c>
      <c r="BO202" s="64">
        <f t="shared" si="35"/>
        <v>0.11083052749719416</v>
      </c>
      <c r="BP202" s="64">
        <f t="shared" si="36"/>
        <v>0.11363636363636363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115</v>
      </c>
      <c r="Y204" s="664">
        <f t="shared" si="32"/>
        <v>118.80000000000001</v>
      </c>
      <c r="Z204" s="36">
        <f>IFERROR(IF(Y204=0,"",ROUNDUP(Y204/H204,0)*0.00902),"")</f>
        <v>0.19844000000000001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119.47222222222223</v>
      </c>
      <c r="BN204" s="64">
        <f t="shared" si="34"/>
        <v>123.42</v>
      </c>
      <c r="BO204" s="64">
        <f t="shared" si="35"/>
        <v>0.16133557800224466</v>
      </c>
      <c r="BP204" s="64">
        <f t="shared" si="36"/>
        <v>0.16666666666666669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27</v>
      </c>
      <c r="Y206" s="664">
        <f t="shared" si="32"/>
        <v>27</v>
      </c>
      <c r="Z206" s="36">
        <f>IFERROR(IF(Y206=0,"",ROUNDUP(Y206/H206,0)*0.00502),"")</f>
        <v>7.5300000000000006E-2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28.499999999999996</v>
      </c>
      <c r="BN206" s="64">
        <f t="shared" si="34"/>
        <v>28.499999999999996</v>
      </c>
      <c r="BO206" s="64">
        <f t="shared" si="35"/>
        <v>6.4102564102564111E-2</v>
      </c>
      <c r="BP206" s="64">
        <f t="shared" si="36"/>
        <v>6.4102564102564111E-2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15</v>
      </c>
      <c r="Y208" s="664">
        <f t="shared" si="32"/>
        <v>16.2</v>
      </c>
      <c r="Z208" s="36">
        <f>IFERROR(IF(Y208=0,"",ROUNDUP(Y208/H208,0)*0.00502),"")</f>
        <v>4.5179999999999998E-2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15.833333333333332</v>
      </c>
      <c r="BN208" s="64">
        <f t="shared" si="34"/>
        <v>17.099999999999998</v>
      </c>
      <c r="BO208" s="64">
        <f t="shared" si="35"/>
        <v>3.561253561253562E-2</v>
      </c>
      <c r="BP208" s="64">
        <f t="shared" si="36"/>
        <v>3.8461538461538464E-2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89.629629629629619</v>
      </c>
      <c r="Y209" s="665">
        <f>IFERROR(Y201/H201,"0")+IFERROR(Y202/H202,"0")+IFERROR(Y203/H203,"0")+IFERROR(Y204/H204,"0")+IFERROR(Y205/H205,"0")+IFERROR(Y206/H206,"0")+IFERROR(Y207/H207,"0")+IFERROR(Y208/H208,"0")</f>
        <v>92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0.73383999999999994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400</v>
      </c>
      <c r="Y210" s="665">
        <f>IFERROR(SUM(Y201:Y208),"0")</f>
        <v>410.40000000000003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151</v>
      </c>
      <c r="Y215" s="664">
        <f t="shared" si="37"/>
        <v>151.19999999999999</v>
      </c>
      <c r="Z215" s="36">
        <f t="shared" ref="Z215:Z220" si="42">IFERROR(IF(Y215=0,"",ROUNDUP(Y215/H215,0)*0.00651),"")</f>
        <v>0.41012999999999999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167.98750000000001</v>
      </c>
      <c r="BN215" s="64">
        <f t="shared" si="39"/>
        <v>168.20999999999998</v>
      </c>
      <c r="BO215" s="64">
        <f t="shared" si="40"/>
        <v>0.34569597069597074</v>
      </c>
      <c r="BP215" s="64">
        <f t="shared" si="41"/>
        <v>0.3461538461538462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109</v>
      </c>
      <c r="Y217" s="664">
        <f t="shared" si="37"/>
        <v>110.39999999999999</v>
      </c>
      <c r="Z217" s="36">
        <f t="shared" si="42"/>
        <v>0.29946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120.44500000000002</v>
      </c>
      <c r="BN217" s="64">
        <f t="shared" si="39"/>
        <v>121.992</v>
      </c>
      <c r="BO217" s="64">
        <f t="shared" si="40"/>
        <v>0.2495421245421246</v>
      </c>
      <c r="BP217" s="64">
        <f t="shared" si="41"/>
        <v>0.25274725274725279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162</v>
      </c>
      <c r="Y218" s="664">
        <f t="shared" si="37"/>
        <v>163.19999999999999</v>
      </c>
      <c r="Z218" s="36">
        <f t="shared" si="42"/>
        <v>0.44268000000000002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179.01000000000002</v>
      </c>
      <c r="BN218" s="64">
        <f t="shared" si="39"/>
        <v>180.33600000000001</v>
      </c>
      <c r="BO218" s="64">
        <f t="shared" si="40"/>
        <v>0.37087912087912089</v>
      </c>
      <c r="BP218" s="64">
        <f t="shared" si="41"/>
        <v>0.37362637362637363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56</v>
      </c>
      <c r="Y220" s="664">
        <f t="shared" si="37"/>
        <v>57.599999999999994</v>
      </c>
      <c r="Z220" s="36">
        <f t="shared" si="42"/>
        <v>0.15623999999999999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62.019999999999996</v>
      </c>
      <c r="BN220" s="64">
        <f t="shared" si="39"/>
        <v>63.792000000000002</v>
      </c>
      <c r="BO220" s="64">
        <f t="shared" si="40"/>
        <v>0.12820512820512822</v>
      </c>
      <c r="BP220" s="64">
        <f t="shared" si="41"/>
        <v>0.13186813186813187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199.16666666666669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201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1.3085099999999998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478</v>
      </c>
      <c r="Y222" s="665">
        <f>IFERROR(SUM(Y212:Y220),"0")</f>
        <v>482.4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7</v>
      </c>
      <c r="Y225" s="664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7.7350000000000003</v>
      </c>
      <c r="BN225" s="64">
        <f>IFERROR(Y225*I225/H225,"0")</f>
        <v>7.9560000000000004</v>
      </c>
      <c r="BO225" s="64">
        <f>IFERROR(1/J225*(X225/H225),"0")</f>
        <v>1.6025641025641028E-2</v>
      </c>
      <c r="BP225" s="64">
        <f>IFERROR(1/J225*(Y225/H225),"0")</f>
        <v>1.6483516483516484E-2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2.916666666666667</v>
      </c>
      <c r="Y226" s="665">
        <f>IFERROR(Y224/H224,"0")+IFERROR(Y225/H225,"0")</f>
        <v>3</v>
      </c>
      <c r="Z226" s="665">
        <f>IFERROR(IF(Z224="",0,Z224),"0")+IFERROR(IF(Z225="",0,Z225),"0")</f>
        <v>1.9529999999999999E-2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7</v>
      </c>
      <c r="Y227" s="665">
        <f>IFERROR(SUM(Y224:Y225),"0")</f>
        <v>7.1999999999999993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6</v>
      </c>
      <c r="Y280" s="664">
        <f>IFERROR(IF(X280="",0,CEILING((X280/$H280),1)*$H280),"")</f>
        <v>7.1999999999999993</v>
      </c>
      <c r="Z280" s="36">
        <f>IFERROR(IF(Y280=0,"",ROUNDUP(Y280/H280,0)*0.00651),"")</f>
        <v>1.9529999999999999E-2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6.45</v>
      </c>
      <c r="BN280" s="64">
        <f>IFERROR(Y280*I280/H280,"0")</f>
        <v>7.7399999999999993</v>
      </c>
      <c r="BO280" s="64">
        <f>IFERROR(1/J280*(X280/H280),"0")</f>
        <v>1.3736263736263738E-2</v>
      </c>
      <c r="BP280" s="64">
        <f>IFERROR(1/J280*(Y280/H280),"0")</f>
        <v>1.6483516483516484E-2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2.5</v>
      </c>
      <c r="Y282" s="665">
        <f>IFERROR(Y277/H277,"0")+IFERROR(Y278/H278,"0")+IFERROR(Y279/H279,"0")+IFERROR(Y280/H280,"0")+IFERROR(Y281/H281,"0")</f>
        <v>3</v>
      </c>
      <c r="Z282" s="665">
        <f>IFERROR(IF(Z277="",0,Z277),"0")+IFERROR(IF(Z278="",0,Z278),"0")+IFERROR(IF(Z279="",0,Z279),"0")+IFERROR(IF(Z280="",0,Z280),"0")+IFERROR(IF(Z281="",0,Z281),"0")</f>
        <v>1.9529999999999999E-2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6</v>
      </c>
      <c r="Y283" s="665">
        <f>IFERROR(SUM(Y277:Y281),"0")</f>
        <v>7.1999999999999993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9</v>
      </c>
      <c r="Y319" s="664">
        <f t="shared" ref="Y319:Y324" si="53">IFERROR(IF(X319="",0,CEILING((X319/$H319),1)*$H319),"")</f>
        <v>10.8</v>
      </c>
      <c r="Z319" s="36">
        <f>IFERROR(IF(Y319=0,"",ROUNDUP(Y319/H319,0)*0.01898),"")</f>
        <v>1.898E-2</v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9.3624999999999989</v>
      </c>
      <c r="BN319" s="64">
        <f t="shared" ref="BN319:BN324" si="55">IFERROR(Y319*I319/H319,"0")</f>
        <v>11.234999999999999</v>
      </c>
      <c r="BO319" s="64">
        <f t="shared" ref="BO319:BO324" si="56">IFERROR(1/J319*(X319/H319),"0")</f>
        <v>1.3020833333333332E-2</v>
      </c>
      <c r="BP319" s="64">
        <f t="shared" ref="BP319:BP324" si="57">IFERROR(1/J319*(Y319/H319),"0")</f>
        <v>1.5625E-2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0.83333333333333326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9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95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101.32115384615386</v>
      </c>
      <c r="BN344" s="64">
        <f>IFERROR(Y344*I344/H344,"0")</f>
        <v>108.14700000000001</v>
      </c>
      <c r="BO344" s="64">
        <f>IFERROR(1/J344*(X344/H344),"0")</f>
        <v>0.1903044871794872</v>
      </c>
      <c r="BP344" s="64">
        <f>IFERROR(1/J344*(Y344/H344),"0")</f>
        <v>0.203125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12.179487179487181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95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2</v>
      </c>
      <c r="Y351" s="664">
        <f>IFERROR(IF(X351="",0,CEILING((X351/$H351),1)*$H351),"")</f>
        <v>2.5499999999999998</v>
      </c>
      <c r="Z351" s="36">
        <f>IFERROR(IF(Y351=0,"",ROUNDUP(Y351/H351,0)*0.00651),"")</f>
        <v>6.5100000000000002E-3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2.3176470588235296</v>
      </c>
      <c r="BN351" s="64">
        <f>IFERROR(Y351*I351/H351,"0")</f>
        <v>2.9550000000000001</v>
      </c>
      <c r="BO351" s="64">
        <f>IFERROR(1/J351*(X351/H351),"0")</f>
        <v>4.3094160741219576E-3</v>
      </c>
      <c r="BP351" s="64">
        <f>IFERROR(1/J351*(Y351/H351),"0")</f>
        <v>5.4945054945054949E-3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5</v>
      </c>
      <c r="Y352" s="664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2.7450980392156863</v>
      </c>
      <c r="Y353" s="665">
        <f>IFERROR(Y349/H349,"0")+IFERROR(Y350/H350,"0")+IFERROR(Y351/H351,"0")+IFERROR(Y352/H352,"0")</f>
        <v>3</v>
      </c>
      <c r="Z353" s="665">
        <f>IFERROR(IF(Z349="",0,Z349),"0")+IFERROR(IF(Z350="",0,Z350),"0")+IFERROR(IF(Z351="",0,Z351),"0")+IFERROR(IF(Z352="",0,Z352),"0")</f>
        <v>1.9529999999999999E-2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7</v>
      </c>
      <c r="Y354" s="665">
        <f>IFERROR(SUM(Y349:Y352),"0")</f>
        <v>7.6499999999999995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10</v>
      </c>
      <c r="Y363" s="664">
        <f>IFERROR(IF(X363="",0,CEILING((X363/$H363),1)*$H363),"")</f>
        <v>10.8</v>
      </c>
      <c r="Z363" s="36">
        <f>IFERROR(IF(Y363=0,"",ROUNDUP(Y363/H363,0)*0.00651),"")</f>
        <v>3.9059999999999997E-2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11.266666666666667</v>
      </c>
      <c r="BN363" s="64">
        <f>IFERROR(Y363*I363/H363,"0")</f>
        <v>12.167999999999999</v>
      </c>
      <c r="BO363" s="64">
        <f>IFERROR(1/J363*(X363/H363),"0")</f>
        <v>3.0525030525030528E-2</v>
      </c>
      <c r="BP363" s="64">
        <f>IFERROR(1/J363*(Y363/H363),"0")</f>
        <v>3.2967032967032968E-2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5.5555555555555554</v>
      </c>
      <c r="Y364" s="665">
        <f>IFERROR(Y363/H363,"0")</f>
        <v>6</v>
      </c>
      <c r="Z364" s="665">
        <f>IFERROR(IF(Z363="",0,Z363),"0")</f>
        <v>3.9059999999999997E-2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10</v>
      </c>
      <c r="Y365" s="665">
        <f>IFERROR(SUM(Y363:Y363),"0")</f>
        <v>10.8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302</v>
      </c>
      <c r="Y375" s="664">
        <f t="shared" ref="Y375:Y384" si="58">IFERROR(IF(X375="",0,CEILING((X375/$H375),1)*$H375),"")</f>
        <v>315</v>
      </c>
      <c r="Z375" s="36">
        <f>IFERROR(IF(Y375=0,"",ROUNDUP(Y375/H375,0)*0.02175),"")</f>
        <v>0.45674999999999999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311.66399999999999</v>
      </c>
      <c r="BN375" s="64">
        <f t="shared" ref="BN375:BN384" si="60">IFERROR(Y375*I375/H375,"0")</f>
        <v>325.08</v>
      </c>
      <c r="BO375" s="64">
        <f t="shared" ref="BO375:BO384" si="61">IFERROR(1/J375*(X375/H375),"0")</f>
        <v>0.4194444444444444</v>
      </c>
      <c r="BP375" s="64">
        <f t="shared" ref="BP375:BP384" si="62">IFERROR(1/J375*(Y375/H375),"0")</f>
        <v>0.4375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455</v>
      </c>
      <c r="Y377" s="664">
        <f t="shared" si="58"/>
        <v>465</v>
      </c>
      <c r="Z377" s="36">
        <f>IFERROR(IF(Y377=0,"",ROUNDUP(Y377/H377,0)*0.02175),"")</f>
        <v>0.6742499999999999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469.56000000000006</v>
      </c>
      <c r="BN377" s="64">
        <f t="shared" si="60"/>
        <v>479.88</v>
      </c>
      <c r="BO377" s="64">
        <f t="shared" si="61"/>
        <v>0.63194444444444442</v>
      </c>
      <c r="BP377" s="64">
        <f t="shared" si="62"/>
        <v>0.64583333333333326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1501</v>
      </c>
      <c r="Y379" s="664">
        <f t="shared" si="58"/>
        <v>1515</v>
      </c>
      <c r="Z379" s="36">
        <f>IFERROR(IF(Y379=0,"",ROUNDUP(Y379/H379,0)*0.02175),"")</f>
        <v>2.1967499999999998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1549.0319999999999</v>
      </c>
      <c r="BN379" s="64">
        <f t="shared" si="60"/>
        <v>1563.48</v>
      </c>
      <c r="BO379" s="64">
        <f t="shared" si="61"/>
        <v>2.0847222222222221</v>
      </c>
      <c r="BP379" s="64">
        <f t="shared" si="62"/>
        <v>2.1041666666666665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150.53333333333333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153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3.3277499999999995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2258</v>
      </c>
      <c r="Y386" s="665">
        <f>IFERROR(SUM(Y375:Y384),"0")</f>
        <v>2295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786</v>
      </c>
      <c r="Y388" s="664">
        <f>IFERROR(IF(X388="",0,CEILING((X388/$H388),1)*$H388),"")</f>
        <v>795</v>
      </c>
      <c r="Z388" s="36">
        <f>IFERROR(IF(Y388=0,"",ROUNDUP(Y388/H388,0)*0.02175),"")</f>
        <v>1.1527499999999999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811.15200000000004</v>
      </c>
      <c r="BN388" s="64">
        <f>IFERROR(Y388*I388/H388,"0")</f>
        <v>820.44</v>
      </c>
      <c r="BO388" s="64">
        <f>IFERROR(1/J388*(X388/H388),"0")</f>
        <v>1.0916666666666666</v>
      </c>
      <c r="BP388" s="64">
        <f>IFERROR(1/J388*(Y388/H388),"0")</f>
        <v>1.1041666666666665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52.4</v>
      </c>
      <c r="Y390" s="665">
        <f>IFERROR(Y388/H388,"0")+IFERROR(Y389/H389,"0")</f>
        <v>53</v>
      </c>
      <c r="Z390" s="665">
        <f>IFERROR(IF(Z388="",0,Z388),"0")+IFERROR(IF(Z389="",0,Z389),"0")</f>
        <v>1.1527499999999999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786</v>
      </c>
      <c r="Y391" s="665">
        <f>IFERROR(SUM(Y388:Y389),"0")</f>
        <v>795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37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39.13366666666667</v>
      </c>
      <c r="BN394" s="64">
        <f>IFERROR(Y394*I394/H394,"0")</f>
        <v>47.594999999999999</v>
      </c>
      <c r="BO394" s="64">
        <f>IFERROR(1/J394*(X394/H394),"0")</f>
        <v>6.4236111111111105E-2</v>
      </c>
      <c r="BP394" s="64">
        <f>IFERROR(1/J394*(Y394/H394),"0")</f>
        <v>7.8125E-2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4.1111111111111107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37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91</v>
      </c>
      <c r="Y398" s="664">
        <f>IFERROR(IF(X398="",0,CEILING((X398/$H398),1)*$H398),"")</f>
        <v>99</v>
      </c>
      <c r="Z398" s="36">
        <f>IFERROR(IF(Y398=0,"",ROUNDUP(Y398/H398,0)*0.01898),"")</f>
        <v>0.20877999999999999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96.247666666666674</v>
      </c>
      <c r="BN398" s="64">
        <f>IFERROR(Y398*I398/H398,"0")</f>
        <v>104.709</v>
      </c>
      <c r="BO398" s="64">
        <f>IFERROR(1/J398*(X398/H398),"0")</f>
        <v>0.1579861111111111</v>
      </c>
      <c r="BP398" s="64">
        <f>IFERROR(1/J398*(Y398/H398),"0")</f>
        <v>0.171875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10.111111111111111</v>
      </c>
      <c r="Y399" s="665">
        <f>IFERROR(Y398/H398,"0")</f>
        <v>11</v>
      </c>
      <c r="Z399" s="665">
        <f>IFERROR(IF(Z398="",0,Z398),"0")</f>
        <v>0.20877999999999999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91</v>
      </c>
      <c r="Y400" s="665">
        <f>IFERROR(SUM(Y398:Y398),"0")</f>
        <v>99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282</v>
      </c>
      <c r="Y416" s="664">
        <f>IFERROR(IF(X416="",0,CEILING((X416/$H416),1)*$H416),"")</f>
        <v>288</v>
      </c>
      <c r="Z416" s="36">
        <f>IFERROR(IF(Y416=0,"",ROUNDUP(Y416/H416,0)*0.01898),"")</f>
        <v>0.60736000000000001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298.262</v>
      </c>
      <c r="BN416" s="64">
        <f>IFERROR(Y416*I416/H416,"0")</f>
        <v>304.608</v>
      </c>
      <c r="BO416" s="64">
        <f>IFERROR(1/J416*(X416/H416),"0")</f>
        <v>0.48958333333333331</v>
      </c>
      <c r="BP416" s="64">
        <f>IFERROR(1/J416*(Y416/H416),"0")</f>
        <v>0.5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31.333333333333332</v>
      </c>
      <c r="Y421" s="665">
        <f>IFERROR(Y416/H416,"0")+IFERROR(Y417/H417,"0")+IFERROR(Y418/H418,"0")+IFERROR(Y419/H419,"0")+IFERROR(Y420/H420,"0")</f>
        <v>32</v>
      </c>
      <c r="Z421" s="665">
        <f>IFERROR(IF(Z416="",0,Z416),"0")+IFERROR(IF(Z417="",0,Z417),"0")+IFERROR(IF(Z418="",0,Z418),"0")+IFERROR(IF(Z419="",0,Z419),"0")+IFERROR(IF(Z420="",0,Z420),"0")</f>
        <v>0.60736000000000001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282</v>
      </c>
      <c r="Y422" s="665">
        <f>IFERROR(SUM(Y416:Y420),"0")</f>
        <v>288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6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6.2333333333333334</v>
      </c>
      <c r="BN430" s="64">
        <f t="shared" ref="BN430:BN441" si="65">IFERROR(Y430*I430/H430,"0")</f>
        <v>11.22</v>
      </c>
      <c r="BO430" s="64">
        <f t="shared" ref="BO430:BO441" si="66">IFERROR(1/J430*(X430/H430),"0")</f>
        <v>8.4175084175084156E-3</v>
      </c>
      <c r="BP430" s="64">
        <f t="shared" ref="BP430:BP441" si="67">IFERROR(1/J430*(Y430/H430),"0")</f>
        <v>1.5151515151515152E-2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7</v>
      </c>
      <c r="Y440" s="664">
        <f t="shared" si="63"/>
        <v>8.4</v>
      </c>
      <c r="Z440" s="36">
        <f t="shared" si="68"/>
        <v>2.0080000000000001E-2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7.4333333333333327</v>
      </c>
      <c r="BN440" s="64">
        <f t="shared" si="65"/>
        <v>8.92</v>
      </c>
      <c r="BO440" s="64">
        <f t="shared" si="66"/>
        <v>1.4245014245014245E-2</v>
      </c>
      <c r="BP440" s="64">
        <f t="shared" si="67"/>
        <v>1.7094017094017096E-2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5.3968253968253963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4.3139999999999998E-2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15</v>
      </c>
      <c r="Y443" s="665">
        <f>IFERROR(SUM(Y430:Y441),"0")</f>
        <v>21.3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62</v>
      </c>
      <c r="Y456" s="664">
        <f>IFERROR(IF(X456="",0,CEILING((X456/$H456),1)*$H456),"")</f>
        <v>64.800000000000011</v>
      </c>
      <c r="Z456" s="36">
        <f>IFERROR(IF(Y456=0,"",ROUNDUP(Y456/H456,0)*0.00902),"")</f>
        <v>0.10824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64.411111111111111</v>
      </c>
      <c r="BN456" s="64">
        <f>IFERROR(Y456*I456/H456,"0")</f>
        <v>67.320000000000007</v>
      </c>
      <c r="BO456" s="64">
        <f>IFERROR(1/J456*(X456/H456),"0")</f>
        <v>8.698092031425364E-2</v>
      </c>
      <c r="BP456" s="64">
        <f>IFERROR(1/J456*(Y456/H456),"0")</f>
        <v>9.0909090909090925E-2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11.481481481481481</v>
      </c>
      <c r="Y460" s="665">
        <f>IFERROR(Y456/H456,"0")+IFERROR(Y457/H457,"0")+IFERROR(Y458/H458,"0")+IFERROR(Y459/H459,"0")</f>
        <v>12.000000000000002</v>
      </c>
      <c r="Z460" s="665">
        <f>IFERROR(IF(Z456="",0,Z456),"0")+IFERROR(IF(Z457="",0,Z457),"0")+IFERROR(IF(Z458="",0,Z458),"0")+IFERROR(IF(Z459="",0,Z459),"0")</f>
        <v>0.10824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62</v>
      </c>
      <c r="Y461" s="665">
        <f>IFERROR(SUM(Y456:Y459),"0")</f>
        <v>64.800000000000011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4</v>
      </c>
      <c r="Y481" s="664">
        <f t="shared" si="69"/>
        <v>5.28</v>
      </c>
      <c r="Z481" s="36">
        <f>IFERROR(IF(Y481=0,"",ROUNDUP(Y481/H481,0)*0.01196),"")</f>
        <v>1.196E-2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4.2727272727272725</v>
      </c>
      <c r="BN481" s="64">
        <f t="shared" si="71"/>
        <v>5.64</v>
      </c>
      <c r="BO481" s="64">
        <f t="shared" si="72"/>
        <v>7.2843822843822849E-3</v>
      </c>
      <c r="BP481" s="64">
        <f t="shared" si="73"/>
        <v>9.6153846153846159E-3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140</v>
      </c>
      <c r="Y482" s="664">
        <f t="shared" si="69"/>
        <v>142.56</v>
      </c>
      <c r="Z482" s="36">
        <f>IFERROR(IF(Y482=0,"",ROUNDUP(Y482/H482,0)*0.01196),"")</f>
        <v>0.32291999999999998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149.54545454545453</v>
      </c>
      <c r="BN482" s="64">
        <f t="shared" si="71"/>
        <v>152.27999999999997</v>
      </c>
      <c r="BO482" s="64">
        <f t="shared" si="72"/>
        <v>0.25495337995337997</v>
      </c>
      <c r="BP482" s="64">
        <f t="shared" si="73"/>
        <v>0.25961538461538464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131</v>
      </c>
      <c r="Y483" s="664">
        <f t="shared" si="69"/>
        <v>132</v>
      </c>
      <c r="Z483" s="36">
        <f>IFERROR(IF(Y483=0,"",ROUNDUP(Y483/H483,0)*0.01196),"")</f>
        <v>0.29899999999999999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139.93181818181816</v>
      </c>
      <c r="BN483" s="64">
        <f t="shared" si="71"/>
        <v>140.99999999999997</v>
      </c>
      <c r="BO483" s="64">
        <f t="shared" si="72"/>
        <v>0.23856351981351981</v>
      </c>
      <c r="BP483" s="64">
        <f t="shared" si="73"/>
        <v>0.24038461538461539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52.083333333333329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0.63388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275</v>
      </c>
      <c r="Y496" s="665">
        <f>IFERROR(SUM(Y480:Y494),"0")</f>
        <v>279.84000000000003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156</v>
      </c>
      <c r="Y498" s="664">
        <f>IFERROR(IF(X498="",0,CEILING((X498/$H498),1)*$H498),"")</f>
        <v>158.4</v>
      </c>
      <c r="Z498" s="36">
        <f>IFERROR(IF(Y498=0,"",ROUNDUP(Y498/H498,0)*0.01196),"")</f>
        <v>0.35880000000000001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166.63636363636363</v>
      </c>
      <c r="BN498" s="64">
        <f>IFERROR(Y498*I498/H498,"0")</f>
        <v>169.2</v>
      </c>
      <c r="BO498" s="64">
        <f>IFERROR(1/J498*(X498/H498),"0")</f>
        <v>0.28409090909090906</v>
      </c>
      <c r="BP498" s="64">
        <f>IFERROR(1/J498*(Y498/H498),"0")</f>
        <v>0.28846153846153849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29.545454545454543</v>
      </c>
      <c r="Y502" s="665">
        <f>IFERROR(Y498/H498,"0")+IFERROR(Y499/H499,"0")+IFERROR(Y500/H500,"0")+IFERROR(Y501/H501,"0")</f>
        <v>30</v>
      </c>
      <c r="Z502" s="665">
        <f>IFERROR(IF(Z498="",0,Z498),"0")+IFERROR(IF(Z499="",0,Z499),"0")+IFERROR(IF(Z500="",0,Z500),"0")+IFERROR(IF(Z501="",0,Z501),"0")</f>
        <v>0.35880000000000001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156</v>
      </c>
      <c r="Y503" s="665">
        <f>IFERROR(SUM(Y498:Y501),"0")</f>
        <v>158.4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20</v>
      </c>
      <c r="Y560" s="664">
        <f>IFERROR(IF(X560="",0,CEILING((X560/$H560),1)*$H560),"")</f>
        <v>27</v>
      </c>
      <c r="Z560" s="36">
        <f>IFERROR(IF(Y560=0,"",ROUNDUP(Y560/H560,0)*0.01898),"")</f>
        <v>5.6940000000000004E-2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21.153333333333332</v>
      </c>
      <c r="BN560" s="64">
        <f>IFERROR(Y560*I560/H560,"0")</f>
        <v>28.556999999999999</v>
      </c>
      <c r="BO560" s="64">
        <f>IFERROR(1/J560*(X560/H560),"0")</f>
        <v>3.4722222222222224E-2</v>
      </c>
      <c r="BP560" s="64">
        <f>IFERROR(1/J560*(Y560/H560),"0")</f>
        <v>4.6875E-2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2.2222222222222223</v>
      </c>
      <c r="Y565" s="665">
        <f>IFERROR(Y560/H560,"0")+IFERROR(Y561/H561,"0")+IFERROR(Y562/H562,"0")+IFERROR(Y563/H563,"0")+IFERROR(Y564/H564,"0")</f>
        <v>3</v>
      </c>
      <c r="Z565" s="665">
        <f>IFERROR(IF(Z560="",0,Z560),"0")+IFERROR(IF(Z561="",0,Z561),"0")+IFERROR(IF(Z562="",0,Z562),"0")+IFERROR(IF(Z563="",0,Z563),"0")+IFERROR(IF(Z564="",0,Z564),"0")</f>
        <v>5.6940000000000004E-2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20</v>
      </c>
      <c r="Y566" s="665">
        <f>IFERROR(SUM(Y560:Y564),"0")</f>
        <v>27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5841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6008.7900000000009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6118.7712506015241</v>
      </c>
      <c r="Y592" s="665">
        <f>IFERROR(SUM(BN22:BN588),"0")</f>
        <v>6294.6079999999993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10</v>
      </c>
      <c r="Y593" s="38">
        <f>ROUNDUP(SUM(BP22:BP588),0)</f>
        <v>10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6368.7712506015241</v>
      </c>
      <c r="Y594" s="665">
        <f>GrossWeightTotalR+PalletQtyTotalR*25</f>
        <v>6544.6079999999993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866.12769969681733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891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10.919180000000001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3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123.6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100.80000000000001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187.20000000000002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450.59999999999997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900.00000000000011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7.1999999999999993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119.84999999999998</v>
      </c>
      <c r="V601" s="46">
        <f>IFERROR(Y363*1,"0")+IFERROR(Y367*1,"0")+IFERROR(Y368*1,"0")+IFERROR(Y369*1,"0")</f>
        <v>10.8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3234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288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21.3</v>
      </c>
      <c r="Z601" s="46">
        <f>IFERROR(Y451*1,"0")+IFERROR(Y452*1,"0")+IFERROR(Y456*1,"0")+IFERROR(Y457*1,"0")+IFERROR(Y458*1,"0")+IFERROR(Y459*1,"0")</f>
        <v>64.800000000000011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438.24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27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