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"/>
    </mc:Choice>
  </mc:AlternateContent>
  <xr:revisionPtr revIDLastSave="0" documentId="13_ncr:1_{A7E16CEC-DD3D-4868-AA4D-31ECB126C4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81" i="1" l="1"/>
  <c r="S80" i="1"/>
  <c r="AI80" i="1" s="1"/>
  <c r="S41" i="1"/>
  <c r="S25" i="1"/>
  <c r="S24" i="1"/>
  <c r="AI24" i="1"/>
  <c r="AI101" i="1"/>
  <c r="S9" i="1" l="1"/>
  <c r="AI9" i="1" s="1"/>
  <c r="S10" i="1"/>
  <c r="AI10" i="1" s="1"/>
  <c r="S13" i="1"/>
  <c r="AI13" i="1" s="1"/>
  <c r="S15" i="1"/>
  <c r="AI15" i="1" s="1"/>
  <c r="S16" i="1"/>
  <c r="AI16" i="1" s="1"/>
  <c r="S21" i="1"/>
  <c r="AI21" i="1" s="1"/>
  <c r="S22" i="1"/>
  <c r="AI22" i="1" s="1"/>
  <c r="AI25" i="1"/>
  <c r="S27" i="1"/>
  <c r="AI27" i="1" s="1"/>
  <c r="S28" i="1"/>
  <c r="AI28" i="1" s="1"/>
  <c r="S30" i="1"/>
  <c r="AI30" i="1" s="1"/>
  <c r="S31" i="1"/>
  <c r="AI31" i="1" s="1"/>
  <c r="S32" i="1"/>
  <c r="AI32" i="1" s="1"/>
  <c r="S33" i="1"/>
  <c r="AI33" i="1" s="1"/>
  <c r="S34" i="1"/>
  <c r="AI34" i="1" s="1"/>
  <c r="S35" i="1"/>
  <c r="AI35" i="1" s="1"/>
  <c r="S37" i="1"/>
  <c r="AI37" i="1" s="1"/>
  <c r="S40" i="1"/>
  <c r="AI40" i="1" s="1"/>
  <c r="AI41" i="1"/>
  <c r="S42" i="1"/>
  <c r="AI42" i="1" s="1"/>
  <c r="S47" i="1"/>
  <c r="AI47" i="1" s="1"/>
  <c r="S49" i="1"/>
  <c r="AI49" i="1" s="1"/>
  <c r="S50" i="1"/>
  <c r="AI50" i="1" s="1"/>
  <c r="S51" i="1"/>
  <c r="AI51" i="1" s="1"/>
  <c r="S53" i="1"/>
  <c r="AI53" i="1" s="1"/>
  <c r="S58" i="1"/>
  <c r="AI58" i="1" s="1"/>
  <c r="S60" i="1"/>
  <c r="AI60" i="1" s="1"/>
  <c r="S61" i="1"/>
  <c r="AI61" i="1" s="1"/>
  <c r="S64" i="1"/>
  <c r="AI64" i="1" s="1"/>
  <c r="S67" i="1"/>
  <c r="AI67" i="1" s="1"/>
  <c r="S68" i="1"/>
  <c r="AI68" i="1" s="1"/>
  <c r="S69" i="1"/>
  <c r="AI69" i="1" s="1"/>
  <c r="S70" i="1"/>
  <c r="AI70" i="1" s="1"/>
  <c r="S72" i="1"/>
  <c r="AI72" i="1" s="1"/>
  <c r="S74" i="1"/>
  <c r="AI74" i="1" s="1"/>
  <c r="S75" i="1"/>
  <c r="AI75" i="1" s="1"/>
  <c r="S76" i="1"/>
  <c r="AI76" i="1" s="1"/>
  <c r="S77" i="1"/>
  <c r="AI77" i="1" s="1"/>
  <c r="S78" i="1"/>
  <c r="AI78" i="1" s="1"/>
  <c r="AI81" i="1"/>
  <c r="S82" i="1"/>
  <c r="AI82" i="1" s="1"/>
  <c r="S84" i="1"/>
  <c r="AI84" i="1" s="1"/>
  <c r="S85" i="1"/>
  <c r="AI85" i="1" s="1"/>
  <c r="S86" i="1"/>
  <c r="AI86" i="1" s="1"/>
  <c r="S87" i="1"/>
  <c r="AI87" i="1" s="1"/>
  <c r="S88" i="1"/>
  <c r="AI88" i="1" s="1"/>
  <c r="S89" i="1"/>
  <c r="AI89" i="1" s="1"/>
  <c r="S90" i="1"/>
  <c r="AI90" i="1" s="1"/>
  <c r="S92" i="1"/>
  <c r="AI92" i="1" s="1"/>
  <c r="S94" i="1"/>
  <c r="AI94" i="1" s="1"/>
  <c r="S97" i="1"/>
  <c r="AI97" i="1" s="1"/>
  <c r="S98" i="1"/>
  <c r="AI98" i="1" s="1"/>
  <c r="S99" i="1"/>
  <c r="AI99" i="1" s="1"/>
  <c r="S100" i="1"/>
  <c r="AI100" i="1" s="1"/>
  <c r="Q101" i="1" l="1"/>
  <c r="V101" i="1" s="1"/>
  <c r="W101" i="1" l="1"/>
  <c r="L7" i="1"/>
  <c r="Q7" i="1" s="1"/>
  <c r="R7" i="1" s="1"/>
  <c r="S7" i="1" s="1"/>
  <c r="AI7" i="1" s="1"/>
  <c r="L8" i="1"/>
  <c r="Q8" i="1" s="1"/>
  <c r="R8" i="1" s="1"/>
  <c r="S8" i="1" s="1"/>
  <c r="AI8" i="1" s="1"/>
  <c r="L9" i="1"/>
  <c r="Q9" i="1" s="1"/>
  <c r="V9" i="1" s="1"/>
  <c r="L10" i="1"/>
  <c r="Q10" i="1" s="1"/>
  <c r="V10" i="1" s="1"/>
  <c r="L11" i="1"/>
  <c r="Q11" i="1" s="1"/>
  <c r="R11" i="1" s="1"/>
  <c r="S11" i="1" s="1"/>
  <c r="AI11" i="1" s="1"/>
  <c r="L12" i="1"/>
  <c r="Q12" i="1" s="1"/>
  <c r="R12" i="1" s="1"/>
  <c r="S12" i="1" s="1"/>
  <c r="AI12" i="1" s="1"/>
  <c r="L13" i="1"/>
  <c r="Q13" i="1" s="1"/>
  <c r="V13" i="1" s="1"/>
  <c r="L14" i="1"/>
  <c r="Q14" i="1" s="1"/>
  <c r="R14" i="1" s="1"/>
  <c r="S14" i="1" s="1"/>
  <c r="AI14" i="1" s="1"/>
  <c r="L15" i="1"/>
  <c r="Q15" i="1" s="1"/>
  <c r="V15" i="1" s="1"/>
  <c r="L16" i="1"/>
  <c r="Q16" i="1" s="1"/>
  <c r="V16" i="1" s="1"/>
  <c r="L17" i="1"/>
  <c r="Q17" i="1" s="1"/>
  <c r="R17" i="1" s="1"/>
  <c r="S17" i="1" s="1"/>
  <c r="AI17" i="1" s="1"/>
  <c r="L18" i="1"/>
  <c r="Q18" i="1" s="1"/>
  <c r="R18" i="1" s="1"/>
  <c r="S18" i="1" s="1"/>
  <c r="AI18" i="1" s="1"/>
  <c r="L19" i="1"/>
  <c r="Q19" i="1" s="1"/>
  <c r="R19" i="1" s="1"/>
  <c r="S19" i="1" s="1"/>
  <c r="AI19" i="1" s="1"/>
  <c r="L20" i="1"/>
  <c r="Q20" i="1" s="1"/>
  <c r="R20" i="1" s="1"/>
  <c r="S20" i="1" s="1"/>
  <c r="AI20" i="1" s="1"/>
  <c r="L21" i="1"/>
  <c r="Q21" i="1" s="1"/>
  <c r="V21" i="1" s="1"/>
  <c r="L22" i="1"/>
  <c r="Q22" i="1" s="1"/>
  <c r="V22" i="1" s="1"/>
  <c r="L23" i="1"/>
  <c r="Q23" i="1" s="1"/>
  <c r="R23" i="1" s="1"/>
  <c r="L24" i="1"/>
  <c r="Q24" i="1" s="1"/>
  <c r="L25" i="1"/>
  <c r="Q25" i="1" s="1"/>
  <c r="V25" i="1" s="1"/>
  <c r="L26" i="1"/>
  <c r="Q26" i="1" s="1"/>
  <c r="R26" i="1" s="1"/>
  <c r="S26" i="1" s="1"/>
  <c r="AI26" i="1" s="1"/>
  <c r="L27" i="1"/>
  <c r="Q27" i="1" s="1"/>
  <c r="V27" i="1" s="1"/>
  <c r="L28" i="1"/>
  <c r="Q28" i="1" s="1"/>
  <c r="V28" i="1" s="1"/>
  <c r="L29" i="1"/>
  <c r="Q29" i="1" s="1"/>
  <c r="R29" i="1" s="1"/>
  <c r="S29" i="1" s="1"/>
  <c r="AI29" i="1" s="1"/>
  <c r="L30" i="1"/>
  <c r="Q30" i="1" s="1"/>
  <c r="V30" i="1" s="1"/>
  <c r="L31" i="1"/>
  <c r="Q31" i="1" s="1"/>
  <c r="V31" i="1" s="1"/>
  <c r="L32" i="1"/>
  <c r="Q32" i="1" s="1"/>
  <c r="V32" i="1" s="1"/>
  <c r="L33" i="1"/>
  <c r="Q33" i="1" s="1"/>
  <c r="V33" i="1" s="1"/>
  <c r="L34" i="1"/>
  <c r="Q34" i="1" s="1"/>
  <c r="V34" i="1" s="1"/>
  <c r="L35" i="1"/>
  <c r="Q35" i="1" s="1"/>
  <c r="V35" i="1" s="1"/>
  <c r="L36" i="1"/>
  <c r="Q36" i="1" s="1"/>
  <c r="R36" i="1" s="1"/>
  <c r="S36" i="1" s="1"/>
  <c r="AI36" i="1" s="1"/>
  <c r="L37" i="1"/>
  <c r="Q37" i="1" s="1"/>
  <c r="V37" i="1" s="1"/>
  <c r="L38" i="1"/>
  <c r="Q38" i="1" s="1"/>
  <c r="R38" i="1" s="1"/>
  <c r="S38" i="1" s="1"/>
  <c r="AI38" i="1" s="1"/>
  <c r="L39" i="1"/>
  <c r="Q39" i="1" s="1"/>
  <c r="R39" i="1" s="1"/>
  <c r="S39" i="1" s="1"/>
  <c r="AI39" i="1" s="1"/>
  <c r="L40" i="1"/>
  <c r="Q40" i="1" s="1"/>
  <c r="V40" i="1" s="1"/>
  <c r="L41" i="1"/>
  <c r="Q41" i="1" s="1"/>
  <c r="V41" i="1" s="1"/>
  <c r="L42" i="1"/>
  <c r="Q42" i="1" s="1"/>
  <c r="V42" i="1" s="1"/>
  <c r="L43" i="1"/>
  <c r="Q43" i="1" s="1"/>
  <c r="R43" i="1" s="1"/>
  <c r="S43" i="1" s="1"/>
  <c r="AI43" i="1" s="1"/>
  <c r="L44" i="1"/>
  <c r="Q44" i="1" s="1"/>
  <c r="R44" i="1" s="1"/>
  <c r="S44" i="1" s="1"/>
  <c r="AI44" i="1" s="1"/>
  <c r="L45" i="1"/>
  <c r="Q45" i="1" s="1"/>
  <c r="R45" i="1" s="1"/>
  <c r="S45" i="1" s="1"/>
  <c r="AI45" i="1" s="1"/>
  <c r="L46" i="1"/>
  <c r="Q46" i="1" s="1"/>
  <c r="R46" i="1" s="1"/>
  <c r="L47" i="1"/>
  <c r="Q47" i="1" s="1"/>
  <c r="V47" i="1" s="1"/>
  <c r="L48" i="1"/>
  <c r="Q48" i="1" s="1"/>
  <c r="R48" i="1" s="1"/>
  <c r="S48" i="1" s="1"/>
  <c r="AI48" i="1" s="1"/>
  <c r="L49" i="1"/>
  <c r="Q49" i="1" s="1"/>
  <c r="V49" i="1" s="1"/>
  <c r="L50" i="1"/>
  <c r="Q50" i="1" s="1"/>
  <c r="V50" i="1" s="1"/>
  <c r="L51" i="1"/>
  <c r="Q51" i="1" s="1"/>
  <c r="V51" i="1" s="1"/>
  <c r="L52" i="1"/>
  <c r="Q52" i="1" s="1"/>
  <c r="R52" i="1" s="1"/>
  <c r="S52" i="1" s="1"/>
  <c r="AI52" i="1" s="1"/>
  <c r="L53" i="1"/>
  <c r="Q53" i="1" s="1"/>
  <c r="V53" i="1" s="1"/>
  <c r="L54" i="1"/>
  <c r="Q54" i="1" s="1"/>
  <c r="R54" i="1" s="1"/>
  <c r="S54" i="1" s="1"/>
  <c r="AI54" i="1" s="1"/>
  <c r="L55" i="1"/>
  <c r="Q55" i="1" s="1"/>
  <c r="R55" i="1" s="1"/>
  <c r="S55" i="1" s="1"/>
  <c r="AI55" i="1" s="1"/>
  <c r="L56" i="1"/>
  <c r="Q56" i="1" s="1"/>
  <c r="R56" i="1" s="1"/>
  <c r="S56" i="1" s="1"/>
  <c r="AI56" i="1" s="1"/>
  <c r="L57" i="1"/>
  <c r="Q57" i="1" s="1"/>
  <c r="R57" i="1" s="1"/>
  <c r="S57" i="1" s="1"/>
  <c r="AI57" i="1" s="1"/>
  <c r="L58" i="1"/>
  <c r="Q58" i="1" s="1"/>
  <c r="V58" i="1" s="1"/>
  <c r="L59" i="1"/>
  <c r="Q59" i="1" s="1"/>
  <c r="R59" i="1" s="1"/>
  <c r="S59" i="1" s="1"/>
  <c r="AI59" i="1" s="1"/>
  <c r="L60" i="1"/>
  <c r="Q60" i="1" s="1"/>
  <c r="V60" i="1" s="1"/>
  <c r="L61" i="1"/>
  <c r="Q61" i="1" s="1"/>
  <c r="V61" i="1" s="1"/>
  <c r="L62" i="1"/>
  <c r="Q62" i="1" s="1"/>
  <c r="R62" i="1" s="1"/>
  <c r="S62" i="1" s="1"/>
  <c r="AI62" i="1" s="1"/>
  <c r="L63" i="1"/>
  <c r="Q63" i="1" s="1"/>
  <c r="R63" i="1" s="1"/>
  <c r="S63" i="1" s="1"/>
  <c r="AI63" i="1" s="1"/>
  <c r="L64" i="1"/>
  <c r="Q64" i="1" s="1"/>
  <c r="V64" i="1" s="1"/>
  <c r="L65" i="1"/>
  <c r="Q65" i="1" s="1"/>
  <c r="R65" i="1" s="1"/>
  <c r="S65" i="1" s="1"/>
  <c r="AI65" i="1" s="1"/>
  <c r="L66" i="1"/>
  <c r="Q66" i="1" s="1"/>
  <c r="R66" i="1" s="1"/>
  <c r="S66" i="1" s="1"/>
  <c r="AI66" i="1" s="1"/>
  <c r="L67" i="1"/>
  <c r="Q67" i="1" s="1"/>
  <c r="V67" i="1" s="1"/>
  <c r="L68" i="1"/>
  <c r="Q68" i="1" s="1"/>
  <c r="V68" i="1" s="1"/>
  <c r="L69" i="1"/>
  <c r="Q69" i="1" s="1"/>
  <c r="V69" i="1" s="1"/>
  <c r="L70" i="1"/>
  <c r="Q70" i="1" s="1"/>
  <c r="V70" i="1" s="1"/>
  <c r="L71" i="1"/>
  <c r="Q71" i="1" s="1"/>
  <c r="R71" i="1" s="1"/>
  <c r="S71" i="1" s="1"/>
  <c r="AI71" i="1" s="1"/>
  <c r="L72" i="1"/>
  <c r="Q72" i="1" s="1"/>
  <c r="V72" i="1" s="1"/>
  <c r="L73" i="1"/>
  <c r="Q73" i="1" s="1"/>
  <c r="R73" i="1" s="1"/>
  <c r="S73" i="1" s="1"/>
  <c r="AI73" i="1" s="1"/>
  <c r="L74" i="1"/>
  <c r="Q74" i="1" s="1"/>
  <c r="V74" i="1" s="1"/>
  <c r="L75" i="1"/>
  <c r="Q75" i="1" s="1"/>
  <c r="V75" i="1" s="1"/>
  <c r="L76" i="1"/>
  <c r="Q76" i="1" s="1"/>
  <c r="V76" i="1" s="1"/>
  <c r="L77" i="1"/>
  <c r="Q77" i="1" s="1"/>
  <c r="V77" i="1" s="1"/>
  <c r="L78" i="1"/>
  <c r="Q78" i="1" s="1"/>
  <c r="V78" i="1" s="1"/>
  <c r="L79" i="1"/>
  <c r="Q79" i="1" s="1"/>
  <c r="R79" i="1" s="1"/>
  <c r="S79" i="1" s="1"/>
  <c r="AI79" i="1" s="1"/>
  <c r="L80" i="1"/>
  <c r="Q80" i="1" s="1"/>
  <c r="L81" i="1"/>
  <c r="Q81" i="1" s="1"/>
  <c r="V81" i="1" s="1"/>
  <c r="L82" i="1"/>
  <c r="Q82" i="1" s="1"/>
  <c r="V82" i="1" s="1"/>
  <c r="L83" i="1"/>
  <c r="Q83" i="1" s="1"/>
  <c r="R83" i="1" s="1"/>
  <c r="L84" i="1"/>
  <c r="Q84" i="1" s="1"/>
  <c r="V84" i="1" s="1"/>
  <c r="L85" i="1"/>
  <c r="Q85" i="1" s="1"/>
  <c r="V85" i="1" s="1"/>
  <c r="L86" i="1"/>
  <c r="Q86" i="1" s="1"/>
  <c r="V86" i="1" s="1"/>
  <c r="L87" i="1"/>
  <c r="Q87" i="1" s="1"/>
  <c r="V87" i="1" s="1"/>
  <c r="L88" i="1"/>
  <c r="Q88" i="1" s="1"/>
  <c r="V88" i="1" s="1"/>
  <c r="L89" i="1"/>
  <c r="Q89" i="1" s="1"/>
  <c r="V89" i="1" s="1"/>
  <c r="L90" i="1"/>
  <c r="Q90" i="1" s="1"/>
  <c r="V90" i="1" s="1"/>
  <c r="L91" i="1"/>
  <c r="Q91" i="1" s="1"/>
  <c r="R91" i="1" s="1"/>
  <c r="S91" i="1" s="1"/>
  <c r="AI91" i="1" s="1"/>
  <c r="L92" i="1"/>
  <c r="Q92" i="1" s="1"/>
  <c r="V92" i="1" s="1"/>
  <c r="L93" i="1"/>
  <c r="Q93" i="1" s="1"/>
  <c r="R93" i="1" s="1"/>
  <c r="L94" i="1"/>
  <c r="Q94" i="1" s="1"/>
  <c r="V94" i="1" s="1"/>
  <c r="L95" i="1"/>
  <c r="Q95" i="1" s="1"/>
  <c r="R95" i="1" s="1"/>
  <c r="S95" i="1" s="1"/>
  <c r="AI95" i="1" s="1"/>
  <c r="L96" i="1"/>
  <c r="Q96" i="1" s="1"/>
  <c r="R96" i="1" s="1"/>
  <c r="S96" i="1" s="1"/>
  <c r="AI96" i="1" s="1"/>
  <c r="L97" i="1"/>
  <c r="Q97" i="1" s="1"/>
  <c r="V97" i="1" s="1"/>
  <c r="L98" i="1"/>
  <c r="Q98" i="1" s="1"/>
  <c r="V98" i="1" s="1"/>
  <c r="L99" i="1"/>
  <c r="Q99" i="1" s="1"/>
  <c r="V99" i="1" s="1"/>
  <c r="L100" i="1"/>
  <c r="Q100" i="1" s="1"/>
  <c r="V100" i="1" s="1"/>
  <c r="L6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G5" i="1"/>
  <c r="AF5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J5" i="1"/>
  <c r="F5" i="1"/>
  <c r="E5" i="1"/>
  <c r="S46" i="1" l="1"/>
  <c r="AI46" i="1" s="1"/>
  <c r="S93" i="1"/>
  <c r="AI93" i="1" s="1"/>
  <c r="S83" i="1"/>
  <c r="AI83" i="1" s="1"/>
  <c r="S23" i="1"/>
  <c r="AI23" i="1" s="1"/>
  <c r="V95" i="1"/>
  <c r="V93" i="1"/>
  <c r="V91" i="1"/>
  <c r="V83" i="1"/>
  <c r="V79" i="1"/>
  <c r="V73" i="1"/>
  <c r="V71" i="1"/>
  <c r="V65" i="1"/>
  <c r="V63" i="1"/>
  <c r="V59" i="1"/>
  <c r="V57" i="1"/>
  <c r="V55" i="1"/>
  <c r="V45" i="1"/>
  <c r="V43" i="1"/>
  <c r="V39" i="1"/>
  <c r="V29" i="1"/>
  <c r="V19" i="1"/>
  <c r="V17" i="1"/>
  <c r="V11" i="1"/>
  <c r="V7" i="1"/>
  <c r="V96" i="1"/>
  <c r="V66" i="1"/>
  <c r="V62" i="1"/>
  <c r="V56" i="1"/>
  <c r="V54" i="1"/>
  <c r="V52" i="1"/>
  <c r="V48" i="1"/>
  <c r="V44" i="1"/>
  <c r="V38" i="1"/>
  <c r="V36" i="1"/>
  <c r="V26" i="1"/>
  <c r="V20" i="1"/>
  <c r="V18" i="1"/>
  <c r="V14" i="1"/>
  <c r="V12" i="1"/>
  <c r="V8" i="1"/>
  <c r="W98" i="1"/>
  <c r="W94" i="1"/>
  <c r="W90" i="1"/>
  <c r="W86" i="1"/>
  <c r="W82" i="1"/>
  <c r="W78" i="1"/>
  <c r="W71" i="1"/>
  <c r="W67" i="1"/>
  <c r="W63" i="1"/>
  <c r="W59" i="1"/>
  <c r="W55" i="1"/>
  <c r="W51" i="1"/>
  <c r="W47" i="1"/>
  <c r="W43" i="1"/>
  <c r="W39" i="1"/>
  <c r="W35" i="1"/>
  <c r="W99" i="1"/>
  <c r="W97" i="1"/>
  <c r="W95" i="1"/>
  <c r="W93" i="1"/>
  <c r="W91" i="1"/>
  <c r="W89" i="1"/>
  <c r="W87" i="1"/>
  <c r="W85" i="1"/>
  <c r="W83" i="1"/>
  <c r="W81" i="1"/>
  <c r="W79" i="1"/>
  <c r="W77" i="1"/>
  <c r="W75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100" i="1"/>
  <c r="W96" i="1"/>
  <c r="W92" i="1"/>
  <c r="W88" i="1"/>
  <c r="W84" i="1"/>
  <c r="W80" i="1"/>
  <c r="W76" i="1"/>
  <c r="W73" i="1"/>
  <c r="W69" i="1"/>
  <c r="W65" i="1"/>
  <c r="W61" i="1"/>
  <c r="W57" i="1"/>
  <c r="W53" i="1"/>
  <c r="W49" i="1"/>
  <c r="W45" i="1"/>
  <c r="W41" i="1"/>
  <c r="W37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5" i="1"/>
  <c r="Q6" i="1"/>
  <c r="R6" i="1" s="1"/>
  <c r="K5" i="1"/>
  <c r="V46" i="1" l="1"/>
  <c r="V23" i="1"/>
  <c r="V24" i="1"/>
  <c r="V80" i="1"/>
  <c r="S6" i="1"/>
  <c r="AI6" i="1" s="1"/>
  <c r="R5" i="1"/>
  <c r="Q5" i="1"/>
  <c r="W6" i="1"/>
  <c r="S5" i="1" l="1"/>
  <c r="V6" i="1"/>
  <c r="AI5" i="1"/>
</calcChain>
</file>

<file path=xl/sharedStrings.xml><?xml version="1.0" encoding="utf-8"?>
<sst xmlns="http://schemas.openxmlformats.org/spreadsheetml/2006/main" count="402" uniqueCount="176">
  <si>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</si>
  <si>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</si>
  <si>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</si>
  <si>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</si>
  <si>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</si>
  <si>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</si>
  <si>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</si>
  <si>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</si>
  <si>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</si>
  <si>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</si>
  <si>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</si>
  <si>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</si>
  <si>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</si>
  <si>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</si>
  <si>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</si>
  <si>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</si>
  <si>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</si>
  <si>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</si>
  <si>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</si>
  <si>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</si>
  <si>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</si>
  <si>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</si>
  <si>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</si>
  <si>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</si>
  <si>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12,04,(1)</t>
  </si>
  <si>
    <t>12,04,(2)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</si>
  <si>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</si>
  <si>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</si>
  <si>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</si>
  <si>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</si>
  <si>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</si>
  <si>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</si>
  <si>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</si>
  <si>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</si>
  <si>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</si>
  <si>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</si>
  <si>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</si>
  <si>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</si>
  <si>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</si>
  <si>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</si>
  <si>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</si>
  <si>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</si>
  <si>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</si>
  <si>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</si>
  <si>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</si>
  <si>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</si>
  <si>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</si>
  <si>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</si>
  <si>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</si>
  <si>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</si>
  <si>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</si>
  <si>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</si>
  <si>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новинка</t>
  </si>
  <si>
    <t xml:space="preserve"> 117  Колбаса Сервелат Филейбургский с ароматными пряностями, в/у 0,35 кг срез, БАВАРУШКА ПОКОМ</t>
  </si>
  <si>
    <t>с 02,04,25 заказываем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</si>
  <si>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</si>
  <si>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</si>
  <si>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>ТМА март / 28,03,25 филиал обнулил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</si>
  <si>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</si>
  <si>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</si>
  <si>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</si>
  <si>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</si>
  <si>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</si>
  <si>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</si>
  <si>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>ТМА март_апрель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</si>
  <si>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</si>
  <si>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</si>
  <si>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</si>
  <si>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>26,02,25 филиал обнулил / ТМА апрель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</si>
  <si>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</si>
  <si>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</si>
  <si>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</si>
  <si>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</si>
  <si>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</si>
  <si>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</si>
  <si>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</si>
  <si>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</si>
  <si>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</si>
  <si>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</si>
  <si>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</si>
  <si>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</si>
  <si>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нет уже акции / матрица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</si>
  <si>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</si>
  <si>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</si>
  <si>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</si>
  <si>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</si>
  <si>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</si>
  <si>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</si>
  <si>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</si>
  <si>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</si>
  <si>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</si>
  <si>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</si>
  <si>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</t>
  </si>
  <si>
    <t xml:space="preserve"> 309  Сосиски Сочинки с сыром 0,4 кг ТМ Стародворье  ПОКОМ</t>
  </si>
  <si>
    <t>завод не отгружает / ТС Обжора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</si>
  <si>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</si>
  <si>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</si>
  <si>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26,03,25 филиал обнулил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</si>
  <si>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</si>
  <si>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</si>
  <si>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</si>
  <si>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</si>
  <si>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</si>
  <si>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</si>
  <si>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</si>
  <si>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</si>
  <si>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</si>
  <si>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</si>
  <si>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</si>
  <si>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</si>
  <si>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</si>
  <si>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</si>
  <si>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</si>
  <si>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</si>
  <si>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</si>
  <si>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</si>
  <si>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</si>
  <si>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</si>
  <si>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</si>
  <si>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</si>
  <si>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</si>
  <si>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</si>
  <si>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</si>
  <si>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ТС Обжора / Акция ЮТЛ Март месяц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</si>
  <si>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</si>
  <si>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</si>
  <si>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</si>
  <si>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</si>
  <si>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</si>
  <si>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</si>
  <si>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09,12,24 в уценку 498кг</t>
  </si>
  <si>
    <t xml:space="preserve"> 440  Колбаса Любительская ТМ Вязанка в оболочке полиамид.ВЕС ПОКОМ </t>
  </si>
  <si>
    <t>нужно увеличить продажи / вывод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</si>
  <si>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</si>
  <si>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</si>
  <si>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</si>
  <si>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>06,01,25 в уценку 13шт.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</si>
  <si>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</si>
  <si>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</si>
  <si>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</si>
  <si>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</si>
  <si>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</si>
  <si>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</si>
  <si>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>нужно увеличить продажи / ТМА март / 28,03,25 филиал обнулил</t>
  </si>
  <si>
    <t xml:space="preserve"> 460  Колбаса Стародворская Традиционная ВЕС ТМ Стародворье в оболочке полиамид. ПОКОМ</t>
  </si>
  <si>
    <t>нужно увеличить продажи / 11,03,25 списание 7кг (недостача) / 22,01,25 списание 10кг (недостача)</t>
  </si>
  <si>
    <t xml:space="preserve"> 463  Колбаса Молочная Традиционнаяв оболочке полиамид.ТМ Стародворье. ВЕС ПОКОМ</t>
  </si>
  <si>
    <t>нужно увеличить продажи / 20,12,24 в уценку 51кг</t>
  </si>
  <si>
    <t xml:space="preserve"> 464  Колбаса Стародворская Традиционная со шпиком оболочке полиамид ТМ Стародворье.</t>
  </si>
  <si>
    <t>нужно увеличить продажи / 20,12,24 в уценку 121кг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</si>
  <si>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</si>
  <si>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</si>
  <si>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</si>
  <si>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06,01,25 в уценку 26шт.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</si>
  <si>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</si>
  <si>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</si>
  <si>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</si>
  <si>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</si>
  <si>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</si>
  <si>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нужно увеличить продажи!!!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</si>
  <si>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</si>
  <si>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</si>
  <si>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</si>
  <si>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</si>
  <si>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</si>
  <si>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</si>
  <si>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</si>
  <si>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</si>
  <si>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СОСГ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</si>
  <si>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на вывод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</si>
  <si>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25,01,25 в уценку 108кг</t>
    </r>
  </si>
  <si>
    <t>нужно увеличить продажи / с 13,02,25 заказываем</t>
  </si>
  <si>
    <t>Деликатесы в/к «Грудинка копчено-вареная» Фикс.вес 0,12 нарезка ТМ «Стародворье»</t>
  </si>
  <si>
    <t>Приоритет от завода</t>
  </si>
  <si>
    <t>заказ</t>
  </si>
  <si>
    <t>14,04,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</si>
</sst>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6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52.5703125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20" width="7" customWidth="1"/>
    <col min="21" max="21" width="15.140625" customWidth="1"/>
    <col min="22" max="23" width="5" customWidth="1"/>
    <col min="24" max="33" width="6" customWidth="1"/>
    <col min="34" max="34" width="29.42578125" customWidth="1"/>
    <col min="35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15</v>
      </c>
      <c r="S3" s="3" t="s">
        <v>174</v>
      </c>
      <c r="T3" s="6" t="s">
        <v>16</v>
      </c>
      <c r="U3" s="6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/>
      <c r="S4" s="1" t="s">
        <v>175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SUM(E6:E497)</f>
        <v>39347.761999999995</v>
      </c>
      <c r="F5" s="4">
        <f>SUM(F6:F497)</f>
        <v>36924.378000000004</v>
      </c>
      <c r="G5" s="7"/>
      <c r="H5" s="1"/>
      <c r="I5" s="1"/>
      <c r="J5" s="4">
        <f t="shared" ref="J5:T5" si="0">SUM(J6:J497)</f>
        <v>41982.783000000003</v>
      </c>
      <c r="K5" s="4">
        <f t="shared" si="0"/>
        <v>-2635.0209999999997</v>
      </c>
      <c r="L5" s="4">
        <f t="shared" si="0"/>
        <v>31702.610999999997</v>
      </c>
      <c r="M5" s="4">
        <f t="shared" si="0"/>
        <v>7645.1509999999989</v>
      </c>
      <c r="N5" s="4">
        <f t="shared" si="0"/>
        <v>7568.9642999999996</v>
      </c>
      <c r="O5" s="4">
        <f t="shared" si="0"/>
        <v>3390</v>
      </c>
      <c r="P5" s="4">
        <f t="shared" si="0"/>
        <v>12322.282100000006</v>
      </c>
      <c r="Q5" s="4">
        <f t="shared" si="0"/>
        <v>6340.5222000000012</v>
      </c>
      <c r="R5" s="4">
        <f t="shared" si="0"/>
        <v>7851.4109999999973</v>
      </c>
      <c r="S5" s="4">
        <f t="shared" si="0"/>
        <v>7941.4109999999973</v>
      </c>
      <c r="T5" s="4">
        <f t="shared" si="0"/>
        <v>110</v>
      </c>
      <c r="U5" s="1"/>
      <c r="V5" s="1"/>
      <c r="W5" s="1"/>
      <c r="X5" s="4">
        <f t="shared" ref="X5:AG5" si="1">SUM(X6:X497)</f>
        <v>6264.5562000000018</v>
      </c>
      <c r="Y5" s="4">
        <f t="shared" si="1"/>
        <v>6602.5181999999968</v>
      </c>
      <c r="Z5" s="4">
        <f t="shared" si="1"/>
        <v>6738.6427999999996</v>
      </c>
      <c r="AA5" s="4">
        <f t="shared" si="1"/>
        <v>8099.2839999999978</v>
      </c>
      <c r="AB5" s="4">
        <f t="shared" si="1"/>
        <v>7788.2935999999972</v>
      </c>
      <c r="AC5" s="4">
        <f t="shared" si="1"/>
        <v>7042.1528000000008</v>
      </c>
      <c r="AD5" s="4">
        <f t="shared" si="1"/>
        <v>7176.4040000000005</v>
      </c>
      <c r="AE5" s="4">
        <f t="shared" si="1"/>
        <v>8085.9244000000017</v>
      </c>
      <c r="AF5" s="4">
        <f t="shared" si="1"/>
        <v>8386.2056000000011</v>
      </c>
      <c r="AG5" s="4">
        <f t="shared" si="1"/>
        <v>5772.4477999999981</v>
      </c>
      <c r="AH5" s="1"/>
      <c r="AI5" s="4">
        <f>SUM(AI6:AI497)</f>
        <v>6333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475.46499999999997</v>
      </c>
      <c r="D6" s="1">
        <v>345.65899999999999</v>
      </c>
      <c r="E6" s="1">
        <v>332.99599999999998</v>
      </c>
      <c r="F6" s="1">
        <v>439.15300000000002</v>
      </c>
      <c r="G6" s="7">
        <v>1</v>
      </c>
      <c r="H6" s="1">
        <v>50</v>
      </c>
      <c r="I6" s="1" t="s">
        <v>39</v>
      </c>
      <c r="J6" s="1">
        <v>337.416</v>
      </c>
      <c r="K6" s="1">
        <f t="shared" ref="K6:K36" si="2">E6-J6</f>
        <v>-4.4200000000000159</v>
      </c>
      <c r="L6" s="1">
        <f>E6-M6</f>
        <v>300.642</v>
      </c>
      <c r="M6" s="1">
        <v>32.353999999999999</v>
      </c>
      <c r="N6" s="1"/>
      <c r="O6" s="1"/>
      <c r="P6" s="1">
        <v>87.197999999999979</v>
      </c>
      <c r="Q6" s="1">
        <f>L6/5</f>
        <v>60.128399999999999</v>
      </c>
      <c r="R6" s="5">
        <f>11*Q6-P6-O6-N6-F6</f>
        <v>135.06139999999994</v>
      </c>
      <c r="S6" s="5">
        <f>R6</f>
        <v>135.06139999999994</v>
      </c>
      <c r="T6" s="5"/>
      <c r="U6" s="1"/>
      <c r="V6" s="1">
        <f>(F6+N6+O6+P6+S6)/Q6</f>
        <v>10.999999999999998</v>
      </c>
      <c r="W6" s="1">
        <f>(F6+N6+O6+P6)/Q6</f>
        <v>8.7537835698272364</v>
      </c>
      <c r="X6" s="1">
        <v>58.212000000000003</v>
      </c>
      <c r="Y6" s="1">
        <v>45.116999999999997</v>
      </c>
      <c r="Z6" s="1">
        <v>68.706600000000009</v>
      </c>
      <c r="AA6" s="1">
        <v>96.895799999999994</v>
      </c>
      <c r="AB6" s="1">
        <v>71.089200000000005</v>
      </c>
      <c r="AC6" s="1">
        <v>93.330200000000005</v>
      </c>
      <c r="AD6" s="1">
        <v>80.022000000000006</v>
      </c>
      <c r="AE6" s="1">
        <v>144.82320000000001</v>
      </c>
      <c r="AF6" s="1">
        <v>143.60640000000001</v>
      </c>
      <c r="AG6" s="1">
        <v>27.6326</v>
      </c>
      <c r="AH6" s="1"/>
      <c r="AI6" s="1">
        <f>ROUND(G6*S6,0)</f>
        <v>135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433.07499999999999</v>
      </c>
      <c r="D7" s="1">
        <v>124.322</v>
      </c>
      <c r="E7" s="1">
        <v>327.79300000000001</v>
      </c>
      <c r="F7" s="1">
        <v>196.911</v>
      </c>
      <c r="G7" s="7">
        <v>1</v>
      </c>
      <c r="H7" s="1">
        <v>45</v>
      </c>
      <c r="I7" s="1" t="s">
        <v>39</v>
      </c>
      <c r="J7" s="1">
        <v>319.02199999999999</v>
      </c>
      <c r="K7" s="1">
        <f t="shared" si="2"/>
        <v>8.771000000000015</v>
      </c>
      <c r="L7" s="1">
        <f t="shared" ref="L7:L70" si="3">E7-M7</f>
        <v>316.911</v>
      </c>
      <c r="M7" s="1">
        <v>10.882</v>
      </c>
      <c r="N7" s="1"/>
      <c r="O7" s="1"/>
      <c r="P7" s="1">
        <v>315.02900000000011</v>
      </c>
      <c r="Q7" s="1">
        <f t="shared" ref="Q7:Q70" si="4">L7/5</f>
        <v>63.382199999999997</v>
      </c>
      <c r="R7" s="5">
        <f t="shared" ref="R7:R8" si="5">11*Q7-P7-O7-N7-F7</f>
        <v>185.2641999999999</v>
      </c>
      <c r="S7" s="5">
        <f t="shared" ref="S7:S70" si="6">R7</f>
        <v>185.2641999999999</v>
      </c>
      <c r="T7" s="5"/>
      <c r="U7" s="1"/>
      <c r="V7" s="1">
        <f>(F7+N7+O7+P7+S7)/Q7</f>
        <v>11</v>
      </c>
      <c r="W7" s="1">
        <f>(F7+N7+O7+P7)/Q7</f>
        <v>8.0770310907478784</v>
      </c>
      <c r="X7" s="1">
        <v>57.285400000000003</v>
      </c>
      <c r="Y7" s="1">
        <v>34.498199999999997</v>
      </c>
      <c r="Z7" s="1">
        <v>32.542400000000001</v>
      </c>
      <c r="AA7" s="1">
        <v>57.383600000000001</v>
      </c>
      <c r="AB7" s="1">
        <v>49.0274</v>
      </c>
      <c r="AC7" s="1">
        <v>77.212400000000002</v>
      </c>
      <c r="AD7" s="1">
        <v>41.129399999999997</v>
      </c>
      <c r="AE7" s="1">
        <v>55.119000000000007</v>
      </c>
      <c r="AF7" s="1">
        <v>58.762999999999998</v>
      </c>
      <c r="AG7" s="1">
        <v>33.579599999999999</v>
      </c>
      <c r="AH7" s="1"/>
      <c r="AI7" s="1">
        <f t="shared" ref="AI7:AI70" si="7">ROUND(G7*S7,0)</f>
        <v>185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1232.319</v>
      </c>
      <c r="D8" s="1">
        <v>89.512</v>
      </c>
      <c r="E8" s="1">
        <v>725.93499999999995</v>
      </c>
      <c r="F8" s="1">
        <v>522.12400000000002</v>
      </c>
      <c r="G8" s="7">
        <v>1</v>
      </c>
      <c r="H8" s="1">
        <v>45</v>
      </c>
      <c r="I8" s="1" t="s">
        <v>39</v>
      </c>
      <c r="J8" s="1">
        <v>699.51199999999994</v>
      </c>
      <c r="K8" s="1">
        <f t="shared" si="2"/>
        <v>26.423000000000002</v>
      </c>
      <c r="L8" s="1">
        <f t="shared" si="3"/>
        <v>717.69099999999992</v>
      </c>
      <c r="M8" s="1">
        <v>8.2439999999999998</v>
      </c>
      <c r="N8" s="1"/>
      <c r="O8" s="1"/>
      <c r="P8" s="1">
        <v>602.67299999999989</v>
      </c>
      <c r="Q8" s="1">
        <f t="shared" si="4"/>
        <v>143.53819999999999</v>
      </c>
      <c r="R8" s="5">
        <f t="shared" si="5"/>
        <v>454.12319999999988</v>
      </c>
      <c r="S8" s="5">
        <f t="shared" si="6"/>
        <v>454.12319999999988</v>
      </c>
      <c r="T8" s="5"/>
      <c r="U8" s="1"/>
      <c r="V8" s="1">
        <f>(F8+N8+O8+P8+S8)/Q8</f>
        <v>11.000000000000002</v>
      </c>
      <c r="W8" s="1">
        <f>(F8+N8+O8+P8)/Q8</f>
        <v>7.8362206019024905</v>
      </c>
      <c r="X8" s="1">
        <v>127.19280000000001</v>
      </c>
      <c r="Y8" s="1">
        <v>89.702200000000005</v>
      </c>
      <c r="Z8" s="1">
        <v>109.47539999999999</v>
      </c>
      <c r="AA8" s="1">
        <v>129.8152</v>
      </c>
      <c r="AB8" s="1">
        <v>119.22799999999999</v>
      </c>
      <c r="AC8" s="1">
        <v>205.73759999999999</v>
      </c>
      <c r="AD8" s="1">
        <v>109.92359999999999</v>
      </c>
      <c r="AE8" s="1">
        <v>142.90219999999999</v>
      </c>
      <c r="AF8" s="1">
        <v>153.07419999999999</v>
      </c>
      <c r="AG8" s="1">
        <v>115.43940000000001</v>
      </c>
      <c r="AH8" s="1"/>
      <c r="AI8" s="1">
        <f t="shared" si="7"/>
        <v>454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1" t="s">
        <v>42</v>
      </c>
      <c r="B9" s="11" t="s">
        <v>43</v>
      </c>
      <c r="C9" s="11"/>
      <c r="D9" s="11">
        <v>1</v>
      </c>
      <c r="E9" s="11">
        <v>1</v>
      </c>
      <c r="F9" s="11"/>
      <c r="G9" s="12">
        <v>0</v>
      </c>
      <c r="H9" s="11" t="e">
        <v>#N/A</v>
      </c>
      <c r="I9" s="11" t="s">
        <v>44</v>
      </c>
      <c r="J9" s="11"/>
      <c r="K9" s="11">
        <f t="shared" si="2"/>
        <v>1</v>
      </c>
      <c r="L9" s="11">
        <f t="shared" si="3"/>
        <v>1</v>
      </c>
      <c r="M9" s="11"/>
      <c r="N9" s="11"/>
      <c r="O9" s="11"/>
      <c r="P9" s="11">
        <v>0</v>
      </c>
      <c r="Q9" s="11">
        <f t="shared" si="4"/>
        <v>0.2</v>
      </c>
      <c r="R9" s="13"/>
      <c r="S9" s="5">
        <f t="shared" si="6"/>
        <v>0</v>
      </c>
      <c r="T9" s="13"/>
      <c r="U9" s="11"/>
      <c r="V9" s="1">
        <f>(F9+N9+O9+P9+S9)/Q9</f>
        <v>0</v>
      </c>
      <c r="W9" s="11">
        <f>(F9+N9+O9+P9)/Q9</f>
        <v>0</v>
      </c>
      <c r="X9" s="11">
        <v>0.2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/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2578</v>
      </c>
      <c r="D10" s="1">
        <v>120</v>
      </c>
      <c r="E10" s="1">
        <v>1708</v>
      </c>
      <c r="F10" s="1">
        <v>350.48</v>
      </c>
      <c r="G10" s="7">
        <v>0.45</v>
      </c>
      <c r="H10" s="1">
        <v>45</v>
      </c>
      <c r="I10" s="16" t="s">
        <v>46</v>
      </c>
      <c r="J10" s="1">
        <v>1720</v>
      </c>
      <c r="K10" s="1">
        <f t="shared" si="2"/>
        <v>-12</v>
      </c>
      <c r="L10" s="1">
        <f t="shared" si="3"/>
        <v>1576</v>
      </c>
      <c r="M10" s="1">
        <v>132</v>
      </c>
      <c r="N10" s="1">
        <v>0</v>
      </c>
      <c r="O10" s="1"/>
      <c r="P10" s="1">
        <v>500</v>
      </c>
      <c r="Q10" s="1">
        <f t="shared" si="4"/>
        <v>315.2</v>
      </c>
      <c r="R10" s="5">
        <v>100</v>
      </c>
      <c r="S10" s="5">
        <f t="shared" si="6"/>
        <v>100</v>
      </c>
      <c r="T10" s="5"/>
      <c r="U10" s="1"/>
      <c r="V10" s="1">
        <f>(F10+N10+O10+P10+S10)/Q10</f>
        <v>3.0154822335025382</v>
      </c>
      <c r="W10" s="1">
        <f>(F10+N10+O10+P10)/Q10</f>
        <v>2.6982233502538073</v>
      </c>
      <c r="X10" s="1">
        <v>353.4</v>
      </c>
      <c r="Y10" s="1">
        <v>280.2</v>
      </c>
      <c r="Z10" s="1">
        <v>187.2</v>
      </c>
      <c r="AA10" s="1">
        <v>126</v>
      </c>
      <c r="AB10" s="1">
        <v>110</v>
      </c>
      <c r="AC10" s="1">
        <v>136</v>
      </c>
      <c r="AD10" s="1">
        <v>117.8</v>
      </c>
      <c r="AE10" s="1">
        <v>121</v>
      </c>
      <c r="AF10" s="1">
        <v>156.19999999999999</v>
      </c>
      <c r="AG10" s="1">
        <v>126.8</v>
      </c>
      <c r="AH10" s="1" t="s">
        <v>47</v>
      </c>
      <c r="AI10" s="1">
        <f t="shared" si="7"/>
        <v>45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43</v>
      </c>
      <c r="C11" s="1">
        <v>947</v>
      </c>
      <c r="D11" s="1">
        <v>1959</v>
      </c>
      <c r="E11" s="1">
        <v>1462</v>
      </c>
      <c r="F11" s="1">
        <v>1177</v>
      </c>
      <c r="G11" s="7">
        <v>0.45</v>
      </c>
      <c r="H11" s="1">
        <v>45</v>
      </c>
      <c r="I11" s="1" t="s">
        <v>39</v>
      </c>
      <c r="J11" s="1">
        <v>1443</v>
      </c>
      <c r="K11" s="1">
        <f t="shared" si="2"/>
        <v>19</v>
      </c>
      <c r="L11" s="1">
        <f t="shared" si="3"/>
        <v>1276</v>
      </c>
      <c r="M11" s="1">
        <v>186</v>
      </c>
      <c r="N11" s="1">
        <v>517.48699999999963</v>
      </c>
      <c r="O11" s="1"/>
      <c r="P11" s="1">
        <v>640.51300000000037</v>
      </c>
      <c r="Q11" s="1">
        <f t="shared" si="4"/>
        <v>255.2</v>
      </c>
      <c r="R11" s="5">
        <f t="shared" ref="R11:R20" si="8">11*Q11-P11-O11-N11-F11</f>
        <v>472.19999999999982</v>
      </c>
      <c r="S11" s="5">
        <f t="shared" si="6"/>
        <v>472.19999999999982</v>
      </c>
      <c r="T11" s="5"/>
      <c r="U11" s="1"/>
      <c r="V11" s="1">
        <f>(F11+N11+O11+P11+S11)/Q11</f>
        <v>11</v>
      </c>
      <c r="W11" s="1">
        <f>(F11+N11+O11+P11)/Q11</f>
        <v>9.1496865203761768</v>
      </c>
      <c r="X11" s="1">
        <v>258.2</v>
      </c>
      <c r="Y11" s="1">
        <v>260.39999999999998</v>
      </c>
      <c r="Z11" s="1">
        <v>263.2174</v>
      </c>
      <c r="AA11" s="1">
        <v>249.81739999999999</v>
      </c>
      <c r="AB11" s="1">
        <v>228.09</v>
      </c>
      <c r="AC11" s="1">
        <v>223.09</v>
      </c>
      <c r="AD11" s="1">
        <v>198.27420000000001</v>
      </c>
      <c r="AE11" s="1">
        <v>205.67420000000001</v>
      </c>
      <c r="AF11" s="1">
        <v>249.8</v>
      </c>
      <c r="AG11" s="1">
        <v>222.59</v>
      </c>
      <c r="AH11" s="1" t="s">
        <v>47</v>
      </c>
      <c r="AI11" s="1">
        <f t="shared" si="7"/>
        <v>212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43</v>
      </c>
      <c r="C12" s="1">
        <v>42</v>
      </c>
      <c r="D12" s="1">
        <v>285</v>
      </c>
      <c r="E12" s="1">
        <v>101</v>
      </c>
      <c r="F12" s="1">
        <v>212</v>
      </c>
      <c r="G12" s="7">
        <v>0.17</v>
      </c>
      <c r="H12" s="1">
        <v>180</v>
      </c>
      <c r="I12" s="1" t="s">
        <v>39</v>
      </c>
      <c r="J12" s="1">
        <v>116</v>
      </c>
      <c r="K12" s="1">
        <f t="shared" si="2"/>
        <v>-15</v>
      </c>
      <c r="L12" s="1">
        <f t="shared" si="3"/>
        <v>101</v>
      </c>
      <c r="M12" s="1"/>
      <c r="N12" s="1"/>
      <c r="O12" s="1"/>
      <c r="P12" s="1">
        <v>0</v>
      </c>
      <c r="Q12" s="1">
        <f t="shared" si="4"/>
        <v>20.2</v>
      </c>
      <c r="R12" s="5">
        <f t="shared" si="8"/>
        <v>10.199999999999989</v>
      </c>
      <c r="S12" s="5">
        <f t="shared" si="6"/>
        <v>10.199999999999989</v>
      </c>
      <c r="T12" s="5"/>
      <c r="U12" s="1"/>
      <c r="V12" s="1">
        <f>(F12+N12+O12+P12+S12)/Q12</f>
        <v>11</v>
      </c>
      <c r="W12" s="1">
        <f>(F12+N12+O12+P12)/Q12</f>
        <v>10.495049504950495</v>
      </c>
      <c r="X12" s="1">
        <v>16.399999999999999</v>
      </c>
      <c r="Y12" s="1">
        <v>24.6</v>
      </c>
      <c r="Z12" s="1">
        <v>29.8</v>
      </c>
      <c r="AA12" s="1">
        <v>24.6</v>
      </c>
      <c r="AB12" s="1">
        <v>17.8</v>
      </c>
      <c r="AC12" s="1">
        <v>15.2</v>
      </c>
      <c r="AD12" s="1">
        <v>16.2</v>
      </c>
      <c r="AE12" s="1">
        <v>24.4</v>
      </c>
      <c r="AF12" s="1">
        <v>28.6</v>
      </c>
      <c r="AG12" s="1">
        <v>18.399999999999999</v>
      </c>
      <c r="AH12" s="1" t="s">
        <v>47</v>
      </c>
      <c r="AI12" s="1">
        <f t="shared" si="7"/>
        <v>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43</v>
      </c>
      <c r="C13" s="1">
        <v>19</v>
      </c>
      <c r="D13" s="1">
        <v>6</v>
      </c>
      <c r="E13" s="1">
        <v>13</v>
      </c>
      <c r="F13" s="1">
        <v>5</v>
      </c>
      <c r="G13" s="7">
        <v>0.3</v>
      </c>
      <c r="H13" s="1">
        <v>40</v>
      </c>
      <c r="I13" s="1" t="s">
        <v>39</v>
      </c>
      <c r="J13" s="1">
        <v>17</v>
      </c>
      <c r="K13" s="1">
        <f t="shared" si="2"/>
        <v>-4</v>
      </c>
      <c r="L13" s="1">
        <f t="shared" si="3"/>
        <v>13</v>
      </c>
      <c r="M13" s="1"/>
      <c r="N13" s="1"/>
      <c r="O13" s="1"/>
      <c r="P13" s="1">
        <v>20.2</v>
      </c>
      <c r="Q13" s="1">
        <f t="shared" si="4"/>
        <v>2.6</v>
      </c>
      <c r="R13" s="5">
        <v>6</v>
      </c>
      <c r="S13" s="5">
        <f t="shared" si="6"/>
        <v>6</v>
      </c>
      <c r="T13" s="5"/>
      <c r="U13" s="1"/>
      <c r="V13" s="1">
        <f>(F13+N13+O13+P13+S13)/Q13</f>
        <v>12</v>
      </c>
      <c r="W13" s="1">
        <f>(F13+N13+O13+P13)/Q13</f>
        <v>9.6923076923076916</v>
      </c>
      <c r="X13" s="1">
        <v>2.8</v>
      </c>
      <c r="Y13" s="1">
        <v>0.2</v>
      </c>
      <c r="Z13" s="1">
        <v>0</v>
      </c>
      <c r="AA13" s="1">
        <v>1</v>
      </c>
      <c r="AB13" s="1">
        <v>0.6</v>
      </c>
      <c r="AC13" s="1">
        <v>2</v>
      </c>
      <c r="AD13" s="1">
        <v>0.8</v>
      </c>
      <c r="AE13" s="1">
        <v>1.4</v>
      </c>
      <c r="AF13" s="1">
        <v>1.4</v>
      </c>
      <c r="AG13" s="1">
        <v>1</v>
      </c>
      <c r="AH13" s="1"/>
      <c r="AI13" s="1">
        <f t="shared" si="7"/>
        <v>2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43</v>
      </c>
      <c r="C14" s="1">
        <v>237</v>
      </c>
      <c r="D14" s="1">
        <v>150</v>
      </c>
      <c r="E14" s="1">
        <v>184</v>
      </c>
      <c r="F14" s="1">
        <v>196</v>
      </c>
      <c r="G14" s="7">
        <v>0.17</v>
      </c>
      <c r="H14" s="1">
        <v>180</v>
      </c>
      <c r="I14" s="1" t="s">
        <v>39</v>
      </c>
      <c r="J14" s="1">
        <v>186</v>
      </c>
      <c r="K14" s="1">
        <f t="shared" si="2"/>
        <v>-2</v>
      </c>
      <c r="L14" s="1">
        <f t="shared" si="3"/>
        <v>94</v>
      </c>
      <c r="M14" s="1">
        <v>90</v>
      </c>
      <c r="N14" s="1"/>
      <c r="O14" s="1"/>
      <c r="P14" s="1">
        <v>0</v>
      </c>
      <c r="Q14" s="1">
        <f t="shared" si="4"/>
        <v>18.8</v>
      </c>
      <c r="R14" s="5">
        <f t="shared" si="8"/>
        <v>10.800000000000011</v>
      </c>
      <c r="S14" s="5">
        <f t="shared" si="6"/>
        <v>10.800000000000011</v>
      </c>
      <c r="T14" s="5"/>
      <c r="U14" s="1"/>
      <c r="V14" s="1">
        <f>(F14+N14+O14+P14+S14)/Q14</f>
        <v>11</v>
      </c>
      <c r="W14" s="1">
        <f>(F14+N14+O14+P14)/Q14</f>
        <v>10.425531914893616</v>
      </c>
      <c r="X14" s="1">
        <v>18.399999999999999</v>
      </c>
      <c r="Y14" s="1">
        <v>8.8000000000000007</v>
      </c>
      <c r="Z14" s="1">
        <v>21.4</v>
      </c>
      <c r="AA14" s="1">
        <v>27.4</v>
      </c>
      <c r="AB14" s="1">
        <v>31.2</v>
      </c>
      <c r="AC14" s="1">
        <v>28.4</v>
      </c>
      <c r="AD14" s="1">
        <v>34</v>
      </c>
      <c r="AE14" s="1">
        <v>49</v>
      </c>
      <c r="AF14" s="1">
        <v>50.2</v>
      </c>
      <c r="AG14" s="1">
        <v>8.8000000000000007</v>
      </c>
      <c r="AH14" s="1"/>
      <c r="AI14" s="1">
        <f t="shared" si="7"/>
        <v>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0" t="s">
        <v>156</v>
      </c>
      <c r="B15" s="1" t="s">
        <v>43</v>
      </c>
      <c r="C15" s="1"/>
      <c r="D15" s="1">
        <v>84</v>
      </c>
      <c r="E15" s="1">
        <v>19</v>
      </c>
      <c r="F15" s="1">
        <v>65</v>
      </c>
      <c r="G15" s="7">
        <v>0.05</v>
      </c>
      <c r="H15" s="1">
        <v>120</v>
      </c>
      <c r="I15" s="1" t="s">
        <v>39</v>
      </c>
      <c r="J15" s="1">
        <v>14</v>
      </c>
      <c r="K15" s="1">
        <f t="shared" si="2"/>
        <v>5</v>
      </c>
      <c r="L15" s="1">
        <f t="shared" si="3"/>
        <v>19</v>
      </c>
      <c r="M15" s="1"/>
      <c r="N15" s="1"/>
      <c r="O15" s="1"/>
      <c r="P15" s="1">
        <v>0</v>
      </c>
      <c r="Q15" s="1">
        <f t="shared" si="4"/>
        <v>3.8</v>
      </c>
      <c r="R15" s="5"/>
      <c r="S15" s="5">
        <f t="shared" si="6"/>
        <v>0</v>
      </c>
      <c r="T15" s="5"/>
      <c r="U15" s="1"/>
      <c r="V15" s="1">
        <f>(F15+N15+O15+P15+S15)/Q15</f>
        <v>17.105263157894736</v>
      </c>
      <c r="W15" s="1">
        <f>(F15+N15+O15+P15)/Q15</f>
        <v>17.105263157894736</v>
      </c>
      <c r="X15" s="1">
        <v>0.8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 t="s">
        <v>52</v>
      </c>
      <c r="AI15" s="1">
        <f t="shared" si="7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43</v>
      </c>
      <c r="C16" s="1"/>
      <c r="D16" s="1">
        <v>54</v>
      </c>
      <c r="E16" s="1"/>
      <c r="F16" s="1">
        <v>54</v>
      </c>
      <c r="G16" s="7">
        <v>0.35</v>
      </c>
      <c r="H16" s="1">
        <v>50</v>
      </c>
      <c r="I16" s="1" t="s">
        <v>39</v>
      </c>
      <c r="J16" s="1"/>
      <c r="K16" s="1">
        <f t="shared" si="2"/>
        <v>0</v>
      </c>
      <c r="L16" s="1">
        <f t="shared" si="3"/>
        <v>0</v>
      </c>
      <c r="M16" s="1"/>
      <c r="N16" s="1"/>
      <c r="O16" s="1"/>
      <c r="P16" s="1">
        <v>0</v>
      </c>
      <c r="Q16" s="1">
        <f t="shared" si="4"/>
        <v>0</v>
      </c>
      <c r="R16" s="5"/>
      <c r="S16" s="5">
        <f t="shared" si="6"/>
        <v>0</v>
      </c>
      <c r="T16" s="5"/>
      <c r="U16" s="1"/>
      <c r="V16" s="1" t="e">
        <f>(F16+N16+O16+P16+S16)/Q16</f>
        <v>#DIV/0!</v>
      </c>
      <c r="W16" s="1" t="e">
        <f>(F16+N16+O16+P16)/Q16</f>
        <v>#DIV/0!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 t="s">
        <v>54</v>
      </c>
      <c r="AI16" s="1">
        <f t="shared" si="7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43</v>
      </c>
      <c r="C17" s="1">
        <v>34</v>
      </c>
      <c r="D17" s="1">
        <v>138</v>
      </c>
      <c r="E17" s="1">
        <v>99</v>
      </c>
      <c r="F17" s="1">
        <v>54</v>
      </c>
      <c r="G17" s="7">
        <v>0.35</v>
      </c>
      <c r="H17" s="1">
        <v>50</v>
      </c>
      <c r="I17" s="1" t="s">
        <v>39</v>
      </c>
      <c r="J17" s="1">
        <v>159</v>
      </c>
      <c r="K17" s="1">
        <f t="shared" si="2"/>
        <v>-60</v>
      </c>
      <c r="L17" s="1">
        <f t="shared" si="3"/>
        <v>99</v>
      </c>
      <c r="M17" s="1"/>
      <c r="N17" s="1">
        <v>68.199999999999989</v>
      </c>
      <c r="O17" s="1"/>
      <c r="P17" s="1">
        <v>0</v>
      </c>
      <c r="Q17" s="1">
        <f t="shared" si="4"/>
        <v>19.8</v>
      </c>
      <c r="R17" s="5">
        <f t="shared" si="8"/>
        <v>95.600000000000023</v>
      </c>
      <c r="S17" s="5">
        <f t="shared" si="6"/>
        <v>95.600000000000023</v>
      </c>
      <c r="T17" s="5"/>
      <c r="U17" s="1"/>
      <c r="V17" s="1">
        <f>(F17+N17+O17+P17+S17)/Q17</f>
        <v>11</v>
      </c>
      <c r="W17" s="1">
        <f>(F17+N17+O17+P17)/Q17</f>
        <v>6.1717171717171713</v>
      </c>
      <c r="X17" s="1">
        <v>15.2</v>
      </c>
      <c r="Y17" s="1">
        <v>19.2</v>
      </c>
      <c r="Z17" s="1">
        <v>18</v>
      </c>
      <c r="AA17" s="1">
        <v>11.4</v>
      </c>
      <c r="AB17" s="1">
        <v>11.4</v>
      </c>
      <c r="AC17" s="1">
        <v>9.1999999999999993</v>
      </c>
      <c r="AD17" s="1">
        <v>12.6</v>
      </c>
      <c r="AE17" s="1">
        <v>15.6</v>
      </c>
      <c r="AF17" s="1">
        <v>19</v>
      </c>
      <c r="AG17" s="1">
        <v>16</v>
      </c>
      <c r="AH17" s="1" t="s">
        <v>47</v>
      </c>
      <c r="AI17" s="1">
        <f t="shared" si="7"/>
        <v>33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38</v>
      </c>
      <c r="C18" s="1">
        <v>1022.6079999999999</v>
      </c>
      <c r="D18" s="1">
        <v>1147.893</v>
      </c>
      <c r="E18" s="1">
        <v>1031.9469999999999</v>
      </c>
      <c r="F18" s="1">
        <v>1004.236</v>
      </c>
      <c r="G18" s="7">
        <v>1</v>
      </c>
      <c r="H18" s="1">
        <v>55</v>
      </c>
      <c r="I18" s="1" t="s">
        <v>39</v>
      </c>
      <c r="J18" s="1">
        <v>994.05</v>
      </c>
      <c r="K18" s="1">
        <f t="shared" si="2"/>
        <v>37.896999999999935</v>
      </c>
      <c r="L18" s="1">
        <f t="shared" si="3"/>
        <v>1031.9469999999999</v>
      </c>
      <c r="M18" s="1"/>
      <c r="N18" s="1"/>
      <c r="O18" s="1"/>
      <c r="P18" s="1">
        <v>748.64699999999993</v>
      </c>
      <c r="Q18" s="1">
        <f t="shared" si="4"/>
        <v>206.38939999999997</v>
      </c>
      <c r="R18" s="5">
        <f t="shared" si="8"/>
        <v>517.40039999999988</v>
      </c>
      <c r="S18" s="5">
        <f t="shared" si="6"/>
        <v>517.40039999999988</v>
      </c>
      <c r="T18" s="5"/>
      <c r="U18" s="1"/>
      <c r="V18" s="1">
        <f>(F18+N18+O18+P18+S18)/Q18</f>
        <v>11</v>
      </c>
      <c r="W18" s="1">
        <f>(F18+N18+O18+P18)/Q18</f>
        <v>8.4930863697457344</v>
      </c>
      <c r="X18" s="1">
        <v>193.7028</v>
      </c>
      <c r="Y18" s="1">
        <v>201.4074</v>
      </c>
      <c r="Z18" s="1">
        <v>310.33399999999989</v>
      </c>
      <c r="AA18" s="1">
        <v>398.28039999999999</v>
      </c>
      <c r="AB18" s="1">
        <v>324.76940000000002</v>
      </c>
      <c r="AC18" s="1">
        <v>301.13979999999998</v>
      </c>
      <c r="AD18" s="1">
        <v>383.67419999999998</v>
      </c>
      <c r="AE18" s="1">
        <v>451.68860000000012</v>
      </c>
      <c r="AF18" s="1">
        <v>473.6454</v>
      </c>
      <c r="AG18" s="1">
        <v>323.50799999999998</v>
      </c>
      <c r="AH18" s="1" t="s">
        <v>57</v>
      </c>
      <c r="AI18" s="1">
        <f t="shared" si="7"/>
        <v>517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58</v>
      </c>
      <c r="B19" s="1" t="s">
        <v>38</v>
      </c>
      <c r="C19" s="1">
        <v>2602.9490000000001</v>
      </c>
      <c r="D19" s="1">
        <v>1034.08</v>
      </c>
      <c r="E19" s="1">
        <v>2266.154</v>
      </c>
      <c r="F19" s="1">
        <v>1224.5999999999999</v>
      </c>
      <c r="G19" s="7">
        <v>1</v>
      </c>
      <c r="H19" s="1">
        <v>50</v>
      </c>
      <c r="I19" s="1" t="s">
        <v>39</v>
      </c>
      <c r="J19" s="1">
        <v>2253.1799999999998</v>
      </c>
      <c r="K19" s="1">
        <f t="shared" si="2"/>
        <v>12.97400000000016</v>
      </c>
      <c r="L19" s="1">
        <f t="shared" si="3"/>
        <v>1335.4670000000001</v>
      </c>
      <c r="M19" s="1">
        <v>930.68700000000001</v>
      </c>
      <c r="N19" s="1">
        <v>217.94439999999989</v>
      </c>
      <c r="O19" s="1"/>
      <c r="P19" s="1">
        <v>853.19960000000037</v>
      </c>
      <c r="Q19" s="1">
        <f t="shared" si="4"/>
        <v>267.09340000000003</v>
      </c>
      <c r="R19" s="5">
        <f t="shared" si="8"/>
        <v>642.28340000000026</v>
      </c>
      <c r="S19" s="5">
        <f t="shared" si="6"/>
        <v>642.28340000000026</v>
      </c>
      <c r="T19" s="5"/>
      <c r="U19" s="1"/>
      <c r="V19" s="1">
        <f>(F19+N19+O19+P19+S19)/Q19</f>
        <v>11</v>
      </c>
      <c r="W19" s="1">
        <f>(F19+N19+O19+P19)/Q19</f>
        <v>8.5952853945473748</v>
      </c>
      <c r="X19" s="1">
        <v>251.4836</v>
      </c>
      <c r="Y19" s="1">
        <v>292.53859999999997</v>
      </c>
      <c r="Z19" s="1">
        <v>235.83619999999999</v>
      </c>
      <c r="AA19" s="1">
        <v>536.05899999999997</v>
      </c>
      <c r="AB19" s="1">
        <v>581.779</v>
      </c>
      <c r="AC19" s="1">
        <v>386.68200000000002</v>
      </c>
      <c r="AD19" s="1">
        <v>436.22439999999989</v>
      </c>
      <c r="AE19" s="1">
        <v>475.40159999999997</v>
      </c>
      <c r="AF19" s="1">
        <v>605.65679999999998</v>
      </c>
      <c r="AG19" s="1">
        <v>436.65420000000012</v>
      </c>
      <c r="AH19" s="1" t="s">
        <v>57</v>
      </c>
      <c r="AI19" s="1">
        <f t="shared" si="7"/>
        <v>642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38</v>
      </c>
      <c r="C20" s="1">
        <v>143.42400000000001</v>
      </c>
      <c r="D20" s="1">
        <v>110.66800000000001</v>
      </c>
      <c r="E20" s="1">
        <v>148.30199999999999</v>
      </c>
      <c r="F20" s="1">
        <v>82.317999999999998</v>
      </c>
      <c r="G20" s="7">
        <v>1</v>
      </c>
      <c r="H20" s="1">
        <v>60</v>
      </c>
      <c r="I20" s="1" t="s">
        <v>39</v>
      </c>
      <c r="J20" s="1">
        <v>138.81</v>
      </c>
      <c r="K20" s="1">
        <f t="shared" si="2"/>
        <v>9.4919999999999902</v>
      </c>
      <c r="L20" s="1">
        <f t="shared" si="3"/>
        <v>148.30199999999999</v>
      </c>
      <c r="M20" s="1"/>
      <c r="N20" s="1"/>
      <c r="O20" s="1"/>
      <c r="P20" s="1">
        <v>159.86600000000001</v>
      </c>
      <c r="Q20" s="1">
        <f t="shared" si="4"/>
        <v>29.660399999999999</v>
      </c>
      <c r="R20" s="5">
        <f t="shared" si="8"/>
        <v>84.080399999999955</v>
      </c>
      <c r="S20" s="5">
        <f t="shared" si="6"/>
        <v>84.080399999999955</v>
      </c>
      <c r="T20" s="5"/>
      <c r="U20" s="1"/>
      <c r="V20" s="1">
        <f>(F20+N20+O20+P20+S20)/Q20</f>
        <v>11</v>
      </c>
      <c r="W20" s="1">
        <f>(F20+N20+O20+P20)/Q20</f>
        <v>8.1652304082210634</v>
      </c>
      <c r="X20" s="1">
        <v>26.854800000000001</v>
      </c>
      <c r="Y20" s="1">
        <v>21.146599999999999</v>
      </c>
      <c r="Z20" s="1">
        <v>24.0246</v>
      </c>
      <c r="AA20" s="1">
        <v>29.0502</v>
      </c>
      <c r="AB20" s="1">
        <v>27.303000000000001</v>
      </c>
      <c r="AC20" s="1">
        <v>19.429400000000001</v>
      </c>
      <c r="AD20" s="1">
        <v>23.8124</v>
      </c>
      <c r="AE20" s="1">
        <v>25.540199999999999</v>
      </c>
      <c r="AF20" s="1">
        <v>28.898199999999999</v>
      </c>
      <c r="AG20" s="1">
        <v>20.8932</v>
      </c>
      <c r="AH20" s="1"/>
      <c r="AI20" s="1">
        <f t="shared" si="7"/>
        <v>84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38</v>
      </c>
      <c r="C21" s="1">
        <v>280.31400000000002</v>
      </c>
      <c r="D21" s="1">
        <v>4523.1880000000001</v>
      </c>
      <c r="E21" s="1">
        <v>2360.1329999999998</v>
      </c>
      <c r="F21" s="1">
        <v>2352.7130000000002</v>
      </c>
      <c r="G21" s="7">
        <v>1</v>
      </c>
      <c r="H21" s="1">
        <v>60</v>
      </c>
      <c r="I21" s="1" t="s">
        <v>39</v>
      </c>
      <c r="J21" s="1">
        <v>2317.8829999999998</v>
      </c>
      <c r="K21" s="1">
        <f t="shared" si="2"/>
        <v>42.25</v>
      </c>
      <c r="L21" s="1">
        <f t="shared" si="3"/>
        <v>802.53099999999972</v>
      </c>
      <c r="M21" s="1">
        <v>1557.6020000000001</v>
      </c>
      <c r="N21" s="1"/>
      <c r="O21" s="1"/>
      <c r="P21" s="1">
        <v>0</v>
      </c>
      <c r="Q21" s="1">
        <f t="shared" si="4"/>
        <v>160.50619999999995</v>
      </c>
      <c r="R21" s="5"/>
      <c r="S21" s="5">
        <f t="shared" si="6"/>
        <v>0</v>
      </c>
      <c r="T21" s="5"/>
      <c r="U21" s="1"/>
      <c r="V21" s="1">
        <f>(F21+N21+O21+P21+S21)/Q21</f>
        <v>14.658081743882796</v>
      </c>
      <c r="W21" s="1">
        <f>(F21+N21+O21+P21)/Q21</f>
        <v>14.658081743882796</v>
      </c>
      <c r="X21" s="1">
        <v>167.1514</v>
      </c>
      <c r="Y21" s="1">
        <v>272.83499999999998</v>
      </c>
      <c r="Z21" s="1">
        <v>336.50259999999997</v>
      </c>
      <c r="AA21" s="1">
        <v>275.95479999999998</v>
      </c>
      <c r="AB21" s="1">
        <v>196.05439999999999</v>
      </c>
      <c r="AC21" s="1">
        <v>219.8048</v>
      </c>
      <c r="AD21" s="1">
        <v>358.10300000000001</v>
      </c>
      <c r="AE21" s="1">
        <v>199.55439999999999</v>
      </c>
      <c r="AF21" s="1">
        <v>202.4068</v>
      </c>
      <c r="AG21" s="1">
        <v>198.3862</v>
      </c>
      <c r="AH21" s="1"/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8" t="s">
        <v>61</v>
      </c>
      <c r="B22" s="18" t="s">
        <v>38</v>
      </c>
      <c r="C22" s="18"/>
      <c r="D22" s="18"/>
      <c r="E22" s="18"/>
      <c r="F22" s="18"/>
      <c r="G22" s="19">
        <v>0</v>
      </c>
      <c r="H22" s="18">
        <v>60</v>
      </c>
      <c r="I22" s="18" t="s">
        <v>39</v>
      </c>
      <c r="J22" s="18"/>
      <c r="K22" s="18">
        <f t="shared" si="2"/>
        <v>0</v>
      </c>
      <c r="L22" s="18">
        <f t="shared" si="3"/>
        <v>0</v>
      </c>
      <c r="M22" s="18"/>
      <c r="N22" s="18"/>
      <c r="O22" s="18"/>
      <c r="P22" s="18">
        <v>0</v>
      </c>
      <c r="Q22" s="18">
        <f t="shared" si="4"/>
        <v>0</v>
      </c>
      <c r="R22" s="20"/>
      <c r="S22" s="5">
        <f t="shared" si="6"/>
        <v>0</v>
      </c>
      <c r="T22" s="20"/>
      <c r="U22" s="18"/>
      <c r="V22" s="1" t="e">
        <f>(F22+N22+O22+P22+S22)/Q22</f>
        <v>#DIV/0!</v>
      </c>
      <c r="W22" s="18" t="e">
        <f>(F22+N22+O22+P22)/Q22</f>
        <v>#DIV/0!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 t="s">
        <v>62</v>
      </c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63</v>
      </c>
      <c r="B23" s="1" t="s">
        <v>38</v>
      </c>
      <c r="C23" s="1">
        <v>4656.4040000000005</v>
      </c>
      <c r="D23" s="1">
        <v>1224.5899999999999</v>
      </c>
      <c r="E23" s="1">
        <v>2717.8240000000001</v>
      </c>
      <c r="F23" s="1">
        <v>2809.1370000000002</v>
      </c>
      <c r="G23" s="7">
        <v>1</v>
      </c>
      <c r="H23" s="1">
        <v>60</v>
      </c>
      <c r="I23" s="1" t="s">
        <v>39</v>
      </c>
      <c r="J23" s="1">
        <v>2575.7399999999998</v>
      </c>
      <c r="K23" s="1">
        <f t="shared" si="2"/>
        <v>142.08400000000029</v>
      </c>
      <c r="L23" s="1">
        <f t="shared" si="3"/>
        <v>2686.0940000000001</v>
      </c>
      <c r="M23" s="1">
        <v>31.73</v>
      </c>
      <c r="N23" s="1"/>
      <c r="O23" s="1">
        <v>1600</v>
      </c>
      <c r="P23" s="1">
        <v>815.31240000000162</v>
      </c>
      <c r="Q23" s="1">
        <f t="shared" si="4"/>
        <v>537.21879999999999</v>
      </c>
      <c r="R23" s="5">
        <f t="shared" ref="R23:R26" si="9">11*Q23-P23-O23-N23-F23</f>
        <v>684.95739999999796</v>
      </c>
      <c r="S23" s="5">
        <f>R23</f>
        <v>684.95739999999796</v>
      </c>
      <c r="T23" s="5"/>
      <c r="U23" s="1"/>
      <c r="V23" s="1">
        <f>(F23+N23+O23+P23+S23)/Q23</f>
        <v>11.000000000000002</v>
      </c>
      <c r="W23" s="1">
        <f>(F23+N23+O23+P23)/Q23</f>
        <v>9.724993615264399</v>
      </c>
      <c r="X23" s="1">
        <v>516.37740000000008</v>
      </c>
      <c r="Y23" s="1">
        <v>434.51839999999999</v>
      </c>
      <c r="Z23" s="1">
        <v>439.80700000000007</v>
      </c>
      <c r="AA23" s="1">
        <v>668.41700000000003</v>
      </c>
      <c r="AB23" s="1">
        <v>686.20619999999997</v>
      </c>
      <c r="AC23" s="1">
        <v>491.83839999999998</v>
      </c>
      <c r="AD23" s="1">
        <v>547.68860000000006</v>
      </c>
      <c r="AE23" s="1">
        <v>673.61239999999998</v>
      </c>
      <c r="AF23" s="1">
        <v>630.01919999999996</v>
      </c>
      <c r="AG23" s="1">
        <v>420.90260000000001</v>
      </c>
      <c r="AH23" s="1" t="s">
        <v>64</v>
      </c>
      <c r="AI23" s="1">
        <f t="shared" si="7"/>
        <v>685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65</v>
      </c>
      <c r="B24" s="1" t="s">
        <v>38</v>
      </c>
      <c r="C24" s="1">
        <v>710.76900000000001</v>
      </c>
      <c r="D24" s="1">
        <v>765.7</v>
      </c>
      <c r="E24" s="1">
        <v>704.41399999999999</v>
      </c>
      <c r="F24" s="1">
        <v>574.34500000000003</v>
      </c>
      <c r="G24" s="7">
        <v>1</v>
      </c>
      <c r="H24" s="1">
        <v>60</v>
      </c>
      <c r="I24" s="1" t="s">
        <v>39</v>
      </c>
      <c r="J24" s="1">
        <v>688.29</v>
      </c>
      <c r="K24" s="1">
        <f t="shared" si="2"/>
        <v>16.124000000000024</v>
      </c>
      <c r="L24" s="1">
        <f t="shared" si="3"/>
        <v>704.41399999999999</v>
      </c>
      <c r="M24" s="1"/>
      <c r="N24" s="1">
        <v>141.756</v>
      </c>
      <c r="O24" s="1">
        <v>500</v>
      </c>
      <c r="P24" s="1">
        <v>358.00519999999989</v>
      </c>
      <c r="Q24" s="1">
        <f t="shared" si="4"/>
        <v>140.8828</v>
      </c>
      <c r="R24" s="5"/>
      <c r="S24" s="5">
        <f t="shared" ref="S24:S25" si="10">R24</f>
        <v>0</v>
      </c>
      <c r="T24" s="5"/>
      <c r="U24" s="1"/>
      <c r="V24" s="1">
        <f>(F24+N24+O24+P24+S24)/Q24</f>
        <v>11.173160953643738</v>
      </c>
      <c r="W24" s="1">
        <f>(F24+N24+O24+P24)/Q24</f>
        <v>11.173160953643738</v>
      </c>
      <c r="X24" s="1">
        <v>154.36920000000001</v>
      </c>
      <c r="Y24" s="1">
        <v>112.0834</v>
      </c>
      <c r="Z24" s="1">
        <v>125.7568</v>
      </c>
      <c r="AA24" s="1">
        <v>132.44640000000001</v>
      </c>
      <c r="AB24" s="1">
        <v>97.144800000000004</v>
      </c>
      <c r="AC24" s="1">
        <v>103.6504</v>
      </c>
      <c r="AD24" s="1">
        <v>92.827399999999997</v>
      </c>
      <c r="AE24" s="1">
        <v>112.0784</v>
      </c>
      <c r="AF24" s="1">
        <v>119.7702</v>
      </c>
      <c r="AG24" s="1">
        <v>89.989800000000002</v>
      </c>
      <c r="AH24" s="1" t="s">
        <v>66</v>
      </c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67</v>
      </c>
      <c r="B25" s="1" t="s">
        <v>38</v>
      </c>
      <c r="C25" s="1">
        <v>595.85500000000002</v>
      </c>
      <c r="D25" s="1">
        <v>1359.1320000000001</v>
      </c>
      <c r="E25" s="1">
        <v>906.18</v>
      </c>
      <c r="F25" s="1">
        <v>761.06600000000003</v>
      </c>
      <c r="G25" s="7">
        <v>1</v>
      </c>
      <c r="H25" s="1">
        <v>60</v>
      </c>
      <c r="I25" s="1" t="s">
        <v>39</v>
      </c>
      <c r="J25" s="1">
        <v>868.91399999999999</v>
      </c>
      <c r="K25" s="1">
        <f t="shared" si="2"/>
        <v>37.265999999999963</v>
      </c>
      <c r="L25" s="1">
        <f t="shared" si="3"/>
        <v>906.18</v>
      </c>
      <c r="M25" s="1"/>
      <c r="N25" s="1">
        <v>251.34180000000009</v>
      </c>
      <c r="O25" s="1">
        <v>600</v>
      </c>
      <c r="P25" s="1">
        <v>510.63280000000009</v>
      </c>
      <c r="Q25" s="1">
        <f t="shared" si="4"/>
        <v>181.23599999999999</v>
      </c>
      <c r="R25" s="5"/>
      <c r="S25" s="5">
        <f t="shared" si="10"/>
        <v>0</v>
      </c>
      <c r="T25" s="5"/>
      <c r="U25" s="1"/>
      <c r="V25" s="1">
        <f>(F25+N25+O25+P25+S25)/Q25</f>
        <v>11.714232271734094</v>
      </c>
      <c r="W25" s="1">
        <f>(F25+N25+O25+P25)/Q25</f>
        <v>11.714232271734094</v>
      </c>
      <c r="X25" s="1">
        <v>207.1456</v>
      </c>
      <c r="Y25" s="1">
        <v>153.3486</v>
      </c>
      <c r="Z25" s="1">
        <v>169.1464</v>
      </c>
      <c r="AA25" s="1">
        <v>177.07560000000001</v>
      </c>
      <c r="AB25" s="1">
        <v>111.5564</v>
      </c>
      <c r="AC25" s="1">
        <v>146.03460000000001</v>
      </c>
      <c r="AD25" s="1">
        <v>129.23740000000001</v>
      </c>
      <c r="AE25" s="1">
        <v>169.82660000000001</v>
      </c>
      <c r="AF25" s="1">
        <v>173.10380000000001</v>
      </c>
      <c r="AG25" s="1">
        <v>98.101399999999998</v>
      </c>
      <c r="AH25" s="1" t="s">
        <v>68</v>
      </c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69</v>
      </c>
      <c r="B26" s="1" t="s">
        <v>38</v>
      </c>
      <c r="C26" s="1">
        <v>1753.895</v>
      </c>
      <c r="D26" s="1">
        <v>147.84200000000001</v>
      </c>
      <c r="E26" s="1">
        <v>681.49800000000005</v>
      </c>
      <c r="F26" s="1">
        <v>1120.05</v>
      </c>
      <c r="G26" s="7">
        <v>1</v>
      </c>
      <c r="H26" s="1">
        <v>60</v>
      </c>
      <c r="I26" s="1" t="s">
        <v>39</v>
      </c>
      <c r="J26" s="1">
        <v>641.745</v>
      </c>
      <c r="K26" s="1">
        <f t="shared" si="2"/>
        <v>39.753000000000043</v>
      </c>
      <c r="L26" s="1">
        <f t="shared" si="3"/>
        <v>681.49800000000005</v>
      </c>
      <c r="M26" s="1"/>
      <c r="N26" s="1"/>
      <c r="O26" s="1"/>
      <c r="P26" s="1">
        <v>124.625</v>
      </c>
      <c r="Q26" s="1">
        <f t="shared" si="4"/>
        <v>136.2996</v>
      </c>
      <c r="R26" s="5">
        <f t="shared" si="9"/>
        <v>254.62059999999997</v>
      </c>
      <c r="S26" s="5">
        <f t="shared" si="6"/>
        <v>254.62059999999997</v>
      </c>
      <c r="T26" s="5"/>
      <c r="U26" s="1"/>
      <c r="V26" s="1">
        <f>(F26+N26+O26+P26+S26)/Q26</f>
        <v>11</v>
      </c>
      <c r="W26" s="1">
        <f>(F26+N26+O26+P26)/Q26</f>
        <v>9.1319050092590146</v>
      </c>
      <c r="X26" s="1">
        <v>134.27719999999999</v>
      </c>
      <c r="Y26" s="1">
        <v>169.32679999999999</v>
      </c>
      <c r="Z26" s="1">
        <v>268.72460000000001</v>
      </c>
      <c r="AA26" s="1">
        <v>363.09100000000001</v>
      </c>
      <c r="AB26" s="1">
        <v>276.38380000000001</v>
      </c>
      <c r="AC26" s="1">
        <v>235.2038</v>
      </c>
      <c r="AD26" s="1">
        <v>370.42840000000001</v>
      </c>
      <c r="AE26" s="1">
        <v>503.1662</v>
      </c>
      <c r="AF26" s="1">
        <v>431.20580000000001</v>
      </c>
      <c r="AG26" s="1">
        <v>186.85220000000001</v>
      </c>
      <c r="AH26" s="1" t="s">
        <v>57</v>
      </c>
      <c r="AI26" s="1">
        <f t="shared" si="7"/>
        <v>255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8" t="s">
        <v>70</v>
      </c>
      <c r="B27" s="18" t="s">
        <v>38</v>
      </c>
      <c r="C27" s="18"/>
      <c r="D27" s="18"/>
      <c r="E27" s="18"/>
      <c r="F27" s="18"/>
      <c r="G27" s="19">
        <v>0</v>
      </c>
      <c r="H27" s="18">
        <v>30</v>
      </c>
      <c r="I27" s="18" t="s">
        <v>39</v>
      </c>
      <c r="J27" s="18"/>
      <c r="K27" s="18">
        <f t="shared" si="2"/>
        <v>0</v>
      </c>
      <c r="L27" s="18">
        <f t="shared" si="3"/>
        <v>0</v>
      </c>
      <c r="M27" s="18"/>
      <c r="N27" s="18"/>
      <c r="O27" s="18"/>
      <c r="P27" s="18">
        <v>0</v>
      </c>
      <c r="Q27" s="18">
        <f t="shared" si="4"/>
        <v>0</v>
      </c>
      <c r="R27" s="20"/>
      <c r="S27" s="5">
        <f t="shared" si="6"/>
        <v>0</v>
      </c>
      <c r="T27" s="20"/>
      <c r="U27" s="18"/>
      <c r="V27" s="1" t="e">
        <f>(F27+N27+O27+P27+S27)/Q27</f>
        <v>#DIV/0!</v>
      </c>
      <c r="W27" s="18" t="e">
        <f>(F27+N27+O27+P27)/Q27</f>
        <v>#DIV/0!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 t="s">
        <v>62</v>
      </c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8" t="s">
        <v>71</v>
      </c>
      <c r="B28" s="18" t="s">
        <v>38</v>
      </c>
      <c r="C28" s="18"/>
      <c r="D28" s="18"/>
      <c r="E28" s="18"/>
      <c r="F28" s="18"/>
      <c r="G28" s="19">
        <v>0</v>
      </c>
      <c r="H28" s="18">
        <v>30</v>
      </c>
      <c r="I28" s="18" t="s">
        <v>39</v>
      </c>
      <c r="J28" s="18"/>
      <c r="K28" s="18">
        <f t="shared" si="2"/>
        <v>0</v>
      </c>
      <c r="L28" s="18">
        <f t="shared" si="3"/>
        <v>0</v>
      </c>
      <c r="M28" s="18"/>
      <c r="N28" s="18"/>
      <c r="O28" s="18"/>
      <c r="P28" s="18">
        <v>0</v>
      </c>
      <c r="Q28" s="18">
        <f t="shared" si="4"/>
        <v>0</v>
      </c>
      <c r="R28" s="20"/>
      <c r="S28" s="5">
        <f t="shared" si="6"/>
        <v>0</v>
      </c>
      <c r="T28" s="20"/>
      <c r="U28" s="18"/>
      <c r="V28" s="1" t="e">
        <f>(F28+N28+O28+P28+S28)/Q28</f>
        <v>#DIV/0!</v>
      </c>
      <c r="W28" s="18" t="e">
        <f>(F28+N28+O28+P28)/Q28</f>
        <v>#DIV/0!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 t="s">
        <v>62</v>
      </c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72</v>
      </c>
      <c r="B29" s="1" t="s">
        <v>38</v>
      </c>
      <c r="C29" s="1">
        <v>788.755</v>
      </c>
      <c r="D29" s="1">
        <v>907.553</v>
      </c>
      <c r="E29" s="1">
        <v>1050.8150000000001</v>
      </c>
      <c r="F29" s="1">
        <v>531.47799999999995</v>
      </c>
      <c r="G29" s="7">
        <v>1</v>
      </c>
      <c r="H29" s="1">
        <v>30</v>
      </c>
      <c r="I29" s="1" t="s">
        <v>39</v>
      </c>
      <c r="J29" s="1">
        <v>1112.046</v>
      </c>
      <c r="K29" s="1">
        <f t="shared" si="2"/>
        <v>-61.230999999999995</v>
      </c>
      <c r="L29" s="1">
        <f t="shared" si="3"/>
        <v>692.24300000000005</v>
      </c>
      <c r="M29" s="1">
        <v>358.572</v>
      </c>
      <c r="N29" s="1">
        <v>30.773000000000138</v>
      </c>
      <c r="O29" s="1"/>
      <c r="P29" s="1">
        <v>747.13099999999997</v>
      </c>
      <c r="Q29" s="1">
        <f t="shared" si="4"/>
        <v>138.4486</v>
      </c>
      <c r="R29" s="5">
        <f>11*Q29-P29-O29-N29-F29</f>
        <v>213.55259999999998</v>
      </c>
      <c r="S29" s="5">
        <f t="shared" si="6"/>
        <v>213.55259999999998</v>
      </c>
      <c r="T29" s="5"/>
      <c r="U29" s="1"/>
      <c r="V29" s="1">
        <f>(F29+N29+O29+P29+S29)/Q29</f>
        <v>11</v>
      </c>
      <c r="W29" s="1">
        <f>(F29+N29+O29+P29)/Q29</f>
        <v>9.4575315315575601</v>
      </c>
      <c r="X29" s="1">
        <v>139.56200000000001</v>
      </c>
      <c r="Y29" s="1">
        <v>107.913</v>
      </c>
      <c r="Z29" s="1">
        <v>127.68940000000001</v>
      </c>
      <c r="AA29" s="1">
        <v>172.2902</v>
      </c>
      <c r="AB29" s="1">
        <v>142.6968</v>
      </c>
      <c r="AC29" s="1">
        <v>193.83279999999999</v>
      </c>
      <c r="AD29" s="1">
        <v>148.1738</v>
      </c>
      <c r="AE29" s="1">
        <v>156.25899999999999</v>
      </c>
      <c r="AF29" s="1">
        <v>168.04759999999999</v>
      </c>
      <c r="AG29" s="1">
        <v>89.028800000000004</v>
      </c>
      <c r="AH29" s="1"/>
      <c r="AI29" s="1">
        <f t="shared" si="7"/>
        <v>214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8" t="s">
        <v>73</v>
      </c>
      <c r="B30" s="18" t="s">
        <v>38</v>
      </c>
      <c r="C30" s="18"/>
      <c r="D30" s="18"/>
      <c r="E30" s="18"/>
      <c r="F30" s="18"/>
      <c r="G30" s="19">
        <v>0</v>
      </c>
      <c r="H30" s="18">
        <v>45</v>
      </c>
      <c r="I30" s="18" t="s">
        <v>39</v>
      </c>
      <c r="J30" s="18"/>
      <c r="K30" s="18">
        <f t="shared" si="2"/>
        <v>0</v>
      </c>
      <c r="L30" s="18">
        <f t="shared" si="3"/>
        <v>0</v>
      </c>
      <c r="M30" s="18"/>
      <c r="N30" s="18"/>
      <c r="O30" s="18"/>
      <c r="P30" s="18">
        <v>0</v>
      </c>
      <c r="Q30" s="18">
        <f t="shared" si="4"/>
        <v>0</v>
      </c>
      <c r="R30" s="20"/>
      <c r="S30" s="5">
        <f t="shared" si="6"/>
        <v>0</v>
      </c>
      <c r="T30" s="20"/>
      <c r="U30" s="18"/>
      <c r="V30" s="1" t="e">
        <f>(F30+N30+O30+P30+S30)/Q30</f>
        <v>#DIV/0!</v>
      </c>
      <c r="W30" s="18" t="e">
        <f>(F30+N30+O30+P30)/Q30</f>
        <v>#DIV/0!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 t="s">
        <v>62</v>
      </c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8" t="s">
        <v>74</v>
      </c>
      <c r="B31" s="18" t="s">
        <v>38</v>
      </c>
      <c r="C31" s="18"/>
      <c r="D31" s="18">
        <v>877.83799999999997</v>
      </c>
      <c r="E31" s="18">
        <v>877.83799999999997</v>
      </c>
      <c r="F31" s="18"/>
      <c r="G31" s="19">
        <v>0</v>
      </c>
      <c r="H31" s="18">
        <v>40</v>
      </c>
      <c r="I31" s="18" t="s">
        <v>39</v>
      </c>
      <c r="J31" s="18">
        <v>877.83799999999997</v>
      </c>
      <c r="K31" s="18">
        <f t="shared" si="2"/>
        <v>0</v>
      </c>
      <c r="L31" s="18">
        <f t="shared" si="3"/>
        <v>121.274</v>
      </c>
      <c r="M31" s="18">
        <v>756.56399999999996</v>
      </c>
      <c r="N31" s="18"/>
      <c r="O31" s="18"/>
      <c r="P31" s="18">
        <v>0</v>
      </c>
      <c r="Q31" s="18">
        <f t="shared" si="4"/>
        <v>24.254799999999999</v>
      </c>
      <c r="R31" s="20"/>
      <c r="S31" s="5">
        <f t="shared" si="6"/>
        <v>0</v>
      </c>
      <c r="T31" s="20"/>
      <c r="U31" s="18"/>
      <c r="V31" s="1">
        <f>(F31+N31+O31+P31+S31)/Q31</f>
        <v>0</v>
      </c>
      <c r="W31" s="18">
        <f>(F31+N31+O31+P31)/Q31</f>
        <v>0</v>
      </c>
      <c r="X31" s="18">
        <v>24.254799999999999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 t="s">
        <v>62</v>
      </c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8" t="s">
        <v>75</v>
      </c>
      <c r="B32" s="18" t="s">
        <v>38</v>
      </c>
      <c r="C32" s="18"/>
      <c r="D32" s="18"/>
      <c r="E32" s="18"/>
      <c r="F32" s="18"/>
      <c r="G32" s="19">
        <v>0</v>
      </c>
      <c r="H32" s="18">
        <v>30</v>
      </c>
      <c r="I32" s="18" t="s">
        <v>39</v>
      </c>
      <c r="J32" s="18"/>
      <c r="K32" s="18">
        <f t="shared" si="2"/>
        <v>0</v>
      </c>
      <c r="L32" s="18">
        <f t="shared" si="3"/>
        <v>0</v>
      </c>
      <c r="M32" s="18"/>
      <c r="N32" s="18"/>
      <c r="O32" s="18"/>
      <c r="P32" s="18">
        <v>0</v>
      </c>
      <c r="Q32" s="18">
        <f t="shared" si="4"/>
        <v>0</v>
      </c>
      <c r="R32" s="20"/>
      <c r="S32" s="5">
        <f t="shared" si="6"/>
        <v>0</v>
      </c>
      <c r="T32" s="20"/>
      <c r="U32" s="18"/>
      <c r="V32" s="1" t="e">
        <f>(F32+N32+O32+P32+S32)/Q32</f>
        <v>#DIV/0!</v>
      </c>
      <c r="W32" s="18" t="e">
        <f>(F32+N32+O32+P32)/Q32</f>
        <v>#DIV/0!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 t="s">
        <v>62</v>
      </c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8" t="s">
        <v>76</v>
      </c>
      <c r="B33" s="18" t="s">
        <v>38</v>
      </c>
      <c r="C33" s="18"/>
      <c r="D33" s="18"/>
      <c r="E33" s="18"/>
      <c r="F33" s="18"/>
      <c r="G33" s="19">
        <v>0</v>
      </c>
      <c r="H33" s="18">
        <v>50</v>
      </c>
      <c r="I33" s="18" t="s">
        <v>39</v>
      </c>
      <c r="J33" s="18"/>
      <c r="K33" s="18">
        <f t="shared" si="2"/>
        <v>0</v>
      </c>
      <c r="L33" s="18">
        <f t="shared" si="3"/>
        <v>0</v>
      </c>
      <c r="M33" s="18"/>
      <c r="N33" s="18"/>
      <c r="O33" s="18"/>
      <c r="P33" s="18">
        <v>0</v>
      </c>
      <c r="Q33" s="18">
        <f t="shared" si="4"/>
        <v>0</v>
      </c>
      <c r="R33" s="20"/>
      <c r="S33" s="5">
        <f t="shared" si="6"/>
        <v>0</v>
      </c>
      <c r="T33" s="20"/>
      <c r="U33" s="18"/>
      <c r="V33" s="1" t="e">
        <f>(F33+N33+O33+P33+S33)/Q33</f>
        <v>#DIV/0!</v>
      </c>
      <c r="W33" s="18" t="e">
        <f>(F33+N33+O33+P33)/Q33</f>
        <v>#DIV/0!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 t="s">
        <v>62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1" t="s">
        <v>77</v>
      </c>
      <c r="B34" s="11" t="s">
        <v>38</v>
      </c>
      <c r="C34" s="11"/>
      <c r="D34" s="11">
        <v>11.036</v>
      </c>
      <c r="E34" s="11">
        <v>11.036</v>
      </c>
      <c r="F34" s="11"/>
      <c r="G34" s="12">
        <v>0</v>
      </c>
      <c r="H34" s="11" t="e">
        <v>#N/A</v>
      </c>
      <c r="I34" s="11" t="s">
        <v>44</v>
      </c>
      <c r="J34" s="11">
        <v>11.036</v>
      </c>
      <c r="K34" s="11">
        <f t="shared" si="2"/>
        <v>0</v>
      </c>
      <c r="L34" s="11">
        <f t="shared" si="3"/>
        <v>11.036</v>
      </c>
      <c r="M34" s="11"/>
      <c r="N34" s="11"/>
      <c r="O34" s="11"/>
      <c r="P34" s="11">
        <v>0</v>
      </c>
      <c r="Q34" s="11">
        <f t="shared" si="4"/>
        <v>2.2071999999999998</v>
      </c>
      <c r="R34" s="13"/>
      <c r="S34" s="5">
        <f t="shared" si="6"/>
        <v>0</v>
      </c>
      <c r="T34" s="13"/>
      <c r="U34" s="11"/>
      <c r="V34" s="1">
        <f>(F34+N34+O34+P34+S34)/Q34</f>
        <v>0</v>
      </c>
      <c r="W34" s="11">
        <f>(F34+N34+O34+P34)/Q34</f>
        <v>0</v>
      </c>
      <c r="X34" s="11">
        <v>2.2071999999999998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/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78</v>
      </c>
      <c r="B35" s="1" t="s">
        <v>38</v>
      </c>
      <c r="C35" s="1">
        <v>61.939</v>
      </c>
      <c r="D35" s="1">
        <v>16.341999999999999</v>
      </c>
      <c r="E35" s="1">
        <v>16.818000000000001</v>
      </c>
      <c r="F35" s="1">
        <v>58.680999999999997</v>
      </c>
      <c r="G35" s="7">
        <v>1</v>
      </c>
      <c r="H35" s="1">
        <v>50</v>
      </c>
      <c r="I35" s="1" t="s">
        <v>39</v>
      </c>
      <c r="J35" s="1">
        <v>14.8</v>
      </c>
      <c r="K35" s="1">
        <f t="shared" si="2"/>
        <v>2.0180000000000007</v>
      </c>
      <c r="L35" s="1">
        <f t="shared" si="3"/>
        <v>8.386000000000001</v>
      </c>
      <c r="M35" s="1">
        <v>8.4320000000000004</v>
      </c>
      <c r="N35" s="1"/>
      <c r="O35" s="1"/>
      <c r="P35" s="1">
        <v>0</v>
      </c>
      <c r="Q35" s="1">
        <f t="shared" si="4"/>
        <v>1.6772000000000002</v>
      </c>
      <c r="R35" s="5"/>
      <c r="S35" s="5">
        <f t="shared" si="6"/>
        <v>0</v>
      </c>
      <c r="T35" s="5"/>
      <c r="U35" s="1"/>
      <c r="V35" s="1">
        <f>(F35+N35+O35+P35+S35)/Q35</f>
        <v>34.987479131886474</v>
      </c>
      <c r="W35" s="1">
        <f>(F35+N35+O35+P35)/Q35</f>
        <v>34.987479131886474</v>
      </c>
      <c r="X35" s="1">
        <v>1.8615999999999999</v>
      </c>
      <c r="Y35" s="1">
        <v>2.0434000000000001</v>
      </c>
      <c r="Z35" s="1">
        <v>7.6715999999999998</v>
      </c>
      <c r="AA35" s="1">
        <v>6.3672000000000004</v>
      </c>
      <c r="AB35" s="1">
        <v>0.55359999999999998</v>
      </c>
      <c r="AC35" s="1">
        <v>1.4683999999999999</v>
      </c>
      <c r="AD35" s="1">
        <v>8.0381999999999998</v>
      </c>
      <c r="AE35" s="1">
        <v>9.3176000000000005</v>
      </c>
      <c r="AF35" s="1">
        <v>9.8653999999999993</v>
      </c>
      <c r="AG35" s="1">
        <v>0.91439999999999999</v>
      </c>
      <c r="AH35" s="15" t="s">
        <v>170</v>
      </c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79</v>
      </c>
      <c r="B36" s="1" t="s">
        <v>43</v>
      </c>
      <c r="C36" s="1">
        <v>898</v>
      </c>
      <c r="D36" s="1">
        <v>1734</v>
      </c>
      <c r="E36" s="1">
        <v>1393</v>
      </c>
      <c r="F36" s="1">
        <v>1052</v>
      </c>
      <c r="G36" s="7">
        <v>0.4</v>
      </c>
      <c r="H36" s="1">
        <v>45</v>
      </c>
      <c r="I36" s="1" t="s">
        <v>39</v>
      </c>
      <c r="J36" s="1">
        <v>1427</v>
      </c>
      <c r="K36" s="1">
        <f t="shared" si="2"/>
        <v>-34</v>
      </c>
      <c r="L36" s="1">
        <f t="shared" si="3"/>
        <v>1231</v>
      </c>
      <c r="M36" s="1">
        <v>162</v>
      </c>
      <c r="N36" s="1">
        <v>268.19999999999982</v>
      </c>
      <c r="O36" s="1"/>
      <c r="P36" s="1">
        <v>895.80000000000018</v>
      </c>
      <c r="Q36" s="1">
        <f t="shared" si="4"/>
        <v>246.2</v>
      </c>
      <c r="R36" s="5">
        <f t="shared" ref="R36:R39" si="11">11*Q36-P36-O36-N36-F36</f>
        <v>492.19999999999982</v>
      </c>
      <c r="S36" s="5">
        <f t="shared" si="6"/>
        <v>492.19999999999982</v>
      </c>
      <c r="T36" s="5"/>
      <c r="U36" s="1"/>
      <c r="V36" s="1">
        <f>(F36+N36+O36+P36+S36)/Q36</f>
        <v>11</v>
      </c>
      <c r="W36" s="1">
        <f>(F36+N36+O36+P36)/Q36</f>
        <v>9.0008123476848088</v>
      </c>
      <c r="X36" s="1">
        <v>241.6</v>
      </c>
      <c r="Y36" s="1">
        <v>218.2</v>
      </c>
      <c r="Z36" s="1">
        <v>230.2</v>
      </c>
      <c r="AA36" s="1">
        <v>246.2</v>
      </c>
      <c r="AB36" s="1">
        <v>213.6</v>
      </c>
      <c r="AC36" s="1">
        <v>222.2</v>
      </c>
      <c r="AD36" s="1">
        <v>185</v>
      </c>
      <c r="AE36" s="1">
        <v>197</v>
      </c>
      <c r="AF36" s="1">
        <v>218.6</v>
      </c>
      <c r="AG36" s="1">
        <v>162.19999999999999</v>
      </c>
      <c r="AH36" s="1" t="s">
        <v>47</v>
      </c>
      <c r="AI36" s="1">
        <f t="shared" si="7"/>
        <v>197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80</v>
      </c>
      <c r="B37" s="1" t="s">
        <v>43</v>
      </c>
      <c r="C37" s="1">
        <v>244</v>
      </c>
      <c r="D37" s="1">
        <v>420</v>
      </c>
      <c r="E37" s="1">
        <v>246</v>
      </c>
      <c r="F37" s="1">
        <v>282</v>
      </c>
      <c r="G37" s="7">
        <v>0.45</v>
      </c>
      <c r="H37" s="1">
        <v>50</v>
      </c>
      <c r="I37" s="16" t="s">
        <v>81</v>
      </c>
      <c r="J37" s="1">
        <v>287</v>
      </c>
      <c r="K37" s="1">
        <f t="shared" ref="K37:K68" si="12">E37-J37</f>
        <v>-41</v>
      </c>
      <c r="L37" s="1">
        <f t="shared" si="3"/>
        <v>246</v>
      </c>
      <c r="M37" s="1"/>
      <c r="N37" s="1">
        <v>301.39999999999998</v>
      </c>
      <c r="O37" s="1"/>
      <c r="P37" s="1">
        <v>0</v>
      </c>
      <c r="Q37" s="1">
        <f t="shared" si="4"/>
        <v>49.2</v>
      </c>
      <c r="R37" s="5"/>
      <c r="S37" s="5">
        <f t="shared" si="6"/>
        <v>0</v>
      </c>
      <c r="T37" s="5"/>
      <c r="U37" s="1"/>
      <c r="V37" s="1">
        <f>(F37+N37+O37+P37+S37)/Q37</f>
        <v>11.857723577235772</v>
      </c>
      <c r="W37" s="1">
        <f>(F37+N37+O37+P37)/Q37</f>
        <v>11.857723577235772</v>
      </c>
      <c r="X37" s="1">
        <v>61.2</v>
      </c>
      <c r="Y37" s="1">
        <v>83.2</v>
      </c>
      <c r="Z37" s="1">
        <v>70.400000000000006</v>
      </c>
      <c r="AA37" s="1">
        <v>17.399999999999999</v>
      </c>
      <c r="AB37" s="1">
        <v>37.200000000000003</v>
      </c>
      <c r="AC37" s="1">
        <v>259.60000000000002</v>
      </c>
      <c r="AD37" s="1">
        <v>355.8</v>
      </c>
      <c r="AE37" s="1">
        <v>181</v>
      </c>
      <c r="AF37" s="1">
        <v>102.2</v>
      </c>
      <c r="AG37" s="1">
        <v>117.4</v>
      </c>
      <c r="AH37" s="1" t="s">
        <v>82</v>
      </c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83</v>
      </c>
      <c r="B38" s="1" t="s">
        <v>43</v>
      </c>
      <c r="C38" s="1">
        <v>956</v>
      </c>
      <c r="D38" s="1">
        <v>828</v>
      </c>
      <c r="E38" s="1">
        <v>1084</v>
      </c>
      <c r="F38" s="1">
        <v>590</v>
      </c>
      <c r="G38" s="7">
        <v>0.4</v>
      </c>
      <c r="H38" s="1">
        <v>45</v>
      </c>
      <c r="I38" s="1" t="s">
        <v>39</v>
      </c>
      <c r="J38" s="1">
        <v>1120</v>
      </c>
      <c r="K38" s="1">
        <f t="shared" si="12"/>
        <v>-36</v>
      </c>
      <c r="L38" s="1">
        <f t="shared" si="3"/>
        <v>934</v>
      </c>
      <c r="M38" s="1">
        <v>150</v>
      </c>
      <c r="N38" s="1">
        <v>332</v>
      </c>
      <c r="O38" s="1"/>
      <c r="P38" s="1">
        <v>839</v>
      </c>
      <c r="Q38" s="1">
        <f t="shared" si="4"/>
        <v>186.8</v>
      </c>
      <c r="R38" s="5">
        <f t="shared" si="11"/>
        <v>293.80000000000018</v>
      </c>
      <c r="S38" s="5">
        <f t="shared" si="6"/>
        <v>293.80000000000018</v>
      </c>
      <c r="T38" s="5"/>
      <c r="U38" s="1"/>
      <c r="V38" s="1">
        <f>(F38+N38+O38+P38+S38)/Q38</f>
        <v>11</v>
      </c>
      <c r="W38" s="1">
        <f>(F38+N38+O38+P38)/Q38</f>
        <v>9.4271948608137031</v>
      </c>
      <c r="X38" s="1">
        <v>186.2</v>
      </c>
      <c r="Y38" s="1">
        <v>149</v>
      </c>
      <c r="Z38" s="1">
        <v>139.19999999999999</v>
      </c>
      <c r="AA38" s="1">
        <v>165.4</v>
      </c>
      <c r="AB38" s="1">
        <v>172</v>
      </c>
      <c r="AC38" s="1">
        <v>185.6</v>
      </c>
      <c r="AD38" s="1">
        <v>141.80000000000001</v>
      </c>
      <c r="AE38" s="1">
        <v>150.19999999999999</v>
      </c>
      <c r="AF38" s="1">
        <v>156.6</v>
      </c>
      <c r="AG38" s="1">
        <v>118</v>
      </c>
      <c r="AH38" s="1"/>
      <c r="AI38" s="1">
        <f t="shared" si="7"/>
        <v>118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84</v>
      </c>
      <c r="B39" s="1" t="s">
        <v>38</v>
      </c>
      <c r="C39" s="1">
        <v>109.151</v>
      </c>
      <c r="D39" s="1">
        <v>844.36400000000003</v>
      </c>
      <c r="E39" s="1">
        <v>474.91</v>
      </c>
      <c r="F39" s="1">
        <v>430.048</v>
      </c>
      <c r="G39" s="7">
        <v>1</v>
      </c>
      <c r="H39" s="1">
        <v>45</v>
      </c>
      <c r="I39" s="1" t="s">
        <v>39</v>
      </c>
      <c r="J39" s="1">
        <v>453.815</v>
      </c>
      <c r="K39" s="1">
        <f t="shared" si="12"/>
        <v>21.095000000000027</v>
      </c>
      <c r="L39" s="1">
        <f t="shared" si="3"/>
        <v>354.25300000000004</v>
      </c>
      <c r="M39" s="1">
        <v>120.657</v>
      </c>
      <c r="N39" s="1">
        <v>27.314299999999889</v>
      </c>
      <c r="O39" s="1"/>
      <c r="P39" s="1">
        <v>85.790700000000186</v>
      </c>
      <c r="Q39" s="1">
        <f t="shared" si="4"/>
        <v>70.850600000000014</v>
      </c>
      <c r="R39" s="5">
        <f t="shared" si="11"/>
        <v>236.20360000000016</v>
      </c>
      <c r="S39" s="5">
        <f t="shared" si="6"/>
        <v>236.20360000000016</v>
      </c>
      <c r="T39" s="5"/>
      <c r="U39" s="1"/>
      <c r="V39" s="1">
        <f>(F39+N39+O39+P39+S39)/Q39</f>
        <v>11</v>
      </c>
      <c r="W39" s="1">
        <f>(F39+N39+O39+P39)/Q39</f>
        <v>7.6661736103857967</v>
      </c>
      <c r="X39" s="1">
        <v>61.820800000000013</v>
      </c>
      <c r="Y39" s="1">
        <v>70.298199999999994</v>
      </c>
      <c r="Z39" s="1">
        <v>81.474199999999996</v>
      </c>
      <c r="AA39" s="1">
        <v>74.7346</v>
      </c>
      <c r="AB39" s="1">
        <v>41.038200000000003</v>
      </c>
      <c r="AC39" s="1">
        <v>70.729799999999997</v>
      </c>
      <c r="AD39" s="1">
        <v>51.452599999999997</v>
      </c>
      <c r="AE39" s="1">
        <v>43.813600000000001</v>
      </c>
      <c r="AF39" s="1">
        <v>51.654999999999987</v>
      </c>
      <c r="AG39" s="1">
        <v>49.601599999999998</v>
      </c>
      <c r="AH39" s="1"/>
      <c r="AI39" s="1">
        <f t="shared" si="7"/>
        <v>236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8" t="s">
        <v>85</v>
      </c>
      <c r="B40" s="18" t="s">
        <v>43</v>
      </c>
      <c r="C40" s="18"/>
      <c r="D40" s="18"/>
      <c r="E40" s="18"/>
      <c r="F40" s="18"/>
      <c r="G40" s="19">
        <v>0</v>
      </c>
      <c r="H40" s="18">
        <v>45</v>
      </c>
      <c r="I40" s="18" t="s">
        <v>39</v>
      </c>
      <c r="J40" s="18"/>
      <c r="K40" s="18">
        <f t="shared" si="12"/>
        <v>0</v>
      </c>
      <c r="L40" s="18">
        <f t="shared" si="3"/>
        <v>0</v>
      </c>
      <c r="M40" s="18"/>
      <c r="N40" s="18"/>
      <c r="O40" s="18"/>
      <c r="P40" s="18">
        <v>0</v>
      </c>
      <c r="Q40" s="18">
        <f t="shared" si="4"/>
        <v>0</v>
      </c>
      <c r="R40" s="20"/>
      <c r="S40" s="5">
        <f t="shared" si="6"/>
        <v>0</v>
      </c>
      <c r="T40" s="20"/>
      <c r="U40" s="18"/>
      <c r="V40" s="1" t="e">
        <f>(F40+N40+O40+P40+S40)/Q40</f>
        <v>#DIV/0!</v>
      </c>
      <c r="W40" s="18" t="e">
        <f>(F40+N40+O40+P40)/Q40</f>
        <v>#DIV/0!</v>
      </c>
      <c r="X40" s="18">
        <v>0</v>
      </c>
      <c r="Y40" s="18">
        <v>0</v>
      </c>
      <c r="Z40" s="18">
        <v>0</v>
      </c>
      <c r="AA40" s="18">
        <v>0.2</v>
      </c>
      <c r="AB40" s="18">
        <v>0.2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 t="s">
        <v>62</v>
      </c>
      <c r="AI40" s="1">
        <f t="shared" si="7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86</v>
      </c>
      <c r="B41" s="1" t="s">
        <v>43</v>
      </c>
      <c r="C41" s="1">
        <v>163</v>
      </c>
      <c r="D41" s="1">
        <v>366</v>
      </c>
      <c r="E41" s="1">
        <v>183</v>
      </c>
      <c r="F41" s="1">
        <v>255</v>
      </c>
      <c r="G41" s="7">
        <v>0.35</v>
      </c>
      <c r="H41" s="1">
        <v>40</v>
      </c>
      <c r="I41" s="1" t="s">
        <v>39</v>
      </c>
      <c r="J41" s="1">
        <v>534</v>
      </c>
      <c r="K41" s="1">
        <f t="shared" si="12"/>
        <v>-351</v>
      </c>
      <c r="L41" s="1">
        <f t="shared" si="3"/>
        <v>183</v>
      </c>
      <c r="M41" s="1"/>
      <c r="N41" s="1">
        <v>264.60000000000008</v>
      </c>
      <c r="O41" s="1"/>
      <c r="P41" s="1">
        <v>0</v>
      </c>
      <c r="Q41" s="1">
        <f t="shared" si="4"/>
        <v>36.6</v>
      </c>
      <c r="R41" s="5"/>
      <c r="S41" s="5">
        <f>R41</f>
        <v>0</v>
      </c>
      <c r="T41" s="5"/>
      <c r="U41" s="1"/>
      <c r="V41" s="1">
        <f>(F41+N41+O41+P41+S41)/Q41</f>
        <v>14.196721311475413</v>
      </c>
      <c r="W41" s="1">
        <f>(F41+N41+O41+P41)/Q41</f>
        <v>14.196721311475413</v>
      </c>
      <c r="X41" s="1">
        <v>34</v>
      </c>
      <c r="Y41" s="1">
        <v>59.2</v>
      </c>
      <c r="Z41" s="1">
        <v>47.8</v>
      </c>
      <c r="AA41" s="1">
        <v>27</v>
      </c>
      <c r="AB41" s="1">
        <v>29</v>
      </c>
      <c r="AC41" s="1">
        <v>46.4</v>
      </c>
      <c r="AD41" s="1">
        <v>35</v>
      </c>
      <c r="AE41" s="1">
        <v>33.6</v>
      </c>
      <c r="AF41" s="1">
        <v>34.200000000000003</v>
      </c>
      <c r="AG41" s="1">
        <v>31</v>
      </c>
      <c r="AH41" s="1" t="s">
        <v>66</v>
      </c>
      <c r="AI41" s="1">
        <f t="shared" si="7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87</v>
      </c>
      <c r="B42" s="1" t="s">
        <v>38</v>
      </c>
      <c r="C42" s="1">
        <v>65.183000000000007</v>
      </c>
      <c r="D42" s="1">
        <v>90.146000000000001</v>
      </c>
      <c r="E42" s="1">
        <v>40.143000000000001</v>
      </c>
      <c r="F42" s="1">
        <v>105.762</v>
      </c>
      <c r="G42" s="7">
        <v>1</v>
      </c>
      <c r="H42" s="1">
        <v>40</v>
      </c>
      <c r="I42" s="1" t="s">
        <v>39</v>
      </c>
      <c r="J42" s="1">
        <v>44.1</v>
      </c>
      <c r="K42" s="1">
        <f t="shared" si="12"/>
        <v>-3.9570000000000007</v>
      </c>
      <c r="L42" s="1">
        <f t="shared" si="3"/>
        <v>40.143000000000001</v>
      </c>
      <c r="M42" s="1"/>
      <c r="N42" s="1"/>
      <c r="O42" s="1"/>
      <c r="P42" s="1">
        <v>0</v>
      </c>
      <c r="Q42" s="1">
        <f t="shared" si="4"/>
        <v>8.0286000000000008</v>
      </c>
      <c r="R42" s="5"/>
      <c r="S42" s="5">
        <f t="shared" si="6"/>
        <v>0</v>
      </c>
      <c r="T42" s="5"/>
      <c r="U42" s="1"/>
      <c r="V42" s="1">
        <f>(F42+N42+O42+P42+S42)/Q42</f>
        <v>13.173155967416484</v>
      </c>
      <c r="W42" s="1">
        <f>(F42+N42+O42+P42)/Q42</f>
        <v>13.173155967416484</v>
      </c>
      <c r="X42" s="1">
        <v>7.0257999999999994</v>
      </c>
      <c r="Y42" s="1">
        <v>10.194000000000001</v>
      </c>
      <c r="Z42" s="1">
        <v>14.821</v>
      </c>
      <c r="AA42" s="1">
        <v>15.6356</v>
      </c>
      <c r="AB42" s="1">
        <v>10.5738</v>
      </c>
      <c r="AC42" s="1">
        <v>1.5162</v>
      </c>
      <c r="AD42" s="1">
        <v>10.4338</v>
      </c>
      <c r="AE42" s="1">
        <v>18.038399999999999</v>
      </c>
      <c r="AF42" s="1">
        <v>18.572199999999999</v>
      </c>
      <c r="AG42" s="1">
        <v>11.1318</v>
      </c>
      <c r="AH42" s="1"/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88</v>
      </c>
      <c r="B43" s="1" t="s">
        <v>43</v>
      </c>
      <c r="C43" s="1">
        <v>299</v>
      </c>
      <c r="D43" s="1">
        <v>186</v>
      </c>
      <c r="E43" s="1">
        <v>335</v>
      </c>
      <c r="F43" s="1">
        <v>104</v>
      </c>
      <c r="G43" s="7">
        <v>0.4</v>
      </c>
      <c r="H43" s="1">
        <v>40</v>
      </c>
      <c r="I43" s="1" t="s">
        <v>39</v>
      </c>
      <c r="J43" s="1">
        <v>364</v>
      </c>
      <c r="K43" s="1">
        <f t="shared" si="12"/>
        <v>-29</v>
      </c>
      <c r="L43" s="1">
        <f t="shared" si="3"/>
        <v>335</v>
      </c>
      <c r="M43" s="1"/>
      <c r="N43" s="1">
        <v>64.399999999999977</v>
      </c>
      <c r="O43" s="1"/>
      <c r="P43" s="1">
        <v>382.8</v>
      </c>
      <c r="Q43" s="1">
        <f t="shared" si="4"/>
        <v>67</v>
      </c>
      <c r="R43" s="5">
        <f t="shared" ref="R43:R48" si="13">11*Q43-P43-O43-N43-F43</f>
        <v>185.8</v>
      </c>
      <c r="S43" s="5">
        <f t="shared" si="6"/>
        <v>185.8</v>
      </c>
      <c r="T43" s="5"/>
      <c r="U43" s="1"/>
      <c r="V43" s="1">
        <f>(F43+N43+O43+P43+S43)/Q43</f>
        <v>11</v>
      </c>
      <c r="W43" s="1">
        <f>(F43+N43+O43+P43)/Q43</f>
        <v>8.2268656716417912</v>
      </c>
      <c r="X43" s="1">
        <v>65.8</v>
      </c>
      <c r="Y43" s="1">
        <v>39.4</v>
      </c>
      <c r="Z43" s="1">
        <v>39.200000000000003</v>
      </c>
      <c r="AA43" s="1">
        <v>47.8</v>
      </c>
      <c r="AB43" s="1">
        <v>49</v>
      </c>
      <c r="AC43" s="1">
        <v>52.6</v>
      </c>
      <c r="AD43" s="1">
        <v>40.6</v>
      </c>
      <c r="AE43" s="1">
        <v>40</v>
      </c>
      <c r="AF43" s="1">
        <v>41.6</v>
      </c>
      <c r="AG43" s="1">
        <v>38.799999999999997</v>
      </c>
      <c r="AH43" s="1"/>
      <c r="AI43" s="1">
        <f t="shared" si="7"/>
        <v>74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89</v>
      </c>
      <c r="B44" s="1" t="s">
        <v>43</v>
      </c>
      <c r="C44" s="1">
        <v>498</v>
      </c>
      <c r="D44" s="1">
        <v>420</v>
      </c>
      <c r="E44" s="1">
        <v>505</v>
      </c>
      <c r="F44" s="1">
        <v>282</v>
      </c>
      <c r="G44" s="7">
        <v>0.4</v>
      </c>
      <c r="H44" s="1">
        <v>45</v>
      </c>
      <c r="I44" s="1" t="s">
        <v>39</v>
      </c>
      <c r="J44" s="1">
        <v>539</v>
      </c>
      <c r="K44" s="1">
        <f t="shared" si="12"/>
        <v>-34</v>
      </c>
      <c r="L44" s="1">
        <f t="shared" si="3"/>
        <v>505</v>
      </c>
      <c r="M44" s="1"/>
      <c r="N44" s="1">
        <v>293.8</v>
      </c>
      <c r="O44" s="1"/>
      <c r="P44" s="1">
        <v>437.2</v>
      </c>
      <c r="Q44" s="1">
        <f t="shared" si="4"/>
        <v>101</v>
      </c>
      <c r="R44" s="5">
        <f t="shared" si="13"/>
        <v>97.999999999999943</v>
      </c>
      <c r="S44" s="5">
        <f t="shared" si="6"/>
        <v>97.999999999999943</v>
      </c>
      <c r="T44" s="5"/>
      <c r="U44" s="1"/>
      <c r="V44" s="1">
        <f>(F44+N44+O44+P44+S44)/Q44</f>
        <v>11</v>
      </c>
      <c r="W44" s="1">
        <f>(F44+N44+O44+P44)/Q44</f>
        <v>10.029702970297029</v>
      </c>
      <c r="X44" s="1">
        <v>109.2</v>
      </c>
      <c r="Y44" s="1">
        <v>90.8</v>
      </c>
      <c r="Z44" s="1">
        <v>81.2</v>
      </c>
      <c r="AA44" s="1">
        <v>89.8</v>
      </c>
      <c r="AB44" s="1">
        <v>89.8</v>
      </c>
      <c r="AC44" s="1">
        <v>85</v>
      </c>
      <c r="AD44" s="1">
        <v>70.2</v>
      </c>
      <c r="AE44" s="1">
        <v>80.2</v>
      </c>
      <c r="AF44" s="1">
        <v>91.6</v>
      </c>
      <c r="AG44" s="1">
        <v>87.2</v>
      </c>
      <c r="AH44" s="1" t="s">
        <v>47</v>
      </c>
      <c r="AI44" s="1">
        <f t="shared" si="7"/>
        <v>39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90</v>
      </c>
      <c r="B45" s="1" t="s">
        <v>38</v>
      </c>
      <c r="C45" s="1">
        <v>42.994</v>
      </c>
      <c r="D45" s="1">
        <v>77.361000000000004</v>
      </c>
      <c r="E45" s="1">
        <v>76.691000000000003</v>
      </c>
      <c r="F45" s="1">
        <v>33.616</v>
      </c>
      <c r="G45" s="7">
        <v>1</v>
      </c>
      <c r="H45" s="1">
        <v>40</v>
      </c>
      <c r="I45" s="1" t="s">
        <v>39</v>
      </c>
      <c r="J45" s="1">
        <v>75.8</v>
      </c>
      <c r="K45" s="1">
        <f t="shared" si="12"/>
        <v>0.89100000000000534</v>
      </c>
      <c r="L45" s="1">
        <f t="shared" si="3"/>
        <v>76.691000000000003</v>
      </c>
      <c r="M45" s="1"/>
      <c r="N45" s="1"/>
      <c r="O45" s="1"/>
      <c r="P45" s="1">
        <v>62.13600000000001</v>
      </c>
      <c r="Q45" s="1">
        <f t="shared" si="4"/>
        <v>15.338200000000001</v>
      </c>
      <c r="R45" s="5">
        <f t="shared" si="13"/>
        <v>72.968199999999996</v>
      </c>
      <c r="S45" s="5">
        <f t="shared" si="6"/>
        <v>72.968199999999996</v>
      </c>
      <c r="T45" s="5"/>
      <c r="U45" s="1"/>
      <c r="V45" s="1">
        <f>(F45+N45+O45+P45+S45)/Q45</f>
        <v>11</v>
      </c>
      <c r="W45" s="1">
        <f>(F45+N45+O45+P45)/Q45</f>
        <v>6.2427142689494204</v>
      </c>
      <c r="X45" s="1">
        <v>11.880800000000001</v>
      </c>
      <c r="Y45" s="1">
        <v>10.1258</v>
      </c>
      <c r="Z45" s="1">
        <v>11.2706</v>
      </c>
      <c r="AA45" s="1">
        <v>10.634399999999999</v>
      </c>
      <c r="AB45" s="1">
        <v>10.061199999999999</v>
      </c>
      <c r="AC45" s="1">
        <v>7.9871999999999996</v>
      </c>
      <c r="AD45" s="1">
        <v>9.5608000000000004</v>
      </c>
      <c r="AE45" s="1">
        <v>14.3674</v>
      </c>
      <c r="AF45" s="1">
        <v>15.9758</v>
      </c>
      <c r="AG45" s="1">
        <v>13.2592</v>
      </c>
      <c r="AH45" s="1"/>
      <c r="AI45" s="1">
        <f t="shared" si="7"/>
        <v>73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91</v>
      </c>
      <c r="B46" s="1" t="s">
        <v>43</v>
      </c>
      <c r="C46" s="1">
        <v>504</v>
      </c>
      <c r="D46" s="1">
        <v>654</v>
      </c>
      <c r="E46" s="1">
        <v>743</v>
      </c>
      <c r="F46" s="1">
        <v>257</v>
      </c>
      <c r="G46" s="7">
        <v>0.35</v>
      </c>
      <c r="H46" s="1">
        <v>40</v>
      </c>
      <c r="I46" s="1" t="s">
        <v>39</v>
      </c>
      <c r="J46" s="1">
        <v>967</v>
      </c>
      <c r="K46" s="1">
        <f t="shared" si="12"/>
        <v>-224</v>
      </c>
      <c r="L46" s="1">
        <f t="shared" si="3"/>
        <v>623</v>
      </c>
      <c r="M46" s="1">
        <v>120</v>
      </c>
      <c r="N46" s="1">
        <v>289.40000000000009</v>
      </c>
      <c r="O46" s="1"/>
      <c r="P46" s="1">
        <v>638.19999999999993</v>
      </c>
      <c r="Q46" s="1">
        <f t="shared" si="4"/>
        <v>124.6</v>
      </c>
      <c r="R46" s="5">
        <f t="shared" si="13"/>
        <v>185.99999999999989</v>
      </c>
      <c r="S46" s="5">
        <f>R46</f>
        <v>185.99999999999989</v>
      </c>
      <c r="T46" s="5"/>
      <c r="U46" s="1"/>
      <c r="V46" s="1">
        <f>(F46+N46+O46+P46+S46)/Q46</f>
        <v>11</v>
      </c>
      <c r="W46" s="1">
        <f>(F46+N46+O46+P46)/Q46</f>
        <v>9.5072231139646863</v>
      </c>
      <c r="X46" s="1">
        <v>122.6</v>
      </c>
      <c r="Y46" s="1">
        <v>97.2</v>
      </c>
      <c r="Z46" s="1">
        <v>93.4</v>
      </c>
      <c r="AA46" s="1">
        <v>93.4</v>
      </c>
      <c r="AB46" s="1">
        <v>87.4</v>
      </c>
      <c r="AC46" s="1">
        <v>69.8</v>
      </c>
      <c r="AD46" s="1">
        <v>64.400000000000006</v>
      </c>
      <c r="AE46" s="1">
        <v>91.6</v>
      </c>
      <c r="AF46" s="1">
        <v>93.6</v>
      </c>
      <c r="AG46" s="1">
        <v>56.4</v>
      </c>
      <c r="AH46" s="1" t="s">
        <v>92</v>
      </c>
      <c r="AI46" s="1">
        <f t="shared" si="7"/>
        <v>65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93</v>
      </c>
      <c r="B47" s="1" t="s">
        <v>43</v>
      </c>
      <c r="C47" s="1">
        <v>39</v>
      </c>
      <c r="D47" s="1">
        <v>18</v>
      </c>
      <c r="E47" s="1">
        <v>21</v>
      </c>
      <c r="F47" s="1">
        <v>3</v>
      </c>
      <c r="G47" s="7">
        <v>0.4</v>
      </c>
      <c r="H47" s="1">
        <v>40</v>
      </c>
      <c r="I47" s="1" t="s">
        <v>39</v>
      </c>
      <c r="J47" s="1">
        <v>357</v>
      </c>
      <c r="K47" s="1">
        <f t="shared" si="12"/>
        <v>-336</v>
      </c>
      <c r="L47" s="1">
        <f t="shared" si="3"/>
        <v>21</v>
      </c>
      <c r="M47" s="1"/>
      <c r="N47" s="1"/>
      <c r="O47" s="1"/>
      <c r="P47" s="1">
        <v>200</v>
      </c>
      <c r="Q47" s="1">
        <f t="shared" si="4"/>
        <v>4.2</v>
      </c>
      <c r="R47" s="5">
        <v>100</v>
      </c>
      <c r="S47" s="5">
        <f t="shared" si="6"/>
        <v>100</v>
      </c>
      <c r="T47" s="5"/>
      <c r="U47" s="1"/>
      <c r="V47" s="1">
        <f>(F47+N47+O47+P47+S47)/Q47</f>
        <v>72.142857142857139</v>
      </c>
      <c r="W47" s="1">
        <f>(F47+N47+O47+P47)/Q47</f>
        <v>48.333333333333329</v>
      </c>
      <c r="X47" s="1">
        <v>5</v>
      </c>
      <c r="Y47" s="1">
        <v>1</v>
      </c>
      <c r="Z47" s="1">
        <v>3.2</v>
      </c>
      <c r="AA47" s="1">
        <v>48.2</v>
      </c>
      <c r="AB47" s="1">
        <v>57.6</v>
      </c>
      <c r="AC47" s="1">
        <v>66.2</v>
      </c>
      <c r="AD47" s="1">
        <v>56.8</v>
      </c>
      <c r="AE47" s="1">
        <v>60.8</v>
      </c>
      <c r="AF47" s="1">
        <v>65.599999999999994</v>
      </c>
      <c r="AG47" s="1">
        <v>42.4</v>
      </c>
      <c r="AH47" s="1" t="s">
        <v>94</v>
      </c>
      <c r="AI47" s="1">
        <f t="shared" si="7"/>
        <v>40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95</v>
      </c>
      <c r="B48" s="1" t="s">
        <v>38</v>
      </c>
      <c r="C48" s="1">
        <v>137.46600000000001</v>
      </c>
      <c r="D48" s="1">
        <v>172.42699999999999</v>
      </c>
      <c r="E48" s="1">
        <v>111.474</v>
      </c>
      <c r="F48" s="1">
        <v>161.70699999999999</v>
      </c>
      <c r="G48" s="7">
        <v>1</v>
      </c>
      <c r="H48" s="1">
        <v>50</v>
      </c>
      <c r="I48" s="1" t="s">
        <v>39</v>
      </c>
      <c r="J48" s="1">
        <v>109.95</v>
      </c>
      <c r="K48" s="1">
        <f t="shared" si="12"/>
        <v>1.5240000000000009</v>
      </c>
      <c r="L48" s="1">
        <f t="shared" si="3"/>
        <v>111.474</v>
      </c>
      <c r="M48" s="1"/>
      <c r="N48" s="1">
        <v>49.740000000000038</v>
      </c>
      <c r="O48" s="1"/>
      <c r="P48" s="1">
        <v>23.578999999999951</v>
      </c>
      <c r="Q48" s="1">
        <f t="shared" si="4"/>
        <v>22.294800000000002</v>
      </c>
      <c r="R48" s="5">
        <f t="shared" si="13"/>
        <v>10.216800000000035</v>
      </c>
      <c r="S48" s="5">
        <f t="shared" si="6"/>
        <v>10.216800000000035</v>
      </c>
      <c r="T48" s="5"/>
      <c r="U48" s="1"/>
      <c r="V48" s="1">
        <f>(F48+N48+O48+P48+S48)/Q48</f>
        <v>11</v>
      </c>
      <c r="W48" s="1">
        <f>(F48+N48+O48+P48)/Q48</f>
        <v>10.541740674955593</v>
      </c>
      <c r="X48" s="1">
        <v>25.2546</v>
      </c>
      <c r="Y48" s="1">
        <v>29.015999999999998</v>
      </c>
      <c r="Z48" s="1">
        <v>28.9726</v>
      </c>
      <c r="AA48" s="1">
        <v>27.550599999999999</v>
      </c>
      <c r="AB48" s="1">
        <v>24.900600000000001</v>
      </c>
      <c r="AC48" s="1">
        <v>22.1234</v>
      </c>
      <c r="AD48" s="1">
        <v>24.8508</v>
      </c>
      <c r="AE48" s="1">
        <v>33.372999999999998</v>
      </c>
      <c r="AF48" s="1">
        <v>46.125999999999998</v>
      </c>
      <c r="AG48" s="1">
        <v>33.356999999999999</v>
      </c>
      <c r="AH48" s="1"/>
      <c r="AI48" s="1">
        <f t="shared" si="7"/>
        <v>10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96</v>
      </c>
      <c r="B49" s="1" t="s">
        <v>38</v>
      </c>
      <c r="C49" s="1">
        <v>601.91099999999994</v>
      </c>
      <c r="D49" s="1">
        <v>1126.7719999999999</v>
      </c>
      <c r="E49" s="1">
        <v>475.51</v>
      </c>
      <c r="F49" s="1">
        <v>1150.6559999999999</v>
      </c>
      <c r="G49" s="7">
        <v>1</v>
      </c>
      <c r="H49" s="1">
        <v>50</v>
      </c>
      <c r="I49" s="1" t="s">
        <v>39</v>
      </c>
      <c r="J49" s="1">
        <v>463.19400000000002</v>
      </c>
      <c r="K49" s="1">
        <f t="shared" si="12"/>
        <v>12.315999999999974</v>
      </c>
      <c r="L49" s="1">
        <f t="shared" si="3"/>
        <v>442.81599999999997</v>
      </c>
      <c r="M49" s="1">
        <v>32.694000000000003</v>
      </c>
      <c r="N49" s="1"/>
      <c r="O49" s="1"/>
      <c r="P49" s="1">
        <v>0</v>
      </c>
      <c r="Q49" s="1">
        <f t="shared" si="4"/>
        <v>88.563199999999995</v>
      </c>
      <c r="R49" s="5"/>
      <c r="S49" s="5">
        <f t="shared" si="6"/>
        <v>0</v>
      </c>
      <c r="T49" s="5"/>
      <c r="U49" s="1"/>
      <c r="V49" s="1">
        <f>(F49+N49+O49+P49+S49)/Q49</f>
        <v>12.992484463072698</v>
      </c>
      <c r="W49" s="1">
        <f>(F49+N49+O49+P49)/Q49</f>
        <v>12.992484463072698</v>
      </c>
      <c r="X49" s="1">
        <v>91.916399999999996</v>
      </c>
      <c r="Y49" s="1">
        <v>104.374</v>
      </c>
      <c r="Z49" s="1">
        <v>112.3566</v>
      </c>
      <c r="AA49" s="1">
        <v>212.51599999999999</v>
      </c>
      <c r="AB49" s="1">
        <v>203.15559999999999</v>
      </c>
      <c r="AC49" s="1">
        <v>188.63339999999999</v>
      </c>
      <c r="AD49" s="1">
        <v>180.3518</v>
      </c>
      <c r="AE49" s="1">
        <v>196.77199999999999</v>
      </c>
      <c r="AF49" s="1">
        <v>232.87219999999999</v>
      </c>
      <c r="AG49" s="1">
        <v>131.4238</v>
      </c>
      <c r="AH49" s="1" t="s">
        <v>97</v>
      </c>
      <c r="AI49" s="1">
        <f t="shared" si="7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8" t="s">
        <v>98</v>
      </c>
      <c r="B50" s="18" t="s">
        <v>38</v>
      </c>
      <c r="C50" s="18"/>
      <c r="D50" s="18"/>
      <c r="E50" s="18"/>
      <c r="F50" s="18"/>
      <c r="G50" s="19">
        <v>0</v>
      </c>
      <c r="H50" s="18">
        <v>40</v>
      </c>
      <c r="I50" s="18" t="s">
        <v>39</v>
      </c>
      <c r="J50" s="18"/>
      <c r="K50" s="18">
        <f t="shared" si="12"/>
        <v>0</v>
      </c>
      <c r="L50" s="18">
        <f t="shared" si="3"/>
        <v>0</v>
      </c>
      <c r="M50" s="18"/>
      <c r="N50" s="18"/>
      <c r="O50" s="18"/>
      <c r="P50" s="18">
        <v>0</v>
      </c>
      <c r="Q50" s="18">
        <f t="shared" si="4"/>
        <v>0</v>
      </c>
      <c r="R50" s="20"/>
      <c r="S50" s="5">
        <f t="shared" si="6"/>
        <v>0</v>
      </c>
      <c r="T50" s="20"/>
      <c r="U50" s="18"/>
      <c r="V50" s="1" t="e">
        <f>(F50+N50+O50+P50+S50)/Q50</f>
        <v>#DIV/0!</v>
      </c>
      <c r="W50" s="18" t="e">
        <f>(F50+N50+O50+P50)/Q50</f>
        <v>#DIV/0!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 t="s">
        <v>62</v>
      </c>
      <c r="AI50" s="1">
        <f t="shared" si="7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1" t="s">
        <v>99</v>
      </c>
      <c r="B51" s="11" t="s">
        <v>43</v>
      </c>
      <c r="C51" s="11">
        <v>-1</v>
      </c>
      <c r="D51" s="11">
        <v>61</v>
      </c>
      <c r="E51" s="11">
        <v>60</v>
      </c>
      <c r="F51" s="11"/>
      <c r="G51" s="12">
        <v>0</v>
      </c>
      <c r="H51" s="11" t="e">
        <v>#N/A</v>
      </c>
      <c r="I51" s="11" t="s">
        <v>44</v>
      </c>
      <c r="J51" s="11">
        <v>60</v>
      </c>
      <c r="K51" s="11">
        <f t="shared" si="12"/>
        <v>0</v>
      </c>
      <c r="L51" s="11">
        <f t="shared" si="3"/>
        <v>0</v>
      </c>
      <c r="M51" s="11">
        <v>60</v>
      </c>
      <c r="N51" s="11"/>
      <c r="O51" s="11"/>
      <c r="P51" s="11">
        <v>0</v>
      </c>
      <c r="Q51" s="11">
        <f t="shared" si="4"/>
        <v>0</v>
      </c>
      <c r="R51" s="13"/>
      <c r="S51" s="5">
        <f t="shared" si="6"/>
        <v>0</v>
      </c>
      <c r="T51" s="13"/>
      <c r="U51" s="11"/>
      <c r="V51" s="1" t="e">
        <f>(F51+N51+O51+P51+S51)/Q51</f>
        <v>#DIV/0!</v>
      </c>
      <c r="W51" s="11" t="e">
        <f>(F51+N51+O51+P51)/Q51</f>
        <v>#DIV/0!</v>
      </c>
      <c r="X51" s="11">
        <v>0</v>
      </c>
      <c r="Y51" s="11">
        <v>0.2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/>
      <c r="AI51" s="1">
        <f t="shared" si="7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100</v>
      </c>
      <c r="B52" s="1" t="s">
        <v>43</v>
      </c>
      <c r="C52" s="1">
        <v>162</v>
      </c>
      <c r="D52" s="1">
        <v>200</v>
      </c>
      <c r="E52" s="1">
        <v>157</v>
      </c>
      <c r="F52" s="1">
        <v>195</v>
      </c>
      <c r="G52" s="7">
        <v>0.45</v>
      </c>
      <c r="H52" s="1">
        <v>50</v>
      </c>
      <c r="I52" s="1" t="s">
        <v>39</v>
      </c>
      <c r="J52" s="1">
        <v>159</v>
      </c>
      <c r="K52" s="1">
        <f t="shared" si="12"/>
        <v>-2</v>
      </c>
      <c r="L52" s="1">
        <f t="shared" si="3"/>
        <v>157</v>
      </c>
      <c r="M52" s="1"/>
      <c r="N52" s="1"/>
      <c r="O52" s="1"/>
      <c r="P52" s="1">
        <v>23</v>
      </c>
      <c r="Q52" s="1">
        <f t="shared" si="4"/>
        <v>31.4</v>
      </c>
      <c r="R52" s="5">
        <f>11*Q52-P52-O52-N52-F52</f>
        <v>127.39999999999998</v>
      </c>
      <c r="S52" s="5">
        <f t="shared" si="6"/>
        <v>127.39999999999998</v>
      </c>
      <c r="T52" s="5"/>
      <c r="U52" s="1"/>
      <c r="V52" s="1">
        <f>(F52+N52+O52+P52+S52)/Q52</f>
        <v>11</v>
      </c>
      <c r="W52" s="1">
        <f>(F52+N52+O52+P52)/Q52</f>
        <v>6.9426751592356695</v>
      </c>
      <c r="X52" s="1">
        <v>25.6</v>
      </c>
      <c r="Y52" s="1">
        <v>31.2</v>
      </c>
      <c r="Z52" s="1">
        <v>34.200000000000003</v>
      </c>
      <c r="AA52" s="1">
        <v>34.4</v>
      </c>
      <c r="AB52" s="1">
        <v>35.799999999999997</v>
      </c>
      <c r="AC52" s="1">
        <v>14.2</v>
      </c>
      <c r="AD52" s="1">
        <v>23.2</v>
      </c>
      <c r="AE52" s="1">
        <v>37.200000000000003</v>
      </c>
      <c r="AF52" s="1">
        <v>40</v>
      </c>
      <c r="AG52" s="1">
        <v>19.600000000000001</v>
      </c>
      <c r="AH52" s="1" t="s">
        <v>47</v>
      </c>
      <c r="AI52" s="1">
        <f t="shared" si="7"/>
        <v>57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8" t="s">
        <v>101</v>
      </c>
      <c r="B53" s="18" t="s">
        <v>38</v>
      </c>
      <c r="C53" s="18"/>
      <c r="D53" s="18"/>
      <c r="E53" s="18"/>
      <c r="F53" s="18"/>
      <c r="G53" s="19">
        <v>0</v>
      </c>
      <c r="H53" s="18">
        <v>40</v>
      </c>
      <c r="I53" s="18" t="s">
        <v>39</v>
      </c>
      <c r="J53" s="18"/>
      <c r="K53" s="18">
        <f t="shared" si="12"/>
        <v>0</v>
      </c>
      <c r="L53" s="18">
        <f t="shared" si="3"/>
        <v>0</v>
      </c>
      <c r="M53" s="18"/>
      <c r="N53" s="18"/>
      <c r="O53" s="18"/>
      <c r="P53" s="18">
        <v>0</v>
      </c>
      <c r="Q53" s="18">
        <f t="shared" si="4"/>
        <v>0</v>
      </c>
      <c r="R53" s="20"/>
      <c r="S53" s="5">
        <f t="shared" si="6"/>
        <v>0</v>
      </c>
      <c r="T53" s="20"/>
      <c r="U53" s="18"/>
      <c r="V53" s="1" t="e">
        <f>(F53+N53+O53+P53+S53)/Q53</f>
        <v>#DIV/0!</v>
      </c>
      <c r="W53" s="18" t="e">
        <f>(F53+N53+O53+P53)/Q53</f>
        <v>#DIV/0!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 t="s">
        <v>102</v>
      </c>
      <c r="AI53" s="1">
        <f t="shared" si="7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103</v>
      </c>
      <c r="B54" s="1" t="s">
        <v>43</v>
      </c>
      <c r="C54" s="1">
        <v>51</v>
      </c>
      <c r="D54" s="1">
        <v>45</v>
      </c>
      <c r="E54" s="1">
        <v>63</v>
      </c>
      <c r="F54" s="1">
        <v>7</v>
      </c>
      <c r="G54" s="7">
        <v>0.4</v>
      </c>
      <c r="H54" s="1">
        <v>40</v>
      </c>
      <c r="I54" s="1" t="s">
        <v>39</v>
      </c>
      <c r="J54" s="1">
        <v>75</v>
      </c>
      <c r="K54" s="1">
        <f t="shared" si="12"/>
        <v>-12</v>
      </c>
      <c r="L54" s="1">
        <f t="shared" si="3"/>
        <v>63</v>
      </c>
      <c r="M54" s="1"/>
      <c r="N54" s="1">
        <v>46.400000000000013</v>
      </c>
      <c r="O54" s="1"/>
      <c r="P54" s="1">
        <v>41.599999999999987</v>
      </c>
      <c r="Q54" s="1">
        <f t="shared" si="4"/>
        <v>12.6</v>
      </c>
      <c r="R54" s="5">
        <f t="shared" ref="R54:R63" si="14">11*Q54-P54-O54-N54-F54</f>
        <v>43.599999999999987</v>
      </c>
      <c r="S54" s="5">
        <f t="shared" si="6"/>
        <v>43.599999999999987</v>
      </c>
      <c r="T54" s="5"/>
      <c r="U54" s="1"/>
      <c r="V54" s="1">
        <f>(F54+N54+O54+P54+S54)/Q54</f>
        <v>11</v>
      </c>
      <c r="W54" s="1">
        <f>(F54+N54+O54+P54)/Q54</f>
        <v>7.5396825396825395</v>
      </c>
      <c r="X54" s="1">
        <v>11.8</v>
      </c>
      <c r="Y54" s="1">
        <v>10.4</v>
      </c>
      <c r="Z54" s="1">
        <v>8.6</v>
      </c>
      <c r="AA54" s="1">
        <v>9.6</v>
      </c>
      <c r="AB54" s="1">
        <v>9.1999999999999993</v>
      </c>
      <c r="AC54" s="1">
        <v>12</v>
      </c>
      <c r="AD54" s="1">
        <v>11.6</v>
      </c>
      <c r="AE54" s="1">
        <v>8</v>
      </c>
      <c r="AF54" s="1">
        <v>11.2</v>
      </c>
      <c r="AG54" s="1">
        <v>8.8000000000000007</v>
      </c>
      <c r="AH54" s="1"/>
      <c r="AI54" s="1">
        <f t="shared" si="7"/>
        <v>17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104</v>
      </c>
      <c r="B55" s="1" t="s">
        <v>43</v>
      </c>
      <c r="C55" s="1">
        <v>48</v>
      </c>
      <c r="D55" s="1">
        <v>69</v>
      </c>
      <c r="E55" s="1">
        <v>66</v>
      </c>
      <c r="F55" s="1">
        <v>50</v>
      </c>
      <c r="G55" s="7">
        <v>0.4</v>
      </c>
      <c r="H55" s="1">
        <v>40</v>
      </c>
      <c r="I55" s="1" t="s">
        <v>39</v>
      </c>
      <c r="J55" s="1">
        <v>77</v>
      </c>
      <c r="K55" s="1">
        <f t="shared" si="12"/>
        <v>-11</v>
      </c>
      <c r="L55" s="1">
        <f t="shared" si="3"/>
        <v>66</v>
      </c>
      <c r="M55" s="1"/>
      <c r="N55" s="1"/>
      <c r="O55" s="1"/>
      <c r="P55" s="1">
        <v>25</v>
      </c>
      <c r="Q55" s="1">
        <f t="shared" si="4"/>
        <v>13.2</v>
      </c>
      <c r="R55" s="5">
        <f t="shared" si="14"/>
        <v>70.199999999999989</v>
      </c>
      <c r="S55" s="5">
        <f t="shared" si="6"/>
        <v>70.199999999999989</v>
      </c>
      <c r="T55" s="5"/>
      <c r="U55" s="1"/>
      <c r="V55" s="1">
        <f>(F55+N55+O55+P55+S55)/Q55</f>
        <v>11</v>
      </c>
      <c r="W55" s="1">
        <f>(F55+N55+O55+P55)/Q55</f>
        <v>5.6818181818181825</v>
      </c>
      <c r="X55" s="1">
        <v>9.4</v>
      </c>
      <c r="Y55" s="1">
        <v>1.4</v>
      </c>
      <c r="Z55" s="1">
        <v>2.8</v>
      </c>
      <c r="AA55" s="1">
        <v>8.6</v>
      </c>
      <c r="AB55" s="1">
        <v>10.4</v>
      </c>
      <c r="AC55" s="1">
        <v>10.6</v>
      </c>
      <c r="AD55" s="1">
        <v>9.1999999999999993</v>
      </c>
      <c r="AE55" s="1">
        <v>9.8000000000000007</v>
      </c>
      <c r="AF55" s="1">
        <v>10.6</v>
      </c>
      <c r="AG55" s="1">
        <v>7</v>
      </c>
      <c r="AH55" s="1" t="s">
        <v>105</v>
      </c>
      <c r="AI55" s="1">
        <f t="shared" si="7"/>
        <v>28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106</v>
      </c>
      <c r="B56" s="1" t="s">
        <v>38</v>
      </c>
      <c r="C56" s="1">
        <v>127.256</v>
      </c>
      <c r="D56" s="1">
        <v>32.380000000000003</v>
      </c>
      <c r="E56" s="1">
        <v>114.92400000000001</v>
      </c>
      <c r="F56" s="1">
        <v>13.489000000000001</v>
      </c>
      <c r="G56" s="7">
        <v>1</v>
      </c>
      <c r="H56" s="1">
        <v>50</v>
      </c>
      <c r="I56" s="1" t="s">
        <v>39</v>
      </c>
      <c r="J56" s="1">
        <v>140.5</v>
      </c>
      <c r="K56" s="1">
        <f t="shared" si="12"/>
        <v>-25.575999999999993</v>
      </c>
      <c r="L56" s="1">
        <f t="shared" si="3"/>
        <v>104.16900000000001</v>
      </c>
      <c r="M56" s="1">
        <v>10.755000000000001</v>
      </c>
      <c r="N56" s="1">
        <v>80.096800000000016</v>
      </c>
      <c r="O56" s="1"/>
      <c r="P56" s="1">
        <v>129.98920000000001</v>
      </c>
      <c r="Q56" s="1">
        <f t="shared" si="4"/>
        <v>20.833800000000004</v>
      </c>
      <c r="R56" s="5">
        <f t="shared" si="14"/>
        <v>5.5968000000000195</v>
      </c>
      <c r="S56" s="5">
        <f t="shared" si="6"/>
        <v>5.5968000000000195</v>
      </c>
      <c r="T56" s="5"/>
      <c r="U56" s="1"/>
      <c r="V56" s="1">
        <f>(F56+N56+O56+P56+S56)/Q56</f>
        <v>11.000000000000002</v>
      </c>
      <c r="W56" s="1">
        <f>(F56+N56+O56+P56)/Q56</f>
        <v>10.731359617544568</v>
      </c>
      <c r="X56" s="1">
        <v>23.843399999999999</v>
      </c>
      <c r="Y56" s="1">
        <v>18.227599999999999</v>
      </c>
      <c r="Z56" s="1">
        <v>14.6684</v>
      </c>
      <c r="AA56" s="1">
        <v>20.7562</v>
      </c>
      <c r="AB56" s="1">
        <v>22.980799999999999</v>
      </c>
      <c r="AC56" s="1">
        <v>21.758800000000001</v>
      </c>
      <c r="AD56" s="1">
        <v>18.047999999999998</v>
      </c>
      <c r="AE56" s="1">
        <v>22.817599999999999</v>
      </c>
      <c r="AF56" s="1">
        <v>24.711200000000002</v>
      </c>
      <c r="AG56" s="1">
        <v>17.653199999999998</v>
      </c>
      <c r="AH56" s="1"/>
      <c r="AI56" s="1">
        <f t="shared" si="7"/>
        <v>6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107</v>
      </c>
      <c r="B57" s="1" t="s">
        <v>38</v>
      </c>
      <c r="C57" s="1">
        <v>321.74599999999998</v>
      </c>
      <c r="D57" s="1">
        <v>799.399</v>
      </c>
      <c r="E57" s="1">
        <v>524.82899999999995</v>
      </c>
      <c r="F57" s="1">
        <v>533.90300000000002</v>
      </c>
      <c r="G57" s="7">
        <v>1</v>
      </c>
      <c r="H57" s="1">
        <v>50</v>
      </c>
      <c r="I57" s="1" t="s">
        <v>39</v>
      </c>
      <c r="J57" s="1">
        <v>477.28100000000001</v>
      </c>
      <c r="K57" s="1">
        <f t="shared" si="12"/>
        <v>47.547999999999945</v>
      </c>
      <c r="L57" s="1">
        <f t="shared" si="3"/>
        <v>416.87099999999998</v>
      </c>
      <c r="M57" s="1">
        <v>107.958</v>
      </c>
      <c r="N57" s="1"/>
      <c r="O57" s="1"/>
      <c r="P57" s="1">
        <v>137.96600000000001</v>
      </c>
      <c r="Q57" s="1">
        <f t="shared" si="4"/>
        <v>83.374200000000002</v>
      </c>
      <c r="R57" s="5">
        <f t="shared" si="14"/>
        <v>245.24720000000002</v>
      </c>
      <c r="S57" s="5">
        <f t="shared" si="6"/>
        <v>245.24720000000002</v>
      </c>
      <c r="T57" s="5"/>
      <c r="U57" s="1"/>
      <c r="V57" s="1">
        <f>(F57+N57+O57+P57+S57)/Q57</f>
        <v>11</v>
      </c>
      <c r="W57" s="1">
        <f>(F57+N57+O57+P57)/Q57</f>
        <v>8.0584761233091289</v>
      </c>
      <c r="X57" s="1">
        <v>76.477000000000004</v>
      </c>
      <c r="Y57" s="1">
        <v>68.045199999999994</v>
      </c>
      <c r="Z57" s="1">
        <v>106.3288</v>
      </c>
      <c r="AA57" s="1">
        <v>105.8222</v>
      </c>
      <c r="AB57" s="1">
        <v>83.827200000000005</v>
      </c>
      <c r="AC57" s="1">
        <v>77.943399999999997</v>
      </c>
      <c r="AD57" s="1">
        <v>51.977200000000003</v>
      </c>
      <c r="AE57" s="1">
        <v>46.274999999999999</v>
      </c>
      <c r="AF57" s="1">
        <v>51.472000000000001</v>
      </c>
      <c r="AG57" s="1">
        <v>51.563199999999988</v>
      </c>
      <c r="AH57" s="1"/>
      <c r="AI57" s="1">
        <f t="shared" si="7"/>
        <v>245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108</v>
      </c>
      <c r="B58" s="1" t="s">
        <v>38</v>
      </c>
      <c r="C58" s="1">
        <v>166.03700000000001</v>
      </c>
      <c r="D58" s="1">
        <v>236.75899999999999</v>
      </c>
      <c r="E58" s="1">
        <v>133.63999999999999</v>
      </c>
      <c r="F58" s="1">
        <v>261.42099999999999</v>
      </c>
      <c r="G58" s="7">
        <v>1</v>
      </c>
      <c r="H58" s="1">
        <v>50</v>
      </c>
      <c r="I58" s="1" t="s">
        <v>39</v>
      </c>
      <c r="J58" s="1">
        <v>134.41499999999999</v>
      </c>
      <c r="K58" s="1">
        <f t="shared" si="12"/>
        <v>-0.77500000000000568</v>
      </c>
      <c r="L58" s="1">
        <f t="shared" si="3"/>
        <v>25.924999999999983</v>
      </c>
      <c r="M58" s="1">
        <v>107.715</v>
      </c>
      <c r="N58" s="1">
        <v>45.289199999999987</v>
      </c>
      <c r="O58" s="1"/>
      <c r="P58" s="1">
        <v>0</v>
      </c>
      <c r="Q58" s="1">
        <f t="shared" si="4"/>
        <v>5.1849999999999969</v>
      </c>
      <c r="R58" s="5"/>
      <c r="S58" s="5">
        <f t="shared" si="6"/>
        <v>0</v>
      </c>
      <c r="T58" s="5"/>
      <c r="U58" s="1"/>
      <c r="V58" s="1">
        <f>(F58+N58+O58+P58+S58)/Q58</f>
        <v>59.153365477338511</v>
      </c>
      <c r="W58" s="1">
        <f>(F58+N58+O58+P58)/Q58</f>
        <v>59.153365477338511</v>
      </c>
      <c r="X58" s="1">
        <v>5.4548000000000014</v>
      </c>
      <c r="Y58" s="1">
        <v>29.638200000000001</v>
      </c>
      <c r="Z58" s="1">
        <v>28.748999999999999</v>
      </c>
      <c r="AA58" s="1">
        <v>25.186800000000002</v>
      </c>
      <c r="AB58" s="1">
        <v>25.7958</v>
      </c>
      <c r="AC58" s="1">
        <v>5.7170000000000014</v>
      </c>
      <c r="AD58" s="1">
        <v>1.7465999999999999</v>
      </c>
      <c r="AE58" s="1">
        <v>41.75</v>
      </c>
      <c r="AF58" s="1">
        <v>43.105800000000002</v>
      </c>
      <c r="AG58" s="1">
        <v>1.6237999999999999</v>
      </c>
      <c r="AH58" s="21" t="s">
        <v>159</v>
      </c>
      <c r="AI58" s="1">
        <f t="shared" si="7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110</v>
      </c>
      <c r="B59" s="1" t="s">
        <v>43</v>
      </c>
      <c r="C59" s="1">
        <v>293</v>
      </c>
      <c r="D59" s="1">
        <v>145</v>
      </c>
      <c r="E59" s="1">
        <v>144</v>
      </c>
      <c r="F59" s="1">
        <v>263</v>
      </c>
      <c r="G59" s="7">
        <v>0.4</v>
      </c>
      <c r="H59" s="1">
        <v>50</v>
      </c>
      <c r="I59" s="1" t="s">
        <v>39</v>
      </c>
      <c r="J59" s="1">
        <v>146</v>
      </c>
      <c r="K59" s="1">
        <f t="shared" si="12"/>
        <v>-2</v>
      </c>
      <c r="L59" s="1">
        <f t="shared" si="3"/>
        <v>144</v>
      </c>
      <c r="M59" s="1"/>
      <c r="N59" s="1"/>
      <c r="O59" s="1"/>
      <c r="P59" s="1">
        <v>19</v>
      </c>
      <c r="Q59" s="1">
        <f t="shared" si="4"/>
        <v>28.8</v>
      </c>
      <c r="R59" s="5">
        <f t="shared" si="14"/>
        <v>34.800000000000011</v>
      </c>
      <c r="S59" s="5">
        <f t="shared" si="6"/>
        <v>34.800000000000011</v>
      </c>
      <c r="T59" s="5"/>
      <c r="U59" s="1"/>
      <c r="V59" s="1">
        <f>(F59+N59+O59+P59+S59)/Q59</f>
        <v>11</v>
      </c>
      <c r="W59" s="1">
        <f>(F59+N59+O59+P59)/Q59</f>
        <v>9.7916666666666661</v>
      </c>
      <c r="X59" s="1">
        <v>30.4</v>
      </c>
      <c r="Y59" s="1">
        <v>28.8</v>
      </c>
      <c r="Z59" s="1">
        <v>34.6</v>
      </c>
      <c r="AA59" s="1">
        <v>53</v>
      </c>
      <c r="AB59" s="1">
        <v>46.2</v>
      </c>
      <c r="AC59" s="1">
        <v>6.6</v>
      </c>
      <c r="AD59" s="1">
        <v>4</v>
      </c>
      <c r="AE59" s="1">
        <v>37.405999999999999</v>
      </c>
      <c r="AF59" s="1">
        <v>42.006</v>
      </c>
      <c r="AG59" s="1">
        <v>12.8</v>
      </c>
      <c r="AH59" s="1"/>
      <c r="AI59" s="1">
        <f t="shared" si="7"/>
        <v>14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111</v>
      </c>
      <c r="B60" s="1" t="s">
        <v>43</v>
      </c>
      <c r="C60" s="1">
        <v>318</v>
      </c>
      <c r="D60" s="1">
        <v>1331</v>
      </c>
      <c r="E60" s="1">
        <v>553</v>
      </c>
      <c r="F60" s="1">
        <v>898</v>
      </c>
      <c r="G60" s="7">
        <v>0.4</v>
      </c>
      <c r="H60" s="1">
        <v>40</v>
      </c>
      <c r="I60" s="1" t="s">
        <v>39</v>
      </c>
      <c r="J60" s="1">
        <v>791</v>
      </c>
      <c r="K60" s="1">
        <f t="shared" si="12"/>
        <v>-238</v>
      </c>
      <c r="L60" s="1">
        <f t="shared" si="3"/>
        <v>463</v>
      </c>
      <c r="M60" s="1">
        <v>90</v>
      </c>
      <c r="N60" s="1">
        <v>283.19999999999982</v>
      </c>
      <c r="O60" s="1"/>
      <c r="P60" s="1">
        <v>0</v>
      </c>
      <c r="Q60" s="1">
        <f t="shared" si="4"/>
        <v>92.6</v>
      </c>
      <c r="R60" s="5"/>
      <c r="S60" s="5">
        <f t="shared" si="6"/>
        <v>0</v>
      </c>
      <c r="T60" s="5"/>
      <c r="U60" s="1"/>
      <c r="V60" s="1">
        <f>(F60+N60+O60+P60+S60)/Q60</f>
        <v>12.755939524838011</v>
      </c>
      <c r="W60" s="1">
        <f>(F60+N60+O60+P60)/Q60</f>
        <v>12.755939524838011</v>
      </c>
      <c r="X60" s="1">
        <v>92.8</v>
      </c>
      <c r="Y60" s="1">
        <v>153.19999999999999</v>
      </c>
      <c r="Z60" s="1">
        <v>153.4</v>
      </c>
      <c r="AA60" s="1">
        <v>112.2</v>
      </c>
      <c r="AB60" s="1">
        <v>108.4</v>
      </c>
      <c r="AC60" s="1">
        <v>122.6</v>
      </c>
      <c r="AD60" s="1">
        <v>103.2</v>
      </c>
      <c r="AE60" s="1">
        <v>90.6</v>
      </c>
      <c r="AF60" s="1">
        <v>121</v>
      </c>
      <c r="AG60" s="1">
        <v>97.6</v>
      </c>
      <c r="AH60" s="1"/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112</v>
      </c>
      <c r="B61" s="1" t="s">
        <v>43</v>
      </c>
      <c r="C61" s="1">
        <v>318</v>
      </c>
      <c r="D61" s="1">
        <v>39</v>
      </c>
      <c r="E61" s="1">
        <v>263</v>
      </c>
      <c r="F61" s="1"/>
      <c r="G61" s="7">
        <v>0.4</v>
      </c>
      <c r="H61" s="1">
        <v>40</v>
      </c>
      <c r="I61" s="1" t="s">
        <v>39</v>
      </c>
      <c r="J61" s="1">
        <v>368</v>
      </c>
      <c r="K61" s="1">
        <f t="shared" si="12"/>
        <v>-105</v>
      </c>
      <c r="L61" s="1">
        <f t="shared" si="3"/>
        <v>257</v>
      </c>
      <c r="M61" s="1">
        <v>6</v>
      </c>
      <c r="N61" s="1">
        <v>289.59999999999991</v>
      </c>
      <c r="O61" s="1"/>
      <c r="P61" s="1">
        <v>408.40000000000009</v>
      </c>
      <c r="Q61" s="1">
        <f t="shared" si="4"/>
        <v>51.4</v>
      </c>
      <c r="R61" s="5"/>
      <c r="S61" s="5">
        <f t="shared" si="6"/>
        <v>0</v>
      </c>
      <c r="T61" s="5"/>
      <c r="U61" s="1"/>
      <c r="V61" s="1">
        <f>(F61+N61+O61+P61+S61)/Q61</f>
        <v>13.57976653696498</v>
      </c>
      <c r="W61" s="1">
        <f>(F61+N61+O61+P61)/Q61</f>
        <v>13.57976653696498</v>
      </c>
      <c r="X61" s="1">
        <v>69.8</v>
      </c>
      <c r="Y61" s="1">
        <v>114.6</v>
      </c>
      <c r="Z61" s="1">
        <v>105.8</v>
      </c>
      <c r="AA61" s="1">
        <v>71.400000000000006</v>
      </c>
      <c r="AB61" s="1">
        <v>74</v>
      </c>
      <c r="AC61" s="1">
        <v>108.8</v>
      </c>
      <c r="AD61" s="1">
        <v>81.400000000000006</v>
      </c>
      <c r="AE61" s="1">
        <v>70.8</v>
      </c>
      <c r="AF61" s="1">
        <v>93</v>
      </c>
      <c r="AG61" s="1">
        <v>84.2</v>
      </c>
      <c r="AH61" s="1"/>
      <c r="AI61" s="1">
        <f t="shared" si="7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113</v>
      </c>
      <c r="B62" s="1" t="s">
        <v>38</v>
      </c>
      <c r="C62" s="1">
        <v>288.23399999999998</v>
      </c>
      <c r="D62" s="1">
        <v>288.03800000000001</v>
      </c>
      <c r="E62" s="1">
        <v>295.66500000000002</v>
      </c>
      <c r="F62" s="1">
        <v>273.33999999999997</v>
      </c>
      <c r="G62" s="7">
        <v>1</v>
      </c>
      <c r="H62" s="1">
        <v>40</v>
      </c>
      <c r="I62" s="1" t="s">
        <v>39</v>
      </c>
      <c r="J62" s="1">
        <v>247.398</v>
      </c>
      <c r="K62" s="1">
        <f t="shared" si="12"/>
        <v>48.267000000000024</v>
      </c>
      <c r="L62" s="1">
        <f t="shared" si="3"/>
        <v>227.56700000000001</v>
      </c>
      <c r="M62" s="1">
        <v>68.097999999999999</v>
      </c>
      <c r="N62" s="1"/>
      <c r="O62" s="1"/>
      <c r="P62" s="1">
        <v>0</v>
      </c>
      <c r="Q62" s="1">
        <f t="shared" si="4"/>
        <v>45.513400000000004</v>
      </c>
      <c r="R62" s="5">
        <f t="shared" si="14"/>
        <v>227.30740000000009</v>
      </c>
      <c r="S62" s="5">
        <f t="shared" si="6"/>
        <v>227.30740000000009</v>
      </c>
      <c r="T62" s="5"/>
      <c r="U62" s="1"/>
      <c r="V62" s="1">
        <f>(F62+N62+O62+P62+S62)/Q62</f>
        <v>11</v>
      </c>
      <c r="W62" s="1">
        <f>(F62+N62+O62+P62)/Q62</f>
        <v>6.0057038147007242</v>
      </c>
      <c r="X62" s="1">
        <v>33.489400000000003</v>
      </c>
      <c r="Y62" s="1">
        <v>8.1622000000000003</v>
      </c>
      <c r="Z62" s="1">
        <v>5.0213999999999999</v>
      </c>
      <c r="AA62" s="1">
        <v>53.783200000000001</v>
      </c>
      <c r="AB62" s="1">
        <v>50.0608</v>
      </c>
      <c r="AC62" s="1">
        <v>22.703800000000001</v>
      </c>
      <c r="AD62" s="1">
        <v>26.747399999999999</v>
      </c>
      <c r="AE62" s="1">
        <v>37.057600000000001</v>
      </c>
      <c r="AF62" s="1">
        <v>38.385599999999997</v>
      </c>
      <c r="AG62" s="1">
        <v>36.887799999999999</v>
      </c>
      <c r="AH62" s="1"/>
      <c r="AI62" s="1">
        <f t="shared" si="7"/>
        <v>227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114</v>
      </c>
      <c r="B63" s="1" t="s">
        <v>38</v>
      </c>
      <c r="C63" s="1">
        <v>203.81</v>
      </c>
      <c r="D63" s="1">
        <v>116.79300000000001</v>
      </c>
      <c r="E63" s="1">
        <v>143.81700000000001</v>
      </c>
      <c r="F63" s="1">
        <v>161.37700000000001</v>
      </c>
      <c r="G63" s="7">
        <v>1</v>
      </c>
      <c r="H63" s="1">
        <v>40</v>
      </c>
      <c r="I63" s="1" t="s">
        <v>39</v>
      </c>
      <c r="J63" s="1">
        <v>111.8</v>
      </c>
      <c r="K63" s="1">
        <f t="shared" si="12"/>
        <v>32.01700000000001</v>
      </c>
      <c r="L63" s="1">
        <f t="shared" si="3"/>
        <v>143.81700000000001</v>
      </c>
      <c r="M63" s="1"/>
      <c r="N63" s="1"/>
      <c r="O63" s="1"/>
      <c r="P63" s="1">
        <v>50.742000000000019</v>
      </c>
      <c r="Q63" s="1">
        <f t="shared" si="4"/>
        <v>28.763400000000001</v>
      </c>
      <c r="R63" s="5">
        <f t="shared" si="14"/>
        <v>104.27839999999998</v>
      </c>
      <c r="S63" s="5">
        <f t="shared" si="6"/>
        <v>104.27839999999998</v>
      </c>
      <c r="T63" s="5"/>
      <c r="U63" s="1"/>
      <c r="V63" s="1">
        <f>(F63+N63+O63+P63+S63)/Q63</f>
        <v>11</v>
      </c>
      <c r="W63" s="1">
        <f>(F63+N63+O63+P63)/Q63</f>
        <v>7.3746149620698533</v>
      </c>
      <c r="X63" s="1">
        <v>24.647200000000002</v>
      </c>
      <c r="Y63" s="1">
        <v>23.712199999999999</v>
      </c>
      <c r="Z63" s="1">
        <v>28.724799999999998</v>
      </c>
      <c r="AA63" s="1">
        <v>40.096800000000002</v>
      </c>
      <c r="AB63" s="1">
        <v>33.127600000000001</v>
      </c>
      <c r="AC63" s="1">
        <v>12.061199999999999</v>
      </c>
      <c r="AD63" s="1">
        <v>17.687799999999999</v>
      </c>
      <c r="AE63" s="1">
        <v>29.1022</v>
      </c>
      <c r="AF63" s="1">
        <v>29.439</v>
      </c>
      <c r="AG63" s="1">
        <v>24.540800000000001</v>
      </c>
      <c r="AH63" s="1"/>
      <c r="AI63" s="1">
        <f t="shared" si="7"/>
        <v>104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1" t="s">
        <v>115</v>
      </c>
      <c r="B64" s="11" t="s">
        <v>38</v>
      </c>
      <c r="C64" s="11"/>
      <c r="D64" s="11">
        <v>68.278999999999996</v>
      </c>
      <c r="E64" s="11">
        <v>68.278999999999996</v>
      </c>
      <c r="F64" s="11"/>
      <c r="G64" s="12">
        <v>0</v>
      </c>
      <c r="H64" s="11" t="e">
        <v>#N/A</v>
      </c>
      <c r="I64" s="11" t="s">
        <v>44</v>
      </c>
      <c r="J64" s="11">
        <v>68.278999999999996</v>
      </c>
      <c r="K64" s="11">
        <f t="shared" si="12"/>
        <v>0</v>
      </c>
      <c r="L64" s="11">
        <f t="shared" si="3"/>
        <v>0</v>
      </c>
      <c r="M64" s="11">
        <v>68.278999999999996</v>
      </c>
      <c r="N64" s="11"/>
      <c r="O64" s="11"/>
      <c r="P64" s="11">
        <v>0</v>
      </c>
      <c r="Q64" s="11">
        <f t="shared" si="4"/>
        <v>0</v>
      </c>
      <c r="R64" s="13"/>
      <c r="S64" s="5">
        <f t="shared" si="6"/>
        <v>0</v>
      </c>
      <c r="T64" s="13"/>
      <c r="U64" s="11"/>
      <c r="V64" s="1" t="e">
        <f>(F64+N64+O64+P64+S64)/Q64</f>
        <v>#DIV/0!</v>
      </c>
      <c r="W64" s="11" t="e">
        <f>(F64+N64+O64+P64)/Q64</f>
        <v>#DIV/0!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/>
      <c r="AI64" s="1">
        <f t="shared" si="7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116</v>
      </c>
      <c r="B65" s="1" t="s">
        <v>38</v>
      </c>
      <c r="C65" s="1">
        <v>255.18700000000001</v>
      </c>
      <c r="D65" s="1">
        <v>145.94800000000001</v>
      </c>
      <c r="E65" s="1">
        <v>162.99100000000001</v>
      </c>
      <c r="F65" s="1">
        <v>216.84299999999999</v>
      </c>
      <c r="G65" s="7">
        <v>1</v>
      </c>
      <c r="H65" s="1">
        <v>40</v>
      </c>
      <c r="I65" s="1" t="s">
        <v>39</v>
      </c>
      <c r="J65" s="1">
        <v>163.81399999999999</v>
      </c>
      <c r="K65" s="1">
        <f t="shared" si="12"/>
        <v>-0.82299999999997908</v>
      </c>
      <c r="L65" s="1">
        <f t="shared" si="3"/>
        <v>133.577</v>
      </c>
      <c r="M65" s="1">
        <v>29.414000000000001</v>
      </c>
      <c r="N65" s="1"/>
      <c r="O65" s="1"/>
      <c r="P65" s="1">
        <v>0</v>
      </c>
      <c r="Q65" s="1">
        <f t="shared" si="4"/>
        <v>26.715399999999999</v>
      </c>
      <c r="R65" s="5">
        <f t="shared" ref="R65:R66" si="15">11*Q65-P65-O65-N65-F65</f>
        <v>77.026399999999995</v>
      </c>
      <c r="S65" s="5">
        <f t="shared" si="6"/>
        <v>77.026399999999995</v>
      </c>
      <c r="T65" s="5"/>
      <c r="U65" s="1"/>
      <c r="V65" s="1">
        <f>(F65+N65+O65+P65+S65)/Q65</f>
        <v>11</v>
      </c>
      <c r="W65" s="1">
        <f>(F65+N65+O65+P65)/Q65</f>
        <v>8.1167790862199336</v>
      </c>
      <c r="X65" s="1">
        <v>22.999600000000001</v>
      </c>
      <c r="Y65" s="1">
        <v>31.666599999999999</v>
      </c>
      <c r="Z65" s="1">
        <v>35.583000000000013</v>
      </c>
      <c r="AA65" s="1">
        <v>50.459200000000003</v>
      </c>
      <c r="AB65" s="1">
        <v>43.281599999999997</v>
      </c>
      <c r="AC65" s="1">
        <v>10.667400000000001</v>
      </c>
      <c r="AD65" s="1">
        <v>13.9076</v>
      </c>
      <c r="AE65" s="1">
        <v>27.576599999999999</v>
      </c>
      <c r="AF65" s="1">
        <v>25.141999999999999</v>
      </c>
      <c r="AG65" s="1">
        <v>6.1882000000000001</v>
      </c>
      <c r="AH65" s="1"/>
      <c r="AI65" s="1">
        <f t="shared" si="7"/>
        <v>77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117</v>
      </c>
      <c r="B66" s="1" t="s">
        <v>38</v>
      </c>
      <c r="C66" s="1">
        <v>52.686</v>
      </c>
      <c r="D66" s="1">
        <v>82.831000000000003</v>
      </c>
      <c r="E66" s="1">
        <v>43.606000000000002</v>
      </c>
      <c r="F66" s="1">
        <v>75.150000000000006</v>
      </c>
      <c r="G66" s="7">
        <v>1</v>
      </c>
      <c r="H66" s="1">
        <v>30</v>
      </c>
      <c r="I66" s="1" t="s">
        <v>39</v>
      </c>
      <c r="J66" s="1">
        <v>49.4</v>
      </c>
      <c r="K66" s="1">
        <f t="shared" si="12"/>
        <v>-5.7939999999999969</v>
      </c>
      <c r="L66" s="1">
        <f t="shared" si="3"/>
        <v>43.606000000000002</v>
      </c>
      <c r="M66" s="1"/>
      <c r="N66" s="1">
        <v>11.87860000000005</v>
      </c>
      <c r="O66" s="1"/>
      <c r="P66" s="1">
        <v>4.0983999999999554</v>
      </c>
      <c r="Q66" s="1">
        <f t="shared" si="4"/>
        <v>8.7211999999999996</v>
      </c>
      <c r="R66" s="5">
        <f t="shared" si="15"/>
        <v>4.8061999999999898</v>
      </c>
      <c r="S66" s="5">
        <f t="shared" si="6"/>
        <v>4.8061999999999898</v>
      </c>
      <c r="T66" s="5"/>
      <c r="U66" s="1"/>
      <c r="V66" s="1">
        <f>(F66+N66+O66+P66+S66)/Q66</f>
        <v>11</v>
      </c>
      <c r="W66" s="1">
        <f>(F66+N66+O66+P66)/Q66</f>
        <v>10.448906113837547</v>
      </c>
      <c r="X66" s="1">
        <v>10.027799999999999</v>
      </c>
      <c r="Y66" s="1">
        <v>11.640599999999999</v>
      </c>
      <c r="Z66" s="1">
        <v>10.793799999999999</v>
      </c>
      <c r="AA66" s="1">
        <v>11.015000000000001</v>
      </c>
      <c r="AB66" s="1">
        <v>10.7562</v>
      </c>
      <c r="AC66" s="1">
        <v>10.955</v>
      </c>
      <c r="AD66" s="1">
        <v>9.2786000000000008</v>
      </c>
      <c r="AE66" s="1">
        <v>10.811</v>
      </c>
      <c r="AF66" s="1">
        <v>14.1732</v>
      </c>
      <c r="AG66" s="1">
        <v>18.448799999999999</v>
      </c>
      <c r="AH66" s="1"/>
      <c r="AI66" s="1">
        <f t="shared" si="7"/>
        <v>5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118</v>
      </c>
      <c r="B67" s="1" t="s">
        <v>43</v>
      </c>
      <c r="C67" s="1">
        <v>2098</v>
      </c>
      <c r="D67" s="1"/>
      <c r="E67" s="1">
        <v>1004</v>
      </c>
      <c r="F67" s="1">
        <v>532</v>
      </c>
      <c r="G67" s="7">
        <v>0.6</v>
      </c>
      <c r="H67" s="1">
        <v>60</v>
      </c>
      <c r="I67" s="16" t="s">
        <v>46</v>
      </c>
      <c r="J67" s="1">
        <v>1005</v>
      </c>
      <c r="K67" s="1">
        <f t="shared" si="12"/>
        <v>-1</v>
      </c>
      <c r="L67" s="1">
        <f t="shared" si="3"/>
        <v>1004</v>
      </c>
      <c r="M67" s="1"/>
      <c r="N67" s="1">
        <v>0</v>
      </c>
      <c r="O67" s="1"/>
      <c r="P67" s="1">
        <v>100</v>
      </c>
      <c r="Q67" s="1">
        <f t="shared" si="4"/>
        <v>200.8</v>
      </c>
      <c r="R67" s="5">
        <v>50</v>
      </c>
      <c r="S67" s="5">
        <f t="shared" si="6"/>
        <v>50</v>
      </c>
      <c r="T67" s="5"/>
      <c r="U67" s="1"/>
      <c r="V67" s="1">
        <f>(F67+N67+O67+P67+S67)/Q67</f>
        <v>3.3964143426294817</v>
      </c>
      <c r="W67" s="1">
        <f>(F67+N67+O67+P67)/Q67</f>
        <v>3.1474103585657369</v>
      </c>
      <c r="X67" s="1">
        <v>245.2</v>
      </c>
      <c r="Y67" s="1">
        <v>191.2</v>
      </c>
      <c r="Z67" s="1">
        <v>88.6</v>
      </c>
      <c r="AA67" s="1">
        <v>48.4</v>
      </c>
      <c r="AB67" s="1">
        <v>26.2</v>
      </c>
      <c r="AC67" s="1">
        <v>30.2</v>
      </c>
      <c r="AD67" s="1">
        <v>67.599999999999994</v>
      </c>
      <c r="AE67" s="1">
        <v>76.599999999999994</v>
      </c>
      <c r="AF67" s="1">
        <v>72.8</v>
      </c>
      <c r="AG67" s="1">
        <v>36.200000000000003</v>
      </c>
      <c r="AH67" s="1" t="s">
        <v>47</v>
      </c>
      <c r="AI67" s="1">
        <f t="shared" si="7"/>
        <v>30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8" t="s">
        <v>119</v>
      </c>
      <c r="B68" s="18" t="s">
        <v>43</v>
      </c>
      <c r="C68" s="18"/>
      <c r="D68" s="18"/>
      <c r="E68" s="18"/>
      <c r="F68" s="18"/>
      <c r="G68" s="19">
        <v>0</v>
      </c>
      <c r="H68" s="18">
        <v>50</v>
      </c>
      <c r="I68" s="18" t="s">
        <v>39</v>
      </c>
      <c r="J68" s="18"/>
      <c r="K68" s="18">
        <f t="shared" si="12"/>
        <v>0</v>
      </c>
      <c r="L68" s="18">
        <f t="shared" si="3"/>
        <v>0</v>
      </c>
      <c r="M68" s="18"/>
      <c r="N68" s="18"/>
      <c r="O68" s="18"/>
      <c r="P68" s="18">
        <v>0</v>
      </c>
      <c r="Q68" s="18">
        <f t="shared" si="4"/>
        <v>0</v>
      </c>
      <c r="R68" s="20"/>
      <c r="S68" s="5">
        <f t="shared" si="6"/>
        <v>0</v>
      </c>
      <c r="T68" s="20"/>
      <c r="U68" s="18"/>
      <c r="V68" s="1" t="e">
        <f>(F68+N68+O68+P68+S68)/Q68</f>
        <v>#DIV/0!</v>
      </c>
      <c r="W68" s="18" t="e">
        <f>(F68+N68+O68+P68)/Q68</f>
        <v>#DIV/0!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 t="s">
        <v>62</v>
      </c>
      <c r="AI68" s="1">
        <f t="shared" si="7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8" t="s">
        <v>120</v>
      </c>
      <c r="B69" s="18" t="s">
        <v>43</v>
      </c>
      <c r="C69" s="18"/>
      <c r="D69" s="18"/>
      <c r="E69" s="18"/>
      <c r="F69" s="18"/>
      <c r="G69" s="19">
        <v>0</v>
      </c>
      <c r="H69" s="18">
        <v>50</v>
      </c>
      <c r="I69" s="18" t="s">
        <v>39</v>
      </c>
      <c r="J69" s="18"/>
      <c r="K69" s="18">
        <f t="shared" ref="K69:K98" si="16">E69-J69</f>
        <v>0</v>
      </c>
      <c r="L69" s="18">
        <f t="shared" si="3"/>
        <v>0</v>
      </c>
      <c r="M69" s="18"/>
      <c r="N69" s="18"/>
      <c r="O69" s="18"/>
      <c r="P69" s="18">
        <v>0</v>
      </c>
      <c r="Q69" s="18">
        <f t="shared" si="4"/>
        <v>0</v>
      </c>
      <c r="R69" s="20"/>
      <c r="S69" s="5">
        <f t="shared" si="6"/>
        <v>0</v>
      </c>
      <c r="T69" s="20"/>
      <c r="U69" s="18"/>
      <c r="V69" s="1" t="e">
        <f>(F69+N69+O69+P69+S69)/Q69</f>
        <v>#DIV/0!</v>
      </c>
      <c r="W69" s="18" t="e">
        <f>(F69+N69+O69+P69)/Q69</f>
        <v>#DIV/0!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 t="s">
        <v>62</v>
      </c>
      <c r="AI69" s="1">
        <f t="shared" si="7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8" t="s">
        <v>121</v>
      </c>
      <c r="B70" s="18" t="s">
        <v>43</v>
      </c>
      <c r="C70" s="18"/>
      <c r="D70" s="18"/>
      <c r="E70" s="18"/>
      <c r="F70" s="18"/>
      <c r="G70" s="19">
        <v>0</v>
      </c>
      <c r="H70" s="18">
        <v>30</v>
      </c>
      <c r="I70" s="18" t="s">
        <v>39</v>
      </c>
      <c r="J70" s="18"/>
      <c r="K70" s="18">
        <f t="shared" si="16"/>
        <v>0</v>
      </c>
      <c r="L70" s="18">
        <f t="shared" si="3"/>
        <v>0</v>
      </c>
      <c r="M70" s="18"/>
      <c r="N70" s="18"/>
      <c r="O70" s="18"/>
      <c r="P70" s="18">
        <v>0</v>
      </c>
      <c r="Q70" s="18">
        <f t="shared" si="4"/>
        <v>0</v>
      </c>
      <c r="R70" s="20"/>
      <c r="S70" s="5">
        <f t="shared" si="6"/>
        <v>0</v>
      </c>
      <c r="T70" s="20"/>
      <c r="U70" s="18"/>
      <c r="V70" s="1" t="e">
        <f>(F70+N70+O70+P70+S70)/Q70</f>
        <v>#DIV/0!</v>
      </c>
      <c r="W70" s="18" t="e">
        <f>(F70+N70+O70+P70)/Q70</f>
        <v>#DIV/0!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 t="s">
        <v>62</v>
      </c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122</v>
      </c>
      <c r="B71" s="1" t="s">
        <v>43</v>
      </c>
      <c r="C71" s="1">
        <v>66</v>
      </c>
      <c r="D71" s="1">
        <v>176</v>
      </c>
      <c r="E71" s="1">
        <v>79</v>
      </c>
      <c r="F71" s="1">
        <v>107</v>
      </c>
      <c r="G71" s="7">
        <v>0.6</v>
      </c>
      <c r="H71" s="1">
        <v>55</v>
      </c>
      <c r="I71" s="16" t="s">
        <v>46</v>
      </c>
      <c r="J71" s="1">
        <v>168</v>
      </c>
      <c r="K71" s="1">
        <f t="shared" si="16"/>
        <v>-89</v>
      </c>
      <c r="L71" s="1">
        <f t="shared" ref="L71:L100" si="17">E71-M71</f>
        <v>79</v>
      </c>
      <c r="M71" s="1"/>
      <c r="N71" s="1">
        <v>40</v>
      </c>
      <c r="O71" s="1"/>
      <c r="P71" s="1">
        <v>9</v>
      </c>
      <c r="Q71" s="1">
        <f t="shared" ref="Q71:Q101" si="18">L71/5</f>
        <v>15.8</v>
      </c>
      <c r="R71" s="5">
        <f>11*Q71-P71-O71-N71-F71</f>
        <v>17.800000000000011</v>
      </c>
      <c r="S71" s="5">
        <f t="shared" ref="S71:S100" si="19">R71</f>
        <v>17.800000000000011</v>
      </c>
      <c r="T71" s="5"/>
      <c r="U71" s="1"/>
      <c r="V71" s="1">
        <f>(F71+N71+O71+P71+S71)/Q71</f>
        <v>11</v>
      </c>
      <c r="W71" s="1">
        <f>(F71+N71+O71+P71)/Q71</f>
        <v>9.8734177215189867</v>
      </c>
      <c r="X71" s="1">
        <v>19.399999999999999</v>
      </c>
      <c r="Y71" s="1">
        <v>33.6</v>
      </c>
      <c r="Z71" s="1">
        <v>26.4</v>
      </c>
      <c r="AA71" s="1">
        <v>19.8</v>
      </c>
      <c r="AB71" s="1">
        <v>19.399999999999999</v>
      </c>
      <c r="AC71" s="1">
        <v>17.600000000000001</v>
      </c>
      <c r="AD71" s="1">
        <v>23.8</v>
      </c>
      <c r="AE71" s="1">
        <v>31</v>
      </c>
      <c r="AF71" s="1">
        <v>30.2</v>
      </c>
      <c r="AG71" s="1">
        <v>19.2</v>
      </c>
      <c r="AH71" s="1" t="s">
        <v>123</v>
      </c>
      <c r="AI71" s="1">
        <f t="shared" ref="AI71:AI101" si="20">ROUND(G71*S71,0)</f>
        <v>11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8" t="s">
        <v>124</v>
      </c>
      <c r="B72" s="18" t="s">
        <v>43</v>
      </c>
      <c r="C72" s="18"/>
      <c r="D72" s="18"/>
      <c r="E72" s="18"/>
      <c r="F72" s="18"/>
      <c r="G72" s="19">
        <v>0</v>
      </c>
      <c r="H72" s="18">
        <v>40</v>
      </c>
      <c r="I72" s="18" t="s">
        <v>39</v>
      </c>
      <c r="J72" s="18"/>
      <c r="K72" s="18">
        <f t="shared" si="16"/>
        <v>0</v>
      </c>
      <c r="L72" s="18">
        <f t="shared" si="17"/>
        <v>0</v>
      </c>
      <c r="M72" s="18"/>
      <c r="N72" s="18"/>
      <c r="O72" s="18"/>
      <c r="P72" s="18">
        <v>0</v>
      </c>
      <c r="Q72" s="18">
        <f t="shared" si="18"/>
        <v>0</v>
      </c>
      <c r="R72" s="20"/>
      <c r="S72" s="5">
        <f t="shared" si="19"/>
        <v>0</v>
      </c>
      <c r="T72" s="20"/>
      <c r="U72" s="18"/>
      <c r="V72" s="1" t="e">
        <f>(F72+N72+O72+P72+S72)/Q72</f>
        <v>#DIV/0!</v>
      </c>
      <c r="W72" s="18" t="e">
        <f>(F72+N72+O72+P72)/Q72</f>
        <v>#DIV/0!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 t="s">
        <v>62</v>
      </c>
      <c r="AI72" s="1">
        <f t="shared" si="20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125</v>
      </c>
      <c r="B73" s="1" t="s">
        <v>43</v>
      </c>
      <c r="C73" s="1">
        <v>57</v>
      </c>
      <c r="D73" s="1">
        <v>142</v>
      </c>
      <c r="E73" s="1">
        <v>66</v>
      </c>
      <c r="F73" s="1">
        <v>112</v>
      </c>
      <c r="G73" s="7">
        <v>0.4</v>
      </c>
      <c r="H73" s="1">
        <v>50</v>
      </c>
      <c r="I73" s="1" t="s">
        <v>39</v>
      </c>
      <c r="J73" s="1">
        <v>74</v>
      </c>
      <c r="K73" s="1">
        <f t="shared" si="16"/>
        <v>-8</v>
      </c>
      <c r="L73" s="1">
        <f t="shared" si="17"/>
        <v>66</v>
      </c>
      <c r="M73" s="1"/>
      <c r="N73" s="1"/>
      <c r="O73" s="1"/>
      <c r="P73" s="1">
        <v>0</v>
      </c>
      <c r="Q73" s="1">
        <f t="shared" si="18"/>
        <v>13.2</v>
      </c>
      <c r="R73" s="5">
        <f t="shared" ref="R73" si="21">11*Q73-P73-O73-N73-F73</f>
        <v>33.199999999999989</v>
      </c>
      <c r="S73" s="5">
        <f t="shared" si="19"/>
        <v>33.199999999999989</v>
      </c>
      <c r="T73" s="5"/>
      <c r="U73" s="1"/>
      <c r="V73" s="1">
        <f>(F73+N73+O73+P73+S73)/Q73</f>
        <v>11</v>
      </c>
      <c r="W73" s="1">
        <f>(F73+N73+O73+P73)/Q73</f>
        <v>8.4848484848484844</v>
      </c>
      <c r="X73" s="1">
        <v>11.8</v>
      </c>
      <c r="Y73" s="1">
        <v>16</v>
      </c>
      <c r="Z73" s="1">
        <v>17.2</v>
      </c>
      <c r="AA73" s="1">
        <v>13.2</v>
      </c>
      <c r="AB73" s="1">
        <v>13</v>
      </c>
      <c r="AC73" s="1">
        <v>7.2</v>
      </c>
      <c r="AD73" s="1">
        <v>12</v>
      </c>
      <c r="AE73" s="1">
        <v>14.2</v>
      </c>
      <c r="AF73" s="1">
        <v>13.4</v>
      </c>
      <c r="AG73" s="1">
        <v>13.8</v>
      </c>
      <c r="AH73" s="1" t="s">
        <v>47</v>
      </c>
      <c r="AI73" s="1">
        <f t="shared" si="20"/>
        <v>13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6" t="s">
        <v>126</v>
      </c>
      <c r="B74" s="1" t="s">
        <v>43</v>
      </c>
      <c r="C74" s="1"/>
      <c r="D74" s="1"/>
      <c r="E74" s="1"/>
      <c r="F74" s="1"/>
      <c r="G74" s="7">
        <v>0.06</v>
      </c>
      <c r="H74" s="1">
        <v>60</v>
      </c>
      <c r="I74" s="1" t="s">
        <v>39</v>
      </c>
      <c r="J74" s="1"/>
      <c r="K74" s="1">
        <f t="shared" si="16"/>
        <v>0</v>
      </c>
      <c r="L74" s="1">
        <f t="shared" si="17"/>
        <v>0</v>
      </c>
      <c r="M74" s="1"/>
      <c r="N74" s="1"/>
      <c r="O74" s="1"/>
      <c r="P74" s="16"/>
      <c r="Q74" s="1">
        <f t="shared" si="18"/>
        <v>0</v>
      </c>
      <c r="R74" s="17">
        <v>10</v>
      </c>
      <c r="S74" s="5">
        <f t="shared" si="19"/>
        <v>10</v>
      </c>
      <c r="T74" s="5"/>
      <c r="U74" s="1"/>
      <c r="V74" s="1" t="e">
        <f>(F74+N74+O74+P74+S74)/Q74</f>
        <v>#DIV/0!</v>
      </c>
      <c r="W74" s="1" t="e">
        <f>(F74+N74+O74+P74)/Q74</f>
        <v>#DIV/0!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6" t="s">
        <v>127</v>
      </c>
      <c r="AI74" s="1">
        <f t="shared" si="20"/>
        <v>1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128</v>
      </c>
      <c r="B75" s="1" t="s">
        <v>43</v>
      </c>
      <c r="C75" s="1">
        <v>10</v>
      </c>
      <c r="D75" s="1">
        <v>15</v>
      </c>
      <c r="E75" s="1"/>
      <c r="F75" s="1">
        <v>15</v>
      </c>
      <c r="G75" s="7">
        <v>0.4</v>
      </c>
      <c r="H75" s="1">
        <v>55</v>
      </c>
      <c r="I75" s="1" t="s">
        <v>39</v>
      </c>
      <c r="J75" s="1"/>
      <c r="K75" s="1">
        <f t="shared" si="16"/>
        <v>0</v>
      </c>
      <c r="L75" s="1">
        <f t="shared" si="17"/>
        <v>0</v>
      </c>
      <c r="M75" s="1"/>
      <c r="N75" s="1"/>
      <c r="O75" s="1"/>
      <c r="P75" s="1">
        <v>0</v>
      </c>
      <c r="Q75" s="1">
        <f t="shared" si="18"/>
        <v>0</v>
      </c>
      <c r="R75" s="5"/>
      <c r="S75" s="5">
        <f t="shared" si="19"/>
        <v>0</v>
      </c>
      <c r="T75" s="5"/>
      <c r="U75" s="1"/>
      <c r="V75" s="1" t="e">
        <f>(F75+N75+O75+P75+S75)/Q75</f>
        <v>#DIV/0!</v>
      </c>
      <c r="W75" s="1" t="e">
        <f>(F75+N75+O75+P75)/Q75</f>
        <v>#DIV/0!</v>
      </c>
      <c r="X75" s="1">
        <v>0</v>
      </c>
      <c r="Y75" s="1">
        <v>0.2</v>
      </c>
      <c r="Z75" s="1">
        <v>0.2</v>
      </c>
      <c r="AA75" s="1">
        <v>1</v>
      </c>
      <c r="AB75" s="1">
        <v>1.2</v>
      </c>
      <c r="AC75" s="1">
        <v>0.8</v>
      </c>
      <c r="AD75" s="1">
        <v>0.6</v>
      </c>
      <c r="AE75" s="1">
        <v>0.2</v>
      </c>
      <c r="AF75" s="1">
        <v>0.4</v>
      </c>
      <c r="AG75" s="1">
        <v>1</v>
      </c>
      <c r="AH75" s="1"/>
      <c r="AI75" s="1">
        <f t="shared" si="20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129</v>
      </c>
      <c r="B76" s="1" t="s">
        <v>38</v>
      </c>
      <c r="C76" s="1">
        <v>11.57</v>
      </c>
      <c r="D76" s="1">
        <v>15.545999999999999</v>
      </c>
      <c r="E76" s="1">
        <v>8.3529999999999998</v>
      </c>
      <c r="F76" s="1">
        <v>18.763000000000002</v>
      </c>
      <c r="G76" s="7">
        <v>1</v>
      </c>
      <c r="H76" s="1">
        <v>55</v>
      </c>
      <c r="I76" s="1" t="s">
        <v>39</v>
      </c>
      <c r="J76" s="1">
        <v>7</v>
      </c>
      <c r="K76" s="1">
        <f t="shared" si="16"/>
        <v>1.3529999999999998</v>
      </c>
      <c r="L76" s="1">
        <f t="shared" si="17"/>
        <v>8.3529999999999998</v>
      </c>
      <c r="M76" s="1"/>
      <c r="N76" s="1"/>
      <c r="O76" s="1"/>
      <c r="P76" s="1">
        <v>0</v>
      </c>
      <c r="Q76" s="1">
        <f t="shared" si="18"/>
        <v>1.6705999999999999</v>
      </c>
      <c r="R76" s="5"/>
      <c r="S76" s="5">
        <f t="shared" si="19"/>
        <v>0</v>
      </c>
      <c r="T76" s="5"/>
      <c r="U76" s="1"/>
      <c r="V76" s="1">
        <f>(F76+N76+O76+P76+S76)/Q76</f>
        <v>11.231294145815877</v>
      </c>
      <c r="W76" s="1">
        <f>(F76+N76+O76+P76)/Q76</f>
        <v>11.231294145815877</v>
      </c>
      <c r="X76" s="1">
        <v>1.6706000000000001</v>
      </c>
      <c r="Y76" s="1">
        <v>0</v>
      </c>
      <c r="Z76" s="1">
        <v>0</v>
      </c>
      <c r="AA76" s="1">
        <v>1.4498</v>
      </c>
      <c r="AB76" s="1">
        <v>1.4498</v>
      </c>
      <c r="AC76" s="1">
        <v>0.28960000000000002</v>
      </c>
      <c r="AD76" s="1">
        <v>0.57840000000000003</v>
      </c>
      <c r="AE76" s="1">
        <v>0.2888</v>
      </c>
      <c r="AF76" s="1">
        <v>0.57579999999999998</v>
      </c>
      <c r="AG76" s="1">
        <v>0.28699999999999998</v>
      </c>
      <c r="AH76" s="1" t="s">
        <v>130</v>
      </c>
      <c r="AI76" s="1">
        <f t="shared" si="20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1" t="s">
        <v>131</v>
      </c>
      <c r="B77" s="11" t="s">
        <v>38</v>
      </c>
      <c r="C77" s="11">
        <v>133.476</v>
      </c>
      <c r="D77" s="11"/>
      <c r="E77" s="11">
        <v>68.844999999999999</v>
      </c>
      <c r="F77" s="11">
        <v>58.093000000000004</v>
      </c>
      <c r="G77" s="12">
        <v>0</v>
      </c>
      <c r="H77" s="11">
        <v>50</v>
      </c>
      <c r="I77" s="11" t="s">
        <v>44</v>
      </c>
      <c r="J77" s="11">
        <v>65.400000000000006</v>
      </c>
      <c r="K77" s="11">
        <f t="shared" si="16"/>
        <v>3.4449999999999932</v>
      </c>
      <c r="L77" s="11">
        <f t="shared" si="17"/>
        <v>68.844999999999999</v>
      </c>
      <c r="M77" s="11"/>
      <c r="N77" s="11"/>
      <c r="O77" s="11"/>
      <c r="P77" s="11">
        <v>0</v>
      </c>
      <c r="Q77" s="11">
        <f t="shared" si="18"/>
        <v>13.769</v>
      </c>
      <c r="R77" s="13"/>
      <c r="S77" s="5">
        <f t="shared" si="19"/>
        <v>0</v>
      </c>
      <c r="T77" s="13"/>
      <c r="U77" s="11"/>
      <c r="V77" s="1">
        <f>(F77+N77+O77+P77+S77)/Q77</f>
        <v>4.2191154041687851</v>
      </c>
      <c r="W77" s="11">
        <f>(F77+N77+O77+P77)/Q77</f>
        <v>4.2191154041687851</v>
      </c>
      <c r="X77" s="11">
        <v>12.1906</v>
      </c>
      <c r="Y77" s="11">
        <v>17.401</v>
      </c>
      <c r="Z77" s="11">
        <v>20.459199999999999</v>
      </c>
      <c r="AA77" s="11">
        <v>19.576000000000001</v>
      </c>
      <c r="AB77" s="11">
        <v>22.449000000000002</v>
      </c>
      <c r="AC77" s="11">
        <v>15.4742</v>
      </c>
      <c r="AD77" s="11">
        <v>13.44</v>
      </c>
      <c r="AE77" s="11">
        <v>18.978200000000001</v>
      </c>
      <c r="AF77" s="11">
        <v>18.136399999999998</v>
      </c>
      <c r="AG77" s="11">
        <v>10.0642</v>
      </c>
      <c r="AH77" s="14" t="s">
        <v>132</v>
      </c>
      <c r="AI77" s="1">
        <f t="shared" si="20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8" t="s">
        <v>133</v>
      </c>
      <c r="B78" s="18" t="s">
        <v>43</v>
      </c>
      <c r="C78" s="18"/>
      <c r="D78" s="18"/>
      <c r="E78" s="18"/>
      <c r="F78" s="18"/>
      <c r="G78" s="19">
        <v>0</v>
      </c>
      <c r="H78" s="18">
        <v>40</v>
      </c>
      <c r="I78" s="18" t="s">
        <v>39</v>
      </c>
      <c r="J78" s="18"/>
      <c r="K78" s="18">
        <f t="shared" si="16"/>
        <v>0</v>
      </c>
      <c r="L78" s="18">
        <f t="shared" si="17"/>
        <v>0</v>
      </c>
      <c r="M78" s="18"/>
      <c r="N78" s="18"/>
      <c r="O78" s="18"/>
      <c r="P78" s="18">
        <v>0</v>
      </c>
      <c r="Q78" s="18">
        <f t="shared" si="18"/>
        <v>0</v>
      </c>
      <c r="R78" s="20"/>
      <c r="S78" s="5">
        <f t="shared" si="19"/>
        <v>0</v>
      </c>
      <c r="T78" s="20"/>
      <c r="U78" s="18"/>
      <c r="V78" s="1" t="e">
        <f>(F78+N78+O78+P78+S78)/Q78</f>
        <v>#DIV/0!</v>
      </c>
      <c r="W78" s="18" t="e">
        <f>(F78+N78+O78+P78)/Q78</f>
        <v>#DIV/0!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 t="s">
        <v>134</v>
      </c>
      <c r="AI78" s="1">
        <f t="shared" si="20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135</v>
      </c>
      <c r="B79" s="1" t="s">
        <v>43</v>
      </c>
      <c r="C79" s="1">
        <v>10</v>
      </c>
      <c r="D79" s="1">
        <v>5</v>
      </c>
      <c r="E79" s="1">
        <v>13</v>
      </c>
      <c r="F79" s="1">
        <v>2</v>
      </c>
      <c r="G79" s="7">
        <v>0.2</v>
      </c>
      <c r="H79" s="1">
        <v>35</v>
      </c>
      <c r="I79" s="1" t="s">
        <v>39</v>
      </c>
      <c r="J79" s="1">
        <v>13</v>
      </c>
      <c r="K79" s="1">
        <f t="shared" si="16"/>
        <v>0</v>
      </c>
      <c r="L79" s="1">
        <f t="shared" si="17"/>
        <v>13</v>
      </c>
      <c r="M79" s="1"/>
      <c r="N79" s="1"/>
      <c r="O79" s="1"/>
      <c r="P79" s="1">
        <v>16.2</v>
      </c>
      <c r="Q79" s="1">
        <f t="shared" si="18"/>
        <v>2.6</v>
      </c>
      <c r="R79" s="5">
        <f t="shared" ref="R79" si="22">11*Q79-P79-O79-N79-F79</f>
        <v>10.400000000000002</v>
      </c>
      <c r="S79" s="5">
        <f t="shared" si="19"/>
        <v>10.400000000000002</v>
      </c>
      <c r="T79" s="5"/>
      <c r="U79" s="1"/>
      <c r="V79" s="1">
        <f>(F79+N79+O79+P79+S79)/Q79</f>
        <v>11</v>
      </c>
      <c r="W79" s="1">
        <f>(F79+N79+O79+P79)/Q79</f>
        <v>6.9999999999999991</v>
      </c>
      <c r="X79" s="1">
        <v>2.6</v>
      </c>
      <c r="Y79" s="1">
        <v>0.4</v>
      </c>
      <c r="Z79" s="1">
        <v>0.4</v>
      </c>
      <c r="AA79" s="1">
        <v>0</v>
      </c>
      <c r="AB79" s="1">
        <v>0</v>
      </c>
      <c r="AC79" s="1">
        <v>1.8</v>
      </c>
      <c r="AD79" s="1">
        <v>1.8</v>
      </c>
      <c r="AE79" s="1">
        <v>0</v>
      </c>
      <c r="AF79" s="1">
        <v>0</v>
      </c>
      <c r="AG79" s="1">
        <v>0</v>
      </c>
      <c r="AH79" s="1" t="s">
        <v>136</v>
      </c>
      <c r="AI79" s="1">
        <f t="shared" si="20"/>
        <v>2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137</v>
      </c>
      <c r="B80" s="1" t="s">
        <v>38</v>
      </c>
      <c r="C80" s="1">
        <v>1873.463</v>
      </c>
      <c r="D80" s="1">
        <v>4466.12</v>
      </c>
      <c r="E80" s="1">
        <v>2380.9760000000001</v>
      </c>
      <c r="F80" s="1">
        <v>3682.5230000000001</v>
      </c>
      <c r="G80" s="7">
        <v>1</v>
      </c>
      <c r="H80" s="1">
        <v>60</v>
      </c>
      <c r="I80" s="1" t="s">
        <v>39</v>
      </c>
      <c r="J80" s="1">
        <v>2342.56</v>
      </c>
      <c r="K80" s="1">
        <f t="shared" si="16"/>
        <v>38.416000000000167</v>
      </c>
      <c r="L80" s="1">
        <f t="shared" si="17"/>
        <v>1976.0260000000001</v>
      </c>
      <c r="M80" s="1">
        <v>404.95</v>
      </c>
      <c r="N80" s="1">
        <v>854.16779999999972</v>
      </c>
      <c r="O80" s="1"/>
      <c r="P80" s="1">
        <v>0</v>
      </c>
      <c r="Q80" s="1">
        <f t="shared" si="18"/>
        <v>395.20519999999999</v>
      </c>
      <c r="R80" s="5"/>
      <c r="S80" s="5">
        <f t="shared" si="19"/>
        <v>0</v>
      </c>
      <c r="T80" s="5"/>
      <c r="U80" s="1"/>
      <c r="V80" s="1">
        <f>(F80+N80+O80+P80+S80)/Q80</f>
        <v>11.479329725418594</v>
      </c>
      <c r="W80" s="1">
        <f>(F80+N80+O80+P80)/Q80</f>
        <v>11.479329725418594</v>
      </c>
      <c r="X80" s="1">
        <v>385.33859999999999</v>
      </c>
      <c r="Y80" s="1">
        <v>527.70839999999998</v>
      </c>
      <c r="Z80" s="1">
        <v>533.19940000000008</v>
      </c>
      <c r="AA80" s="1">
        <v>391.99459999999999</v>
      </c>
      <c r="AB80" s="1">
        <v>409.6884</v>
      </c>
      <c r="AC80" s="1">
        <v>348.62119999999999</v>
      </c>
      <c r="AD80" s="1">
        <v>432.40300000000002</v>
      </c>
      <c r="AE80" s="1">
        <v>542.8972</v>
      </c>
      <c r="AF80" s="1">
        <v>477.96379999999999</v>
      </c>
      <c r="AG80" s="1">
        <v>330.61559999999997</v>
      </c>
      <c r="AH80" s="1" t="s">
        <v>64</v>
      </c>
      <c r="AI80" s="1">
        <f t="shared" si="20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138</v>
      </c>
      <c r="B81" s="1" t="s">
        <v>38</v>
      </c>
      <c r="C81" s="1">
        <v>450.82799999999997</v>
      </c>
      <c r="D81" s="1">
        <v>2773.72</v>
      </c>
      <c r="E81" s="1">
        <v>1342.857</v>
      </c>
      <c r="F81" s="1">
        <v>1660.402</v>
      </c>
      <c r="G81" s="7">
        <v>1</v>
      </c>
      <c r="H81" s="1">
        <v>60</v>
      </c>
      <c r="I81" s="1" t="s">
        <v>39</v>
      </c>
      <c r="J81" s="1">
        <v>1356.825</v>
      </c>
      <c r="K81" s="1">
        <f t="shared" si="16"/>
        <v>-13.968000000000075</v>
      </c>
      <c r="L81" s="1">
        <f t="shared" si="17"/>
        <v>838.00699999999995</v>
      </c>
      <c r="M81" s="1">
        <v>504.85</v>
      </c>
      <c r="N81" s="1">
        <v>366.99200000000042</v>
      </c>
      <c r="O81" s="1"/>
      <c r="P81" s="1">
        <v>0</v>
      </c>
      <c r="Q81" s="1">
        <f t="shared" si="18"/>
        <v>167.60139999999998</v>
      </c>
      <c r="R81" s="5"/>
      <c r="S81" s="5">
        <f t="shared" si="19"/>
        <v>0</v>
      </c>
      <c r="T81" s="5"/>
      <c r="U81" s="1"/>
      <c r="V81" s="1">
        <f>(F81+N81+O81+P81+S81)/Q81</f>
        <v>12.096521866762453</v>
      </c>
      <c r="W81" s="1">
        <f>(F81+N81+O81+P81)/Q81</f>
        <v>12.096521866762453</v>
      </c>
      <c r="X81" s="1">
        <v>175.3792</v>
      </c>
      <c r="Y81" s="1">
        <v>233.99199999999999</v>
      </c>
      <c r="Z81" s="1">
        <v>239.4606</v>
      </c>
      <c r="AA81" s="1">
        <v>231.31639999999999</v>
      </c>
      <c r="AB81" s="1">
        <v>176.95740000000001</v>
      </c>
      <c r="AC81" s="1">
        <v>193.71940000000001</v>
      </c>
      <c r="AD81" s="1">
        <v>147.5848</v>
      </c>
      <c r="AE81" s="1">
        <v>153.77279999999999</v>
      </c>
      <c r="AF81" s="1">
        <v>228.53399999999999</v>
      </c>
      <c r="AG81" s="1">
        <v>159.21940000000001</v>
      </c>
      <c r="AH81" s="1" t="s">
        <v>68</v>
      </c>
      <c r="AI81" s="1">
        <f t="shared" si="20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1" t="s">
        <v>139</v>
      </c>
      <c r="B82" s="11" t="s">
        <v>38</v>
      </c>
      <c r="C82" s="11">
        <v>-2.6030000000000002</v>
      </c>
      <c r="D82" s="11">
        <v>2.6030000000000002</v>
      </c>
      <c r="E82" s="11"/>
      <c r="F82" s="11"/>
      <c r="G82" s="12">
        <v>0</v>
      </c>
      <c r="H82" s="11" t="e">
        <v>#N/A</v>
      </c>
      <c r="I82" s="11" t="s">
        <v>44</v>
      </c>
      <c r="J82" s="11"/>
      <c r="K82" s="11">
        <f t="shared" si="16"/>
        <v>0</v>
      </c>
      <c r="L82" s="11">
        <f t="shared" si="17"/>
        <v>0</v>
      </c>
      <c r="M82" s="11"/>
      <c r="N82" s="11"/>
      <c r="O82" s="11"/>
      <c r="P82" s="11">
        <v>0</v>
      </c>
      <c r="Q82" s="11">
        <f t="shared" si="18"/>
        <v>0</v>
      </c>
      <c r="R82" s="13"/>
      <c r="S82" s="5">
        <f t="shared" si="19"/>
        <v>0</v>
      </c>
      <c r="T82" s="13"/>
      <c r="U82" s="11"/>
      <c r="V82" s="1" t="e">
        <f>(F82+N82+O82+P82+S82)/Q82</f>
        <v>#DIV/0!</v>
      </c>
      <c r="W82" s="11" t="e">
        <f>(F82+N82+O82+P82)/Q82</f>
        <v>#DIV/0!</v>
      </c>
      <c r="X82" s="11">
        <v>0</v>
      </c>
      <c r="Y82" s="11">
        <v>0.52060000000000006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/>
      <c r="AI82" s="1">
        <f t="shared" si="20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140</v>
      </c>
      <c r="B83" s="1" t="s">
        <v>38</v>
      </c>
      <c r="C83" s="1">
        <v>1223.1489999999999</v>
      </c>
      <c r="D83" s="1">
        <v>1707.029</v>
      </c>
      <c r="E83" s="1">
        <v>1453.615</v>
      </c>
      <c r="F83" s="1">
        <v>1116.2739999999999</v>
      </c>
      <c r="G83" s="7">
        <v>1</v>
      </c>
      <c r="H83" s="1">
        <v>60</v>
      </c>
      <c r="I83" s="1" t="s">
        <v>39</v>
      </c>
      <c r="J83" s="1">
        <v>2038.1220000000001</v>
      </c>
      <c r="K83" s="1">
        <f t="shared" si="16"/>
        <v>-584.50700000000006</v>
      </c>
      <c r="L83" s="1">
        <f t="shared" si="17"/>
        <v>1453.615</v>
      </c>
      <c r="M83" s="1"/>
      <c r="N83" s="1">
        <v>1133.3689999999999</v>
      </c>
      <c r="O83" s="1">
        <v>300</v>
      </c>
      <c r="P83" s="1">
        <v>398.64740000000012</v>
      </c>
      <c r="Q83" s="1">
        <f t="shared" si="18"/>
        <v>290.72300000000001</v>
      </c>
      <c r="R83" s="5">
        <f t="shared" ref="R83:R96" si="23">11*Q83-P83-O83-N83-F83</f>
        <v>249.66259999999988</v>
      </c>
      <c r="S83" s="5">
        <f>R83</f>
        <v>249.66259999999988</v>
      </c>
      <c r="T83" s="5"/>
      <c r="U83" s="1"/>
      <c r="V83" s="1">
        <f>(F83+N83+O83+P83+S83)/Q83</f>
        <v>11.000000000000002</v>
      </c>
      <c r="W83" s="1">
        <f>(F83+N83+O83+P83)/Q83</f>
        <v>10.141235471565718</v>
      </c>
      <c r="X83" s="1">
        <v>297.3904</v>
      </c>
      <c r="Y83" s="1">
        <v>298.51600000000002</v>
      </c>
      <c r="Z83" s="1">
        <v>258.31079999999997</v>
      </c>
      <c r="AA83" s="1">
        <v>164.2698</v>
      </c>
      <c r="AB83" s="1">
        <v>181.83359999999999</v>
      </c>
      <c r="AC83" s="1">
        <v>178.24760000000001</v>
      </c>
      <c r="AD83" s="1">
        <v>131.71719999999999</v>
      </c>
      <c r="AE83" s="1">
        <v>139.10040000000001</v>
      </c>
      <c r="AF83" s="1">
        <v>169.86619999999999</v>
      </c>
      <c r="AG83" s="1">
        <v>143.18100000000001</v>
      </c>
      <c r="AH83" s="1" t="s">
        <v>141</v>
      </c>
      <c r="AI83" s="1">
        <f t="shared" si="20"/>
        <v>250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142</v>
      </c>
      <c r="B84" s="1" t="s">
        <v>38</v>
      </c>
      <c r="C84" s="1">
        <v>637.26800000000003</v>
      </c>
      <c r="D84" s="1">
        <v>3065.3240000000001</v>
      </c>
      <c r="E84" s="1">
        <v>2299.06</v>
      </c>
      <c r="F84" s="1">
        <v>1287.73</v>
      </c>
      <c r="G84" s="7">
        <v>1</v>
      </c>
      <c r="H84" s="1">
        <v>60</v>
      </c>
      <c r="I84" s="1" t="s">
        <v>39</v>
      </c>
      <c r="J84" s="1">
        <v>3406.4780000000001</v>
      </c>
      <c r="K84" s="1">
        <f t="shared" si="16"/>
        <v>-1107.4180000000001</v>
      </c>
      <c r="L84" s="1">
        <f t="shared" si="17"/>
        <v>884.38400000000001</v>
      </c>
      <c r="M84" s="1">
        <v>1414.6759999999999</v>
      </c>
      <c r="N84" s="1">
        <v>1134.816</v>
      </c>
      <c r="O84" s="1"/>
      <c r="P84" s="1">
        <v>0</v>
      </c>
      <c r="Q84" s="1">
        <f t="shared" si="18"/>
        <v>176.8768</v>
      </c>
      <c r="R84" s="5"/>
      <c r="S84" s="5">
        <f t="shared" si="19"/>
        <v>0</v>
      </c>
      <c r="T84" s="5"/>
      <c r="U84" s="1"/>
      <c r="V84" s="1">
        <f>(F84+N84+O84+P84+S84)/Q84</f>
        <v>13.696233762709413</v>
      </c>
      <c r="W84" s="1">
        <f>(F84+N84+O84+P84)/Q84</f>
        <v>13.696233762709413</v>
      </c>
      <c r="X84" s="1">
        <v>131.86940000000001</v>
      </c>
      <c r="Y84" s="1">
        <v>350.85899999999998</v>
      </c>
      <c r="Z84" s="1">
        <v>321.74360000000001</v>
      </c>
      <c r="AA84" s="1">
        <v>675.32060000000001</v>
      </c>
      <c r="AB84" s="1">
        <v>735.18680000000006</v>
      </c>
      <c r="AC84" s="1">
        <v>514.34320000000002</v>
      </c>
      <c r="AD84" s="1">
        <v>549.89760000000001</v>
      </c>
      <c r="AE84" s="1">
        <v>591.75459999999998</v>
      </c>
      <c r="AF84" s="1">
        <v>640.66300000000001</v>
      </c>
      <c r="AG84" s="1">
        <v>493.75119999999998</v>
      </c>
      <c r="AH84" s="14" t="s">
        <v>143</v>
      </c>
      <c r="AI84" s="1">
        <f t="shared" si="20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144</v>
      </c>
      <c r="B85" s="1" t="s">
        <v>38</v>
      </c>
      <c r="C85" s="1">
        <v>1.3320000000000001</v>
      </c>
      <c r="D85" s="1">
        <v>32.24</v>
      </c>
      <c r="E85" s="1">
        <v>5.3579999999999997</v>
      </c>
      <c r="F85" s="1">
        <v>28.213999999999999</v>
      </c>
      <c r="G85" s="7">
        <v>1</v>
      </c>
      <c r="H85" s="1">
        <v>55</v>
      </c>
      <c r="I85" s="1" t="s">
        <v>39</v>
      </c>
      <c r="J85" s="1">
        <v>9.1</v>
      </c>
      <c r="K85" s="1">
        <f t="shared" si="16"/>
        <v>-3.742</v>
      </c>
      <c r="L85" s="1">
        <f t="shared" si="17"/>
        <v>5.3579999999999997</v>
      </c>
      <c r="M85" s="1"/>
      <c r="N85" s="1"/>
      <c r="O85" s="1"/>
      <c r="P85" s="1">
        <v>0</v>
      </c>
      <c r="Q85" s="1">
        <f t="shared" si="18"/>
        <v>1.0715999999999999</v>
      </c>
      <c r="R85" s="5"/>
      <c r="S85" s="5">
        <f t="shared" si="19"/>
        <v>0</v>
      </c>
      <c r="T85" s="5"/>
      <c r="U85" s="1"/>
      <c r="V85" s="1">
        <f>(F85+N85+O85+P85+S85)/Q85</f>
        <v>26.328854050018666</v>
      </c>
      <c r="W85" s="1">
        <f>(F85+N85+O85+P85)/Q85</f>
        <v>26.328854050018666</v>
      </c>
      <c r="X85" s="1">
        <v>1.0716000000000001</v>
      </c>
      <c r="Y85" s="1">
        <v>1.0642</v>
      </c>
      <c r="Z85" s="1">
        <v>1.6112</v>
      </c>
      <c r="AA85" s="1">
        <v>0.8146000000000001</v>
      </c>
      <c r="AB85" s="1">
        <v>0.8103999999999999</v>
      </c>
      <c r="AC85" s="1">
        <v>0.8156000000000001</v>
      </c>
      <c r="AD85" s="1">
        <v>0.27279999999999999</v>
      </c>
      <c r="AE85" s="1">
        <v>0.27179999999999999</v>
      </c>
      <c r="AF85" s="1">
        <v>0.27179999999999999</v>
      </c>
      <c r="AG85" s="1">
        <v>0.27</v>
      </c>
      <c r="AH85" s="14" t="s">
        <v>145</v>
      </c>
      <c r="AI85" s="1">
        <f t="shared" si="20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146</v>
      </c>
      <c r="B86" s="1" t="s">
        <v>38</v>
      </c>
      <c r="C86" s="1">
        <v>4.0419999999999998</v>
      </c>
      <c r="D86" s="1">
        <v>43.12</v>
      </c>
      <c r="E86" s="1">
        <v>5.4080000000000004</v>
      </c>
      <c r="F86" s="1">
        <v>40.408999999999999</v>
      </c>
      <c r="G86" s="7">
        <v>1</v>
      </c>
      <c r="H86" s="1">
        <v>55</v>
      </c>
      <c r="I86" s="1" t="s">
        <v>39</v>
      </c>
      <c r="J86" s="1">
        <v>6.5</v>
      </c>
      <c r="K86" s="1">
        <f t="shared" si="16"/>
        <v>-1.0919999999999996</v>
      </c>
      <c r="L86" s="1">
        <f t="shared" si="17"/>
        <v>5.4080000000000004</v>
      </c>
      <c r="M86" s="1"/>
      <c r="N86" s="1"/>
      <c r="O86" s="1"/>
      <c r="P86" s="1">
        <v>0</v>
      </c>
      <c r="Q86" s="1">
        <f t="shared" si="18"/>
        <v>1.0816000000000001</v>
      </c>
      <c r="R86" s="5"/>
      <c r="S86" s="5">
        <f t="shared" si="19"/>
        <v>0</v>
      </c>
      <c r="T86" s="5"/>
      <c r="U86" s="1"/>
      <c r="V86" s="1">
        <f>(F86+N86+O86+P86+S86)/Q86</f>
        <v>37.360392011834314</v>
      </c>
      <c r="W86" s="1">
        <f>(F86+N86+O86+P86)/Q86</f>
        <v>37.360392011834314</v>
      </c>
      <c r="X86" s="1">
        <v>1.0786</v>
      </c>
      <c r="Y86" s="1">
        <v>1.6180000000000001</v>
      </c>
      <c r="Z86" s="1">
        <v>3.4996</v>
      </c>
      <c r="AA86" s="1">
        <v>4.0282</v>
      </c>
      <c r="AB86" s="1">
        <v>2.1478000000000002</v>
      </c>
      <c r="AC86" s="1">
        <v>0.2702</v>
      </c>
      <c r="AD86" s="1">
        <v>1.0928</v>
      </c>
      <c r="AE86" s="1">
        <v>2.1669999999999998</v>
      </c>
      <c r="AF86" s="1">
        <v>1.88</v>
      </c>
      <c r="AG86" s="1">
        <v>0.27100000000000002</v>
      </c>
      <c r="AH86" s="14" t="s">
        <v>147</v>
      </c>
      <c r="AI86" s="1">
        <f t="shared" si="20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148</v>
      </c>
      <c r="B87" s="1" t="s">
        <v>38</v>
      </c>
      <c r="C87" s="1">
        <v>13.404999999999999</v>
      </c>
      <c r="D87" s="1">
        <v>2.6160000000000001</v>
      </c>
      <c r="E87" s="1">
        <v>1.36</v>
      </c>
      <c r="F87" s="1">
        <v>6.7759999999999998</v>
      </c>
      <c r="G87" s="7">
        <v>1</v>
      </c>
      <c r="H87" s="1">
        <v>55</v>
      </c>
      <c r="I87" s="1" t="s">
        <v>39</v>
      </c>
      <c r="J87" s="1">
        <v>2.2999999999999998</v>
      </c>
      <c r="K87" s="1">
        <f t="shared" si="16"/>
        <v>-0.93999999999999972</v>
      </c>
      <c r="L87" s="1">
        <f t="shared" si="17"/>
        <v>1.36</v>
      </c>
      <c r="M87" s="1"/>
      <c r="N87" s="1"/>
      <c r="O87" s="1"/>
      <c r="P87" s="1">
        <v>0</v>
      </c>
      <c r="Q87" s="1">
        <f t="shared" si="18"/>
        <v>0.27200000000000002</v>
      </c>
      <c r="R87" s="5"/>
      <c r="S87" s="5">
        <f t="shared" si="19"/>
        <v>0</v>
      </c>
      <c r="T87" s="5"/>
      <c r="U87" s="1"/>
      <c r="V87" s="1">
        <f>(F87+N87+O87+P87+S87)/Q87</f>
        <v>24.911764705882351</v>
      </c>
      <c r="W87" s="1">
        <f>(F87+N87+O87+P87)/Q87</f>
        <v>24.911764705882351</v>
      </c>
      <c r="X87" s="1">
        <v>0.54200000000000004</v>
      </c>
      <c r="Y87" s="1">
        <v>0.8076000000000001</v>
      </c>
      <c r="Z87" s="1">
        <v>0.53760000000000008</v>
      </c>
      <c r="AA87" s="1">
        <v>0.187</v>
      </c>
      <c r="AB87" s="1">
        <v>0.45600000000000002</v>
      </c>
      <c r="AC87" s="1">
        <v>0.53579999999999994</v>
      </c>
      <c r="AD87" s="1">
        <v>0.26679999999999998</v>
      </c>
      <c r="AE87" s="1">
        <v>0.26600000000000001</v>
      </c>
      <c r="AF87" s="1">
        <v>0.53200000000000003</v>
      </c>
      <c r="AG87" s="1">
        <v>0.53099999999999992</v>
      </c>
      <c r="AH87" s="14" t="s">
        <v>149</v>
      </c>
      <c r="AI87" s="1">
        <f t="shared" si="20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150</v>
      </c>
      <c r="B88" s="1" t="s">
        <v>38</v>
      </c>
      <c r="C88" s="1">
        <v>34.265999999999998</v>
      </c>
      <c r="D88" s="1">
        <v>84.111000000000004</v>
      </c>
      <c r="E88" s="1"/>
      <c r="F88" s="1">
        <v>117.583</v>
      </c>
      <c r="G88" s="7">
        <v>1</v>
      </c>
      <c r="H88" s="1">
        <v>60</v>
      </c>
      <c r="I88" s="1" t="s">
        <v>39</v>
      </c>
      <c r="J88" s="1">
        <v>2.4</v>
      </c>
      <c r="K88" s="1">
        <f t="shared" si="16"/>
        <v>-2.4</v>
      </c>
      <c r="L88" s="1">
        <f t="shared" si="17"/>
        <v>0</v>
      </c>
      <c r="M88" s="1"/>
      <c r="N88" s="1">
        <v>23.054600000000001</v>
      </c>
      <c r="O88" s="1"/>
      <c r="P88" s="1">
        <v>0</v>
      </c>
      <c r="Q88" s="1">
        <f t="shared" si="18"/>
        <v>0</v>
      </c>
      <c r="R88" s="5"/>
      <c r="S88" s="5">
        <f t="shared" si="19"/>
        <v>0</v>
      </c>
      <c r="T88" s="5"/>
      <c r="U88" s="1"/>
      <c r="V88" s="1" t="e">
        <f>(F88+N88+O88+P88+S88)/Q88</f>
        <v>#DIV/0!</v>
      </c>
      <c r="W88" s="1" t="e">
        <f>(F88+N88+O88+P88)/Q88</f>
        <v>#DIV/0!</v>
      </c>
      <c r="X88" s="1">
        <v>0.1588</v>
      </c>
      <c r="Y88" s="1">
        <v>12.1892</v>
      </c>
      <c r="Z88" s="1">
        <v>12.1904</v>
      </c>
      <c r="AA88" s="1">
        <v>8.9773999999999994</v>
      </c>
      <c r="AB88" s="1">
        <v>8.817400000000001</v>
      </c>
      <c r="AC88" s="1">
        <v>3.0908000000000002</v>
      </c>
      <c r="AD88" s="1">
        <v>3.4098000000000002</v>
      </c>
      <c r="AE88" s="1">
        <v>0.48060000000000003</v>
      </c>
      <c r="AF88" s="1">
        <v>0.48459999999999998</v>
      </c>
      <c r="AG88" s="1">
        <v>8.7010000000000005</v>
      </c>
      <c r="AH88" s="15" t="s">
        <v>171</v>
      </c>
      <c r="AI88" s="1">
        <f t="shared" si="20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151</v>
      </c>
      <c r="B89" s="1" t="s">
        <v>43</v>
      </c>
      <c r="C89" s="1">
        <v>36</v>
      </c>
      <c r="D89" s="1"/>
      <c r="E89" s="1">
        <v>14</v>
      </c>
      <c r="F89" s="1">
        <v>13</v>
      </c>
      <c r="G89" s="7">
        <v>0.3</v>
      </c>
      <c r="H89" s="1">
        <v>40</v>
      </c>
      <c r="I89" s="1" t="s">
        <v>39</v>
      </c>
      <c r="J89" s="1">
        <v>17</v>
      </c>
      <c r="K89" s="1">
        <f t="shared" si="16"/>
        <v>-3</v>
      </c>
      <c r="L89" s="1">
        <f t="shared" si="17"/>
        <v>14</v>
      </c>
      <c r="M89" s="1"/>
      <c r="N89" s="1"/>
      <c r="O89" s="1"/>
      <c r="P89" s="1">
        <v>14</v>
      </c>
      <c r="Q89" s="1">
        <f t="shared" si="18"/>
        <v>2.8</v>
      </c>
      <c r="R89" s="5">
        <v>6</v>
      </c>
      <c r="S89" s="5">
        <f t="shared" si="19"/>
        <v>6</v>
      </c>
      <c r="T89" s="5"/>
      <c r="U89" s="1"/>
      <c r="V89" s="1">
        <f>(F89+N89+O89+P89+S89)/Q89</f>
        <v>11.785714285714286</v>
      </c>
      <c r="W89" s="1">
        <f>(F89+N89+O89+P89)/Q89</f>
        <v>9.6428571428571441</v>
      </c>
      <c r="X89" s="1">
        <v>3</v>
      </c>
      <c r="Y89" s="1">
        <v>2.2000000000000002</v>
      </c>
      <c r="Z89" s="1">
        <v>2.2000000000000002</v>
      </c>
      <c r="AA89" s="1">
        <v>2.8</v>
      </c>
      <c r="AB89" s="1">
        <v>3.2</v>
      </c>
      <c r="AC89" s="1">
        <v>2.8</v>
      </c>
      <c r="AD89" s="1">
        <v>2.2000000000000002</v>
      </c>
      <c r="AE89" s="1">
        <v>1.6</v>
      </c>
      <c r="AF89" s="1">
        <v>2.2000000000000002</v>
      </c>
      <c r="AG89" s="1">
        <v>1</v>
      </c>
      <c r="AH89" s="1"/>
      <c r="AI89" s="1">
        <f t="shared" si="20"/>
        <v>2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152</v>
      </c>
      <c r="B90" s="1" t="s">
        <v>43</v>
      </c>
      <c r="C90" s="1">
        <v>21</v>
      </c>
      <c r="D90" s="1">
        <v>33</v>
      </c>
      <c r="E90" s="1">
        <v>12</v>
      </c>
      <c r="F90" s="1">
        <v>30</v>
      </c>
      <c r="G90" s="7">
        <v>0.3</v>
      </c>
      <c r="H90" s="1">
        <v>40</v>
      </c>
      <c r="I90" s="1" t="s">
        <v>39</v>
      </c>
      <c r="J90" s="1">
        <v>24</v>
      </c>
      <c r="K90" s="1">
        <f t="shared" si="16"/>
        <v>-12</v>
      </c>
      <c r="L90" s="1">
        <f t="shared" si="17"/>
        <v>12</v>
      </c>
      <c r="M90" s="1"/>
      <c r="N90" s="1"/>
      <c r="O90" s="1"/>
      <c r="P90" s="1">
        <v>0</v>
      </c>
      <c r="Q90" s="1">
        <f t="shared" si="18"/>
        <v>2.4</v>
      </c>
      <c r="R90" s="5"/>
      <c r="S90" s="5">
        <f t="shared" si="19"/>
        <v>0</v>
      </c>
      <c r="T90" s="5"/>
      <c r="U90" s="1"/>
      <c r="V90" s="1">
        <f>(F90+N90+O90+P90+S90)/Q90</f>
        <v>12.5</v>
      </c>
      <c r="W90" s="1">
        <f>(F90+N90+O90+P90)/Q90</f>
        <v>12.5</v>
      </c>
      <c r="X90" s="1">
        <v>2.4</v>
      </c>
      <c r="Y90" s="1">
        <v>1.4</v>
      </c>
      <c r="Z90" s="1">
        <v>1.6</v>
      </c>
      <c r="AA90" s="1">
        <v>1.6</v>
      </c>
      <c r="AB90" s="1">
        <v>2</v>
      </c>
      <c r="AC90" s="1">
        <v>2.4</v>
      </c>
      <c r="AD90" s="1">
        <v>2.4</v>
      </c>
      <c r="AE90" s="1">
        <v>1.4</v>
      </c>
      <c r="AF90" s="1">
        <v>2</v>
      </c>
      <c r="AG90" s="1">
        <v>0.8</v>
      </c>
      <c r="AH90" s="1" t="s">
        <v>153</v>
      </c>
      <c r="AI90" s="1">
        <f t="shared" si="20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154</v>
      </c>
      <c r="B91" s="1" t="s">
        <v>43</v>
      </c>
      <c r="C91" s="1">
        <v>79</v>
      </c>
      <c r="D91" s="1">
        <v>78</v>
      </c>
      <c r="E91" s="1">
        <v>75</v>
      </c>
      <c r="F91" s="1">
        <v>43</v>
      </c>
      <c r="G91" s="7">
        <v>0.3</v>
      </c>
      <c r="H91" s="1">
        <v>40</v>
      </c>
      <c r="I91" s="1" t="s">
        <v>39</v>
      </c>
      <c r="J91" s="1">
        <v>93</v>
      </c>
      <c r="K91" s="1">
        <f t="shared" si="16"/>
        <v>-18</v>
      </c>
      <c r="L91" s="1">
        <f t="shared" si="17"/>
        <v>75</v>
      </c>
      <c r="M91" s="1"/>
      <c r="N91" s="1"/>
      <c r="O91" s="1"/>
      <c r="P91" s="1">
        <v>87.5</v>
      </c>
      <c r="Q91" s="1">
        <f t="shared" si="18"/>
        <v>15</v>
      </c>
      <c r="R91" s="5">
        <f t="shared" si="23"/>
        <v>34.5</v>
      </c>
      <c r="S91" s="5">
        <f t="shared" si="19"/>
        <v>34.5</v>
      </c>
      <c r="T91" s="5"/>
      <c r="U91" s="1"/>
      <c r="V91" s="1">
        <f>(F91+N91+O91+P91+S91)/Q91</f>
        <v>11</v>
      </c>
      <c r="W91" s="1">
        <f>(F91+N91+O91+P91)/Q91</f>
        <v>8.6999999999999993</v>
      </c>
      <c r="X91" s="1">
        <v>15</v>
      </c>
      <c r="Y91" s="1">
        <v>9</v>
      </c>
      <c r="Z91" s="1">
        <v>9.1999999999999993</v>
      </c>
      <c r="AA91" s="1">
        <v>13.4</v>
      </c>
      <c r="AB91" s="1">
        <v>12.4</v>
      </c>
      <c r="AC91" s="1">
        <v>13.8</v>
      </c>
      <c r="AD91" s="1">
        <v>17.399999999999999</v>
      </c>
      <c r="AE91" s="1">
        <v>14.4</v>
      </c>
      <c r="AF91" s="1">
        <v>15.4</v>
      </c>
      <c r="AG91" s="1">
        <v>13.4</v>
      </c>
      <c r="AH91" s="1"/>
      <c r="AI91" s="1">
        <f t="shared" si="20"/>
        <v>10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155</v>
      </c>
      <c r="B92" s="1" t="s">
        <v>38</v>
      </c>
      <c r="C92" s="1"/>
      <c r="D92" s="1">
        <v>21.6</v>
      </c>
      <c r="E92" s="1"/>
      <c r="F92" s="1">
        <v>21.6</v>
      </c>
      <c r="G92" s="7">
        <v>1</v>
      </c>
      <c r="H92" s="1">
        <v>50</v>
      </c>
      <c r="I92" s="1" t="s">
        <v>39</v>
      </c>
      <c r="J92" s="1"/>
      <c r="K92" s="1">
        <f t="shared" si="16"/>
        <v>0</v>
      </c>
      <c r="L92" s="1">
        <f t="shared" si="17"/>
        <v>0</v>
      </c>
      <c r="M92" s="1"/>
      <c r="N92" s="1"/>
      <c r="O92" s="1"/>
      <c r="P92" s="1">
        <v>0</v>
      </c>
      <c r="Q92" s="1">
        <f t="shared" si="18"/>
        <v>0</v>
      </c>
      <c r="R92" s="5"/>
      <c r="S92" s="5">
        <f t="shared" si="19"/>
        <v>0</v>
      </c>
      <c r="T92" s="5"/>
      <c r="U92" s="1"/>
      <c r="V92" s="1" t="e">
        <f>(F92+N92+O92+P92+S92)/Q92</f>
        <v>#DIV/0!</v>
      </c>
      <c r="W92" s="1" t="e">
        <f>(F92+N92+O92+P92)/Q92</f>
        <v>#DIV/0!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 t="s">
        <v>52</v>
      </c>
      <c r="AI92" s="1">
        <f t="shared" si="20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157</v>
      </c>
      <c r="B93" s="1" t="s">
        <v>38</v>
      </c>
      <c r="C93" s="1">
        <v>10365.418</v>
      </c>
      <c r="D93" s="1">
        <v>409.411</v>
      </c>
      <c r="E93" s="1">
        <v>3817.0239999999999</v>
      </c>
      <c r="F93" s="1">
        <v>6294.34</v>
      </c>
      <c r="G93" s="7">
        <v>1</v>
      </c>
      <c r="H93" s="1">
        <v>40</v>
      </c>
      <c r="I93" s="1" t="s">
        <v>39</v>
      </c>
      <c r="J93" s="1">
        <v>3530.82</v>
      </c>
      <c r="K93" s="1">
        <f t="shared" si="16"/>
        <v>286.20399999999972</v>
      </c>
      <c r="L93" s="1">
        <f t="shared" si="17"/>
        <v>3732.9859999999999</v>
      </c>
      <c r="M93" s="1">
        <v>84.037999999999997</v>
      </c>
      <c r="N93" s="1"/>
      <c r="O93" s="1">
        <v>390</v>
      </c>
      <c r="P93" s="1">
        <v>658.44420000000036</v>
      </c>
      <c r="Q93" s="1">
        <f t="shared" si="18"/>
        <v>746.59719999999993</v>
      </c>
      <c r="R93" s="5">
        <f t="shared" si="23"/>
        <v>869.78499999999985</v>
      </c>
      <c r="S93" s="5">
        <f>R93</f>
        <v>869.78499999999985</v>
      </c>
      <c r="T93" s="5"/>
      <c r="U93" s="1"/>
      <c r="V93" s="1">
        <f>(F93+N93+O93+P93+S93)/Q93</f>
        <v>11.000000000000002</v>
      </c>
      <c r="W93" s="1">
        <f>(F93+N93+O93+P93)/Q93</f>
        <v>9.835000988484822</v>
      </c>
      <c r="X93" s="1">
        <v>732.85320000000002</v>
      </c>
      <c r="Y93" s="1">
        <v>833.77319999999997</v>
      </c>
      <c r="Z93" s="1">
        <v>852.93179999999995</v>
      </c>
      <c r="AA93" s="1">
        <v>1290.4069999999999</v>
      </c>
      <c r="AB93" s="1">
        <v>1456.4558</v>
      </c>
      <c r="AC93" s="1">
        <v>1056.0206000000001</v>
      </c>
      <c r="AD93" s="1">
        <v>1007.1074</v>
      </c>
      <c r="AE93" s="1">
        <v>1297.9582</v>
      </c>
      <c r="AF93" s="1">
        <v>1238.9282000000001</v>
      </c>
      <c r="AG93" s="1">
        <v>796.32719999999995</v>
      </c>
      <c r="AH93" s="1" t="s">
        <v>64</v>
      </c>
      <c r="AI93" s="1">
        <f t="shared" si="20"/>
        <v>870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158</v>
      </c>
      <c r="B94" s="1" t="s">
        <v>43</v>
      </c>
      <c r="C94" s="1">
        <v>50</v>
      </c>
      <c r="D94" s="1">
        <v>102</v>
      </c>
      <c r="E94" s="1">
        <v>28</v>
      </c>
      <c r="F94" s="1">
        <v>98</v>
      </c>
      <c r="G94" s="7">
        <v>0.3</v>
      </c>
      <c r="H94" s="1">
        <v>40</v>
      </c>
      <c r="I94" s="1" t="s">
        <v>39</v>
      </c>
      <c r="J94" s="1">
        <v>182</v>
      </c>
      <c r="K94" s="1">
        <f t="shared" si="16"/>
        <v>-154</v>
      </c>
      <c r="L94" s="1">
        <f t="shared" si="17"/>
        <v>28</v>
      </c>
      <c r="M94" s="1"/>
      <c r="N94" s="1">
        <v>100.8</v>
      </c>
      <c r="O94" s="1"/>
      <c r="P94" s="1">
        <v>0</v>
      </c>
      <c r="Q94" s="1">
        <f t="shared" si="18"/>
        <v>5.6</v>
      </c>
      <c r="R94" s="5"/>
      <c r="S94" s="5">
        <f t="shared" si="19"/>
        <v>0</v>
      </c>
      <c r="T94" s="5"/>
      <c r="U94" s="1"/>
      <c r="V94" s="1">
        <f>(F94+N94+O94+P94+S94)/Q94</f>
        <v>35.500000000000007</v>
      </c>
      <c r="W94" s="1">
        <f>(F94+N94+O94+P94)/Q94</f>
        <v>35.500000000000007</v>
      </c>
      <c r="X94" s="1">
        <v>2.8</v>
      </c>
      <c r="Y94" s="1">
        <v>21.8</v>
      </c>
      <c r="Z94" s="1">
        <v>25.2</v>
      </c>
      <c r="AA94" s="1">
        <v>26.6</v>
      </c>
      <c r="AB94" s="1">
        <v>25.2</v>
      </c>
      <c r="AC94" s="1">
        <v>26.8</v>
      </c>
      <c r="AD94" s="1">
        <v>28</v>
      </c>
      <c r="AE94" s="1">
        <v>26.8</v>
      </c>
      <c r="AF94" s="1">
        <v>31.2</v>
      </c>
      <c r="AG94" s="1">
        <v>22</v>
      </c>
      <c r="AH94" s="15" t="s">
        <v>109</v>
      </c>
      <c r="AI94" s="1">
        <f t="shared" si="20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160</v>
      </c>
      <c r="B95" s="1" t="s">
        <v>43</v>
      </c>
      <c r="C95" s="1">
        <v>125</v>
      </c>
      <c r="D95" s="1">
        <v>60</v>
      </c>
      <c r="E95" s="1">
        <v>119</v>
      </c>
      <c r="F95" s="1">
        <v>40</v>
      </c>
      <c r="G95" s="7">
        <v>0.3</v>
      </c>
      <c r="H95" s="1">
        <v>40</v>
      </c>
      <c r="I95" s="1" t="s">
        <v>39</v>
      </c>
      <c r="J95" s="1">
        <v>133</v>
      </c>
      <c r="K95" s="1">
        <f t="shared" si="16"/>
        <v>-14</v>
      </c>
      <c r="L95" s="1">
        <f t="shared" si="17"/>
        <v>119</v>
      </c>
      <c r="M95" s="1"/>
      <c r="N95" s="1">
        <v>24.800000000000011</v>
      </c>
      <c r="O95" s="1"/>
      <c r="P95" s="1">
        <v>144.19999999999999</v>
      </c>
      <c r="Q95" s="1">
        <f t="shared" si="18"/>
        <v>23.8</v>
      </c>
      <c r="R95" s="5">
        <f t="shared" si="23"/>
        <v>52.800000000000011</v>
      </c>
      <c r="S95" s="5">
        <f t="shared" si="19"/>
        <v>52.800000000000011</v>
      </c>
      <c r="T95" s="5"/>
      <c r="U95" s="1"/>
      <c r="V95" s="1">
        <f>(F95+N95+O95+P95+S95)/Q95</f>
        <v>11</v>
      </c>
      <c r="W95" s="1">
        <f>(F95+N95+O95+P95)/Q95</f>
        <v>8.7815126050420158</v>
      </c>
      <c r="X95" s="1">
        <v>25</v>
      </c>
      <c r="Y95" s="1">
        <v>16.8</v>
      </c>
      <c r="Z95" s="1">
        <v>17</v>
      </c>
      <c r="AA95" s="1">
        <v>21</v>
      </c>
      <c r="AB95" s="1">
        <v>21</v>
      </c>
      <c r="AC95" s="1">
        <v>20</v>
      </c>
      <c r="AD95" s="1">
        <v>21.2</v>
      </c>
      <c r="AE95" s="1">
        <v>20.2</v>
      </c>
      <c r="AF95" s="1">
        <v>18</v>
      </c>
      <c r="AG95" s="1">
        <v>5.2</v>
      </c>
      <c r="AH95" s="1" t="s">
        <v>161</v>
      </c>
      <c r="AI95" s="1">
        <f t="shared" si="20"/>
        <v>16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162</v>
      </c>
      <c r="B96" s="1" t="s">
        <v>38</v>
      </c>
      <c r="C96" s="1">
        <v>26.905000000000001</v>
      </c>
      <c r="D96" s="1">
        <v>16.561</v>
      </c>
      <c r="E96" s="1">
        <v>21.744</v>
      </c>
      <c r="F96" s="1">
        <v>15.067</v>
      </c>
      <c r="G96" s="7">
        <v>1</v>
      </c>
      <c r="H96" s="1">
        <v>45</v>
      </c>
      <c r="I96" s="1" t="s">
        <v>39</v>
      </c>
      <c r="J96" s="1">
        <v>19.25</v>
      </c>
      <c r="K96" s="1">
        <f t="shared" si="16"/>
        <v>2.4939999999999998</v>
      </c>
      <c r="L96" s="1">
        <f t="shared" si="17"/>
        <v>21.744</v>
      </c>
      <c r="M96" s="1"/>
      <c r="N96" s="1">
        <v>10.143800000000001</v>
      </c>
      <c r="O96" s="1"/>
      <c r="P96" s="1">
        <v>6.9572000000000003</v>
      </c>
      <c r="Q96" s="1">
        <f t="shared" si="18"/>
        <v>4.3487999999999998</v>
      </c>
      <c r="R96" s="5">
        <f t="shared" si="23"/>
        <v>15.668799999999997</v>
      </c>
      <c r="S96" s="5">
        <f t="shared" si="19"/>
        <v>15.668799999999997</v>
      </c>
      <c r="T96" s="5"/>
      <c r="U96" s="1"/>
      <c r="V96" s="1">
        <f>(F96+N96+O96+P96+S96)/Q96</f>
        <v>11</v>
      </c>
      <c r="W96" s="1">
        <f>(F96+N96+O96+P96)/Q96</f>
        <v>7.3969830757910229</v>
      </c>
      <c r="X96" s="1">
        <v>4.0377999999999998</v>
      </c>
      <c r="Y96" s="1">
        <v>4.2898000000000014</v>
      </c>
      <c r="Z96" s="1">
        <v>3.4994000000000001</v>
      </c>
      <c r="AA96" s="1">
        <v>4.0082000000000004</v>
      </c>
      <c r="AB96" s="1">
        <v>3.9998</v>
      </c>
      <c r="AC96" s="1">
        <v>1.0733999999999999</v>
      </c>
      <c r="AD96" s="1">
        <v>2.4333999999999998</v>
      </c>
      <c r="AE96" s="1">
        <v>3.2648000000000001</v>
      </c>
      <c r="AF96" s="1">
        <v>3.2709999999999999</v>
      </c>
      <c r="AG96" s="1">
        <v>0.27760000000000001</v>
      </c>
      <c r="AH96" s="1" t="s">
        <v>163</v>
      </c>
      <c r="AI96" s="1">
        <f t="shared" si="20"/>
        <v>16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164</v>
      </c>
      <c r="B97" s="1" t="s">
        <v>43</v>
      </c>
      <c r="C97" s="1">
        <v>18</v>
      </c>
      <c r="D97" s="1">
        <v>18</v>
      </c>
      <c r="E97" s="1">
        <v>8</v>
      </c>
      <c r="F97" s="1">
        <v>13</v>
      </c>
      <c r="G97" s="7">
        <v>0.33</v>
      </c>
      <c r="H97" s="1">
        <v>40</v>
      </c>
      <c r="I97" s="1" t="s">
        <v>39</v>
      </c>
      <c r="J97" s="1">
        <v>10</v>
      </c>
      <c r="K97" s="1">
        <f t="shared" si="16"/>
        <v>-2</v>
      </c>
      <c r="L97" s="1">
        <f t="shared" si="17"/>
        <v>8</v>
      </c>
      <c r="M97" s="1"/>
      <c r="N97" s="1">
        <v>6</v>
      </c>
      <c r="O97" s="1"/>
      <c r="P97" s="1">
        <v>0</v>
      </c>
      <c r="Q97" s="1">
        <f t="shared" si="18"/>
        <v>1.6</v>
      </c>
      <c r="R97" s="5"/>
      <c r="S97" s="5">
        <f t="shared" si="19"/>
        <v>0</v>
      </c>
      <c r="T97" s="5"/>
      <c r="U97" s="1"/>
      <c r="V97" s="1">
        <f>(F97+N97+O97+P97+S97)/Q97</f>
        <v>11.875</v>
      </c>
      <c r="W97" s="1">
        <f>(F97+N97+O97+P97)/Q97</f>
        <v>11.875</v>
      </c>
      <c r="X97" s="1">
        <v>1.6</v>
      </c>
      <c r="Y97" s="1">
        <v>1</v>
      </c>
      <c r="Z97" s="1">
        <v>1</v>
      </c>
      <c r="AA97" s="1">
        <v>2</v>
      </c>
      <c r="AB97" s="1">
        <v>2.2000000000000002</v>
      </c>
      <c r="AC97" s="1">
        <v>1.2</v>
      </c>
      <c r="AD97" s="1">
        <v>1.4</v>
      </c>
      <c r="AE97" s="1">
        <v>1.8</v>
      </c>
      <c r="AF97" s="1">
        <v>2.4</v>
      </c>
      <c r="AG97" s="1">
        <v>1.4</v>
      </c>
      <c r="AH97" s="1"/>
      <c r="AI97" s="1">
        <f t="shared" si="20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1" t="s">
        <v>165</v>
      </c>
      <c r="B98" s="11" t="s">
        <v>43</v>
      </c>
      <c r="C98" s="11">
        <v>5</v>
      </c>
      <c r="D98" s="11"/>
      <c r="E98" s="11">
        <v>-1</v>
      </c>
      <c r="F98" s="11">
        <v>5</v>
      </c>
      <c r="G98" s="12">
        <v>0</v>
      </c>
      <c r="H98" s="11">
        <v>50</v>
      </c>
      <c r="I98" s="11" t="s">
        <v>44</v>
      </c>
      <c r="J98" s="11"/>
      <c r="K98" s="11">
        <f t="shared" si="16"/>
        <v>-1</v>
      </c>
      <c r="L98" s="11">
        <f t="shared" si="17"/>
        <v>-1</v>
      </c>
      <c r="M98" s="11"/>
      <c r="N98" s="11"/>
      <c r="O98" s="11"/>
      <c r="P98" s="11">
        <v>0</v>
      </c>
      <c r="Q98" s="11">
        <f t="shared" si="18"/>
        <v>-0.2</v>
      </c>
      <c r="R98" s="13"/>
      <c r="S98" s="5">
        <f t="shared" si="19"/>
        <v>0</v>
      </c>
      <c r="T98" s="13"/>
      <c r="U98" s="11"/>
      <c r="V98" s="1">
        <f>(F98+N98+O98+P98+S98)/Q98</f>
        <v>-25</v>
      </c>
      <c r="W98" s="11">
        <f>(F98+N98+O98+P98)/Q98</f>
        <v>-25</v>
      </c>
      <c r="X98" s="11">
        <v>-0.2</v>
      </c>
      <c r="Y98" s="11">
        <v>0.4</v>
      </c>
      <c r="Z98" s="11">
        <v>0.4</v>
      </c>
      <c r="AA98" s="11">
        <v>-0.2</v>
      </c>
      <c r="AB98" s="11">
        <v>0</v>
      </c>
      <c r="AC98" s="11">
        <v>0.8</v>
      </c>
      <c r="AD98" s="11">
        <v>0.6</v>
      </c>
      <c r="AE98" s="11">
        <v>0.2</v>
      </c>
      <c r="AF98" s="11">
        <v>0.4</v>
      </c>
      <c r="AG98" s="11">
        <v>0.4</v>
      </c>
      <c r="AH98" s="15" t="s">
        <v>169</v>
      </c>
      <c r="AI98" s="1">
        <f t="shared" si="20"/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166</v>
      </c>
      <c r="B99" s="1" t="s">
        <v>43</v>
      </c>
      <c r="C99" s="1">
        <v>9</v>
      </c>
      <c r="D99" s="1">
        <v>43</v>
      </c>
      <c r="E99" s="1">
        <v>7</v>
      </c>
      <c r="F99" s="1">
        <v>39</v>
      </c>
      <c r="G99" s="7">
        <v>0.3</v>
      </c>
      <c r="H99" s="1">
        <v>40</v>
      </c>
      <c r="I99" s="1" t="s">
        <v>39</v>
      </c>
      <c r="J99" s="1">
        <v>9</v>
      </c>
      <c r="K99" s="1">
        <f t="shared" ref="K99:K100" si="24">E99-J99</f>
        <v>-2</v>
      </c>
      <c r="L99" s="1">
        <f t="shared" si="17"/>
        <v>7</v>
      </c>
      <c r="M99" s="1"/>
      <c r="N99" s="1"/>
      <c r="O99" s="1"/>
      <c r="P99" s="1">
        <v>0</v>
      </c>
      <c r="Q99" s="1">
        <f t="shared" si="18"/>
        <v>1.4</v>
      </c>
      <c r="R99" s="5"/>
      <c r="S99" s="5">
        <f t="shared" si="19"/>
        <v>0</v>
      </c>
      <c r="T99" s="5"/>
      <c r="U99" s="1"/>
      <c r="V99" s="1">
        <f>(F99+N99+O99+P99+S99)/Q99</f>
        <v>27.857142857142858</v>
      </c>
      <c r="W99" s="1">
        <f>(F99+N99+O99+P99)/Q99</f>
        <v>27.857142857142858</v>
      </c>
      <c r="X99" s="1">
        <v>2</v>
      </c>
      <c r="Y99" s="1">
        <v>3</v>
      </c>
      <c r="Z99" s="1">
        <v>3.2</v>
      </c>
      <c r="AA99" s="1">
        <v>1.2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 t="s">
        <v>52</v>
      </c>
      <c r="AI99" s="1">
        <f t="shared" si="20"/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1" t="s">
        <v>167</v>
      </c>
      <c r="B100" s="11" t="s">
        <v>43</v>
      </c>
      <c r="C100" s="11"/>
      <c r="D100" s="11">
        <v>372</v>
      </c>
      <c r="E100" s="11">
        <v>290</v>
      </c>
      <c r="F100" s="11">
        <v>82</v>
      </c>
      <c r="G100" s="12">
        <v>0</v>
      </c>
      <c r="H100" s="11" t="e">
        <v>#N/A</v>
      </c>
      <c r="I100" s="11" t="s">
        <v>44</v>
      </c>
      <c r="J100" s="11">
        <v>152</v>
      </c>
      <c r="K100" s="11">
        <f t="shared" si="24"/>
        <v>138</v>
      </c>
      <c r="L100" s="11">
        <f t="shared" si="17"/>
        <v>290</v>
      </c>
      <c r="M100" s="11"/>
      <c r="N100" s="11"/>
      <c r="O100" s="11"/>
      <c r="P100" s="11">
        <v>0</v>
      </c>
      <c r="Q100" s="11">
        <f t="shared" si="18"/>
        <v>58</v>
      </c>
      <c r="R100" s="13"/>
      <c r="S100" s="5">
        <f t="shared" si="19"/>
        <v>0</v>
      </c>
      <c r="T100" s="13"/>
      <c r="U100" s="11"/>
      <c r="V100" s="1">
        <f>(F100+N100+O100+P100+S100)/Q100</f>
        <v>1.4137931034482758</v>
      </c>
      <c r="W100" s="11">
        <f>(F100+N100+O100+P100)/Q100</f>
        <v>1.4137931034482758</v>
      </c>
      <c r="X100" s="11">
        <v>2.8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 t="s">
        <v>168</v>
      </c>
      <c r="AI100" s="1">
        <f t="shared" si="20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22" t="s">
        <v>172</v>
      </c>
      <c r="B101" s="22" t="s">
        <v>43</v>
      </c>
      <c r="C101" s="22"/>
      <c r="D101" s="22"/>
      <c r="E101" s="22"/>
      <c r="F101" s="22"/>
      <c r="G101" s="23">
        <v>0.12</v>
      </c>
      <c r="H101" s="22">
        <v>45</v>
      </c>
      <c r="I101" s="22" t="s">
        <v>39</v>
      </c>
      <c r="J101" s="22"/>
      <c r="K101" s="22"/>
      <c r="L101" s="22"/>
      <c r="M101" s="22"/>
      <c r="N101" s="22"/>
      <c r="O101" s="22"/>
      <c r="P101" s="22"/>
      <c r="Q101" s="22">
        <f t="shared" si="18"/>
        <v>0</v>
      </c>
      <c r="R101" s="24">
        <v>20</v>
      </c>
      <c r="S101" s="5">
        <v>110</v>
      </c>
      <c r="T101" s="24">
        <v>110</v>
      </c>
      <c r="U101" s="22" t="s">
        <v>173</v>
      </c>
      <c r="V101" s="1" t="e">
        <f>(F101+N101+O101+P101+S101)/Q101</f>
        <v>#DIV/0!</v>
      </c>
      <c r="W101" s="22" t="e">
        <f t="shared" ref="W101" si="25">(F101+N101+O101+P101)/Q101</f>
        <v>#DIV/0!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 t="s">
        <v>52</v>
      </c>
      <c r="AI101" s="1">
        <f t="shared" si="20"/>
        <v>13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</sheetData>
  <autoFilter ref="A3:AI10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2025-04-10T13:19:16Z</dcterms:created>
  <dcterms:modified xsi:type="dcterms:W3CDTF">2025-04-11T08:55:23Z</dcterms:modified>
</cp:coreProperties>
</file>