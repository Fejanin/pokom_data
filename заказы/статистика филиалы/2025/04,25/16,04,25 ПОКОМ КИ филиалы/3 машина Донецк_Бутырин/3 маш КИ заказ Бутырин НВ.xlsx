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3 машина Донецк_Бутырин\"/>
    </mc:Choice>
  </mc:AlternateContent>
  <xr:revisionPtr revIDLastSave="0" documentId="13_ncr:1_{187499A1-1C29-4521-BECB-09558332FBB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Y29" i="1" l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385" i="1"/>
  <c r="Z221" i="1"/>
  <c r="Z161" i="1"/>
  <c r="Z565" i="1"/>
  <c r="Z547" i="1"/>
  <c r="Z517" i="1"/>
  <c r="Z442" i="1"/>
  <c r="Z332" i="1"/>
  <c r="Z83" i="1"/>
  <c r="Z596" i="1" s="1"/>
  <c r="Y595" i="1"/>
  <c r="Z408" i="1"/>
  <c r="Z370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<sst xmlns="http://schemas.openxmlformats.org/spreadsheetml/2006/main" count="2720" uniqueCount="975">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</sst>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7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43</v>
      </c>
      <c r="Y37" s="664">
        <f>IFERROR(IF(X37="",0,CEILING((X37/$H37),1)*$H37),"")</f>
        <v>43.2</v>
      </c>
      <c r="Z37" s="36">
        <f>IFERROR(IF(Y37=0,"",ROUNDUP(Y37/H37,0)*0.01898),"")</f>
        <v>7.5920000000000001E-2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44.731944444444437</v>
      </c>
      <c r="BN37" s="64">
        <f>IFERROR(Y37*I37/H37,"0")</f>
        <v>44.94</v>
      </c>
      <c r="BO37" s="64">
        <f>IFERROR(1/J37*(X37/H37),"0")</f>
        <v>6.2210648148148147E-2</v>
      </c>
      <c r="BP37" s="64">
        <f>IFERROR(1/J37*(Y37/H37),"0")</f>
        <v>6.25E-2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3.9814814814814814</v>
      </c>
      <c r="Y41" s="665">
        <f>IFERROR(Y37/H37,"0")+IFERROR(Y38/H38,"0")+IFERROR(Y39/H39,"0")+IFERROR(Y40/H40,"0")</f>
        <v>4</v>
      </c>
      <c r="Z41" s="665">
        <f>IFERROR(IF(Z37="",0,Z37),"0")+IFERROR(IF(Z38="",0,Z38),"0")+IFERROR(IF(Z39="",0,Z39),"0")+IFERROR(IF(Z40="",0,Z40),"0")</f>
        <v>7.5920000000000001E-2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43</v>
      </c>
      <c r="Y42" s="665">
        <f>IFERROR(SUM(Y37:Y40),"0")</f>
        <v>43.2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19</v>
      </c>
      <c r="Y58" s="664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19.765277777777776</v>
      </c>
      <c r="BN58" s="64">
        <f>IFERROR(Y58*I58/H58,"0")</f>
        <v>22.47</v>
      </c>
      <c r="BO58" s="64">
        <f>IFERROR(1/J58*(X58/H58),"0")</f>
        <v>2.7488425925925923E-2</v>
      </c>
      <c r="BP58" s="64">
        <f>IFERROR(1/J58*(Y58/H58),"0")</f>
        <v>3.125E-2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1.7592592592592591</v>
      </c>
      <c r="Y62" s="665">
        <f>IFERROR(Y58/H58,"0")+IFERROR(Y59/H59,"0")+IFERROR(Y60/H60,"0")+IFERROR(Y61/H61,"0")</f>
        <v>2</v>
      </c>
      <c r="Z62" s="665">
        <f>IFERROR(IF(Z58="",0,Z58),"0")+IFERROR(IF(Z59="",0,Z59),"0")+IFERROR(IF(Z60="",0,Z60),"0")+IFERROR(IF(Z61="",0,Z61),"0")</f>
        <v>3.7960000000000001E-2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19</v>
      </c>
      <c r="Y63" s="665">
        <f>IFERROR(SUM(Y58:Y61),"0")</f>
        <v>21.6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41</v>
      </c>
      <c r="Y87" s="664">
        <f>IFERROR(IF(X87="",0,CEILING((X87/$H87),1)*$H87),"")</f>
        <v>43.2</v>
      </c>
      <c r="Z87" s="36">
        <f>IFERROR(IF(Y87=0,"",ROUNDUP(Y87/H87,0)*0.01898),"")</f>
        <v>7.5920000000000001E-2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42.651388888888889</v>
      </c>
      <c r="BN87" s="64">
        <f>IFERROR(Y87*I87/H87,"0")</f>
        <v>44.94</v>
      </c>
      <c r="BO87" s="64">
        <f>IFERROR(1/J87*(X87/H87),"0")</f>
        <v>5.9317129629629622E-2</v>
      </c>
      <c r="BP87" s="64">
        <f>IFERROR(1/J87*(Y87/H87),"0")</f>
        <v>6.25E-2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3.7962962962962958</v>
      </c>
      <c r="Y90" s="665">
        <f>IFERROR(Y87/H87,"0")+IFERROR(Y88/H88,"0")+IFERROR(Y89/H89,"0")</f>
        <v>4</v>
      </c>
      <c r="Z90" s="665">
        <f>IFERROR(IF(Z87="",0,Z87),"0")+IFERROR(IF(Z88="",0,Z88),"0")+IFERROR(IF(Z89="",0,Z89),"0")</f>
        <v>7.5920000000000001E-2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41</v>
      </c>
      <c r="Y91" s="665">
        <f>IFERROR(SUM(Y87:Y89),"0")</f>
        <v>43.2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56</v>
      </c>
      <c r="Y94" s="664">
        <f t="shared" si="16"/>
        <v>58.800000000000004</v>
      </c>
      <c r="Z94" s="36">
        <f>IFERROR(IF(Y94=0,"",ROUNDUP(Y94/H94,0)*0.01898),"")</f>
        <v>0.13286000000000001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59.46</v>
      </c>
      <c r="BN94" s="64">
        <f t="shared" si="18"/>
        <v>62.433000000000007</v>
      </c>
      <c r="BO94" s="64">
        <f t="shared" si="19"/>
        <v>0.10416666666666666</v>
      </c>
      <c r="BP94" s="64">
        <f t="shared" si="20"/>
        <v>0.109375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6.6666666666666661</v>
      </c>
      <c r="Y102" s="665">
        <f>IFERROR(Y93/H93,"0")+IFERROR(Y94/H94,"0")+IFERROR(Y95/H95,"0")+IFERROR(Y96/H96,"0")+IFERROR(Y97/H97,"0")+IFERROR(Y98/H98,"0")+IFERROR(Y99/H99,"0")+IFERROR(Y100/H100,"0")+IFERROR(Y101/H101,"0")</f>
        <v>7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0.13286000000000001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56</v>
      </c>
      <c r="Y103" s="665">
        <f>IFERROR(SUM(Y93:Y101),"0")</f>
        <v>58.800000000000004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16</v>
      </c>
      <c r="Y106" s="664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16.644444444444442</v>
      </c>
      <c r="BN106" s="64">
        <f>IFERROR(Y106*I106/H106,"0")</f>
        <v>22.47</v>
      </c>
      <c r="BO106" s="64">
        <f>IFERROR(1/J106*(X106/H106),"0")</f>
        <v>2.3148148148148147E-2</v>
      </c>
      <c r="BP106" s="64">
        <f>IFERROR(1/J106*(Y106/H106),"0")</f>
        <v>3.125E-2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1.4814814814814814</v>
      </c>
      <c r="Y110" s="665">
        <f>IFERROR(Y106/H106,"0")+IFERROR(Y107/H107,"0")+IFERROR(Y108/H108,"0")+IFERROR(Y109/H109,"0")</f>
        <v>2</v>
      </c>
      <c r="Z110" s="665">
        <f>IFERROR(IF(Z106="",0,Z106),"0")+IFERROR(IF(Z107="",0,Z107),"0")+IFERROR(IF(Z108="",0,Z108),"0")+IFERROR(IF(Z109="",0,Z109),"0")</f>
        <v>3.7960000000000001E-2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16</v>
      </c>
      <c r="Y111" s="665">
        <f>IFERROR(SUM(Y106:Y109),"0")</f>
        <v>21.6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42</v>
      </c>
      <c r="Y120" s="664">
        <f t="shared" si="21"/>
        <v>42</v>
      </c>
      <c r="Z120" s="36">
        <f>IFERROR(IF(Y120=0,"",ROUNDUP(Y120/H120,0)*0.01898),"")</f>
        <v>9.4899999999999998E-2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44.564999999999998</v>
      </c>
      <c r="BN120" s="64">
        <f t="shared" si="23"/>
        <v>44.564999999999998</v>
      </c>
      <c r="BO120" s="64">
        <f t="shared" si="24"/>
        <v>7.8125E-2</v>
      </c>
      <c r="BP120" s="64">
        <f t="shared" si="25"/>
        <v>7.8125E-2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5</v>
      </c>
      <c r="Y128" s="665">
        <f>IFERROR(Y119/H119,"0")+IFERROR(Y120/H120,"0")+IFERROR(Y121/H121,"0")+IFERROR(Y122/H122,"0")+IFERROR(Y123/H123,"0")+IFERROR(Y124/H124,"0")+IFERROR(Y125/H125,"0")+IFERROR(Y126/H126,"0")+IFERROR(Y127/H127,"0")</f>
        <v>5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9.4899999999999998E-2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42</v>
      </c>
      <c r="Y129" s="665">
        <f>IFERROR(SUM(Y119:Y127),"0")</f>
        <v>42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77</v>
      </c>
      <c r="Y214" s="664">
        <f t="shared" si="37"/>
        <v>78.3</v>
      </c>
      <c r="Z214" s="36">
        <f>IFERROR(IF(Y214=0,"",ROUNDUP(Y214/H214,0)*0.01898),"")</f>
        <v>0.17082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81.593448275862073</v>
      </c>
      <c r="BN214" s="64">
        <f t="shared" si="39"/>
        <v>82.971000000000004</v>
      </c>
      <c r="BO214" s="64">
        <f t="shared" si="40"/>
        <v>0.13829022988505749</v>
      </c>
      <c r="BP214" s="64">
        <f t="shared" si="41"/>
        <v>0.140625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45</v>
      </c>
      <c r="Y217" s="664">
        <f t="shared" si="37"/>
        <v>45.6</v>
      </c>
      <c r="Z217" s="36">
        <f t="shared" si="42"/>
        <v>0.12369000000000001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49.725000000000001</v>
      </c>
      <c r="BN217" s="64">
        <f t="shared" si="39"/>
        <v>50.388000000000005</v>
      </c>
      <c r="BO217" s="64">
        <f t="shared" si="40"/>
        <v>0.10302197802197803</v>
      </c>
      <c r="BP217" s="64">
        <f t="shared" si="41"/>
        <v>0.1043956043956044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19</v>
      </c>
      <c r="Y218" s="664">
        <f t="shared" si="37"/>
        <v>19.2</v>
      </c>
      <c r="Z218" s="36">
        <f t="shared" si="42"/>
        <v>5.2080000000000001E-2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20.995000000000005</v>
      </c>
      <c r="BN218" s="64">
        <f t="shared" si="39"/>
        <v>21.216000000000001</v>
      </c>
      <c r="BO218" s="64">
        <f t="shared" si="40"/>
        <v>4.3498168498168503E-2</v>
      </c>
      <c r="BP218" s="64">
        <f t="shared" si="41"/>
        <v>4.3956043956043959E-2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23</v>
      </c>
      <c r="Y219" s="664">
        <f t="shared" si="37"/>
        <v>24</v>
      </c>
      <c r="Z219" s="36">
        <f t="shared" si="42"/>
        <v>6.5100000000000005E-2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25.415000000000003</v>
      </c>
      <c r="BN219" s="64">
        <f t="shared" si="39"/>
        <v>26.520000000000003</v>
      </c>
      <c r="BO219" s="64">
        <f t="shared" si="40"/>
        <v>5.2655677655677663E-2</v>
      </c>
      <c r="BP219" s="64">
        <f t="shared" si="41"/>
        <v>5.4945054945054951E-2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45.100574712643677</v>
      </c>
      <c r="Y221" s="665">
        <f>IFERROR(Y212/H212,"0")+IFERROR(Y213/H213,"0")+IFERROR(Y214/H214,"0")+IFERROR(Y215/H215,"0")+IFERROR(Y216/H216,"0")+IFERROR(Y217/H217,"0")+IFERROR(Y218/H218,"0")+IFERROR(Y219/H219,"0")+IFERROR(Y220/H220,"0")</f>
        <v>46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0.41169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164</v>
      </c>
      <c r="Y222" s="665">
        <f>IFERROR(SUM(Y212:Y220),"0")</f>
        <v>167.1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34</v>
      </c>
      <c r="Y279" s="664">
        <f>IFERROR(IF(X279="",0,CEILING((X279/$H279),1)*$H279),"")</f>
        <v>36</v>
      </c>
      <c r="Z279" s="36">
        <f>IFERROR(IF(Y279=0,"",ROUNDUP(Y279/H279,0)*0.00651),"")</f>
        <v>9.7650000000000001E-2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37.570000000000007</v>
      </c>
      <c r="BN279" s="64">
        <f>IFERROR(Y279*I279/H279,"0")</f>
        <v>39.780000000000008</v>
      </c>
      <c r="BO279" s="64">
        <f>IFERROR(1/J279*(X279/H279),"0")</f>
        <v>7.7838827838827854E-2</v>
      </c>
      <c r="BP279" s="64">
        <f>IFERROR(1/J279*(Y279/H279),"0")</f>
        <v>8.241758241758243E-2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44</v>
      </c>
      <c r="Y280" s="664">
        <f>IFERROR(IF(X280="",0,CEILING((X280/$H280),1)*$H280),"")</f>
        <v>45.6</v>
      </c>
      <c r="Z280" s="36">
        <f>IFERROR(IF(Y280=0,"",ROUNDUP(Y280/H280,0)*0.00651),"")</f>
        <v>0.12369000000000001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47.300000000000004</v>
      </c>
      <c r="BN280" s="64">
        <f>IFERROR(Y280*I280/H280,"0")</f>
        <v>49.02</v>
      </c>
      <c r="BO280" s="64">
        <f>IFERROR(1/J280*(X280/H280),"0")</f>
        <v>0.10073260073260075</v>
      </c>
      <c r="BP280" s="64">
        <f>IFERROR(1/J280*(Y280/H280),"0")</f>
        <v>0.1043956043956044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32.5</v>
      </c>
      <c r="Y282" s="665">
        <f>IFERROR(Y277/H277,"0")+IFERROR(Y278/H278,"0")+IFERROR(Y279/H279,"0")+IFERROR(Y280/H280,"0")+IFERROR(Y281/H281,"0")</f>
        <v>34</v>
      </c>
      <c r="Z282" s="665">
        <f>IFERROR(IF(Z277="",0,Z277),"0")+IFERROR(IF(Z278="",0,Z278),"0")+IFERROR(IF(Z279="",0,Z279),"0")+IFERROR(IF(Z280="",0,Z280),"0")+IFERROR(IF(Z281="",0,Z281),"0")</f>
        <v>0.22134000000000001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78</v>
      </c>
      <c r="Y283" s="665">
        <f>IFERROR(SUM(Y277:Y281),"0")</f>
        <v>81.599999999999994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68</v>
      </c>
      <c r="Y344" s="664">
        <f>IFERROR(IF(X344="",0,CEILING((X344/$H344),1)*$H344),"")</f>
        <v>70.2</v>
      </c>
      <c r="Z344" s="36">
        <f>IFERROR(IF(Y344=0,"",ROUNDUP(Y344/H344,0)*0.01898),"")</f>
        <v>0.17082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72.524615384615387</v>
      </c>
      <c r="BN344" s="64">
        <f>IFERROR(Y344*I344/H344,"0")</f>
        <v>74.871000000000009</v>
      </c>
      <c r="BO344" s="64">
        <f>IFERROR(1/J344*(X344/H344),"0")</f>
        <v>0.13621794871794873</v>
      </c>
      <c r="BP344" s="64">
        <f>IFERROR(1/J344*(Y344/H344),"0")</f>
        <v>0.140625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8.717948717948719</v>
      </c>
      <c r="Y346" s="665">
        <f>IFERROR(Y343/H343,"0")+IFERROR(Y344/H344,"0")+IFERROR(Y345/H345,"0")</f>
        <v>9</v>
      </c>
      <c r="Z346" s="665">
        <f>IFERROR(IF(Z343="",0,Z343),"0")+IFERROR(IF(Z344="",0,Z344),"0")+IFERROR(IF(Z345="",0,Z345),"0")</f>
        <v>0.17082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68</v>
      </c>
      <c r="Y347" s="665">
        <f>IFERROR(SUM(Y343:Y345),"0")</f>
        <v>70.2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136</v>
      </c>
      <c r="Y375" s="664">
        <f t="shared" ref="Y375:Y384" si="58">IFERROR(IF(X375="",0,CEILING((X375/$H375),1)*$H375),"")</f>
        <v>150</v>
      </c>
      <c r="Z375" s="36">
        <f>IFERROR(IF(Y375=0,"",ROUNDUP(Y375/H375,0)*0.02175),"")</f>
        <v>0.21749999999999997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140.352</v>
      </c>
      <c r="BN375" s="64">
        <f t="shared" ref="BN375:BN384" si="60">IFERROR(Y375*I375/H375,"0")</f>
        <v>154.80000000000001</v>
      </c>
      <c r="BO375" s="64">
        <f t="shared" ref="BO375:BO384" si="61">IFERROR(1/J375*(X375/H375),"0")</f>
        <v>0.18888888888888888</v>
      </c>
      <c r="BP375" s="64">
        <f t="shared" ref="BP375:BP384" si="62">IFERROR(1/J375*(Y375/H375),"0")</f>
        <v>0.20833333333333331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13</v>
      </c>
      <c r="Y377" s="664">
        <f t="shared" si="58"/>
        <v>15</v>
      </c>
      <c r="Z377" s="36">
        <f>IFERROR(IF(Y377=0,"",ROUNDUP(Y377/H377,0)*0.02175),"")</f>
        <v>2.1749999999999999E-2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13.416</v>
      </c>
      <c r="BN377" s="64">
        <f t="shared" si="60"/>
        <v>15.48</v>
      </c>
      <c r="BO377" s="64">
        <f t="shared" si="61"/>
        <v>1.8055555555555554E-2</v>
      </c>
      <c r="BP377" s="64">
        <f t="shared" si="62"/>
        <v>2.0833333333333332E-2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49</v>
      </c>
      <c r="Y379" s="664">
        <f t="shared" si="58"/>
        <v>60</v>
      </c>
      <c r="Z379" s="36">
        <f>IFERROR(IF(Y379=0,"",ROUNDUP(Y379/H379,0)*0.02175),"")</f>
        <v>8.6999999999999994E-2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50.567999999999998</v>
      </c>
      <c r="BN379" s="64">
        <f t="shared" si="60"/>
        <v>61.92</v>
      </c>
      <c r="BO379" s="64">
        <f t="shared" si="61"/>
        <v>6.805555555555555E-2</v>
      </c>
      <c r="BP379" s="64">
        <f t="shared" si="62"/>
        <v>8.3333333333333329E-2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53</v>
      </c>
      <c r="Y380" s="664">
        <f t="shared" si="58"/>
        <v>60</v>
      </c>
      <c r="Z380" s="36">
        <f>IFERROR(IF(Y380=0,"",ROUNDUP(Y380/H380,0)*0.02175),"")</f>
        <v>8.6999999999999994E-2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54.696000000000005</v>
      </c>
      <c r="BN380" s="64">
        <f t="shared" si="60"/>
        <v>61.92</v>
      </c>
      <c r="BO380" s="64">
        <f t="shared" si="61"/>
        <v>7.3611111111111099E-2</v>
      </c>
      <c r="BP380" s="64">
        <f t="shared" si="62"/>
        <v>8.3333333333333329E-2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16.733333333333334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19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0.4132499999999999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251</v>
      </c>
      <c r="Y386" s="665">
        <f>IFERROR(SUM(Y375:Y384),"0")</f>
        <v>285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135</v>
      </c>
      <c r="Y388" s="664">
        <f>IFERROR(IF(X388="",0,CEILING((X388/$H388),1)*$H388),"")</f>
        <v>135</v>
      </c>
      <c r="Z388" s="36">
        <f>IFERROR(IF(Y388=0,"",ROUNDUP(Y388/H388,0)*0.02175),"")</f>
        <v>0.19574999999999998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139.32000000000002</v>
      </c>
      <c r="BN388" s="64">
        <f>IFERROR(Y388*I388/H388,"0")</f>
        <v>139.32000000000002</v>
      </c>
      <c r="BO388" s="64">
        <f>IFERROR(1/J388*(X388/H388),"0")</f>
        <v>0.1875</v>
      </c>
      <c r="BP388" s="64">
        <f>IFERROR(1/J388*(Y388/H388),"0")</f>
        <v>0.1875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9</v>
      </c>
      <c r="Y390" s="665">
        <f>IFERROR(Y388/H388,"0")+IFERROR(Y389/H389,"0")</f>
        <v>9</v>
      </c>
      <c r="Z390" s="665">
        <f>IFERROR(IF(Z388="",0,Z388),"0")+IFERROR(IF(Z389="",0,Z389),"0")</f>
        <v>0.19574999999999998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135</v>
      </c>
      <c r="Y391" s="665">
        <f>IFERROR(SUM(Y388:Y389),"0")</f>
        <v>135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49</v>
      </c>
      <c r="Y416" s="664">
        <f>IFERROR(IF(X416="",0,CEILING((X416/$H416),1)*$H416),"")</f>
        <v>54</v>
      </c>
      <c r="Z416" s="36">
        <f>IFERROR(IF(Y416=0,"",ROUNDUP(Y416/H416,0)*0.01898),"")</f>
        <v>0.11388000000000001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51.825666666666663</v>
      </c>
      <c r="BN416" s="64">
        <f>IFERROR(Y416*I416/H416,"0")</f>
        <v>57.113999999999997</v>
      </c>
      <c r="BO416" s="64">
        <f>IFERROR(1/J416*(X416/H416),"0")</f>
        <v>8.5069444444444448E-2</v>
      </c>
      <c r="BP416" s="64">
        <f>IFERROR(1/J416*(Y416/H416),"0")</f>
        <v>9.375E-2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5.4444444444444446</v>
      </c>
      <c r="Y421" s="665">
        <f>IFERROR(Y416/H416,"0")+IFERROR(Y417/H417,"0")+IFERROR(Y418/H418,"0")+IFERROR(Y419/H419,"0")+IFERROR(Y420/H420,"0")</f>
        <v>6</v>
      </c>
      <c r="Z421" s="665">
        <f>IFERROR(IF(Z416="",0,Z416),"0")+IFERROR(IF(Z417="",0,Z417),"0")+IFERROR(IF(Z418="",0,Z418),"0")+IFERROR(IF(Z419="",0,Z419),"0")+IFERROR(IF(Z420="",0,Z420),"0")</f>
        <v>0.11388000000000001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49</v>
      </c>
      <c r="Y422" s="665">
        <f>IFERROR(SUM(Y416:Y420),"0")</f>
        <v>54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15</v>
      </c>
      <c r="Y482" s="664">
        <f t="shared" si="69"/>
        <v>15.84</v>
      </c>
      <c r="Z482" s="36">
        <f>IFERROR(IF(Y482=0,"",ROUNDUP(Y482/H482,0)*0.01196),"")</f>
        <v>3.5880000000000002E-2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16.02272727272727</v>
      </c>
      <c r="BN482" s="64">
        <f t="shared" si="71"/>
        <v>16.919999999999998</v>
      </c>
      <c r="BO482" s="64">
        <f t="shared" si="72"/>
        <v>2.7316433566433568E-2</v>
      </c>
      <c r="BP482" s="64">
        <f t="shared" si="73"/>
        <v>2.8846153846153848E-2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234</v>
      </c>
      <c r="Y483" s="664">
        <f t="shared" si="69"/>
        <v>237.60000000000002</v>
      </c>
      <c r="Z483" s="36">
        <f>IFERROR(IF(Y483=0,"",ROUNDUP(Y483/H483,0)*0.01196),"")</f>
        <v>0.53820000000000001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249.95454545454544</v>
      </c>
      <c r="BN483" s="64">
        <f t="shared" si="71"/>
        <v>253.8</v>
      </c>
      <c r="BO483" s="64">
        <f t="shared" si="72"/>
        <v>0.42613636363636359</v>
      </c>
      <c r="BP483" s="64">
        <f t="shared" si="73"/>
        <v>0.43269230769230771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47.159090909090907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0.57408000000000003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249</v>
      </c>
      <c r="Y496" s="665">
        <f>IFERROR(SUM(Y480:Y494),"0")</f>
        <v>253.44000000000003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125</v>
      </c>
      <c r="Y498" s="664">
        <f>IFERROR(IF(X498="",0,CEILING((X498/$H498),1)*$H498),"")</f>
        <v>126.72</v>
      </c>
      <c r="Z498" s="36">
        <f>IFERROR(IF(Y498=0,"",ROUNDUP(Y498/H498,0)*0.01196),"")</f>
        <v>0.28704000000000002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133.52272727272728</v>
      </c>
      <c r="BN498" s="64">
        <f>IFERROR(Y498*I498/H498,"0")</f>
        <v>135.35999999999999</v>
      </c>
      <c r="BO498" s="64">
        <f>IFERROR(1/J498*(X498/H498),"0")</f>
        <v>0.22763694638694637</v>
      </c>
      <c r="BP498" s="64">
        <f>IFERROR(1/J498*(Y498/H498),"0")</f>
        <v>0.23076923076923078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23.674242424242422</v>
      </c>
      <c r="Y502" s="665">
        <f>IFERROR(Y498/H498,"0")+IFERROR(Y499/H499,"0")+IFERROR(Y500/H500,"0")+IFERROR(Y501/H501,"0")</f>
        <v>24</v>
      </c>
      <c r="Z502" s="665">
        <f>IFERROR(IF(Z498="",0,Z498),"0")+IFERROR(IF(Z499="",0,Z499),"0")+IFERROR(IF(Z500="",0,Z500),"0")+IFERROR(IF(Z501="",0,Z501),"0")</f>
        <v>0.28704000000000002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125</v>
      </c>
      <c r="Y503" s="665">
        <f>IFERROR(SUM(Y498:Y501),"0")</f>
        <v>126.72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43</v>
      </c>
      <c r="Y505" s="664">
        <f t="shared" ref="Y505:Y516" si="74">IFERROR(IF(X505="",0,CEILING((X505/$H505),1)*$H505),"")</f>
        <v>47.52</v>
      </c>
      <c r="Z505" s="36">
        <f>IFERROR(IF(Y505=0,"",ROUNDUP(Y505/H505,0)*0.01196),"")</f>
        <v>0.10764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45.931818181818173</v>
      </c>
      <c r="BN505" s="64">
        <f t="shared" ref="BN505:BN516" si="76">IFERROR(Y505*I505/H505,"0")</f>
        <v>50.760000000000005</v>
      </c>
      <c r="BO505" s="64">
        <f t="shared" ref="BO505:BO516" si="77">IFERROR(1/J505*(X505/H505),"0")</f>
        <v>7.8307109557109553E-2</v>
      </c>
      <c r="BP505" s="64">
        <f t="shared" ref="BP505:BP516" si="78">IFERROR(1/J505*(Y505/H505),"0")</f>
        <v>8.6538461538461536E-2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73</v>
      </c>
      <c r="Y506" s="664">
        <f t="shared" si="74"/>
        <v>73.92</v>
      </c>
      <c r="Z506" s="36">
        <f>IFERROR(IF(Y506=0,"",ROUNDUP(Y506/H506,0)*0.01196),"")</f>
        <v>0.16744000000000001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77.97727272727272</v>
      </c>
      <c r="BN506" s="64">
        <f t="shared" si="76"/>
        <v>78.959999999999994</v>
      </c>
      <c r="BO506" s="64">
        <f t="shared" si="77"/>
        <v>0.13293997668997667</v>
      </c>
      <c r="BP506" s="64">
        <f t="shared" si="78"/>
        <v>0.13461538461538464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90</v>
      </c>
      <c r="Y507" s="664">
        <f t="shared" si="74"/>
        <v>95.04</v>
      </c>
      <c r="Z507" s="36">
        <f>IFERROR(IF(Y507=0,"",ROUNDUP(Y507/H507,0)*0.01196),"")</f>
        <v>0.21528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96.136363636363626</v>
      </c>
      <c r="BN507" s="64">
        <f t="shared" si="76"/>
        <v>101.52000000000001</v>
      </c>
      <c r="BO507" s="64">
        <f t="shared" si="77"/>
        <v>0.16389860139860138</v>
      </c>
      <c r="BP507" s="64">
        <f t="shared" si="78"/>
        <v>0.17307692307692307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39.015151515151516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41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0.49036000000000002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206</v>
      </c>
      <c r="Y518" s="665">
        <f>IFERROR(SUM(Y505:Y516),"0")</f>
        <v>216.48000000000002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1542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1619.94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1632.6642404281542</v>
      </c>
      <c r="Y592" s="665">
        <f>IFERROR(SUM(BN22:BN588),"0")</f>
        <v>1714.4579999999999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3</v>
      </c>
      <c r="Y593" s="38">
        <f>ROUNDUP(SUM(BP22:BP588),0)</f>
        <v>3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1707.6642404281542</v>
      </c>
      <c r="Y594" s="665">
        <f>GrossWeightTotalR+PalletQtyTotalR*25</f>
        <v>1789.4579999999999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250.02997124204018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260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3.3337300000000001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43.2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21.6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63.6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167.1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81.599999999999994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70.2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420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54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596.64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2025-04-17T09:11:06Z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