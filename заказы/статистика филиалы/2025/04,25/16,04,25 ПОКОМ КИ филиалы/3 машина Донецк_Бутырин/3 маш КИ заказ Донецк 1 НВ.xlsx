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D04B59B5-7FC8-4AB6-9DC9-3AB54333EF4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39" i="1"/>
  <c r="Z193" i="1"/>
  <c r="Z77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Y593" i="1" s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65" i="1"/>
  <c r="Z385" i="1"/>
  <c r="Z221" i="1"/>
  <c r="Z161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<sst xmlns="http://schemas.openxmlformats.org/spreadsheetml/2006/main" count="2720" uniqueCount="975">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</sst>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9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2</v>
      </c>
      <c r="Y31" s="664">
        <f>IFERROR(IF(X31="",0,CEILING((X31/$H31),1)*$H31),"")</f>
        <v>2.4</v>
      </c>
      <c r="Z31" s="36">
        <f>IFERROR(IF(Y31=0,"",ROUNDUP(Y31/H31,0)*0.00651),"")</f>
        <v>2.6040000000000001E-2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2.7399999999999998</v>
      </c>
      <c r="BN31" s="64">
        <f>IFERROR(Y31*I31/H31,"0")</f>
        <v>3.2879999999999998</v>
      </c>
      <c r="BO31" s="64">
        <f>IFERROR(1/J31*(X31/H31),"0")</f>
        <v>1.8315018315018316E-2</v>
      </c>
      <c r="BP31" s="64">
        <f>IFERROR(1/J31*(Y31/H31),"0")</f>
        <v>2.197802197802198E-2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3.3333333333333335</v>
      </c>
      <c r="Y32" s="665">
        <f>IFERROR(Y31/H31,"0")</f>
        <v>4</v>
      </c>
      <c r="Z32" s="665">
        <f>IFERROR(IF(Z31="",0,Z31),"0")</f>
        <v>2.6040000000000001E-2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2</v>
      </c>
      <c r="Y33" s="665">
        <f>IFERROR(SUM(Y31:Y31),"0")</f>
        <v>2.4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165</v>
      </c>
      <c r="Y37" s="664">
        <f>IFERROR(IF(X37="",0,CEILING((X37/$H37),1)*$H37),"")</f>
        <v>172.8</v>
      </c>
      <c r="Z37" s="36">
        <f>IFERROR(IF(Y37=0,"",ROUNDUP(Y37/H37,0)*0.01898),"")</f>
        <v>0.30368000000000001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171.64583333333331</v>
      </c>
      <c r="BN37" s="64">
        <f>IFERROR(Y37*I37/H37,"0")</f>
        <v>179.76</v>
      </c>
      <c r="BO37" s="64">
        <f>IFERROR(1/J37*(X37/H37),"0")</f>
        <v>0.23871527777777776</v>
      </c>
      <c r="BP37" s="64">
        <f>IFERROR(1/J37*(Y37/H37),"0")</f>
        <v>0.25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15.277777777777777</v>
      </c>
      <c r="Y41" s="665">
        <f>IFERROR(Y37/H37,"0")+IFERROR(Y38/H38,"0")+IFERROR(Y39/H39,"0")+IFERROR(Y40/H40,"0")</f>
        <v>16</v>
      </c>
      <c r="Z41" s="665">
        <f>IFERROR(IF(Z37="",0,Z37),"0")+IFERROR(IF(Z38="",0,Z38),"0")+IFERROR(IF(Z39="",0,Z39),"0")+IFERROR(IF(Z40="",0,Z40),"0")</f>
        <v>0.30368000000000001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165</v>
      </c>
      <c r="Y42" s="665">
        <f>IFERROR(SUM(Y37:Y40),"0")</f>
        <v>172.8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85</v>
      </c>
      <c r="Y50" s="664">
        <f t="shared" si="6"/>
        <v>86.4</v>
      </c>
      <c r="Z50" s="36">
        <f>IFERROR(IF(Y50=0,"",ROUNDUP(Y50/H50,0)*0.01898),"")</f>
        <v>0.15184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88.4236111111111</v>
      </c>
      <c r="BN50" s="64">
        <f t="shared" si="8"/>
        <v>89.88</v>
      </c>
      <c r="BO50" s="64">
        <f t="shared" si="9"/>
        <v>0.12297453703703703</v>
      </c>
      <c r="BP50" s="64">
        <f t="shared" si="10"/>
        <v>0.125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35</v>
      </c>
      <c r="Y52" s="664">
        <f t="shared" si="6"/>
        <v>36</v>
      </c>
      <c r="Z52" s="36">
        <f>IFERROR(IF(Y52=0,"",ROUNDUP(Y52/H52,0)*0.00902),"")</f>
        <v>8.1180000000000002E-2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36.837499999999999</v>
      </c>
      <c r="BN52" s="64">
        <f t="shared" si="8"/>
        <v>37.89</v>
      </c>
      <c r="BO52" s="64">
        <f t="shared" si="9"/>
        <v>6.6287878787878785E-2</v>
      </c>
      <c r="BP52" s="64">
        <f t="shared" si="10"/>
        <v>6.8181818181818177E-2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16.62037037037037</v>
      </c>
      <c r="Y55" s="665">
        <f>IFERROR(Y49/H49,"0")+IFERROR(Y50/H50,"0")+IFERROR(Y51/H51,"0")+IFERROR(Y52/H52,"0")+IFERROR(Y53/H53,"0")+IFERROR(Y54/H54,"0")</f>
        <v>17</v>
      </c>
      <c r="Z55" s="665">
        <f>IFERROR(IF(Z49="",0,Z49),"0")+IFERROR(IF(Z50="",0,Z50),"0")+IFERROR(IF(Z51="",0,Z51),"0")+IFERROR(IF(Z52="",0,Z52),"0")+IFERROR(IF(Z53="",0,Z53),"0")+IFERROR(IF(Z54="",0,Z54),"0")</f>
        <v>0.23302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120</v>
      </c>
      <c r="Y56" s="665">
        <f>IFERROR(SUM(Y49:Y54),"0")</f>
        <v>122.4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108</v>
      </c>
      <c r="Y58" s="664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112.34999999999998</v>
      </c>
      <c r="BN58" s="64">
        <f>IFERROR(Y58*I58/H58,"0")</f>
        <v>112.34999999999998</v>
      </c>
      <c r="BO58" s="64">
        <f>IFERROR(1/J58*(X58/H58),"0")</f>
        <v>0.15625</v>
      </c>
      <c r="BP58" s="64">
        <f>IFERROR(1/J58*(Y58/H58),"0")</f>
        <v>0.15625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10</v>
      </c>
      <c r="Y62" s="665">
        <f>IFERROR(Y58/H58,"0")+IFERROR(Y59/H59,"0")+IFERROR(Y60/H60,"0")+IFERROR(Y61/H61,"0")</f>
        <v>10</v>
      </c>
      <c r="Z62" s="665">
        <f>IFERROR(IF(Z58="",0,Z58),"0")+IFERROR(IF(Z59="",0,Z59),"0")+IFERROR(IF(Z60="",0,Z60),"0")+IFERROR(IF(Z61="",0,Z61),"0")</f>
        <v>0.1898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108</v>
      </c>
      <c r="Y63" s="665">
        <f>IFERROR(SUM(Y58:Y61),"0")</f>
        <v>108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27</v>
      </c>
      <c r="Y80" s="664">
        <f>IFERROR(IF(X80="",0,CEILING((X80/$H80),1)*$H80),"")</f>
        <v>33.6</v>
      </c>
      <c r="Z80" s="36">
        <f>IFERROR(IF(Y80=0,"",ROUNDUP(Y80/H80,0)*0.01898),"")</f>
        <v>7.5920000000000001E-2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28.668214285714285</v>
      </c>
      <c r="BN80" s="64">
        <f>IFERROR(Y80*I80/H80,"0")</f>
        <v>35.676000000000002</v>
      </c>
      <c r="BO80" s="64">
        <f>IFERROR(1/J80*(X80/H80),"0")</f>
        <v>5.0223214285714281E-2</v>
      </c>
      <c r="BP80" s="64">
        <f>IFERROR(1/J80*(Y80/H80),"0")</f>
        <v>6.25E-2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3.214285714285714</v>
      </c>
      <c r="Y83" s="665">
        <f>IFERROR(Y80/H80,"0")+IFERROR(Y81/H81,"0")+IFERROR(Y82/H82,"0")</f>
        <v>4</v>
      </c>
      <c r="Z83" s="665">
        <f>IFERROR(IF(Z80="",0,Z80),"0")+IFERROR(IF(Z81="",0,Z81),"0")+IFERROR(IF(Z82="",0,Z82),"0")</f>
        <v>7.5920000000000001E-2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27</v>
      </c>
      <c r="Y84" s="665">
        <f>IFERROR(SUM(Y80:Y82),"0")</f>
        <v>33.6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238</v>
      </c>
      <c r="Y87" s="664">
        <f>IFERROR(IF(X87="",0,CEILING((X87/$H87),1)*$H87),"")</f>
        <v>248.4</v>
      </c>
      <c r="Z87" s="36">
        <f>IFERROR(IF(Y87=0,"",ROUNDUP(Y87/H87,0)*0.01898),"")</f>
        <v>0.43653999999999998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247.58611111111108</v>
      </c>
      <c r="BN87" s="64">
        <f>IFERROR(Y87*I87/H87,"0")</f>
        <v>258.40499999999997</v>
      </c>
      <c r="BO87" s="64">
        <f>IFERROR(1/J87*(X87/H87),"0")</f>
        <v>0.34432870370370366</v>
      </c>
      <c r="BP87" s="64">
        <f>IFERROR(1/J87*(Y87/H87),"0")</f>
        <v>0.359375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22.037037037037035</v>
      </c>
      <c r="Y90" s="665">
        <f>IFERROR(Y87/H87,"0")+IFERROR(Y88/H88,"0")+IFERROR(Y89/H89,"0")</f>
        <v>23</v>
      </c>
      <c r="Z90" s="665">
        <f>IFERROR(IF(Z87="",0,Z87),"0")+IFERROR(IF(Z88="",0,Z88),"0")+IFERROR(IF(Z89="",0,Z89),"0")</f>
        <v>0.43653999999999998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238</v>
      </c>
      <c r="Y91" s="665">
        <f>IFERROR(SUM(Y87:Y89),"0")</f>
        <v>248.4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248</v>
      </c>
      <c r="Y98" s="664">
        <f t="shared" si="16"/>
        <v>248.4</v>
      </c>
      <c r="Z98" s="36">
        <f>IFERROR(IF(Y98=0,"",ROUNDUP(Y98/H98,0)*0.00651),"")</f>
        <v>0.59892000000000001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271.14666666666665</v>
      </c>
      <c r="BN98" s="64">
        <f t="shared" si="18"/>
        <v>271.584</v>
      </c>
      <c r="BO98" s="64">
        <f t="shared" si="19"/>
        <v>0.50468050468050474</v>
      </c>
      <c r="BP98" s="64">
        <f t="shared" si="20"/>
        <v>0.50549450549450559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91.851851851851848</v>
      </c>
      <c r="Y102" s="665">
        <f>IFERROR(Y93/H93,"0")+IFERROR(Y94/H94,"0")+IFERROR(Y95/H95,"0")+IFERROR(Y96/H96,"0")+IFERROR(Y97/H97,"0")+IFERROR(Y98/H98,"0")+IFERROR(Y99/H99,"0")+IFERROR(Y100/H100,"0")+IFERROR(Y101/H101,"0")</f>
        <v>92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0.59892000000000001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248</v>
      </c>
      <c r="Y103" s="665">
        <f>IFERROR(SUM(Y93:Y101),"0")</f>
        <v>248.4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230</v>
      </c>
      <c r="Y106" s="664">
        <f>IFERROR(IF(X106="",0,CEILING((X106/$H106),1)*$H106),"")</f>
        <v>237.60000000000002</v>
      </c>
      <c r="Z106" s="36">
        <f>IFERROR(IF(Y106=0,"",ROUNDUP(Y106/H106,0)*0.01898),"")</f>
        <v>0.41755999999999999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239.26388888888886</v>
      </c>
      <c r="BN106" s="64">
        <f>IFERROR(Y106*I106/H106,"0")</f>
        <v>247.17</v>
      </c>
      <c r="BO106" s="64">
        <f>IFERROR(1/J106*(X106/H106),"0")</f>
        <v>0.33275462962962959</v>
      </c>
      <c r="BP106" s="64">
        <f>IFERROR(1/J106*(Y106/H106),"0")</f>
        <v>0.34375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68</v>
      </c>
      <c r="Y108" s="664">
        <f>IFERROR(IF(X108="",0,CEILING((X108/$H108),1)*$H108),"")</f>
        <v>72</v>
      </c>
      <c r="Z108" s="36">
        <f>IFERROR(IF(Y108=0,"",ROUNDUP(Y108/H108,0)*0.00902),"")</f>
        <v>0.14432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71.173333333333332</v>
      </c>
      <c r="BN108" s="64">
        <f>IFERROR(Y108*I108/H108,"0")</f>
        <v>75.36</v>
      </c>
      <c r="BO108" s="64">
        <f>IFERROR(1/J108*(X108/H108),"0")</f>
        <v>0.11447811447811448</v>
      </c>
      <c r="BP108" s="64">
        <f>IFERROR(1/J108*(Y108/H108),"0")</f>
        <v>0.12121212121212122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36.407407407407405</v>
      </c>
      <c r="Y110" s="665">
        <f>IFERROR(Y106/H106,"0")+IFERROR(Y107/H107,"0")+IFERROR(Y108/H108,"0")+IFERROR(Y109/H109,"0")</f>
        <v>38</v>
      </c>
      <c r="Z110" s="665">
        <f>IFERROR(IF(Z106="",0,Z106),"0")+IFERROR(IF(Z107="",0,Z107),"0")+IFERROR(IF(Z108="",0,Z108),"0")+IFERROR(IF(Z109="",0,Z109),"0")</f>
        <v>0.56187999999999994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298</v>
      </c>
      <c r="Y111" s="665">
        <f>IFERROR(SUM(Y106:Y109),"0")</f>
        <v>309.60000000000002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39</v>
      </c>
      <c r="Y115" s="664">
        <f>IFERROR(IF(X115="",0,CEILING((X115/$H115),1)*$H115),"")</f>
        <v>40.799999999999997</v>
      </c>
      <c r="Z115" s="36">
        <f>IFERROR(IF(Y115=0,"",ROUNDUP(Y115/H115,0)*0.00651),"")</f>
        <v>0.11067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41.925000000000004</v>
      </c>
      <c r="BN115" s="64">
        <f>IFERROR(Y115*I115/H115,"0")</f>
        <v>43.86</v>
      </c>
      <c r="BO115" s="64">
        <f>IFERROR(1/J115*(X115/H115),"0")</f>
        <v>8.9285714285714288E-2</v>
      </c>
      <c r="BP115" s="64">
        <f>IFERROR(1/J115*(Y115/H115),"0")</f>
        <v>9.3406593406593408E-2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16.25</v>
      </c>
      <c r="Y116" s="665">
        <f>IFERROR(Y113/H113,"0")+IFERROR(Y114/H114,"0")+IFERROR(Y115/H115,"0")</f>
        <v>17</v>
      </c>
      <c r="Z116" s="665">
        <f>IFERROR(IF(Z113="",0,Z113),"0")+IFERROR(IF(Z114="",0,Z114),"0")+IFERROR(IF(Z115="",0,Z115),"0")</f>
        <v>0.11067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39</v>
      </c>
      <c r="Y117" s="665">
        <f>IFERROR(SUM(Y113:Y115),"0")</f>
        <v>40.799999999999997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530</v>
      </c>
      <c r="Y120" s="664">
        <f t="shared" si="21"/>
        <v>537.6</v>
      </c>
      <c r="Z120" s="36">
        <f>IFERROR(IF(Y120=0,"",ROUNDUP(Y120/H120,0)*0.01898),"")</f>
        <v>1.21472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562.36785714285713</v>
      </c>
      <c r="BN120" s="64">
        <f t="shared" si="23"/>
        <v>570.43200000000002</v>
      </c>
      <c r="BO120" s="64">
        <f t="shared" si="24"/>
        <v>0.98586309523809523</v>
      </c>
      <c r="BP120" s="64">
        <f t="shared" si="25"/>
        <v>1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257</v>
      </c>
      <c r="Y125" s="664">
        <f t="shared" si="21"/>
        <v>259.20000000000005</v>
      </c>
      <c r="Z125" s="36">
        <f t="shared" si="26"/>
        <v>0.62495999999999996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280.98666666666662</v>
      </c>
      <c r="BN125" s="64">
        <f t="shared" si="23"/>
        <v>283.39200000000005</v>
      </c>
      <c r="BO125" s="64">
        <f t="shared" si="24"/>
        <v>0.52299552299552299</v>
      </c>
      <c r="BP125" s="64">
        <f t="shared" si="25"/>
        <v>0.5274725274725276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158.28042328042326</v>
      </c>
      <c r="Y128" s="665">
        <f>IFERROR(Y119/H119,"0")+IFERROR(Y120/H120,"0")+IFERROR(Y121/H121,"0")+IFERROR(Y122/H122,"0")+IFERROR(Y123/H123,"0")+IFERROR(Y124/H124,"0")+IFERROR(Y125/H125,"0")+IFERROR(Y126/H126,"0")+IFERROR(Y127/H127,"0")</f>
        <v>160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1.83968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787</v>
      </c>
      <c r="Y129" s="665">
        <f>IFERROR(SUM(Y119:Y127),"0")</f>
        <v>796.80000000000007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2</v>
      </c>
      <c r="Y170" s="664">
        <f>IFERROR(IF(X170="",0,CEILING((X170/$H170),1)*$H170),"")</f>
        <v>3.96</v>
      </c>
      <c r="Z170" s="36">
        <f>IFERROR(IF(Y170=0,"",ROUNDUP(Y170/H170,0)*0.00502),"")</f>
        <v>1.004E-2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2.1010101010101012</v>
      </c>
      <c r="BN170" s="64">
        <f>IFERROR(Y170*I170/H170,"0")</f>
        <v>4.16</v>
      </c>
      <c r="BO170" s="64">
        <f>IFERROR(1/J170*(X170/H170),"0")</f>
        <v>4.3166709833376508E-3</v>
      </c>
      <c r="BP170" s="64">
        <f>IFERROR(1/J170*(Y170/H170),"0")</f>
        <v>8.5470085470085479E-3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1.0101010101010102</v>
      </c>
      <c r="Y171" s="665">
        <f>IFERROR(Y170/H170,"0")</f>
        <v>2</v>
      </c>
      <c r="Z171" s="665">
        <f>IFERROR(IF(Z170="",0,Z170),"0")</f>
        <v>1.004E-2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2</v>
      </c>
      <c r="Y172" s="665">
        <f>IFERROR(SUM(Y170:Y170),"0")</f>
        <v>3.96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41</v>
      </c>
      <c r="Y174" s="664">
        <f t="shared" ref="Y174:Y182" si="27">IFERROR(IF(X174="",0,CEILING((X174/$H174),1)*$H174),"")</f>
        <v>42</v>
      </c>
      <c r="Z174" s="36">
        <f>IFERROR(IF(Y174=0,"",ROUNDUP(Y174/H174,0)*0.00902),"")</f>
        <v>9.0200000000000002E-2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43.635714285714279</v>
      </c>
      <c r="BN174" s="64">
        <f t="shared" ref="BN174:BN182" si="29">IFERROR(Y174*I174/H174,"0")</f>
        <v>44.699999999999996</v>
      </c>
      <c r="BO174" s="64">
        <f t="shared" ref="BO174:BO182" si="30">IFERROR(1/J174*(X174/H174),"0")</f>
        <v>7.3953823953823952E-2</v>
      </c>
      <c r="BP174" s="64">
        <f t="shared" ref="BP174:BP182" si="31">IFERROR(1/J174*(Y174/H174),"0")</f>
        <v>7.575757575757576E-2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150</v>
      </c>
      <c r="Y176" s="664">
        <f t="shared" si="27"/>
        <v>151.20000000000002</v>
      </c>
      <c r="Z176" s="36">
        <f>IFERROR(IF(Y176=0,"",ROUNDUP(Y176/H176,0)*0.00902),"")</f>
        <v>0.32472000000000001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157.5</v>
      </c>
      <c r="BN176" s="64">
        <f t="shared" si="29"/>
        <v>158.76000000000002</v>
      </c>
      <c r="BO176" s="64">
        <f t="shared" si="30"/>
        <v>0.27056277056277056</v>
      </c>
      <c r="BP176" s="64">
        <f t="shared" si="31"/>
        <v>0.27272727272727271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225</v>
      </c>
      <c r="Y177" s="664">
        <f t="shared" si="27"/>
        <v>226.8</v>
      </c>
      <c r="Z177" s="36">
        <f>IFERROR(IF(Y177=0,"",ROUNDUP(Y177/H177,0)*0.00502),"")</f>
        <v>0.54215999999999998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238.92857142857142</v>
      </c>
      <c r="BN177" s="64">
        <f t="shared" si="29"/>
        <v>240.84</v>
      </c>
      <c r="BO177" s="64">
        <f t="shared" si="30"/>
        <v>0.45787545787545791</v>
      </c>
      <c r="BP177" s="64">
        <f t="shared" si="31"/>
        <v>0.46153846153846156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9</v>
      </c>
      <c r="Y179" s="664">
        <f t="shared" si="27"/>
        <v>9</v>
      </c>
      <c r="Z179" s="36">
        <f>IFERROR(IF(Y179=0,"",ROUNDUP(Y179/H179,0)*0.00502),"")</f>
        <v>2.5100000000000001E-2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9.65</v>
      </c>
      <c r="BN179" s="64">
        <f t="shared" si="29"/>
        <v>9.65</v>
      </c>
      <c r="BO179" s="64">
        <f t="shared" si="30"/>
        <v>2.1367521367521368E-2</v>
      </c>
      <c r="BP179" s="64">
        <f t="shared" si="31"/>
        <v>2.1367521367521368E-2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127</v>
      </c>
      <c r="Y180" s="664">
        <f t="shared" si="27"/>
        <v>128.1</v>
      </c>
      <c r="Z180" s="36">
        <f>IFERROR(IF(Y180=0,"",ROUNDUP(Y180/H180,0)*0.00502),"")</f>
        <v>0.30621999999999999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133.04761904761907</v>
      </c>
      <c r="BN180" s="64">
        <f t="shared" si="29"/>
        <v>134.19999999999999</v>
      </c>
      <c r="BO180" s="64">
        <f t="shared" si="30"/>
        <v>0.25844525844525845</v>
      </c>
      <c r="BP180" s="64">
        <f t="shared" si="31"/>
        <v>0.2606837606837607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218.0952380952381</v>
      </c>
      <c r="Y183" s="665">
        <f>IFERROR(Y174/H174,"0")+IFERROR(Y175/H175,"0")+IFERROR(Y176/H176,"0")+IFERROR(Y177/H177,"0")+IFERROR(Y178/H178,"0")+IFERROR(Y179/H179,"0")+IFERROR(Y180/H180,"0")+IFERROR(Y181/H181,"0")+IFERROR(Y182/H182,"0")</f>
        <v>220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1.2884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552</v>
      </c>
      <c r="Y184" s="665">
        <f>IFERROR(SUM(Y174:Y182),"0")</f>
        <v>557.1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18</v>
      </c>
      <c r="Y201" s="664">
        <f t="shared" ref="Y201:Y208" si="32">IFERROR(IF(X201="",0,CEILING((X201/$H201),1)*$H201),"")</f>
        <v>21.6</v>
      </c>
      <c r="Z201" s="36">
        <f>IFERROR(IF(Y201=0,"",ROUNDUP(Y201/H201,0)*0.00902),"")</f>
        <v>3.6080000000000001E-2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18.7</v>
      </c>
      <c r="BN201" s="64">
        <f t="shared" ref="BN201:BN208" si="34">IFERROR(Y201*I201/H201,"0")</f>
        <v>22.44</v>
      </c>
      <c r="BO201" s="64">
        <f t="shared" ref="BO201:BO208" si="35">IFERROR(1/J201*(X201/H201),"0")</f>
        <v>2.5252525252525252E-2</v>
      </c>
      <c r="BP201" s="64">
        <f t="shared" ref="BP201:BP208" si="36">IFERROR(1/J201*(Y201/H201),"0")</f>
        <v>3.0303030303030304E-2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122</v>
      </c>
      <c r="Y202" s="664">
        <f t="shared" si="32"/>
        <v>124.2</v>
      </c>
      <c r="Z202" s="36">
        <f>IFERROR(IF(Y202=0,"",ROUNDUP(Y202/H202,0)*0.00902),"")</f>
        <v>0.20746000000000001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126.74444444444445</v>
      </c>
      <c r="BN202" s="64">
        <f t="shared" si="34"/>
        <v>129.03</v>
      </c>
      <c r="BO202" s="64">
        <f t="shared" si="35"/>
        <v>0.17115600448933782</v>
      </c>
      <c r="BP202" s="64">
        <f t="shared" si="36"/>
        <v>0.17424242424242425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191</v>
      </c>
      <c r="Y204" s="664">
        <f t="shared" si="32"/>
        <v>194.4</v>
      </c>
      <c r="Z204" s="36">
        <f>IFERROR(IF(Y204=0,"",ROUNDUP(Y204/H204,0)*0.00902),"")</f>
        <v>0.32472000000000001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198.42777777777778</v>
      </c>
      <c r="BN204" s="64">
        <f t="shared" si="34"/>
        <v>201.96</v>
      </c>
      <c r="BO204" s="64">
        <f t="shared" si="35"/>
        <v>0.2679573512906846</v>
      </c>
      <c r="BP204" s="64">
        <f t="shared" si="36"/>
        <v>0.27272727272727271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70</v>
      </c>
      <c r="Y205" s="664">
        <f t="shared" si="32"/>
        <v>70.2</v>
      </c>
      <c r="Z205" s="36">
        <f>IFERROR(IF(Y205=0,"",ROUNDUP(Y205/H205,0)*0.00502),"")</f>
        <v>0.19578000000000001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75.055555555555557</v>
      </c>
      <c r="BN205" s="64">
        <f t="shared" si="34"/>
        <v>75.27</v>
      </c>
      <c r="BO205" s="64">
        <f t="shared" si="35"/>
        <v>0.16619183285849953</v>
      </c>
      <c r="BP205" s="64">
        <f t="shared" si="36"/>
        <v>0.16666666666666669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116.85185185185185</v>
      </c>
      <c r="Y209" s="665">
        <f>IFERROR(Y201/H201,"0")+IFERROR(Y202/H202,"0")+IFERROR(Y203/H203,"0")+IFERROR(Y204/H204,"0")+IFERROR(Y205/H205,"0")+IFERROR(Y206/H206,"0")+IFERROR(Y207/H207,"0")+IFERROR(Y208/H208,"0")</f>
        <v>119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0.84938000000000002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431</v>
      </c>
      <c r="Y210" s="665">
        <f>IFERROR(SUM(Y201:Y208),"0")</f>
        <v>441.00000000000006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188</v>
      </c>
      <c r="Y214" s="664">
        <f t="shared" si="37"/>
        <v>191.39999999999998</v>
      </c>
      <c r="Z214" s="36">
        <f>IFERROR(IF(Y214=0,"",ROUNDUP(Y214/H214,0)*0.01898),"")</f>
        <v>0.41755999999999999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199.21517241379308</v>
      </c>
      <c r="BN214" s="64">
        <f t="shared" si="39"/>
        <v>202.81799999999998</v>
      </c>
      <c r="BO214" s="64">
        <f t="shared" si="40"/>
        <v>0.33764367816091956</v>
      </c>
      <c r="BP214" s="64">
        <f t="shared" si="41"/>
        <v>0.34375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357</v>
      </c>
      <c r="Y215" s="664">
        <f t="shared" si="37"/>
        <v>357.59999999999997</v>
      </c>
      <c r="Z215" s="36">
        <f t="shared" ref="Z215:Z220" si="42">IFERROR(IF(Y215=0,"",ROUNDUP(Y215/H215,0)*0.00651),"")</f>
        <v>0.96999000000000002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397.16249999999997</v>
      </c>
      <c r="BN215" s="64">
        <f t="shared" si="39"/>
        <v>397.83</v>
      </c>
      <c r="BO215" s="64">
        <f t="shared" si="40"/>
        <v>0.8173076923076924</v>
      </c>
      <c r="BP215" s="64">
        <f t="shared" si="41"/>
        <v>0.81868131868131877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220</v>
      </c>
      <c r="Y217" s="664">
        <f t="shared" si="37"/>
        <v>220.79999999999998</v>
      </c>
      <c r="Z217" s="36">
        <f t="shared" si="42"/>
        <v>0.59892000000000001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243.10000000000002</v>
      </c>
      <c r="BN217" s="64">
        <f t="shared" si="39"/>
        <v>243.98400000000001</v>
      </c>
      <c r="BO217" s="64">
        <f t="shared" si="40"/>
        <v>0.50366300366300376</v>
      </c>
      <c r="BP217" s="64">
        <f t="shared" si="41"/>
        <v>0.50549450549450559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281</v>
      </c>
      <c r="Y218" s="664">
        <f t="shared" si="37"/>
        <v>283.2</v>
      </c>
      <c r="Z218" s="36">
        <f t="shared" si="42"/>
        <v>0.76817999999999997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310.505</v>
      </c>
      <c r="BN218" s="64">
        <f t="shared" si="39"/>
        <v>312.93600000000004</v>
      </c>
      <c r="BO218" s="64">
        <f t="shared" si="40"/>
        <v>0.64331501831501847</v>
      </c>
      <c r="BP218" s="64">
        <f t="shared" si="41"/>
        <v>0.64835164835164838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89</v>
      </c>
      <c r="Y220" s="664">
        <f t="shared" si="37"/>
        <v>91.2</v>
      </c>
      <c r="Z220" s="36">
        <f t="shared" si="42"/>
        <v>0.24738000000000002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98.567499999999995</v>
      </c>
      <c r="BN220" s="64">
        <f t="shared" si="39"/>
        <v>101.004</v>
      </c>
      <c r="BO220" s="64">
        <f t="shared" si="40"/>
        <v>0.20375457875457878</v>
      </c>
      <c r="BP220" s="64">
        <f t="shared" si="41"/>
        <v>0.2087912087912088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416.19252873563215</v>
      </c>
      <c r="Y221" s="665">
        <f>IFERROR(Y212/H212,"0")+IFERROR(Y213/H213,"0")+IFERROR(Y214/H214,"0")+IFERROR(Y215/H215,"0")+IFERROR(Y216/H216,"0")+IFERROR(Y217/H217,"0")+IFERROR(Y218/H218,"0")+IFERROR(Y219/H219,"0")+IFERROR(Y220/H220,"0")</f>
        <v>419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3.0020300000000004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1135</v>
      </c>
      <c r="Y222" s="665">
        <f>IFERROR(SUM(Y212:Y220),"0")</f>
        <v>1144.2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17</v>
      </c>
      <c r="Y224" s="664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18.785000000000004</v>
      </c>
      <c r="BN224" s="64">
        <f>IFERROR(Y224*I224/H224,"0")</f>
        <v>21.216000000000001</v>
      </c>
      <c r="BO224" s="64">
        <f>IFERROR(1/J224*(X224/H224),"0")</f>
        <v>3.8919413919413927E-2</v>
      </c>
      <c r="BP224" s="64">
        <f>IFERROR(1/J224*(Y224/H224),"0")</f>
        <v>4.3956043956043959E-2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22</v>
      </c>
      <c r="Y225" s="664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24.310000000000002</v>
      </c>
      <c r="BN225" s="64">
        <f>IFERROR(Y225*I225/H225,"0")</f>
        <v>26.520000000000003</v>
      </c>
      <c r="BO225" s="64">
        <f>IFERROR(1/J225*(X225/H225),"0")</f>
        <v>5.0366300366300375E-2</v>
      </c>
      <c r="BP225" s="64">
        <f>IFERROR(1/J225*(Y225/H225),"0")</f>
        <v>5.4945054945054951E-2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16.25</v>
      </c>
      <c r="Y226" s="665">
        <f>IFERROR(Y224/H224,"0")+IFERROR(Y225/H225,"0")</f>
        <v>18</v>
      </c>
      <c r="Z226" s="665">
        <f>IFERROR(IF(Z224="",0,Z224),"0")+IFERROR(IF(Z225="",0,Z225),"0")</f>
        <v>0.11718000000000001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39</v>
      </c>
      <c r="Y227" s="665">
        <f>IFERROR(SUM(Y224:Y225),"0")</f>
        <v>43.2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813</v>
      </c>
      <c r="Y344" s="664">
        <f>IFERROR(IF(X344="",0,CEILING((X344/$H344),1)*$H344),"")</f>
        <v>819</v>
      </c>
      <c r="Z344" s="36">
        <f>IFERROR(IF(Y344=0,"",ROUNDUP(Y344/H344,0)*0.01898),"")</f>
        <v>1.9929000000000001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867.09576923076929</v>
      </c>
      <c r="BN344" s="64">
        <f>IFERROR(Y344*I344/H344,"0")</f>
        <v>873.49500000000012</v>
      </c>
      <c r="BO344" s="64">
        <f>IFERROR(1/J344*(X344/H344),"0")</f>
        <v>1.6286057692307692</v>
      </c>
      <c r="BP344" s="64">
        <f>IFERROR(1/J344*(Y344/H344),"0")</f>
        <v>1.640625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104.23076923076923</v>
      </c>
      <c r="Y346" s="665">
        <f>IFERROR(Y343/H343,"0")+IFERROR(Y344/H344,"0")+IFERROR(Y345/H345,"0")</f>
        <v>105</v>
      </c>
      <c r="Z346" s="665">
        <f>IFERROR(IF(Z343="",0,Z343),"0")+IFERROR(IF(Z344="",0,Z344),"0")+IFERROR(IF(Z345="",0,Z345),"0")</f>
        <v>1.9929000000000001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813</v>
      </c>
      <c r="Y347" s="665">
        <f>IFERROR(SUM(Y343:Y345),"0")</f>
        <v>819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3</v>
      </c>
      <c r="Y351" s="664">
        <f>IFERROR(IF(X351="",0,CEILING((X351/$H351),1)*$H351),"")</f>
        <v>5.0999999999999996</v>
      </c>
      <c r="Z351" s="36">
        <f>IFERROR(IF(Y351=0,"",ROUNDUP(Y351/H351,0)*0.00651),"")</f>
        <v>1.302E-2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3.4764705882352946</v>
      </c>
      <c r="BN351" s="64">
        <f>IFERROR(Y351*I351/H351,"0")</f>
        <v>5.91</v>
      </c>
      <c r="BO351" s="64">
        <f>IFERROR(1/J351*(X351/H351),"0")</f>
        <v>6.4641241111829352E-3</v>
      </c>
      <c r="BP351" s="64">
        <f>IFERROR(1/J351*(Y351/H351),"0")</f>
        <v>1.098901098901099E-2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45</v>
      </c>
      <c r="Y352" s="664">
        <f>IFERROR(IF(X352="",0,CEILING((X352/$H352),1)*$H352),"")</f>
        <v>45.9</v>
      </c>
      <c r="Z352" s="36">
        <f>IFERROR(IF(Y352=0,"",ROUNDUP(Y352/H352,0)*0.00651),"")</f>
        <v>0.11718000000000001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50.82352941176471</v>
      </c>
      <c r="BN352" s="64">
        <f>IFERROR(Y352*I352/H352,"0")</f>
        <v>51.839999999999996</v>
      </c>
      <c r="BO352" s="64">
        <f>IFERROR(1/J352*(X352/H352),"0")</f>
        <v>9.6961861667744037E-2</v>
      </c>
      <c r="BP352" s="64">
        <f>IFERROR(1/J352*(Y352/H352),"0")</f>
        <v>9.8901098901098911E-2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18.823529411764707</v>
      </c>
      <c r="Y353" s="665">
        <f>IFERROR(Y349/H349,"0")+IFERROR(Y350/H350,"0")+IFERROR(Y351/H351,"0")+IFERROR(Y352/H352,"0")</f>
        <v>20</v>
      </c>
      <c r="Z353" s="665">
        <f>IFERROR(IF(Z349="",0,Z349),"0")+IFERROR(IF(Z350="",0,Z350),"0")+IFERROR(IF(Z351="",0,Z351),"0")+IFERROR(IF(Z352="",0,Z352),"0")</f>
        <v>0.13020000000000001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48</v>
      </c>
      <c r="Y354" s="665">
        <f>IFERROR(SUM(Y349:Y352),"0")</f>
        <v>51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982</v>
      </c>
      <c r="Y375" s="664">
        <f t="shared" ref="Y375:Y384" si="58">IFERROR(IF(X375="",0,CEILING((X375/$H375),1)*$H375),"")</f>
        <v>990</v>
      </c>
      <c r="Z375" s="36">
        <f>IFERROR(IF(Y375=0,"",ROUNDUP(Y375/H375,0)*0.02175),"")</f>
        <v>1.4355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1013.4240000000001</v>
      </c>
      <c r="BN375" s="64">
        <f t="shared" ref="BN375:BN384" si="60">IFERROR(Y375*I375/H375,"0")</f>
        <v>1021.6800000000001</v>
      </c>
      <c r="BO375" s="64">
        <f t="shared" ref="BO375:BO384" si="61">IFERROR(1/J375*(X375/H375),"0")</f>
        <v>1.3638888888888889</v>
      </c>
      <c r="BP375" s="64">
        <f t="shared" ref="BP375:BP384" si="62">IFERROR(1/J375*(Y375/H375),"0")</f>
        <v>1.375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864</v>
      </c>
      <c r="Y377" s="664">
        <f t="shared" si="58"/>
        <v>870</v>
      </c>
      <c r="Z377" s="36">
        <f>IFERROR(IF(Y377=0,"",ROUNDUP(Y377/H377,0)*0.02175),"")</f>
        <v>1.2614999999999998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891.64800000000002</v>
      </c>
      <c r="BN377" s="64">
        <f t="shared" si="60"/>
        <v>897.84</v>
      </c>
      <c r="BO377" s="64">
        <f t="shared" si="61"/>
        <v>1.2</v>
      </c>
      <c r="BP377" s="64">
        <f t="shared" si="62"/>
        <v>1.2083333333333333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785</v>
      </c>
      <c r="Y379" s="664">
        <f t="shared" si="58"/>
        <v>795</v>
      </c>
      <c r="Z379" s="36">
        <f>IFERROR(IF(Y379=0,"",ROUNDUP(Y379/H379,0)*0.02175),"")</f>
        <v>1.1527499999999999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810.12000000000012</v>
      </c>
      <c r="BN379" s="64">
        <f t="shared" si="60"/>
        <v>820.44</v>
      </c>
      <c r="BO379" s="64">
        <f t="shared" si="61"/>
        <v>1.0902777777777777</v>
      </c>
      <c r="BP379" s="64">
        <f t="shared" si="62"/>
        <v>1.1041666666666665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1241</v>
      </c>
      <c r="Y380" s="664">
        <f t="shared" si="58"/>
        <v>1245</v>
      </c>
      <c r="Z380" s="36">
        <f>IFERROR(IF(Y380=0,"",ROUNDUP(Y380/H380,0)*0.02175),"")</f>
        <v>1.8052499999999998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1280.712</v>
      </c>
      <c r="BN380" s="64">
        <f t="shared" si="60"/>
        <v>1284.8400000000001</v>
      </c>
      <c r="BO380" s="64">
        <f t="shared" si="61"/>
        <v>1.723611111111111</v>
      </c>
      <c r="BP380" s="64">
        <f t="shared" si="62"/>
        <v>1.7291666666666665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258.13333333333333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260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5.6550000000000002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3872</v>
      </c>
      <c r="Y386" s="665">
        <f>IFERROR(SUM(Y375:Y384),"0")</f>
        <v>3900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1027</v>
      </c>
      <c r="Y388" s="664">
        <f>IFERROR(IF(X388="",0,CEILING((X388/$H388),1)*$H388),"")</f>
        <v>1035</v>
      </c>
      <c r="Z388" s="36">
        <f>IFERROR(IF(Y388=0,"",ROUNDUP(Y388/H388,0)*0.02175),"")</f>
        <v>1.5007499999999998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1059.864</v>
      </c>
      <c r="BN388" s="64">
        <f>IFERROR(Y388*I388/H388,"0")</f>
        <v>1068.1200000000001</v>
      </c>
      <c r="BO388" s="64">
        <f>IFERROR(1/J388*(X388/H388),"0")</f>
        <v>1.4263888888888889</v>
      </c>
      <c r="BP388" s="64">
        <f>IFERROR(1/J388*(Y388/H388),"0")</f>
        <v>1.4375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68.466666666666669</v>
      </c>
      <c r="Y390" s="665">
        <f>IFERROR(Y388/H388,"0")+IFERROR(Y389/H389,"0")</f>
        <v>69</v>
      </c>
      <c r="Z390" s="665">
        <f>IFERROR(IF(Z388="",0,Z388),"0")+IFERROR(IF(Z389="",0,Z389),"0")</f>
        <v>1.5007499999999998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1027</v>
      </c>
      <c r="Y391" s="665">
        <f>IFERROR(SUM(Y388:Y389),"0")</f>
        <v>1035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1248</v>
      </c>
      <c r="Y416" s="664">
        <f>IFERROR(IF(X416="",0,CEILING((X416/$H416),1)*$H416),"")</f>
        <v>1251</v>
      </c>
      <c r="Z416" s="36">
        <f>IFERROR(IF(Y416=0,"",ROUNDUP(Y416/H416,0)*0.01898),"")</f>
        <v>2.63822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1319.9679999999998</v>
      </c>
      <c r="BN416" s="64">
        <f>IFERROR(Y416*I416/H416,"0")</f>
        <v>1323.1410000000001</v>
      </c>
      <c r="BO416" s="64">
        <f>IFERROR(1/J416*(X416/H416),"0")</f>
        <v>2.1666666666666665</v>
      </c>
      <c r="BP416" s="64">
        <f>IFERROR(1/J416*(Y416/H416),"0")</f>
        <v>2.171875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138.66666666666666</v>
      </c>
      <c r="Y421" s="665">
        <f>IFERROR(Y416/H416,"0")+IFERROR(Y417/H417,"0")+IFERROR(Y418/H418,"0")+IFERROR(Y419/H419,"0")+IFERROR(Y420/H420,"0")</f>
        <v>139</v>
      </c>
      <c r="Z421" s="665">
        <f>IFERROR(IF(Z416="",0,Z416),"0")+IFERROR(IF(Z417="",0,Z417),"0")+IFERROR(IF(Z418="",0,Z418),"0")+IFERROR(IF(Z419="",0,Z419),"0")+IFERROR(IF(Z420="",0,Z420),"0")</f>
        <v>2.63822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1248</v>
      </c>
      <c r="Y422" s="665">
        <f>IFERROR(SUM(Y416:Y420),"0")</f>
        <v>1251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1007</v>
      </c>
      <c r="Y482" s="664">
        <f t="shared" si="69"/>
        <v>1008.48</v>
      </c>
      <c r="Z482" s="36">
        <f>IFERROR(IF(Y482=0,"",ROUNDUP(Y482/H482,0)*0.01196),"")</f>
        <v>2.2843599999999999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1075.6590909090908</v>
      </c>
      <c r="BN482" s="64">
        <f t="shared" si="71"/>
        <v>1077.24</v>
      </c>
      <c r="BO482" s="64">
        <f t="shared" si="72"/>
        <v>1.8338432400932403</v>
      </c>
      <c r="BP482" s="64">
        <f t="shared" si="73"/>
        <v>1.8365384615384617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920</v>
      </c>
      <c r="Y483" s="664">
        <f t="shared" si="69"/>
        <v>924</v>
      </c>
      <c r="Z483" s="36">
        <f>IFERROR(IF(Y483=0,"",ROUNDUP(Y483/H483,0)*0.01196),"")</f>
        <v>2.093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982.72727272727252</v>
      </c>
      <c r="BN483" s="64">
        <f t="shared" si="71"/>
        <v>986.99999999999989</v>
      </c>
      <c r="BO483" s="64">
        <f t="shared" si="72"/>
        <v>1.6754079254079253</v>
      </c>
      <c r="BP483" s="64">
        <f t="shared" si="73"/>
        <v>1.6826923076923077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364.96212121212119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366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4.3773599999999995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1927</v>
      </c>
      <c r="Y496" s="665">
        <f>IFERROR(SUM(Y480:Y494),"0")</f>
        <v>1932.48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608</v>
      </c>
      <c r="Y498" s="664">
        <f>IFERROR(IF(X498="",0,CEILING((X498/$H498),1)*$H498),"")</f>
        <v>612.48</v>
      </c>
      <c r="Z498" s="36">
        <f>IFERROR(IF(Y498=0,"",ROUNDUP(Y498/H498,0)*0.01196),"")</f>
        <v>1.3873599999999999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649.45454545454538</v>
      </c>
      <c r="BN498" s="64">
        <f>IFERROR(Y498*I498/H498,"0")</f>
        <v>654.24</v>
      </c>
      <c r="BO498" s="64">
        <f>IFERROR(1/J498*(X498/H498),"0")</f>
        <v>1.1072261072261071</v>
      </c>
      <c r="BP498" s="64">
        <f>IFERROR(1/J498*(Y498/H498),"0")</f>
        <v>1.1153846153846154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65</v>
      </c>
      <c r="Y501" s="664">
        <f>IFERROR(IF(X501="",0,CEILING((X501/$H501),1)*$H501),"")</f>
        <v>67.2</v>
      </c>
      <c r="Z501" s="36">
        <f>IFERROR(IF(Y501=0,"",ROUNDUP(Y501/H501,0)*0.00902),"")</f>
        <v>0.12628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93.84375</v>
      </c>
      <c r="BN501" s="64">
        <f>IFERROR(Y501*I501/H501,"0")</f>
        <v>97.02000000000001</v>
      </c>
      <c r="BO501" s="64">
        <f>IFERROR(1/J501*(X501/H501),"0")</f>
        <v>0.10258838383838385</v>
      </c>
      <c r="BP501" s="64">
        <f>IFERROR(1/J501*(Y501/H501),"0")</f>
        <v>0.10606060606060608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128.69318181818181</v>
      </c>
      <c r="Y502" s="665">
        <f>IFERROR(Y498/H498,"0")+IFERROR(Y499/H499,"0")+IFERROR(Y500/H500,"0")+IFERROR(Y501/H501,"0")</f>
        <v>130</v>
      </c>
      <c r="Z502" s="665">
        <f>IFERROR(IF(Z498="",0,Z498),"0")+IFERROR(IF(Z499="",0,Z499),"0")+IFERROR(IF(Z500="",0,Z500),"0")+IFERROR(IF(Z501="",0,Z501),"0")</f>
        <v>1.5136399999999999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673</v>
      </c>
      <c r="Y503" s="665">
        <f>IFERROR(SUM(Y498:Y501),"0")</f>
        <v>679.68000000000006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546</v>
      </c>
      <c r="Y505" s="664">
        <f t="shared" ref="Y505:Y516" si="74">IFERROR(IF(X505="",0,CEILING((X505/$H505),1)*$H505),"")</f>
        <v>549.12</v>
      </c>
      <c r="Z505" s="36">
        <f>IFERROR(IF(Y505=0,"",ROUNDUP(Y505/H505,0)*0.01196),"")</f>
        <v>1.2438400000000001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583.22727272727263</v>
      </c>
      <c r="BN505" s="64">
        <f t="shared" ref="BN505:BN516" si="76">IFERROR(Y505*I505/H505,"0")</f>
        <v>586.55999999999995</v>
      </c>
      <c r="BO505" s="64">
        <f t="shared" ref="BO505:BO516" si="77">IFERROR(1/J505*(X505/H505),"0")</f>
        <v>0.99431818181818188</v>
      </c>
      <c r="BP505" s="64">
        <f t="shared" ref="BP505:BP516" si="78">IFERROR(1/J505*(Y505/H505),"0")</f>
        <v>1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546</v>
      </c>
      <c r="Y506" s="664">
        <f t="shared" si="74"/>
        <v>549.12</v>
      </c>
      <c r="Z506" s="36">
        <f>IFERROR(IF(Y506=0,"",ROUNDUP(Y506/H506,0)*0.01196),"")</f>
        <v>1.2438400000000001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583.22727272727263</v>
      </c>
      <c r="BN506" s="64">
        <f t="shared" si="76"/>
        <v>586.55999999999995</v>
      </c>
      <c r="BO506" s="64">
        <f t="shared" si="77"/>
        <v>0.99431818181818188</v>
      </c>
      <c r="BP506" s="64">
        <f t="shared" si="78"/>
        <v>1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575</v>
      </c>
      <c r="Y507" s="664">
        <f t="shared" si="74"/>
        <v>575.52</v>
      </c>
      <c r="Z507" s="36">
        <f>IFERROR(IF(Y507=0,"",ROUNDUP(Y507/H507,0)*0.01196),"")</f>
        <v>1.3036399999999999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614.20454545454538</v>
      </c>
      <c r="BN507" s="64">
        <f t="shared" si="76"/>
        <v>614.75999999999988</v>
      </c>
      <c r="BO507" s="64">
        <f t="shared" si="77"/>
        <v>1.0471299533799534</v>
      </c>
      <c r="BP507" s="64">
        <f t="shared" si="78"/>
        <v>1.0480769230769229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315.71969696969694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317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3.7913199999999998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1667</v>
      </c>
      <c r="Y518" s="665">
        <f>IFERROR(SUM(Y505:Y516),"0")</f>
        <v>1673.76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15466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15614.58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16361.692733491602</v>
      </c>
      <c r="Y592" s="665">
        <f>IFERROR(SUM(BN22:BN588),"0")</f>
        <v>16519.350999999999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27</v>
      </c>
      <c r="Y593" s="38">
        <f>ROUNDUP(SUM(BP22:BP588),0)</f>
        <v>27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17036.692733491604</v>
      </c>
      <c r="Y594" s="665">
        <f>GrossWeightTotalR+PalletQtyTotalR*25</f>
        <v>17194.350999999999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2539.3681717745108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2565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31.242569999999997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2.4</v>
      </c>
      <c r="C601" s="46">
        <f>IFERROR(Y37*1,"0")+IFERROR(Y38*1,"0")+IFERROR(Y39*1,"0")+IFERROR(Y40*1,"0")+IFERROR(Y44*1,"0")</f>
        <v>172.8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264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496.8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1147.2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561.06000000000006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1628.4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870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4935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1251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4285.92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