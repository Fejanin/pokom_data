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Uaer4\Desktop\16,04,25 ПОКОМ КИ филиалы\"/>
    </mc:Choice>
  </mc:AlternateContent>
  <xr:revisionPtr revIDLastSave="0" documentId="13_ncr:1_{EEFD5B57-A168-4BEC-93BB-1C91E6DB8C2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H3" i="1" l="1"/>
  <c r="H4" i="1"/>
  <c r="B11" i="1"/>
  <c r="H9" i="1" l="1"/>
  <c r="G9" i="1"/>
  <c r="F9" i="1"/>
  <c r="E9" i="1"/>
  <c r="D9" i="1"/>
  <c r="C9" i="1"/>
  <c r="I3" i="1"/>
  <c r="I4" i="1"/>
  <c r="I5" i="1"/>
  <c r="I6" i="1"/>
  <c r="I7" i="1"/>
  <c r="I8" i="1"/>
  <c r="I2" i="1"/>
  <c r="B9" i="1" l="1"/>
  <c r="B10" i="1" s="1"/>
  <c r="B12" i="1" s="1"/>
  <c r="C12" i="1" l="1"/>
  <c r="B13" i="1"/>
</calcChain>
</file>

<file path=xl/sharedStrings.xml><?xml version="1.0" encoding="utf-8"?>
<sst xmlns="http://schemas.openxmlformats.org/spreadsheetml/2006/main" count="22" uniqueCount="22">
  <si>
    <t>Бердянск</t>
  </si>
  <si>
    <t>Донецк</t>
  </si>
  <si>
    <t>Луганск</t>
  </si>
  <si>
    <t>Мелитополь</t>
  </si>
  <si>
    <t>Патяка</t>
  </si>
  <si>
    <t>Бутырин</t>
  </si>
  <si>
    <t>Горняк</t>
  </si>
  <si>
    <t>Всего</t>
  </si>
  <si>
    <t>Общий вес</t>
  </si>
  <si>
    <t>кол-во машин</t>
  </si>
  <si>
    <t>вес 1-й машины</t>
  </si>
  <si>
    <t>кол-во машин (целых)</t>
  </si>
  <si>
    <t>нужно изменить на (кг)</t>
  </si>
  <si>
    <t>1-я машина</t>
  </si>
  <si>
    <t>2-я машина</t>
  </si>
  <si>
    <t>3-я машина</t>
  </si>
  <si>
    <t>4-я машина</t>
  </si>
  <si>
    <t>5-я машина</t>
  </si>
  <si>
    <t>6-я машина</t>
  </si>
  <si>
    <t>ОСТАТОК</t>
  </si>
  <si>
    <t>19,04,25</t>
  </si>
  <si>
    <t>20,04,25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</si>
</sst>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2" xfId="0" applyBorder="1"/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6" xfId="0" applyFont="1" applyBorder="1"/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10" xfId="0" applyFont="1" applyBorder="1"/>
    <xf numFmtId="0" fontId="0" fillId="0" borderId="11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3"/>
  <sheetViews>
    <sheetView tabSelected="1" workbookViewId="0">
      <selection activeCell="J15" sqref="J15"/>
    </sheetView>
  </sheetViews>
  <sheetFormatPr defaultRowHeight="15" x14ac:dyDescent="0.25"/>
  <cols>
    <col min="1" max="1" width="26" customWidth="1"/>
    <col min="3" max="8" width="11.42578125" customWidth="1"/>
    <col min="9" max="9" width="21.28515625" style="3" customWidth="1"/>
  </cols>
  <sheetData>
    <row r="1" spans="1:9" x14ac:dyDescent="0.25">
      <c r="B1" t="s">
        <v>7</v>
      </c>
      <c r="C1" t="s">
        <v>13</v>
      </c>
      <c r="D1" t="s">
        <v>14</v>
      </c>
      <c r="E1" t="s">
        <v>15</v>
      </c>
      <c r="F1" t="s">
        <v>16</v>
      </c>
      <c r="G1" t="s">
        <v>17</v>
      </c>
      <c r="H1" t="s">
        <v>18</v>
      </c>
      <c r="I1" s="3" t="s">
        <v>19</v>
      </c>
    </row>
    <row r="2" spans="1:9" x14ac:dyDescent="0.25">
      <c r="A2" s="5" t="s">
        <v>0</v>
      </c>
      <c r="B2" s="5">
        <v>5840</v>
      </c>
      <c r="C2" s="5"/>
      <c r="D2" s="5">
        <v>5840</v>
      </c>
      <c r="E2" s="5"/>
      <c r="F2" s="5"/>
      <c r="G2" s="5"/>
      <c r="H2" s="5"/>
      <c r="I2" s="6">
        <f>B2-C2-D2-E2-F2-G2-H2</f>
        <v>0</v>
      </c>
    </row>
    <row r="3" spans="1:9" x14ac:dyDescent="0.25">
      <c r="A3" s="5" t="s">
        <v>1</v>
      </c>
      <c r="B3" s="5">
        <v>30730</v>
      </c>
      <c r="C3" s="5"/>
      <c r="D3" s="5"/>
      <c r="E3" s="5">
        <v>15460</v>
      </c>
      <c r="F3" s="5"/>
      <c r="G3" s="5">
        <v>7450</v>
      </c>
      <c r="H3" s="5">
        <f>B3-E3-G3</f>
        <v>7820</v>
      </c>
      <c r="I3" s="6">
        <f t="shared" ref="I3:I11" si="0">B3-C3-D3-E3-F3-G3-H3</f>
        <v>0</v>
      </c>
    </row>
    <row r="4" spans="1:9" x14ac:dyDescent="0.25">
      <c r="A4" s="5" t="s">
        <v>2</v>
      </c>
      <c r="B4" s="5">
        <v>23280</v>
      </c>
      <c r="C4" s="5"/>
      <c r="D4" s="5"/>
      <c r="E4" s="5"/>
      <c r="F4" s="5">
        <v>4530</v>
      </c>
      <c r="G4" s="5">
        <v>9550</v>
      </c>
      <c r="H4" s="5">
        <f>B4-F4-G4</f>
        <v>9200</v>
      </c>
      <c r="I4" s="6">
        <f t="shared" si="0"/>
        <v>0</v>
      </c>
    </row>
    <row r="5" spans="1:9" x14ac:dyDescent="0.25">
      <c r="A5" s="5" t="s">
        <v>3</v>
      </c>
      <c r="B5" s="5">
        <v>7600</v>
      </c>
      <c r="C5" s="5"/>
      <c r="D5" s="5">
        <v>7600</v>
      </c>
      <c r="E5" s="5"/>
      <c r="F5" s="5"/>
      <c r="G5" s="5"/>
      <c r="H5" s="5"/>
      <c r="I5" s="6">
        <f t="shared" si="0"/>
        <v>0</v>
      </c>
    </row>
    <row r="6" spans="1:9" x14ac:dyDescent="0.25">
      <c r="A6" s="5" t="s">
        <v>4</v>
      </c>
      <c r="B6" s="5">
        <v>20970</v>
      </c>
      <c r="C6" s="5">
        <v>17400</v>
      </c>
      <c r="D6" s="5">
        <v>3570</v>
      </c>
      <c r="E6" s="5"/>
      <c r="F6" s="5"/>
      <c r="G6" s="5"/>
      <c r="H6" s="5"/>
      <c r="I6" s="6">
        <f t="shared" si="0"/>
        <v>0</v>
      </c>
    </row>
    <row r="7" spans="1:9" x14ac:dyDescent="0.25">
      <c r="A7" s="5" t="s">
        <v>5</v>
      </c>
      <c r="B7" s="5">
        <v>1540</v>
      </c>
      <c r="C7" s="5"/>
      <c r="D7" s="5"/>
      <c r="E7" s="5">
        <v>1540</v>
      </c>
      <c r="F7" s="5"/>
      <c r="G7" s="5"/>
      <c r="H7" s="5"/>
      <c r="I7" s="6">
        <f t="shared" si="0"/>
        <v>0</v>
      </c>
    </row>
    <row r="8" spans="1:9" ht="15.75" thickBot="1" x14ac:dyDescent="0.3">
      <c r="A8" s="5" t="s">
        <v>6</v>
      </c>
      <c r="B8" s="7">
        <v>12475</v>
      </c>
      <c r="C8" s="7"/>
      <c r="D8" s="7"/>
      <c r="E8" s="7"/>
      <c r="F8" s="7">
        <v>12475</v>
      </c>
      <c r="G8" s="7"/>
      <c r="H8" s="7"/>
      <c r="I8" s="6">
        <f t="shared" si="0"/>
        <v>0</v>
      </c>
    </row>
    <row r="9" spans="1:9" ht="15.75" thickBot="1" x14ac:dyDescent="0.3">
      <c r="A9" s="1" t="s">
        <v>8</v>
      </c>
      <c r="B9" s="8">
        <f>SUM(B2:B8)</f>
        <v>102435</v>
      </c>
      <c r="C9" s="9">
        <f t="shared" ref="C9:H9" si="1">SUM(C2:C8)</f>
        <v>17400</v>
      </c>
      <c r="D9" s="10">
        <f t="shared" si="1"/>
        <v>17010</v>
      </c>
      <c r="E9" s="10">
        <f t="shared" si="1"/>
        <v>17000</v>
      </c>
      <c r="F9" s="10">
        <f t="shared" si="1"/>
        <v>17005</v>
      </c>
      <c r="G9" s="11">
        <f t="shared" si="1"/>
        <v>17000</v>
      </c>
      <c r="H9" s="15">
        <f t="shared" si="1"/>
        <v>17020</v>
      </c>
    </row>
    <row r="10" spans="1:9" ht="15.75" thickBot="1" x14ac:dyDescent="0.3">
      <c r="A10" s="1" t="s">
        <v>9</v>
      </c>
      <c r="B10" s="2">
        <f>B9/B11</f>
        <v>6</v>
      </c>
      <c r="C10" s="12" t="s">
        <v>20</v>
      </c>
      <c r="D10" s="13"/>
      <c r="E10" s="13"/>
      <c r="F10" s="13"/>
      <c r="G10" s="14"/>
      <c r="H10" s="16" t="s">
        <v>21</v>
      </c>
    </row>
    <row r="11" spans="1:9" x14ac:dyDescent="0.25">
      <c r="A11" s="1" t="s">
        <v>10</v>
      </c>
      <c r="B11">
        <f>B9/6</f>
        <v>17072.5</v>
      </c>
    </row>
    <row r="12" spans="1:9" x14ac:dyDescent="0.25">
      <c r="A12" s="1" t="s">
        <v>12</v>
      </c>
      <c r="B12">
        <f>(1-(B10-INT(B10)))*B11</f>
        <v>17072.5</v>
      </c>
      <c r="C12" s="4" t="str">
        <f>IF(B12&gt;0,"нужно увеличить",IF(B12=0,"ровно","нужно уменьшить"))</f>
        <v>нужно увеличить</v>
      </c>
      <c r="D12" s="4"/>
      <c r="E12" s="4"/>
      <c r="F12" s="4"/>
      <c r="G12" s="4"/>
      <c r="H12" s="4"/>
    </row>
    <row r="13" spans="1:9" x14ac:dyDescent="0.25">
      <c r="A13" s="1" t="s">
        <v>11</v>
      </c>
      <c r="B13">
        <f>INT(B10)</f>
        <v>6</v>
      </c>
    </row>
  </sheetData>
  <mergeCells count="2">
    <mergeCell ref="C12:H12"/>
    <mergeCell ref="C10:G10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2025-04-17T08:07:05Z</dcterms:modified>
</cp:coreProperties>
</file>