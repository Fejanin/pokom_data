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6,04,25 ПОКОМ КИ филиалы\"/>
    </mc:Choice>
  </mc:AlternateContent>
  <xr:revisionPtr revIDLastSave="0" documentId="13_ncr:1_{B229744F-2392-4B9F-989F-36DE72C602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7" i="1" l="1"/>
  <c r="O7" i="1" s="1"/>
  <c r="L8" i="1"/>
  <c r="O8" i="1" s="1"/>
  <c r="P8" i="1" s="1"/>
  <c r="AF8" i="1" s="1"/>
  <c r="L9" i="1"/>
  <c r="O9" i="1" s="1"/>
  <c r="T9" i="1" s="1"/>
  <c r="L10" i="1"/>
  <c r="O10" i="1" s="1"/>
  <c r="L11" i="1"/>
  <c r="O11" i="1" s="1"/>
  <c r="L12" i="1"/>
  <c r="O12" i="1" s="1"/>
  <c r="P12" i="1" s="1"/>
  <c r="L13" i="1"/>
  <c r="O13" i="1" s="1"/>
  <c r="L14" i="1"/>
  <c r="O14" i="1" s="1"/>
  <c r="P14" i="1" s="1"/>
  <c r="L15" i="1"/>
  <c r="O15" i="1" s="1"/>
  <c r="L16" i="1"/>
  <c r="O16" i="1" s="1"/>
  <c r="L17" i="1"/>
  <c r="O17" i="1" s="1"/>
  <c r="L18" i="1"/>
  <c r="O18" i="1" s="1"/>
  <c r="P18" i="1" s="1"/>
  <c r="L19" i="1"/>
  <c r="O19" i="1" s="1"/>
  <c r="L20" i="1"/>
  <c r="O20" i="1" s="1"/>
  <c r="P20" i="1" s="1"/>
  <c r="L21" i="1"/>
  <c r="O21" i="1" s="1"/>
  <c r="T21" i="1" s="1"/>
  <c r="L22" i="1"/>
  <c r="O22" i="1" s="1"/>
  <c r="P22" i="1" s="1"/>
  <c r="AF22" i="1" s="1"/>
  <c r="L23" i="1"/>
  <c r="O23" i="1" s="1"/>
  <c r="L24" i="1"/>
  <c r="O24" i="1" s="1"/>
  <c r="P24" i="1" s="1"/>
  <c r="AF24" i="1" s="1"/>
  <c r="L25" i="1"/>
  <c r="O25" i="1" s="1"/>
  <c r="P25" i="1" s="1"/>
  <c r="L26" i="1"/>
  <c r="O26" i="1" s="1"/>
  <c r="S26" i="1" s="1"/>
  <c r="L27" i="1"/>
  <c r="O27" i="1" s="1"/>
  <c r="S27" i="1" s="1"/>
  <c r="L28" i="1"/>
  <c r="O28" i="1" s="1"/>
  <c r="P28" i="1" s="1"/>
  <c r="AF28" i="1" s="1"/>
  <c r="L29" i="1"/>
  <c r="O29" i="1" s="1"/>
  <c r="T29" i="1" s="1"/>
  <c r="L30" i="1"/>
  <c r="O30" i="1" s="1"/>
  <c r="S30" i="1" s="1"/>
  <c r="L31" i="1"/>
  <c r="O31" i="1" s="1"/>
  <c r="S31" i="1" s="1"/>
  <c r="L32" i="1"/>
  <c r="O32" i="1" s="1"/>
  <c r="L33" i="1"/>
  <c r="O33" i="1" s="1"/>
  <c r="L34" i="1"/>
  <c r="O34" i="1" s="1"/>
  <c r="P34" i="1" s="1"/>
  <c r="AF34" i="1" s="1"/>
  <c r="L35" i="1"/>
  <c r="O35" i="1" s="1"/>
  <c r="P35" i="1" s="1"/>
  <c r="L36" i="1"/>
  <c r="O36" i="1" s="1"/>
  <c r="T36" i="1" s="1"/>
  <c r="L37" i="1"/>
  <c r="O37" i="1" s="1"/>
  <c r="L38" i="1"/>
  <c r="O38" i="1" s="1"/>
  <c r="S38" i="1" s="1"/>
  <c r="L39" i="1"/>
  <c r="O39" i="1" s="1"/>
  <c r="P39" i="1" s="1"/>
  <c r="AF39" i="1" s="1"/>
  <c r="L40" i="1"/>
  <c r="O40" i="1" s="1"/>
  <c r="T40" i="1" s="1"/>
  <c r="L41" i="1"/>
  <c r="O41" i="1" s="1"/>
  <c r="L42" i="1"/>
  <c r="O42" i="1" s="1"/>
  <c r="AF42" i="1" s="1"/>
  <c r="L43" i="1"/>
  <c r="O43" i="1" s="1"/>
  <c r="L44" i="1"/>
  <c r="O44" i="1" s="1"/>
  <c r="T44" i="1" s="1"/>
  <c r="L45" i="1"/>
  <c r="O45" i="1" s="1"/>
  <c r="L46" i="1"/>
  <c r="O46" i="1" s="1"/>
  <c r="P46" i="1" s="1"/>
  <c r="AF46" i="1" s="1"/>
  <c r="L47" i="1"/>
  <c r="O47" i="1" s="1"/>
  <c r="P47" i="1" s="1"/>
  <c r="L48" i="1"/>
  <c r="O48" i="1" s="1"/>
  <c r="T48" i="1" s="1"/>
  <c r="L49" i="1"/>
  <c r="O49" i="1" s="1"/>
  <c r="S49" i="1" s="1"/>
  <c r="L50" i="1"/>
  <c r="O50" i="1" s="1"/>
  <c r="AF50" i="1" s="1"/>
  <c r="L51" i="1"/>
  <c r="O51" i="1" s="1"/>
  <c r="L52" i="1"/>
  <c r="O52" i="1" s="1"/>
  <c r="T52" i="1" s="1"/>
  <c r="L53" i="1"/>
  <c r="O53" i="1" s="1"/>
  <c r="L54" i="1"/>
  <c r="O54" i="1" s="1"/>
  <c r="P54" i="1" s="1"/>
  <c r="AF54" i="1" s="1"/>
  <c r="L55" i="1"/>
  <c r="O55" i="1" s="1"/>
  <c r="P55" i="1" s="1"/>
  <c r="L56" i="1"/>
  <c r="O56" i="1" s="1"/>
  <c r="T56" i="1" s="1"/>
  <c r="L57" i="1"/>
  <c r="O57" i="1" s="1"/>
  <c r="L58" i="1"/>
  <c r="O58" i="1" s="1"/>
  <c r="P58" i="1" s="1"/>
  <c r="L59" i="1"/>
  <c r="O59" i="1" s="1"/>
  <c r="P59" i="1" s="1"/>
  <c r="L60" i="1"/>
  <c r="O60" i="1" s="1"/>
  <c r="T60" i="1" s="1"/>
  <c r="L61" i="1"/>
  <c r="O61" i="1" s="1"/>
  <c r="L62" i="1"/>
  <c r="O62" i="1" s="1"/>
  <c r="S62" i="1" s="1"/>
  <c r="L63" i="1"/>
  <c r="O63" i="1" s="1"/>
  <c r="P63" i="1" s="1"/>
  <c r="AF63" i="1" s="1"/>
  <c r="L64" i="1"/>
  <c r="O64" i="1" s="1"/>
  <c r="T64" i="1" s="1"/>
  <c r="L65" i="1"/>
  <c r="O65" i="1" s="1"/>
  <c r="L66" i="1"/>
  <c r="O66" i="1" s="1"/>
  <c r="S66" i="1" s="1"/>
  <c r="L67" i="1"/>
  <c r="O67" i="1" s="1"/>
  <c r="L68" i="1"/>
  <c r="O68" i="1" s="1"/>
  <c r="T68" i="1" s="1"/>
  <c r="L69" i="1"/>
  <c r="O69" i="1" s="1"/>
  <c r="L70" i="1"/>
  <c r="O70" i="1" s="1"/>
  <c r="S70" i="1" s="1"/>
  <c r="L71" i="1"/>
  <c r="O71" i="1" s="1"/>
  <c r="P71" i="1" s="1"/>
  <c r="AF71" i="1" s="1"/>
  <c r="L72" i="1"/>
  <c r="O72" i="1" s="1"/>
  <c r="T72" i="1" s="1"/>
  <c r="L73" i="1"/>
  <c r="O73" i="1" s="1"/>
  <c r="L74" i="1"/>
  <c r="O74" i="1" s="1"/>
  <c r="L75" i="1"/>
  <c r="O75" i="1" s="1"/>
  <c r="L76" i="1"/>
  <c r="O76" i="1" s="1"/>
  <c r="T76" i="1" s="1"/>
  <c r="L77" i="1"/>
  <c r="O77" i="1" s="1"/>
  <c r="L78" i="1"/>
  <c r="O78" i="1" s="1"/>
  <c r="P78" i="1" s="1"/>
  <c r="AF78" i="1" s="1"/>
  <c r="L79" i="1"/>
  <c r="O79" i="1" s="1"/>
  <c r="P79" i="1" s="1"/>
  <c r="AF79" i="1" s="1"/>
  <c r="L80" i="1"/>
  <c r="O80" i="1" s="1"/>
  <c r="T80" i="1" s="1"/>
  <c r="L81" i="1"/>
  <c r="O81" i="1" s="1"/>
  <c r="P81" i="1" s="1"/>
  <c r="L82" i="1"/>
  <c r="O82" i="1" s="1"/>
  <c r="P82" i="1" s="1"/>
  <c r="L83" i="1"/>
  <c r="O83" i="1" s="1"/>
  <c r="L84" i="1"/>
  <c r="O84" i="1" s="1"/>
  <c r="T84" i="1" s="1"/>
  <c r="L85" i="1"/>
  <c r="O85" i="1" s="1"/>
  <c r="L86" i="1"/>
  <c r="O86" i="1" s="1"/>
  <c r="L87" i="1"/>
  <c r="O87" i="1" s="1"/>
  <c r="L88" i="1"/>
  <c r="O88" i="1" s="1"/>
  <c r="L89" i="1"/>
  <c r="O89" i="1" s="1"/>
  <c r="L90" i="1"/>
  <c r="O90" i="1" s="1"/>
  <c r="T90" i="1" s="1"/>
  <c r="L91" i="1"/>
  <c r="O91" i="1" s="1"/>
  <c r="L92" i="1"/>
  <c r="O92" i="1" s="1"/>
  <c r="L93" i="1"/>
  <c r="O93" i="1" s="1"/>
  <c r="P93" i="1" s="1"/>
  <c r="L94" i="1"/>
  <c r="O94" i="1" s="1"/>
  <c r="T94" i="1" s="1"/>
  <c r="L95" i="1"/>
  <c r="O95" i="1" s="1"/>
  <c r="L96" i="1"/>
  <c r="O96" i="1" s="1"/>
  <c r="L97" i="1"/>
  <c r="O97" i="1" s="1"/>
  <c r="S97" i="1" s="1"/>
  <c r="L98" i="1"/>
  <c r="O98" i="1" s="1"/>
  <c r="T98" i="1" s="1"/>
  <c r="L99" i="1"/>
  <c r="O99" i="1" s="1"/>
  <c r="S99" i="1" s="1"/>
  <c r="L100" i="1"/>
  <c r="O100" i="1" s="1"/>
  <c r="L6" i="1"/>
  <c r="K100" i="1"/>
  <c r="K99" i="1"/>
  <c r="AF98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AF74" i="1"/>
  <c r="K74" i="1"/>
  <c r="K73" i="1"/>
  <c r="AF72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AF47" i="1"/>
  <c r="K47" i="1"/>
  <c r="K46" i="1"/>
  <c r="K45" i="1"/>
  <c r="K44" i="1"/>
  <c r="AF43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D5" i="1"/>
  <c r="AC5" i="1"/>
  <c r="AB5" i="1"/>
  <c r="AA5" i="1"/>
  <c r="Z5" i="1"/>
  <c r="Y5" i="1"/>
  <c r="X5" i="1"/>
  <c r="W5" i="1"/>
  <c r="V5" i="1"/>
  <c r="U5" i="1"/>
  <c r="Q5" i="1"/>
  <c r="N5" i="1"/>
  <c r="M5" i="1"/>
  <c r="J5" i="1"/>
  <c r="F5" i="1"/>
  <c r="E5" i="1"/>
  <c r="AF58" i="1" l="1"/>
  <c r="P36" i="1"/>
  <c r="AF36" i="1" s="1"/>
  <c r="P52" i="1"/>
  <c r="AF52" i="1" s="1"/>
  <c r="AF56" i="1"/>
  <c r="P60" i="1"/>
  <c r="AF60" i="1" s="1"/>
  <c r="S95" i="1"/>
  <c r="T93" i="1"/>
  <c r="AF93" i="1"/>
  <c r="P91" i="1"/>
  <c r="S91" i="1" s="1"/>
  <c r="S89" i="1"/>
  <c r="S87" i="1"/>
  <c r="P85" i="1"/>
  <c r="S85" i="1" s="1"/>
  <c r="S81" i="1"/>
  <c r="S77" i="1"/>
  <c r="AF77" i="1"/>
  <c r="S73" i="1"/>
  <c r="AF73" i="1"/>
  <c r="P69" i="1"/>
  <c r="S69" i="1" s="1"/>
  <c r="AF65" i="1"/>
  <c r="P61" i="1"/>
  <c r="S61" i="1" s="1"/>
  <c r="P57" i="1"/>
  <c r="S57" i="1" s="1"/>
  <c r="P53" i="1"/>
  <c r="S53" i="1" s="1"/>
  <c r="S45" i="1"/>
  <c r="AF45" i="1"/>
  <c r="S41" i="1"/>
  <c r="AF41" i="1"/>
  <c r="P37" i="1"/>
  <c r="S37" i="1" s="1"/>
  <c r="S33" i="1"/>
  <c r="T25" i="1"/>
  <c r="AF25" i="1"/>
  <c r="P23" i="1"/>
  <c r="AF23" i="1" s="1"/>
  <c r="S19" i="1"/>
  <c r="AF19" i="1"/>
  <c r="T17" i="1"/>
  <c r="P17" i="1"/>
  <c r="AF17" i="1" s="1"/>
  <c r="S15" i="1"/>
  <c r="AF15" i="1"/>
  <c r="T13" i="1"/>
  <c r="AF13" i="1"/>
  <c r="P11" i="1"/>
  <c r="AF11" i="1" s="1"/>
  <c r="S7" i="1"/>
  <c r="S58" i="1"/>
  <c r="S54" i="1"/>
  <c r="S34" i="1"/>
  <c r="S22" i="1"/>
  <c r="AF7" i="1"/>
  <c r="P40" i="1"/>
  <c r="AF40" i="1" s="1"/>
  <c r="P44" i="1"/>
  <c r="AF44" i="1" s="1"/>
  <c r="P64" i="1"/>
  <c r="AF64" i="1" s="1"/>
  <c r="AF82" i="1"/>
  <c r="AF84" i="1"/>
  <c r="AF86" i="1"/>
  <c r="AF88" i="1"/>
  <c r="AF90" i="1"/>
  <c r="P92" i="1"/>
  <c r="AF92" i="1" s="1"/>
  <c r="AF94" i="1"/>
  <c r="P96" i="1"/>
  <c r="AF96" i="1" s="1"/>
  <c r="AF100" i="1"/>
  <c r="S78" i="1"/>
  <c r="S74" i="1"/>
  <c r="S50" i="1"/>
  <c r="S46" i="1"/>
  <c r="S42" i="1"/>
  <c r="S18" i="1"/>
  <c r="S14" i="1"/>
  <c r="S10" i="1"/>
  <c r="T96" i="1"/>
  <c r="T88" i="1"/>
  <c r="S72" i="1"/>
  <c r="S9" i="1"/>
  <c r="L5" i="1"/>
  <c r="T100" i="1"/>
  <c r="T92" i="1"/>
  <c r="S80" i="1"/>
  <c r="S48" i="1"/>
  <c r="S98" i="1"/>
  <c r="S94" i="1"/>
  <c r="S90" i="1"/>
  <c r="T82" i="1"/>
  <c r="T74" i="1"/>
  <c r="T66" i="1"/>
  <c r="T58" i="1"/>
  <c r="T50" i="1"/>
  <c r="T42" i="1"/>
  <c r="T34" i="1"/>
  <c r="T27" i="1"/>
  <c r="T19" i="1"/>
  <c r="T11" i="1"/>
  <c r="S83" i="1"/>
  <c r="T83" i="1"/>
  <c r="S79" i="1"/>
  <c r="T79" i="1"/>
  <c r="S75" i="1"/>
  <c r="T75" i="1"/>
  <c r="S71" i="1"/>
  <c r="T71" i="1"/>
  <c r="S67" i="1"/>
  <c r="T67" i="1"/>
  <c r="S63" i="1"/>
  <c r="T63" i="1"/>
  <c r="S59" i="1"/>
  <c r="T59" i="1"/>
  <c r="S55" i="1"/>
  <c r="T55" i="1"/>
  <c r="S51" i="1"/>
  <c r="T51" i="1"/>
  <c r="S47" i="1"/>
  <c r="T47" i="1"/>
  <c r="S43" i="1"/>
  <c r="T43" i="1"/>
  <c r="S39" i="1"/>
  <c r="T39" i="1"/>
  <c r="S35" i="1"/>
  <c r="T35" i="1"/>
  <c r="S32" i="1"/>
  <c r="T32" i="1"/>
  <c r="S28" i="1"/>
  <c r="T28" i="1"/>
  <c r="S24" i="1"/>
  <c r="T24" i="1"/>
  <c r="S20" i="1"/>
  <c r="T20" i="1"/>
  <c r="S16" i="1"/>
  <c r="T16" i="1"/>
  <c r="S12" i="1"/>
  <c r="T12" i="1"/>
  <c r="S8" i="1"/>
  <c r="T8" i="1"/>
  <c r="T99" i="1"/>
  <c r="T95" i="1"/>
  <c r="T91" i="1"/>
  <c r="T87" i="1"/>
  <c r="T85" i="1"/>
  <c r="T77" i="1"/>
  <c r="T69" i="1"/>
  <c r="T61" i="1"/>
  <c r="T53" i="1"/>
  <c r="T45" i="1"/>
  <c r="T37" i="1"/>
  <c r="T30" i="1"/>
  <c r="T22" i="1"/>
  <c r="T14" i="1"/>
  <c r="K5" i="1"/>
  <c r="T97" i="1"/>
  <c r="T89" i="1"/>
  <c r="T86" i="1"/>
  <c r="T81" i="1"/>
  <c r="T78" i="1"/>
  <c r="S76" i="1"/>
  <c r="T73" i="1"/>
  <c r="T70" i="1"/>
  <c r="S68" i="1"/>
  <c r="T65" i="1"/>
  <c r="T62" i="1"/>
  <c r="T57" i="1"/>
  <c r="T54" i="1"/>
  <c r="T49" i="1"/>
  <c r="T46" i="1"/>
  <c r="T41" i="1"/>
  <c r="T38" i="1"/>
  <c r="T33" i="1"/>
  <c r="T31" i="1"/>
  <c r="S29" i="1"/>
  <c r="T26" i="1"/>
  <c r="T23" i="1"/>
  <c r="S21" i="1"/>
  <c r="T18" i="1"/>
  <c r="T15" i="1"/>
  <c r="S13" i="1"/>
  <c r="T10" i="1"/>
  <c r="T7" i="1"/>
  <c r="AF10" i="1"/>
  <c r="AF12" i="1"/>
  <c r="AF14" i="1"/>
  <c r="AF16" i="1"/>
  <c r="AF18" i="1"/>
  <c r="AF20" i="1"/>
  <c r="AF33" i="1"/>
  <c r="AF35" i="1"/>
  <c r="AF55" i="1"/>
  <c r="AF59" i="1"/>
  <c r="AF69" i="1"/>
  <c r="AF83" i="1"/>
  <c r="AF87" i="1"/>
  <c r="AF95" i="1"/>
  <c r="O6" i="1"/>
  <c r="P6" i="1" s="1"/>
  <c r="AF6" i="1" s="1"/>
  <c r="AF37" i="1" l="1"/>
  <c r="S44" i="1"/>
  <c r="S60" i="1"/>
  <c r="S17" i="1"/>
  <c r="AF91" i="1"/>
  <c r="AF85" i="1"/>
  <c r="AF81" i="1"/>
  <c r="AF61" i="1"/>
  <c r="AF57" i="1"/>
  <c r="AF53" i="1"/>
  <c r="S52" i="1"/>
  <c r="S82" i="1"/>
  <c r="S65" i="1"/>
  <c r="S36" i="1"/>
  <c r="S93" i="1"/>
  <c r="S64" i="1"/>
  <c r="S25" i="1"/>
  <c r="AF89" i="1"/>
  <c r="S56" i="1"/>
  <c r="S11" i="1"/>
  <c r="S23" i="1"/>
  <c r="P5" i="1"/>
  <c r="S88" i="1"/>
  <c r="S96" i="1"/>
  <c r="S84" i="1"/>
  <c r="S40" i="1"/>
  <c r="S86" i="1"/>
  <c r="S92" i="1"/>
  <c r="S100" i="1"/>
  <c r="O5" i="1"/>
  <c r="T6" i="1"/>
  <c r="S6" i="1"/>
  <c r="AF5" i="1" l="1"/>
</calcChain>
</file>

<file path=xl/sharedStrings.xml><?xml version="1.0" encoding="utf-8"?>
<sst xmlns="http://schemas.openxmlformats.org/spreadsheetml/2006/main" count="390" uniqueCount="165">
  <si>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</si>
  <si>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</si>
  <si>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</si>
  <si>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</si>
  <si>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</si>
  <si>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</si>
  <si>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</si>
  <si>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</si>
  <si>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</si>
  <si>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</si>
  <si>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</si>
  <si>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</si>
  <si>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</si>
  <si>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</si>
  <si>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</si>
  <si>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</si>
  <si>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</si>
  <si>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</si>
  <si>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</si>
  <si>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</si>
  <si>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</si>
  <si>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</si>
  <si>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</si>
  <si>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14,04,</t>
  </si>
  <si>
    <t>16,04,</t>
  </si>
  <si>
    <t>10,04,</t>
  </si>
  <si>
    <t>09,04,</t>
  </si>
  <si>
    <t>03,04,</t>
  </si>
  <si>
    <t>02,04,</t>
  </si>
  <si>
    <t>27,03,</t>
  </si>
  <si>
    <t>26,03,</t>
  </si>
  <si>
    <t>20,03,</t>
  </si>
  <si>
    <t>19,03,</t>
  </si>
  <si>
    <t>13,03,</t>
  </si>
  <si>
    <t>12,03,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</si>
  <si>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</si>
  <si>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</si>
  <si>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</si>
  <si>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</si>
  <si>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</si>
  <si>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</si>
  <si>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</si>
  <si>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</si>
  <si>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 xml:space="preserve"> 030  Сосиски Вязанка Молочные, Вязанка вискофан МГС, 0.45кг, ПОКОМ</t>
  </si>
  <si>
    <t>ВНИМАНИЕ / матрица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</si>
  <si>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</si>
  <si>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</si>
  <si>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</si>
  <si>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</si>
  <si>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</si>
  <si>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</si>
  <si>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</si>
  <si>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</si>
  <si>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</si>
  <si>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</si>
  <si>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</si>
  <si>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</si>
  <si>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</si>
  <si>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</si>
  <si>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</si>
  <si>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>ТМА апрель</t>
  </si>
  <si>
    <t xml:space="preserve"> 239  Колбаса Салями запеч Дугушка, оболочка вектор, ВЕС, ТМ Стародворье  ПОКОМ</t>
  </si>
  <si>
    <t>26,02,25 филиал обнулил / ТМА апрель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</si>
  <si>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</si>
  <si>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</si>
  <si>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</si>
  <si>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</si>
  <si>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</si>
  <si>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</si>
  <si>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</si>
  <si>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</si>
  <si>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</si>
  <si>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</si>
  <si>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</si>
  <si>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ТС Обжора / 26,03,25 филиал обнулил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</si>
  <si>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</si>
  <si>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</si>
  <si>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</si>
  <si>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</si>
  <si>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</si>
  <si>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</si>
  <si>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</si>
  <si>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</si>
  <si>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</si>
  <si>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ТС Обжора / ТМА апрель</t>
  </si>
  <si>
    <t xml:space="preserve"> 309  Сосиски Сочинки с сыром 0,4 кг ТМ Стародворье  ПОКОМ</t>
  </si>
  <si>
    <t>завод не отгружает / ТС Обжора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</si>
  <si>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</si>
  <si>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</si>
  <si>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26,03,25 филиал обнулил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</si>
  <si>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</si>
  <si>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</si>
  <si>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</si>
  <si>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</si>
  <si>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>нет потребности / нет в бланке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</si>
  <si>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</si>
  <si>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</si>
  <si>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20,01,25 в уценку 86шт.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</si>
  <si>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</si>
  <si>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</si>
  <si>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</si>
  <si>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нужно увеличить продажи!!!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</si>
  <si>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</si>
  <si>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</si>
  <si>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</si>
  <si>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</si>
  <si>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</si>
  <si>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</si>
  <si>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</si>
  <si>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</si>
  <si>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</si>
  <si>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</si>
  <si>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</si>
  <si>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</si>
  <si>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</si>
  <si>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</si>
  <si>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</si>
  <si>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</si>
  <si>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>нет в бланке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</si>
  <si>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</si>
  <si>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</si>
  <si>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</si>
  <si>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445  Колбаса Краковюрст ТМ Баварушка рубленая в оболочке черева в в.у 0,2 кг ПОКОМ</t>
  </si>
  <si>
    <t>нет потребности / 22,02,25 в уценку 5шт. / 06,01,25 в уценку 13шт.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</si>
  <si>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</si>
  <si>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</si>
  <si>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</si>
  <si>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453  Колбаса Докторская Филейная ВЕС большой батон ТМ Особый рецепт  ПОКОМ</t>
  </si>
  <si>
    <t xml:space="preserve"> 456  Колбаса Филейная ТМ Особый рецепт ВЕС большой батон  ПОКОМ</t>
  </si>
  <si>
    <t>22,01,25 в уценку 1989кг / ТМА апрель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</si>
  <si>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</si>
  <si>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</si>
  <si>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</si>
  <si>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</si>
  <si>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</si>
  <si>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</si>
  <si>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</si>
  <si>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</si>
  <si>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</si>
  <si>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новинка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</si>
  <si>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</si>
  <si>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</si>
  <si>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</si>
  <si>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нужно увеличить продажи</t>
  </si>
  <si>
    <t>496  Колбаса Сочинка по-фински с сочным окроком 0,3кг ТМ Стародворье  ПОКОМ</t>
  </si>
  <si>
    <t>31,01,25 в уценку 96шт.</t>
  </si>
  <si>
    <t>501 Сосиски Филейские по-ганноверски ТМ Вязанка.в оболочке амицел в м.г.с ВЕС. ПОКОМ</t>
  </si>
  <si>
    <t>20,01,25 в уценку 20кг</t>
  </si>
  <si>
    <t>504  Ветчина Мясорубская с окороком 0,33кг срез ТМ Стародворье  ПОКОМ</t>
  </si>
  <si>
    <t>505  Ветчина Стародворская ТМ Стародворье брикет 0,33 кг.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</si>
  <si>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</si>
  <si>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</si>
  <si>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помощь заводу СОСГ</t>
  </si>
  <si>
    <t>Деликатесы в/к «Грудинка копчено-вареная» Фикс.вес 0,12 нарезка ТМ «Стародворье»</t>
  </si>
  <si>
    <t>вывод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</si>
  <si>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с 02,04,25 заказываем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</si>
  <si>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25,01,25 в уценку 108кг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</si>
  <si>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09,12,24 в уценку 498кг</t>
    </r>
  </si>
  <si>
    <t>нужно увеличить продажи / 06,01,25 в уценку 13шт.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</si>
  <si>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11,03,25 списание 7кг (недостача) / 22,01,25 списание 10кг (недостача)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</si>
  <si>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20,12,24 в уценку 51кг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</si>
  <si>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с 13,02,25 заказываем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</si>
  <si>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06,01,25 в уценку 26шт.</t>
    </r>
  </si>
  <si>
    <t>нужно увеличить продажи / новинка</t>
  </si>
  <si>
    <r>
      <rPr>
        <b/>
        <sz val="10"/>
        <rFont val="Arial"/>
        <family val="2"/>
        <charset val="204"/>
      </rPr>
      <t xml:space="preserve">есть ли потребность??? </t>
    </r>
    <r>
      <rPr>
        <sz val="10"/>
        <rFont val="Arial"/>
        <family val="2"/>
        <charset val="204"/>
      </rPr>
      <t>/ 14,04,25 в уценку 7кг / 20,12,24 в уценку 121кг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</si>
</sst>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6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1" fillId="0" borderId="1" xfId="1" applyNumberFormat="1" applyFill="1"/>
    <xf numFmtId="164" fontId="4" fillId="8" borderId="1" xfId="1" applyNumberFormat="1" applyFont="1" applyFill="1"/>
    <xf numFmtId="164" fontId="6" fillId="8" borderId="1" xfId="1" applyNumberFormat="1" applyFont="1" applyFill="1"/>
    <xf numFmtId="164" fontId="4" fillId="9" borderId="1" xfId="1" applyNumberFormat="1" applyFont="1" applyFill="1"/>
    <xf numFmtId="164" fontId="7" fillId="9" borderId="2" xfId="1" applyNumberFormat="1" applyFont="1" applyFill="1" applyBorder="1"/>
    <xf numFmtId="164" fontId="5" fillId="0" borderId="2" xfId="1" applyNumberFormat="1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7" sqref="R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7" width="7" customWidth="1"/>
    <col min="18" max="18" width="21" customWidth="1"/>
    <col min="19" max="20" width="5" customWidth="1"/>
    <col min="21" max="30" width="6" customWidth="1"/>
    <col min="31" max="31" width="42.140625" customWidth="1"/>
    <col min="32" max="32" width="7" customWidth="1"/>
    <col min="33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6" t="s">
        <v>16</v>
      </c>
      <c r="R3" s="6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/>
      <c r="Q4" s="1"/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44998.853999999999</v>
      </c>
      <c r="F5" s="4">
        <f>SUM(F6:F499)</f>
        <v>30840.393000000004</v>
      </c>
      <c r="G5" s="7"/>
      <c r="H5" s="1"/>
      <c r="I5" s="1"/>
      <c r="J5" s="4">
        <f t="shared" ref="J5:Q5" si="0">SUM(J6:J499)</f>
        <v>46906.758000000002</v>
      </c>
      <c r="K5" s="4">
        <f t="shared" si="0"/>
        <v>-1907.9040000000005</v>
      </c>
      <c r="L5" s="4">
        <f t="shared" si="0"/>
        <v>43662.633999999991</v>
      </c>
      <c r="M5" s="4">
        <f t="shared" si="0"/>
        <v>1336.2199999999998</v>
      </c>
      <c r="N5" s="4">
        <f t="shared" si="0"/>
        <v>7931.4109999999973</v>
      </c>
      <c r="O5" s="4">
        <f t="shared" si="0"/>
        <v>8732.5267999999978</v>
      </c>
      <c r="P5" s="4">
        <f t="shared" si="0"/>
        <v>33272.323100000001</v>
      </c>
      <c r="Q5" s="4">
        <f t="shared" si="0"/>
        <v>0</v>
      </c>
      <c r="R5" s="1"/>
      <c r="S5" s="1"/>
      <c r="T5" s="1"/>
      <c r="U5" s="4">
        <f t="shared" ref="U5:AD5" si="1">SUM(U6:U499)</f>
        <v>6338.3150000000032</v>
      </c>
      <c r="V5" s="4">
        <f t="shared" si="1"/>
        <v>6262.3490000000029</v>
      </c>
      <c r="W5" s="4">
        <f t="shared" si="1"/>
        <v>6602.5181999999968</v>
      </c>
      <c r="X5" s="4">
        <f t="shared" si="1"/>
        <v>6738.6427999999996</v>
      </c>
      <c r="Y5" s="4">
        <f t="shared" si="1"/>
        <v>8099.2839999999978</v>
      </c>
      <c r="Z5" s="4">
        <f t="shared" si="1"/>
        <v>7788.2935999999972</v>
      </c>
      <c r="AA5" s="4">
        <f t="shared" si="1"/>
        <v>7042.1528000000008</v>
      </c>
      <c r="AB5" s="4">
        <f t="shared" si="1"/>
        <v>7176.4040000000005</v>
      </c>
      <c r="AC5" s="4">
        <f t="shared" si="1"/>
        <v>8085.9244000000017</v>
      </c>
      <c r="AD5" s="4">
        <f t="shared" si="1"/>
        <v>8386.2056000000011</v>
      </c>
      <c r="AE5" s="1"/>
      <c r="AF5" s="4">
        <f>SUM(AF6:AF499)</f>
        <v>29746.926500000009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35</v>
      </c>
      <c r="B6" s="1" t="s">
        <v>36</v>
      </c>
      <c r="C6" s="1">
        <v>556.63400000000001</v>
      </c>
      <c r="D6" s="1">
        <v>118.515</v>
      </c>
      <c r="E6" s="1">
        <v>352.81900000000002</v>
      </c>
      <c r="F6" s="1">
        <v>257.45299999999997</v>
      </c>
      <c r="G6" s="7">
        <v>1</v>
      </c>
      <c r="H6" s="1">
        <v>50</v>
      </c>
      <c r="I6" s="1" t="s">
        <v>37</v>
      </c>
      <c r="J6" s="1">
        <v>345.86</v>
      </c>
      <c r="K6" s="1">
        <f t="shared" ref="K6:K36" si="2">E6-J6</f>
        <v>6.9590000000000032</v>
      </c>
      <c r="L6" s="1">
        <f>E6-M6</f>
        <v>309.70400000000001</v>
      </c>
      <c r="M6" s="1">
        <v>43.115000000000002</v>
      </c>
      <c r="N6" s="1">
        <v>135.06139999999991</v>
      </c>
      <c r="O6" s="1">
        <f>L6/5</f>
        <v>61.940800000000003</v>
      </c>
      <c r="P6" s="5">
        <f>9*O6-N6-F6</f>
        <v>164.95280000000014</v>
      </c>
      <c r="Q6" s="5"/>
      <c r="R6" s="1"/>
      <c r="S6" s="1">
        <f>(F6+N6+P6)/O6</f>
        <v>9</v>
      </c>
      <c r="T6" s="1">
        <f>(F6+N6)/O6</f>
        <v>6.3369281636659505</v>
      </c>
      <c r="U6" s="1">
        <v>60.128399999999999</v>
      </c>
      <c r="V6" s="1">
        <v>58.212000000000003</v>
      </c>
      <c r="W6" s="1">
        <v>45.116999999999997</v>
      </c>
      <c r="X6" s="1">
        <v>68.706600000000009</v>
      </c>
      <c r="Y6" s="1">
        <v>96.895799999999994</v>
      </c>
      <c r="Z6" s="1">
        <v>71.089200000000005</v>
      </c>
      <c r="AA6" s="1">
        <v>93.330200000000005</v>
      </c>
      <c r="AB6" s="1">
        <v>80.022000000000006</v>
      </c>
      <c r="AC6" s="1">
        <v>144.82320000000001</v>
      </c>
      <c r="AD6" s="1">
        <v>143.60640000000001</v>
      </c>
      <c r="AE6" s="1"/>
      <c r="AF6" s="1">
        <f>G6*P6</f>
        <v>164.95280000000014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38</v>
      </c>
      <c r="B7" s="1" t="s">
        <v>36</v>
      </c>
      <c r="C7" s="1">
        <v>286.26499999999999</v>
      </c>
      <c r="D7" s="1">
        <v>403.83800000000002</v>
      </c>
      <c r="E7" s="1">
        <v>314.28699999999998</v>
      </c>
      <c r="F7" s="1">
        <v>340.53899999999999</v>
      </c>
      <c r="G7" s="7">
        <v>1</v>
      </c>
      <c r="H7" s="1">
        <v>45</v>
      </c>
      <c r="I7" s="1" t="s">
        <v>37</v>
      </c>
      <c r="J7" s="1">
        <v>309.69799999999998</v>
      </c>
      <c r="K7" s="1">
        <f t="shared" si="2"/>
        <v>4.5889999999999986</v>
      </c>
      <c r="L7" s="1">
        <f t="shared" ref="L7:L69" si="3">E7-M7</f>
        <v>284.44099999999997</v>
      </c>
      <c r="M7" s="1">
        <v>29.846</v>
      </c>
      <c r="N7" s="1">
        <v>185.2641999999999</v>
      </c>
      <c r="O7" s="1">
        <f t="shared" ref="O7:O69" si="4">L7/5</f>
        <v>56.888199999999998</v>
      </c>
      <c r="P7" s="5"/>
      <c r="Q7" s="5"/>
      <c r="R7" s="1"/>
      <c r="S7" s="1">
        <f t="shared" ref="S7:S69" si="5">(F7+N7+P7)/O7</f>
        <v>9.2427462988809612</v>
      </c>
      <c r="T7" s="1">
        <f t="shared" ref="T7:T69" si="6">(F7+N7)/O7</f>
        <v>9.2427462988809612</v>
      </c>
      <c r="U7" s="1">
        <v>63.382199999999997</v>
      </c>
      <c r="V7" s="1">
        <v>57.285400000000003</v>
      </c>
      <c r="W7" s="1">
        <v>34.498199999999997</v>
      </c>
      <c r="X7" s="1">
        <v>32.542400000000001</v>
      </c>
      <c r="Y7" s="1">
        <v>57.383600000000001</v>
      </c>
      <c r="Z7" s="1">
        <v>49.0274</v>
      </c>
      <c r="AA7" s="1">
        <v>77.212400000000002</v>
      </c>
      <c r="AB7" s="1">
        <v>41.129399999999997</v>
      </c>
      <c r="AC7" s="1">
        <v>55.119000000000007</v>
      </c>
      <c r="AD7" s="1">
        <v>58.762999999999998</v>
      </c>
      <c r="AE7" s="1"/>
      <c r="AF7" s="1">
        <f>G7*P7</f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36</v>
      </c>
      <c r="C8" s="1">
        <v>766.28399999999999</v>
      </c>
      <c r="D8" s="1">
        <v>692.57799999999997</v>
      </c>
      <c r="E8" s="1">
        <v>863.23</v>
      </c>
      <c r="F8" s="1">
        <v>494.27300000000002</v>
      </c>
      <c r="G8" s="7">
        <v>1</v>
      </c>
      <c r="H8" s="1">
        <v>45</v>
      </c>
      <c r="I8" s="1" t="s">
        <v>37</v>
      </c>
      <c r="J8" s="1">
        <v>855.85400000000004</v>
      </c>
      <c r="K8" s="1">
        <f t="shared" si="2"/>
        <v>7.3759999999999764</v>
      </c>
      <c r="L8" s="1">
        <f t="shared" si="3"/>
        <v>821.36400000000003</v>
      </c>
      <c r="M8" s="1">
        <v>41.866</v>
      </c>
      <c r="N8" s="1">
        <v>454.12319999999988</v>
      </c>
      <c r="O8" s="1">
        <f t="shared" si="4"/>
        <v>164.27280000000002</v>
      </c>
      <c r="P8" s="5">
        <f t="shared" ref="P8" si="7">9*O8-N8-F8</f>
        <v>530.05900000000031</v>
      </c>
      <c r="Q8" s="5"/>
      <c r="R8" s="1"/>
      <c r="S8" s="1">
        <f t="shared" si="5"/>
        <v>9.0000000000000018</v>
      </c>
      <c r="T8" s="1">
        <f t="shared" si="6"/>
        <v>5.7733002663861566</v>
      </c>
      <c r="U8" s="1">
        <v>143.53819999999999</v>
      </c>
      <c r="V8" s="1">
        <v>127.19280000000001</v>
      </c>
      <c r="W8" s="1">
        <v>89.702200000000005</v>
      </c>
      <c r="X8" s="1">
        <v>109.47539999999999</v>
      </c>
      <c r="Y8" s="1">
        <v>129.8152</v>
      </c>
      <c r="Z8" s="1">
        <v>119.22799999999999</v>
      </c>
      <c r="AA8" s="1">
        <v>205.73759999999999</v>
      </c>
      <c r="AB8" s="1">
        <v>109.92359999999999</v>
      </c>
      <c r="AC8" s="1">
        <v>142.90219999999999</v>
      </c>
      <c r="AD8" s="1">
        <v>153.07419999999999</v>
      </c>
      <c r="AE8" s="1"/>
      <c r="AF8" s="1">
        <f>G8*P8</f>
        <v>530.05900000000031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2" t="s">
        <v>40</v>
      </c>
      <c r="B9" s="12" t="s">
        <v>41</v>
      </c>
      <c r="C9" s="12"/>
      <c r="D9" s="12">
        <v>1</v>
      </c>
      <c r="E9" s="12">
        <v>1</v>
      </c>
      <c r="F9" s="12"/>
      <c r="G9" s="13">
        <v>0</v>
      </c>
      <c r="H9" s="12" t="e">
        <v>#N/A</v>
      </c>
      <c r="I9" s="12" t="s">
        <v>42</v>
      </c>
      <c r="J9" s="12"/>
      <c r="K9" s="12">
        <f t="shared" si="2"/>
        <v>1</v>
      </c>
      <c r="L9" s="12">
        <f t="shared" si="3"/>
        <v>1</v>
      </c>
      <c r="M9" s="12"/>
      <c r="N9" s="12">
        <v>0</v>
      </c>
      <c r="O9" s="12">
        <f t="shared" si="4"/>
        <v>0.2</v>
      </c>
      <c r="P9" s="14"/>
      <c r="Q9" s="14"/>
      <c r="R9" s="12"/>
      <c r="S9" s="12">
        <f t="shared" si="5"/>
        <v>0</v>
      </c>
      <c r="T9" s="12">
        <f t="shared" si="6"/>
        <v>0</v>
      </c>
      <c r="U9" s="12">
        <v>0.2</v>
      </c>
      <c r="V9" s="12">
        <v>0.2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/>
      <c r="AF9" s="12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43</v>
      </c>
      <c r="B10" s="1" t="s">
        <v>41</v>
      </c>
      <c r="C10" s="1">
        <v>1172</v>
      </c>
      <c r="D10" s="1">
        <v>624</v>
      </c>
      <c r="E10" s="1">
        <v>1312</v>
      </c>
      <c r="F10" s="1">
        <v>87.48</v>
      </c>
      <c r="G10" s="7">
        <v>0.45</v>
      </c>
      <c r="H10" s="1">
        <v>45</v>
      </c>
      <c r="I10" s="11" t="s">
        <v>44</v>
      </c>
      <c r="J10" s="1">
        <v>1654</v>
      </c>
      <c r="K10" s="1">
        <f t="shared" si="2"/>
        <v>-342</v>
      </c>
      <c r="L10" s="1">
        <f t="shared" si="3"/>
        <v>1312</v>
      </c>
      <c r="M10" s="1"/>
      <c r="N10" s="1">
        <v>100</v>
      </c>
      <c r="O10" s="1">
        <f t="shared" si="4"/>
        <v>262.39999999999998</v>
      </c>
      <c r="P10" s="25">
        <v>550</v>
      </c>
      <c r="Q10" s="5"/>
      <c r="R10" s="1"/>
      <c r="S10" s="1">
        <f t="shared" si="5"/>
        <v>2.8105182926829273</v>
      </c>
      <c r="T10" s="1">
        <f t="shared" si="6"/>
        <v>0.71448170731707328</v>
      </c>
      <c r="U10" s="1">
        <v>315.2</v>
      </c>
      <c r="V10" s="1">
        <v>353.4</v>
      </c>
      <c r="W10" s="1">
        <v>280.2</v>
      </c>
      <c r="X10" s="1">
        <v>187.2</v>
      </c>
      <c r="Y10" s="1">
        <v>126</v>
      </c>
      <c r="Z10" s="1">
        <v>110</v>
      </c>
      <c r="AA10" s="1">
        <v>136</v>
      </c>
      <c r="AB10" s="1">
        <v>117.8</v>
      </c>
      <c r="AC10" s="1">
        <v>121</v>
      </c>
      <c r="AD10" s="1">
        <v>156.19999999999999</v>
      </c>
      <c r="AE10" s="1" t="s">
        <v>45</v>
      </c>
      <c r="AF10" s="1">
        <f t="shared" ref="AF10:AF20" si="8">G10*P10</f>
        <v>247.5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46</v>
      </c>
      <c r="B11" s="1" t="s">
        <v>41</v>
      </c>
      <c r="C11" s="1">
        <v>1663</v>
      </c>
      <c r="D11" s="1">
        <v>1352</v>
      </c>
      <c r="E11" s="1">
        <v>1374</v>
      </c>
      <c r="F11" s="1">
        <v>1376</v>
      </c>
      <c r="G11" s="7">
        <v>0.45</v>
      </c>
      <c r="H11" s="1">
        <v>45</v>
      </c>
      <c r="I11" s="1" t="s">
        <v>37</v>
      </c>
      <c r="J11" s="1">
        <v>1406</v>
      </c>
      <c r="K11" s="1">
        <f t="shared" si="2"/>
        <v>-32</v>
      </c>
      <c r="L11" s="1">
        <f t="shared" si="3"/>
        <v>1344</v>
      </c>
      <c r="M11" s="1">
        <v>30</v>
      </c>
      <c r="N11" s="1">
        <v>472.19999999999982</v>
      </c>
      <c r="O11" s="1">
        <f t="shared" si="4"/>
        <v>268.8</v>
      </c>
      <c r="P11" s="5">
        <f t="shared" ref="P11:P20" si="9">9*O11-N11-F11</f>
        <v>571.00000000000045</v>
      </c>
      <c r="Q11" s="5"/>
      <c r="R11" s="1"/>
      <c r="S11" s="1">
        <f t="shared" si="5"/>
        <v>9</v>
      </c>
      <c r="T11" s="1">
        <f t="shared" si="6"/>
        <v>6.8757440476190466</v>
      </c>
      <c r="U11" s="1">
        <v>255.2</v>
      </c>
      <c r="V11" s="1">
        <v>258.2</v>
      </c>
      <c r="W11" s="1">
        <v>260.39999999999998</v>
      </c>
      <c r="X11" s="1">
        <v>263.2174</v>
      </c>
      <c r="Y11" s="1">
        <v>249.81739999999999</v>
      </c>
      <c r="Z11" s="1">
        <v>228.09</v>
      </c>
      <c r="AA11" s="1">
        <v>223.09</v>
      </c>
      <c r="AB11" s="1">
        <v>198.27420000000001</v>
      </c>
      <c r="AC11" s="1">
        <v>205.67420000000001</v>
      </c>
      <c r="AD11" s="1">
        <v>249.8</v>
      </c>
      <c r="AE11" s="1" t="s">
        <v>45</v>
      </c>
      <c r="AF11" s="1">
        <f t="shared" si="8"/>
        <v>256.95000000000022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47</v>
      </c>
      <c r="B12" s="1" t="s">
        <v>41</v>
      </c>
      <c r="C12" s="1">
        <v>259</v>
      </c>
      <c r="D12" s="1"/>
      <c r="E12" s="1">
        <v>108</v>
      </c>
      <c r="F12" s="1">
        <v>141</v>
      </c>
      <c r="G12" s="7">
        <v>0.17</v>
      </c>
      <c r="H12" s="1">
        <v>180</v>
      </c>
      <c r="I12" s="1" t="s">
        <v>37</v>
      </c>
      <c r="J12" s="1">
        <v>111</v>
      </c>
      <c r="K12" s="1">
        <f t="shared" si="2"/>
        <v>-3</v>
      </c>
      <c r="L12" s="1">
        <f t="shared" si="3"/>
        <v>93</v>
      </c>
      <c r="M12" s="1">
        <v>15</v>
      </c>
      <c r="N12" s="1">
        <v>10.19999999999999</v>
      </c>
      <c r="O12" s="1">
        <f t="shared" si="4"/>
        <v>18.600000000000001</v>
      </c>
      <c r="P12" s="5">
        <f t="shared" si="9"/>
        <v>16.200000000000017</v>
      </c>
      <c r="Q12" s="5"/>
      <c r="R12" s="1"/>
      <c r="S12" s="1">
        <f t="shared" si="5"/>
        <v>9</v>
      </c>
      <c r="T12" s="1">
        <f t="shared" si="6"/>
        <v>8.1290322580645142</v>
      </c>
      <c r="U12" s="1">
        <v>20.2</v>
      </c>
      <c r="V12" s="1">
        <v>16.399999999999999</v>
      </c>
      <c r="W12" s="1">
        <v>24.6</v>
      </c>
      <c r="X12" s="1">
        <v>29.8</v>
      </c>
      <c r="Y12" s="1">
        <v>24.6</v>
      </c>
      <c r="Z12" s="1">
        <v>17.8</v>
      </c>
      <c r="AA12" s="1">
        <v>15.2</v>
      </c>
      <c r="AB12" s="1">
        <v>16.2</v>
      </c>
      <c r="AC12" s="1">
        <v>24.4</v>
      </c>
      <c r="AD12" s="1">
        <v>28.6</v>
      </c>
      <c r="AE12" s="1" t="s">
        <v>45</v>
      </c>
      <c r="AF12" s="1">
        <f t="shared" si="8"/>
        <v>2.7540000000000031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48</v>
      </c>
      <c r="B13" s="1" t="s">
        <v>41</v>
      </c>
      <c r="C13" s="1"/>
      <c r="D13" s="1">
        <v>31</v>
      </c>
      <c r="E13" s="1">
        <v>5</v>
      </c>
      <c r="F13" s="1">
        <v>24</v>
      </c>
      <c r="G13" s="7">
        <v>0.3</v>
      </c>
      <c r="H13" s="1">
        <v>40</v>
      </c>
      <c r="I13" s="1" t="s">
        <v>37</v>
      </c>
      <c r="J13" s="1">
        <v>12</v>
      </c>
      <c r="K13" s="1">
        <f t="shared" si="2"/>
        <v>-7</v>
      </c>
      <c r="L13" s="1">
        <f t="shared" si="3"/>
        <v>5</v>
      </c>
      <c r="M13" s="1"/>
      <c r="N13" s="1">
        <v>6</v>
      </c>
      <c r="O13" s="1">
        <f t="shared" si="4"/>
        <v>1</v>
      </c>
      <c r="P13" s="5"/>
      <c r="Q13" s="5"/>
      <c r="R13" s="1"/>
      <c r="S13" s="1">
        <f t="shared" si="5"/>
        <v>30</v>
      </c>
      <c r="T13" s="1">
        <f t="shared" si="6"/>
        <v>30</v>
      </c>
      <c r="U13" s="1">
        <v>2.6</v>
      </c>
      <c r="V13" s="1">
        <v>2.8</v>
      </c>
      <c r="W13" s="1">
        <v>0.2</v>
      </c>
      <c r="X13" s="1">
        <v>0</v>
      </c>
      <c r="Y13" s="1">
        <v>1</v>
      </c>
      <c r="Z13" s="1">
        <v>0.6</v>
      </c>
      <c r="AA13" s="1">
        <v>2</v>
      </c>
      <c r="AB13" s="1">
        <v>0.8</v>
      </c>
      <c r="AC13" s="1">
        <v>1.4</v>
      </c>
      <c r="AD13" s="1">
        <v>1.4</v>
      </c>
      <c r="AE13" s="1"/>
      <c r="AF13" s="1">
        <f t="shared" si="8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49</v>
      </c>
      <c r="B14" s="1" t="s">
        <v>41</v>
      </c>
      <c r="C14" s="1">
        <v>224</v>
      </c>
      <c r="D14" s="1">
        <v>90</v>
      </c>
      <c r="E14" s="1">
        <v>229</v>
      </c>
      <c r="F14" s="1">
        <v>66</v>
      </c>
      <c r="G14" s="7">
        <v>0.17</v>
      </c>
      <c r="H14" s="1">
        <v>180</v>
      </c>
      <c r="I14" s="1" t="s">
        <v>37</v>
      </c>
      <c r="J14" s="1">
        <v>230</v>
      </c>
      <c r="K14" s="1">
        <f t="shared" si="2"/>
        <v>-1</v>
      </c>
      <c r="L14" s="1">
        <f t="shared" si="3"/>
        <v>214</v>
      </c>
      <c r="M14" s="1">
        <v>15</v>
      </c>
      <c r="N14" s="1">
        <v>10.80000000000001</v>
      </c>
      <c r="O14" s="1">
        <f t="shared" si="4"/>
        <v>42.8</v>
      </c>
      <c r="P14" s="5">
        <f>8*O14-N14-F14</f>
        <v>265.59999999999997</v>
      </c>
      <c r="Q14" s="5"/>
      <c r="R14" s="1"/>
      <c r="S14" s="1">
        <f t="shared" si="5"/>
        <v>8</v>
      </c>
      <c r="T14" s="1">
        <f t="shared" si="6"/>
        <v>1.7943925233644864</v>
      </c>
      <c r="U14" s="1">
        <v>18.8</v>
      </c>
      <c r="V14" s="1">
        <v>18.399999999999999</v>
      </c>
      <c r="W14" s="1">
        <v>8.8000000000000007</v>
      </c>
      <c r="X14" s="1">
        <v>21.4</v>
      </c>
      <c r="Y14" s="1">
        <v>27.4</v>
      </c>
      <c r="Z14" s="1">
        <v>31.2</v>
      </c>
      <c r="AA14" s="1">
        <v>28.4</v>
      </c>
      <c r="AB14" s="1">
        <v>34</v>
      </c>
      <c r="AC14" s="1">
        <v>49</v>
      </c>
      <c r="AD14" s="1">
        <v>50.2</v>
      </c>
      <c r="AE14" s="1"/>
      <c r="AF14" s="1">
        <f t="shared" si="8"/>
        <v>45.151999999999994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50</v>
      </c>
      <c r="B15" s="1" t="s">
        <v>41</v>
      </c>
      <c r="C15" s="1">
        <v>54</v>
      </c>
      <c r="D15" s="1"/>
      <c r="E15" s="1">
        <v>5</v>
      </c>
      <c r="F15" s="1">
        <v>49</v>
      </c>
      <c r="G15" s="7">
        <v>0.35</v>
      </c>
      <c r="H15" s="1">
        <v>50</v>
      </c>
      <c r="I15" s="1" t="s">
        <v>37</v>
      </c>
      <c r="J15" s="1">
        <v>3</v>
      </c>
      <c r="K15" s="1">
        <f t="shared" si="2"/>
        <v>2</v>
      </c>
      <c r="L15" s="1">
        <f t="shared" si="3"/>
        <v>5</v>
      </c>
      <c r="M15" s="1"/>
      <c r="N15" s="1">
        <v>0</v>
      </c>
      <c r="O15" s="1">
        <f t="shared" si="4"/>
        <v>1</v>
      </c>
      <c r="P15" s="5"/>
      <c r="Q15" s="5"/>
      <c r="R15" s="1"/>
      <c r="S15" s="1">
        <f t="shared" si="5"/>
        <v>49</v>
      </c>
      <c r="T15" s="1">
        <f t="shared" si="6"/>
        <v>49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21" t="s">
        <v>155</v>
      </c>
      <c r="AF15" s="1">
        <f t="shared" si="8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51</v>
      </c>
      <c r="B16" s="1" t="s">
        <v>41</v>
      </c>
      <c r="C16" s="1">
        <v>131</v>
      </c>
      <c r="D16" s="1">
        <v>72</v>
      </c>
      <c r="E16" s="1">
        <v>85</v>
      </c>
      <c r="F16" s="1">
        <v>86</v>
      </c>
      <c r="G16" s="7">
        <v>0.35</v>
      </c>
      <c r="H16" s="1">
        <v>50</v>
      </c>
      <c r="I16" s="1" t="s">
        <v>37</v>
      </c>
      <c r="J16" s="1">
        <v>88</v>
      </c>
      <c r="K16" s="1">
        <f t="shared" si="2"/>
        <v>-3</v>
      </c>
      <c r="L16" s="1">
        <f t="shared" si="3"/>
        <v>85</v>
      </c>
      <c r="M16" s="1"/>
      <c r="N16" s="1">
        <v>95.600000000000023</v>
      </c>
      <c r="O16" s="1">
        <f t="shared" si="4"/>
        <v>17</v>
      </c>
      <c r="P16" s="5"/>
      <c r="Q16" s="5"/>
      <c r="R16" s="1"/>
      <c r="S16" s="1">
        <f t="shared" si="5"/>
        <v>10.682352941176472</v>
      </c>
      <c r="T16" s="1">
        <f t="shared" si="6"/>
        <v>10.682352941176472</v>
      </c>
      <c r="U16" s="1">
        <v>19.8</v>
      </c>
      <c r="V16" s="1">
        <v>15.2</v>
      </c>
      <c r="W16" s="1">
        <v>19.2</v>
      </c>
      <c r="X16" s="1">
        <v>18</v>
      </c>
      <c r="Y16" s="1">
        <v>11.4</v>
      </c>
      <c r="Z16" s="1">
        <v>11.4</v>
      </c>
      <c r="AA16" s="1">
        <v>9.1999999999999993</v>
      </c>
      <c r="AB16" s="1">
        <v>12.6</v>
      </c>
      <c r="AC16" s="1">
        <v>15.6</v>
      </c>
      <c r="AD16" s="1">
        <v>19</v>
      </c>
      <c r="AE16" s="1" t="s">
        <v>45</v>
      </c>
      <c r="AF16" s="1">
        <f t="shared" si="8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52</v>
      </c>
      <c r="B17" s="1" t="s">
        <v>36</v>
      </c>
      <c r="C17" s="1">
        <v>1382.8219999999999</v>
      </c>
      <c r="D17" s="1">
        <v>864.55</v>
      </c>
      <c r="E17" s="1">
        <v>1415.81</v>
      </c>
      <c r="F17" s="1">
        <v>621.21600000000001</v>
      </c>
      <c r="G17" s="7">
        <v>1</v>
      </c>
      <c r="H17" s="1">
        <v>55</v>
      </c>
      <c r="I17" s="1" t="s">
        <v>37</v>
      </c>
      <c r="J17" s="1">
        <v>1387.9</v>
      </c>
      <c r="K17" s="1">
        <f t="shared" si="2"/>
        <v>27.909999999999854</v>
      </c>
      <c r="L17" s="1">
        <f t="shared" si="3"/>
        <v>1373.53</v>
      </c>
      <c r="M17" s="1">
        <v>42.28</v>
      </c>
      <c r="N17" s="1">
        <v>517.40039999999988</v>
      </c>
      <c r="O17" s="1">
        <f t="shared" si="4"/>
        <v>274.70600000000002</v>
      </c>
      <c r="P17" s="5">
        <f t="shared" si="9"/>
        <v>1333.7376000000004</v>
      </c>
      <c r="Q17" s="5"/>
      <c r="R17" s="1"/>
      <c r="S17" s="1">
        <f t="shared" si="5"/>
        <v>9</v>
      </c>
      <c r="T17" s="1">
        <f t="shared" si="6"/>
        <v>4.1448544989916485</v>
      </c>
      <c r="U17" s="1">
        <v>206.38939999999999</v>
      </c>
      <c r="V17" s="1">
        <v>193.7028</v>
      </c>
      <c r="W17" s="1">
        <v>201.4074</v>
      </c>
      <c r="X17" s="1">
        <v>310.33399999999989</v>
      </c>
      <c r="Y17" s="1">
        <v>398.28039999999999</v>
      </c>
      <c r="Z17" s="1">
        <v>324.76940000000002</v>
      </c>
      <c r="AA17" s="1">
        <v>301.13979999999998</v>
      </c>
      <c r="AB17" s="1">
        <v>383.67419999999998</v>
      </c>
      <c r="AC17" s="1">
        <v>451.68860000000012</v>
      </c>
      <c r="AD17" s="1">
        <v>473.6454</v>
      </c>
      <c r="AE17" s="1"/>
      <c r="AF17" s="1">
        <f t="shared" si="8"/>
        <v>1333.7376000000004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53</v>
      </c>
      <c r="B18" s="1" t="s">
        <v>36</v>
      </c>
      <c r="C18" s="1">
        <v>1599.432</v>
      </c>
      <c r="D18" s="1">
        <v>2101.2779999999998</v>
      </c>
      <c r="E18" s="1">
        <v>2726.6410000000001</v>
      </c>
      <c r="F18" s="1">
        <v>812.97199999999998</v>
      </c>
      <c r="G18" s="7">
        <v>1</v>
      </c>
      <c r="H18" s="1">
        <v>50</v>
      </c>
      <c r="I18" s="1" t="s">
        <v>37</v>
      </c>
      <c r="J18" s="1">
        <v>2932.69</v>
      </c>
      <c r="K18" s="1">
        <f t="shared" si="2"/>
        <v>-206.04899999999998</v>
      </c>
      <c r="L18" s="1">
        <f t="shared" si="3"/>
        <v>2636.5309999999999</v>
      </c>
      <c r="M18" s="1">
        <v>90.11</v>
      </c>
      <c r="N18" s="1">
        <v>642.28340000000026</v>
      </c>
      <c r="O18" s="1">
        <f t="shared" si="4"/>
        <v>527.30619999999999</v>
      </c>
      <c r="P18" s="5">
        <f>8.5*O18-N18-F18</f>
        <v>3026.8472999999994</v>
      </c>
      <c r="Q18" s="5"/>
      <c r="R18" s="1"/>
      <c r="S18" s="1">
        <f t="shared" si="5"/>
        <v>8.5</v>
      </c>
      <c r="T18" s="1">
        <f t="shared" si="6"/>
        <v>2.7597919387255456</v>
      </c>
      <c r="U18" s="1">
        <v>267.09339999999997</v>
      </c>
      <c r="V18" s="1">
        <v>251.4836</v>
      </c>
      <c r="W18" s="1">
        <v>292.53859999999997</v>
      </c>
      <c r="X18" s="1">
        <v>235.83619999999999</v>
      </c>
      <c r="Y18" s="1">
        <v>536.05899999999997</v>
      </c>
      <c r="Z18" s="1">
        <v>581.779</v>
      </c>
      <c r="AA18" s="1">
        <v>386.68200000000002</v>
      </c>
      <c r="AB18" s="1">
        <v>436.22439999999989</v>
      </c>
      <c r="AC18" s="1">
        <v>475.40159999999997</v>
      </c>
      <c r="AD18" s="1">
        <v>605.65679999999998</v>
      </c>
      <c r="AE18" s="1"/>
      <c r="AF18" s="1">
        <f t="shared" si="8"/>
        <v>3026.8472999999994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54</v>
      </c>
      <c r="B19" s="1" t="s">
        <v>36</v>
      </c>
      <c r="C19" s="1">
        <v>148.28</v>
      </c>
      <c r="D19" s="1">
        <v>167.22399999999999</v>
      </c>
      <c r="E19" s="1">
        <v>114.634</v>
      </c>
      <c r="F19" s="1">
        <v>141.11799999999999</v>
      </c>
      <c r="G19" s="7">
        <v>1</v>
      </c>
      <c r="H19" s="1">
        <v>60</v>
      </c>
      <c r="I19" s="1" t="s">
        <v>37</v>
      </c>
      <c r="J19" s="1">
        <v>124.4</v>
      </c>
      <c r="K19" s="1">
        <f t="shared" si="2"/>
        <v>-9.7660000000000053</v>
      </c>
      <c r="L19" s="1">
        <f t="shared" si="3"/>
        <v>114.634</v>
      </c>
      <c r="M19" s="1"/>
      <c r="N19" s="1">
        <v>84.080399999999955</v>
      </c>
      <c r="O19" s="1">
        <f t="shared" si="4"/>
        <v>22.9268</v>
      </c>
      <c r="P19" s="5"/>
      <c r="Q19" s="5"/>
      <c r="R19" s="1"/>
      <c r="S19" s="1">
        <f t="shared" si="5"/>
        <v>9.8224959436118393</v>
      </c>
      <c r="T19" s="1">
        <f t="shared" si="6"/>
        <v>9.8224959436118393</v>
      </c>
      <c r="U19" s="1">
        <v>29.660399999999999</v>
      </c>
      <c r="V19" s="1">
        <v>26.854800000000001</v>
      </c>
      <c r="W19" s="1">
        <v>21.146599999999999</v>
      </c>
      <c r="X19" s="1">
        <v>24.0246</v>
      </c>
      <c r="Y19" s="1">
        <v>29.0502</v>
      </c>
      <c r="Z19" s="1">
        <v>27.303000000000001</v>
      </c>
      <c r="AA19" s="1">
        <v>19.429400000000001</v>
      </c>
      <c r="AB19" s="1">
        <v>23.8124</v>
      </c>
      <c r="AC19" s="1">
        <v>25.540199999999999</v>
      </c>
      <c r="AD19" s="1">
        <v>28.898199999999999</v>
      </c>
      <c r="AE19" s="1"/>
      <c r="AF19" s="1">
        <f t="shared" si="8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55</v>
      </c>
      <c r="B20" s="1" t="s">
        <v>36</v>
      </c>
      <c r="C20" s="1">
        <v>2487.3470000000002</v>
      </c>
      <c r="D20" s="1">
        <v>1602.8589999999999</v>
      </c>
      <c r="E20" s="1">
        <v>2111.7469999999998</v>
      </c>
      <c r="F20" s="1">
        <v>1897.932</v>
      </c>
      <c r="G20" s="7">
        <v>1</v>
      </c>
      <c r="H20" s="1">
        <v>60</v>
      </c>
      <c r="I20" s="1" t="s">
        <v>37</v>
      </c>
      <c r="J20" s="1">
        <v>2224.4589999999998</v>
      </c>
      <c r="K20" s="1">
        <f t="shared" si="2"/>
        <v>-112.71199999999999</v>
      </c>
      <c r="L20" s="1">
        <f t="shared" si="3"/>
        <v>2021.6719999999998</v>
      </c>
      <c r="M20" s="1">
        <v>90.075000000000003</v>
      </c>
      <c r="N20" s="1">
        <v>0</v>
      </c>
      <c r="O20" s="1">
        <f t="shared" si="4"/>
        <v>404.33439999999996</v>
      </c>
      <c r="P20" s="5">
        <f t="shared" si="9"/>
        <v>1741.0775999999994</v>
      </c>
      <c r="Q20" s="5"/>
      <c r="R20" s="1"/>
      <c r="S20" s="1">
        <f t="shared" si="5"/>
        <v>9</v>
      </c>
      <c r="T20" s="1">
        <f t="shared" si="6"/>
        <v>4.6939661824470047</v>
      </c>
      <c r="U20" s="1">
        <v>160.50620000000001</v>
      </c>
      <c r="V20" s="1">
        <v>167.1514</v>
      </c>
      <c r="W20" s="1">
        <v>272.83499999999998</v>
      </c>
      <c r="X20" s="1">
        <v>336.50259999999997</v>
      </c>
      <c r="Y20" s="1">
        <v>275.95479999999998</v>
      </c>
      <c r="Z20" s="1">
        <v>196.05439999999999</v>
      </c>
      <c r="AA20" s="1">
        <v>219.8048</v>
      </c>
      <c r="AB20" s="1">
        <v>358.10300000000001</v>
      </c>
      <c r="AC20" s="1">
        <v>199.55439999999999</v>
      </c>
      <c r="AD20" s="1">
        <v>202.4068</v>
      </c>
      <c r="AE20" s="1"/>
      <c r="AF20" s="1">
        <f t="shared" si="8"/>
        <v>1741.0775999999994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6" t="s">
        <v>56</v>
      </c>
      <c r="B21" s="16" t="s">
        <v>36</v>
      </c>
      <c r="C21" s="16"/>
      <c r="D21" s="16"/>
      <c r="E21" s="16"/>
      <c r="F21" s="16"/>
      <c r="G21" s="17">
        <v>0</v>
      </c>
      <c r="H21" s="16">
        <v>60</v>
      </c>
      <c r="I21" s="16" t="s">
        <v>37</v>
      </c>
      <c r="J21" s="16"/>
      <c r="K21" s="16">
        <f t="shared" si="2"/>
        <v>0</v>
      </c>
      <c r="L21" s="16">
        <f t="shared" si="3"/>
        <v>0</v>
      </c>
      <c r="M21" s="16"/>
      <c r="N21" s="16">
        <v>0</v>
      </c>
      <c r="O21" s="16">
        <f t="shared" si="4"/>
        <v>0</v>
      </c>
      <c r="P21" s="18"/>
      <c r="Q21" s="18"/>
      <c r="R21" s="16"/>
      <c r="S21" s="16" t="e">
        <f t="shared" si="5"/>
        <v>#DIV/0!</v>
      </c>
      <c r="T21" s="16" t="e">
        <f t="shared" si="6"/>
        <v>#DIV/0!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 t="s">
        <v>57</v>
      </c>
      <c r="AF21" s="16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58</v>
      </c>
      <c r="B22" s="1" t="s">
        <v>36</v>
      </c>
      <c r="C22" s="1">
        <v>3770.2359999999999</v>
      </c>
      <c r="D22" s="1">
        <v>2666.41</v>
      </c>
      <c r="E22" s="1">
        <v>3076.0880000000002</v>
      </c>
      <c r="F22" s="1">
        <v>2856.2750000000001</v>
      </c>
      <c r="G22" s="7">
        <v>1</v>
      </c>
      <c r="H22" s="1">
        <v>60</v>
      </c>
      <c r="I22" s="1" t="s">
        <v>37</v>
      </c>
      <c r="J22" s="1">
        <v>2961.53</v>
      </c>
      <c r="K22" s="1">
        <f t="shared" si="2"/>
        <v>114.55799999999999</v>
      </c>
      <c r="L22" s="1">
        <f t="shared" si="3"/>
        <v>3033.8780000000002</v>
      </c>
      <c r="M22" s="1">
        <v>42.21</v>
      </c>
      <c r="N22" s="1">
        <v>684.95739999999796</v>
      </c>
      <c r="O22" s="1">
        <f t="shared" si="4"/>
        <v>606.77560000000005</v>
      </c>
      <c r="P22" s="5">
        <f t="shared" ref="P22:P24" si="10">9*O22-N22-F22</f>
        <v>1919.7480000000028</v>
      </c>
      <c r="Q22" s="5"/>
      <c r="R22" s="1"/>
      <c r="S22" s="1">
        <f t="shared" si="5"/>
        <v>9</v>
      </c>
      <c r="T22" s="1">
        <f t="shared" si="6"/>
        <v>5.8361483223781541</v>
      </c>
      <c r="U22" s="1">
        <v>537.21879999999999</v>
      </c>
      <c r="V22" s="1">
        <v>516.37740000000008</v>
      </c>
      <c r="W22" s="1">
        <v>434.51839999999999</v>
      </c>
      <c r="X22" s="1">
        <v>439.80700000000007</v>
      </c>
      <c r="Y22" s="1">
        <v>668.41700000000003</v>
      </c>
      <c r="Z22" s="1">
        <v>686.20619999999997</v>
      </c>
      <c r="AA22" s="1">
        <v>491.83839999999998</v>
      </c>
      <c r="AB22" s="1">
        <v>547.68860000000006</v>
      </c>
      <c r="AC22" s="1">
        <v>673.61239999999998</v>
      </c>
      <c r="AD22" s="1">
        <v>630.01919999999996</v>
      </c>
      <c r="AE22" s="10" t="s">
        <v>60</v>
      </c>
      <c r="AF22" s="1">
        <f>G22*P22</f>
        <v>1919.7480000000028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59</v>
      </c>
      <c r="B23" s="1" t="s">
        <v>36</v>
      </c>
      <c r="C23" s="1">
        <v>837.71</v>
      </c>
      <c r="D23" s="1">
        <v>1071.5899999999999</v>
      </c>
      <c r="E23" s="1">
        <v>850.79600000000005</v>
      </c>
      <c r="F23" s="1">
        <v>909.63199999999995</v>
      </c>
      <c r="G23" s="7">
        <v>1</v>
      </c>
      <c r="H23" s="1">
        <v>60</v>
      </c>
      <c r="I23" s="1" t="s">
        <v>37</v>
      </c>
      <c r="J23" s="1">
        <v>953.41</v>
      </c>
      <c r="K23" s="1">
        <f t="shared" si="2"/>
        <v>-102.61399999999992</v>
      </c>
      <c r="L23" s="1">
        <f t="shared" si="3"/>
        <v>808.77600000000007</v>
      </c>
      <c r="M23" s="1">
        <v>42.02</v>
      </c>
      <c r="N23" s="1">
        <v>0</v>
      </c>
      <c r="O23" s="1">
        <f t="shared" si="4"/>
        <v>161.7552</v>
      </c>
      <c r="P23" s="5">
        <f t="shared" si="10"/>
        <v>546.16480000000013</v>
      </c>
      <c r="Q23" s="5"/>
      <c r="R23" s="1"/>
      <c r="S23" s="1">
        <f t="shared" si="5"/>
        <v>9</v>
      </c>
      <c r="T23" s="1">
        <f t="shared" si="6"/>
        <v>5.6235100942659031</v>
      </c>
      <c r="U23" s="1">
        <v>140.8828</v>
      </c>
      <c r="V23" s="1">
        <v>154.36920000000001</v>
      </c>
      <c r="W23" s="1">
        <v>112.0834</v>
      </c>
      <c r="X23" s="1">
        <v>125.7568</v>
      </c>
      <c r="Y23" s="1">
        <v>132.44640000000001</v>
      </c>
      <c r="Z23" s="1">
        <v>97.144800000000004</v>
      </c>
      <c r="AA23" s="1">
        <v>103.6504</v>
      </c>
      <c r="AB23" s="1">
        <v>92.827399999999997</v>
      </c>
      <c r="AC23" s="1">
        <v>112.0784</v>
      </c>
      <c r="AD23" s="1">
        <v>119.7702</v>
      </c>
      <c r="AE23" s="1" t="s">
        <v>60</v>
      </c>
      <c r="AF23" s="1">
        <f>G23*P23</f>
        <v>546.16480000000013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61</v>
      </c>
      <c r="B24" s="1" t="s">
        <v>36</v>
      </c>
      <c r="C24" s="1">
        <v>1118.75</v>
      </c>
      <c r="D24" s="1">
        <v>1447.0219999999999</v>
      </c>
      <c r="E24" s="1">
        <v>1063.82</v>
      </c>
      <c r="F24" s="1">
        <v>1293.037</v>
      </c>
      <c r="G24" s="7">
        <v>1</v>
      </c>
      <c r="H24" s="1">
        <v>60</v>
      </c>
      <c r="I24" s="1" t="s">
        <v>37</v>
      </c>
      <c r="J24" s="1">
        <v>1109.204</v>
      </c>
      <c r="K24" s="1">
        <f t="shared" si="2"/>
        <v>-45.384000000000015</v>
      </c>
      <c r="L24" s="1">
        <f t="shared" si="3"/>
        <v>1021.626</v>
      </c>
      <c r="M24" s="1">
        <v>42.194000000000003</v>
      </c>
      <c r="N24" s="1">
        <v>0</v>
      </c>
      <c r="O24" s="1">
        <f t="shared" si="4"/>
        <v>204.3252</v>
      </c>
      <c r="P24" s="5">
        <f t="shared" si="10"/>
        <v>545.88979999999992</v>
      </c>
      <c r="Q24" s="5"/>
      <c r="R24" s="1"/>
      <c r="S24" s="1">
        <f t="shared" si="5"/>
        <v>9</v>
      </c>
      <c r="T24" s="1">
        <f t="shared" si="6"/>
        <v>6.3283285664225462</v>
      </c>
      <c r="U24" s="1">
        <v>181.23599999999999</v>
      </c>
      <c r="V24" s="1">
        <v>207.1456</v>
      </c>
      <c r="W24" s="1">
        <v>153.3486</v>
      </c>
      <c r="X24" s="1">
        <v>169.1464</v>
      </c>
      <c r="Y24" s="1">
        <v>177.07560000000001</v>
      </c>
      <c r="Z24" s="1">
        <v>111.5564</v>
      </c>
      <c r="AA24" s="1">
        <v>146.03460000000001</v>
      </c>
      <c r="AB24" s="1">
        <v>129.23740000000001</v>
      </c>
      <c r="AC24" s="1">
        <v>169.82660000000001</v>
      </c>
      <c r="AD24" s="1">
        <v>173.10380000000001</v>
      </c>
      <c r="AE24" s="1" t="s">
        <v>62</v>
      </c>
      <c r="AF24" s="1">
        <f>G24*P24</f>
        <v>545.88979999999992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63</v>
      </c>
      <c r="B25" s="1" t="s">
        <v>36</v>
      </c>
      <c r="C25" s="1">
        <v>1385.588</v>
      </c>
      <c r="D25" s="1">
        <v>237.82900000000001</v>
      </c>
      <c r="E25" s="1">
        <v>1059.1110000000001</v>
      </c>
      <c r="F25" s="1">
        <v>399.32600000000002</v>
      </c>
      <c r="G25" s="7">
        <v>1</v>
      </c>
      <c r="H25" s="1">
        <v>60</v>
      </c>
      <c r="I25" s="1" t="s">
        <v>37</v>
      </c>
      <c r="J25" s="1">
        <v>1038.2070000000001</v>
      </c>
      <c r="K25" s="1">
        <f t="shared" si="2"/>
        <v>20.903999999999996</v>
      </c>
      <c r="L25" s="1">
        <f t="shared" si="3"/>
        <v>1017.0100000000001</v>
      </c>
      <c r="M25" s="1">
        <v>42.100999999999999</v>
      </c>
      <c r="N25" s="1">
        <v>254.6206</v>
      </c>
      <c r="O25" s="1">
        <f t="shared" si="4"/>
        <v>203.40200000000002</v>
      </c>
      <c r="P25" s="5">
        <f>8.5*O25-N25-F25</f>
        <v>1074.9704000000002</v>
      </c>
      <c r="Q25" s="5"/>
      <c r="R25" s="1"/>
      <c r="S25" s="1">
        <f t="shared" si="5"/>
        <v>8.5</v>
      </c>
      <c r="T25" s="1">
        <f t="shared" si="6"/>
        <v>3.2150450831358586</v>
      </c>
      <c r="U25" s="1">
        <v>136.2996</v>
      </c>
      <c r="V25" s="1">
        <v>134.27719999999999</v>
      </c>
      <c r="W25" s="1">
        <v>169.32679999999999</v>
      </c>
      <c r="X25" s="1">
        <v>268.72460000000001</v>
      </c>
      <c r="Y25" s="1">
        <v>363.09100000000001</v>
      </c>
      <c r="Z25" s="1">
        <v>276.38380000000001</v>
      </c>
      <c r="AA25" s="1">
        <v>235.2038</v>
      </c>
      <c r="AB25" s="1">
        <v>370.42840000000001</v>
      </c>
      <c r="AC25" s="1">
        <v>503.1662</v>
      </c>
      <c r="AD25" s="1">
        <v>431.20580000000001</v>
      </c>
      <c r="AE25" s="1"/>
      <c r="AF25" s="1">
        <f>G25*P25</f>
        <v>1074.9704000000002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6" t="s">
        <v>64</v>
      </c>
      <c r="B26" s="16" t="s">
        <v>36</v>
      </c>
      <c r="C26" s="16"/>
      <c r="D26" s="16"/>
      <c r="E26" s="16"/>
      <c r="F26" s="16"/>
      <c r="G26" s="17">
        <v>0</v>
      </c>
      <c r="H26" s="16">
        <v>30</v>
      </c>
      <c r="I26" s="16" t="s">
        <v>37</v>
      </c>
      <c r="J26" s="16"/>
      <c r="K26" s="16">
        <f t="shared" si="2"/>
        <v>0</v>
      </c>
      <c r="L26" s="16">
        <f t="shared" si="3"/>
        <v>0</v>
      </c>
      <c r="M26" s="16"/>
      <c r="N26" s="16">
        <v>0</v>
      </c>
      <c r="O26" s="16">
        <f t="shared" si="4"/>
        <v>0</v>
      </c>
      <c r="P26" s="18"/>
      <c r="Q26" s="18"/>
      <c r="R26" s="16"/>
      <c r="S26" s="16" t="e">
        <f t="shared" si="5"/>
        <v>#DIV/0!</v>
      </c>
      <c r="T26" s="16" t="e">
        <f t="shared" si="6"/>
        <v>#DIV/0!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 t="s">
        <v>57</v>
      </c>
      <c r="AF26" s="16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6" t="s">
        <v>65</v>
      </c>
      <c r="B27" s="16" t="s">
        <v>36</v>
      </c>
      <c r="C27" s="16"/>
      <c r="D27" s="16"/>
      <c r="E27" s="16"/>
      <c r="F27" s="16"/>
      <c r="G27" s="17">
        <v>0</v>
      </c>
      <c r="H27" s="16">
        <v>30</v>
      </c>
      <c r="I27" s="16" t="s">
        <v>37</v>
      </c>
      <c r="J27" s="16"/>
      <c r="K27" s="16">
        <f t="shared" si="2"/>
        <v>0</v>
      </c>
      <c r="L27" s="16">
        <f t="shared" si="3"/>
        <v>0</v>
      </c>
      <c r="M27" s="16"/>
      <c r="N27" s="16">
        <v>0</v>
      </c>
      <c r="O27" s="16">
        <f t="shared" si="4"/>
        <v>0</v>
      </c>
      <c r="P27" s="18"/>
      <c r="Q27" s="18"/>
      <c r="R27" s="16"/>
      <c r="S27" s="16" t="e">
        <f t="shared" si="5"/>
        <v>#DIV/0!</v>
      </c>
      <c r="T27" s="16" t="e">
        <f t="shared" si="6"/>
        <v>#DIV/0!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 t="s">
        <v>57</v>
      </c>
      <c r="AF27" s="16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66</v>
      </c>
      <c r="B28" s="1" t="s">
        <v>36</v>
      </c>
      <c r="C28" s="1">
        <v>705.245</v>
      </c>
      <c r="D28" s="1">
        <v>1240.798</v>
      </c>
      <c r="E28" s="1">
        <v>1048.414</v>
      </c>
      <c r="F28" s="1">
        <v>788.904</v>
      </c>
      <c r="G28" s="7">
        <v>1</v>
      </c>
      <c r="H28" s="1">
        <v>30</v>
      </c>
      <c r="I28" s="1" t="s">
        <v>37</v>
      </c>
      <c r="J28" s="1">
        <v>1121.0360000000001</v>
      </c>
      <c r="K28" s="1">
        <f t="shared" si="2"/>
        <v>-72.622000000000071</v>
      </c>
      <c r="L28" s="1">
        <f t="shared" si="3"/>
        <v>1008.726</v>
      </c>
      <c r="M28" s="1">
        <v>39.688000000000002</v>
      </c>
      <c r="N28" s="1">
        <v>213.55260000000001</v>
      </c>
      <c r="O28" s="1">
        <f t="shared" si="4"/>
        <v>201.74520000000001</v>
      </c>
      <c r="P28" s="5">
        <f>9*O28-N28-F28</f>
        <v>813.25020000000018</v>
      </c>
      <c r="Q28" s="5"/>
      <c r="R28" s="1"/>
      <c r="S28" s="1">
        <f t="shared" si="5"/>
        <v>9</v>
      </c>
      <c r="T28" s="1">
        <f t="shared" si="6"/>
        <v>4.9689241677125402</v>
      </c>
      <c r="U28" s="1">
        <v>138.4486</v>
      </c>
      <c r="V28" s="1">
        <v>139.56200000000001</v>
      </c>
      <c r="W28" s="1">
        <v>107.913</v>
      </c>
      <c r="X28" s="1">
        <v>127.68940000000001</v>
      </c>
      <c r="Y28" s="1">
        <v>172.2902</v>
      </c>
      <c r="Z28" s="1">
        <v>142.6968</v>
      </c>
      <c r="AA28" s="1">
        <v>193.83279999999999</v>
      </c>
      <c r="AB28" s="1">
        <v>148.1738</v>
      </c>
      <c r="AC28" s="1">
        <v>156.25899999999999</v>
      </c>
      <c r="AD28" s="1">
        <v>168.04759999999999</v>
      </c>
      <c r="AE28" s="1"/>
      <c r="AF28" s="1">
        <f>G28*P28</f>
        <v>813.25020000000018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6" t="s">
        <v>67</v>
      </c>
      <c r="B29" s="16" t="s">
        <v>36</v>
      </c>
      <c r="C29" s="16"/>
      <c r="D29" s="16"/>
      <c r="E29" s="16"/>
      <c r="F29" s="16"/>
      <c r="G29" s="17">
        <v>0</v>
      </c>
      <c r="H29" s="16">
        <v>45</v>
      </c>
      <c r="I29" s="16" t="s">
        <v>37</v>
      </c>
      <c r="J29" s="16"/>
      <c r="K29" s="16">
        <f t="shared" si="2"/>
        <v>0</v>
      </c>
      <c r="L29" s="16">
        <f t="shared" si="3"/>
        <v>0</v>
      </c>
      <c r="M29" s="16"/>
      <c r="N29" s="16">
        <v>0</v>
      </c>
      <c r="O29" s="16">
        <f t="shared" si="4"/>
        <v>0</v>
      </c>
      <c r="P29" s="18"/>
      <c r="Q29" s="18"/>
      <c r="R29" s="16"/>
      <c r="S29" s="16" t="e">
        <f t="shared" si="5"/>
        <v>#DIV/0!</v>
      </c>
      <c r="T29" s="16" t="e">
        <f t="shared" si="6"/>
        <v>#DIV/0!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 t="s">
        <v>57</v>
      </c>
      <c r="AF29" s="16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6" t="s">
        <v>68</v>
      </c>
      <c r="B30" s="16" t="s">
        <v>36</v>
      </c>
      <c r="C30" s="16"/>
      <c r="D30" s="16">
        <v>846.38300000000004</v>
      </c>
      <c r="E30" s="16">
        <v>846.38300000000004</v>
      </c>
      <c r="F30" s="16"/>
      <c r="G30" s="17">
        <v>0</v>
      </c>
      <c r="H30" s="16">
        <v>40</v>
      </c>
      <c r="I30" s="16" t="s">
        <v>37</v>
      </c>
      <c r="J30" s="16">
        <v>846.38300000000004</v>
      </c>
      <c r="K30" s="16">
        <f t="shared" si="2"/>
        <v>0</v>
      </c>
      <c r="L30" s="16">
        <f t="shared" si="3"/>
        <v>846.38300000000004</v>
      </c>
      <c r="M30" s="16"/>
      <c r="N30" s="16">
        <v>0</v>
      </c>
      <c r="O30" s="16">
        <f t="shared" si="4"/>
        <v>169.2766</v>
      </c>
      <c r="P30" s="18"/>
      <c r="Q30" s="18"/>
      <c r="R30" s="16"/>
      <c r="S30" s="16">
        <f t="shared" si="5"/>
        <v>0</v>
      </c>
      <c r="T30" s="16">
        <f t="shared" si="6"/>
        <v>0</v>
      </c>
      <c r="U30" s="16">
        <v>24.254799999999999</v>
      </c>
      <c r="V30" s="16">
        <v>24.254799999999999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 t="s">
        <v>57</v>
      </c>
      <c r="AF30" s="16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6" t="s">
        <v>69</v>
      </c>
      <c r="B31" s="16" t="s">
        <v>36</v>
      </c>
      <c r="C31" s="16"/>
      <c r="D31" s="16"/>
      <c r="E31" s="16"/>
      <c r="F31" s="16"/>
      <c r="G31" s="17">
        <v>0</v>
      </c>
      <c r="H31" s="16">
        <v>30</v>
      </c>
      <c r="I31" s="16" t="s">
        <v>37</v>
      </c>
      <c r="J31" s="16"/>
      <c r="K31" s="16">
        <f t="shared" si="2"/>
        <v>0</v>
      </c>
      <c r="L31" s="16">
        <f t="shared" si="3"/>
        <v>0</v>
      </c>
      <c r="M31" s="16"/>
      <c r="N31" s="16">
        <v>0</v>
      </c>
      <c r="O31" s="16">
        <f t="shared" si="4"/>
        <v>0</v>
      </c>
      <c r="P31" s="18"/>
      <c r="Q31" s="18"/>
      <c r="R31" s="16"/>
      <c r="S31" s="16" t="e">
        <f t="shared" si="5"/>
        <v>#DIV/0!</v>
      </c>
      <c r="T31" s="16" t="e">
        <f t="shared" si="6"/>
        <v>#DIV/0!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 t="s">
        <v>57</v>
      </c>
      <c r="AF31" s="16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6" t="s">
        <v>70</v>
      </c>
      <c r="B32" s="16" t="s">
        <v>36</v>
      </c>
      <c r="C32" s="16"/>
      <c r="D32" s="16"/>
      <c r="E32" s="16"/>
      <c r="F32" s="16"/>
      <c r="G32" s="17">
        <v>0</v>
      </c>
      <c r="H32" s="16">
        <v>50</v>
      </c>
      <c r="I32" s="16" t="s">
        <v>37</v>
      </c>
      <c r="J32" s="16"/>
      <c r="K32" s="16">
        <f t="shared" si="2"/>
        <v>0</v>
      </c>
      <c r="L32" s="16">
        <f t="shared" si="3"/>
        <v>0</v>
      </c>
      <c r="M32" s="16"/>
      <c r="N32" s="16">
        <v>0</v>
      </c>
      <c r="O32" s="16">
        <f t="shared" si="4"/>
        <v>0</v>
      </c>
      <c r="P32" s="18"/>
      <c r="Q32" s="18"/>
      <c r="R32" s="16"/>
      <c r="S32" s="16" t="e">
        <f t="shared" si="5"/>
        <v>#DIV/0!</v>
      </c>
      <c r="T32" s="16" t="e">
        <f t="shared" si="6"/>
        <v>#DIV/0!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 t="s">
        <v>57</v>
      </c>
      <c r="AF32" s="16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71</v>
      </c>
      <c r="B33" s="1" t="s">
        <v>36</v>
      </c>
      <c r="C33" s="1">
        <v>63.33</v>
      </c>
      <c r="D33" s="1"/>
      <c r="E33" s="1">
        <v>15.752000000000001</v>
      </c>
      <c r="F33" s="1">
        <v>43.875999999999998</v>
      </c>
      <c r="G33" s="7">
        <v>1</v>
      </c>
      <c r="H33" s="1">
        <v>50</v>
      </c>
      <c r="I33" s="1" t="s">
        <v>37</v>
      </c>
      <c r="J33" s="1">
        <v>14.2</v>
      </c>
      <c r="K33" s="1">
        <f t="shared" si="2"/>
        <v>1.5520000000000014</v>
      </c>
      <c r="L33" s="1">
        <f t="shared" si="3"/>
        <v>15.752000000000001</v>
      </c>
      <c r="M33" s="1"/>
      <c r="N33" s="1">
        <v>0</v>
      </c>
      <c r="O33" s="1">
        <f t="shared" si="4"/>
        <v>3.1504000000000003</v>
      </c>
      <c r="P33" s="5"/>
      <c r="Q33" s="5"/>
      <c r="R33" s="1"/>
      <c r="S33" s="1">
        <f t="shared" si="5"/>
        <v>13.92712036566785</v>
      </c>
      <c r="T33" s="1">
        <f t="shared" si="6"/>
        <v>13.92712036566785</v>
      </c>
      <c r="U33" s="1">
        <v>1.6772</v>
      </c>
      <c r="V33" s="1">
        <v>1.8615999999999999</v>
      </c>
      <c r="W33" s="1">
        <v>2.0434000000000001</v>
      </c>
      <c r="X33" s="1">
        <v>7.6715999999999998</v>
      </c>
      <c r="Y33" s="1">
        <v>6.3672000000000004</v>
      </c>
      <c r="Z33" s="1">
        <v>0.55359999999999998</v>
      </c>
      <c r="AA33" s="1">
        <v>1.4683999999999999</v>
      </c>
      <c r="AB33" s="1">
        <v>8.0381999999999998</v>
      </c>
      <c r="AC33" s="1">
        <v>9.3176000000000005</v>
      </c>
      <c r="AD33" s="1">
        <v>9.8653999999999993</v>
      </c>
      <c r="AE33" s="21" t="s">
        <v>156</v>
      </c>
      <c r="AF33" s="1">
        <f>G33*P33</f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72</v>
      </c>
      <c r="B34" s="1" t="s">
        <v>41</v>
      </c>
      <c r="C34" s="1">
        <v>1457</v>
      </c>
      <c r="D34" s="1">
        <v>1566</v>
      </c>
      <c r="E34" s="1">
        <v>1393</v>
      </c>
      <c r="F34" s="1">
        <v>1422</v>
      </c>
      <c r="G34" s="7">
        <v>0.4</v>
      </c>
      <c r="H34" s="1">
        <v>45</v>
      </c>
      <c r="I34" s="1" t="s">
        <v>37</v>
      </c>
      <c r="J34" s="1">
        <v>1410</v>
      </c>
      <c r="K34" s="1">
        <f t="shared" si="2"/>
        <v>-17</v>
      </c>
      <c r="L34" s="1">
        <f t="shared" si="3"/>
        <v>1369</v>
      </c>
      <c r="M34" s="1">
        <v>24</v>
      </c>
      <c r="N34" s="1">
        <v>492.19999999999982</v>
      </c>
      <c r="O34" s="1">
        <f t="shared" si="4"/>
        <v>273.8</v>
      </c>
      <c r="P34" s="5">
        <f t="shared" ref="P34:P37" si="11">9*O34-N34-F34</f>
        <v>550.00000000000045</v>
      </c>
      <c r="Q34" s="5"/>
      <c r="R34" s="1"/>
      <c r="S34" s="1">
        <f t="shared" si="5"/>
        <v>9</v>
      </c>
      <c r="T34" s="1">
        <f t="shared" si="6"/>
        <v>6.9912344777209636</v>
      </c>
      <c r="U34" s="1">
        <v>246.2</v>
      </c>
      <c r="V34" s="1">
        <v>241.6</v>
      </c>
      <c r="W34" s="1">
        <v>218.2</v>
      </c>
      <c r="X34" s="1">
        <v>230.2</v>
      </c>
      <c r="Y34" s="1">
        <v>246.2</v>
      </c>
      <c r="Z34" s="1">
        <v>213.6</v>
      </c>
      <c r="AA34" s="1">
        <v>222.2</v>
      </c>
      <c r="AB34" s="1">
        <v>185</v>
      </c>
      <c r="AC34" s="1">
        <v>197</v>
      </c>
      <c r="AD34" s="1">
        <v>218.6</v>
      </c>
      <c r="AE34" s="1" t="s">
        <v>45</v>
      </c>
      <c r="AF34" s="1">
        <f>G34*P34</f>
        <v>220.0000000000002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73</v>
      </c>
      <c r="B35" s="1" t="s">
        <v>41</v>
      </c>
      <c r="C35" s="1">
        <v>432</v>
      </c>
      <c r="D35" s="1">
        <v>310</v>
      </c>
      <c r="E35" s="1">
        <v>290</v>
      </c>
      <c r="F35" s="1">
        <v>371</v>
      </c>
      <c r="G35" s="7">
        <v>0.45</v>
      </c>
      <c r="H35" s="1">
        <v>50</v>
      </c>
      <c r="I35" s="10" t="s">
        <v>37</v>
      </c>
      <c r="J35" s="1">
        <v>308</v>
      </c>
      <c r="K35" s="1">
        <f t="shared" si="2"/>
        <v>-18</v>
      </c>
      <c r="L35" s="1">
        <f t="shared" si="3"/>
        <v>290</v>
      </c>
      <c r="M35" s="1"/>
      <c r="N35" s="1">
        <v>0</v>
      </c>
      <c r="O35" s="1">
        <f t="shared" si="4"/>
        <v>58</v>
      </c>
      <c r="P35" s="5">
        <f t="shared" si="11"/>
        <v>151</v>
      </c>
      <c r="Q35" s="5"/>
      <c r="R35" s="1"/>
      <c r="S35" s="1">
        <f t="shared" si="5"/>
        <v>9</v>
      </c>
      <c r="T35" s="1">
        <f t="shared" si="6"/>
        <v>6.3965517241379306</v>
      </c>
      <c r="U35" s="1">
        <v>49.2</v>
      </c>
      <c r="V35" s="1">
        <v>61.2</v>
      </c>
      <c r="W35" s="1">
        <v>83.2</v>
      </c>
      <c r="X35" s="1">
        <v>70.400000000000006</v>
      </c>
      <c r="Y35" s="1">
        <v>17.399999999999999</v>
      </c>
      <c r="Z35" s="1">
        <v>37.200000000000003</v>
      </c>
      <c r="AA35" s="1">
        <v>259.60000000000002</v>
      </c>
      <c r="AB35" s="1">
        <v>355.8</v>
      </c>
      <c r="AC35" s="1">
        <v>181</v>
      </c>
      <c r="AD35" s="1">
        <v>102.2</v>
      </c>
      <c r="AE35" s="1" t="s">
        <v>74</v>
      </c>
      <c r="AF35" s="1">
        <f>G35*P35</f>
        <v>67.95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75</v>
      </c>
      <c r="B36" s="1" t="s">
        <v>41</v>
      </c>
      <c r="C36" s="1">
        <v>826</v>
      </c>
      <c r="D36" s="1">
        <v>1164</v>
      </c>
      <c r="E36" s="1">
        <v>1030</v>
      </c>
      <c r="F36" s="1">
        <v>814</v>
      </c>
      <c r="G36" s="7">
        <v>0.4</v>
      </c>
      <c r="H36" s="1">
        <v>45</v>
      </c>
      <c r="I36" s="1" t="s">
        <v>37</v>
      </c>
      <c r="J36" s="1">
        <v>1100</v>
      </c>
      <c r="K36" s="1">
        <f t="shared" si="2"/>
        <v>-70</v>
      </c>
      <c r="L36" s="1">
        <f t="shared" si="3"/>
        <v>1006</v>
      </c>
      <c r="M36" s="1">
        <v>24</v>
      </c>
      <c r="N36" s="1">
        <v>293.80000000000018</v>
      </c>
      <c r="O36" s="1">
        <f t="shared" si="4"/>
        <v>201.2</v>
      </c>
      <c r="P36" s="5">
        <f t="shared" si="11"/>
        <v>702.99999999999977</v>
      </c>
      <c r="Q36" s="5"/>
      <c r="R36" s="1"/>
      <c r="S36" s="1">
        <f t="shared" si="5"/>
        <v>9</v>
      </c>
      <c r="T36" s="1">
        <f t="shared" si="6"/>
        <v>5.5059642147117307</v>
      </c>
      <c r="U36" s="1">
        <v>186.8</v>
      </c>
      <c r="V36" s="1">
        <v>186.2</v>
      </c>
      <c r="W36" s="1">
        <v>149</v>
      </c>
      <c r="X36" s="1">
        <v>139.19999999999999</v>
      </c>
      <c r="Y36" s="1">
        <v>165.4</v>
      </c>
      <c r="Z36" s="1">
        <v>172</v>
      </c>
      <c r="AA36" s="1">
        <v>185.6</v>
      </c>
      <c r="AB36" s="1">
        <v>141.80000000000001</v>
      </c>
      <c r="AC36" s="1">
        <v>150.19999999999999</v>
      </c>
      <c r="AD36" s="1">
        <v>156.6</v>
      </c>
      <c r="AE36" s="1"/>
      <c r="AF36" s="1">
        <f>G36*P36</f>
        <v>281.19999999999993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76</v>
      </c>
      <c r="B37" s="1" t="s">
        <v>36</v>
      </c>
      <c r="C37" s="1">
        <v>518.10500000000002</v>
      </c>
      <c r="D37" s="1">
        <v>275.76900000000001</v>
      </c>
      <c r="E37" s="1">
        <v>429.78399999999999</v>
      </c>
      <c r="F37" s="1">
        <v>349.68799999999999</v>
      </c>
      <c r="G37" s="7">
        <v>1</v>
      </c>
      <c r="H37" s="1">
        <v>45</v>
      </c>
      <c r="I37" s="1" t="s">
        <v>37</v>
      </c>
      <c r="J37" s="1">
        <v>412.86200000000002</v>
      </c>
      <c r="K37" s="1">
        <f t="shared" ref="K37:K68" si="12">E37-J37</f>
        <v>16.921999999999969</v>
      </c>
      <c r="L37" s="1">
        <f t="shared" si="3"/>
        <v>429.78399999999999</v>
      </c>
      <c r="M37" s="1"/>
      <c r="N37" s="1">
        <v>236.20360000000019</v>
      </c>
      <c r="O37" s="1">
        <f t="shared" si="4"/>
        <v>85.956800000000001</v>
      </c>
      <c r="P37" s="5">
        <f t="shared" si="11"/>
        <v>187.7195999999999</v>
      </c>
      <c r="Q37" s="5"/>
      <c r="R37" s="1"/>
      <c r="S37" s="1">
        <f t="shared" si="5"/>
        <v>9</v>
      </c>
      <c r="T37" s="1">
        <f t="shared" si="6"/>
        <v>6.8161169331571223</v>
      </c>
      <c r="U37" s="1">
        <v>70.850600000000014</v>
      </c>
      <c r="V37" s="1">
        <v>61.820800000000013</v>
      </c>
      <c r="W37" s="1">
        <v>70.298199999999994</v>
      </c>
      <c r="X37" s="1">
        <v>81.474199999999996</v>
      </c>
      <c r="Y37" s="1">
        <v>74.7346</v>
      </c>
      <c r="Z37" s="1">
        <v>41.038200000000003</v>
      </c>
      <c r="AA37" s="1">
        <v>70.729799999999997</v>
      </c>
      <c r="AB37" s="1">
        <v>51.452599999999997</v>
      </c>
      <c r="AC37" s="1">
        <v>43.813600000000001</v>
      </c>
      <c r="AD37" s="1">
        <v>51.654999999999987</v>
      </c>
      <c r="AE37" s="1"/>
      <c r="AF37" s="1">
        <f>G37*P37</f>
        <v>187.7195999999999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6" t="s">
        <v>77</v>
      </c>
      <c r="B38" s="16" t="s">
        <v>41</v>
      </c>
      <c r="C38" s="16"/>
      <c r="D38" s="16"/>
      <c r="E38" s="16"/>
      <c r="F38" s="16"/>
      <c r="G38" s="17">
        <v>0</v>
      </c>
      <c r="H38" s="16">
        <v>45</v>
      </c>
      <c r="I38" s="16" t="s">
        <v>37</v>
      </c>
      <c r="J38" s="16">
        <v>1</v>
      </c>
      <c r="K38" s="16">
        <f t="shared" si="12"/>
        <v>-1</v>
      </c>
      <c r="L38" s="16">
        <f t="shared" si="3"/>
        <v>0</v>
      </c>
      <c r="M38" s="16"/>
      <c r="N38" s="16">
        <v>0</v>
      </c>
      <c r="O38" s="16">
        <f t="shared" si="4"/>
        <v>0</v>
      </c>
      <c r="P38" s="18"/>
      <c r="Q38" s="18"/>
      <c r="R38" s="16"/>
      <c r="S38" s="16" t="e">
        <f t="shared" si="5"/>
        <v>#DIV/0!</v>
      </c>
      <c r="T38" s="16" t="e">
        <f t="shared" si="6"/>
        <v>#DIV/0!</v>
      </c>
      <c r="U38" s="16">
        <v>0</v>
      </c>
      <c r="V38" s="16">
        <v>0</v>
      </c>
      <c r="W38" s="16">
        <v>0</v>
      </c>
      <c r="X38" s="16">
        <v>0</v>
      </c>
      <c r="Y38" s="16">
        <v>0.2</v>
      </c>
      <c r="Z38" s="16">
        <v>0.2</v>
      </c>
      <c r="AA38" s="16">
        <v>0</v>
      </c>
      <c r="AB38" s="16">
        <v>0</v>
      </c>
      <c r="AC38" s="16">
        <v>0</v>
      </c>
      <c r="AD38" s="16">
        <v>0</v>
      </c>
      <c r="AE38" s="16" t="s">
        <v>57</v>
      </c>
      <c r="AF38" s="16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78</v>
      </c>
      <c r="B39" s="1" t="s">
        <v>41</v>
      </c>
      <c r="C39" s="1">
        <v>411</v>
      </c>
      <c r="D39" s="1">
        <v>270</v>
      </c>
      <c r="E39" s="1">
        <v>520</v>
      </c>
      <c r="F39" s="1">
        <v>85</v>
      </c>
      <c r="G39" s="7">
        <v>0.35</v>
      </c>
      <c r="H39" s="1">
        <v>40</v>
      </c>
      <c r="I39" s="1" t="s">
        <v>37</v>
      </c>
      <c r="J39" s="1">
        <v>564</v>
      </c>
      <c r="K39" s="1">
        <f t="shared" si="12"/>
        <v>-44</v>
      </c>
      <c r="L39" s="1">
        <f t="shared" si="3"/>
        <v>520</v>
      </c>
      <c r="M39" s="1"/>
      <c r="N39" s="1">
        <v>0</v>
      </c>
      <c r="O39" s="1">
        <f t="shared" si="4"/>
        <v>104</v>
      </c>
      <c r="P39" s="5">
        <f>7*O39-N39-F39</f>
        <v>643</v>
      </c>
      <c r="Q39" s="5"/>
      <c r="R39" s="1"/>
      <c r="S39" s="1">
        <f t="shared" si="5"/>
        <v>7</v>
      </c>
      <c r="T39" s="1">
        <f t="shared" si="6"/>
        <v>0.81730769230769229</v>
      </c>
      <c r="U39" s="1">
        <v>36.6</v>
      </c>
      <c r="V39" s="1">
        <v>34</v>
      </c>
      <c r="W39" s="1">
        <v>59.2</v>
      </c>
      <c r="X39" s="1">
        <v>47.8</v>
      </c>
      <c r="Y39" s="1">
        <v>27</v>
      </c>
      <c r="Z39" s="1">
        <v>29</v>
      </c>
      <c r="AA39" s="1">
        <v>46.4</v>
      </c>
      <c r="AB39" s="1">
        <v>35</v>
      </c>
      <c r="AC39" s="1">
        <v>33.6</v>
      </c>
      <c r="AD39" s="1">
        <v>34.200000000000003</v>
      </c>
      <c r="AE39" s="1" t="s">
        <v>60</v>
      </c>
      <c r="AF39" s="1">
        <f t="shared" ref="AF39:AF47" si="13">G39*P39</f>
        <v>225.04999999999998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79</v>
      </c>
      <c r="B40" s="1" t="s">
        <v>36</v>
      </c>
      <c r="C40" s="1">
        <v>128.82</v>
      </c>
      <c r="D40" s="1"/>
      <c r="E40" s="1">
        <v>55.887999999999998</v>
      </c>
      <c r="F40" s="1">
        <v>59.277000000000001</v>
      </c>
      <c r="G40" s="7">
        <v>1</v>
      </c>
      <c r="H40" s="1">
        <v>40</v>
      </c>
      <c r="I40" s="1" t="s">
        <v>37</v>
      </c>
      <c r="J40" s="1">
        <v>61.5</v>
      </c>
      <c r="K40" s="1">
        <f t="shared" si="12"/>
        <v>-5.6120000000000019</v>
      </c>
      <c r="L40" s="1">
        <f t="shared" si="3"/>
        <v>55.887999999999998</v>
      </c>
      <c r="M40" s="1"/>
      <c r="N40" s="1">
        <v>0</v>
      </c>
      <c r="O40" s="1">
        <f t="shared" si="4"/>
        <v>11.1776</v>
      </c>
      <c r="P40" s="5">
        <f t="shared" ref="P40:P47" si="14">9*O40-N40-F40</f>
        <v>41.321399999999997</v>
      </c>
      <c r="Q40" s="5"/>
      <c r="R40" s="1"/>
      <c r="S40" s="1">
        <f t="shared" si="5"/>
        <v>9</v>
      </c>
      <c r="T40" s="1">
        <f t="shared" si="6"/>
        <v>5.3031956770684223</v>
      </c>
      <c r="U40" s="1">
        <v>8.0286000000000008</v>
      </c>
      <c r="V40" s="1">
        <v>7.0257999999999994</v>
      </c>
      <c r="W40" s="1">
        <v>10.194000000000001</v>
      </c>
      <c r="X40" s="1">
        <v>14.821</v>
      </c>
      <c r="Y40" s="1">
        <v>15.6356</v>
      </c>
      <c r="Z40" s="1">
        <v>10.5738</v>
      </c>
      <c r="AA40" s="1">
        <v>1.5162</v>
      </c>
      <c r="AB40" s="1">
        <v>10.4338</v>
      </c>
      <c r="AC40" s="1">
        <v>18.038399999999999</v>
      </c>
      <c r="AD40" s="1">
        <v>18.572199999999999</v>
      </c>
      <c r="AE40" s="1"/>
      <c r="AF40" s="1">
        <f t="shared" si="13"/>
        <v>41.321399999999997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80</v>
      </c>
      <c r="B41" s="1" t="s">
        <v>41</v>
      </c>
      <c r="C41" s="1">
        <v>217</v>
      </c>
      <c r="D41" s="1">
        <v>588</v>
      </c>
      <c r="E41" s="1">
        <v>295</v>
      </c>
      <c r="F41" s="1">
        <v>429</v>
      </c>
      <c r="G41" s="7">
        <v>0.4</v>
      </c>
      <c r="H41" s="1">
        <v>40</v>
      </c>
      <c r="I41" s="1" t="s">
        <v>37</v>
      </c>
      <c r="J41" s="1">
        <v>386</v>
      </c>
      <c r="K41" s="1">
        <f t="shared" si="12"/>
        <v>-91</v>
      </c>
      <c r="L41" s="1">
        <f t="shared" si="3"/>
        <v>295</v>
      </c>
      <c r="M41" s="1"/>
      <c r="N41" s="1">
        <v>185.8</v>
      </c>
      <c r="O41" s="1">
        <f t="shared" si="4"/>
        <v>59</v>
      </c>
      <c r="P41" s="5"/>
      <c r="Q41" s="5"/>
      <c r="R41" s="1"/>
      <c r="S41" s="1">
        <f t="shared" si="5"/>
        <v>10.420338983050847</v>
      </c>
      <c r="T41" s="1">
        <f t="shared" si="6"/>
        <v>10.420338983050847</v>
      </c>
      <c r="U41" s="1">
        <v>67</v>
      </c>
      <c r="V41" s="1">
        <v>65.8</v>
      </c>
      <c r="W41" s="1">
        <v>39.4</v>
      </c>
      <c r="X41" s="1">
        <v>39.200000000000003</v>
      </c>
      <c r="Y41" s="1">
        <v>47.8</v>
      </c>
      <c r="Z41" s="1">
        <v>49</v>
      </c>
      <c r="AA41" s="1">
        <v>52.6</v>
      </c>
      <c r="AB41" s="1">
        <v>40.6</v>
      </c>
      <c r="AC41" s="1">
        <v>40</v>
      </c>
      <c r="AD41" s="1">
        <v>41.6</v>
      </c>
      <c r="AE41" s="1"/>
      <c r="AF41" s="1">
        <f t="shared" si="13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81</v>
      </c>
      <c r="B42" s="1" t="s">
        <v>41</v>
      </c>
      <c r="C42" s="1">
        <v>446</v>
      </c>
      <c r="D42" s="1">
        <v>876</v>
      </c>
      <c r="E42" s="1">
        <v>473</v>
      </c>
      <c r="F42" s="1">
        <v>751</v>
      </c>
      <c r="G42" s="7">
        <v>0.4</v>
      </c>
      <c r="H42" s="1">
        <v>45</v>
      </c>
      <c r="I42" s="1" t="s">
        <v>37</v>
      </c>
      <c r="J42" s="1">
        <v>516</v>
      </c>
      <c r="K42" s="1">
        <f t="shared" si="12"/>
        <v>-43</v>
      </c>
      <c r="L42" s="1">
        <f t="shared" si="3"/>
        <v>473</v>
      </c>
      <c r="M42" s="1"/>
      <c r="N42" s="1">
        <v>97.999999999999943</v>
      </c>
      <c r="O42" s="1">
        <f t="shared" si="4"/>
        <v>94.6</v>
      </c>
      <c r="P42" s="5"/>
      <c r="Q42" s="5"/>
      <c r="R42" s="1"/>
      <c r="S42" s="1">
        <f t="shared" si="5"/>
        <v>8.9746300211416496</v>
      </c>
      <c r="T42" s="1">
        <f t="shared" si="6"/>
        <v>8.9746300211416496</v>
      </c>
      <c r="U42" s="1">
        <v>101</v>
      </c>
      <c r="V42" s="1">
        <v>109.2</v>
      </c>
      <c r="W42" s="1">
        <v>90.8</v>
      </c>
      <c r="X42" s="1">
        <v>81.2</v>
      </c>
      <c r="Y42" s="1">
        <v>89.8</v>
      </c>
      <c r="Z42" s="1">
        <v>89.8</v>
      </c>
      <c r="AA42" s="1">
        <v>85</v>
      </c>
      <c r="AB42" s="1">
        <v>70.2</v>
      </c>
      <c r="AC42" s="1">
        <v>80.2</v>
      </c>
      <c r="AD42" s="1">
        <v>91.6</v>
      </c>
      <c r="AE42" s="1" t="s">
        <v>45</v>
      </c>
      <c r="AF42" s="1">
        <f t="shared" si="13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82</v>
      </c>
      <c r="B43" s="1" t="s">
        <v>36</v>
      </c>
      <c r="C43" s="1">
        <v>80.397000000000006</v>
      </c>
      <c r="D43" s="1">
        <v>64.623999999999995</v>
      </c>
      <c r="E43" s="1">
        <v>57.606000000000002</v>
      </c>
      <c r="F43" s="1">
        <v>62.249000000000002</v>
      </c>
      <c r="G43" s="7">
        <v>1</v>
      </c>
      <c r="H43" s="1">
        <v>40</v>
      </c>
      <c r="I43" s="1" t="s">
        <v>37</v>
      </c>
      <c r="J43" s="1">
        <v>96.1</v>
      </c>
      <c r="K43" s="1">
        <f t="shared" si="12"/>
        <v>-38.493999999999993</v>
      </c>
      <c r="L43" s="1">
        <f t="shared" si="3"/>
        <v>57.606000000000002</v>
      </c>
      <c r="M43" s="1"/>
      <c r="N43" s="1">
        <v>72.968199999999996</v>
      </c>
      <c r="O43" s="1">
        <f t="shared" si="4"/>
        <v>11.5212</v>
      </c>
      <c r="P43" s="5"/>
      <c r="Q43" s="5"/>
      <c r="R43" s="1"/>
      <c r="S43" s="1">
        <f t="shared" si="5"/>
        <v>11.736381626913863</v>
      </c>
      <c r="T43" s="1">
        <f t="shared" si="6"/>
        <v>11.736381626913863</v>
      </c>
      <c r="U43" s="1">
        <v>15.338200000000001</v>
      </c>
      <c r="V43" s="1">
        <v>11.880800000000001</v>
      </c>
      <c r="W43" s="1">
        <v>10.1258</v>
      </c>
      <c r="X43" s="1">
        <v>11.2706</v>
      </c>
      <c r="Y43" s="1">
        <v>10.634399999999999</v>
      </c>
      <c r="Z43" s="1">
        <v>10.061199999999999</v>
      </c>
      <c r="AA43" s="1">
        <v>7.9871999999999996</v>
      </c>
      <c r="AB43" s="1">
        <v>9.5608000000000004</v>
      </c>
      <c r="AC43" s="1">
        <v>14.3674</v>
      </c>
      <c r="AD43" s="1">
        <v>15.9758</v>
      </c>
      <c r="AE43" s="1"/>
      <c r="AF43" s="1">
        <f t="shared" si="13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83</v>
      </c>
      <c r="B44" s="1" t="s">
        <v>41</v>
      </c>
      <c r="C44" s="1">
        <v>585</v>
      </c>
      <c r="D44" s="1">
        <v>1056</v>
      </c>
      <c r="E44" s="1">
        <v>726</v>
      </c>
      <c r="F44" s="1">
        <v>757</v>
      </c>
      <c r="G44" s="7">
        <v>0.35</v>
      </c>
      <c r="H44" s="1">
        <v>40</v>
      </c>
      <c r="I44" s="1" t="s">
        <v>37</v>
      </c>
      <c r="J44" s="1">
        <v>963</v>
      </c>
      <c r="K44" s="1">
        <f t="shared" si="12"/>
        <v>-237</v>
      </c>
      <c r="L44" s="1">
        <f t="shared" si="3"/>
        <v>726</v>
      </c>
      <c r="M44" s="1"/>
      <c r="N44" s="1">
        <v>185.99999999999989</v>
      </c>
      <c r="O44" s="1">
        <f t="shared" si="4"/>
        <v>145.19999999999999</v>
      </c>
      <c r="P44" s="5">
        <f t="shared" si="14"/>
        <v>363.80000000000018</v>
      </c>
      <c r="Q44" s="5"/>
      <c r="R44" s="1"/>
      <c r="S44" s="1">
        <f t="shared" si="5"/>
        <v>9.0000000000000018</v>
      </c>
      <c r="T44" s="1">
        <f t="shared" si="6"/>
        <v>6.4944903581267219</v>
      </c>
      <c r="U44" s="1">
        <v>124.6</v>
      </c>
      <c r="V44" s="1">
        <v>122.6</v>
      </c>
      <c r="W44" s="1">
        <v>97.2</v>
      </c>
      <c r="X44" s="1">
        <v>93.4</v>
      </c>
      <c r="Y44" s="1">
        <v>93.4</v>
      </c>
      <c r="Z44" s="1">
        <v>87.4</v>
      </c>
      <c r="AA44" s="1">
        <v>69.8</v>
      </c>
      <c r="AB44" s="1">
        <v>64.400000000000006</v>
      </c>
      <c r="AC44" s="1">
        <v>91.6</v>
      </c>
      <c r="AD44" s="1">
        <v>93.6</v>
      </c>
      <c r="AE44" s="1" t="s">
        <v>84</v>
      </c>
      <c r="AF44" s="1">
        <f t="shared" si="13"/>
        <v>127.33000000000006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85</v>
      </c>
      <c r="B45" s="1" t="s">
        <v>41</v>
      </c>
      <c r="C45" s="1">
        <v>33</v>
      </c>
      <c r="D45" s="1">
        <v>222</v>
      </c>
      <c r="E45" s="1">
        <v>22</v>
      </c>
      <c r="F45" s="1">
        <v>197</v>
      </c>
      <c r="G45" s="7">
        <v>0.4</v>
      </c>
      <c r="H45" s="1">
        <v>40</v>
      </c>
      <c r="I45" s="1" t="s">
        <v>37</v>
      </c>
      <c r="J45" s="1">
        <v>135</v>
      </c>
      <c r="K45" s="1">
        <f t="shared" si="12"/>
        <v>-113</v>
      </c>
      <c r="L45" s="1">
        <f t="shared" si="3"/>
        <v>22</v>
      </c>
      <c r="M45" s="1"/>
      <c r="N45" s="1">
        <v>100</v>
      </c>
      <c r="O45" s="1">
        <f t="shared" si="4"/>
        <v>4.4000000000000004</v>
      </c>
      <c r="P45" s="5"/>
      <c r="Q45" s="5"/>
      <c r="R45" s="1"/>
      <c r="S45" s="1">
        <f t="shared" si="5"/>
        <v>67.5</v>
      </c>
      <c r="T45" s="1">
        <f t="shared" si="6"/>
        <v>67.5</v>
      </c>
      <c r="U45" s="1">
        <v>4.2</v>
      </c>
      <c r="V45" s="1">
        <v>5</v>
      </c>
      <c r="W45" s="1">
        <v>1</v>
      </c>
      <c r="X45" s="1">
        <v>3.2</v>
      </c>
      <c r="Y45" s="1">
        <v>48.2</v>
      </c>
      <c r="Z45" s="1">
        <v>57.6</v>
      </c>
      <c r="AA45" s="1">
        <v>66.2</v>
      </c>
      <c r="AB45" s="1">
        <v>56.8</v>
      </c>
      <c r="AC45" s="1">
        <v>60.8</v>
      </c>
      <c r="AD45" s="1">
        <v>65.599999999999994</v>
      </c>
      <c r="AE45" s="1" t="s">
        <v>86</v>
      </c>
      <c r="AF45" s="1">
        <f t="shared" si="13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87</v>
      </c>
      <c r="B46" s="1" t="s">
        <v>36</v>
      </c>
      <c r="C46" s="1">
        <v>203.47499999999999</v>
      </c>
      <c r="D46" s="1">
        <v>85.798000000000002</v>
      </c>
      <c r="E46" s="1">
        <v>136.49799999999999</v>
      </c>
      <c r="F46" s="1">
        <v>127.541</v>
      </c>
      <c r="G46" s="7">
        <v>1</v>
      </c>
      <c r="H46" s="1">
        <v>50</v>
      </c>
      <c r="I46" s="1" t="s">
        <v>37</v>
      </c>
      <c r="J46" s="1">
        <v>170.45</v>
      </c>
      <c r="K46" s="1">
        <f t="shared" si="12"/>
        <v>-33.951999999999998</v>
      </c>
      <c r="L46" s="1">
        <f t="shared" si="3"/>
        <v>136.49799999999999</v>
      </c>
      <c r="M46" s="1"/>
      <c r="N46" s="1">
        <v>10.216800000000029</v>
      </c>
      <c r="O46" s="1">
        <f t="shared" si="4"/>
        <v>27.299599999999998</v>
      </c>
      <c r="P46" s="5">
        <f t="shared" si="14"/>
        <v>107.93859999999995</v>
      </c>
      <c r="Q46" s="5"/>
      <c r="R46" s="1"/>
      <c r="S46" s="1">
        <f t="shared" si="5"/>
        <v>9</v>
      </c>
      <c r="T46" s="1">
        <f t="shared" si="6"/>
        <v>5.0461471962959177</v>
      </c>
      <c r="U46" s="1">
        <v>22.294799999999999</v>
      </c>
      <c r="V46" s="1">
        <v>25.2546</v>
      </c>
      <c r="W46" s="1">
        <v>29.015999999999998</v>
      </c>
      <c r="X46" s="1">
        <v>28.9726</v>
      </c>
      <c r="Y46" s="1">
        <v>27.550599999999999</v>
      </c>
      <c r="Z46" s="1">
        <v>24.900600000000001</v>
      </c>
      <c r="AA46" s="1">
        <v>22.1234</v>
      </c>
      <c r="AB46" s="1">
        <v>24.8508</v>
      </c>
      <c r="AC46" s="1">
        <v>33.372999999999998</v>
      </c>
      <c r="AD46" s="1">
        <v>46.125999999999998</v>
      </c>
      <c r="AE46" s="1"/>
      <c r="AF46" s="1">
        <f t="shared" si="13"/>
        <v>107.93859999999995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88</v>
      </c>
      <c r="B47" s="1" t="s">
        <v>36</v>
      </c>
      <c r="C47" s="1">
        <v>1290.4960000000001</v>
      </c>
      <c r="D47" s="1">
        <v>21.684000000000001</v>
      </c>
      <c r="E47" s="1">
        <v>553.48299999999995</v>
      </c>
      <c r="F47" s="1">
        <v>679.76800000000003</v>
      </c>
      <c r="G47" s="7">
        <v>1</v>
      </c>
      <c r="H47" s="1">
        <v>50</v>
      </c>
      <c r="I47" s="1" t="s">
        <v>37</v>
      </c>
      <c r="J47" s="1">
        <v>552.28399999999999</v>
      </c>
      <c r="K47" s="1">
        <f t="shared" si="12"/>
        <v>1.1989999999999554</v>
      </c>
      <c r="L47" s="1">
        <f t="shared" si="3"/>
        <v>509.90799999999996</v>
      </c>
      <c r="M47" s="1">
        <v>43.575000000000003</v>
      </c>
      <c r="N47" s="1">
        <v>0</v>
      </c>
      <c r="O47" s="1">
        <f t="shared" si="4"/>
        <v>101.98159999999999</v>
      </c>
      <c r="P47" s="5">
        <f t="shared" si="14"/>
        <v>238.06639999999982</v>
      </c>
      <c r="Q47" s="5"/>
      <c r="R47" s="1"/>
      <c r="S47" s="1">
        <f t="shared" si="5"/>
        <v>9</v>
      </c>
      <c r="T47" s="1">
        <f t="shared" si="6"/>
        <v>6.6655945778454164</v>
      </c>
      <c r="U47" s="1">
        <v>88.563199999999995</v>
      </c>
      <c r="V47" s="1">
        <v>91.916399999999996</v>
      </c>
      <c r="W47" s="1">
        <v>104.374</v>
      </c>
      <c r="X47" s="1">
        <v>112.3566</v>
      </c>
      <c r="Y47" s="1">
        <v>212.51599999999999</v>
      </c>
      <c r="Z47" s="1">
        <v>203.15559999999999</v>
      </c>
      <c r="AA47" s="1">
        <v>188.63339999999999</v>
      </c>
      <c r="AB47" s="1">
        <v>180.3518</v>
      </c>
      <c r="AC47" s="1">
        <v>196.77199999999999</v>
      </c>
      <c r="AD47" s="1">
        <v>232.87219999999999</v>
      </c>
      <c r="AE47" s="1" t="s">
        <v>89</v>
      </c>
      <c r="AF47" s="1">
        <f t="shared" si="13"/>
        <v>238.06639999999982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6" t="s">
        <v>90</v>
      </c>
      <c r="B48" s="16" t="s">
        <v>36</v>
      </c>
      <c r="C48" s="16"/>
      <c r="D48" s="16"/>
      <c r="E48" s="16"/>
      <c r="F48" s="16"/>
      <c r="G48" s="17">
        <v>0</v>
      </c>
      <c r="H48" s="16">
        <v>40</v>
      </c>
      <c r="I48" s="16" t="s">
        <v>37</v>
      </c>
      <c r="J48" s="16"/>
      <c r="K48" s="16">
        <f t="shared" si="12"/>
        <v>0</v>
      </c>
      <c r="L48" s="16">
        <f t="shared" si="3"/>
        <v>0</v>
      </c>
      <c r="M48" s="16"/>
      <c r="N48" s="16">
        <v>0</v>
      </c>
      <c r="O48" s="16">
        <f t="shared" si="4"/>
        <v>0</v>
      </c>
      <c r="P48" s="18"/>
      <c r="Q48" s="18"/>
      <c r="R48" s="16"/>
      <c r="S48" s="16" t="e">
        <f t="shared" si="5"/>
        <v>#DIV/0!</v>
      </c>
      <c r="T48" s="16" t="e">
        <f t="shared" si="6"/>
        <v>#DIV/0!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 t="s">
        <v>57</v>
      </c>
      <c r="AF48" s="16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2" t="s">
        <v>91</v>
      </c>
      <c r="B49" s="12" t="s">
        <v>41</v>
      </c>
      <c r="C49" s="12"/>
      <c r="D49" s="12">
        <v>60</v>
      </c>
      <c r="E49" s="12">
        <v>60</v>
      </c>
      <c r="F49" s="12"/>
      <c r="G49" s="13">
        <v>0</v>
      </c>
      <c r="H49" s="12" t="e">
        <v>#N/A</v>
      </c>
      <c r="I49" s="12" t="s">
        <v>42</v>
      </c>
      <c r="J49" s="12">
        <v>60</v>
      </c>
      <c r="K49" s="12">
        <f t="shared" si="12"/>
        <v>0</v>
      </c>
      <c r="L49" s="12">
        <f t="shared" si="3"/>
        <v>60</v>
      </c>
      <c r="M49" s="12"/>
      <c r="N49" s="12">
        <v>0</v>
      </c>
      <c r="O49" s="12">
        <f t="shared" si="4"/>
        <v>12</v>
      </c>
      <c r="P49" s="14"/>
      <c r="Q49" s="14"/>
      <c r="R49" s="12"/>
      <c r="S49" s="12">
        <f t="shared" si="5"/>
        <v>0</v>
      </c>
      <c r="T49" s="12">
        <f t="shared" si="6"/>
        <v>0</v>
      </c>
      <c r="U49" s="12">
        <v>0</v>
      </c>
      <c r="V49" s="12">
        <v>0</v>
      </c>
      <c r="W49" s="12">
        <v>0.2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/>
      <c r="AF49" s="12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92</v>
      </c>
      <c r="B50" s="1" t="s">
        <v>41</v>
      </c>
      <c r="C50" s="1">
        <v>275</v>
      </c>
      <c r="D50" s="1">
        <v>30</v>
      </c>
      <c r="E50" s="1">
        <v>115</v>
      </c>
      <c r="F50" s="1">
        <v>149</v>
      </c>
      <c r="G50" s="7">
        <v>0.45</v>
      </c>
      <c r="H50" s="1">
        <v>50</v>
      </c>
      <c r="I50" s="1" t="s">
        <v>37</v>
      </c>
      <c r="J50" s="1">
        <v>115</v>
      </c>
      <c r="K50" s="1">
        <f t="shared" si="12"/>
        <v>0</v>
      </c>
      <c r="L50" s="1">
        <f t="shared" si="3"/>
        <v>115</v>
      </c>
      <c r="M50" s="1"/>
      <c r="N50" s="1">
        <v>127.4</v>
      </c>
      <c r="O50" s="1">
        <f t="shared" si="4"/>
        <v>23</v>
      </c>
      <c r="P50" s="5"/>
      <c r="Q50" s="5"/>
      <c r="R50" s="1"/>
      <c r="S50" s="1">
        <f t="shared" si="5"/>
        <v>12.017391304347825</v>
      </c>
      <c r="T50" s="1">
        <f t="shared" si="6"/>
        <v>12.017391304347825</v>
      </c>
      <c r="U50" s="1">
        <v>31.4</v>
      </c>
      <c r="V50" s="1">
        <v>25.6</v>
      </c>
      <c r="W50" s="1">
        <v>31.2</v>
      </c>
      <c r="X50" s="1">
        <v>34.200000000000003</v>
      </c>
      <c r="Y50" s="1">
        <v>34.4</v>
      </c>
      <c r="Z50" s="1">
        <v>35.799999999999997</v>
      </c>
      <c r="AA50" s="1">
        <v>14.2</v>
      </c>
      <c r="AB50" s="1">
        <v>23.2</v>
      </c>
      <c r="AC50" s="1">
        <v>37.200000000000003</v>
      </c>
      <c r="AD50" s="1">
        <v>40</v>
      </c>
      <c r="AE50" s="1" t="s">
        <v>45</v>
      </c>
      <c r="AF50" s="1">
        <f>G50*P50</f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6" t="s">
        <v>93</v>
      </c>
      <c r="B51" s="16" t="s">
        <v>36</v>
      </c>
      <c r="C51" s="16"/>
      <c r="D51" s="16"/>
      <c r="E51" s="16"/>
      <c r="F51" s="16"/>
      <c r="G51" s="17">
        <v>0</v>
      </c>
      <c r="H51" s="16">
        <v>40</v>
      </c>
      <c r="I51" s="16" t="s">
        <v>37</v>
      </c>
      <c r="J51" s="16"/>
      <c r="K51" s="16">
        <f t="shared" si="12"/>
        <v>0</v>
      </c>
      <c r="L51" s="16">
        <f t="shared" si="3"/>
        <v>0</v>
      </c>
      <c r="M51" s="16"/>
      <c r="N51" s="16">
        <v>0</v>
      </c>
      <c r="O51" s="16">
        <f t="shared" si="4"/>
        <v>0</v>
      </c>
      <c r="P51" s="18"/>
      <c r="Q51" s="18"/>
      <c r="R51" s="16"/>
      <c r="S51" s="16" t="e">
        <f t="shared" si="5"/>
        <v>#DIV/0!</v>
      </c>
      <c r="T51" s="16" t="e">
        <f t="shared" si="6"/>
        <v>#DIV/0!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 t="s">
        <v>94</v>
      </c>
      <c r="AF51" s="16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95</v>
      </c>
      <c r="B52" s="1" t="s">
        <v>41</v>
      </c>
      <c r="C52" s="1">
        <v>42</v>
      </c>
      <c r="D52" s="1">
        <v>99</v>
      </c>
      <c r="E52" s="1">
        <v>79</v>
      </c>
      <c r="F52" s="1">
        <v>43</v>
      </c>
      <c r="G52" s="7">
        <v>0.4</v>
      </c>
      <c r="H52" s="1">
        <v>40</v>
      </c>
      <c r="I52" s="1" t="s">
        <v>37</v>
      </c>
      <c r="J52" s="1">
        <v>85</v>
      </c>
      <c r="K52" s="1">
        <f t="shared" si="12"/>
        <v>-6</v>
      </c>
      <c r="L52" s="1">
        <f t="shared" si="3"/>
        <v>79</v>
      </c>
      <c r="M52" s="1"/>
      <c r="N52" s="1">
        <v>43.599999999999987</v>
      </c>
      <c r="O52" s="1">
        <f t="shared" si="4"/>
        <v>15.8</v>
      </c>
      <c r="P52" s="5">
        <f t="shared" ref="P52:P61" si="15">9*O52-N52-F52</f>
        <v>55.600000000000023</v>
      </c>
      <c r="Q52" s="5"/>
      <c r="R52" s="1"/>
      <c r="S52" s="1">
        <f t="shared" si="5"/>
        <v>9</v>
      </c>
      <c r="T52" s="1">
        <f t="shared" si="6"/>
        <v>5.4810126582278471</v>
      </c>
      <c r="U52" s="1">
        <v>12.6</v>
      </c>
      <c r="V52" s="1">
        <v>11.8</v>
      </c>
      <c r="W52" s="1">
        <v>10.4</v>
      </c>
      <c r="X52" s="1">
        <v>8.6</v>
      </c>
      <c r="Y52" s="1">
        <v>9.6</v>
      </c>
      <c r="Z52" s="1">
        <v>9.1999999999999993</v>
      </c>
      <c r="AA52" s="1">
        <v>12</v>
      </c>
      <c r="AB52" s="1">
        <v>11.6</v>
      </c>
      <c r="AC52" s="1">
        <v>8</v>
      </c>
      <c r="AD52" s="1">
        <v>11.2</v>
      </c>
      <c r="AE52" s="1"/>
      <c r="AF52" s="1">
        <f t="shared" ref="AF52:AF61" si="16">G52*P52</f>
        <v>22.240000000000009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96</v>
      </c>
      <c r="B53" s="1" t="s">
        <v>41</v>
      </c>
      <c r="C53" s="1">
        <v>70</v>
      </c>
      <c r="D53" s="1">
        <v>49</v>
      </c>
      <c r="E53" s="1">
        <v>77</v>
      </c>
      <c r="F53" s="1">
        <v>25</v>
      </c>
      <c r="G53" s="7">
        <v>0.4</v>
      </c>
      <c r="H53" s="1">
        <v>40</v>
      </c>
      <c r="I53" s="1" t="s">
        <v>37</v>
      </c>
      <c r="J53" s="1">
        <v>93</v>
      </c>
      <c r="K53" s="1">
        <f t="shared" si="12"/>
        <v>-16</v>
      </c>
      <c r="L53" s="1">
        <f t="shared" si="3"/>
        <v>77</v>
      </c>
      <c r="M53" s="1"/>
      <c r="N53" s="1">
        <v>70.199999999999989</v>
      </c>
      <c r="O53" s="1">
        <f t="shared" si="4"/>
        <v>15.4</v>
      </c>
      <c r="P53" s="5">
        <f t="shared" si="15"/>
        <v>43.400000000000006</v>
      </c>
      <c r="Q53" s="5"/>
      <c r="R53" s="1"/>
      <c r="S53" s="1">
        <f t="shared" si="5"/>
        <v>9</v>
      </c>
      <c r="T53" s="1">
        <f t="shared" si="6"/>
        <v>6.1818181818181808</v>
      </c>
      <c r="U53" s="1">
        <v>13.2</v>
      </c>
      <c r="V53" s="1">
        <v>9.4</v>
      </c>
      <c r="W53" s="1">
        <v>1.4</v>
      </c>
      <c r="X53" s="1">
        <v>2.8</v>
      </c>
      <c r="Y53" s="1">
        <v>8.6</v>
      </c>
      <c r="Z53" s="1">
        <v>10.4</v>
      </c>
      <c r="AA53" s="1">
        <v>10.6</v>
      </c>
      <c r="AB53" s="1">
        <v>9.1999999999999993</v>
      </c>
      <c r="AC53" s="1">
        <v>9.8000000000000007</v>
      </c>
      <c r="AD53" s="1">
        <v>10.6</v>
      </c>
      <c r="AE53" s="1" t="s">
        <v>97</v>
      </c>
      <c r="AF53" s="1">
        <f t="shared" si="16"/>
        <v>17.360000000000003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98</v>
      </c>
      <c r="B54" s="1" t="s">
        <v>36</v>
      </c>
      <c r="C54" s="1">
        <v>55.459000000000003</v>
      </c>
      <c r="D54" s="1">
        <v>226.155</v>
      </c>
      <c r="E54" s="1">
        <v>137.04300000000001</v>
      </c>
      <c r="F54" s="1">
        <v>116.715</v>
      </c>
      <c r="G54" s="7">
        <v>1</v>
      </c>
      <c r="H54" s="1">
        <v>50</v>
      </c>
      <c r="I54" s="1" t="s">
        <v>37</v>
      </c>
      <c r="J54" s="1">
        <v>151.5</v>
      </c>
      <c r="K54" s="1">
        <f t="shared" si="12"/>
        <v>-14.456999999999994</v>
      </c>
      <c r="L54" s="1">
        <f t="shared" si="3"/>
        <v>115.40600000000001</v>
      </c>
      <c r="M54" s="1">
        <v>21.637</v>
      </c>
      <c r="N54" s="1">
        <v>5.5968000000000204</v>
      </c>
      <c r="O54" s="1">
        <f t="shared" si="4"/>
        <v>23.081200000000003</v>
      </c>
      <c r="P54" s="5">
        <f t="shared" si="15"/>
        <v>85.418999999999983</v>
      </c>
      <c r="Q54" s="5"/>
      <c r="R54" s="1"/>
      <c r="S54" s="1">
        <f t="shared" si="5"/>
        <v>8.9999999999999982</v>
      </c>
      <c r="T54" s="1">
        <f t="shared" si="6"/>
        <v>5.2991958823631355</v>
      </c>
      <c r="U54" s="1">
        <v>20.8338</v>
      </c>
      <c r="V54" s="1">
        <v>23.843399999999999</v>
      </c>
      <c r="W54" s="1">
        <v>18.227599999999999</v>
      </c>
      <c r="X54" s="1">
        <v>14.6684</v>
      </c>
      <c r="Y54" s="1">
        <v>20.7562</v>
      </c>
      <c r="Z54" s="1">
        <v>22.980799999999999</v>
      </c>
      <c r="AA54" s="1">
        <v>21.758800000000001</v>
      </c>
      <c r="AB54" s="1">
        <v>18.047999999999998</v>
      </c>
      <c r="AC54" s="1">
        <v>22.817599999999999</v>
      </c>
      <c r="AD54" s="1">
        <v>24.711200000000002</v>
      </c>
      <c r="AE54" s="1"/>
      <c r="AF54" s="1">
        <f t="shared" si="16"/>
        <v>85.418999999999983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99</v>
      </c>
      <c r="B55" s="1" t="s">
        <v>36</v>
      </c>
      <c r="C55" s="1">
        <v>720.15200000000004</v>
      </c>
      <c r="D55" s="1">
        <v>226.101</v>
      </c>
      <c r="E55" s="1">
        <v>487.81200000000001</v>
      </c>
      <c r="F55" s="1">
        <v>364.07100000000003</v>
      </c>
      <c r="G55" s="7">
        <v>1</v>
      </c>
      <c r="H55" s="1">
        <v>50</v>
      </c>
      <c r="I55" s="1" t="s">
        <v>37</v>
      </c>
      <c r="J55" s="1">
        <v>472.23099999999999</v>
      </c>
      <c r="K55" s="1">
        <f t="shared" si="12"/>
        <v>15.581000000000017</v>
      </c>
      <c r="L55" s="1">
        <f t="shared" si="3"/>
        <v>466.20699999999999</v>
      </c>
      <c r="M55" s="1">
        <v>21.605</v>
      </c>
      <c r="N55" s="1">
        <v>245.24719999999999</v>
      </c>
      <c r="O55" s="1">
        <f t="shared" si="4"/>
        <v>93.241399999999999</v>
      </c>
      <c r="P55" s="5">
        <f t="shared" si="15"/>
        <v>229.85439999999994</v>
      </c>
      <c r="Q55" s="5"/>
      <c r="R55" s="1"/>
      <c r="S55" s="1">
        <f t="shared" si="5"/>
        <v>9</v>
      </c>
      <c r="T55" s="1">
        <f t="shared" si="6"/>
        <v>6.5348461091317809</v>
      </c>
      <c r="U55" s="1">
        <v>83.374200000000002</v>
      </c>
      <c r="V55" s="1">
        <v>76.477000000000004</v>
      </c>
      <c r="W55" s="1">
        <v>68.045199999999994</v>
      </c>
      <c r="X55" s="1">
        <v>106.3288</v>
      </c>
      <c r="Y55" s="1">
        <v>105.8222</v>
      </c>
      <c r="Z55" s="1">
        <v>83.827200000000005</v>
      </c>
      <c r="AA55" s="1">
        <v>77.943399999999997</v>
      </c>
      <c r="AB55" s="1">
        <v>51.977200000000003</v>
      </c>
      <c r="AC55" s="1">
        <v>46.274999999999999</v>
      </c>
      <c r="AD55" s="1">
        <v>51.472000000000001</v>
      </c>
      <c r="AE55" s="1"/>
      <c r="AF55" s="1">
        <f t="shared" si="16"/>
        <v>229.85439999999994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100</v>
      </c>
      <c r="B56" s="1" t="s">
        <v>36</v>
      </c>
      <c r="C56" s="1">
        <v>276.22800000000001</v>
      </c>
      <c r="D56" s="1">
        <v>161.447</v>
      </c>
      <c r="E56" s="1">
        <v>152.708</v>
      </c>
      <c r="F56" s="1">
        <v>273.40100000000001</v>
      </c>
      <c r="G56" s="7">
        <v>1</v>
      </c>
      <c r="H56" s="1">
        <v>50</v>
      </c>
      <c r="I56" s="1" t="s">
        <v>37</v>
      </c>
      <c r="J56" s="1">
        <v>153.315</v>
      </c>
      <c r="K56" s="1">
        <f t="shared" si="12"/>
        <v>-0.60699999999999932</v>
      </c>
      <c r="L56" s="1">
        <f t="shared" si="3"/>
        <v>152.708</v>
      </c>
      <c r="M56" s="1"/>
      <c r="N56" s="1">
        <v>0</v>
      </c>
      <c r="O56" s="1">
        <f t="shared" si="4"/>
        <v>30.541599999999999</v>
      </c>
      <c r="P56" s="5"/>
      <c r="Q56" s="5"/>
      <c r="R56" s="1"/>
      <c r="S56" s="1">
        <f t="shared" si="5"/>
        <v>8.9517576027451096</v>
      </c>
      <c r="T56" s="1">
        <f t="shared" si="6"/>
        <v>8.9517576027451096</v>
      </c>
      <c r="U56" s="1">
        <v>5.1849999999999969</v>
      </c>
      <c r="V56" s="1">
        <v>5.4548000000000014</v>
      </c>
      <c r="W56" s="1">
        <v>29.638200000000001</v>
      </c>
      <c r="X56" s="1">
        <v>28.748999999999999</v>
      </c>
      <c r="Y56" s="1">
        <v>25.186800000000002</v>
      </c>
      <c r="Z56" s="1">
        <v>25.7958</v>
      </c>
      <c r="AA56" s="1">
        <v>5.7170000000000014</v>
      </c>
      <c r="AB56" s="1">
        <v>1.7465999999999999</v>
      </c>
      <c r="AC56" s="1">
        <v>41.75</v>
      </c>
      <c r="AD56" s="1">
        <v>43.105800000000002</v>
      </c>
      <c r="AE56" s="22" t="s">
        <v>101</v>
      </c>
      <c r="AF56" s="1">
        <f t="shared" si="16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102</v>
      </c>
      <c r="B57" s="1" t="s">
        <v>41</v>
      </c>
      <c r="C57" s="1">
        <v>317</v>
      </c>
      <c r="D57" s="1">
        <v>20</v>
      </c>
      <c r="E57" s="1">
        <v>166</v>
      </c>
      <c r="F57" s="1">
        <v>140</v>
      </c>
      <c r="G57" s="7">
        <v>0.4</v>
      </c>
      <c r="H57" s="1">
        <v>50</v>
      </c>
      <c r="I57" s="1" t="s">
        <v>37</v>
      </c>
      <c r="J57" s="1">
        <v>169</v>
      </c>
      <c r="K57" s="1">
        <f t="shared" si="12"/>
        <v>-3</v>
      </c>
      <c r="L57" s="1">
        <f t="shared" si="3"/>
        <v>146</v>
      </c>
      <c r="M57" s="1">
        <v>20</v>
      </c>
      <c r="N57" s="1">
        <v>34.800000000000011</v>
      </c>
      <c r="O57" s="1">
        <f t="shared" si="4"/>
        <v>29.2</v>
      </c>
      <c r="P57" s="5">
        <f t="shared" si="15"/>
        <v>88</v>
      </c>
      <c r="Q57" s="5"/>
      <c r="R57" s="1"/>
      <c r="S57" s="1">
        <f t="shared" si="5"/>
        <v>9</v>
      </c>
      <c r="T57" s="1">
        <f t="shared" si="6"/>
        <v>5.9863013698630141</v>
      </c>
      <c r="U57" s="1">
        <v>28.8</v>
      </c>
      <c r="V57" s="1">
        <v>30.4</v>
      </c>
      <c r="W57" s="1">
        <v>28.8</v>
      </c>
      <c r="X57" s="1">
        <v>34.6</v>
      </c>
      <c r="Y57" s="1">
        <v>53</v>
      </c>
      <c r="Z57" s="1">
        <v>46.2</v>
      </c>
      <c r="AA57" s="1">
        <v>6.6</v>
      </c>
      <c r="AB57" s="1">
        <v>4</v>
      </c>
      <c r="AC57" s="1">
        <v>37.405999999999999</v>
      </c>
      <c r="AD57" s="1">
        <v>42.006</v>
      </c>
      <c r="AE57" s="1"/>
      <c r="AF57" s="1">
        <f t="shared" si="16"/>
        <v>35.200000000000003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103</v>
      </c>
      <c r="B58" s="1" t="s">
        <v>41</v>
      </c>
      <c r="C58" s="1">
        <v>1052</v>
      </c>
      <c r="D58" s="1">
        <v>395</v>
      </c>
      <c r="E58" s="1">
        <v>860.43</v>
      </c>
      <c r="F58" s="1">
        <v>540.57000000000005</v>
      </c>
      <c r="G58" s="7">
        <v>0.4</v>
      </c>
      <c r="H58" s="1">
        <v>40</v>
      </c>
      <c r="I58" s="1" t="s">
        <v>37</v>
      </c>
      <c r="J58" s="1">
        <v>900</v>
      </c>
      <c r="K58" s="1">
        <f t="shared" si="12"/>
        <v>-39.57000000000005</v>
      </c>
      <c r="L58" s="1">
        <f t="shared" si="3"/>
        <v>842.43</v>
      </c>
      <c r="M58" s="1">
        <v>18</v>
      </c>
      <c r="N58" s="1">
        <v>0</v>
      </c>
      <c r="O58" s="1">
        <f t="shared" si="4"/>
        <v>168.48599999999999</v>
      </c>
      <c r="P58" s="5">
        <f>8.5*O58-N58-F58</f>
        <v>891.56099999999981</v>
      </c>
      <c r="Q58" s="5"/>
      <c r="R58" s="1"/>
      <c r="S58" s="1">
        <f t="shared" si="5"/>
        <v>8.5</v>
      </c>
      <c r="T58" s="1">
        <f t="shared" si="6"/>
        <v>3.2083971368541011</v>
      </c>
      <c r="U58" s="1">
        <v>92.6</v>
      </c>
      <c r="V58" s="1">
        <v>92.8</v>
      </c>
      <c r="W58" s="1">
        <v>153.19999999999999</v>
      </c>
      <c r="X58" s="1">
        <v>153.4</v>
      </c>
      <c r="Y58" s="1">
        <v>112.2</v>
      </c>
      <c r="Z58" s="1">
        <v>108.4</v>
      </c>
      <c r="AA58" s="1">
        <v>122.6</v>
      </c>
      <c r="AB58" s="1">
        <v>103.2</v>
      </c>
      <c r="AC58" s="1">
        <v>90.6</v>
      </c>
      <c r="AD58" s="1">
        <v>121</v>
      </c>
      <c r="AE58" s="1"/>
      <c r="AF58" s="1">
        <f t="shared" si="16"/>
        <v>356.62439999999992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104</v>
      </c>
      <c r="B59" s="1" t="s">
        <v>41</v>
      </c>
      <c r="C59" s="1">
        <v>1</v>
      </c>
      <c r="D59" s="1">
        <v>710</v>
      </c>
      <c r="E59" s="1">
        <v>339</v>
      </c>
      <c r="F59" s="1">
        <v>356</v>
      </c>
      <c r="G59" s="7">
        <v>0.4</v>
      </c>
      <c r="H59" s="1">
        <v>40</v>
      </c>
      <c r="I59" s="1" t="s">
        <v>37</v>
      </c>
      <c r="J59" s="1">
        <v>468</v>
      </c>
      <c r="K59" s="1">
        <f t="shared" si="12"/>
        <v>-129</v>
      </c>
      <c r="L59" s="1">
        <f t="shared" si="3"/>
        <v>321</v>
      </c>
      <c r="M59" s="1">
        <v>18</v>
      </c>
      <c r="N59" s="1">
        <v>0</v>
      </c>
      <c r="O59" s="1">
        <f t="shared" si="4"/>
        <v>64.2</v>
      </c>
      <c r="P59" s="5">
        <f t="shared" si="15"/>
        <v>221.80000000000007</v>
      </c>
      <c r="Q59" s="5"/>
      <c r="R59" s="1"/>
      <c r="S59" s="1">
        <f t="shared" si="5"/>
        <v>9</v>
      </c>
      <c r="T59" s="1">
        <f t="shared" si="6"/>
        <v>5.5451713395638631</v>
      </c>
      <c r="U59" s="1">
        <v>51.4</v>
      </c>
      <c r="V59" s="1">
        <v>69.8</v>
      </c>
      <c r="W59" s="1">
        <v>114.6</v>
      </c>
      <c r="X59" s="1">
        <v>105.8</v>
      </c>
      <c r="Y59" s="1">
        <v>71.400000000000006</v>
      </c>
      <c r="Z59" s="1">
        <v>74</v>
      </c>
      <c r="AA59" s="1">
        <v>108.8</v>
      </c>
      <c r="AB59" s="1">
        <v>81.400000000000006</v>
      </c>
      <c r="AC59" s="1">
        <v>70.8</v>
      </c>
      <c r="AD59" s="1">
        <v>93</v>
      </c>
      <c r="AE59" s="1"/>
      <c r="AF59" s="1">
        <f t="shared" si="16"/>
        <v>88.720000000000027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105</v>
      </c>
      <c r="B60" s="1" t="s">
        <v>36</v>
      </c>
      <c r="C60" s="1">
        <v>405.541</v>
      </c>
      <c r="D60" s="1">
        <v>68.097999999999999</v>
      </c>
      <c r="E60" s="1">
        <v>241.40199999999999</v>
      </c>
      <c r="F60" s="1">
        <v>162.56299999999999</v>
      </c>
      <c r="G60" s="7">
        <v>1</v>
      </c>
      <c r="H60" s="1">
        <v>40</v>
      </c>
      <c r="I60" s="1" t="s">
        <v>37</v>
      </c>
      <c r="J60" s="1">
        <v>252.298</v>
      </c>
      <c r="K60" s="1">
        <f t="shared" si="12"/>
        <v>-10.896000000000015</v>
      </c>
      <c r="L60" s="1">
        <f t="shared" si="3"/>
        <v>226.773</v>
      </c>
      <c r="M60" s="1">
        <v>14.629</v>
      </c>
      <c r="N60" s="1">
        <v>227.30740000000009</v>
      </c>
      <c r="O60" s="1">
        <f t="shared" si="4"/>
        <v>45.354599999999998</v>
      </c>
      <c r="P60" s="5">
        <f t="shared" si="15"/>
        <v>18.320999999999913</v>
      </c>
      <c r="Q60" s="5"/>
      <c r="R60" s="1"/>
      <c r="S60" s="1">
        <f t="shared" si="5"/>
        <v>9</v>
      </c>
      <c r="T60" s="1">
        <f t="shared" si="6"/>
        <v>8.5960497942876817</v>
      </c>
      <c r="U60" s="1">
        <v>45.513399999999997</v>
      </c>
      <c r="V60" s="1">
        <v>33.489400000000003</v>
      </c>
      <c r="W60" s="1">
        <v>8.1622000000000003</v>
      </c>
      <c r="X60" s="1">
        <v>5.0213999999999999</v>
      </c>
      <c r="Y60" s="1">
        <v>53.783200000000001</v>
      </c>
      <c r="Z60" s="1">
        <v>50.0608</v>
      </c>
      <c r="AA60" s="1">
        <v>22.703800000000001</v>
      </c>
      <c r="AB60" s="1">
        <v>26.747399999999999</v>
      </c>
      <c r="AC60" s="1">
        <v>37.057600000000001</v>
      </c>
      <c r="AD60" s="1">
        <v>38.385599999999997</v>
      </c>
      <c r="AE60" s="1"/>
      <c r="AF60" s="1">
        <f t="shared" si="16"/>
        <v>18.320999999999913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106</v>
      </c>
      <c r="B61" s="1" t="s">
        <v>36</v>
      </c>
      <c r="C61" s="1">
        <v>234.94200000000001</v>
      </c>
      <c r="D61" s="1">
        <v>57.716999999999999</v>
      </c>
      <c r="E61" s="1">
        <v>175.62299999999999</v>
      </c>
      <c r="F61" s="1">
        <v>72.185000000000002</v>
      </c>
      <c r="G61" s="7">
        <v>1</v>
      </c>
      <c r="H61" s="1">
        <v>40</v>
      </c>
      <c r="I61" s="1" t="s">
        <v>37</v>
      </c>
      <c r="J61" s="1">
        <v>187.08</v>
      </c>
      <c r="K61" s="1">
        <f t="shared" si="12"/>
        <v>-11.457000000000022</v>
      </c>
      <c r="L61" s="1">
        <f t="shared" si="3"/>
        <v>165.86799999999999</v>
      </c>
      <c r="M61" s="1">
        <v>9.7550000000000008</v>
      </c>
      <c r="N61" s="1">
        <v>104.2784</v>
      </c>
      <c r="O61" s="1">
        <f t="shared" si="4"/>
        <v>33.1736</v>
      </c>
      <c r="P61" s="5">
        <f t="shared" si="15"/>
        <v>122.09900000000002</v>
      </c>
      <c r="Q61" s="5"/>
      <c r="R61" s="1"/>
      <c r="S61" s="1">
        <f t="shared" si="5"/>
        <v>9</v>
      </c>
      <c r="T61" s="1">
        <f t="shared" si="6"/>
        <v>5.3193925289989634</v>
      </c>
      <c r="U61" s="1">
        <v>28.763400000000001</v>
      </c>
      <c r="V61" s="1">
        <v>24.647200000000002</v>
      </c>
      <c r="W61" s="1">
        <v>23.712199999999999</v>
      </c>
      <c r="X61" s="1">
        <v>28.724799999999998</v>
      </c>
      <c r="Y61" s="1">
        <v>40.096800000000002</v>
      </c>
      <c r="Z61" s="1">
        <v>33.127600000000001</v>
      </c>
      <c r="AA61" s="1">
        <v>12.061199999999999</v>
      </c>
      <c r="AB61" s="1">
        <v>17.687799999999999</v>
      </c>
      <c r="AC61" s="1">
        <v>29.1022</v>
      </c>
      <c r="AD61" s="1">
        <v>29.439</v>
      </c>
      <c r="AE61" s="1"/>
      <c r="AF61" s="1">
        <f t="shared" si="16"/>
        <v>122.09900000000002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2" t="s">
        <v>107</v>
      </c>
      <c r="B62" s="12" t="s">
        <v>36</v>
      </c>
      <c r="C62" s="12"/>
      <c r="D62" s="12">
        <v>68.278999999999996</v>
      </c>
      <c r="E62" s="12">
        <v>68.278999999999996</v>
      </c>
      <c r="F62" s="12"/>
      <c r="G62" s="13">
        <v>0</v>
      </c>
      <c r="H62" s="12" t="e">
        <v>#N/A</v>
      </c>
      <c r="I62" s="12" t="s">
        <v>42</v>
      </c>
      <c r="J62" s="12">
        <v>68.278999999999996</v>
      </c>
      <c r="K62" s="12">
        <f t="shared" si="12"/>
        <v>0</v>
      </c>
      <c r="L62" s="12">
        <f t="shared" si="3"/>
        <v>68.278999999999996</v>
      </c>
      <c r="M62" s="12"/>
      <c r="N62" s="12">
        <v>0</v>
      </c>
      <c r="O62" s="12">
        <f t="shared" si="4"/>
        <v>13.655799999999999</v>
      </c>
      <c r="P62" s="14"/>
      <c r="Q62" s="14"/>
      <c r="R62" s="12"/>
      <c r="S62" s="12">
        <f t="shared" si="5"/>
        <v>0</v>
      </c>
      <c r="T62" s="12">
        <f t="shared" si="6"/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/>
      <c r="AF62" s="12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108</v>
      </c>
      <c r="B63" s="1" t="s">
        <v>36</v>
      </c>
      <c r="C63" s="1">
        <v>283.88499999999999</v>
      </c>
      <c r="D63" s="1">
        <v>29.414000000000001</v>
      </c>
      <c r="E63" s="1">
        <v>202.339</v>
      </c>
      <c r="F63" s="1">
        <v>51.253999999999998</v>
      </c>
      <c r="G63" s="7">
        <v>1</v>
      </c>
      <c r="H63" s="1">
        <v>40</v>
      </c>
      <c r="I63" s="1" t="s">
        <v>37</v>
      </c>
      <c r="J63" s="1">
        <v>220.01400000000001</v>
      </c>
      <c r="K63" s="1">
        <f t="shared" si="12"/>
        <v>-17.675000000000011</v>
      </c>
      <c r="L63" s="1">
        <f t="shared" si="3"/>
        <v>187.649</v>
      </c>
      <c r="M63" s="1">
        <v>14.69</v>
      </c>
      <c r="N63" s="1">
        <v>77.026399999999995</v>
      </c>
      <c r="O63" s="1">
        <f t="shared" si="4"/>
        <v>37.529800000000002</v>
      </c>
      <c r="P63" s="5">
        <f>8.5*O63-N63-F63</f>
        <v>190.72290000000004</v>
      </c>
      <c r="Q63" s="5"/>
      <c r="R63" s="1"/>
      <c r="S63" s="1">
        <f t="shared" si="5"/>
        <v>8.5</v>
      </c>
      <c r="T63" s="1">
        <f t="shared" si="6"/>
        <v>3.4180944209668045</v>
      </c>
      <c r="U63" s="1">
        <v>26.715399999999999</v>
      </c>
      <c r="V63" s="1">
        <v>22.999600000000001</v>
      </c>
      <c r="W63" s="1">
        <v>31.666599999999999</v>
      </c>
      <c r="X63" s="1">
        <v>35.583000000000013</v>
      </c>
      <c r="Y63" s="1">
        <v>50.459200000000003</v>
      </c>
      <c r="Z63" s="1">
        <v>43.281599999999997</v>
      </c>
      <c r="AA63" s="1">
        <v>10.667400000000001</v>
      </c>
      <c r="AB63" s="1">
        <v>13.9076</v>
      </c>
      <c r="AC63" s="1">
        <v>27.576599999999999</v>
      </c>
      <c r="AD63" s="1">
        <v>25.141999999999999</v>
      </c>
      <c r="AE63" s="1"/>
      <c r="AF63" s="1">
        <f>G63*P63</f>
        <v>190.72290000000004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109</v>
      </c>
      <c r="B64" s="1" t="s">
        <v>36</v>
      </c>
      <c r="C64" s="1">
        <v>93.444999999999993</v>
      </c>
      <c r="D64" s="1">
        <v>30.3</v>
      </c>
      <c r="E64" s="1">
        <v>38.049999999999997</v>
      </c>
      <c r="F64" s="1">
        <v>36.662999999999997</v>
      </c>
      <c r="G64" s="7">
        <v>1</v>
      </c>
      <c r="H64" s="1">
        <v>30</v>
      </c>
      <c r="I64" s="1" t="s">
        <v>37</v>
      </c>
      <c r="J64" s="1">
        <v>49.6</v>
      </c>
      <c r="K64" s="1">
        <f t="shared" si="12"/>
        <v>-11.550000000000004</v>
      </c>
      <c r="L64" s="1">
        <f t="shared" si="3"/>
        <v>38.049999999999997</v>
      </c>
      <c r="M64" s="1"/>
      <c r="N64" s="1">
        <v>4.8061999999999898</v>
      </c>
      <c r="O64" s="1">
        <f t="shared" si="4"/>
        <v>7.6099999999999994</v>
      </c>
      <c r="P64" s="5">
        <f t="shared" ref="P64" si="17">9*O64-N64-F64</f>
        <v>27.020800000000008</v>
      </c>
      <c r="Q64" s="5"/>
      <c r="R64" s="1"/>
      <c r="S64" s="1">
        <f t="shared" si="5"/>
        <v>9</v>
      </c>
      <c r="T64" s="1">
        <f t="shared" si="6"/>
        <v>5.449303547963205</v>
      </c>
      <c r="U64" s="1">
        <v>8.7211999999999996</v>
      </c>
      <c r="V64" s="1">
        <v>10.027799999999999</v>
      </c>
      <c r="W64" s="1">
        <v>11.640599999999999</v>
      </c>
      <c r="X64" s="1">
        <v>10.793799999999999</v>
      </c>
      <c r="Y64" s="1">
        <v>11.015000000000001</v>
      </c>
      <c r="Z64" s="1">
        <v>10.7562</v>
      </c>
      <c r="AA64" s="1">
        <v>10.955</v>
      </c>
      <c r="AB64" s="1">
        <v>9.2786000000000008</v>
      </c>
      <c r="AC64" s="1">
        <v>10.811</v>
      </c>
      <c r="AD64" s="1">
        <v>14.1732</v>
      </c>
      <c r="AE64" s="1"/>
      <c r="AF64" s="1">
        <f>G64*P64</f>
        <v>27.020800000000008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110</v>
      </c>
      <c r="B65" s="1" t="s">
        <v>41</v>
      </c>
      <c r="C65" s="1">
        <v>1137</v>
      </c>
      <c r="D65" s="1">
        <v>96</v>
      </c>
      <c r="E65" s="1">
        <v>875</v>
      </c>
      <c r="F65" s="1">
        <v>153</v>
      </c>
      <c r="G65" s="7">
        <v>0.6</v>
      </c>
      <c r="H65" s="1">
        <v>60</v>
      </c>
      <c r="I65" s="11" t="s">
        <v>44</v>
      </c>
      <c r="J65" s="1">
        <v>908</v>
      </c>
      <c r="K65" s="1">
        <f t="shared" si="12"/>
        <v>-33</v>
      </c>
      <c r="L65" s="1">
        <f t="shared" si="3"/>
        <v>875</v>
      </c>
      <c r="M65" s="1"/>
      <c r="N65" s="1">
        <v>50</v>
      </c>
      <c r="O65" s="1">
        <f t="shared" si="4"/>
        <v>175</v>
      </c>
      <c r="P65" s="25">
        <v>200</v>
      </c>
      <c r="Q65" s="5"/>
      <c r="R65" s="1"/>
      <c r="S65" s="1">
        <f t="shared" si="5"/>
        <v>2.3028571428571429</v>
      </c>
      <c r="T65" s="1">
        <f t="shared" si="6"/>
        <v>1.1599999999999999</v>
      </c>
      <c r="U65" s="1">
        <v>200.8</v>
      </c>
      <c r="V65" s="1">
        <v>245.2</v>
      </c>
      <c r="W65" s="1">
        <v>191.2</v>
      </c>
      <c r="X65" s="1">
        <v>88.6</v>
      </c>
      <c r="Y65" s="1">
        <v>48.4</v>
      </c>
      <c r="Z65" s="1">
        <v>26.2</v>
      </c>
      <c r="AA65" s="1">
        <v>30.2</v>
      </c>
      <c r="AB65" s="1">
        <v>67.599999999999994</v>
      </c>
      <c r="AC65" s="1">
        <v>76.599999999999994</v>
      </c>
      <c r="AD65" s="1">
        <v>72.8</v>
      </c>
      <c r="AE65" s="1" t="s">
        <v>45</v>
      </c>
      <c r="AF65" s="1">
        <f>G65*P65</f>
        <v>120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6" t="s">
        <v>111</v>
      </c>
      <c r="B66" s="16" t="s">
        <v>41</v>
      </c>
      <c r="C66" s="16"/>
      <c r="D66" s="16"/>
      <c r="E66" s="16"/>
      <c r="F66" s="16"/>
      <c r="G66" s="17">
        <v>0</v>
      </c>
      <c r="H66" s="16">
        <v>50</v>
      </c>
      <c r="I66" s="16" t="s">
        <v>37</v>
      </c>
      <c r="J66" s="16"/>
      <c r="K66" s="16">
        <f t="shared" si="12"/>
        <v>0</v>
      </c>
      <c r="L66" s="16">
        <f t="shared" si="3"/>
        <v>0</v>
      </c>
      <c r="M66" s="16"/>
      <c r="N66" s="16">
        <v>0</v>
      </c>
      <c r="O66" s="16">
        <f t="shared" si="4"/>
        <v>0</v>
      </c>
      <c r="P66" s="18"/>
      <c r="Q66" s="18"/>
      <c r="R66" s="16"/>
      <c r="S66" s="16" t="e">
        <f t="shared" si="5"/>
        <v>#DIV/0!</v>
      </c>
      <c r="T66" s="16" t="e">
        <f t="shared" si="6"/>
        <v>#DIV/0!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 t="s">
        <v>57</v>
      </c>
      <c r="AF66" s="16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6" t="s">
        <v>112</v>
      </c>
      <c r="B67" s="16" t="s">
        <v>41</v>
      </c>
      <c r="C67" s="16"/>
      <c r="D67" s="16"/>
      <c r="E67" s="16"/>
      <c r="F67" s="16"/>
      <c r="G67" s="17">
        <v>0</v>
      </c>
      <c r="H67" s="16">
        <v>50</v>
      </c>
      <c r="I67" s="16" t="s">
        <v>37</v>
      </c>
      <c r="J67" s="16"/>
      <c r="K67" s="16">
        <f t="shared" si="12"/>
        <v>0</v>
      </c>
      <c r="L67" s="16">
        <f t="shared" si="3"/>
        <v>0</v>
      </c>
      <c r="M67" s="16"/>
      <c r="N67" s="16">
        <v>0</v>
      </c>
      <c r="O67" s="16">
        <f t="shared" si="4"/>
        <v>0</v>
      </c>
      <c r="P67" s="18"/>
      <c r="Q67" s="18"/>
      <c r="R67" s="16"/>
      <c r="S67" s="16" t="e">
        <f t="shared" si="5"/>
        <v>#DIV/0!</v>
      </c>
      <c r="T67" s="16" t="e">
        <f t="shared" si="6"/>
        <v>#DIV/0!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 t="s">
        <v>57</v>
      </c>
      <c r="AF67" s="16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6" t="s">
        <v>113</v>
      </c>
      <c r="B68" s="16" t="s">
        <v>41</v>
      </c>
      <c r="C68" s="16"/>
      <c r="D68" s="16"/>
      <c r="E68" s="16"/>
      <c r="F68" s="16"/>
      <c r="G68" s="17">
        <v>0</v>
      </c>
      <c r="H68" s="16">
        <v>30</v>
      </c>
      <c r="I68" s="16" t="s">
        <v>37</v>
      </c>
      <c r="J68" s="16"/>
      <c r="K68" s="16">
        <f t="shared" si="12"/>
        <v>0</v>
      </c>
      <c r="L68" s="16">
        <f t="shared" si="3"/>
        <v>0</v>
      </c>
      <c r="M68" s="16"/>
      <c r="N68" s="16">
        <v>0</v>
      </c>
      <c r="O68" s="16">
        <f t="shared" si="4"/>
        <v>0</v>
      </c>
      <c r="P68" s="18"/>
      <c r="Q68" s="18"/>
      <c r="R68" s="16"/>
      <c r="S68" s="16" t="e">
        <f t="shared" si="5"/>
        <v>#DIV/0!</v>
      </c>
      <c r="T68" s="16" t="e">
        <f t="shared" si="6"/>
        <v>#DIV/0!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 t="s">
        <v>57</v>
      </c>
      <c r="AF68" s="16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114</v>
      </c>
      <c r="B69" s="1" t="s">
        <v>41</v>
      </c>
      <c r="C69" s="1">
        <v>176</v>
      </c>
      <c r="D69" s="1">
        <v>56</v>
      </c>
      <c r="E69" s="1">
        <v>118</v>
      </c>
      <c r="F69" s="1">
        <v>87</v>
      </c>
      <c r="G69" s="7">
        <v>0.6</v>
      </c>
      <c r="H69" s="1">
        <v>55</v>
      </c>
      <c r="I69" s="10" t="s">
        <v>37</v>
      </c>
      <c r="J69" s="1">
        <v>119</v>
      </c>
      <c r="K69" s="1">
        <f t="shared" ref="K69:K100" si="18">E69-J69</f>
        <v>-1</v>
      </c>
      <c r="L69" s="1">
        <f t="shared" si="3"/>
        <v>118</v>
      </c>
      <c r="M69" s="1"/>
      <c r="N69" s="1">
        <v>17.800000000000011</v>
      </c>
      <c r="O69" s="1">
        <f t="shared" si="4"/>
        <v>23.6</v>
      </c>
      <c r="P69" s="5">
        <f>9*O69-N69-F69</f>
        <v>107.6</v>
      </c>
      <c r="Q69" s="5"/>
      <c r="R69" s="1"/>
      <c r="S69" s="1">
        <f t="shared" si="5"/>
        <v>9</v>
      </c>
      <c r="T69" s="1">
        <f t="shared" si="6"/>
        <v>4.4406779661016955</v>
      </c>
      <c r="U69" s="1">
        <v>15.8</v>
      </c>
      <c r="V69" s="1">
        <v>19.399999999999999</v>
      </c>
      <c r="W69" s="1">
        <v>33.6</v>
      </c>
      <c r="X69" s="1">
        <v>26.4</v>
      </c>
      <c r="Y69" s="1">
        <v>19.8</v>
      </c>
      <c r="Z69" s="1">
        <v>19.399999999999999</v>
      </c>
      <c r="AA69" s="1">
        <v>17.600000000000001</v>
      </c>
      <c r="AB69" s="1">
        <v>23.8</v>
      </c>
      <c r="AC69" s="1">
        <v>31</v>
      </c>
      <c r="AD69" s="1">
        <v>30.2</v>
      </c>
      <c r="AE69" s="10" t="s">
        <v>45</v>
      </c>
      <c r="AF69" s="1">
        <f>G69*P69</f>
        <v>64.559999999999988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6" t="s">
        <v>115</v>
      </c>
      <c r="B70" s="16" t="s">
        <v>41</v>
      </c>
      <c r="C70" s="16"/>
      <c r="D70" s="16"/>
      <c r="E70" s="16"/>
      <c r="F70" s="16"/>
      <c r="G70" s="17">
        <v>0</v>
      </c>
      <c r="H70" s="16">
        <v>40</v>
      </c>
      <c r="I70" s="16" t="s">
        <v>37</v>
      </c>
      <c r="J70" s="16"/>
      <c r="K70" s="16">
        <f t="shared" si="18"/>
        <v>0</v>
      </c>
      <c r="L70" s="16">
        <f t="shared" ref="L70:L100" si="19">E70-M70</f>
        <v>0</v>
      </c>
      <c r="M70" s="16"/>
      <c r="N70" s="16">
        <v>0</v>
      </c>
      <c r="O70" s="16">
        <f t="shared" ref="O70:O100" si="20">L70/5</f>
        <v>0</v>
      </c>
      <c r="P70" s="18"/>
      <c r="Q70" s="18"/>
      <c r="R70" s="16"/>
      <c r="S70" s="16" t="e">
        <f t="shared" ref="S70:S100" si="21">(F70+N70+P70)/O70</f>
        <v>#DIV/0!</v>
      </c>
      <c r="T70" s="16" t="e">
        <f t="shared" ref="T70:T100" si="22">(F70+N70)/O70</f>
        <v>#DIV/0!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 t="s">
        <v>57</v>
      </c>
      <c r="AF70" s="16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116</v>
      </c>
      <c r="B71" s="1" t="s">
        <v>41</v>
      </c>
      <c r="C71" s="1">
        <v>134</v>
      </c>
      <c r="D71" s="1">
        <v>16</v>
      </c>
      <c r="E71" s="1">
        <v>94</v>
      </c>
      <c r="F71" s="1">
        <v>29</v>
      </c>
      <c r="G71" s="7">
        <v>0.4</v>
      </c>
      <c r="H71" s="1">
        <v>50</v>
      </c>
      <c r="I71" s="1" t="s">
        <v>37</v>
      </c>
      <c r="J71" s="1">
        <v>98</v>
      </c>
      <c r="K71" s="1">
        <f t="shared" si="18"/>
        <v>-4</v>
      </c>
      <c r="L71" s="1">
        <f t="shared" si="19"/>
        <v>94</v>
      </c>
      <c r="M71" s="1"/>
      <c r="N71" s="1">
        <v>33.199999999999989</v>
      </c>
      <c r="O71" s="1">
        <f t="shared" si="20"/>
        <v>18.8</v>
      </c>
      <c r="P71" s="5">
        <f>8.5*O71-N71-F71</f>
        <v>97.600000000000023</v>
      </c>
      <c r="Q71" s="5"/>
      <c r="R71" s="1"/>
      <c r="S71" s="1">
        <f t="shared" si="21"/>
        <v>8.5</v>
      </c>
      <c r="T71" s="1">
        <f t="shared" si="22"/>
        <v>3.3085106382978715</v>
      </c>
      <c r="U71" s="1">
        <v>13.2</v>
      </c>
      <c r="V71" s="1">
        <v>11.8</v>
      </c>
      <c r="W71" s="1">
        <v>16</v>
      </c>
      <c r="X71" s="1">
        <v>17.2</v>
      </c>
      <c r="Y71" s="1">
        <v>13.2</v>
      </c>
      <c r="Z71" s="1">
        <v>13</v>
      </c>
      <c r="AA71" s="1">
        <v>7.2</v>
      </c>
      <c r="AB71" s="1">
        <v>12</v>
      </c>
      <c r="AC71" s="1">
        <v>14.2</v>
      </c>
      <c r="AD71" s="1">
        <v>13.4</v>
      </c>
      <c r="AE71" s="1" t="s">
        <v>45</v>
      </c>
      <c r="AF71" s="1">
        <f>G71*P71</f>
        <v>39.040000000000013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1" t="s">
        <v>117</v>
      </c>
      <c r="B72" s="1" t="s">
        <v>41</v>
      </c>
      <c r="C72" s="1"/>
      <c r="D72" s="1"/>
      <c r="E72" s="1"/>
      <c r="F72" s="1"/>
      <c r="G72" s="7">
        <v>0.06</v>
      </c>
      <c r="H72" s="1">
        <v>60</v>
      </c>
      <c r="I72" s="1" t="s">
        <v>37</v>
      </c>
      <c r="J72" s="1"/>
      <c r="K72" s="1">
        <f t="shared" si="18"/>
        <v>0</v>
      </c>
      <c r="L72" s="1">
        <f t="shared" si="19"/>
        <v>0</v>
      </c>
      <c r="M72" s="1"/>
      <c r="N72" s="11"/>
      <c r="O72" s="1">
        <f t="shared" si="20"/>
        <v>0</v>
      </c>
      <c r="P72" s="19">
        <v>10</v>
      </c>
      <c r="Q72" s="5"/>
      <c r="R72" s="1"/>
      <c r="S72" s="1" t="e">
        <f t="shared" si="21"/>
        <v>#DIV/0!</v>
      </c>
      <c r="T72" s="1" t="e">
        <f t="shared" si="22"/>
        <v>#DIV/0!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1" t="s">
        <v>118</v>
      </c>
      <c r="AF72" s="1">
        <f>G72*P72</f>
        <v>0.6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119</v>
      </c>
      <c r="B73" s="1" t="s">
        <v>41</v>
      </c>
      <c r="C73" s="1">
        <v>10</v>
      </c>
      <c r="D73" s="1">
        <v>15</v>
      </c>
      <c r="E73" s="1">
        <v>1</v>
      </c>
      <c r="F73" s="1">
        <v>24</v>
      </c>
      <c r="G73" s="7">
        <v>0.4</v>
      </c>
      <c r="H73" s="1">
        <v>55</v>
      </c>
      <c r="I73" s="1" t="s">
        <v>37</v>
      </c>
      <c r="J73" s="1">
        <v>1</v>
      </c>
      <c r="K73" s="1">
        <f t="shared" si="18"/>
        <v>0</v>
      </c>
      <c r="L73" s="1">
        <f t="shared" si="19"/>
        <v>1</v>
      </c>
      <c r="M73" s="1"/>
      <c r="N73" s="1">
        <v>0</v>
      </c>
      <c r="O73" s="1">
        <f t="shared" si="20"/>
        <v>0.2</v>
      </c>
      <c r="P73" s="5"/>
      <c r="Q73" s="5"/>
      <c r="R73" s="1"/>
      <c r="S73" s="1">
        <f t="shared" si="21"/>
        <v>120</v>
      </c>
      <c r="T73" s="1">
        <f t="shared" si="22"/>
        <v>120</v>
      </c>
      <c r="U73" s="1">
        <v>0</v>
      </c>
      <c r="V73" s="1">
        <v>0</v>
      </c>
      <c r="W73" s="1">
        <v>0.2</v>
      </c>
      <c r="X73" s="1">
        <v>0.2</v>
      </c>
      <c r="Y73" s="1">
        <v>1</v>
      </c>
      <c r="Z73" s="1">
        <v>1.2</v>
      </c>
      <c r="AA73" s="1">
        <v>0.8</v>
      </c>
      <c r="AB73" s="1">
        <v>0.6</v>
      </c>
      <c r="AC73" s="1">
        <v>0.2</v>
      </c>
      <c r="AD73" s="1">
        <v>0.4</v>
      </c>
      <c r="AE73" s="22" t="s">
        <v>101</v>
      </c>
      <c r="AF73" s="1">
        <f>G73*P73</f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120</v>
      </c>
      <c r="B74" s="1" t="s">
        <v>36</v>
      </c>
      <c r="C74" s="1">
        <v>21.658000000000001</v>
      </c>
      <c r="D74" s="1"/>
      <c r="E74" s="1">
        <v>1.44</v>
      </c>
      <c r="F74" s="1">
        <v>17.323</v>
      </c>
      <c r="G74" s="7">
        <v>1</v>
      </c>
      <c r="H74" s="1">
        <v>55</v>
      </c>
      <c r="I74" s="1" t="s">
        <v>37</v>
      </c>
      <c r="J74" s="1">
        <v>1</v>
      </c>
      <c r="K74" s="1">
        <f t="shared" si="18"/>
        <v>0.43999999999999995</v>
      </c>
      <c r="L74" s="1">
        <f t="shared" si="19"/>
        <v>1.44</v>
      </c>
      <c r="M74" s="1"/>
      <c r="N74" s="1">
        <v>0</v>
      </c>
      <c r="O74" s="1">
        <f t="shared" si="20"/>
        <v>0.28799999999999998</v>
      </c>
      <c r="P74" s="5"/>
      <c r="Q74" s="5"/>
      <c r="R74" s="1"/>
      <c r="S74" s="1">
        <f t="shared" si="21"/>
        <v>60.149305555555564</v>
      </c>
      <c r="T74" s="1">
        <f t="shared" si="22"/>
        <v>60.149305555555564</v>
      </c>
      <c r="U74" s="1">
        <v>1.6706000000000001</v>
      </c>
      <c r="V74" s="1">
        <v>1.6706000000000001</v>
      </c>
      <c r="W74" s="1">
        <v>0</v>
      </c>
      <c r="X74" s="1">
        <v>0</v>
      </c>
      <c r="Y74" s="1">
        <v>1.4498</v>
      </c>
      <c r="Z74" s="1">
        <v>1.4498</v>
      </c>
      <c r="AA74" s="1">
        <v>0.28960000000000002</v>
      </c>
      <c r="AB74" s="1">
        <v>0.57840000000000003</v>
      </c>
      <c r="AC74" s="1">
        <v>0.2888</v>
      </c>
      <c r="AD74" s="1">
        <v>0.57579999999999998</v>
      </c>
      <c r="AE74" s="21" t="s">
        <v>157</v>
      </c>
      <c r="AF74" s="1">
        <f>G74*P74</f>
        <v>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2" t="s">
        <v>121</v>
      </c>
      <c r="B75" s="12" t="s">
        <v>36</v>
      </c>
      <c r="C75" s="12">
        <v>99.846000000000004</v>
      </c>
      <c r="D75" s="12"/>
      <c r="E75" s="12">
        <v>56.421999999999997</v>
      </c>
      <c r="F75" s="12">
        <v>11.673</v>
      </c>
      <c r="G75" s="13">
        <v>0</v>
      </c>
      <c r="H75" s="12">
        <v>50</v>
      </c>
      <c r="I75" s="12" t="s">
        <v>42</v>
      </c>
      <c r="J75" s="12">
        <v>53.8</v>
      </c>
      <c r="K75" s="12">
        <f t="shared" si="18"/>
        <v>2.6219999999999999</v>
      </c>
      <c r="L75" s="12">
        <f t="shared" si="19"/>
        <v>56.421999999999997</v>
      </c>
      <c r="M75" s="12"/>
      <c r="N75" s="12">
        <v>0</v>
      </c>
      <c r="O75" s="12">
        <f t="shared" si="20"/>
        <v>11.2844</v>
      </c>
      <c r="P75" s="14"/>
      <c r="Q75" s="14"/>
      <c r="R75" s="12"/>
      <c r="S75" s="12">
        <f t="shared" si="21"/>
        <v>1.0344369217681046</v>
      </c>
      <c r="T75" s="12">
        <f t="shared" si="22"/>
        <v>1.0344369217681046</v>
      </c>
      <c r="U75" s="12">
        <v>13.769</v>
      </c>
      <c r="V75" s="12">
        <v>12.1906</v>
      </c>
      <c r="W75" s="12">
        <v>17.401</v>
      </c>
      <c r="X75" s="12">
        <v>20.459199999999999</v>
      </c>
      <c r="Y75" s="12">
        <v>19.576000000000001</v>
      </c>
      <c r="Z75" s="12">
        <v>22.449000000000002</v>
      </c>
      <c r="AA75" s="12">
        <v>15.4742</v>
      </c>
      <c r="AB75" s="12">
        <v>13.44</v>
      </c>
      <c r="AC75" s="12">
        <v>18.978200000000001</v>
      </c>
      <c r="AD75" s="12">
        <v>18.136399999999998</v>
      </c>
      <c r="AE75" s="15" t="s">
        <v>154</v>
      </c>
      <c r="AF75" s="12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6" t="s">
        <v>122</v>
      </c>
      <c r="B76" s="16" t="s">
        <v>41</v>
      </c>
      <c r="C76" s="16"/>
      <c r="D76" s="16"/>
      <c r="E76" s="16"/>
      <c r="F76" s="16"/>
      <c r="G76" s="17">
        <v>0</v>
      </c>
      <c r="H76" s="16">
        <v>40</v>
      </c>
      <c r="I76" s="16" t="s">
        <v>37</v>
      </c>
      <c r="J76" s="16"/>
      <c r="K76" s="16">
        <f t="shared" si="18"/>
        <v>0</v>
      </c>
      <c r="L76" s="16">
        <f t="shared" si="19"/>
        <v>0</v>
      </c>
      <c r="M76" s="16"/>
      <c r="N76" s="16">
        <v>0</v>
      </c>
      <c r="O76" s="16">
        <f t="shared" si="20"/>
        <v>0</v>
      </c>
      <c r="P76" s="18"/>
      <c r="Q76" s="18"/>
      <c r="R76" s="16"/>
      <c r="S76" s="16" t="e">
        <f t="shared" si="21"/>
        <v>#DIV/0!</v>
      </c>
      <c r="T76" s="16" t="e">
        <f t="shared" si="22"/>
        <v>#DIV/0!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 t="s">
        <v>123</v>
      </c>
      <c r="AF76" s="16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124</v>
      </c>
      <c r="B77" s="1" t="s">
        <v>41</v>
      </c>
      <c r="C77" s="1">
        <v>8</v>
      </c>
      <c r="D77" s="1">
        <v>19</v>
      </c>
      <c r="E77" s="1"/>
      <c r="F77" s="1">
        <v>19</v>
      </c>
      <c r="G77" s="7">
        <v>0.2</v>
      </c>
      <c r="H77" s="1">
        <v>35</v>
      </c>
      <c r="I77" s="1" t="s">
        <v>37</v>
      </c>
      <c r="J77" s="1">
        <v>1</v>
      </c>
      <c r="K77" s="1">
        <f t="shared" si="18"/>
        <v>-1</v>
      </c>
      <c r="L77" s="1">
        <f t="shared" si="19"/>
        <v>0</v>
      </c>
      <c r="M77" s="1"/>
      <c r="N77" s="1">
        <v>10.4</v>
      </c>
      <c r="O77" s="1">
        <f t="shared" si="20"/>
        <v>0</v>
      </c>
      <c r="P77" s="5"/>
      <c r="Q77" s="5"/>
      <c r="R77" s="1"/>
      <c r="S77" s="1" t="e">
        <f t="shared" si="21"/>
        <v>#DIV/0!</v>
      </c>
      <c r="T77" s="1" t="e">
        <f t="shared" si="22"/>
        <v>#DIV/0!</v>
      </c>
      <c r="U77" s="1">
        <v>2.6</v>
      </c>
      <c r="V77" s="1">
        <v>2.6</v>
      </c>
      <c r="W77" s="1">
        <v>0.4</v>
      </c>
      <c r="X77" s="1">
        <v>0.4</v>
      </c>
      <c r="Y77" s="1">
        <v>0</v>
      </c>
      <c r="Z77" s="1">
        <v>0</v>
      </c>
      <c r="AA77" s="1">
        <v>1.8</v>
      </c>
      <c r="AB77" s="1">
        <v>1.8</v>
      </c>
      <c r="AC77" s="1">
        <v>0</v>
      </c>
      <c r="AD77" s="1">
        <v>0</v>
      </c>
      <c r="AE77" s="21" t="s">
        <v>158</v>
      </c>
      <c r="AF77" s="1">
        <f>G77*P77</f>
        <v>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125</v>
      </c>
      <c r="B78" s="1" t="s">
        <v>36</v>
      </c>
      <c r="C78" s="1">
        <v>4355.8919999999998</v>
      </c>
      <c r="D78" s="1">
        <v>1262.1099999999999</v>
      </c>
      <c r="E78" s="1">
        <v>2746.009</v>
      </c>
      <c r="F78" s="1">
        <v>2512.1880000000001</v>
      </c>
      <c r="G78" s="7">
        <v>1</v>
      </c>
      <c r="H78" s="1">
        <v>60</v>
      </c>
      <c r="I78" s="1" t="s">
        <v>37</v>
      </c>
      <c r="J78" s="1">
        <v>2750.17</v>
      </c>
      <c r="K78" s="1">
        <f t="shared" si="18"/>
        <v>-4.1610000000000582</v>
      </c>
      <c r="L78" s="1">
        <f t="shared" si="19"/>
        <v>2705.3789999999999</v>
      </c>
      <c r="M78" s="1">
        <v>40.630000000000003</v>
      </c>
      <c r="N78" s="1">
        <v>0</v>
      </c>
      <c r="O78" s="1">
        <f t="shared" si="20"/>
        <v>541.07579999999996</v>
      </c>
      <c r="P78" s="5">
        <f t="shared" ref="P78:P79" si="23">9*O78-N78-F78</f>
        <v>2357.4941999999992</v>
      </c>
      <c r="Q78" s="5"/>
      <c r="R78" s="1"/>
      <c r="S78" s="1">
        <f t="shared" si="21"/>
        <v>9</v>
      </c>
      <c r="T78" s="1">
        <f t="shared" si="22"/>
        <v>4.6429502114121535</v>
      </c>
      <c r="U78" s="1">
        <v>395.20519999999999</v>
      </c>
      <c r="V78" s="1">
        <v>385.33859999999999</v>
      </c>
      <c r="W78" s="1">
        <v>527.70839999999998</v>
      </c>
      <c r="X78" s="1">
        <v>533.19940000000008</v>
      </c>
      <c r="Y78" s="1">
        <v>391.99459999999999</v>
      </c>
      <c r="Z78" s="1">
        <v>409.6884</v>
      </c>
      <c r="AA78" s="1">
        <v>348.62119999999999</v>
      </c>
      <c r="AB78" s="1">
        <v>432.40300000000002</v>
      </c>
      <c r="AC78" s="1">
        <v>542.8972</v>
      </c>
      <c r="AD78" s="1">
        <v>477.96379999999999</v>
      </c>
      <c r="AE78" s="10" t="s">
        <v>60</v>
      </c>
      <c r="AF78" s="1">
        <f>G78*P78</f>
        <v>2357.4941999999992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126</v>
      </c>
      <c r="B79" s="1" t="s">
        <v>36</v>
      </c>
      <c r="C79" s="1">
        <v>1984.606</v>
      </c>
      <c r="D79" s="1">
        <v>879.41</v>
      </c>
      <c r="E79" s="1">
        <v>1317.1179999999999</v>
      </c>
      <c r="F79" s="1">
        <v>1400.1110000000001</v>
      </c>
      <c r="G79" s="7">
        <v>1</v>
      </c>
      <c r="H79" s="1">
        <v>60</v>
      </c>
      <c r="I79" s="1" t="s">
        <v>37</v>
      </c>
      <c r="J79" s="1">
        <v>1324.45</v>
      </c>
      <c r="K79" s="1">
        <f t="shared" si="18"/>
        <v>-7.3320000000001073</v>
      </c>
      <c r="L79" s="1">
        <f t="shared" si="19"/>
        <v>1257.623</v>
      </c>
      <c r="M79" s="1">
        <v>59.494999999999997</v>
      </c>
      <c r="N79" s="1">
        <v>0</v>
      </c>
      <c r="O79" s="1">
        <f t="shared" si="20"/>
        <v>251.52460000000002</v>
      </c>
      <c r="P79" s="5">
        <f t="shared" si="23"/>
        <v>863.61040000000025</v>
      </c>
      <c r="Q79" s="5"/>
      <c r="R79" s="1"/>
      <c r="S79" s="1">
        <f t="shared" si="21"/>
        <v>9</v>
      </c>
      <c r="T79" s="1">
        <f t="shared" si="22"/>
        <v>5.5664972730301532</v>
      </c>
      <c r="U79" s="1">
        <v>167.60140000000001</v>
      </c>
      <c r="V79" s="1">
        <v>175.3792</v>
      </c>
      <c r="W79" s="1">
        <v>233.99199999999999</v>
      </c>
      <c r="X79" s="1">
        <v>239.4606</v>
      </c>
      <c r="Y79" s="1">
        <v>231.31639999999999</v>
      </c>
      <c r="Z79" s="1">
        <v>176.95740000000001</v>
      </c>
      <c r="AA79" s="1">
        <v>193.71940000000001</v>
      </c>
      <c r="AB79" s="1">
        <v>147.5848</v>
      </c>
      <c r="AC79" s="1">
        <v>153.77279999999999</v>
      </c>
      <c r="AD79" s="1">
        <v>228.53399999999999</v>
      </c>
      <c r="AE79" s="1" t="s">
        <v>62</v>
      </c>
      <c r="AF79" s="1">
        <f>G79*P79</f>
        <v>863.61040000000025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2" t="s">
        <v>127</v>
      </c>
      <c r="B80" s="12" t="s">
        <v>36</v>
      </c>
      <c r="C80" s="12"/>
      <c r="D80" s="12"/>
      <c r="E80" s="12">
        <v>2.492</v>
      </c>
      <c r="F80" s="12">
        <v>-2.492</v>
      </c>
      <c r="G80" s="13">
        <v>0</v>
      </c>
      <c r="H80" s="12" t="e">
        <v>#N/A</v>
      </c>
      <c r="I80" s="12" t="s">
        <v>42</v>
      </c>
      <c r="J80" s="12"/>
      <c r="K80" s="12">
        <f t="shared" si="18"/>
        <v>2.492</v>
      </c>
      <c r="L80" s="12">
        <f t="shared" si="19"/>
        <v>2.492</v>
      </c>
      <c r="M80" s="12"/>
      <c r="N80" s="12">
        <v>0</v>
      </c>
      <c r="O80" s="12">
        <f t="shared" si="20"/>
        <v>0.49840000000000001</v>
      </c>
      <c r="P80" s="14"/>
      <c r="Q80" s="14"/>
      <c r="R80" s="12"/>
      <c r="S80" s="12">
        <f t="shared" si="21"/>
        <v>-5</v>
      </c>
      <c r="T80" s="12">
        <f t="shared" si="22"/>
        <v>-5</v>
      </c>
      <c r="U80" s="12">
        <v>0</v>
      </c>
      <c r="V80" s="12">
        <v>0</v>
      </c>
      <c r="W80" s="12">
        <v>0.52060000000000006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/>
      <c r="AF80" s="12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128</v>
      </c>
      <c r="B81" s="1" t="s">
        <v>36</v>
      </c>
      <c r="C81" s="1">
        <v>1713.329</v>
      </c>
      <c r="D81" s="1">
        <v>1880.55</v>
      </c>
      <c r="E81" s="1">
        <v>2276.8429999999998</v>
      </c>
      <c r="F81" s="1">
        <v>1036.377</v>
      </c>
      <c r="G81" s="7">
        <v>1</v>
      </c>
      <c r="H81" s="1">
        <v>60</v>
      </c>
      <c r="I81" s="1" t="s">
        <v>37</v>
      </c>
      <c r="J81" s="1">
        <v>2341.7710000000002</v>
      </c>
      <c r="K81" s="1">
        <f t="shared" si="18"/>
        <v>-64.928000000000338</v>
      </c>
      <c r="L81" s="1">
        <f t="shared" si="19"/>
        <v>2276.8429999999998</v>
      </c>
      <c r="M81" s="1"/>
      <c r="N81" s="1">
        <v>249.66259999999991</v>
      </c>
      <c r="O81" s="1">
        <f t="shared" si="20"/>
        <v>455.36859999999996</v>
      </c>
      <c r="P81" s="5">
        <f>8.5*O81-N81-F81</f>
        <v>2584.5934999999995</v>
      </c>
      <c r="Q81" s="5"/>
      <c r="R81" s="1"/>
      <c r="S81" s="1">
        <f t="shared" si="21"/>
        <v>8.4999999999999982</v>
      </c>
      <c r="T81" s="1">
        <f t="shared" si="22"/>
        <v>2.8241727690490737</v>
      </c>
      <c r="U81" s="1">
        <v>290.72300000000001</v>
      </c>
      <c r="V81" s="1">
        <v>297.3904</v>
      </c>
      <c r="W81" s="1">
        <v>298.51600000000002</v>
      </c>
      <c r="X81" s="1">
        <v>258.31079999999997</v>
      </c>
      <c r="Y81" s="1">
        <v>164.2698</v>
      </c>
      <c r="Z81" s="1">
        <v>181.83359999999999</v>
      </c>
      <c r="AA81" s="1">
        <v>178.24760000000001</v>
      </c>
      <c r="AB81" s="1">
        <v>131.71719999999999</v>
      </c>
      <c r="AC81" s="1">
        <v>139.10040000000001</v>
      </c>
      <c r="AD81" s="1">
        <v>169.86619999999999</v>
      </c>
      <c r="AE81" s="1" t="s">
        <v>129</v>
      </c>
      <c r="AF81" s="1">
        <f t="shared" ref="AF81:AF96" si="24">G81*P81</f>
        <v>2584.5934999999995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130</v>
      </c>
      <c r="B82" s="1" t="s">
        <v>36</v>
      </c>
      <c r="C82" s="1">
        <v>1856.6980000000001</v>
      </c>
      <c r="D82" s="1">
        <v>2686.817</v>
      </c>
      <c r="E82" s="1">
        <v>3319.384</v>
      </c>
      <c r="F82" s="1">
        <v>986.06899999999996</v>
      </c>
      <c r="G82" s="7">
        <v>1</v>
      </c>
      <c r="H82" s="1">
        <v>60</v>
      </c>
      <c r="I82" s="1" t="s">
        <v>37</v>
      </c>
      <c r="J82" s="1">
        <v>3412.143</v>
      </c>
      <c r="K82" s="1">
        <f t="shared" si="18"/>
        <v>-92.759000000000015</v>
      </c>
      <c r="L82" s="1">
        <f t="shared" si="19"/>
        <v>3229.7550000000001</v>
      </c>
      <c r="M82" s="1">
        <v>89.629000000000005</v>
      </c>
      <c r="N82" s="1">
        <v>0</v>
      </c>
      <c r="O82" s="1">
        <f t="shared" si="20"/>
        <v>645.95100000000002</v>
      </c>
      <c r="P82" s="5">
        <f>7*O82-N82-F82</f>
        <v>3535.5880000000002</v>
      </c>
      <c r="Q82" s="5"/>
      <c r="R82" s="1"/>
      <c r="S82" s="1">
        <f t="shared" si="21"/>
        <v>7</v>
      </c>
      <c r="T82" s="1">
        <f t="shared" si="22"/>
        <v>1.5265383906828844</v>
      </c>
      <c r="U82" s="1">
        <v>176.8768</v>
      </c>
      <c r="V82" s="1">
        <v>131.86940000000001</v>
      </c>
      <c r="W82" s="1">
        <v>350.85899999999998</v>
      </c>
      <c r="X82" s="1">
        <v>321.74360000000001</v>
      </c>
      <c r="Y82" s="1">
        <v>675.32060000000001</v>
      </c>
      <c r="Z82" s="1">
        <v>735.18680000000006</v>
      </c>
      <c r="AA82" s="1">
        <v>514.34320000000002</v>
      </c>
      <c r="AB82" s="1">
        <v>549.89760000000001</v>
      </c>
      <c r="AC82" s="1">
        <v>591.75459999999998</v>
      </c>
      <c r="AD82" s="1">
        <v>640.66300000000001</v>
      </c>
      <c r="AE82" s="1"/>
      <c r="AF82" s="1">
        <f t="shared" si="24"/>
        <v>3535.5880000000002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131</v>
      </c>
      <c r="B83" s="1" t="s">
        <v>36</v>
      </c>
      <c r="C83" s="1">
        <v>32.235999999999997</v>
      </c>
      <c r="D83" s="1"/>
      <c r="E83" s="1">
        <v>1.335</v>
      </c>
      <c r="F83" s="1">
        <v>25.545000000000002</v>
      </c>
      <c r="G83" s="7">
        <v>1</v>
      </c>
      <c r="H83" s="1">
        <v>55</v>
      </c>
      <c r="I83" s="1" t="s">
        <v>37</v>
      </c>
      <c r="J83" s="1">
        <v>3.95</v>
      </c>
      <c r="K83" s="1">
        <f t="shared" si="18"/>
        <v>-2.6150000000000002</v>
      </c>
      <c r="L83" s="1">
        <f t="shared" si="19"/>
        <v>1.335</v>
      </c>
      <c r="M83" s="1"/>
      <c r="N83" s="1">
        <v>0</v>
      </c>
      <c r="O83" s="1">
        <f t="shared" si="20"/>
        <v>0.26700000000000002</v>
      </c>
      <c r="P83" s="5"/>
      <c r="Q83" s="5"/>
      <c r="R83" s="1"/>
      <c r="S83" s="1">
        <f t="shared" si="21"/>
        <v>95.674157303370791</v>
      </c>
      <c r="T83" s="1">
        <f t="shared" si="22"/>
        <v>95.674157303370791</v>
      </c>
      <c r="U83" s="1">
        <v>1.0716000000000001</v>
      </c>
      <c r="V83" s="1">
        <v>1.0716000000000001</v>
      </c>
      <c r="W83" s="1">
        <v>1.0642</v>
      </c>
      <c r="X83" s="1">
        <v>1.6112</v>
      </c>
      <c r="Y83" s="1">
        <v>0.8146000000000001</v>
      </c>
      <c r="Z83" s="1">
        <v>0.8103999999999999</v>
      </c>
      <c r="AA83" s="1">
        <v>0.8156000000000001</v>
      </c>
      <c r="AB83" s="1">
        <v>0.27279999999999999</v>
      </c>
      <c r="AC83" s="1">
        <v>0.27179999999999999</v>
      </c>
      <c r="AD83" s="1">
        <v>0.27179999999999999</v>
      </c>
      <c r="AE83" s="21" t="s">
        <v>159</v>
      </c>
      <c r="AF83" s="1">
        <f t="shared" si="24"/>
        <v>0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132</v>
      </c>
      <c r="B84" s="1" t="s">
        <v>36</v>
      </c>
      <c r="C84" s="1">
        <v>44.472000000000001</v>
      </c>
      <c r="D84" s="1"/>
      <c r="E84" s="1">
        <v>4.9089999999999998</v>
      </c>
      <c r="F84" s="1">
        <v>36.384999999999998</v>
      </c>
      <c r="G84" s="7">
        <v>1</v>
      </c>
      <c r="H84" s="1">
        <v>55</v>
      </c>
      <c r="I84" s="1" t="s">
        <v>37</v>
      </c>
      <c r="J84" s="1">
        <v>5.35</v>
      </c>
      <c r="K84" s="1">
        <f t="shared" si="18"/>
        <v>-0.44099999999999984</v>
      </c>
      <c r="L84" s="1">
        <f t="shared" si="19"/>
        <v>4.9089999999999998</v>
      </c>
      <c r="M84" s="1"/>
      <c r="N84" s="1">
        <v>0</v>
      </c>
      <c r="O84" s="1">
        <f t="shared" si="20"/>
        <v>0.98180000000000001</v>
      </c>
      <c r="P84" s="5"/>
      <c r="Q84" s="5"/>
      <c r="R84" s="1"/>
      <c r="S84" s="1">
        <f t="shared" si="21"/>
        <v>37.059482583010791</v>
      </c>
      <c r="T84" s="1">
        <f t="shared" si="22"/>
        <v>37.059482583010791</v>
      </c>
      <c r="U84" s="1">
        <v>1.0815999999999999</v>
      </c>
      <c r="V84" s="1">
        <v>1.0786</v>
      </c>
      <c r="W84" s="1">
        <v>1.6180000000000001</v>
      </c>
      <c r="X84" s="1">
        <v>3.4996</v>
      </c>
      <c r="Y84" s="1">
        <v>4.0282</v>
      </c>
      <c r="Z84" s="1">
        <v>2.1478000000000002</v>
      </c>
      <c r="AA84" s="1">
        <v>0.2702</v>
      </c>
      <c r="AB84" s="1">
        <v>1.0928</v>
      </c>
      <c r="AC84" s="1">
        <v>2.1669999999999998</v>
      </c>
      <c r="AD84" s="1">
        <v>1.88</v>
      </c>
      <c r="AE84" s="21" t="s">
        <v>160</v>
      </c>
      <c r="AF84" s="1">
        <f t="shared" si="24"/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133</v>
      </c>
      <c r="B85" s="1" t="s">
        <v>36</v>
      </c>
      <c r="C85" s="1">
        <v>5.52</v>
      </c>
      <c r="D85" s="1">
        <v>2.6160000000000001</v>
      </c>
      <c r="E85" s="1"/>
      <c r="F85" s="1"/>
      <c r="G85" s="7">
        <v>1</v>
      </c>
      <c r="H85" s="1">
        <v>55</v>
      </c>
      <c r="I85" s="1" t="s">
        <v>37</v>
      </c>
      <c r="J85" s="1">
        <v>1.3</v>
      </c>
      <c r="K85" s="1">
        <f t="shared" si="18"/>
        <v>-1.3</v>
      </c>
      <c r="L85" s="1">
        <f t="shared" si="19"/>
        <v>0</v>
      </c>
      <c r="M85" s="1"/>
      <c r="N85" s="1">
        <v>0</v>
      </c>
      <c r="O85" s="1">
        <f t="shared" si="20"/>
        <v>0</v>
      </c>
      <c r="P85" s="24">
        <f t="shared" ref="P85:P96" si="25">9*O85-N85-F85</f>
        <v>0</v>
      </c>
      <c r="Q85" s="5"/>
      <c r="R85" s="1"/>
      <c r="S85" s="1" t="e">
        <f t="shared" si="21"/>
        <v>#DIV/0!</v>
      </c>
      <c r="T85" s="1" t="e">
        <f t="shared" si="22"/>
        <v>#DIV/0!</v>
      </c>
      <c r="U85" s="1">
        <v>0.27200000000000002</v>
      </c>
      <c r="V85" s="1">
        <v>0.54200000000000004</v>
      </c>
      <c r="W85" s="1">
        <v>0.8076000000000001</v>
      </c>
      <c r="X85" s="1">
        <v>0.53760000000000008</v>
      </c>
      <c r="Y85" s="1">
        <v>0.187</v>
      </c>
      <c r="Z85" s="1">
        <v>0.45600000000000002</v>
      </c>
      <c r="AA85" s="1">
        <v>0.53579999999999994</v>
      </c>
      <c r="AB85" s="1">
        <v>0.26679999999999998</v>
      </c>
      <c r="AC85" s="1">
        <v>0.26600000000000001</v>
      </c>
      <c r="AD85" s="1">
        <v>0.53200000000000003</v>
      </c>
      <c r="AE85" s="23" t="s">
        <v>164</v>
      </c>
      <c r="AF85" s="1">
        <f t="shared" si="24"/>
        <v>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134</v>
      </c>
      <c r="B86" s="1" t="s">
        <v>36</v>
      </c>
      <c r="C86" s="1">
        <v>117.583</v>
      </c>
      <c r="D86" s="1">
        <v>24.28</v>
      </c>
      <c r="E86" s="1">
        <v>4.78</v>
      </c>
      <c r="F86" s="1">
        <v>137.083</v>
      </c>
      <c r="G86" s="7">
        <v>1</v>
      </c>
      <c r="H86" s="1">
        <v>60</v>
      </c>
      <c r="I86" s="1" t="s">
        <v>37</v>
      </c>
      <c r="J86" s="1">
        <v>16.8</v>
      </c>
      <c r="K86" s="1">
        <f t="shared" si="18"/>
        <v>-12.02</v>
      </c>
      <c r="L86" s="1">
        <f t="shared" si="19"/>
        <v>4.78</v>
      </c>
      <c r="M86" s="1"/>
      <c r="N86" s="1">
        <v>0</v>
      </c>
      <c r="O86" s="1">
        <f t="shared" si="20"/>
        <v>0.95600000000000007</v>
      </c>
      <c r="P86" s="5"/>
      <c r="Q86" s="5"/>
      <c r="R86" s="1"/>
      <c r="S86" s="1">
        <f t="shared" si="21"/>
        <v>143.39225941422592</v>
      </c>
      <c r="T86" s="1">
        <f t="shared" si="22"/>
        <v>143.39225941422592</v>
      </c>
      <c r="U86" s="1">
        <v>0</v>
      </c>
      <c r="V86" s="1">
        <v>0.1588</v>
      </c>
      <c r="W86" s="1">
        <v>12.1892</v>
      </c>
      <c r="X86" s="1">
        <v>12.1904</v>
      </c>
      <c r="Y86" s="1">
        <v>8.9773999999999994</v>
      </c>
      <c r="Z86" s="1">
        <v>8.817400000000001</v>
      </c>
      <c r="AA86" s="1">
        <v>3.0908000000000002</v>
      </c>
      <c r="AB86" s="1">
        <v>3.4098000000000002</v>
      </c>
      <c r="AC86" s="1">
        <v>0.48060000000000003</v>
      </c>
      <c r="AD86" s="1">
        <v>0.48459999999999998</v>
      </c>
      <c r="AE86" s="21" t="s">
        <v>161</v>
      </c>
      <c r="AF86" s="1">
        <f t="shared" si="24"/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135</v>
      </c>
      <c r="B87" s="1" t="s">
        <v>41</v>
      </c>
      <c r="C87" s="1">
        <v>18</v>
      </c>
      <c r="D87" s="1">
        <v>18</v>
      </c>
      <c r="E87" s="1">
        <v>4</v>
      </c>
      <c r="F87" s="1">
        <v>29</v>
      </c>
      <c r="G87" s="7">
        <v>0.3</v>
      </c>
      <c r="H87" s="1">
        <v>40</v>
      </c>
      <c r="I87" s="1" t="s">
        <v>37</v>
      </c>
      <c r="J87" s="1">
        <v>7</v>
      </c>
      <c r="K87" s="1">
        <f t="shared" si="18"/>
        <v>-3</v>
      </c>
      <c r="L87" s="1">
        <f t="shared" si="19"/>
        <v>4</v>
      </c>
      <c r="M87" s="1"/>
      <c r="N87" s="1">
        <v>6</v>
      </c>
      <c r="O87" s="1">
        <f t="shared" si="20"/>
        <v>0.8</v>
      </c>
      <c r="P87" s="5"/>
      <c r="Q87" s="5"/>
      <c r="R87" s="1"/>
      <c r="S87" s="1">
        <f t="shared" si="21"/>
        <v>43.75</v>
      </c>
      <c r="T87" s="1">
        <f t="shared" si="22"/>
        <v>43.75</v>
      </c>
      <c r="U87" s="1">
        <v>2.8</v>
      </c>
      <c r="V87" s="1">
        <v>3</v>
      </c>
      <c r="W87" s="1">
        <v>2.2000000000000002</v>
      </c>
      <c r="X87" s="1">
        <v>2.2000000000000002</v>
      </c>
      <c r="Y87" s="1">
        <v>2.8</v>
      </c>
      <c r="Z87" s="1">
        <v>3.2</v>
      </c>
      <c r="AA87" s="1">
        <v>2.8</v>
      </c>
      <c r="AB87" s="1">
        <v>2.2000000000000002</v>
      </c>
      <c r="AC87" s="1">
        <v>1.6</v>
      </c>
      <c r="AD87" s="1">
        <v>2.2000000000000002</v>
      </c>
      <c r="AE87" s="22" t="s">
        <v>101</v>
      </c>
      <c r="AF87" s="1">
        <f t="shared" si="24"/>
        <v>0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136</v>
      </c>
      <c r="B88" s="1" t="s">
        <v>41</v>
      </c>
      <c r="C88" s="1">
        <v>27</v>
      </c>
      <c r="D88" s="1">
        <v>9</v>
      </c>
      <c r="E88" s="1">
        <v>5</v>
      </c>
      <c r="F88" s="1">
        <v>23</v>
      </c>
      <c r="G88" s="7">
        <v>0.3</v>
      </c>
      <c r="H88" s="1">
        <v>40</v>
      </c>
      <c r="I88" s="1" t="s">
        <v>37</v>
      </c>
      <c r="J88" s="1">
        <v>7</v>
      </c>
      <c r="K88" s="1">
        <f t="shared" si="18"/>
        <v>-2</v>
      </c>
      <c r="L88" s="1">
        <f t="shared" si="19"/>
        <v>5</v>
      </c>
      <c r="M88" s="1"/>
      <c r="N88" s="1">
        <v>0</v>
      </c>
      <c r="O88" s="1">
        <f t="shared" si="20"/>
        <v>1</v>
      </c>
      <c r="P88" s="5"/>
      <c r="Q88" s="5"/>
      <c r="R88" s="1"/>
      <c r="S88" s="1">
        <f t="shared" si="21"/>
        <v>23</v>
      </c>
      <c r="T88" s="1">
        <f t="shared" si="22"/>
        <v>23</v>
      </c>
      <c r="U88" s="1">
        <v>2.4</v>
      </c>
      <c r="V88" s="1">
        <v>2.4</v>
      </c>
      <c r="W88" s="1">
        <v>1.4</v>
      </c>
      <c r="X88" s="1">
        <v>1.6</v>
      </c>
      <c r="Y88" s="1">
        <v>1.6</v>
      </c>
      <c r="Z88" s="1">
        <v>2</v>
      </c>
      <c r="AA88" s="1">
        <v>2.4</v>
      </c>
      <c r="AB88" s="1">
        <v>2.4</v>
      </c>
      <c r="AC88" s="1">
        <v>1.4</v>
      </c>
      <c r="AD88" s="1">
        <v>2</v>
      </c>
      <c r="AE88" s="21" t="s">
        <v>162</v>
      </c>
      <c r="AF88" s="1">
        <f t="shared" si="24"/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137</v>
      </c>
      <c r="B89" s="1" t="s">
        <v>41</v>
      </c>
      <c r="C89" s="1">
        <v>65</v>
      </c>
      <c r="D89" s="1">
        <v>92</v>
      </c>
      <c r="E89" s="1">
        <v>64</v>
      </c>
      <c r="F89" s="1">
        <v>79</v>
      </c>
      <c r="G89" s="7">
        <v>0.3</v>
      </c>
      <c r="H89" s="1">
        <v>40</v>
      </c>
      <c r="I89" s="1" t="s">
        <v>37</v>
      </c>
      <c r="J89" s="1">
        <v>84</v>
      </c>
      <c r="K89" s="1">
        <f t="shared" si="18"/>
        <v>-20</v>
      </c>
      <c r="L89" s="1">
        <f t="shared" si="19"/>
        <v>64</v>
      </c>
      <c r="M89" s="1"/>
      <c r="N89" s="1">
        <v>34.5</v>
      </c>
      <c r="O89" s="1">
        <f t="shared" si="20"/>
        <v>12.8</v>
      </c>
      <c r="P89" s="5"/>
      <c r="Q89" s="5"/>
      <c r="R89" s="1"/>
      <c r="S89" s="1">
        <f t="shared" si="21"/>
        <v>8.8671875</v>
      </c>
      <c r="T89" s="1">
        <f t="shared" si="22"/>
        <v>8.8671875</v>
      </c>
      <c r="U89" s="1">
        <v>15</v>
      </c>
      <c r="V89" s="1">
        <v>15</v>
      </c>
      <c r="W89" s="1">
        <v>9</v>
      </c>
      <c r="X89" s="1">
        <v>9.1999999999999993</v>
      </c>
      <c r="Y89" s="1">
        <v>13.4</v>
      </c>
      <c r="Z89" s="1">
        <v>12.4</v>
      </c>
      <c r="AA89" s="1">
        <v>13.8</v>
      </c>
      <c r="AB89" s="1">
        <v>17.399999999999999</v>
      </c>
      <c r="AC89" s="1">
        <v>14.4</v>
      </c>
      <c r="AD89" s="1">
        <v>15.4</v>
      </c>
      <c r="AE89" s="1"/>
      <c r="AF89" s="1">
        <f t="shared" si="24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138</v>
      </c>
      <c r="B90" s="1" t="s">
        <v>36</v>
      </c>
      <c r="C90" s="1">
        <v>21.6</v>
      </c>
      <c r="D90" s="1"/>
      <c r="E90" s="1">
        <v>5.4020000000000001</v>
      </c>
      <c r="F90" s="1">
        <v>16.198</v>
      </c>
      <c r="G90" s="7">
        <v>1</v>
      </c>
      <c r="H90" s="1">
        <v>50</v>
      </c>
      <c r="I90" s="1" t="s">
        <v>37</v>
      </c>
      <c r="J90" s="1">
        <v>5.0999999999999996</v>
      </c>
      <c r="K90" s="1">
        <f t="shared" si="18"/>
        <v>0.30200000000000049</v>
      </c>
      <c r="L90" s="1">
        <f t="shared" si="19"/>
        <v>5.4020000000000001</v>
      </c>
      <c r="M90" s="1"/>
      <c r="N90" s="1">
        <v>0</v>
      </c>
      <c r="O90" s="1">
        <f t="shared" si="20"/>
        <v>1.0804</v>
      </c>
      <c r="P90" s="5"/>
      <c r="Q90" s="5"/>
      <c r="R90" s="1"/>
      <c r="S90" s="1">
        <f t="shared" si="21"/>
        <v>14.992595335061088</v>
      </c>
      <c r="T90" s="1">
        <f t="shared" si="22"/>
        <v>14.992595335061088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21" t="s">
        <v>163</v>
      </c>
      <c r="AF90" s="1">
        <f t="shared" si="24"/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140</v>
      </c>
      <c r="B91" s="1" t="s">
        <v>41</v>
      </c>
      <c r="C91" s="1">
        <v>84</v>
      </c>
      <c r="D91" s="1"/>
      <c r="E91" s="1">
        <v>46</v>
      </c>
      <c r="F91" s="1">
        <v>33</v>
      </c>
      <c r="G91" s="7">
        <v>0.05</v>
      </c>
      <c r="H91" s="1">
        <v>120</v>
      </c>
      <c r="I91" s="1" t="s">
        <v>37</v>
      </c>
      <c r="J91" s="1">
        <v>48</v>
      </c>
      <c r="K91" s="1">
        <f t="shared" si="18"/>
        <v>-2</v>
      </c>
      <c r="L91" s="1">
        <f t="shared" si="19"/>
        <v>46</v>
      </c>
      <c r="M91" s="1"/>
      <c r="N91" s="1">
        <v>0</v>
      </c>
      <c r="O91" s="1">
        <f t="shared" si="20"/>
        <v>9.1999999999999993</v>
      </c>
      <c r="P91" s="5">
        <f t="shared" si="25"/>
        <v>49.8</v>
      </c>
      <c r="Q91" s="5"/>
      <c r="R91" s="1"/>
      <c r="S91" s="1">
        <f t="shared" si="21"/>
        <v>9</v>
      </c>
      <c r="T91" s="1">
        <f t="shared" si="22"/>
        <v>3.5869565217391308</v>
      </c>
      <c r="U91" s="1">
        <v>3.8</v>
      </c>
      <c r="V91" s="1">
        <v>0.8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 t="s">
        <v>139</v>
      </c>
      <c r="AF91" s="1">
        <f t="shared" si="24"/>
        <v>2.4900000000000002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141</v>
      </c>
      <c r="B92" s="1" t="s">
        <v>36</v>
      </c>
      <c r="C92" s="1">
        <v>7697.8670000000002</v>
      </c>
      <c r="D92" s="1">
        <v>1066.8520000000001</v>
      </c>
      <c r="E92" s="1">
        <v>5234.8530000000001</v>
      </c>
      <c r="F92" s="1">
        <v>2825.1289999999999</v>
      </c>
      <c r="G92" s="7">
        <v>1</v>
      </c>
      <c r="H92" s="1">
        <v>40</v>
      </c>
      <c r="I92" s="1" t="s">
        <v>37</v>
      </c>
      <c r="J92" s="1">
        <v>5030.53</v>
      </c>
      <c r="K92" s="1">
        <f t="shared" si="18"/>
        <v>204.32300000000032</v>
      </c>
      <c r="L92" s="1">
        <f t="shared" si="19"/>
        <v>4923.7830000000004</v>
      </c>
      <c r="M92" s="1">
        <v>311.07</v>
      </c>
      <c r="N92" s="1">
        <v>869.78499999999985</v>
      </c>
      <c r="O92" s="1">
        <f t="shared" si="20"/>
        <v>984.75660000000005</v>
      </c>
      <c r="P92" s="5">
        <f t="shared" si="25"/>
        <v>5167.8954000000003</v>
      </c>
      <c r="Q92" s="5"/>
      <c r="R92" s="1"/>
      <c r="S92" s="1">
        <f t="shared" si="21"/>
        <v>9</v>
      </c>
      <c r="T92" s="1">
        <f t="shared" si="22"/>
        <v>3.7521088967568224</v>
      </c>
      <c r="U92" s="1">
        <v>746.59719999999993</v>
      </c>
      <c r="V92" s="1">
        <v>732.85320000000002</v>
      </c>
      <c r="W92" s="1">
        <v>833.77319999999997</v>
      </c>
      <c r="X92" s="1">
        <v>852.93179999999995</v>
      </c>
      <c r="Y92" s="1">
        <v>1290.4069999999999</v>
      </c>
      <c r="Z92" s="1">
        <v>1456.4558</v>
      </c>
      <c r="AA92" s="1">
        <v>1056.0206000000001</v>
      </c>
      <c r="AB92" s="1">
        <v>1007.1074</v>
      </c>
      <c r="AC92" s="1">
        <v>1297.9582</v>
      </c>
      <c r="AD92" s="1">
        <v>1238.9282000000001</v>
      </c>
      <c r="AE92" s="10" t="s">
        <v>60</v>
      </c>
      <c r="AF92" s="1">
        <f t="shared" si="24"/>
        <v>5167.8954000000003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142</v>
      </c>
      <c r="B93" s="1" t="s">
        <v>41</v>
      </c>
      <c r="C93" s="1">
        <v>134</v>
      </c>
      <c r="D93" s="1">
        <v>102</v>
      </c>
      <c r="E93" s="1">
        <v>188</v>
      </c>
      <c r="F93" s="1">
        <v>29</v>
      </c>
      <c r="G93" s="7">
        <v>0.3</v>
      </c>
      <c r="H93" s="1">
        <v>40</v>
      </c>
      <c r="I93" s="1" t="s">
        <v>37</v>
      </c>
      <c r="J93" s="1">
        <v>211</v>
      </c>
      <c r="K93" s="1">
        <f t="shared" si="18"/>
        <v>-23</v>
      </c>
      <c r="L93" s="1">
        <f t="shared" si="19"/>
        <v>188</v>
      </c>
      <c r="M93" s="1"/>
      <c r="N93" s="1">
        <v>0</v>
      </c>
      <c r="O93" s="1">
        <f t="shared" si="20"/>
        <v>37.6</v>
      </c>
      <c r="P93" s="5">
        <f>7*O93-N93-F93</f>
        <v>234.2</v>
      </c>
      <c r="Q93" s="5"/>
      <c r="R93" s="1"/>
      <c r="S93" s="1">
        <f t="shared" si="21"/>
        <v>6.9999999999999991</v>
      </c>
      <c r="T93" s="1">
        <f t="shared" si="22"/>
        <v>0.77127659574468077</v>
      </c>
      <c r="U93" s="1">
        <v>5.6</v>
      </c>
      <c r="V93" s="1">
        <v>2.8</v>
      </c>
      <c r="W93" s="1">
        <v>21.8</v>
      </c>
      <c r="X93" s="1">
        <v>25.2</v>
      </c>
      <c r="Y93" s="1">
        <v>26.6</v>
      </c>
      <c r="Z93" s="1">
        <v>25.2</v>
      </c>
      <c r="AA93" s="1">
        <v>26.8</v>
      </c>
      <c r="AB93" s="1">
        <v>28</v>
      </c>
      <c r="AC93" s="1">
        <v>26.8</v>
      </c>
      <c r="AD93" s="1">
        <v>31.2</v>
      </c>
      <c r="AE93" s="1" t="s">
        <v>143</v>
      </c>
      <c r="AF93" s="1">
        <f t="shared" si="24"/>
        <v>70.259999999999991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144</v>
      </c>
      <c r="B94" s="1" t="s">
        <v>41</v>
      </c>
      <c r="C94" s="1">
        <v>88</v>
      </c>
      <c r="D94" s="1">
        <v>168</v>
      </c>
      <c r="E94" s="1">
        <v>88</v>
      </c>
      <c r="F94" s="1">
        <v>129</v>
      </c>
      <c r="G94" s="7">
        <v>0.3</v>
      </c>
      <c r="H94" s="1">
        <v>40</v>
      </c>
      <c r="I94" s="1" t="s">
        <v>37</v>
      </c>
      <c r="J94" s="1">
        <v>124</v>
      </c>
      <c r="K94" s="1">
        <f t="shared" si="18"/>
        <v>-36</v>
      </c>
      <c r="L94" s="1">
        <f t="shared" si="19"/>
        <v>88</v>
      </c>
      <c r="M94" s="1"/>
      <c r="N94" s="1">
        <v>52.800000000000011</v>
      </c>
      <c r="O94" s="1">
        <f t="shared" si="20"/>
        <v>17.600000000000001</v>
      </c>
      <c r="P94" s="5"/>
      <c r="Q94" s="5"/>
      <c r="R94" s="1"/>
      <c r="S94" s="1">
        <f t="shared" si="21"/>
        <v>10.329545454545455</v>
      </c>
      <c r="T94" s="1">
        <f t="shared" si="22"/>
        <v>10.329545454545455</v>
      </c>
      <c r="U94" s="1">
        <v>23.8</v>
      </c>
      <c r="V94" s="1">
        <v>25</v>
      </c>
      <c r="W94" s="1">
        <v>16.8</v>
      </c>
      <c r="X94" s="1">
        <v>17</v>
      </c>
      <c r="Y94" s="1">
        <v>21</v>
      </c>
      <c r="Z94" s="1">
        <v>21</v>
      </c>
      <c r="AA94" s="1">
        <v>20</v>
      </c>
      <c r="AB94" s="1">
        <v>21.2</v>
      </c>
      <c r="AC94" s="1">
        <v>20.2</v>
      </c>
      <c r="AD94" s="1">
        <v>18</v>
      </c>
      <c r="AE94" s="1" t="s">
        <v>145</v>
      </c>
      <c r="AF94" s="1">
        <f t="shared" si="24"/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146</v>
      </c>
      <c r="B95" s="1" t="s">
        <v>36</v>
      </c>
      <c r="C95" s="1">
        <v>30.023</v>
      </c>
      <c r="D95" s="1">
        <v>24.939</v>
      </c>
      <c r="E95" s="1">
        <v>19.39</v>
      </c>
      <c r="F95" s="1">
        <v>28.826000000000001</v>
      </c>
      <c r="G95" s="7">
        <v>1</v>
      </c>
      <c r="H95" s="1">
        <v>45</v>
      </c>
      <c r="I95" s="1" t="s">
        <v>37</v>
      </c>
      <c r="J95" s="1">
        <v>19.05</v>
      </c>
      <c r="K95" s="1">
        <f t="shared" si="18"/>
        <v>0.33999999999999986</v>
      </c>
      <c r="L95" s="1">
        <f t="shared" si="19"/>
        <v>19.39</v>
      </c>
      <c r="M95" s="1"/>
      <c r="N95" s="1">
        <v>15.668799999999999</v>
      </c>
      <c r="O95" s="1">
        <f t="shared" si="20"/>
        <v>3.8780000000000001</v>
      </c>
      <c r="P95" s="5"/>
      <c r="Q95" s="5"/>
      <c r="R95" s="1"/>
      <c r="S95" s="1">
        <f t="shared" si="21"/>
        <v>11.473646209386281</v>
      </c>
      <c r="T95" s="1">
        <f t="shared" si="22"/>
        <v>11.473646209386281</v>
      </c>
      <c r="U95" s="1">
        <v>4.3487999999999998</v>
      </c>
      <c r="V95" s="1">
        <v>4.0377999999999998</v>
      </c>
      <c r="W95" s="1">
        <v>4.2898000000000014</v>
      </c>
      <c r="X95" s="1">
        <v>3.4994000000000001</v>
      </c>
      <c r="Y95" s="1">
        <v>4.0082000000000004</v>
      </c>
      <c r="Z95" s="1">
        <v>3.9998</v>
      </c>
      <c r="AA95" s="1">
        <v>1.0733999999999999</v>
      </c>
      <c r="AB95" s="1">
        <v>2.4333999999999998</v>
      </c>
      <c r="AC95" s="1">
        <v>3.2648000000000001</v>
      </c>
      <c r="AD95" s="1">
        <v>3.2709999999999999</v>
      </c>
      <c r="AE95" s="1" t="s">
        <v>147</v>
      </c>
      <c r="AF95" s="1">
        <f t="shared" si="24"/>
        <v>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148</v>
      </c>
      <c r="B96" s="1" t="s">
        <v>41</v>
      </c>
      <c r="C96" s="1">
        <v>16</v>
      </c>
      <c r="D96" s="1">
        <v>12</v>
      </c>
      <c r="E96" s="1">
        <v>11</v>
      </c>
      <c r="F96" s="1">
        <v>15</v>
      </c>
      <c r="G96" s="7">
        <v>0.33</v>
      </c>
      <c r="H96" s="1">
        <v>40</v>
      </c>
      <c r="I96" s="1" t="s">
        <v>37</v>
      </c>
      <c r="J96" s="1">
        <v>11</v>
      </c>
      <c r="K96" s="1">
        <f t="shared" si="18"/>
        <v>0</v>
      </c>
      <c r="L96" s="1">
        <f t="shared" si="19"/>
        <v>11</v>
      </c>
      <c r="M96" s="1"/>
      <c r="N96" s="1">
        <v>0</v>
      </c>
      <c r="O96" s="1">
        <f t="shared" si="20"/>
        <v>2.2000000000000002</v>
      </c>
      <c r="P96" s="5">
        <f t="shared" si="25"/>
        <v>4.8000000000000007</v>
      </c>
      <c r="Q96" s="5"/>
      <c r="R96" s="1"/>
      <c r="S96" s="1">
        <f t="shared" si="21"/>
        <v>9</v>
      </c>
      <c r="T96" s="1">
        <f t="shared" si="22"/>
        <v>6.8181818181818175</v>
      </c>
      <c r="U96" s="1">
        <v>1.6</v>
      </c>
      <c r="V96" s="1">
        <v>1.6</v>
      </c>
      <c r="W96" s="1">
        <v>1</v>
      </c>
      <c r="X96" s="1">
        <v>1</v>
      </c>
      <c r="Y96" s="1">
        <v>2</v>
      </c>
      <c r="Z96" s="1">
        <v>2.2000000000000002</v>
      </c>
      <c r="AA96" s="1">
        <v>1.2</v>
      </c>
      <c r="AB96" s="1">
        <v>1.4</v>
      </c>
      <c r="AC96" s="1">
        <v>1.8</v>
      </c>
      <c r="AD96" s="1">
        <v>2.4</v>
      </c>
      <c r="AE96" s="1"/>
      <c r="AF96" s="1">
        <f t="shared" si="24"/>
        <v>1.5840000000000003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2" t="s">
        <v>149</v>
      </c>
      <c r="B97" s="12" t="s">
        <v>41</v>
      </c>
      <c r="C97" s="12">
        <v>5</v>
      </c>
      <c r="D97" s="12"/>
      <c r="E97" s="12"/>
      <c r="F97" s="12"/>
      <c r="G97" s="13">
        <v>0</v>
      </c>
      <c r="H97" s="12">
        <v>50</v>
      </c>
      <c r="I97" s="12" t="s">
        <v>42</v>
      </c>
      <c r="J97" s="12">
        <v>6</v>
      </c>
      <c r="K97" s="12">
        <f t="shared" si="18"/>
        <v>-6</v>
      </c>
      <c r="L97" s="12">
        <f t="shared" si="19"/>
        <v>0</v>
      </c>
      <c r="M97" s="12"/>
      <c r="N97" s="12">
        <v>0</v>
      </c>
      <c r="O97" s="12">
        <f t="shared" si="20"/>
        <v>0</v>
      </c>
      <c r="P97" s="14"/>
      <c r="Q97" s="14"/>
      <c r="R97" s="12"/>
      <c r="S97" s="12" t="e">
        <f t="shared" si="21"/>
        <v>#DIV/0!</v>
      </c>
      <c r="T97" s="12" t="e">
        <f t="shared" si="22"/>
        <v>#DIV/0!</v>
      </c>
      <c r="U97" s="12">
        <v>-0.2</v>
      </c>
      <c r="V97" s="12">
        <v>-0.2</v>
      </c>
      <c r="W97" s="12">
        <v>0.4</v>
      </c>
      <c r="X97" s="12">
        <v>0.4</v>
      </c>
      <c r="Y97" s="12">
        <v>-0.2</v>
      </c>
      <c r="Z97" s="12">
        <v>0</v>
      </c>
      <c r="AA97" s="12">
        <v>0.8</v>
      </c>
      <c r="AB97" s="12">
        <v>0.6</v>
      </c>
      <c r="AC97" s="12">
        <v>0.2</v>
      </c>
      <c r="AD97" s="12">
        <v>0.4</v>
      </c>
      <c r="AE97" s="15" t="s">
        <v>154</v>
      </c>
      <c r="AF97" s="12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150</v>
      </c>
      <c r="B98" s="1" t="s">
        <v>41</v>
      </c>
      <c r="C98" s="1">
        <v>45</v>
      </c>
      <c r="D98" s="1"/>
      <c r="E98" s="1">
        <v>9</v>
      </c>
      <c r="F98" s="1">
        <v>32</v>
      </c>
      <c r="G98" s="7">
        <v>0.3</v>
      </c>
      <c r="H98" s="1">
        <v>40</v>
      </c>
      <c r="I98" s="1" t="s">
        <v>37</v>
      </c>
      <c r="J98" s="1">
        <v>11</v>
      </c>
      <c r="K98" s="1">
        <f t="shared" si="18"/>
        <v>-2</v>
      </c>
      <c r="L98" s="1">
        <f t="shared" si="19"/>
        <v>9</v>
      </c>
      <c r="M98" s="1"/>
      <c r="N98" s="1">
        <v>0</v>
      </c>
      <c r="O98" s="1">
        <f t="shared" si="20"/>
        <v>1.8</v>
      </c>
      <c r="P98" s="5"/>
      <c r="Q98" s="5"/>
      <c r="R98" s="1"/>
      <c r="S98" s="1">
        <f t="shared" si="21"/>
        <v>17.777777777777779</v>
      </c>
      <c r="T98" s="1">
        <f t="shared" si="22"/>
        <v>17.777777777777779</v>
      </c>
      <c r="U98" s="1">
        <v>1.4</v>
      </c>
      <c r="V98" s="1">
        <v>2</v>
      </c>
      <c r="W98" s="1">
        <v>3</v>
      </c>
      <c r="X98" s="1">
        <v>3.2</v>
      </c>
      <c r="Y98" s="1">
        <v>1.2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21" t="s">
        <v>163</v>
      </c>
      <c r="AF98" s="1">
        <f>G98*P98</f>
        <v>0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2" t="s">
        <v>151</v>
      </c>
      <c r="B99" s="12" t="s">
        <v>41</v>
      </c>
      <c r="C99" s="12">
        <v>372</v>
      </c>
      <c r="D99" s="12"/>
      <c r="E99" s="12">
        <v>345</v>
      </c>
      <c r="F99" s="12">
        <v>8</v>
      </c>
      <c r="G99" s="13">
        <v>0</v>
      </c>
      <c r="H99" s="12" t="e">
        <v>#N/A</v>
      </c>
      <c r="I99" s="12" t="s">
        <v>42</v>
      </c>
      <c r="J99" s="12">
        <v>456</v>
      </c>
      <c r="K99" s="12">
        <f t="shared" si="18"/>
        <v>-111</v>
      </c>
      <c r="L99" s="12">
        <f t="shared" si="19"/>
        <v>345</v>
      </c>
      <c r="M99" s="12"/>
      <c r="N99" s="12">
        <v>0</v>
      </c>
      <c r="O99" s="12">
        <f t="shared" si="20"/>
        <v>69</v>
      </c>
      <c r="P99" s="14"/>
      <c r="Q99" s="14"/>
      <c r="R99" s="12"/>
      <c r="S99" s="12">
        <f t="shared" si="21"/>
        <v>0.11594202898550725</v>
      </c>
      <c r="T99" s="12">
        <f t="shared" si="22"/>
        <v>0.11594202898550725</v>
      </c>
      <c r="U99" s="12">
        <v>58</v>
      </c>
      <c r="V99" s="12">
        <v>2.8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 t="s">
        <v>152</v>
      </c>
      <c r="AF99" s="12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20" t="s">
        <v>153</v>
      </c>
      <c r="B100" s="1" t="s">
        <v>41</v>
      </c>
      <c r="C100" s="1"/>
      <c r="D100" s="1"/>
      <c r="E100" s="1"/>
      <c r="F100" s="1"/>
      <c r="G100" s="7">
        <v>0.12</v>
      </c>
      <c r="H100" s="1">
        <v>45</v>
      </c>
      <c r="I100" s="1" t="s">
        <v>37</v>
      </c>
      <c r="J100" s="1"/>
      <c r="K100" s="1">
        <f t="shared" si="18"/>
        <v>0</v>
      </c>
      <c r="L100" s="1">
        <f t="shared" si="19"/>
        <v>0</v>
      </c>
      <c r="M100" s="1"/>
      <c r="N100" s="1">
        <v>110</v>
      </c>
      <c r="O100" s="1">
        <f t="shared" si="20"/>
        <v>0</v>
      </c>
      <c r="P100" s="5"/>
      <c r="Q100" s="5"/>
      <c r="R100" s="1"/>
      <c r="S100" s="1" t="e">
        <f t="shared" si="21"/>
        <v>#DIV/0!</v>
      </c>
      <c r="T100" s="1" t="e">
        <f t="shared" si="22"/>
        <v>#DIV/0!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 t="s">
        <v>139</v>
      </c>
      <c r="AF100" s="1">
        <f>G100*P100</f>
        <v>0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F100" xr:uid="{B2BF6F55-8528-4875-9AC4-6FA89451DC31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2025-04-16T13:37:35Z</dcterms:created>
  <dcterms:modified xsi:type="dcterms:W3CDTF">2025-04-16T14:03:40Z</dcterms:modified>
</cp:coreProperties>
</file>