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F8F2CF42-8CDA-4BB0-ABCB-4185965B6D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Y261" i="1" s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Y149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Y128" i="1" s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102" i="1" s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Z193" i="1" l="1"/>
  <c r="F9" i="1"/>
  <c r="J9" i="1"/>
  <c r="F10" i="1"/>
  <c r="Z22" i="1"/>
  <c r="BN22" i="1"/>
  <c r="BP22" i="1"/>
  <c r="Z26" i="1"/>
  <c r="BN26" i="1"/>
  <c r="X595" i="1"/>
  <c r="Y29" i="1"/>
  <c r="C601" i="1"/>
  <c r="Z38" i="1"/>
  <c r="BN38" i="1"/>
  <c r="BP38" i="1"/>
  <c r="Z40" i="1"/>
  <c r="Z41" i="1" s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Z62" i="1" s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Z102" i="1" s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BN120" i="1"/>
  <c r="BP120" i="1"/>
  <c r="Z123" i="1"/>
  <c r="Z128" i="1" s="1"/>
  <c r="BN123" i="1"/>
  <c r="Z124" i="1"/>
  <c r="BN124" i="1"/>
  <c r="Z126" i="1"/>
  <c r="BN126" i="1"/>
  <c r="Z132" i="1"/>
  <c r="Z133" i="1" s="1"/>
  <c r="BN132" i="1"/>
  <c r="BP132" i="1"/>
  <c r="Z137" i="1"/>
  <c r="Z139" i="1" s="1"/>
  <c r="BN137" i="1"/>
  <c r="BP137" i="1"/>
  <c r="Y140" i="1"/>
  <c r="Y145" i="1"/>
  <c r="Z143" i="1"/>
  <c r="BN143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Z161" i="1" s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43" i="1"/>
  <c r="BP257" i="1"/>
  <c r="BN257" i="1"/>
  <c r="Z257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Y28" i="1"/>
  <c r="Y55" i="1"/>
  <c r="Y139" i="1"/>
  <c r="Z144" i="1"/>
  <c r="BP159" i="1"/>
  <c r="BN159" i="1"/>
  <c r="Z159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65" i="1" l="1"/>
  <c r="Z385" i="1"/>
  <c r="Z238" i="1"/>
  <c r="Z209" i="1"/>
  <c r="Z183" i="1"/>
  <c r="Y592" i="1"/>
  <c r="Z547" i="1"/>
  <c r="Z517" i="1"/>
  <c r="Z442" i="1"/>
  <c r="Z332" i="1"/>
  <c r="Z261" i="1"/>
  <c r="Z221" i="1"/>
  <c r="Y595" i="1"/>
  <c r="Z408" i="1"/>
  <c r="Z370" i="1"/>
  <c r="Z116" i="1"/>
  <c r="Z55" i="1"/>
  <c r="Y591" i="1"/>
  <c r="Y593" i="1"/>
  <c r="Z28" i="1"/>
  <c r="Z596" i="1" l="1"/>
  <c r="Y594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<sst xmlns="http://schemas.openxmlformats.org/spreadsheetml/2006/main" count="2720" uniqueCount="975">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</sst>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8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6</v>
      </c>
      <c r="Y31" s="664">
        <f>IFERROR(IF(X31="",0,CEILING((X31/$H31),1)*$H31),"")</f>
        <v>6</v>
      </c>
      <c r="Z31" s="36">
        <f>IFERROR(IF(Y31=0,"",ROUNDUP(Y31/H31,0)*0.00651),"")</f>
        <v>6.5100000000000005E-2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8.2199999999999989</v>
      </c>
      <c r="BN31" s="64">
        <f>IFERROR(Y31*I31/H31,"0")</f>
        <v>8.2199999999999989</v>
      </c>
      <c r="BO31" s="64">
        <f>IFERROR(1/J31*(X31/H31),"0")</f>
        <v>5.4945054945054951E-2</v>
      </c>
      <c r="BP31" s="64">
        <f>IFERROR(1/J31*(Y31/H31),"0")</f>
        <v>5.4945054945054951E-2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10</v>
      </c>
      <c r="Y32" s="665">
        <f>IFERROR(Y31/H31,"0")</f>
        <v>10</v>
      </c>
      <c r="Z32" s="665">
        <f>IFERROR(IF(Z31="",0,Z31),"0")</f>
        <v>6.5100000000000005E-2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6</v>
      </c>
      <c r="Y33" s="665">
        <f>IFERROR(SUM(Y31:Y31),"0")</f>
        <v>6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200</v>
      </c>
      <c r="Y37" s="664">
        <f>IFERROR(IF(X37="",0,CEILING((X37/$H37),1)*$H37),"")</f>
        <v>205.20000000000002</v>
      </c>
      <c r="Z37" s="36">
        <f>IFERROR(IF(Y37=0,"",ROUNDUP(Y37/H37,0)*0.01898),"")</f>
        <v>0.36062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208.05555555555554</v>
      </c>
      <c r="BN37" s="64">
        <f>IFERROR(Y37*I37/H37,"0")</f>
        <v>213.46499999999997</v>
      </c>
      <c r="BO37" s="64">
        <f>IFERROR(1/J37*(X37/H37),"0")</f>
        <v>0.28935185185185186</v>
      </c>
      <c r="BP37" s="64">
        <f>IFERROR(1/J37*(Y37/H37),"0")</f>
        <v>0.296875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133</v>
      </c>
      <c r="Y39" s="664">
        <f>IFERROR(IF(X39="",0,CEILING((X39/$H39),1)*$H39),"")</f>
        <v>133.20000000000002</v>
      </c>
      <c r="Z39" s="36">
        <f>IFERROR(IF(Y39=0,"",ROUNDUP(Y39/H39,0)*0.00902),"")</f>
        <v>0.32472000000000001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140.54864864864862</v>
      </c>
      <c r="BN39" s="64">
        <f>IFERROR(Y39*I39/H39,"0")</f>
        <v>140.76000000000002</v>
      </c>
      <c r="BO39" s="64">
        <f>IFERROR(1/J39*(X39/H39),"0")</f>
        <v>0.27231777231777232</v>
      </c>
      <c r="BP39" s="64">
        <f>IFERROR(1/J39*(Y39/H39),"0")</f>
        <v>0.27272727272727271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54.464464464464463</v>
      </c>
      <c r="Y41" s="665">
        <f>IFERROR(Y37/H37,"0")+IFERROR(Y38/H38,"0")+IFERROR(Y39/H39,"0")+IFERROR(Y40/H40,"0")</f>
        <v>55</v>
      </c>
      <c r="Z41" s="665">
        <f>IFERROR(IF(Z37="",0,Z37),"0")+IFERROR(IF(Z38="",0,Z38),"0")+IFERROR(IF(Z39="",0,Z39),"0")+IFERROR(IF(Z40="",0,Z40),"0")</f>
        <v>0.68534000000000006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333</v>
      </c>
      <c r="Y42" s="665">
        <f>IFERROR(SUM(Y37:Y40),"0")</f>
        <v>338.40000000000003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188</v>
      </c>
      <c r="Y49" s="664">
        <f t="shared" ref="Y49:Y54" si="6">IFERROR(IF(X49="",0,CEILING((X49/$H49),1)*$H49),"")</f>
        <v>190.39999999999998</v>
      </c>
      <c r="Z49" s="36">
        <f>IFERROR(IF(Y49=0,"",ROUNDUP(Y49/H49,0)*0.01898),"")</f>
        <v>0.32266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195.30178571428573</v>
      </c>
      <c r="BN49" s="64">
        <f t="shared" ref="BN49:BN54" si="8">IFERROR(Y49*I49/H49,"0")</f>
        <v>197.79499999999999</v>
      </c>
      <c r="BO49" s="64">
        <f t="shared" ref="BO49:BO54" si="9">IFERROR(1/J49*(X49/H49),"0")</f>
        <v>0.26227678571428575</v>
      </c>
      <c r="BP49" s="64">
        <f t="shared" ref="BP49:BP54" si="10">IFERROR(1/J49*(Y49/H49),"0")</f>
        <v>0.265625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199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207.01527777777775</v>
      </c>
      <c r="BN50" s="64">
        <f t="shared" si="8"/>
        <v>213.46499999999997</v>
      </c>
      <c r="BO50" s="64">
        <f t="shared" si="9"/>
        <v>0.28790509259259256</v>
      </c>
      <c r="BP50" s="64">
        <f t="shared" si="10"/>
        <v>0.296875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112</v>
      </c>
      <c r="Y52" s="664">
        <f t="shared" si="6"/>
        <v>112</v>
      </c>
      <c r="Z52" s="36">
        <f>IFERROR(IF(Y52=0,"",ROUNDUP(Y52/H52,0)*0.00902),"")</f>
        <v>0.25256000000000001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117.88</v>
      </c>
      <c r="BN52" s="64">
        <f t="shared" si="8"/>
        <v>117.88</v>
      </c>
      <c r="BO52" s="64">
        <f t="shared" si="9"/>
        <v>0.21212121212121213</v>
      </c>
      <c r="BP52" s="64">
        <f t="shared" si="10"/>
        <v>0.21212121212121213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63.211640211640216</v>
      </c>
      <c r="Y55" s="665">
        <f>IFERROR(Y49/H49,"0")+IFERROR(Y50/H50,"0")+IFERROR(Y51/H51,"0")+IFERROR(Y52/H52,"0")+IFERROR(Y53/H53,"0")+IFERROR(Y54/H54,"0")</f>
        <v>64</v>
      </c>
      <c r="Z55" s="665">
        <f>IFERROR(IF(Z49="",0,Z49),"0")+IFERROR(IF(Z50="",0,Z50),"0")+IFERROR(IF(Z51="",0,Z51),"0")+IFERROR(IF(Z52="",0,Z52),"0")+IFERROR(IF(Z53="",0,Z53),"0")+IFERROR(IF(Z54="",0,Z54),"0")</f>
        <v>0.93584000000000001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499</v>
      </c>
      <c r="Y56" s="665">
        <f>IFERROR(SUM(Y49:Y54),"0")</f>
        <v>507.6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267</v>
      </c>
      <c r="Y58" s="664">
        <f>IFERROR(IF(X58="",0,CEILING((X58/$H58),1)*$H58),"")</f>
        <v>270</v>
      </c>
      <c r="Z58" s="36">
        <f>IFERROR(IF(Y58=0,"",ROUNDUP(Y58/H58,0)*0.01898),"")</f>
        <v>0.47450000000000003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277.75416666666666</v>
      </c>
      <c r="BN58" s="64">
        <f>IFERROR(Y58*I58/H58,"0")</f>
        <v>280.87499999999994</v>
      </c>
      <c r="BO58" s="64">
        <f>IFERROR(1/J58*(X58/H58),"0")</f>
        <v>0.38628472222222221</v>
      </c>
      <c r="BP58" s="64">
        <f>IFERROR(1/J58*(Y58/H58),"0")</f>
        <v>0.390625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24.722222222222221</v>
      </c>
      <c r="Y62" s="665">
        <f>IFERROR(Y58/H58,"0")+IFERROR(Y59/H59,"0")+IFERROR(Y60/H60,"0")+IFERROR(Y61/H61,"0")</f>
        <v>25</v>
      </c>
      <c r="Z62" s="665">
        <f>IFERROR(IF(Z58="",0,Z58),"0")+IFERROR(IF(Z59="",0,Z59),"0")+IFERROR(IF(Z60="",0,Z60),"0")+IFERROR(IF(Z61="",0,Z61),"0")</f>
        <v>0.47450000000000003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267</v>
      </c>
      <c r="Y63" s="665">
        <f>IFERROR(SUM(Y58:Y61),"0")</f>
        <v>270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62</v>
      </c>
      <c r="Y72" s="664">
        <f t="shared" si="11"/>
        <v>67.2</v>
      </c>
      <c r="Z72" s="36">
        <f>IFERROR(IF(Y72=0,"",ROUNDUP(Y72/H72,0)*0.01898),"")</f>
        <v>0.15184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65.210714285714289</v>
      </c>
      <c r="BN72" s="64">
        <f t="shared" si="13"/>
        <v>70.680000000000007</v>
      </c>
      <c r="BO72" s="64">
        <f t="shared" si="14"/>
        <v>0.11532738095238095</v>
      </c>
      <c r="BP72" s="64">
        <f t="shared" si="15"/>
        <v>0.125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7.3809523809523805</v>
      </c>
      <c r="Y77" s="665">
        <f>IFERROR(Y71/H71,"0")+IFERROR(Y72/H72,"0")+IFERROR(Y73/H73,"0")+IFERROR(Y74/H74,"0")+IFERROR(Y75/H75,"0")+IFERROR(Y76/H76,"0")</f>
        <v>8</v>
      </c>
      <c r="Z77" s="665">
        <f>IFERROR(IF(Z71="",0,Z71),"0")+IFERROR(IF(Z72="",0,Z72),"0")+IFERROR(IF(Z73="",0,Z73),"0")+IFERROR(IF(Z74="",0,Z74),"0")+IFERROR(IF(Z75="",0,Z75),"0")+IFERROR(IF(Z76="",0,Z76),"0")</f>
        <v>0.15184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62</v>
      </c>
      <c r="Y78" s="665">
        <f>IFERROR(SUM(Y71:Y76),"0")</f>
        <v>67.2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214</v>
      </c>
      <c r="Y87" s="664">
        <f>IFERROR(IF(X87="",0,CEILING((X87/$H87),1)*$H87),"")</f>
        <v>216</v>
      </c>
      <c r="Z87" s="36">
        <f>IFERROR(IF(Y87=0,"",ROUNDUP(Y87/H87,0)*0.01898),"")</f>
        <v>0.37959999999999999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222.61944444444444</v>
      </c>
      <c r="BN87" s="64">
        <f>IFERROR(Y87*I87/H87,"0")</f>
        <v>224.69999999999996</v>
      </c>
      <c r="BO87" s="64">
        <f>IFERROR(1/J87*(X87/H87),"0")</f>
        <v>0.30960648148148145</v>
      </c>
      <c r="BP87" s="64">
        <f>IFERROR(1/J87*(Y87/H87),"0")</f>
        <v>0.3125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50</v>
      </c>
      <c r="Y89" s="664">
        <f>IFERROR(IF(X89="",0,CEILING((X89/$H89),1)*$H89),"")</f>
        <v>54</v>
      </c>
      <c r="Z89" s="36">
        <f>IFERROR(IF(Y89=0,"",ROUNDUP(Y89/H89,0)*0.00902),"")</f>
        <v>0.10824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52.333333333333336</v>
      </c>
      <c r="BN89" s="64">
        <f>IFERROR(Y89*I89/H89,"0")</f>
        <v>56.52</v>
      </c>
      <c r="BO89" s="64">
        <f>IFERROR(1/J89*(X89/H89),"0")</f>
        <v>8.4175084175084181E-2</v>
      </c>
      <c r="BP89" s="64">
        <f>IFERROR(1/J89*(Y89/H89),"0")</f>
        <v>9.0909090909090912E-2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30.925925925925924</v>
      </c>
      <c r="Y90" s="665">
        <f>IFERROR(Y87/H87,"0")+IFERROR(Y88/H88,"0")+IFERROR(Y89/H89,"0")</f>
        <v>32</v>
      </c>
      <c r="Z90" s="665">
        <f>IFERROR(IF(Z87="",0,Z87),"0")+IFERROR(IF(Z88="",0,Z88),"0")+IFERROR(IF(Z89="",0,Z89),"0")</f>
        <v>0.48784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264</v>
      </c>
      <c r="Y91" s="665">
        <f>IFERROR(SUM(Y87:Y89),"0")</f>
        <v>270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206</v>
      </c>
      <c r="Y94" s="664">
        <f t="shared" si="16"/>
        <v>210</v>
      </c>
      <c r="Z94" s="36">
        <f>IFERROR(IF(Y94=0,"",ROUNDUP(Y94/H94,0)*0.01898),"")</f>
        <v>0.47450000000000003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218.72785714285715</v>
      </c>
      <c r="BN94" s="64">
        <f t="shared" si="18"/>
        <v>222.97499999999999</v>
      </c>
      <c r="BO94" s="64">
        <f t="shared" si="19"/>
        <v>0.38318452380952378</v>
      </c>
      <c r="BP94" s="64">
        <f t="shared" si="20"/>
        <v>0.390625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97</v>
      </c>
      <c r="Y98" s="664">
        <f t="shared" si="16"/>
        <v>97.2</v>
      </c>
      <c r="Z98" s="36">
        <f>IFERROR(IF(Y98=0,"",ROUNDUP(Y98/H98,0)*0.00651),"")</f>
        <v>0.23436000000000001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106.05333333333333</v>
      </c>
      <c r="BN98" s="64">
        <f t="shared" si="18"/>
        <v>106.27199999999999</v>
      </c>
      <c r="BO98" s="64">
        <f t="shared" si="19"/>
        <v>0.1973951973951974</v>
      </c>
      <c r="BP98" s="64">
        <f t="shared" si="20"/>
        <v>0.19780219780219782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95</v>
      </c>
      <c r="Y101" s="664">
        <f t="shared" si="16"/>
        <v>97.2</v>
      </c>
      <c r="Z101" s="36">
        <f>IFERROR(IF(Y101=0,"",ROUNDUP(Y101/H101,0)*0.00902),"")</f>
        <v>0.32472000000000001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105.13333333333333</v>
      </c>
      <c r="BN101" s="64">
        <f t="shared" si="18"/>
        <v>107.568</v>
      </c>
      <c r="BO101" s="64">
        <f t="shared" si="19"/>
        <v>0.2665544332210999</v>
      </c>
      <c r="BP101" s="64">
        <f t="shared" si="20"/>
        <v>0.27272727272727271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95.634920634920633</v>
      </c>
      <c r="Y102" s="665">
        <f>IFERROR(Y93/H93,"0")+IFERROR(Y94/H94,"0")+IFERROR(Y95/H95,"0")+IFERROR(Y96/H96,"0")+IFERROR(Y97/H97,"0")+IFERROR(Y98/H98,"0")+IFERROR(Y99/H99,"0")+IFERROR(Y100/H100,"0")+IFERROR(Y101/H101,"0")</f>
        <v>97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1.0335800000000002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398</v>
      </c>
      <c r="Y103" s="665">
        <f>IFERROR(SUM(Y93:Y101),"0")</f>
        <v>404.4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262</v>
      </c>
      <c r="Y106" s="664">
        <f>IFERROR(IF(X106="",0,CEILING((X106/$H106),1)*$H106),"")</f>
        <v>270</v>
      </c>
      <c r="Z106" s="36">
        <f>IFERROR(IF(Y106=0,"",ROUNDUP(Y106/H106,0)*0.01898),"")</f>
        <v>0.47450000000000003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272.55277777777775</v>
      </c>
      <c r="BN106" s="64">
        <f>IFERROR(Y106*I106/H106,"0")</f>
        <v>280.87499999999994</v>
      </c>
      <c r="BO106" s="64">
        <f>IFERROR(1/J106*(X106/H106),"0")</f>
        <v>0.37905092592592587</v>
      </c>
      <c r="BP106" s="64">
        <f>IFERROR(1/J106*(Y106/H106),"0")</f>
        <v>0.390625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34</v>
      </c>
      <c r="Y108" s="664">
        <f>IFERROR(IF(X108="",0,CEILING((X108/$H108),1)*$H108),"")</f>
        <v>36</v>
      </c>
      <c r="Z108" s="36">
        <f>IFERROR(IF(Y108=0,"",ROUNDUP(Y108/H108,0)*0.00902),"")</f>
        <v>7.2160000000000002E-2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35.586666666666666</v>
      </c>
      <c r="BN108" s="64">
        <f>IFERROR(Y108*I108/H108,"0")</f>
        <v>37.68</v>
      </c>
      <c r="BO108" s="64">
        <f>IFERROR(1/J108*(X108/H108),"0")</f>
        <v>5.7239057239057242E-2</v>
      </c>
      <c r="BP108" s="64">
        <f>IFERROR(1/J108*(Y108/H108),"0")</f>
        <v>6.0606060606060608E-2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31.81481481481481</v>
      </c>
      <c r="Y110" s="665">
        <f>IFERROR(Y106/H106,"0")+IFERROR(Y107/H107,"0")+IFERROR(Y108/H108,"0")+IFERROR(Y109/H109,"0")</f>
        <v>33</v>
      </c>
      <c r="Z110" s="665">
        <f>IFERROR(IF(Z106="",0,Z106),"0")+IFERROR(IF(Z107="",0,Z107),"0")+IFERROR(IF(Z108="",0,Z108),"0")+IFERROR(IF(Z109="",0,Z109),"0")</f>
        <v>0.54666000000000003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296</v>
      </c>
      <c r="Y111" s="665">
        <f>IFERROR(SUM(Y106:Y109),"0")</f>
        <v>306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120</v>
      </c>
      <c r="Y113" s="664">
        <f>IFERROR(IF(X113="",0,CEILING((X113/$H113),1)*$H113),"")</f>
        <v>129.60000000000002</v>
      </c>
      <c r="Z113" s="36">
        <f>IFERROR(IF(Y113=0,"",ROUNDUP(Y113/H113,0)*0.01898),"")</f>
        <v>0.22776000000000002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124.83333333333331</v>
      </c>
      <c r="BN113" s="64">
        <f>IFERROR(Y113*I113/H113,"0")</f>
        <v>134.82000000000002</v>
      </c>
      <c r="BO113" s="64">
        <f>IFERROR(1/J113*(X113/H113),"0")</f>
        <v>0.1736111111111111</v>
      </c>
      <c r="BP113" s="64">
        <f>IFERROR(1/J113*(Y113/H113),"0")</f>
        <v>0.18750000000000003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50</v>
      </c>
      <c r="Y115" s="664">
        <f>IFERROR(IF(X115="",0,CEILING((X115/$H115),1)*$H115),"")</f>
        <v>50.4</v>
      </c>
      <c r="Z115" s="36">
        <f>IFERROR(IF(Y115=0,"",ROUNDUP(Y115/H115,0)*0.00651),"")</f>
        <v>0.13671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53.75</v>
      </c>
      <c r="BN115" s="64">
        <f>IFERROR(Y115*I115/H115,"0")</f>
        <v>54.180000000000007</v>
      </c>
      <c r="BO115" s="64">
        <f>IFERROR(1/J115*(X115/H115),"0")</f>
        <v>0.11446886446886449</v>
      </c>
      <c r="BP115" s="64">
        <f>IFERROR(1/J115*(Y115/H115),"0")</f>
        <v>0.11538461538461539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31.944444444444446</v>
      </c>
      <c r="Y116" s="665">
        <f>IFERROR(Y113/H113,"0")+IFERROR(Y114/H114,"0")+IFERROR(Y115/H115,"0")</f>
        <v>33</v>
      </c>
      <c r="Z116" s="665">
        <f>IFERROR(IF(Z113="",0,Z113),"0")+IFERROR(IF(Z114="",0,Z114),"0")+IFERROR(IF(Z115="",0,Z115),"0")</f>
        <v>0.36447000000000002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170</v>
      </c>
      <c r="Y117" s="665">
        <f>IFERROR(SUM(Y113:Y115),"0")</f>
        <v>180.00000000000003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130</v>
      </c>
      <c r="Y120" s="664">
        <f t="shared" si="21"/>
        <v>134.4</v>
      </c>
      <c r="Z120" s="36">
        <f>IFERROR(IF(Y120=0,"",ROUNDUP(Y120/H120,0)*0.01898),"")</f>
        <v>0.30368000000000001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137.93928571428572</v>
      </c>
      <c r="BN120" s="64">
        <f t="shared" si="23"/>
        <v>142.608</v>
      </c>
      <c r="BO120" s="64">
        <f t="shared" si="24"/>
        <v>0.24181547619047619</v>
      </c>
      <c r="BP120" s="64">
        <f t="shared" si="25"/>
        <v>0.25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127</v>
      </c>
      <c r="Y125" s="664">
        <f t="shared" si="21"/>
        <v>129.60000000000002</v>
      </c>
      <c r="Z125" s="36">
        <f t="shared" si="26"/>
        <v>0.31247999999999998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138.85333333333332</v>
      </c>
      <c r="BN125" s="64">
        <f t="shared" si="23"/>
        <v>141.69600000000003</v>
      </c>
      <c r="BO125" s="64">
        <f t="shared" si="24"/>
        <v>0.25844525844525845</v>
      </c>
      <c r="BP125" s="64">
        <f t="shared" si="25"/>
        <v>0.2637362637362638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62.513227513227505</v>
      </c>
      <c r="Y128" s="665">
        <f>IFERROR(Y119/H119,"0")+IFERROR(Y120/H120,"0")+IFERROR(Y121/H121,"0")+IFERROR(Y122/H122,"0")+IFERROR(Y123/H123,"0")+IFERROR(Y124/H124,"0")+IFERROR(Y125/H125,"0")+IFERROR(Y126/H126,"0")+IFERROR(Y127/H127,"0")</f>
        <v>64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0.61616000000000004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257</v>
      </c>
      <c r="Y129" s="665">
        <f>IFERROR(SUM(Y119:Y127),"0")</f>
        <v>264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160</v>
      </c>
      <c r="Y174" s="664">
        <f t="shared" ref="Y174:Y182" si="27">IFERROR(IF(X174="",0,CEILING((X174/$H174),1)*$H174),"")</f>
        <v>163.80000000000001</v>
      </c>
      <c r="Z174" s="36">
        <f>IFERROR(IF(Y174=0,"",ROUNDUP(Y174/H174,0)*0.00902),"")</f>
        <v>0.35177999999999998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170.28571428571425</v>
      </c>
      <c r="BN174" s="64">
        <f t="shared" ref="BN174:BN182" si="29">IFERROR(Y174*I174/H174,"0")</f>
        <v>174.33</v>
      </c>
      <c r="BO174" s="64">
        <f t="shared" ref="BO174:BO182" si="30">IFERROR(1/J174*(X174/H174),"0")</f>
        <v>0.28860028860028858</v>
      </c>
      <c r="BP174" s="64">
        <f t="shared" ref="BP174:BP182" si="31">IFERROR(1/J174*(Y174/H174),"0")</f>
        <v>0.29545454545454547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133</v>
      </c>
      <c r="Y176" s="664">
        <f t="shared" si="27"/>
        <v>134.4</v>
      </c>
      <c r="Z176" s="36">
        <f>IFERROR(IF(Y176=0,"",ROUNDUP(Y176/H176,0)*0.00902),"")</f>
        <v>0.28864000000000001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139.64999999999998</v>
      </c>
      <c r="BN176" s="64">
        <f t="shared" si="29"/>
        <v>141.12</v>
      </c>
      <c r="BO176" s="64">
        <f t="shared" si="30"/>
        <v>0.23989898989898989</v>
      </c>
      <c r="BP176" s="64">
        <f t="shared" si="31"/>
        <v>0.24242424242424243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172</v>
      </c>
      <c r="Y177" s="664">
        <f t="shared" si="27"/>
        <v>172.20000000000002</v>
      </c>
      <c r="Z177" s="36">
        <f>IFERROR(IF(Y177=0,"",ROUNDUP(Y177/H177,0)*0.00502),"")</f>
        <v>0.41164000000000001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182.64761904761903</v>
      </c>
      <c r="BN177" s="64">
        <f t="shared" si="29"/>
        <v>182.86</v>
      </c>
      <c r="BO177" s="64">
        <f t="shared" si="30"/>
        <v>0.35002035002035004</v>
      </c>
      <c r="BP177" s="64">
        <f t="shared" si="31"/>
        <v>0.35042735042735046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34</v>
      </c>
      <c r="Y179" s="664">
        <f t="shared" si="27"/>
        <v>34.200000000000003</v>
      </c>
      <c r="Z179" s="36">
        <f>IFERROR(IF(Y179=0,"",ROUNDUP(Y179/H179,0)*0.00502),"")</f>
        <v>9.5380000000000006E-2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36.455555555555556</v>
      </c>
      <c r="BN179" s="64">
        <f t="shared" si="29"/>
        <v>36.67</v>
      </c>
      <c r="BO179" s="64">
        <f t="shared" si="30"/>
        <v>8.0721747388414061E-2</v>
      </c>
      <c r="BP179" s="64">
        <f t="shared" si="31"/>
        <v>8.11965811965812E-2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156</v>
      </c>
      <c r="Y180" s="664">
        <f t="shared" si="27"/>
        <v>157.5</v>
      </c>
      <c r="Z180" s="36">
        <f>IFERROR(IF(Y180=0,"",ROUNDUP(Y180/H180,0)*0.00502),"")</f>
        <v>0.3765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163.42857142857144</v>
      </c>
      <c r="BN180" s="64">
        <f t="shared" si="29"/>
        <v>165</v>
      </c>
      <c r="BO180" s="64">
        <f t="shared" si="30"/>
        <v>0.31746031746031744</v>
      </c>
      <c r="BP180" s="64">
        <f t="shared" si="31"/>
        <v>0.32051282051282054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244.84126984126982</v>
      </c>
      <c r="Y183" s="665">
        <f>IFERROR(Y174/H174,"0")+IFERROR(Y175/H175,"0")+IFERROR(Y176/H176,"0")+IFERROR(Y177/H177,"0")+IFERROR(Y178/H178,"0")+IFERROR(Y179/H179,"0")+IFERROR(Y180/H180,"0")+IFERROR(Y181/H181,"0")+IFERROR(Y182/H182,"0")</f>
        <v>247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1.5239400000000001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655</v>
      </c>
      <c r="Y184" s="665">
        <f>IFERROR(SUM(Y174:Y182),"0")</f>
        <v>662.10000000000014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371</v>
      </c>
      <c r="Y201" s="664">
        <f t="shared" ref="Y201:Y208" si="32">IFERROR(IF(X201="",0,CEILING((X201/$H201),1)*$H201),"")</f>
        <v>372.6</v>
      </c>
      <c r="Z201" s="36">
        <f>IFERROR(IF(Y201=0,"",ROUNDUP(Y201/H201,0)*0.00902),"")</f>
        <v>0.62238000000000004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385.42777777777775</v>
      </c>
      <c r="BN201" s="64">
        <f t="shared" ref="BN201:BN208" si="34">IFERROR(Y201*I201/H201,"0")</f>
        <v>387.09</v>
      </c>
      <c r="BO201" s="64">
        <f t="shared" ref="BO201:BO208" si="35">IFERROR(1/J201*(X201/H201),"0")</f>
        <v>0.52048260381593714</v>
      </c>
      <c r="BP201" s="64">
        <f t="shared" ref="BP201:BP208" si="36">IFERROR(1/J201*(Y201/H201),"0")</f>
        <v>0.52272727272727271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92</v>
      </c>
      <c r="Y202" s="664">
        <f t="shared" si="32"/>
        <v>97.2</v>
      </c>
      <c r="Z202" s="36">
        <f>IFERROR(IF(Y202=0,"",ROUNDUP(Y202/H202,0)*0.00902),"")</f>
        <v>0.16236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95.577777777777769</v>
      </c>
      <c r="BN202" s="64">
        <f t="shared" si="34"/>
        <v>100.98</v>
      </c>
      <c r="BO202" s="64">
        <f t="shared" si="35"/>
        <v>0.12906846240179573</v>
      </c>
      <c r="BP202" s="64">
        <f t="shared" si="36"/>
        <v>0.13636363636363635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223</v>
      </c>
      <c r="Y204" s="664">
        <f t="shared" si="32"/>
        <v>226.8</v>
      </c>
      <c r="Z204" s="36">
        <f>IFERROR(IF(Y204=0,"",ROUNDUP(Y204/H204,0)*0.00902),"")</f>
        <v>0.37884000000000001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231.67222222222219</v>
      </c>
      <c r="BN204" s="64">
        <f t="shared" si="34"/>
        <v>235.62</v>
      </c>
      <c r="BO204" s="64">
        <f t="shared" si="35"/>
        <v>0.31285072951739618</v>
      </c>
      <c r="BP204" s="64">
        <f t="shared" si="36"/>
        <v>0.31818181818181818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62</v>
      </c>
      <c r="Y205" s="664">
        <f t="shared" si="32"/>
        <v>63</v>
      </c>
      <c r="Z205" s="36">
        <f>IFERROR(IF(Y205=0,"",ROUNDUP(Y205/H205,0)*0.00502),"")</f>
        <v>0.1757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66.477777777777774</v>
      </c>
      <c r="BN205" s="64">
        <f t="shared" si="34"/>
        <v>67.55</v>
      </c>
      <c r="BO205" s="64">
        <f t="shared" si="35"/>
        <v>0.14719848053181386</v>
      </c>
      <c r="BP205" s="64">
        <f t="shared" si="36"/>
        <v>0.1495726495726496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96</v>
      </c>
      <c r="Y206" s="664">
        <f t="shared" si="32"/>
        <v>97.2</v>
      </c>
      <c r="Z206" s="36">
        <f>IFERROR(IF(Y206=0,"",ROUNDUP(Y206/H206,0)*0.00502),"")</f>
        <v>0.27107999999999999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101.33333333333331</v>
      </c>
      <c r="BN206" s="64">
        <f t="shared" si="34"/>
        <v>102.6</v>
      </c>
      <c r="BO206" s="64">
        <f t="shared" si="35"/>
        <v>0.22792022792022792</v>
      </c>
      <c r="BP206" s="64">
        <f t="shared" si="36"/>
        <v>0.23076923076923078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214.81481481481478</v>
      </c>
      <c r="Y209" s="665">
        <f>IFERROR(Y201/H201,"0")+IFERROR(Y202/H202,"0")+IFERROR(Y203/H203,"0")+IFERROR(Y204/H204,"0")+IFERROR(Y205/H205,"0")+IFERROR(Y206/H206,"0")+IFERROR(Y207/H207,"0")+IFERROR(Y208/H208,"0")</f>
        <v>218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1.61036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844</v>
      </c>
      <c r="Y210" s="665">
        <f>IFERROR(SUM(Y201:Y208),"0")</f>
        <v>856.80000000000007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329</v>
      </c>
      <c r="Y214" s="664">
        <f t="shared" si="37"/>
        <v>330.59999999999997</v>
      </c>
      <c r="Z214" s="36">
        <f>IFERROR(IF(Y214=0,"",ROUNDUP(Y214/H214,0)*0.01898),"")</f>
        <v>0.72123999999999999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348.62655172413793</v>
      </c>
      <c r="BN214" s="64">
        <f t="shared" si="39"/>
        <v>350.32199999999995</v>
      </c>
      <c r="BO214" s="64">
        <f t="shared" si="40"/>
        <v>0.59087643678160928</v>
      </c>
      <c r="BP214" s="64">
        <f t="shared" si="41"/>
        <v>0.59375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105</v>
      </c>
      <c r="Y215" s="664">
        <f t="shared" si="37"/>
        <v>105.6</v>
      </c>
      <c r="Z215" s="36">
        <f t="shared" ref="Z215:Z220" si="42">IFERROR(IF(Y215=0,"",ROUNDUP(Y215/H215,0)*0.00651),"")</f>
        <v>0.28644000000000003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116.81249999999999</v>
      </c>
      <c r="BN215" s="64">
        <f t="shared" si="39"/>
        <v>117.48</v>
      </c>
      <c r="BO215" s="64">
        <f t="shared" si="40"/>
        <v>0.24038461538461539</v>
      </c>
      <c r="BP215" s="64">
        <f t="shared" si="41"/>
        <v>0.24175824175824179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235</v>
      </c>
      <c r="Y217" s="664">
        <f t="shared" si="37"/>
        <v>235.2</v>
      </c>
      <c r="Z217" s="36">
        <f t="shared" si="42"/>
        <v>0.63797999999999999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259.67500000000001</v>
      </c>
      <c r="BN217" s="64">
        <f t="shared" si="39"/>
        <v>259.89600000000002</v>
      </c>
      <c r="BO217" s="64">
        <f t="shared" si="40"/>
        <v>0.53800366300366309</v>
      </c>
      <c r="BP217" s="64">
        <f t="shared" si="41"/>
        <v>0.53846153846153855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116</v>
      </c>
      <c r="Y219" s="664">
        <f t="shared" si="37"/>
        <v>117.6</v>
      </c>
      <c r="Z219" s="36">
        <f t="shared" si="42"/>
        <v>0.31899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128.18</v>
      </c>
      <c r="BN219" s="64">
        <f t="shared" si="39"/>
        <v>129.94800000000001</v>
      </c>
      <c r="BO219" s="64">
        <f t="shared" si="40"/>
        <v>0.26556776556776562</v>
      </c>
      <c r="BP219" s="64">
        <f t="shared" si="41"/>
        <v>0.26923076923076927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68</v>
      </c>
      <c r="Y220" s="664">
        <f t="shared" si="37"/>
        <v>69.599999999999994</v>
      </c>
      <c r="Z220" s="36">
        <f t="shared" si="42"/>
        <v>0.18879000000000001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75.31</v>
      </c>
      <c r="BN220" s="64">
        <f t="shared" si="39"/>
        <v>77.081999999999994</v>
      </c>
      <c r="BO220" s="64">
        <f t="shared" si="40"/>
        <v>0.15567765567765571</v>
      </c>
      <c r="BP220" s="64">
        <f t="shared" si="41"/>
        <v>0.15934065934065936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256.14942528735634</v>
      </c>
      <c r="Y221" s="665">
        <f>IFERROR(Y212/H212,"0")+IFERROR(Y213/H213,"0")+IFERROR(Y214/H214,"0")+IFERROR(Y215/H215,"0")+IFERROR(Y216/H216,"0")+IFERROR(Y217/H217,"0")+IFERROR(Y218/H218,"0")+IFERROR(Y219/H219,"0")+IFERROR(Y220/H220,"0")</f>
        <v>258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2.1534400000000002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853</v>
      </c>
      <c r="Y222" s="665">
        <f>IFERROR(SUM(Y212:Y220),"0")</f>
        <v>858.59999999999991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6</v>
      </c>
      <c r="Y224" s="664">
        <f>IFERROR(IF(X224="",0,CEILING((X224/$H224),1)*$H224),"")</f>
        <v>7.1999999999999993</v>
      </c>
      <c r="Z224" s="36">
        <f>IFERROR(IF(Y224=0,"",ROUNDUP(Y224/H224,0)*0.00651),"")</f>
        <v>1.9529999999999999E-2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6.6300000000000008</v>
      </c>
      <c r="BN224" s="64">
        <f>IFERROR(Y224*I224/H224,"0")</f>
        <v>7.9560000000000004</v>
      </c>
      <c r="BO224" s="64">
        <f>IFERROR(1/J224*(X224/H224),"0")</f>
        <v>1.3736263736263738E-2</v>
      </c>
      <c r="BP224" s="64">
        <f>IFERROR(1/J224*(Y224/H224),"0")</f>
        <v>1.6483516483516484E-2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4</v>
      </c>
      <c r="Y225" s="664">
        <f>IFERROR(IF(X225="",0,CEILING((X225/$H225),1)*$H225),"")</f>
        <v>4.8</v>
      </c>
      <c r="Z225" s="36">
        <f>IFERROR(IF(Y225=0,"",ROUNDUP(Y225/H225,0)*0.00651),"")</f>
        <v>1.302E-2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4.4200000000000008</v>
      </c>
      <c r="BN225" s="64">
        <f>IFERROR(Y225*I225/H225,"0")</f>
        <v>5.3040000000000003</v>
      </c>
      <c r="BO225" s="64">
        <f>IFERROR(1/J225*(X225/H225),"0")</f>
        <v>9.1575091575091579E-3</v>
      </c>
      <c r="BP225" s="64">
        <f>IFERROR(1/J225*(Y225/H225),"0")</f>
        <v>1.098901098901099E-2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4.166666666666667</v>
      </c>
      <c r="Y226" s="665">
        <f>IFERROR(Y224/H224,"0")+IFERROR(Y225/H225,"0")</f>
        <v>5</v>
      </c>
      <c r="Z226" s="665">
        <f>IFERROR(IF(Z224="",0,Z224),"0")+IFERROR(IF(Z225="",0,Z225),"0")</f>
        <v>3.2549999999999996E-2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10</v>
      </c>
      <c r="Y227" s="665">
        <f>IFERROR(SUM(Y224:Y225),"0")</f>
        <v>12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23</v>
      </c>
      <c r="Y230" s="664">
        <f t="shared" ref="Y230:Y237" si="43">IFERROR(IF(X230="",0,CEILING((X230/$H230),1)*$H230),"")</f>
        <v>23.2</v>
      </c>
      <c r="Z230" s="36">
        <f>IFERROR(IF(Y230=0,"",ROUNDUP(Y230/H230,0)*0.01898),"")</f>
        <v>3.7960000000000001E-2</v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23.862500000000001</v>
      </c>
      <c r="BN230" s="64">
        <f t="shared" ref="BN230:BN237" si="45">IFERROR(Y230*I230/H230,"0")</f>
        <v>24.07</v>
      </c>
      <c r="BO230" s="64">
        <f t="shared" ref="BO230:BO237" si="46">IFERROR(1/J230*(X230/H230),"0")</f>
        <v>3.0980603448275863E-2</v>
      </c>
      <c r="BP230" s="64">
        <f t="shared" ref="BP230:BP237" si="47">IFERROR(1/J230*(Y230/H230),"0")</f>
        <v>3.125E-2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1.9827586206896552</v>
      </c>
      <c r="Y238" s="665">
        <f>IFERROR(Y230/H230,"0")+IFERROR(Y231/H231,"0")+IFERROR(Y232/H232,"0")+IFERROR(Y233/H233,"0")+IFERROR(Y234/H234,"0")+IFERROR(Y235/H235,"0")+IFERROR(Y236/H236,"0")+IFERROR(Y237/H237,"0")</f>
        <v>2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3.7960000000000001E-2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23</v>
      </c>
      <c r="Y239" s="665">
        <f>IFERROR(SUM(Y230:Y237),"0")</f>
        <v>23.2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50</v>
      </c>
      <c r="Y279" s="664">
        <f>IFERROR(IF(X279="",0,CEILING((X279/$H279),1)*$H279),"")</f>
        <v>50.4</v>
      </c>
      <c r="Z279" s="36">
        <f>IFERROR(IF(Y279=0,"",ROUNDUP(Y279/H279,0)*0.00651),"")</f>
        <v>0.13671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55.25</v>
      </c>
      <c r="BN279" s="64">
        <f>IFERROR(Y279*I279/H279,"0")</f>
        <v>55.692</v>
      </c>
      <c r="BO279" s="64">
        <f>IFERROR(1/J279*(X279/H279),"0")</f>
        <v>0.11446886446886449</v>
      </c>
      <c r="BP279" s="64">
        <f>IFERROR(1/J279*(Y279/H279),"0")</f>
        <v>0.11538461538461539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20.833333333333336</v>
      </c>
      <c r="Y282" s="665">
        <f>IFERROR(Y277/H277,"0")+IFERROR(Y278/H278,"0")+IFERROR(Y279/H279,"0")+IFERROR(Y280/H280,"0")+IFERROR(Y281/H281,"0")</f>
        <v>21</v>
      </c>
      <c r="Z282" s="665">
        <f>IFERROR(IF(Z277="",0,Z277),"0")+IFERROR(IF(Z278="",0,Z278),"0")+IFERROR(IF(Z279="",0,Z279),"0")+IFERROR(IF(Z280="",0,Z280),"0")+IFERROR(IF(Z281="",0,Z281),"0")</f>
        <v>0.13671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50</v>
      </c>
      <c r="Y283" s="665">
        <f>IFERROR(SUM(Y277:Y281),"0")</f>
        <v>50.4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23</v>
      </c>
      <c r="Y339" s="664">
        <f>IFERROR(IF(X339="",0,CEILING((X339/$H339),1)*$H339),"")</f>
        <v>24.3</v>
      </c>
      <c r="Z339" s="36">
        <f>IFERROR(IF(Y339=0,"",ROUNDUP(Y339/H339,0)*0.00651),"")</f>
        <v>5.8590000000000003E-2</v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25.197777777777777</v>
      </c>
      <c r="BN339" s="64">
        <f>IFERROR(Y339*I339/H339,"0")</f>
        <v>26.622</v>
      </c>
      <c r="BO339" s="64">
        <f>IFERROR(1/J339*(X339/H339),"0")</f>
        <v>4.6805046805046803E-2</v>
      </c>
      <c r="BP339" s="64">
        <f>IFERROR(1/J339*(Y339/H339),"0")</f>
        <v>4.9450549450549455E-2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8.5185185185185173</v>
      </c>
      <c r="Y340" s="665">
        <f>IFERROR(Y335/H335,"0")+IFERROR(Y336/H336,"0")+IFERROR(Y337/H337,"0")+IFERROR(Y338/H338,"0")+IFERROR(Y339/H339,"0")</f>
        <v>9</v>
      </c>
      <c r="Z340" s="665">
        <f>IFERROR(IF(Z335="",0,Z335),"0")+IFERROR(IF(Z336="",0,Z336),"0")+IFERROR(IF(Z337="",0,Z337),"0")+IFERROR(IF(Z338="",0,Z338),"0")+IFERROR(IF(Z339="",0,Z339),"0")</f>
        <v>5.8590000000000003E-2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23</v>
      </c>
      <c r="Y341" s="665">
        <f>IFERROR(SUM(Y335:Y339),"0")</f>
        <v>24.3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177</v>
      </c>
      <c r="Y343" s="664">
        <f>IFERROR(IF(X343="",0,CEILING((X343/$H343),1)*$H343),"")</f>
        <v>184.8</v>
      </c>
      <c r="Z343" s="36">
        <f>IFERROR(IF(Y343=0,"",ROUNDUP(Y343/H343,0)*0.01898),"")</f>
        <v>0.41755999999999999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187.93607142857141</v>
      </c>
      <c r="BN343" s="64">
        <f>IFERROR(Y343*I343/H343,"0")</f>
        <v>196.21800000000002</v>
      </c>
      <c r="BO343" s="64">
        <f>IFERROR(1/J343*(X343/H343),"0")</f>
        <v>0.3292410714285714</v>
      </c>
      <c r="BP343" s="64">
        <f>IFERROR(1/J343*(Y343/H343),"0")</f>
        <v>0.34375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153</v>
      </c>
      <c r="Y344" s="664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163.18038461538461</v>
      </c>
      <c r="BN344" s="64">
        <f>IFERROR(Y344*I344/H344,"0")</f>
        <v>166.38000000000002</v>
      </c>
      <c r="BO344" s="64">
        <f>IFERROR(1/J344*(X344/H344),"0")</f>
        <v>0.30649038461538464</v>
      </c>
      <c r="BP344" s="64">
        <f>IFERROR(1/J344*(Y344/H344),"0")</f>
        <v>0.3125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167</v>
      </c>
      <c r="Y345" s="664">
        <f>IFERROR(IF(X345="",0,CEILING((X345/$H345),1)*$H345),"")</f>
        <v>168</v>
      </c>
      <c r="Z345" s="36">
        <f>IFERROR(IF(Y345=0,"",ROUNDUP(Y345/H345,0)*0.01898),"")</f>
        <v>0.37959999999999999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177.3182142857143</v>
      </c>
      <c r="BN345" s="64">
        <f>IFERROR(Y345*I345/H345,"0")</f>
        <v>178.38</v>
      </c>
      <c r="BO345" s="64">
        <f>IFERROR(1/J345*(X345/H345),"0")</f>
        <v>0.31063988095238093</v>
      </c>
      <c r="BP345" s="64">
        <f>IFERROR(1/J345*(Y345/H345),"0")</f>
        <v>0.3125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60.567765567765562</v>
      </c>
      <c r="Y346" s="665">
        <f>IFERROR(Y343/H343,"0")+IFERROR(Y344/H344,"0")+IFERROR(Y345/H345,"0")</f>
        <v>62</v>
      </c>
      <c r="Z346" s="665">
        <f>IFERROR(IF(Z343="",0,Z343),"0")+IFERROR(IF(Z344="",0,Z344),"0")+IFERROR(IF(Z345="",0,Z345),"0")</f>
        <v>1.17676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497</v>
      </c>
      <c r="Y347" s="665">
        <f>IFERROR(SUM(Y343:Y345),"0")</f>
        <v>508.8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58</v>
      </c>
      <c r="Y352" s="664">
        <f>IFERROR(IF(X352="",0,CEILING((X352/$H352),1)*$H352),"")</f>
        <v>58.65</v>
      </c>
      <c r="Z352" s="36">
        <f>IFERROR(IF(Y352=0,"",ROUNDUP(Y352/H352,0)*0.00651),"")</f>
        <v>0.14973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65.505882352941171</v>
      </c>
      <c r="BN352" s="64">
        <f>IFERROR(Y352*I352/H352,"0")</f>
        <v>66.239999999999995</v>
      </c>
      <c r="BO352" s="64">
        <f>IFERROR(1/J352*(X352/H352),"0")</f>
        <v>0.12497306614953675</v>
      </c>
      <c r="BP352" s="64">
        <f>IFERROR(1/J352*(Y352/H352),"0")</f>
        <v>0.1263736263736264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22.745098039215687</v>
      </c>
      <c r="Y353" s="665">
        <f>IFERROR(Y349/H349,"0")+IFERROR(Y350/H350,"0")+IFERROR(Y351/H351,"0")+IFERROR(Y352/H352,"0")</f>
        <v>23</v>
      </c>
      <c r="Z353" s="665">
        <f>IFERROR(IF(Z349="",0,Z349),"0")+IFERROR(IF(Z350="",0,Z350),"0")+IFERROR(IF(Z351="",0,Z351),"0")+IFERROR(IF(Z352="",0,Z352),"0")</f>
        <v>0.14973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58</v>
      </c>
      <c r="Y354" s="665">
        <f>IFERROR(SUM(Y349:Y352),"0")</f>
        <v>58.65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446</v>
      </c>
      <c r="Y375" s="664">
        <f t="shared" ref="Y375:Y384" si="58">IFERROR(IF(X375="",0,CEILING((X375/$H375),1)*$H375),"")</f>
        <v>450</v>
      </c>
      <c r="Z375" s="36">
        <f>IFERROR(IF(Y375=0,"",ROUNDUP(Y375/H375,0)*0.02175),"")</f>
        <v>0.65249999999999997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460.27199999999999</v>
      </c>
      <c r="BN375" s="64">
        <f t="shared" ref="BN375:BN384" si="60">IFERROR(Y375*I375/H375,"0")</f>
        <v>464.4</v>
      </c>
      <c r="BO375" s="64">
        <f t="shared" ref="BO375:BO384" si="61">IFERROR(1/J375*(X375/H375),"0")</f>
        <v>0.61944444444444446</v>
      </c>
      <c r="BP375" s="64">
        <f t="shared" ref="BP375:BP384" si="62">IFERROR(1/J375*(Y375/H375),"0")</f>
        <v>0.625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200</v>
      </c>
      <c r="Y377" s="664">
        <f t="shared" si="58"/>
        <v>210</v>
      </c>
      <c r="Z377" s="36">
        <f>IFERROR(IF(Y377=0,"",ROUNDUP(Y377/H377,0)*0.02175),"")</f>
        <v>0.30449999999999999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206.4</v>
      </c>
      <c r="BN377" s="64">
        <f t="shared" si="60"/>
        <v>216.72</v>
      </c>
      <c r="BO377" s="64">
        <f t="shared" si="61"/>
        <v>0.27777777777777779</v>
      </c>
      <c r="BP377" s="64">
        <f t="shared" si="62"/>
        <v>0.29166666666666663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500</v>
      </c>
      <c r="Y379" s="664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76.400000000000006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78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1.6964999999999999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1146</v>
      </c>
      <c r="Y386" s="665">
        <f>IFERROR(SUM(Y375:Y384),"0")</f>
        <v>1170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791</v>
      </c>
      <c r="Y388" s="664">
        <f>IFERROR(IF(X388="",0,CEILING((X388/$H388),1)*$H388),"")</f>
        <v>795</v>
      </c>
      <c r="Z388" s="36">
        <f>IFERROR(IF(Y388=0,"",ROUNDUP(Y388/H388,0)*0.02175),"")</f>
        <v>1.1527499999999999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816.31200000000001</v>
      </c>
      <c r="BN388" s="64">
        <f>IFERROR(Y388*I388/H388,"0")</f>
        <v>820.44</v>
      </c>
      <c r="BO388" s="64">
        <f>IFERROR(1/J388*(X388/H388),"0")</f>
        <v>1.098611111111111</v>
      </c>
      <c r="BP388" s="64">
        <f>IFERROR(1/J388*(Y388/H388),"0")</f>
        <v>1.1041666666666665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52.733333333333334</v>
      </c>
      <c r="Y390" s="665">
        <f>IFERROR(Y388/H388,"0")+IFERROR(Y389/H389,"0")</f>
        <v>53</v>
      </c>
      <c r="Z390" s="665">
        <f>IFERROR(IF(Z388="",0,Z388),"0")+IFERROR(IF(Z389="",0,Z389),"0")</f>
        <v>1.1527499999999999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791</v>
      </c>
      <c r="Y391" s="665">
        <f>IFERROR(SUM(Y388:Y389),"0")</f>
        <v>795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106</v>
      </c>
      <c r="Y398" s="664">
        <f>IFERROR(IF(X398="",0,CEILING((X398/$H398),1)*$H398),"")</f>
        <v>108</v>
      </c>
      <c r="Z398" s="36">
        <f>IFERROR(IF(Y398=0,"",ROUNDUP(Y398/H398,0)*0.01898),"")</f>
        <v>0.22776000000000002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112.11266666666667</v>
      </c>
      <c r="BN398" s="64">
        <f>IFERROR(Y398*I398/H398,"0")</f>
        <v>114.22799999999999</v>
      </c>
      <c r="BO398" s="64">
        <f>IFERROR(1/J398*(X398/H398),"0")</f>
        <v>0.18402777777777779</v>
      </c>
      <c r="BP398" s="64">
        <f>IFERROR(1/J398*(Y398/H398),"0")</f>
        <v>0.1875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11.777777777777779</v>
      </c>
      <c r="Y399" s="665">
        <f>IFERROR(Y398/H398,"0")</f>
        <v>12</v>
      </c>
      <c r="Z399" s="665">
        <f>IFERROR(IF(Z398="",0,Z398),"0")</f>
        <v>0.22776000000000002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106</v>
      </c>
      <c r="Y400" s="665">
        <f>IFERROR(SUM(Y398:Y398),"0")</f>
        <v>108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51</v>
      </c>
      <c r="Y406" s="664">
        <f>IFERROR(IF(X406="",0,CEILING((X406/$H406),1)*$H406),"")</f>
        <v>60</v>
      </c>
      <c r="Z406" s="36">
        <f>IFERROR(IF(Y406=0,"",ROUNDUP(Y406/H406,0)*0.01898),"")</f>
        <v>9.4899999999999998E-2</v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52.848750000000003</v>
      </c>
      <c r="BN406" s="64">
        <f>IFERROR(Y406*I406/H406,"0")</f>
        <v>62.175000000000004</v>
      </c>
      <c r="BO406" s="64">
        <f>IFERROR(1/J406*(X406/H406),"0")</f>
        <v>6.640625E-2</v>
      </c>
      <c r="BP406" s="64">
        <f>IFERROR(1/J406*(Y406/H406),"0")</f>
        <v>7.8125E-2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4.25</v>
      </c>
      <c r="Y408" s="665">
        <f>IFERROR(Y403/H403,"0")+IFERROR(Y404/H404,"0")+IFERROR(Y405/H405,"0")+IFERROR(Y406/H406,"0")+IFERROR(Y407/H407,"0")</f>
        <v>5</v>
      </c>
      <c r="Z408" s="665">
        <f>IFERROR(IF(Z403="",0,Z403),"0")+IFERROR(IF(Z404="",0,Z404),"0")+IFERROR(IF(Z405="",0,Z405),"0")+IFERROR(IF(Z406="",0,Z406),"0")+IFERROR(IF(Z407="",0,Z407),"0")</f>
        <v>9.4899999999999998E-2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51</v>
      </c>
      <c r="Y409" s="665">
        <f>IFERROR(SUM(Y403:Y407),"0")</f>
        <v>60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3</v>
      </c>
      <c r="Y440" s="664">
        <f t="shared" si="63"/>
        <v>4.2</v>
      </c>
      <c r="Z440" s="36">
        <f t="shared" si="68"/>
        <v>1.004E-2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3.1857142857142855</v>
      </c>
      <c r="BN440" s="64">
        <f t="shared" si="65"/>
        <v>4.46</v>
      </c>
      <c r="BO440" s="64">
        <f t="shared" si="66"/>
        <v>6.1050061050061059E-3</v>
      </c>
      <c r="BP440" s="64">
        <f t="shared" si="67"/>
        <v>8.5470085470085479E-3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1.4285714285714286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1.004E-2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3</v>
      </c>
      <c r="Y443" s="665">
        <f>IFERROR(SUM(Y430:Y441),"0")</f>
        <v>4.2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6</v>
      </c>
      <c r="Y456" s="664">
        <f>IFERROR(IF(X456="",0,CEILING((X456/$H456),1)*$H456),"")</f>
        <v>10.8</v>
      </c>
      <c r="Z456" s="36">
        <f>IFERROR(IF(Y456=0,"",ROUNDUP(Y456/H456,0)*0.00902),"")</f>
        <v>1.804E-2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6.2333333333333334</v>
      </c>
      <c r="BN456" s="64">
        <f>IFERROR(Y456*I456/H456,"0")</f>
        <v>11.22</v>
      </c>
      <c r="BO456" s="64">
        <f>IFERROR(1/J456*(X456/H456),"0")</f>
        <v>8.4175084175084156E-3</v>
      </c>
      <c r="BP456" s="64">
        <f>IFERROR(1/J456*(Y456/H456),"0")</f>
        <v>1.5151515151515152E-2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1.1111111111111109</v>
      </c>
      <c r="Y460" s="665">
        <f>IFERROR(Y456/H456,"0")+IFERROR(Y457/H457,"0")+IFERROR(Y458/H458,"0")+IFERROR(Y459/H459,"0")</f>
        <v>2</v>
      </c>
      <c r="Z460" s="665">
        <f>IFERROR(IF(Z456="",0,Z456),"0")+IFERROR(IF(Z457="",0,Z457),"0")+IFERROR(IF(Z458="",0,Z458),"0")+IFERROR(IF(Z459="",0,Z459),"0")</f>
        <v>1.804E-2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6</v>
      </c>
      <c r="Y461" s="665">
        <f>IFERROR(SUM(Y456:Y459),"0")</f>
        <v>10.8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114</v>
      </c>
      <c r="Y480" s="664">
        <f t="shared" ref="Y480:Y494" si="69">IFERROR(IF(X480="",0,CEILING((X480/$H480),1)*$H480),"")</f>
        <v>116.16000000000001</v>
      </c>
      <c r="Z480" s="36">
        <f>IFERROR(IF(Y480=0,"",ROUNDUP(Y480/H480,0)*0.01196),"")</f>
        <v>0.26312000000000002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121.77272727272725</v>
      </c>
      <c r="BN480" s="64">
        <f t="shared" ref="BN480:BN494" si="71">IFERROR(Y480*I480/H480,"0")</f>
        <v>124.08000000000001</v>
      </c>
      <c r="BO480" s="64">
        <f t="shared" ref="BO480:BO494" si="72">IFERROR(1/J480*(X480/H480),"0")</f>
        <v>0.2076048951048951</v>
      </c>
      <c r="BP480" s="64">
        <f t="shared" ref="BP480:BP494" si="73">IFERROR(1/J480*(Y480/H480),"0")</f>
        <v>0.21153846153846156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117</v>
      </c>
      <c r="Y481" s="664">
        <f t="shared" si="69"/>
        <v>121.44000000000001</v>
      </c>
      <c r="Z481" s="36">
        <f>IFERROR(IF(Y481=0,"",ROUNDUP(Y481/H481,0)*0.01196),"")</f>
        <v>0.27507999999999999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124.97727272727272</v>
      </c>
      <c r="BN481" s="64">
        <f t="shared" si="71"/>
        <v>129.72</v>
      </c>
      <c r="BO481" s="64">
        <f t="shared" si="72"/>
        <v>0.2130681818181818</v>
      </c>
      <c r="BP481" s="64">
        <f t="shared" si="73"/>
        <v>0.22115384615384617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314</v>
      </c>
      <c r="Y482" s="664">
        <f t="shared" si="69"/>
        <v>316.8</v>
      </c>
      <c r="Z482" s="36">
        <f>IFERROR(IF(Y482=0,"",ROUNDUP(Y482/H482,0)*0.01196),"")</f>
        <v>0.71760000000000002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335.40909090909088</v>
      </c>
      <c r="BN482" s="64">
        <f t="shared" si="71"/>
        <v>338.4</v>
      </c>
      <c r="BO482" s="64">
        <f t="shared" si="72"/>
        <v>0.57182400932400934</v>
      </c>
      <c r="BP482" s="64">
        <f t="shared" si="73"/>
        <v>0.57692307692307698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460</v>
      </c>
      <c r="Y483" s="664">
        <f t="shared" si="69"/>
        <v>464.64000000000004</v>
      </c>
      <c r="Z483" s="36">
        <f>IFERROR(IF(Y483=0,"",ROUNDUP(Y483/H483,0)*0.01196),"")</f>
        <v>1.0524800000000001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491.36363636363626</v>
      </c>
      <c r="BN483" s="64">
        <f t="shared" si="71"/>
        <v>496.32000000000005</v>
      </c>
      <c r="BO483" s="64">
        <f t="shared" si="72"/>
        <v>0.83770396270396263</v>
      </c>
      <c r="BP483" s="64">
        <f t="shared" si="73"/>
        <v>0.84615384615384626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190.34090909090907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193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2.3082799999999999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1005</v>
      </c>
      <c r="Y496" s="665">
        <f>IFERROR(SUM(Y480:Y494),"0")</f>
        <v>1019.0400000000002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282</v>
      </c>
      <c r="Y498" s="664">
        <f>IFERROR(IF(X498="",0,CEILING((X498/$H498),1)*$H498),"")</f>
        <v>285.12</v>
      </c>
      <c r="Z498" s="36">
        <f>IFERROR(IF(Y498=0,"",ROUNDUP(Y498/H498,0)*0.01196),"")</f>
        <v>0.64583999999999997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301.22727272727269</v>
      </c>
      <c r="BN498" s="64">
        <f>IFERROR(Y498*I498/H498,"0")</f>
        <v>304.55999999999995</v>
      </c>
      <c r="BO498" s="64">
        <f>IFERROR(1/J498*(X498/H498),"0")</f>
        <v>0.51354895104895104</v>
      </c>
      <c r="BP498" s="64">
        <f>IFERROR(1/J498*(Y498/H498),"0")</f>
        <v>0.51923076923076927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12</v>
      </c>
      <c r="Y501" s="664">
        <f>IFERROR(IF(X501="",0,CEILING((X501/$H501),1)*$H501),"")</f>
        <v>14.399999999999999</v>
      </c>
      <c r="Z501" s="36">
        <f>IFERROR(IF(Y501=0,"",ROUNDUP(Y501/H501,0)*0.00902),"")</f>
        <v>2.7060000000000001E-2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17.324999999999999</v>
      </c>
      <c r="BN501" s="64">
        <f>IFERROR(Y501*I501/H501,"0")</f>
        <v>20.79</v>
      </c>
      <c r="BO501" s="64">
        <f>IFERROR(1/J501*(X501/H501),"0")</f>
        <v>1.893939393939394E-2</v>
      </c>
      <c r="BP501" s="64">
        <f>IFERROR(1/J501*(Y501/H501),"0")</f>
        <v>2.2727272727272728E-2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55.909090909090907</v>
      </c>
      <c r="Y502" s="665">
        <f>IFERROR(Y498/H498,"0")+IFERROR(Y499/H499,"0")+IFERROR(Y500/H500,"0")+IFERROR(Y501/H501,"0")</f>
        <v>57</v>
      </c>
      <c r="Z502" s="665">
        <f>IFERROR(IF(Z498="",0,Z498),"0")+IFERROR(IF(Z499="",0,Z499),"0")+IFERROR(IF(Z500="",0,Z500),"0")+IFERROR(IF(Z501="",0,Z501),"0")</f>
        <v>0.67289999999999994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294</v>
      </c>
      <c r="Y503" s="665">
        <f>IFERROR(SUM(Y498:Y501),"0")</f>
        <v>299.52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217</v>
      </c>
      <c r="Y505" s="664">
        <f t="shared" ref="Y505:Y516" si="74">IFERROR(IF(X505="",0,CEILING((X505/$H505),1)*$H505),"")</f>
        <v>221.76000000000002</v>
      </c>
      <c r="Z505" s="36">
        <f>IFERROR(IF(Y505=0,"",ROUNDUP(Y505/H505,0)*0.01196),"")</f>
        <v>0.50231999999999999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231.7954545454545</v>
      </c>
      <c r="BN505" s="64">
        <f t="shared" ref="BN505:BN516" si="76">IFERROR(Y505*I505/H505,"0")</f>
        <v>236.88</v>
      </c>
      <c r="BO505" s="64">
        <f t="shared" ref="BO505:BO516" si="77">IFERROR(1/J505*(X505/H505),"0")</f>
        <v>0.39517773892773889</v>
      </c>
      <c r="BP505" s="64">
        <f t="shared" ref="BP505:BP516" si="78">IFERROR(1/J505*(Y505/H505),"0")</f>
        <v>0.40384615384615385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244</v>
      </c>
      <c r="Y506" s="664">
        <f t="shared" si="74"/>
        <v>248.16000000000003</v>
      </c>
      <c r="Z506" s="36">
        <f>IFERROR(IF(Y506=0,"",ROUNDUP(Y506/H506,0)*0.01196),"")</f>
        <v>0.56211999999999995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260.63636363636357</v>
      </c>
      <c r="BN506" s="64">
        <f t="shared" si="76"/>
        <v>265.08</v>
      </c>
      <c r="BO506" s="64">
        <f t="shared" si="77"/>
        <v>0.44434731934731936</v>
      </c>
      <c r="BP506" s="64">
        <f t="shared" si="78"/>
        <v>0.45192307692307693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117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124.97727272727272</v>
      </c>
      <c r="BN507" s="64">
        <f t="shared" si="76"/>
        <v>129.72</v>
      </c>
      <c r="BO507" s="64">
        <f t="shared" si="77"/>
        <v>0.2130681818181818</v>
      </c>
      <c r="BP507" s="64">
        <f t="shared" si="78"/>
        <v>0.22115384615384617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109.46969696969697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112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1.3395199999999998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578</v>
      </c>
      <c r="Y518" s="665">
        <f>IFERROR(SUM(Y505:Y516),"0")</f>
        <v>591.36000000000013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9545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9726.3700000000008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10082.078633647028</v>
      </c>
      <c r="Y592" s="665">
        <f>IFERROR(SUM(BN22:BN588),"0")</f>
        <v>10273.956999999997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17</v>
      </c>
      <c r="Y593" s="38">
        <f>ROUNDUP(SUM(BP22:BP588),0)</f>
        <v>17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10507.078633647028</v>
      </c>
      <c r="Y594" s="665">
        <f>GrossWeightTotalR+PalletQtyTotalR*25</f>
        <v>10698.956999999997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1750.6527539227336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1780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19.762059999999998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6</v>
      </c>
      <c r="C601" s="46">
        <f>IFERROR(Y37*1,"0")+IFERROR(Y38*1,"0")+IFERROR(Y39*1,"0")+IFERROR(Y40*1,"0")+IFERROR(Y44*1,"0")</f>
        <v>338.40000000000003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844.80000000000007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674.40000000000009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750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662.10000000000014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1727.3999999999999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23.2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50.4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591.75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2073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4.2</v>
      </c>
      <c r="Z601" s="46">
        <f>IFERROR(Y451*1,"0")+IFERROR(Y452*1,"0")+IFERROR(Y456*1,"0")+IFERROR(Y457*1,"0")+IFERROR(Y458*1,"0")+IFERROR(Y459*1,"0")</f>
        <v>10.8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1909.9200000000005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2025-04-17T09:05:18Z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