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841A3620-8CDF-49CA-8021-A964D9EBD8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X471" i="1"/>
  <c r="BO470" i="1"/>
  <c r="BM470" i="1"/>
  <c r="Y470" i="1"/>
  <c r="Y471" i="1" s="1"/>
  <c r="P470" i="1"/>
  <c r="X467" i="1"/>
  <c r="X466" i="1"/>
  <c r="BO465" i="1"/>
  <c r="BM465" i="1"/>
  <c r="Y465" i="1"/>
  <c r="BP465" i="1" s="1"/>
  <c r="BO464" i="1"/>
  <c r="BM464" i="1"/>
  <c r="Y464" i="1"/>
  <c r="AA601" i="1" s="1"/>
  <c r="P464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Y461" i="1" s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Y453" i="1" s="1"/>
  <c r="P451" i="1"/>
  <c r="X448" i="1"/>
  <c r="X447" i="1"/>
  <c r="BO446" i="1"/>
  <c r="BM446" i="1"/>
  <c r="Y446" i="1"/>
  <c r="Y448" i="1" s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BP440" i="1" s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BP435" i="1" s="1"/>
  <c r="BO434" i="1"/>
  <c r="BM434" i="1"/>
  <c r="Y434" i="1"/>
  <c r="BP434" i="1" s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Y426" i="1" s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BP417" i="1" s="1"/>
  <c r="BO416" i="1"/>
  <c r="BM416" i="1"/>
  <c r="Y416" i="1"/>
  <c r="Y421" i="1" s="1"/>
  <c r="P416" i="1"/>
  <c r="X414" i="1"/>
  <c r="X413" i="1"/>
  <c r="BO412" i="1"/>
  <c r="BM412" i="1"/>
  <c r="Y412" i="1"/>
  <c r="Y414" i="1" s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Y408" i="1" s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P394" i="1" s="1"/>
  <c r="BO393" i="1"/>
  <c r="BM393" i="1"/>
  <c r="Y393" i="1"/>
  <c r="Y396" i="1" s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BP378" i="1" s="1"/>
  <c r="P378" i="1"/>
  <c r="BP377" i="1"/>
  <c r="BO377" i="1"/>
  <c r="BN377" i="1"/>
  <c r="BM377" i="1"/>
  <c r="Z377" i="1"/>
  <c r="Y377" i="1"/>
  <c r="P377" i="1"/>
  <c r="BO376" i="1"/>
  <c r="BM376" i="1"/>
  <c r="Y376" i="1"/>
  <c r="BP376" i="1" s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Y370" i="1" s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1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Y353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41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Y333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2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1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Y128" i="1" s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102" i="1" s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3" i="1"/>
  <c r="Z102" i="1" s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Z128" i="1" s="1"/>
  <c r="BN120" i="1"/>
  <c r="Z123" i="1"/>
  <c r="BN123" i="1"/>
  <c r="Z124" i="1"/>
  <c r="BN124" i="1"/>
  <c r="Z126" i="1"/>
  <c r="BN126" i="1"/>
  <c r="Y129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Z261" i="1" s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BP309" i="1"/>
  <c r="BN309" i="1"/>
  <c r="BP321" i="1"/>
  <c r="BN321" i="1"/>
  <c r="Z321" i="1"/>
  <c r="H9" i="1"/>
  <c r="Y28" i="1"/>
  <c r="Y55" i="1"/>
  <c r="Y139" i="1"/>
  <c r="Y172" i="1"/>
  <c r="Y193" i="1"/>
  <c r="Y238" i="1"/>
  <c r="Y267" i="1"/>
  <c r="Y274" i="1"/>
  <c r="Y283" i="1"/>
  <c r="Y288" i="1"/>
  <c r="Y301" i="1"/>
  <c r="Y306" i="1"/>
  <c r="Y311" i="1"/>
  <c r="T601" i="1"/>
  <c r="Y315" i="1"/>
  <c r="BP314" i="1"/>
  <c r="BN314" i="1"/>
  <c r="Z314" i="1"/>
  <c r="Z315" i="1" s="1"/>
  <c r="Y316" i="1"/>
  <c r="U601" i="1"/>
  <c r="Y325" i="1"/>
  <c r="Y326" i="1"/>
  <c r="BP319" i="1"/>
  <c r="BN319" i="1"/>
  <c r="Z319" i="1"/>
  <c r="BP323" i="1"/>
  <c r="BN323" i="1"/>
  <c r="Z323" i="1"/>
  <c r="Z353" i="1"/>
  <c r="Z329" i="1"/>
  <c r="Z332" i="1" s="1"/>
  <c r="BN329" i="1"/>
  <c r="BP329" i="1"/>
  <c r="Z331" i="1"/>
  <c r="BN331" i="1"/>
  <c r="Z335" i="1"/>
  <c r="BN335" i="1"/>
  <c r="BP335" i="1"/>
  <c r="Z337" i="1"/>
  <c r="BN337" i="1"/>
  <c r="Z339" i="1"/>
  <c r="BN339" i="1"/>
  <c r="Y340" i="1"/>
  <c r="Z343" i="1"/>
  <c r="BN343" i="1"/>
  <c r="BP343" i="1"/>
  <c r="Z345" i="1"/>
  <c r="BN345" i="1"/>
  <c r="Y346" i="1"/>
  <c r="Z351" i="1"/>
  <c r="BN351" i="1"/>
  <c r="BP351" i="1"/>
  <c r="Z357" i="1"/>
  <c r="Z359" i="1" s="1"/>
  <c r="BN357" i="1"/>
  <c r="BP357" i="1"/>
  <c r="Y365" i="1"/>
  <c r="Z368" i="1"/>
  <c r="Z370" i="1" s="1"/>
  <c r="BN368" i="1"/>
  <c r="BP368" i="1"/>
  <c r="W601" i="1"/>
  <c r="Z376" i="1"/>
  <c r="Z385" i="1" s="1"/>
  <c r="BN376" i="1"/>
  <c r="Z378" i="1"/>
  <c r="BN378" i="1"/>
  <c r="Z380" i="1"/>
  <c r="BN380" i="1"/>
  <c r="Z382" i="1"/>
  <c r="BN382" i="1"/>
  <c r="Z384" i="1"/>
  <c r="BN384" i="1"/>
  <c r="Y385" i="1"/>
  <c r="Z388" i="1"/>
  <c r="Z390" i="1" s="1"/>
  <c r="BN388" i="1"/>
  <c r="BP388" i="1"/>
  <c r="Y391" i="1"/>
  <c r="Z393" i="1"/>
  <c r="BN393" i="1"/>
  <c r="BP393" i="1"/>
  <c r="Z394" i="1"/>
  <c r="BN394" i="1"/>
  <c r="Y395" i="1"/>
  <c r="X601" i="1"/>
  <c r="Z404" i="1"/>
  <c r="Z408" i="1" s="1"/>
  <c r="BN404" i="1"/>
  <c r="BP404" i="1"/>
  <c r="Z406" i="1"/>
  <c r="BN406" i="1"/>
  <c r="Y409" i="1"/>
  <c r="Z412" i="1"/>
  <c r="Z413" i="1" s="1"/>
  <c r="BN412" i="1"/>
  <c r="BP412" i="1"/>
  <c r="Z416" i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1" i="1"/>
  <c r="Z434" i="1"/>
  <c r="Z442" i="1" s="1"/>
  <c r="BN434" i="1"/>
  <c r="Z435" i="1"/>
  <c r="BN435" i="1"/>
  <c r="Z437" i="1"/>
  <c r="BN437" i="1"/>
  <c r="Z440" i="1"/>
  <c r="BN440" i="1"/>
  <c r="Y443" i="1"/>
  <c r="Z446" i="1"/>
  <c r="Z447" i="1" s="1"/>
  <c r="BN446" i="1"/>
  <c r="BP446" i="1"/>
  <c r="Z451" i="1"/>
  <c r="Z453" i="1" s="1"/>
  <c r="BN451" i="1"/>
  <c r="BP451" i="1"/>
  <c r="Y454" i="1"/>
  <c r="Z456" i="1"/>
  <c r="Z460" i="1" s="1"/>
  <c r="BN456" i="1"/>
  <c r="BP456" i="1"/>
  <c r="Z459" i="1"/>
  <c r="BN459" i="1"/>
  <c r="Y460" i="1"/>
  <c r="Z464" i="1"/>
  <c r="Z466" i="1" s="1"/>
  <c r="BN464" i="1"/>
  <c r="BP464" i="1"/>
  <c r="Z465" i="1"/>
  <c r="BN465" i="1"/>
  <c r="Y466" i="1"/>
  <c r="Z470" i="1"/>
  <c r="Z471" i="1" s="1"/>
  <c r="BN470" i="1"/>
  <c r="BP47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386" i="1"/>
  <c r="Y442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65" i="1" l="1"/>
  <c r="Z523" i="1"/>
  <c r="Z528" i="1"/>
  <c r="Z517" i="1"/>
  <c r="Z421" i="1"/>
  <c r="Z395" i="1"/>
  <c r="Z346" i="1"/>
  <c r="Z340" i="1"/>
  <c r="Z325" i="1"/>
  <c r="Y595" i="1"/>
  <c r="Y592" i="1"/>
  <c r="Z547" i="1"/>
  <c r="Z183" i="1"/>
  <c r="Z116" i="1"/>
  <c r="Z55" i="1"/>
  <c r="Y591" i="1"/>
  <c r="Y593" i="1"/>
  <c r="Z28" i="1"/>
  <c r="Z596" i="1" l="1"/>
  <c r="Y594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<sst xmlns="http://schemas.openxmlformats.org/spreadsheetml/2006/main" count="2720" uniqueCount="975">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</sst>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2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1200</v>
      </c>
      <c r="Y375" s="664">
        <f t="shared" ref="Y375:Y384" si="58">IFERROR(IF(X375="",0,CEILING((X375/$H375),1)*$H375),"")</f>
        <v>1200</v>
      </c>
      <c r="Z375" s="36">
        <f>IFERROR(IF(Y375=0,"",ROUNDUP(Y375/H375,0)*0.02175),"")</f>
        <v>1.7399999999999998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1238.4000000000001</v>
      </c>
      <c r="BN375" s="64">
        <f t="shared" ref="BN375:BN384" si="60">IFERROR(Y375*I375/H375,"0")</f>
        <v>1238.4000000000001</v>
      </c>
      <c r="BO375" s="64">
        <f t="shared" ref="BO375:BO384" si="61">IFERROR(1/J375*(X375/H375),"0")</f>
        <v>1.6666666666666665</v>
      </c>
      <c r="BP375" s="64">
        <f t="shared" ref="BP375:BP384" si="62">IFERROR(1/J375*(Y375/H375),"0")</f>
        <v>1.6666666666666665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800</v>
      </c>
      <c r="Y379" s="664">
        <f t="shared" si="58"/>
        <v>810</v>
      </c>
      <c r="Z379" s="36">
        <f>IFERROR(IF(Y379=0,"",ROUNDUP(Y379/H379,0)*0.02175),"")</f>
        <v>1.1744999999999999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825.6</v>
      </c>
      <c r="BN379" s="64">
        <f t="shared" si="60"/>
        <v>835.92000000000007</v>
      </c>
      <c r="BO379" s="64">
        <f t="shared" si="61"/>
        <v>1.1111111111111112</v>
      </c>
      <c r="BP379" s="64">
        <f t="shared" si="62"/>
        <v>1.125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133.33333333333334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134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2.9144999999999994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2000</v>
      </c>
      <c r="Y386" s="665">
        <f>IFERROR(SUM(Y375:Y384),"0")</f>
        <v>2010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1600</v>
      </c>
      <c r="Y416" s="664">
        <f>IFERROR(IF(X416="",0,CEILING((X416/$H416),1)*$H416),"")</f>
        <v>1602</v>
      </c>
      <c r="Z416" s="36">
        <f>IFERROR(IF(Y416=0,"",ROUNDUP(Y416/H416,0)*0.01898),"")</f>
        <v>3.3784399999999999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1692.2666666666667</v>
      </c>
      <c r="BN416" s="64">
        <f>IFERROR(Y416*I416/H416,"0")</f>
        <v>1694.3820000000001</v>
      </c>
      <c r="BO416" s="64">
        <f>IFERROR(1/J416*(X416/H416),"0")</f>
        <v>2.7777777777777777</v>
      </c>
      <c r="BP416" s="64">
        <f>IFERROR(1/J416*(Y416/H416),"0")</f>
        <v>2.78125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177.77777777777777</v>
      </c>
      <c r="Y421" s="665">
        <f>IFERROR(Y416/H416,"0")+IFERROR(Y417/H417,"0")+IFERROR(Y418/H418,"0")+IFERROR(Y419/H419,"0")+IFERROR(Y420/H420,"0")</f>
        <v>178</v>
      </c>
      <c r="Z421" s="665">
        <f>IFERROR(IF(Z416="",0,Z416),"0")+IFERROR(IF(Z417="",0,Z417),"0")+IFERROR(IF(Z418="",0,Z418),"0")+IFERROR(IF(Z419="",0,Z419),"0")+IFERROR(IF(Z420="",0,Z420),"0")</f>
        <v>3.3784399999999999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1600</v>
      </c>
      <c r="Y422" s="665">
        <f>IFERROR(SUM(Y416:Y420),"0")</f>
        <v>1602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1350</v>
      </c>
      <c r="Y482" s="664">
        <f t="shared" si="69"/>
        <v>1351.68</v>
      </c>
      <c r="Z482" s="36">
        <f>IFERROR(IF(Y482=0,"",ROUNDUP(Y482/H482,0)*0.01196),"")</f>
        <v>3.06176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1442.0454545454545</v>
      </c>
      <c r="BN482" s="64">
        <f t="shared" si="71"/>
        <v>1443.84</v>
      </c>
      <c r="BO482" s="64">
        <f t="shared" si="72"/>
        <v>2.4584790209790208</v>
      </c>
      <c r="BP482" s="64">
        <f t="shared" si="73"/>
        <v>2.4615384615384617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500</v>
      </c>
      <c r="Y483" s="664">
        <f t="shared" si="69"/>
        <v>501.6</v>
      </c>
      <c r="Z483" s="36">
        <f>IFERROR(IF(Y483=0,"",ROUNDUP(Y483/H483,0)*0.01196),"")</f>
        <v>1.1362000000000001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534.09090909090912</v>
      </c>
      <c r="BN483" s="64">
        <f t="shared" si="71"/>
        <v>535.79999999999995</v>
      </c>
      <c r="BO483" s="64">
        <f t="shared" si="72"/>
        <v>0.91054778554778548</v>
      </c>
      <c r="BP483" s="64">
        <f t="shared" si="73"/>
        <v>0.91346153846153855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350.37878787878788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351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4.1979600000000001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1850</v>
      </c>
      <c r="Y496" s="665">
        <f>IFERROR(SUM(Y480:Y494),"0")</f>
        <v>1853.2800000000002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500</v>
      </c>
      <c r="Y498" s="664">
        <f>IFERROR(IF(X498="",0,CEILING((X498/$H498),1)*$H498),"")</f>
        <v>501.6</v>
      </c>
      <c r="Z498" s="36">
        <f>IFERROR(IF(Y498=0,"",ROUNDUP(Y498/H498,0)*0.01196),"")</f>
        <v>1.1362000000000001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534.09090909090912</v>
      </c>
      <c r="BN498" s="64">
        <f>IFERROR(Y498*I498/H498,"0")</f>
        <v>535.79999999999995</v>
      </c>
      <c r="BO498" s="64">
        <f>IFERROR(1/J498*(X498/H498),"0")</f>
        <v>0.91054778554778548</v>
      </c>
      <c r="BP498" s="64">
        <f>IFERROR(1/J498*(Y498/H498),"0")</f>
        <v>0.91346153846153855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94.696969696969688</v>
      </c>
      <c r="Y502" s="665">
        <f>IFERROR(Y498/H498,"0")+IFERROR(Y499/H499,"0")+IFERROR(Y500/H500,"0")+IFERROR(Y501/H501,"0")</f>
        <v>95</v>
      </c>
      <c r="Z502" s="665">
        <f>IFERROR(IF(Z498="",0,Z498),"0")+IFERROR(IF(Z499="",0,Z499),"0")+IFERROR(IF(Z500="",0,Z500),"0")+IFERROR(IF(Z501="",0,Z501),"0")</f>
        <v>1.1362000000000001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500</v>
      </c>
      <c r="Y503" s="665">
        <f>IFERROR(SUM(Y498:Y501),"0")</f>
        <v>501.6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500</v>
      </c>
      <c r="Y507" s="664">
        <f t="shared" si="74"/>
        <v>501.6</v>
      </c>
      <c r="Z507" s="36">
        <f>IFERROR(IF(Y507=0,"",ROUNDUP(Y507/H507,0)*0.01196),"")</f>
        <v>1.1362000000000001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534.09090909090912</v>
      </c>
      <c r="BN507" s="64">
        <f t="shared" si="76"/>
        <v>535.79999999999995</v>
      </c>
      <c r="BO507" s="64">
        <f t="shared" si="77"/>
        <v>0.91054778554778548</v>
      </c>
      <c r="BP507" s="64">
        <f t="shared" si="78"/>
        <v>0.91346153846153855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94.696969696969688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95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1.1362000000000001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500</v>
      </c>
      <c r="Y518" s="665">
        <f>IFERROR(SUM(Y505:Y516),"0")</f>
        <v>501.6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7450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7473.4800000000014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7832.5848484848475</v>
      </c>
      <c r="Y592" s="665">
        <f>IFERROR(SUM(BN22:BN588),"0")</f>
        <v>7857.1020000000017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8157.5848484848475</v>
      </c>
      <c r="Y594" s="665">
        <f>GrossWeightTotalR+PalletQtyTotalR*25</f>
        <v>8182.1020000000017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917.55050505050508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920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14.220550000000001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3015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1602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2856.48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2025-04-17T09:03:24Z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