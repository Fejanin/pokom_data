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"/>
    </mc:Choice>
  </mc:AlternateContent>
  <xr:revisionPtr revIDLastSave="0" documentId="13_ncr:1_{6412B99D-72C7-4D46-A5ED-9227ADF741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8" i="1" l="1"/>
  <c r="R78" i="1"/>
  <c r="R77" i="1"/>
  <c r="R24" i="1"/>
  <c r="AH87" i="1" l="1"/>
  <c r="R11" i="1"/>
  <c r="AH11" i="1" s="1"/>
  <c r="R14" i="1"/>
  <c r="AH14" i="1" s="1"/>
  <c r="R15" i="1"/>
  <c r="AH15" i="1" s="1"/>
  <c r="R16" i="1"/>
  <c r="R32" i="1"/>
  <c r="R33" i="1"/>
  <c r="AH33" i="1" s="1"/>
  <c r="R40" i="1"/>
  <c r="R48" i="1"/>
  <c r="R50" i="1"/>
  <c r="AH50" i="1" s="1"/>
  <c r="R63" i="1"/>
  <c r="AH63" i="1" s="1"/>
  <c r="R67" i="1"/>
  <c r="AH67" i="1" s="1"/>
  <c r="R68" i="1"/>
  <c r="R70" i="1"/>
  <c r="AH70" i="1" s="1"/>
  <c r="R71" i="1"/>
  <c r="AH71" i="1" s="1"/>
  <c r="R72" i="1"/>
  <c r="R73" i="1"/>
  <c r="AH73" i="1" s="1"/>
  <c r="R74" i="1"/>
  <c r="AH74" i="1" s="1"/>
  <c r="R75" i="1"/>
  <c r="AH75" i="1" s="1"/>
  <c r="R80" i="1"/>
  <c r="R81" i="1"/>
  <c r="AH81" i="1" s="1"/>
  <c r="R82" i="1"/>
  <c r="AH82" i="1" s="1"/>
  <c r="R83" i="1"/>
  <c r="AH83" i="1" s="1"/>
  <c r="R84" i="1"/>
  <c r="R85" i="1"/>
  <c r="AH85" i="1" s="1"/>
  <c r="R89" i="1"/>
  <c r="AH89" i="1" s="1"/>
  <c r="R93" i="1"/>
  <c r="AH93" i="1" s="1"/>
  <c r="R94" i="1"/>
  <c r="AH94" i="1" s="1"/>
  <c r="R95" i="1"/>
  <c r="AH95" i="1" s="1"/>
  <c r="AH96" i="1"/>
  <c r="AH84" i="1" l="1"/>
  <c r="AH80" i="1"/>
  <c r="AH72" i="1"/>
  <c r="AH68" i="1"/>
  <c r="AH48" i="1"/>
  <c r="AH40" i="1"/>
  <c r="AH32" i="1"/>
  <c r="AH16" i="1"/>
  <c r="P96" i="1"/>
  <c r="V96" i="1" l="1"/>
  <c r="U96" i="1"/>
  <c r="E51" i="1"/>
  <c r="P7" i="1"/>
  <c r="Q7" i="1" s="1"/>
  <c r="P8" i="1"/>
  <c r="P9" i="1"/>
  <c r="Q9" i="1" s="1"/>
  <c r="P10" i="1"/>
  <c r="P11" i="1"/>
  <c r="U11" i="1" s="1"/>
  <c r="P12" i="1"/>
  <c r="P13" i="1"/>
  <c r="Q13" i="1" s="1"/>
  <c r="R13" i="1" s="1"/>
  <c r="P14" i="1"/>
  <c r="U14" i="1" s="1"/>
  <c r="P15" i="1"/>
  <c r="U15" i="1" s="1"/>
  <c r="P16" i="1"/>
  <c r="U16" i="1" s="1"/>
  <c r="P17" i="1"/>
  <c r="P18" i="1"/>
  <c r="P19" i="1"/>
  <c r="P20" i="1"/>
  <c r="Q20" i="1" s="1"/>
  <c r="P21" i="1"/>
  <c r="P22" i="1"/>
  <c r="Q22" i="1" s="1"/>
  <c r="P23" i="1"/>
  <c r="Q23" i="1" s="1"/>
  <c r="P24" i="1"/>
  <c r="P25" i="1"/>
  <c r="P26" i="1"/>
  <c r="P27" i="1"/>
  <c r="P28" i="1"/>
  <c r="P29" i="1"/>
  <c r="P30" i="1"/>
  <c r="P31" i="1"/>
  <c r="P32" i="1"/>
  <c r="U32" i="1" s="1"/>
  <c r="P33" i="1"/>
  <c r="U33" i="1" s="1"/>
  <c r="P34" i="1"/>
  <c r="P35" i="1"/>
  <c r="P36" i="1"/>
  <c r="P37" i="1"/>
  <c r="P38" i="1"/>
  <c r="P39" i="1"/>
  <c r="Q39" i="1" s="1"/>
  <c r="P40" i="1"/>
  <c r="U40" i="1" s="1"/>
  <c r="P41" i="1"/>
  <c r="P42" i="1"/>
  <c r="P43" i="1"/>
  <c r="P44" i="1"/>
  <c r="Q44" i="1" s="1"/>
  <c r="P45" i="1"/>
  <c r="P46" i="1"/>
  <c r="P47" i="1"/>
  <c r="P48" i="1"/>
  <c r="U48" i="1" s="1"/>
  <c r="P49" i="1"/>
  <c r="Q49" i="1" s="1"/>
  <c r="R49" i="1" s="1"/>
  <c r="P50" i="1"/>
  <c r="U50" i="1" s="1"/>
  <c r="P52" i="1"/>
  <c r="P53" i="1"/>
  <c r="Q53" i="1" s="1"/>
  <c r="R53" i="1" s="1"/>
  <c r="P54" i="1"/>
  <c r="P55" i="1"/>
  <c r="Q55" i="1" s="1"/>
  <c r="R55" i="1" s="1"/>
  <c r="P56" i="1"/>
  <c r="P57" i="1"/>
  <c r="Q57" i="1" s="1"/>
  <c r="P58" i="1"/>
  <c r="P59" i="1"/>
  <c r="Q59" i="1" s="1"/>
  <c r="P60" i="1"/>
  <c r="P61" i="1"/>
  <c r="Q61" i="1" s="1"/>
  <c r="P62" i="1"/>
  <c r="P63" i="1"/>
  <c r="U63" i="1" s="1"/>
  <c r="P64" i="1"/>
  <c r="P65" i="1"/>
  <c r="Q65" i="1" s="1"/>
  <c r="P66" i="1"/>
  <c r="P67" i="1"/>
  <c r="U67" i="1" s="1"/>
  <c r="P68" i="1"/>
  <c r="U68" i="1" s="1"/>
  <c r="P69" i="1"/>
  <c r="Q69" i="1" s="1"/>
  <c r="R69" i="1" s="1"/>
  <c r="P70" i="1"/>
  <c r="U70" i="1" s="1"/>
  <c r="P71" i="1"/>
  <c r="U71" i="1" s="1"/>
  <c r="P72" i="1"/>
  <c r="U72" i="1" s="1"/>
  <c r="P73" i="1"/>
  <c r="U73" i="1" s="1"/>
  <c r="P74" i="1"/>
  <c r="U74" i="1" s="1"/>
  <c r="P75" i="1"/>
  <c r="U75" i="1" s="1"/>
  <c r="P76" i="1"/>
  <c r="Q76" i="1" s="1"/>
  <c r="P77" i="1"/>
  <c r="P78" i="1"/>
  <c r="P79" i="1"/>
  <c r="P80" i="1"/>
  <c r="U80" i="1" s="1"/>
  <c r="P81" i="1"/>
  <c r="U81" i="1" s="1"/>
  <c r="P82" i="1"/>
  <c r="U82" i="1" s="1"/>
  <c r="P83" i="1"/>
  <c r="U83" i="1" s="1"/>
  <c r="P84" i="1"/>
  <c r="U84" i="1" s="1"/>
  <c r="P85" i="1"/>
  <c r="U85" i="1" s="1"/>
  <c r="P86" i="1"/>
  <c r="P87" i="1"/>
  <c r="U87" i="1" s="1"/>
  <c r="P88" i="1"/>
  <c r="P89" i="1"/>
  <c r="U89" i="1" s="1"/>
  <c r="P90" i="1"/>
  <c r="P91" i="1"/>
  <c r="V91" i="1" s="1"/>
  <c r="P92" i="1"/>
  <c r="P93" i="1"/>
  <c r="P94" i="1"/>
  <c r="U94" i="1" s="1"/>
  <c r="P95" i="1"/>
  <c r="P6" i="1"/>
  <c r="Q6" i="1" s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O5" i="1"/>
  <c r="N5" i="1"/>
  <c r="M5" i="1"/>
  <c r="L5" i="1"/>
  <c r="J5" i="1"/>
  <c r="F5" i="1"/>
  <c r="U78" i="1" l="1"/>
  <c r="AH78" i="1"/>
  <c r="U77" i="1"/>
  <c r="AH77" i="1"/>
  <c r="U24" i="1"/>
  <c r="AH24" i="1"/>
  <c r="AH88" i="1"/>
  <c r="AH6" i="1"/>
  <c r="U6" i="1"/>
  <c r="U76" i="1"/>
  <c r="AH76" i="1"/>
  <c r="AH49" i="1"/>
  <c r="U49" i="1"/>
  <c r="AH39" i="1"/>
  <c r="U39" i="1"/>
  <c r="AH23" i="1"/>
  <c r="U23" i="1"/>
  <c r="AH13" i="1"/>
  <c r="U13" i="1"/>
  <c r="AH9" i="1"/>
  <c r="U9" i="1"/>
  <c r="AH7" i="1"/>
  <c r="U7" i="1"/>
  <c r="V95" i="1"/>
  <c r="U95" i="1"/>
  <c r="V93" i="1"/>
  <c r="U93" i="1"/>
  <c r="AH69" i="1"/>
  <c r="U69" i="1"/>
  <c r="AH65" i="1"/>
  <c r="U65" i="1"/>
  <c r="AH61" i="1"/>
  <c r="U61" i="1"/>
  <c r="AH59" i="1"/>
  <c r="U59" i="1"/>
  <c r="AH57" i="1"/>
  <c r="U57" i="1"/>
  <c r="AH55" i="1"/>
  <c r="U55" i="1"/>
  <c r="AH53" i="1"/>
  <c r="U53" i="1"/>
  <c r="U44" i="1"/>
  <c r="AH44" i="1"/>
  <c r="U22" i="1"/>
  <c r="AH22" i="1"/>
  <c r="U20" i="1"/>
  <c r="AH20" i="1"/>
  <c r="V94" i="1"/>
  <c r="V92" i="1"/>
  <c r="Q92" i="1"/>
  <c r="R92" i="1" s="1"/>
  <c r="Q90" i="1"/>
  <c r="R90" i="1" s="1"/>
  <c r="Q86" i="1"/>
  <c r="R86" i="1" s="1"/>
  <c r="Q66" i="1"/>
  <c r="R66" i="1" s="1"/>
  <c r="Q64" i="1"/>
  <c r="R64" i="1" s="1"/>
  <c r="Q62" i="1"/>
  <c r="R62" i="1" s="1"/>
  <c r="Q60" i="1"/>
  <c r="Q58" i="1"/>
  <c r="Q56" i="1"/>
  <c r="Q54" i="1"/>
  <c r="Q52" i="1"/>
  <c r="R52" i="1" s="1"/>
  <c r="Q46" i="1"/>
  <c r="R46" i="1" s="1"/>
  <c r="Q42" i="1"/>
  <c r="R42" i="1" s="1"/>
  <c r="Q38" i="1"/>
  <c r="Q36" i="1"/>
  <c r="Q34" i="1"/>
  <c r="Q30" i="1"/>
  <c r="R30" i="1" s="1"/>
  <c r="Q28" i="1"/>
  <c r="Q26" i="1"/>
  <c r="Q12" i="1"/>
  <c r="Q10" i="1"/>
  <c r="Q8" i="1"/>
  <c r="P51" i="1"/>
  <c r="Q51" i="1" s="1"/>
  <c r="R51" i="1" s="1"/>
  <c r="K51" i="1"/>
  <c r="K5" i="1" s="1"/>
  <c r="E5" i="1"/>
  <c r="Q18" i="1"/>
  <c r="Q17" i="1"/>
  <c r="Q19" i="1"/>
  <c r="Q21" i="1"/>
  <c r="Q25" i="1"/>
  <c r="Q27" i="1"/>
  <c r="Q29" i="1"/>
  <c r="R29" i="1" s="1"/>
  <c r="Q31" i="1"/>
  <c r="Q35" i="1"/>
  <c r="Q37" i="1"/>
  <c r="Q41" i="1"/>
  <c r="R41" i="1" s="1"/>
  <c r="Q43" i="1"/>
  <c r="R43" i="1" s="1"/>
  <c r="Q45" i="1"/>
  <c r="R45" i="1" s="1"/>
  <c r="Q47" i="1"/>
  <c r="Q79" i="1"/>
  <c r="Q91" i="1"/>
  <c r="R91" i="1" s="1"/>
  <c r="V85" i="1"/>
  <c r="V77" i="1"/>
  <c r="V70" i="1"/>
  <c r="V62" i="1"/>
  <c r="V54" i="1"/>
  <c r="V46" i="1"/>
  <c r="V38" i="1"/>
  <c r="V30" i="1"/>
  <c r="V22" i="1"/>
  <c r="V14" i="1"/>
  <c r="V89" i="1"/>
  <c r="V81" i="1"/>
  <c r="V73" i="1"/>
  <c r="V66" i="1"/>
  <c r="V58" i="1"/>
  <c r="V50" i="1"/>
  <c r="V42" i="1"/>
  <c r="V34" i="1"/>
  <c r="V26" i="1"/>
  <c r="V18" i="1"/>
  <c r="V10" i="1"/>
  <c r="V87" i="1"/>
  <c r="V83" i="1"/>
  <c r="V79" i="1"/>
  <c r="V75" i="1"/>
  <c r="V71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V6" i="1"/>
  <c r="V90" i="1"/>
  <c r="V88" i="1"/>
  <c r="V86" i="1"/>
  <c r="V84" i="1"/>
  <c r="V82" i="1"/>
  <c r="V80" i="1"/>
  <c r="V78" i="1"/>
  <c r="V76" i="1"/>
  <c r="V74" i="1"/>
  <c r="V72" i="1"/>
  <c r="V69" i="1"/>
  <c r="V67" i="1"/>
  <c r="V65" i="1"/>
  <c r="V63" i="1"/>
  <c r="V61" i="1"/>
  <c r="V59" i="1"/>
  <c r="V57" i="1"/>
  <c r="V55" i="1"/>
  <c r="V53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U88" i="1" l="1"/>
  <c r="AH79" i="1"/>
  <c r="U79" i="1"/>
  <c r="AH45" i="1"/>
  <c r="U45" i="1"/>
  <c r="AH41" i="1"/>
  <c r="U41" i="1"/>
  <c r="AH35" i="1"/>
  <c r="U35" i="1"/>
  <c r="AH29" i="1"/>
  <c r="U29" i="1"/>
  <c r="AH25" i="1"/>
  <c r="U25" i="1"/>
  <c r="AH19" i="1"/>
  <c r="U19" i="1"/>
  <c r="U18" i="1"/>
  <c r="AH18" i="1"/>
  <c r="U8" i="1"/>
  <c r="AH8" i="1"/>
  <c r="U12" i="1"/>
  <c r="AH12" i="1"/>
  <c r="U28" i="1"/>
  <c r="AH28" i="1"/>
  <c r="U34" i="1"/>
  <c r="AH34" i="1"/>
  <c r="U38" i="1"/>
  <c r="AH38" i="1"/>
  <c r="U46" i="1"/>
  <c r="AH46" i="1"/>
  <c r="U54" i="1"/>
  <c r="AH54" i="1"/>
  <c r="U58" i="1"/>
  <c r="AH58" i="1"/>
  <c r="U62" i="1"/>
  <c r="AH62" i="1"/>
  <c r="U66" i="1"/>
  <c r="AH66" i="1"/>
  <c r="AH90" i="1"/>
  <c r="U90" i="1"/>
  <c r="R5" i="1"/>
  <c r="AH91" i="1"/>
  <c r="U91" i="1"/>
  <c r="AH47" i="1"/>
  <c r="U47" i="1"/>
  <c r="AH43" i="1"/>
  <c r="U43" i="1"/>
  <c r="AH37" i="1"/>
  <c r="U37" i="1"/>
  <c r="AH31" i="1"/>
  <c r="U31" i="1"/>
  <c r="AH27" i="1"/>
  <c r="U27" i="1"/>
  <c r="AH21" i="1"/>
  <c r="U21" i="1"/>
  <c r="AH17" i="1"/>
  <c r="U17" i="1"/>
  <c r="AH51" i="1"/>
  <c r="U51" i="1"/>
  <c r="U10" i="1"/>
  <c r="AH10" i="1"/>
  <c r="U26" i="1"/>
  <c r="AH26" i="1"/>
  <c r="U30" i="1"/>
  <c r="AH30" i="1"/>
  <c r="U36" i="1"/>
  <c r="AH36" i="1"/>
  <c r="U42" i="1"/>
  <c r="AH42" i="1"/>
  <c r="U52" i="1"/>
  <c r="AH52" i="1"/>
  <c r="U56" i="1"/>
  <c r="AH56" i="1"/>
  <c r="U60" i="1"/>
  <c r="AH60" i="1"/>
  <c r="U64" i="1"/>
  <c r="AH64" i="1"/>
  <c r="AH86" i="1"/>
  <c r="U86" i="1"/>
  <c r="AH92" i="1"/>
  <c r="U92" i="1"/>
  <c r="V51" i="1"/>
  <c r="P5" i="1"/>
  <c r="Q5" i="1"/>
  <c r="AH5" i="1" l="1"/>
</calcChain>
</file>

<file path=xl/sharedStrings.xml><?xml version="1.0" encoding="utf-8"?>
<sst xmlns="http://schemas.openxmlformats.org/spreadsheetml/2006/main" count="380" uniqueCount="161">
  <si>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</si>
  <si>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</si>
  <si>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</si>
  <si>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</si>
  <si>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</si>
  <si>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</si>
  <si>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</si>
  <si>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</si>
  <si>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</si>
  <si>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</si>
  <si>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</si>
  <si>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</si>
  <si>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</si>
  <si>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</si>
  <si>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</si>
  <si>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</si>
  <si>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</si>
  <si>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</si>
  <si>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</si>
  <si>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</si>
  <si>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</si>
  <si>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</si>
  <si>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</si>
  <si>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09,04,</t>
  </si>
  <si>
    <t>12,04,</t>
  </si>
  <si>
    <t>10,04,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</si>
  <si>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</si>
  <si>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</si>
  <si>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</si>
  <si>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</si>
  <si>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</si>
  <si>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</si>
  <si>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</si>
  <si>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</si>
  <si>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</si>
  <si>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</si>
  <si>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</si>
  <si>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</si>
  <si>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</si>
  <si>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</si>
  <si>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</si>
  <si>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</si>
  <si>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</si>
  <si>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</si>
  <si>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</si>
  <si>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</si>
  <si>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</si>
  <si>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новинка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</si>
  <si>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</si>
  <si>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</si>
  <si>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</si>
  <si>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</si>
  <si>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>28,03,25 филиал обнулил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</si>
  <si>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</si>
  <si>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</si>
  <si>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</si>
  <si>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</si>
  <si>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</si>
  <si>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</si>
  <si>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</si>
  <si>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</si>
  <si>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</si>
  <si>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</si>
  <si>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</si>
  <si>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</si>
  <si>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</si>
  <si>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</si>
  <si>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</si>
  <si>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</si>
  <si>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</si>
  <si>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</si>
  <si>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10,04,25 филиал обнулил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</si>
  <si>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</si>
  <si>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</si>
  <si>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</si>
  <si>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</si>
  <si>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</si>
  <si>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</si>
  <si>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</si>
  <si>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</si>
  <si>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</si>
  <si>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</si>
  <si>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</si>
  <si>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</si>
  <si>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</si>
  <si>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</si>
  <si>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</si>
  <si>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</si>
  <si>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</si>
  <si>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</si>
  <si>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</si>
  <si>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</si>
  <si>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</si>
  <si>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</si>
  <si>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</si>
  <si>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</si>
  <si>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</si>
  <si>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</si>
  <si>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</si>
  <si>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</si>
  <si>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</si>
  <si>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</si>
  <si>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</si>
  <si>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</si>
  <si>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</si>
  <si>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</si>
  <si>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</si>
  <si>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</si>
  <si>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необходимо увеличить продажи / Spar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</si>
  <si>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</si>
  <si>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</si>
  <si>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</si>
  <si>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</si>
  <si>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</si>
  <si>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</si>
  <si>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</si>
  <si>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</si>
  <si>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</si>
  <si>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</si>
  <si>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необходимо увеличить продажи!!!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</si>
  <si>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</si>
  <si>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</si>
  <si>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440  Колбаса Любительская ТМ Вязанка в оболочке полиамид.ВЕС ПОКОМ </t>
  </si>
  <si>
    <t>не в матрице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</si>
  <si>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</si>
  <si>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</si>
  <si>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</si>
  <si>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</si>
  <si>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</si>
  <si>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</si>
  <si>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</si>
  <si>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</si>
  <si>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</si>
  <si>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</si>
  <si>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</si>
  <si>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</si>
  <si>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</si>
  <si>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</si>
  <si>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</si>
  <si>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</si>
  <si>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</si>
  <si>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</si>
  <si>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</si>
  <si>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</si>
  <si>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</si>
  <si>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</si>
  <si>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</si>
  <si>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</si>
  <si>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</si>
  <si>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</si>
  <si>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необходимо увеличить продажи</t>
  </si>
  <si>
    <t>Деликатесы в/к «Грудинка копчено-вареная» Фикс.вес 0,12 нарезка ТМ «Стародворье»</t>
  </si>
  <si>
    <t>большие остатки</t>
  </si>
  <si>
    <t>остаток 1750, в день уходит по 500кг, предпраздничная неделя</t>
  </si>
  <si>
    <t>ср.день 300шт</t>
  </si>
  <si>
    <t>ротация на Любительскую, на остатках 200кг</t>
  </si>
  <si>
    <t>новинка, приоритет от завода</t>
  </si>
  <si>
    <t>11,04,25 филиал обнулил</t>
  </si>
  <si>
    <t>11,04,25 филиал обнулил / Spar</t>
  </si>
  <si>
    <t>заказ</t>
  </si>
  <si>
    <t>14,04,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</si>
</sst>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7" sqref="AG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9" width="7" customWidth="1"/>
    <col min="20" max="20" width="21" customWidth="1"/>
    <col min="21" max="22" width="5" customWidth="1"/>
    <col min="23" max="32" width="6" customWidth="1"/>
    <col min="33" max="33" width="42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3" t="s">
        <v>159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 t="s">
        <v>160</v>
      </c>
      <c r="S4" s="1"/>
      <c r="T4" s="1"/>
      <c r="U4" s="1"/>
      <c r="V4" s="1"/>
      <c r="W4" s="1" t="s">
        <v>23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38139.330999999998</v>
      </c>
      <c r="F5" s="4">
        <f>SUM(F6:F498)</f>
        <v>41664.336999999992</v>
      </c>
      <c r="G5" s="7"/>
      <c r="H5" s="1"/>
      <c r="I5" s="1"/>
      <c r="J5" s="4">
        <f t="shared" ref="J5:S5" si="0">SUM(J6:J498)</f>
        <v>39259.385000000002</v>
      </c>
      <c r="K5" s="4">
        <f t="shared" si="0"/>
        <v>-1120.0539999999996</v>
      </c>
      <c r="L5" s="4">
        <f t="shared" si="0"/>
        <v>0</v>
      </c>
      <c r="M5" s="4">
        <f t="shared" si="0"/>
        <v>0</v>
      </c>
      <c r="N5" s="4">
        <f t="shared" si="0"/>
        <v>10000</v>
      </c>
      <c r="O5" s="4">
        <f t="shared" si="0"/>
        <v>23666.801500000001</v>
      </c>
      <c r="P5" s="4">
        <f t="shared" si="0"/>
        <v>7627.8662000000004</v>
      </c>
      <c r="Q5" s="4">
        <f t="shared" si="0"/>
        <v>10781.8433</v>
      </c>
      <c r="R5" s="4">
        <f t="shared" si="0"/>
        <v>10417.822599999998</v>
      </c>
      <c r="S5" s="4">
        <f t="shared" si="0"/>
        <v>2300</v>
      </c>
      <c r="T5" s="1"/>
      <c r="U5" s="1"/>
      <c r="V5" s="1"/>
      <c r="W5" s="4">
        <f t="shared" ref="W5:AF5" si="1">SUM(W6:W498)</f>
        <v>7839.8761999999997</v>
      </c>
      <c r="X5" s="4">
        <f t="shared" si="1"/>
        <v>7286.4119999999966</v>
      </c>
      <c r="Y5" s="4">
        <f t="shared" si="1"/>
        <v>7388.3336000000036</v>
      </c>
      <c r="Z5" s="4">
        <f t="shared" si="1"/>
        <v>7650.6683999999996</v>
      </c>
      <c r="AA5" s="4">
        <f t="shared" si="1"/>
        <v>7324.4454000000014</v>
      </c>
      <c r="AB5" s="4">
        <f t="shared" si="1"/>
        <v>7249.4987999999994</v>
      </c>
      <c r="AC5" s="4">
        <f t="shared" si="1"/>
        <v>7102.0894000000008</v>
      </c>
      <c r="AD5" s="4">
        <f t="shared" si="1"/>
        <v>6112.3332</v>
      </c>
      <c r="AE5" s="4">
        <f t="shared" si="1"/>
        <v>6331.464600000003</v>
      </c>
      <c r="AF5" s="4">
        <f t="shared" si="1"/>
        <v>7260.2397999999994</v>
      </c>
      <c r="AG5" s="1"/>
      <c r="AH5" s="4">
        <f>SUM(AH6:AH498)</f>
        <v>7244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1711.616</v>
      </c>
      <c r="D6" s="1">
        <v>774.57</v>
      </c>
      <c r="E6" s="1">
        <v>923.88300000000004</v>
      </c>
      <c r="F6" s="1">
        <v>1226.518</v>
      </c>
      <c r="G6" s="7">
        <v>1</v>
      </c>
      <c r="H6" s="1">
        <v>50</v>
      </c>
      <c r="I6" s="1" t="s">
        <v>37</v>
      </c>
      <c r="J6" s="1">
        <v>889.65</v>
      </c>
      <c r="K6" s="1">
        <f t="shared" ref="K6:K37" si="2">E6-J6</f>
        <v>34.233000000000061</v>
      </c>
      <c r="L6" s="1"/>
      <c r="M6" s="1"/>
      <c r="N6" s="1"/>
      <c r="O6" s="1">
        <v>523.47289999999975</v>
      </c>
      <c r="P6" s="1">
        <f>E6/5</f>
        <v>184.7766</v>
      </c>
      <c r="Q6" s="5">
        <f>11*P6-O6-N6-F6</f>
        <v>282.55170000000021</v>
      </c>
      <c r="R6" s="5">
        <v>220</v>
      </c>
      <c r="S6" s="5"/>
      <c r="T6" s="1"/>
      <c r="U6" s="1">
        <f>(F6+N6+O6+R6)/P6</f>
        <v>10.661473909575129</v>
      </c>
      <c r="V6" s="1">
        <f>(F6+N6+O6)/P6</f>
        <v>9.4708469578940182</v>
      </c>
      <c r="W6" s="1">
        <v>199.58680000000001</v>
      </c>
      <c r="X6" s="1">
        <v>193.80600000000001</v>
      </c>
      <c r="Y6" s="1">
        <v>202.55420000000001</v>
      </c>
      <c r="Z6" s="1">
        <v>233.83860000000001</v>
      </c>
      <c r="AA6" s="1">
        <v>222.5736</v>
      </c>
      <c r="AB6" s="1">
        <v>210.6986</v>
      </c>
      <c r="AC6" s="1">
        <v>209.05520000000001</v>
      </c>
      <c r="AD6" s="1">
        <v>174.72720000000001</v>
      </c>
      <c r="AE6" s="1">
        <v>192.51759999999999</v>
      </c>
      <c r="AF6" s="1">
        <v>204.0472</v>
      </c>
      <c r="AG6" s="1" t="s">
        <v>38</v>
      </c>
      <c r="AH6" s="1">
        <f>ROUND(G6*R6,0)</f>
        <v>220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36</v>
      </c>
      <c r="C7" s="1">
        <v>794.298</v>
      </c>
      <c r="D7" s="1">
        <v>163.292</v>
      </c>
      <c r="E7" s="1">
        <v>362.62799999999999</v>
      </c>
      <c r="F7" s="1">
        <v>492.30799999999999</v>
      </c>
      <c r="G7" s="7">
        <v>1</v>
      </c>
      <c r="H7" s="1">
        <v>45</v>
      </c>
      <c r="I7" s="1" t="s">
        <v>37</v>
      </c>
      <c r="J7" s="1">
        <v>367.5</v>
      </c>
      <c r="K7" s="1">
        <f t="shared" si="2"/>
        <v>-4.8720000000000141</v>
      </c>
      <c r="L7" s="1"/>
      <c r="M7" s="1"/>
      <c r="N7" s="1"/>
      <c r="O7" s="1">
        <v>209.09880000000001</v>
      </c>
      <c r="P7" s="1">
        <f t="shared" ref="P7:P70" si="3">E7/5</f>
        <v>72.525599999999997</v>
      </c>
      <c r="Q7" s="5">
        <f t="shared" ref="Q7:Q13" si="4">11*P7-O7-N7-F7</f>
        <v>96.37480000000005</v>
      </c>
      <c r="R7" s="5">
        <v>80</v>
      </c>
      <c r="S7" s="5"/>
      <c r="T7" s="1"/>
      <c r="U7" s="1">
        <f t="shared" ref="U7:U70" si="5">(F7+N7+O7+R7)/P7</f>
        <v>10.774220413205819</v>
      </c>
      <c r="V7" s="1">
        <f t="shared" ref="V7:V70" si="6">(F7+N7+O7)/P7</f>
        <v>9.6711616312033275</v>
      </c>
      <c r="W7" s="1">
        <v>76.934600000000003</v>
      </c>
      <c r="X7" s="1">
        <v>76.82820000000001</v>
      </c>
      <c r="Y7" s="1">
        <v>85.204800000000006</v>
      </c>
      <c r="Z7" s="1">
        <v>83.876000000000005</v>
      </c>
      <c r="AA7" s="1">
        <v>75.0642</v>
      </c>
      <c r="AB7" s="1">
        <v>88.833600000000004</v>
      </c>
      <c r="AC7" s="1">
        <v>84.312600000000003</v>
      </c>
      <c r="AD7" s="1">
        <v>49.2316</v>
      </c>
      <c r="AE7" s="1">
        <v>47.328200000000002</v>
      </c>
      <c r="AF7" s="1">
        <v>70.820799999999991</v>
      </c>
      <c r="AG7" s="1"/>
      <c r="AH7" s="1">
        <f t="shared" ref="AH7:AH70" si="7">ROUND(G7*R7,0)</f>
        <v>80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847.92899999999997</v>
      </c>
      <c r="D8" s="1">
        <v>207.648</v>
      </c>
      <c r="E8" s="1">
        <v>460.399</v>
      </c>
      <c r="F8" s="1">
        <v>487.20600000000002</v>
      </c>
      <c r="G8" s="7">
        <v>1</v>
      </c>
      <c r="H8" s="1">
        <v>45</v>
      </c>
      <c r="I8" s="1" t="s">
        <v>37</v>
      </c>
      <c r="J8" s="1">
        <v>455.55</v>
      </c>
      <c r="K8" s="1">
        <f t="shared" si="2"/>
        <v>4.8489999999999895</v>
      </c>
      <c r="L8" s="1"/>
      <c r="M8" s="1"/>
      <c r="N8" s="1"/>
      <c r="O8" s="1">
        <v>428.76900000000001</v>
      </c>
      <c r="P8" s="1">
        <f t="shared" si="3"/>
        <v>92.079800000000006</v>
      </c>
      <c r="Q8" s="5">
        <f t="shared" si="4"/>
        <v>96.90280000000007</v>
      </c>
      <c r="R8" s="5">
        <v>80</v>
      </c>
      <c r="S8" s="5"/>
      <c r="T8" s="1"/>
      <c r="U8" s="1">
        <f t="shared" si="5"/>
        <v>10.816433137343912</v>
      </c>
      <c r="V8" s="1">
        <f t="shared" si="6"/>
        <v>9.9476215195949589</v>
      </c>
      <c r="W8" s="1">
        <v>98.1892</v>
      </c>
      <c r="X8" s="1">
        <v>84.763000000000005</v>
      </c>
      <c r="Y8" s="1">
        <v>91.332999999999998</v>
      </c>
      <c r="Z8" s="1">
        <v>114.956</v>
      </c>
      <c r="AA8" s="1">
        <v>110.0158</v>
      </c>
      <c r="AB8" s="1">
        <v>86.047600000000003</v>
      </c>
      <c r="AC8" s="1">
        <v>79.21520000000001</v>
      </c>
      <c r="AD8" s="1">
        <v>64.822599999999994</v>
      </c>
      <c r="AE8" s="1">
        <v>64.847000000000008</v>
      </c>
      <c r="AF8" s="1">
        <v>75.128599999999992</v>
      </c>
      <c r="AG8" s="1"/>
      <c r="AH8" s="1">
        <f t="shared" si="7"/>
        <v>80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440</v>
      </c>
      <c r="D9" s="1">
        <v>390</v>
      </c>
      <c r="E9" s="1">
        <v>377</v>
      </c>
      <c r="F9" s="1">
        <v>365</v>
      </c>
      <c r="G9" s="7">
        <v>0.45</v>
      </c>
      <c r="H9" s="1">
        <v>45</v>
      </c>
      <c r="I9" s="1" t="s">
        <v>37</v>
      </c>
      <c r="J9" s="1">
        <v>402</v>
      </c>
      <c r="K9" s="1">
        <f t="shared" si="2"/>
        <v>-25</v>
      </c>
      <c r="L9" s="1"/>
      <c r="M9" s="1"/>
      <c r="N9" s="1"/>
      <c r="O9" s="1">
        <v>307</v>
      </c>
      <c r="P9" s="1">
        <f t="shared" si="3"/>
        <v>75.400000000000006</v>
      </c>
      <c r="Q9" s="5">
        <f t="shared" si="4"/>
        <v>157.40000000000009</v>
      </c>
      <c r="R9" s="5">
        <v>130</v>
      </c>
      <c r="S9" s="5"/>
      <c r="T9" s="1"/>
      <c r="U9" s="1">
        <f t="shared" si="5"/>
        <v>10.636604774535808</v>
      </c>
      <c r="V9" s="1">
        <f t="shared" si="6"/>
        <v>8.9124668435013259</v>
      </c>
      <c r="W9" s="1">
        <v>75.599999999999994</v>
      </c>
      <c r="X9" s="1">
        <v>67</v>
      </c>
      <c r="Y9" s="1">
        <v>62.8</v>
      </c>
      <c r="Z9" s="1">
        <v>68.2</v>
      </c>
      <c r="AA9" s="1">
        <v>68.599999999999994</v>
      </c>
      <c r="AB9" s="1">
        <v>60.4</v>
      </c>
      <c r="AC9" s="1">
        <v>60.2</v>
      </c>
      <c r="AD9" s="1">
        <v>53.8</v>
      </c>
      <c r="AE9" s="1">
        <v>54</v>
      </c>
      <c r="AF9" s="1">
        <v>55.6</v>
      </c>
      <c r="AG9" s="1"/>
      <c r="AH9" s="1">
        <f t="shared" si="7"/>
        <v>59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1064</v>
      </c>
      <c r="D10" s="1">
        <v>432</v>
      </c>
      <c r="E10" s="1">
        <v>651</v>
      </c>
      <c r="F10" s="1">
        <v>643</v>
      </c>
      <c r="G10" s="7">
        <v>0.45</v>
      </c>
      <c r="H10" s="1">
        <v>45</v>
      </c>
      <c r="I10" s="1" t="s">
        <v>37</v>
      </c>
      <c r="J10" s="1">
        <v>653</v>
      </c>
      <c r="K10" s="1">
        <f t="shared" si="2"/>
        <v>-2</v>
      </c>
      <c r="L10" s="1"/>
      <c r="M10" s="1"/>
      <c r="N10" s="1"/>
      <c r="O10" s="1">
        <v>292.59999999999991</v>
      </c>
      <c r="P10" s="1">
        <f t="shared" si="3"/>
        <v>130.19999999999999</v>
      </c>
      <c r="Q10" s="5">
        <f t="shared" si="4"/>
        <v>496.59999999999991</v>
      </c>
      <c r="R10" s="5">
        <v>450</v>
      </c>
      <c r="S10" s="5"/>
      <c r="T10" s="1"/>
      <c r="U10" s="1">
        <f t="shared" si="5"/>
        <v>10.642089093701998</v>
      </c>
      <c r="V10" s="1">
        <f t="shared" si="6"/>
        <v>7.1858678955453152</v>
      </c>
      <c r="W10" s="1">
        <v>119.2</v>
      </c>
      <c r="X10" s="1">
        <v>117.4</v>
      </c>
      <c r="Y10" s="1">
        <v>124.8</v>
      </c>
      <c r="Z10" s="1">
        <v>133</v>
      </c>
      <c r="AA10" s="1">
        <v>128.19999999999999</v>
      </c>
      <c r="AB10" s="1">
        <v>111</v>
      </c>
      <c r="AC10" s="1">
        <v>113.6</v>
      </c>
      <c r="AD10" s="1">
        <v>105</v>
      </c>
      <c r="AE10" s="1">
        <v>109.8</v>
      </c>
      <c r="AF10" s="1">
        <v>127.2</v>
      </c>
      <c r="AG10" s="1"/>
      <c r="AH10" s="1">
        <f t="shared" si="7"/>
        <v>203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189</v>
      </c>
      <c r="D11" s="1">
        <v>120</v>
      </c>
      <c r="E11" s="1">
        <v>99</v>
      </c>
      <c r="F11" s="1">
        <v>170</v>
      </c>
      <c r="G11" s="7">
        <v>0.17</v>
      </c>
      <c r="H11" s="1">
        <v>180</v>
      </c>
      <c r="I11" s="1" t="s">
        <v>37</v>
      </c>
      <c r="J11" s="1">
        <v>99</v>
      </c>
      <c r="K11" s="1">
        <f t="shared" si="2"/>
        <v>0</v>
      </c>
      <c r="L11" s="1"/>
      <c r="M11" s="1"/>
      <c r="N11" s="1"/>
      <c r="O11" s="1">
        <v>96</v>
      </c>
      <c r="P11" s="1">
        <f t="shared" si="3"/>
        <v>19.8</v>
      </c>
      <c r="Q11" s="5"/>
      <c r="R11" s="5">
        <f t="shared" ref="R7:R70" si="8">Q11</f>
        <v>0</v>
      </c>
      <c r="S11" s="5"/>
      <c r="T11" s="1"/>
      <c r="U11" s="1">
        <f t="shared" si="5"/>
        <v>13.434343434343434</v>
      </c>
      <c r="V11" s="1">
        <f t="shared" si="6"/>
        <v>13.434343434343434</v>
      </c>
      <c r="W11" s="1">
        <v>19</v>
      </c>
      <c r="X11" s="1">
        <v>12</v>
      </c>
      <c r="Y11" s="1">
        <v>10.8</v>
      </c>
      <c r="Z11" s="1">
        <v>19</v>
      </c>
      <c r="AA11" s="1">
        <v>22.4</v>
      </c>
      <c r="AB11" s="1">
        <v>16.8</v>
      </c>
      <c r="AC11" s="1">
        <v>12.4</v>
      </c>
      <c r="AD11" s="1">
        <v>22.2</v>
      </c>
      <c r="AE11" s="1">
        <v>21.2</v>
      </c>
      <c r="AF11" s="1">
        <v>15.2</v>
      </c>
      <c r="AG11" s="1"/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42</v>
      </c>
      <c r="C12" s="1">
        <v>132</v>
      </c>
      <c r="D12" s="1"/>
      <c r="E12" s="1">
        <v>83</v>
      </c>
      <c r="F12" s="1">
        <v>32</v>
      </c>
      <c r="G12" s="7">
        <v>0.3</v>
      </c>
      <c r="H12" s="1">
        <v>40</v>
      </c>
      <c r="I12" s="1" t="s">
        <v>37</v>
      </c>
      <c r="J12" s="1">
        <v>88</v>
      </c>
      <c r="K12" s="1">
        <f t="shared" si="2"/>
        <v>-5</v>
      </c>
      <c r="L12" s="1"/>
      <c r="M12" s="1"/>
      <c r="N12" s="1"/>
      <c r="O12" s="1">
        <v>57</v>
      </c>
      <c r="P12" s="1">
        <f t="shared" si="3"/>
        <v>16.600000000000001</v>
      </c>
      <c r="Q12" s="5">
        <f t="shared" si="4"/>
        <v>93.600000000000023</v>
      </c>
      <c r="R12" s="5">
        <v>90</v>
      </c>
      <c r="S12" s="5"/>
      <c r="T12" s="1"/>
      <c r="U12" s="1">
        <f t="shared" si="5"/>
        <v>10.783132530120481</v>
      </c>
      <c r="V12" s="1">
        <f t="shared" si="6"/>
        <v>5.3614457831325293</v>
      </c>
      <c r="W12" s="1">
        <v>12.6</v>
      </c>
      <c r="X12" s="1">
        <v>5</v>
      </c>
      <c r="Y12" s="1">
        <v>10.199999999999999</v>
      </c>
      <c r="Z12" s="1">
        <v>14.6</v>
      </c>
      <c r="AA12" s="1">
        <v>9</v>
      </c>
      <c r="AB12" s="1">
        <v>8</v>
      </c>
      <c r="AC12" s="1">
        <v>7.6</v>
      </c>
      <c r="AD12" s="1">
        <v>10</v>
      </c>
      <c r="AE12" s="1">
        <v>9.1999999999999993</v>
      </c>
      <c r="AF12" s="1">
        <v>7</v>
      </c>
      <c r="AG12" s="1"/>
      <c r="AH12" s="1">
        <f t="shared" si="7"/>
        <v>27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42</v>
      </c>
      <c r="C13" s="1">
        <v>128</v>
      </c>
      <c r="D13" s="1">
        <v>255</v>
      </c>
      <c r="E13" s="1">
        <v>153</v>
      </c>
      <c r="F13" s="1">
        <v>187</v>
      </c>
      <c r="G13" s="7">
        <v>0.17</v>
      </c>
      <c r="H13" s="1">
        <v>180</v>
      </c>
      <c r="I13" s="1" t="s">
        <v>37</v>
      </c>
      <c r="J13" s="1">
        <v>197</v>
      </c>
      <c r="K13" s="1">
        <f t="shared" si="2"/>
        <v>-44</v>
      </c>
      <c r="L13" s="1"/>
      <c r="M13" s="1"/>
      <c r="N13" s="1"/>
      <c r="O13" s="1">
        <v>0</v>
      </c>
      <c r="P13" s="1">
        <f t="shared" si="3"/>
        <v>30.6</v>
      </c>
      <c r="Q13" s="5">
        <f t="shared" si="4"/>
        <v>149.60000000000002</v>
      </c>
      <c r="R13" s="5">
        <f t="shared" si="8"/>
        <v>149.60000000000002</v>
      </c>
      <c r="S13" s="5"/>
      <c r="T13" s="1"/>
      <c r="U13" s="1">
        <f t="shared" si="5"/>
        <v>11</v>
      </c>
      <c r="V13" s="1">
        <f t="shared" si="6"/>
        <v>6.1111111111111107</v>
      </c>
      <c r="W13" s="1">
        <v>25.8</v>
      </c>
      <c r="X13" s="1">
        <v>40.6</v>
      </c>
      <c r="Y13" s="1">
        <v>42</v>
      </c>
      <c r="Z13" s="1">
        <v>28.8</v>
      </c>
      <c r="AA13" s="1">
        <v>28.8</v>
      </c>
      <c r="AB13" s="1">
        <v>36.200000000000003</v>
      </c>
      <c r="AC13" s="1">
        <v>37.4</v>
      </c>
      <c r="AD13" s="1">
        <v>40.200000000000003</v>
      </c>
      <c r="AE13" s="1">
        <v>37.6</v>
      </c>
      <c r="AF13" s="1">
        <v>39.200000000000003</v>
      </c>
      <c r="AG13" s="1"/>
      <c r="AH13" s="1">
        <f t="shared" si="7"/>
        <v>25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0" t="s">
        <v>139</v>
      </c>
      <c r="B14" s="1" t="s">
        <v>42</v>
      </c>
      <c r="C14" s="1"/>
      <c r="D14" s="1">
        <v>120</v>
      </c>
      <c r="E14" s="1">
        <v>51</v>
      </c>
      <c r="F14" s="1">
        <v>69</v>
      </c>
      <c r="G14" s="7">
        <v>0.05</v>
      </c>
      <c r="H14" s="1">
        <v>120</v>
      </c>
      <c r="I14" s="1" t="s">
        <v>37</v>
      </c>
      <c r="J14" s="1">
        <v>55</v>
      </c>
      <c r="K14" s="1">
        <f t="shared" si="2"/>
        <v>-4</v>
      </c>
      <c r="L14" s="1"/>
      <c r="M14" s="1"/>
      <c r="N14" s="1"/>
      <c r="O14" s="1">
        <v>100</v>
      </c>
      <c r="P14" s="1">
        <f t="shared" si="3"/>
        <v>10.199999999999999</v>
      </c>
      <c r="Q14" s="5"/>
      <c r="R14" s="5">
        <f t="shared" si="8"/>
        <v>0</v>
      </c>
      <c r="S14" s="5"/>
      <c r="T14" s="1"/>
      <c r="U14" s="1">
        <f t="shared" si="5"/>
        <v>16.568627450980394</v>
      </c>
      <c r="V14" s="1">
        <f t="shared" si="6"/>
        <v>16.568627450980394</v>
      </c>
      <c r="W14" s="1">
        <v>0.8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 t="s">
        <v>47</v>
      </c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4" t="s">
        <v>48</v>
      </c>
      <c r="B15" s="14" t="s">
        <v>42</v>
      </c>
      <c r="C15" s="14"/>
      <c r="D15" s="14"/>
      <c r="E15" s="14"/>
      <c r="F15" s="14"/>
      <c r="G15" s="15">
        <v>0</v>
      </c>
      <c r="H15" s="14">
        <v>50</v>
      </c>
      <c r="I15" s="14" t="s">
        <v>37</v>
      </c>
      <c r="J15" s="14"/>
      <c r="K15" s="14">
        <f t="shared" si="2"/>
        <v>0</v>
      </c>
      <c r="L15" s="14"/>
      <c r="M15" s="14"/>
      <c r="N15" s="14"/>
      <c r="O15" s="14">
        <v>0</v>
      </c>
      <c r="P15" s="14">
        <f t="shared" si="3"/>
        <v>0</v>
      </c>
      <c r="Q15" s="16"/>
      <c r="R15" s="5">
        <f t="shared" si="8"/>
        <v>0</v>
      </c>
      <c r="S15" s="16"/>
      <c r="T15" s="14"/>
      <c r="U15" s="1" t="e">
        <f t="shared" si="5"/>
        <v>#DIV/0!</v>
      </c>
      <c r="V15" s="14" t="e">
        <f t="shared" si="6"/>
        <v>#DIV/0!</v>
      </c>
      <c r="W15" s="14">
        <v>0</v>
      </c>
      <c r="X15" s="14">
        <v>-0.2</v>
      </c>
      <c r="Y15" s="14">
        <v>-0.2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-0.2</v>
      </c>
      <c r="AG15" s="14" t="s">
        <v>49</v>
      </c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42</v>
      </c>
      <c r="C16" s="1">
        <v>34</v>
      </c>
      <c r="D16" s="1">
        <v>1</v>
      </c>
      <c r="E16" s="1">
        <v>6</v>
      </c>
      <c r="F16" s="1">
        <v>15</v>
      </c>
      <c r="G16" s="7">
        <v>0.35</v>
      </c>
      <c r="H16" s="1">
        <v>50</v>
      </c>
      <c r="I16" s="1" t="s">
        <v>37</v>
      </c>
      <c r="J16" s="1">
        <v>14</v>
      </c>
      <c r="K16" s="1">
        <f t="shared" si="2"/>
        <v>-8</v>
      </c>
      <c r="L16" s="1"/>
      <c r="M16" s="1"/>
      <c r="N16" s="1"/>
      <c r="O16" s="1">
        <v>10</v>
      </c>
      <c r="P16" s="1">
        <f t="shared" si="3"/>
        <v>1.2</v>
      </c>
      <c r="Q16" s="5"/>
      <c r="R16" s="5">
        <f t="shared" si="8"/>
        <v>0</v>
      </c>
      <c r="S16" s="5"/>
      <c r="T16" s="1"/>
      <c r="U16" s="1">
        <f t="shared" si="5"/>
        <v>20.833333333333336</v>
      </c>
      <c r="V16" s="1">
        <f t="shared" si="6"/>
        <v>20.833333333333336</v>
      </c>
      <c r="W16" s="1">
        <v>2.4</v>
      </c>
      <c r="X16" s="1">
        <v>2.2000000000000002</v>
      </c>
      <c r="Y16" s="1">
        <v>1.8</v>
      </c>
      <c r="Z16" s="1">
        <v>3.8</v>
      </c>
      <c r="AA16" s="1">
        <v>4</v>
      </c>
      <c r="AB16" s="1">
        <v>3.6</v>
      </c>
      <c r="AC16" s="1">
        <v>2.8</v>
      </c>
      <c r="AD16" s="1">
        <v>3.6</v>
      </c>
      <c r="AE16" s="1">
        <v>3.6</v>
      </c>
      <c r="AF16" s="1">
        <v>6.6</v>
      </c>
      <c r="AG16" s="19" t="s">
        <v>150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673.85599999999999</v>
      </c>
      <c r="D17" s="1">
        <v>404.69</v>
      </c>
      <c r="E17" s="1">
        <v>476.18400000000003</v>
      </c>
      <c r="F17" s="1">
        <v>524.19399999999996</v>
      </c>
      <c r="G17" s="7">
        <v>1</v>
      </c>
      <c r="H17" s="1">
        <v>55</v>
      </c>
      <c r="I17" s="1" t="s">
        <v>37</v>
      </c>
      <c r="J17" s="1">
        <v>463.83499999999998</v>
      </c>
      <c r="K17" s="1">
        <f t="shared" si="2"/>
        <v>12.349000000000046</v>
      </c>
      <c r="L17" s="1"/>
      <c r="M17" s="1"/>
      <c r="N17" s="1"/>
      <c r="O17" s="1">
        <v>358.68700000000001</v>
      </c>
      <c r="P17" s="1">
        <f t="shared" si="3"/>
        <v>95.236800000000002</v>
      </c>
      <c r="Q17" s="5">
        <f t="shared" ref="Q17:Q47" si="9">11*P17-O17-N17-F17</f>
        <v>164.7238000000001</v>
      </c>
      <c r="R17" s="5">
        <v>150</v>
      </c>
      <c r="S17" s="5"/>
      <c r="T17" s="1"/>
      <c r="U17" s="1">
        <f t="shared" si="5"/>
        <v>10.845397997412762</v>
      </c>
      <c r="V17" s="1">
        <f t="shared" si="6"/>
        <v>9.2703765771214481</v>
      </c>
      <c r="W17" s="1">
        <v>95.256399999999999</v>
      </c>
      <c r="X17" s="1">
        <v>110.68899999999999</v>
      </c>
      <c r="Y17" s="1">
        <v>119.01300000000001</v>
      </c>
      <c r="Z17" s="1">
        <v>160.46700000000001</v>
      </c>
      <c r="AA17" s="1">
        <v>157.99100000000001</v>
      </c>
      <c r="AB17" s="1">
        <v>144.5138</v>
      </c>
      <c r="AC17" s="1">
        <v>143.2388</v>
      </c>
      <c r="AD17" s="1">
        <v>124.5916</v>
      </c>
      <c r="AE17" s="1">
        <v>128.5864</v>
      </c>
      <c r="AF17" s="1">
        <v>156.54220000000001</v>
      </c>
      <c r="AG17" s="1" t="s">
        <v>52</v>
      </c>
      <c r="AH17" s="1">
        <f t="shared" si="7"/>
        <v>150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36</v>
      </c>
      <c r="C18" s="1">
        <v>677.14400000000001</v>
      </c>
      <c r="D18" s="1">
        <v>3160.52</v>
      </c>
      <c r="E18" s="1">
        <v>1092.5419999999999</v>
      </c>
      <c r="F18" s="1">
        <v>2318.982</v>
      </c>
      <c r="G18" s="7">
        <v>1</v>
      </c>
      <c r="H18" s="1">
        <v>50</v>
      </c>
      <c r="I18" s="1" t="s">
        <v>37</v>
      </c>
      <c r="J18" s="1">
        <v>1497.5</v>
      </c>
      <c r="K18" s="1">
        <f t="shared" si="2"/>
        <v>-404.95800000000008</v>
      </c>
      <c r="L18" s="1"/>
      <c r="M18" s="1"/>
      <c r="N18" s="1"/>
      <c r="O18" s="1">
        <v>0</v>
      </c>
      <c r="P18" s="1">
        <f t="shared" si="3"/>
        <v>218.50839999999999</v>
      </c>
      <c r="Q18" s="5">
        <f t="shared" si="9"/>
        <v>84.610400000000027</v>
      </c>
      <c r="R18" s="5">
        <v>1000</v>
      </c>
      <c r="S18" s="5">
        <v>1500</v>
      </c>
      <c r="T18" s="1" t="s">
        <v>153</v>
      </c>
      <c r="U18" s="1">
        <f t="shared" si="5"/>
        <v>15.189265035119931</v>
      </c>
      <c r="V18" s="1">
        <f t="shared" si="6"/>
        <v>10.612781934241429</v>
      </c>
      <c r="W18" s="1">
        <v>242.88740000000001</v>
      </c>
      <c r="X18" s="1">
        <v>480.85820000000001</v>
      </c>
      <c r="Y18" s="1">
        <v>502.64679999999998</v>
      </c>
      <c r="Z18" s="1">
        <v>476.44839999999999</v>
      </c>
      <c r="AA18" s="1">
        <v>459.03800000000001</v>
      </c>
      <c r="AB18" s="1">
        <v>461.20319999999998</v>
      </c>
      <c r="AC18" s="1">
        <v>455.66520000000003</v>
      </c>
      <c r="AD18" s="1">
        <v>405.77159999999998</v>
      </c>
      <c r="AE18" s="1">
        <v>402.40120000000002</v>
      </c>
      <c r="AF18" s="1">
        <v>479.74540000000002</v>
      </c>
      <c r="AG18" s="1" t="s">
        <v>52</v>
      </c>
      <c r="AH18" s="1">
        <f t="shared" si="7"/>
        <v>1000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36</v>
      </c>
      <c r="C19" s="1">
        <v>229.14099999999999</v>
      </c>
      <c r="D19" s="1">
        <v>90.078999999999994</v>
      </c>
      <c r="E19" s="1">
        <v>164.09200000000001</v>
      </c>
      <c r="F19" s="1">
        <v>134.791</v>
      </c>
      <c r="G19" s="7">
        <v>1</v>
      </c>
      <c r="H19" s="1">
        <v>60</v>
      </c>
      <c r="I19" s="1" t="s">
        <v>37</v>
      </c>
      <c r="J19" s="1">
        <v>157.51</v>
      </c>
      <c r="K19" s="1">
        <f t="shared" si="2"/>
        <v>6.5820000000000221</v>
      </c>
      <c r="L19" s="1"/>
      <c r="M19" s="1"/>
      <c r="N19" s="1"/>
      <c r="O19" s="1">
        <v>165.9</v>
      </c>
      <c r="P19" s="1">
        <f t="shared" si="3"/>
        <v>32.818400000000004</v>
      </c>
      <c r="Q19" s="5">
        <f t="shared" si="9"/>
        <v>60.31140000000002</v>
      </c>
      <c r="R19" s="5">
        <v>50</v>
      </c>
      <c r="S19" s="5"/>
      <c r="T19" s="1"/>
      <c r="U19" s="1">
        <f t="shared" si="5"/>
        <v>10.685804304902128</v>
      </c>
      <c r="V19" s="1">
        <f t="shared" si="6"/>
        <v>9.1622687272993204</v>
      </c>
      <c r="W19" s="1">
        <v>31.964200000000002</v>
      </c>
      <c r="X19" s="1">
        <v>26.536999999999999</v>
      </c>
      <c r="Y19" s="1">
        <v>28.069199999999999</v>
      </c>
      <c r="Z19" s="1">
        <v>34.624400000000001</v>
      </c>
      <c r="AA19" s="1">
        <v>37.755200000000002</v>
      </c>
      <c r="AB19" s="1">
        <v>28.684999999999999</v>
      </c>
      <c r="AC19" s="1">
        <v>23.091000000000001</v>
      </c>
      <c r="AD19" s="1">
        <v>31.021999999999998</v>
      </c>
      <c r="AE19" s="1">
        <v>33.302399999999999</v>
      </c>
      <c r="AF19" s="1">
        <v>28.489799999999999</v>
      </c>
      <c r="AG19" s="1"/>
      <c r="AH19" s="1">
        <f t="shared" si="7"/>
        <v>50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36</v>
      </c>
      <c r="C20" s="1">
        <v>803.90200000000004</v>
      </c>
      <c r="D20" s="1">
        <v>237.673</v>
      </c>
      <c r="E20" s="1">
        <v>563.77499999999998</v>
      </c>
      <c r="F20" s="1">
        <v>334.68200000000002</v>
      </c>
      <c r="G20" s="7">
        <v>1</v>
      </c>
      <c r="H20" s="1">
        <v>60</v>
      </c>
      <c r="I20" s="1" t="s">
        <v>37</v>
      </c>
      <c r="J20" s="1">
        <v>573.6</v>
      </c>
      <c r="K20" s="1">
        <f t="shared" si="2"/>
        <v>-9.8250000000000455</v>
      </c>
      <c r="L20" s="1"/>
      <c r="M20" s="1"/>
      <c r="N20" s="1"/>
      <c r="O20" s="1">
        <v>523.09320000000002</v>
      </c>
      <c r="P20" s="1">
        <f t="shared" si="3"/>
        <v>112.755</v>
      </c>
      <c r="Q20" s="5">
        <f t="shared" si="9"/>
        <v>382.5297999999998</v>
      </c>
      <c r="R20" s="5">
        <v>350</v>
      </c>
      <c r="S20" s="5"/>
      <c r="T20" s="1"/>
      <c r="U20" s="1">
        <f t="shared" si="5"/>
        <v>10.711500155203762</v>
      </c>
      <c r="V20" s="1">
        <f t="shared" si="6"/>
        <v>7.6074249478958809</v>
      </c>
      <c r="W20" s="1">
        <v>101.86960000000001</v>
      </c>
      <c r="X20" s="1">
        <v>82.778800000000004</v>
      </c>
      <c r="Y20" s="1">
        <v>89.636800000000008</v>
      </c>
      <c r="Z20" s="1">
        <v>110.19880000000001</v>
      </c>
      <c r="AA20" s="1">
        <v>104.9002</v>
      </c>
      <c r="AB20" s="1">
        <v>91.626199999999997</v>
      </c>
      <c r="AC20" s="1">
        <v>95.882800000000003</v>
      </c>
      <c r="AD20" s="1">
        <v>86.835999999999999</v>
      </c>
      <c r="AE20" s="1">
        <v>84.484200000000001</v>
      </c>
      <c r="AF20" s="1">
        <v>85.857600000000005</v>
      </c>
      <c r="AG20" s="1"/>
      <c r="AH20" s="1">
        <f t="shared" si="7"/>
        <v>350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36</v>
      </c>
      <c r="C21" s="1">
        <v>154.602</v>
      </c>
      <c r="D21" s="1">
        <v>193.98699999999999</v>
      </c>
      <c r="E21" s="1">
        <v>130.41300000000001</v>
      </c>
      <c r="F21" s="1">
        <v>141.64400000000001</v>
      </c>
      <c r="G21" s="7">
        <v>1</v>
      </c>
      <c r="H21" s="1">
        <v>60</v>
      </c>
      <c r="I21" s="1" t="s">
        <v>37</v>
      </c>
      <c r="J21" s="1">
        <v>152.36000000000001</v>
      </c>
      <c r="K21" s="1">
        <f t="shared" si="2"/>
        <v>-21.947000000000003</v>
      </c>
      <c r="L21" s="1"/>
      <c r="M21" s="1"/>
      <c r="N21" s="1"/>
      <c r="O21" s="1">
        <v>88.31940000000003</v>
      </c>
      <c r="P21" s="1">
        <f t="shared" si="3"/>
        <v>26.082600000000003</v>
      </c>
      <c r="Q21" s="5">
        <f t="shared" si="9"/>
        <v>56.9452</v>
      </c>
      <c r="R21" s="5">
        <v>50</v>
      </c>
      <c r="S21" s="5"/>
      <c r="T21" s="1"/>
      <c r="U21" s="1">
        <f t="shared" si="5"/>
        <v>10.733722865051798</v>
      </c>
      <c r="V21" s="1">
        <f t="shared" si="6"/>
        <v>8.8167360615889532</v>
      </c>
      <c r="W21" s="1">
        <v>25.940999999999999</v>
      </c>
      <c r="X21" s="1">
        <v>28.901599999999998</v>
      </c>
      <c r="Y21" s="1">
        <v>30.620200000000001</v>
      </c>
      <c r="Z21" s="1">
        <v>26.113399999999999</v>
      </c>
      <c r="AA21" s="1">
        <v>28.6584</v>
      </c>
      <c r="AB21" s="1">
        <v>31.215</v>
      </c>
      <c r="AC21" s="1">
        <v>25.907800000000002</v>
      </c>
      <c r="AD21" s="1">
        <v>25.0642</v>
      </c>
      <c r="AE21" s="1">
        <v>23.478200000000001</v>
      </c>
      <c r="AF21" s="1">
        <v>16.283200000000001</v>
      </c>
      <c r="AG21" s="1"/>
      <c r="AH21" s="1">
        <f t="shared" si="7"/>
        <v>50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36</v>
      </c>
      <c r="C22" s="1">
        <v>1923.0350000000001</v>
      </c>
      <c r="D22" s="1">
        <v>1761.49</v>
      </c>
      <c r="E22" s="1">
        <v>1470.9939999999999</v>
      </c>
      <c r="F22" s="1">
        <v>1954.0060000000001</v>
      </c>
      <c r="G22" s="7">
        <v>1</v>
      </c>
      <c r="H22" s="1">
        <v>60</v>
      </c>
      <c r="I22" s="1" t="s">
        <v>37</v>
      </c>
      <c r="J22" s="1">
        <v>1450.17</v>
      </c>
      <c r="K22" s="1">
        <f t="shared" si="2"/>
        <v>20.823999999999842</v>
      </c>
      <c r="L22" s="1"/>
      <c r="M22" s="1"/>
      <c r="N22" s="1">
        <v>1500</v>
      </c>
      <c r="O22" s="1">
        <v>0</v>
      </c>
      <c r="P22" s="1">
        <f t="shared" si="3"/>
        <v>294.19880000000001</v>
      </c>
      <c r="Q22" s="5">
        <f>12*P22-O22-N22-F22</f>
        <v>76.379599999999982</v>
      </c>
      <c r="R22" s="5">
        <v>0</v>
      </c>
      <c r="S22" s="5"/>
      <c r="T22" s="1"/>
      <c r="U22" s="1">
        <f t="shared" si="5"/>
        <v>11.740380994076116</v>
      </c>
      <c r="V22" s="1">
        <f t="shared" si="6"/>
        <v>11.740380994076116</v>
      </c>
      <c r="W22" s="1">
        <v>300.63979999999998</v>
      </c>
      <c r="X22" s="1">
        <v>284.88839999999999</v>
      </c>
      <c r="Y22" s="1">
        <v>276.19880000000001</v>
      </c>
      <c r="Z22" s="1">
        <v>280.8218</v>
      </c>
      <c r="AA22" s="1">
        <v>282.1146</v>
      </c>
      <c r="AB22" s="1">
        <v>283.45979999999997</v>
      </c>
      <c r="AC22" s="1">
        <v>281.43880000000001</v>
      </c>
      <c r="AD22" s="1">
        <v>243.20779999999999</v>
      </c>
      <c r="AE22" s="1">
        <v>246.3004</v>
      </c>
      <c r="AF22" s="1">
        <v>258.69439999999997</v>
      </c>
      <c r="AG22" s="1" t="s">
        <v>58</v>
      </c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>
        <v>528.38199999999995</v>
      </c>
      <c r="D23" s="1">
        <v>687.69</v>
      </c>
      <c r="E23" s="1">
        <v>575.85599999999999</v>
      </c>
      <c r="F23" s="1">
        <v>480.66800000000001</v>
      </c>
      <c r="G23" s="7">
        <v>1</v>
      </c>
      <c r="H23" s="1">
        <v>60</v>
      </c>
      <c r="I23" s="1" t="s">
        <v>37</v>
      </c>
      <c r="J23" s="1">
        <v>574.4</v>
      </c>
      <c r="K23" s="1">
        <f t="shared" si="2"/>
        <v>1.4560000000000173</v>
      </c>
      <c r="L23" s="1"/>
      <c r="M23" s="1"/>
      <c r="N23" s="1">
        <v>450</v>
      </c>
      <c r="O23" s="1">
        <v>325.3575000000003</v>
      </c>
      <c r="P23" s="1">
        <f t="shared" si="3"/>
        <v>115.1712</v>
      </c>
      <c r="Q23" s="5">
        <f t="shared" ref="Q23" si="10">12*P23-O23-N23-F23</f>
        <v>126.02889999999968</v>
      </c>
      <c r="R23" s="5">
        <v>80</v>
      </c>
      <c r="S23" s="5"/>
      <c r="T23" s="1"/>
      <c r="U23" s="1">
        <f t="shared" si="5"/>
        <v>11.600343662304466</v>
      </c>
      <c r="V23" s="1">
        <f t="shared" si="6"/>
        <v>10.905725563335279</v>
      </c>
      <c r="W23" s="1">
        <v>121.7162</v>
      </c>
      <c r="X23" s="1">
        <v>90.488599999999991</v>
      </c>
      <c r="Y23" s="1">
        <v>75.890999999999991</v>
      </c>
      <c r="Z23" s="1">
        <v>62.078599999999987</v>
      </c>
      <c r="AA23" s="1">
        <v>64.110600000000005</v>
      </c>
      <c r="AB23" s="1">
        <v>58.368399999999987</v>
      </c>
      <c r="AC23" s="1">
        <v>53.266599999999997</v>
      </c>
      <c r="AD23" s="1">
        <v>39.108600000000003</v>
      </c>
      <c r="AE23" s="1">
        <v>41.738</v>
      </c>
      <c r="AF23" s="1">
        <v>74.789400000000001</v>
      </c>
      <c r="AG23" s="1" t="s">
        <v>60</v>
      </c>
      <c r="AH23" s="1">
        <f t="shared" si="7"/>
        <v>80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36</v>
      </c>
      <c r="C24" s="1">
        <v>330.017</v>
      </c>
      <c r="D24" s="1">
        <v>909.40899999999999</v>
      </c>
      <c r="E24" s="1">
        <v>444.39100000000002</v>
      </c>
      <c r="F24" s="1">
        <v>671.77700000000004</v>
      </c>
      <c r="G24" s="7">
        <v>1</v>
      </c>
      <c r="H24" s="1">
        <v>60</v>
      </c>
      <c r="I24" s="1" t="s">
        <v>37</v>
      </c>
      <c r="J24" s="1">
        <v>523.47</v>
      </c>
      <c r="K24" s="1">
        <f t="shared" si="2"/>
        <v>-79.079000000000008</v>
      </c>
      <c r="L24" s="1"/>
      <c r="M24" s="1"/>
      <c r="N24" s="1">
        <v>450</v>
      </c>
      <c r="O24" s="1">
        <v>0</v>
      </c>
      <c r="P24" s="1">
        <f t="shared" si="3"/>
        <v>88.878200000000007</v>
      </c>
      <c r="Q24" s="5"/>
      <c r="R24" s="5">
        <f t="shared" ref="R24" si="11">Q24</f>
        <v>0</v>
      </c>
      <c r="S24" s="5"/>
      <c r="T24" s="1"/>
      <c r="U24" s="1">
        <f t="shared" si="5"/>
        <v>12.621508986455622</v>
      </c>
      <c r="V24" s="1">
        <f t="shared" si="6"/>
        <v>12.621508986455622</v>
      </c>
      <c r="W24" s="1">
        <v>92.834400000000002</v>
      </c>
      <c r="X24" s="1">
        <v>92.787999999999997</v>
      </c>
      <c r="Y24" s="1">
        <v>79.977599999999995</v>
      </c>
      <c r="Z24" s="1">
        <v>47.770600000000002</v>
      </c>
      <c r="AA24" s="1">
        <v>47.9696</v>
      </c>
      <c r="AB24" s="1">
        <v>51.037400000000012</v>
      </c>
      <c r="AC24" s="1">
        <v>48.724600000000002</v>
      </c>
      <c r="AD24" s="1">
        <v>38.2806</v>
      </c>
      <c r="AE24" s="1">
        <v>36.550400000000003</v>
      </c>
      <c r="AF24" s="1">
        <v>60.637</v>
      </c>
      <c r="AG24" s="1" t="s">
        <v>60</v>
      </c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36</v>
      </c>
      <c r="C25" s="1">
        <v>323.59500000000003</v>
      </c>
      <c r="D25" s="1">
        <v>433.62</v>
      </c>
      <c r="E25" s="1">
        <v>329.39</v>
      </c>
      <c r="F25" s="1">
        <v>359.495</v>
      </c>
      <c r="G25" s="7">
        <v>1</v>
      </c>
      <c r="H25" s="1">
        <v>60</v>
      </c>
      <c r="I25" s="1" t="s">
        <v>37</v>
      </c>
      <c r="J25" s="1">
        <v>329.2</v>
      </c>
      <c r="K25" s="1">
        <f t="shared" si="2"/>
        <v>0.18999999999999773</v>
      </c>
      <c r="L25" s="1"/>
      <c r="M25" s="1"/>
      <c r="N25" s="1"/>
      <c r="O25" s="1">
        <v>291.82299999999998</v>
      </c>
      <c r="P25" s="1">
        <f t="shared" si="3"/>
        <v>65.878</v>
      </c>
      <c r="Q25" s="5">
        <f t="shared" si="9"/>
        <v>73.340000000000032</v>
      </c>
      <c r="R25" s="5">
        <v>50</v>
      </c>
      <c r="S25" s="5"/>
      <c r="T25" s="1"/>
      <c r="U25" s="1">
        <f t="shared" si="5"/>
        <v>10.645708734327089</v>
      </c>
      <c r="V25" s="1">
        <f t="shared" si="6"/>
        <v>9.8867300160903486</v>
      </c>
      <c r="W25" s="1">
        <v>69.7684</v>
      </c>
      <c r="X25" s="1">
        <v>94.5428</v>
      </c>
      <c r="Y25" s="1">
        <v>102.59820000000001</v>
      </c>
      <c r="Z25" s="1">
        <v>146.876</v>
      </c>
      <c r="AA25" s="1">
        <v>148.06540000000001</v>
      </c>
      <c r="AB25" s="1">
        <v>129.44399999999999</v>
      </c>
      <c r="AC25" s="1">
        <v>123.5772</v>
      </c>
      <c r="AD25" s="1">
        <v>108.4508</v>
      </c>
      <c r="AE25" s="1">
        <v>112.6566</v>
      </c>
      <c r="AF25" s="1">
        <v>132.751</v>
      </c>
      <c r="AG25" s="1" t="s">
        <v>52</v>
      </c>
      <c r="AH25" s="1">
        <f t="shared" si="7"/>
        <v>50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36</v>
      </c>
      <c r="C26" s="1">
        <v>323.32600000000002</v>
      </c>
      <c r="D26" s="1">
        <v>415.077</v>
      </c>
      <c r="E26" s="1">
        <v>266.565</v>
      </c>
      <c r="F26" s="1">
        <v>422.20299999999997</v>
      </c>
      <c r="G26" s="7">
        <v>1</v>
      </c>
      <c r="H26" s="1">
        <v>30</v>
      </c>
      <c r="I26" s="1" t="s">
        <v>37</v>
      </c>
      <c r="J26" s="1">
        <v>264</v>
      </c>
      <c r="K26" s="1">
        <f t="shared" si="2"/>
        <v>2.5649999999999977</v>
      </c>
      <c r="L26" s="1"/>
      <c r="M26" s="1"/>
      <c r="N26" s="1"/>
      <c r="O26" s="1">
        <v>105.4692</v>
      </c>
      <c r="P26" s="1">
        <f t="shared" si="3"/>
        <v>53.313000000000002</v>
      </c>
      <c r="Q26" s="5">
        <f t="shared" si="9"/>
        <v>58.770800000000008</v>
      </c>
      <c r="R26" s="5">
        <v>50</v>
      </c>
      <c r="S26" s="5"/>
      <c r="T26" s="1"/>
      <c r="U26" s="1">
        <f t="shared" si="5"/>
        <v>10.83548477857183</v>
      </c>
      <c r="V26" s="1">
        <f t="shared" si="6"/>
        <v>9.8976272203777675</v>
      </c>
      <c r="W26" s="1">
        <v>55.741</v>
      </c>
      <c r="X26" s="1">
        <v>60.857799999999997</v>
      </c>
      <c r="Y26" s="1">
        <v>61.471600000000002</v>
      </c>
      <c r="Z26" s="1">
        <v>56.793999999999997</v>
      </c>
      <c r="AA26" s="1">
        <v>55.120199999999997</v>
      </c>
      <c r="AB26" s="1">
        <v>52.156599999999997</v>
      </c>
      <c r="AC26" s="1">
        <v>52.294400000000003</v>
      </c>
      <c r="AD26" s="1">
        <v>41.6068</v>
      </c>
      <c r="AE26" s="1">
        <v>41.186</v>
      </c>
      <c r="AF26" s="1">
        <v>44.9148</v>
      </c>
      <c r="AG26" s="1"/>
      <c r="AH26" s="1">
        <f t="shared" si="7"/>
        <v>50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36</v>
      </c>
      <c r="C27" s="1">
        <v>255.13300000000001</v>
      </c>
      <c r="D27" s="1">
        <v>160.869</v>
      </c>
      <c r="E27" s="1">
        <v>234.66</v>
      </c>
      <c r="F27" s="1">
        <v>165.90799999999999</v>
      </c>
      <c r="G27" s="7">
        <v>1</v>
      </c>
      <c r="H27" s="1">
        <v>30</v>
      </c>
      <c r="I27" s="1" t="s">
        <v>37</v>
      </c>
      <c r="J27" s="1">
        <v>215.7</v>
      </c>
      <c r="K27" s="1">
        <f t="shared" si="2"/>
        <v>18.960000000000008</v>
      </c>
      <c r="L27" s="1"/>
      <c r="M27" s="1"/>
      <c r="N27" s="1"/>
      <c r="O27" s="1">
        <v>258.12200000000001</v>
      </c>
      <c r="P27" s="1">
        <f t="shared" si="3"/>
        <v>46.932000000000002</v>
      </c>
      <c r="Q27" s="5">
        <f t="shared" si="9"/>
        <v>92.222000000000065</v>
      </c>
      <c r="R27" s="5">
        <v>80</v>
      </c>
      <c r="S27" s="5"/>
      <c r="T27" s="1"/>
      <c r="U27" s="1">
        <f t="shared" si="5"/>
        <v>10.739580669905394</v>
      </c>
      <c r="V27" s="1">
        <f t="shared" si="6"/>
        <v>9.0349867893974256</v>
      </c>
      <c r="W27" s="1">
        <v>44.941600000000001</v>
      </c>
      <c r="X27" s="1">
        <v>33.741</v>
      </c>
      <c r="Y27" s="1">
        <v>41.412999999999997</v>
      </c>
      <c r="Z27" s="1">
        <v>52.203000000000003</v>
      </c>
      <c r="AA27" s="1">
        <v>47.205199999999998</v>
      </c>
      <c r="AB27" s="1">
        <v>34.781599999999997</v>
      </c>
      <c r="AC27" s="1">
        <v>34.7318</v>
      </c>
      <c r="AD27" s="1">
        <v>34.130399999999987</v>
      </c>
      <c r="AE27" s="1">
        <v>33.811599999999999</v>
      </c>
      <c r="AF27" s="1">
        <v>40.175600000000003</v>
      </c>
      <c r="AG27" s="1" t="s">
        <v>52</v>
      </c>
      <c r="AH27" s="1">
        <f t="shared" si="7"/>
        <v>80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36</v>
      </c>
      <c r="C28" s="1">
        <v>455.29199999999997</v>
      </c>
      <c r="D28" s="1">
        <v>544.49199999999996</v>
      </c>
      <c r="E28" s="1">
        <v>453.21199999999999</v>
      </c>
      <c r="F28" s="1">
        <v>458.39600000000002</v>
      </c>
      <c r="G28" s="7">
        <v>1</v>
      </c>
      <c r="H28" s="1">
        <v>30</v>
      </c>
      <c r="I28" s="1" t="s">
        <v>37</v>
      </c>
      <c r="J28" s="1">
        <v>443.45</v>
      </c>
      <c r="K28" s="1">
        <f t="shared" si="2"/>
        <v>9.7620000000000005</v>
      </c>
      <c r="L28" s="1"/>
      <c r="M28" s="1"/>
      <c r="N28" s="1"/>
      <c r="O28" s="1">
        <v>401.54829999999993</v>
      </c>
      <c r="P28" s="1">
        <f t="shared" si="3"/>
        <v>90.642399999999995</v>
      </c>
      <c r="Q28" s="5">
        <f t="shared" si="9"/>
        <v>137.12209999999999</v>
      </c>
      <c r="R28" s="5">
        <v>90</v>
      </c>
      <c r="S28" s="5"/>
      <c r="T28" s="1"/>
      <c r="U28" s="1">
        <f t="shared" si="5"/>
        <v>10.480131814691578</v>
      </c>
      <c r="V28" s="1">
        <f t="shared" si="6"/>
        <v>9.4872190056750476</v>
      </c>
      <c r="W28" s="1">
        <v>92.914000000000001</v>
      </c>
      <c r="X28" s="1">
        <v>82.254199999999997</v>
      </c>
      <c r="Y28" s="1">
        <v>82.092999999999989</v>
      </c>
      <c r="Z28" s="1">
        <v>78.828400000000002</v>
      </c>
      <c r="AA28" s="1">
        <v>78.453400000000002</v>
      </c>
      <c r="AB28" s="1">
        <v>78.542600000000007</v>
      </c>
      <c r="AC28" s="1">
        <v>73.947199999999995</v>
      </c>
      <c r="AD28" s="1">
        <v>63.240400000000001</v>
      </c>
      <c r="AE28" s="1">
        <v>65.141199999999998</v>
      </c>
      <c r="AF28" s="1">
        <v>73.643200000000007</v>
      </c>
      <c r="AG28" s="1"/>
      <c r="AH28" s="1">
        <f t="shared" si="7"/>
        <v>90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36</v>
      </c>
      <c r="C29" s="1">
        <v>40.313000000000002</v>
      </c>
      <c r="D29" s="1"/>
      <c r="E29" s="1">
        <v>28.347000000000001</v>
      </c>
      <c r="F29" s="1">
        <v>10.862</v>
      </c>
      <c r="G29" s="7">
        <v>1</v>
      </c>
      <c r="H29" s="1">
        <v>45</v>
      </c>
      <c r="I29" s="1" t="s">
        <v>37</v>
      </c>
      <c r="J29" s="1">
        <v>28.8</v>
      </c>
      <c r="K29" s="1">
        <f t="shared" si="2"/>
        <v>-0.4529999999999994</v>
      </c>
      <c r="L29" s="1"/>
      <c r="M29" s="1"/>
      <c r="N29" s="1"/>
      <c r="O29" s="1">
        <v>37.710999999999999</v>
      </c>
      <c r="P29" s="1">
        <f t="shared" si="3"/>
        <v>5.6694000000000004</v>
      </c>
      <c r="Q29" s="5">
        <f t="shared" si="9"/>
        <v>13.790400000000007</v>
      </c>
      <c r="R29" s="5">
        <f t="shared" si="8"/>
        <v>13.790400000000007</v>
      </c>
      <c r="S29" s="5"/>
      <c r="T29" s="1"/>
      <c r="U29" s="1">
        <f t="shared" si="5"/>
        <v>11</v>
      </c>
      <c r="V29" s="1">
        <f t="shared" si="6"/>
        <v>8.5675732881786431</v>
      </c>
      <c r="W29" s="1">
        <v>5.1280000000000001</v>
      </c>
      <c r="X29" s="1">
        <v>1.5668</v>
      </c>
      <c r="Y29" s="1">
        <v>2.2690000000000001</v>
      </c>
      <c r="Z29" s="1">
        <v>4.8499999999999996</v>
      </c>
      <c r="AA29" s="1">
        <v>5.5060000000000002</v>
      </c>
      <c r="AB29" s="1">
        <v>4.5490000000000004</v>
      </c>
      <c r="AC29" s="1">
        <v>3.7423999999999999</v>
      </c>
      <c r="AD29" s="1">
        <v>2.4445999999999999</v>
      </c>
      <c r="AE29" s="1">
        <v>2.7004000000000001</v>
      </c>
      <c r="AF29" s="1">
        <v>5.4307999999999996</v>
      </c>
      <c r="AG29" s="1"/>
      <c r="AH29" s="1">
        <f t="shared" si="7"/>
        <v>14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36</v>
      </c>
      <c r="C30" s="1">
        <v>27.106000000000002</v>
      </c>
      <c r="D30" s="1">
        <v>8.7279999999999998</v>
      </c>
      <c r="E30" s="1">
        <v>32.988</v>
      </c>
      <c r="F30" s="1">
        <v>2.8460000000000001</v>
      </c>
      <c r="G30" s="7">
        <v>1</v>
      </c>
      <c r="H30" s="1">
        <v>40</v>
      </c>
      <c r="I30" s="1" t="s">
        <v>37</v>
      </c>
      <c r="J30" s="1">
        <v>31.4</v>
      </c>
      <c r="K30" s="1">
        <f t="shared" si="2"/>
        <v>1.588000000000001</v>
      </c>
      <c r="L30" s="1"/>
      <c r="M30" s="1"/>
      <c r="N30" s="1"/>
      <c r="O30" s="1">
        <v>43.903399999999998</v>
      </c>
      <c r="P30" s="1">
        <f t="shared" si="3"/>
        <v>6.5975999999999999</v>
      </c>
      <c r="Q30" s="5">
        <f t="shared" si="9"/>
        <v>25.824200000000001</v>
      </c>
      <c r="R30" s="5">
        <f t="shared" si="8"/>
        <v>25.824200000000001</v>
      </c>
      <c r="S30" s="5"/>
      <c r="T30" s="1"/>
      <c r="U30" s="1">
        <f t="shared" si="5"/>
        <v>11</v>
      </c>
      <c r="V30" s="1">
        <f t="shared" si="6"/>
        <v>7.0858190857281427</v>
      </c>
      <c r="W30" s="1">
        <v>6.0218000000000007</v>
      </c>
      <c r="X30" s="1">
        <v>2.9538000000000002</v>
      </c>
      <c r="Y30" s="1">
        <v>3.3149999999999999</v>
      </c>
      <c r="Z30" s="1">
        <v>3.6349999999999998</v>
      </c>
      <c r="AA30" s="1">
        <v>3.8618000000000001</v>
      </c>
      <c r="AB30" s="1">
        <v>3.7951999999999999</v>
      </c>
      <c r="AC30" s="1">
        <v>4.6604000000000001</v>
      </c>
      <c r="AD30" s="1">
        <v>2.9007999999999998</v>
      </c>
      <c r="AE30" s="1">
        <v>1.7383999999999999</v>
      </c>
      <c r="AF30" s="1">
        <v>3.7818000000000001</v>
      </c>
      <c r="AG30" s="1"/>
      <c r="AH30" s="1">
        <f t="shared" si="7"/>
        <v>26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36</v>
      </c>
      <c r="C31" s="1">
        <v>153.88499999999999</v>
      </c>
      <c r="D31" s="1">
        <v>234.43799999999999</v>
      </c>
      <c r="E31" s="1">
        <v>189.66300000000001</v>
      </c>
      <c r="F31" s="1">
        <v>160.40899999999999</v>
      </c>
      <c r="G31" s="7">
        <v>1</v>
      </c>
      <c r="H31" s="1">
        <v>30</v>
      </c>
      <c r="I31" s="1" t="s">
        <v>37</v>
      </c>
      <c r="J31" s="1">
        <v>189.1</v>
      </c>
      <c r="K31" s="1">
        <f t="shared" si="2"/>
        <v>0.5630000000000166</v>
      </c>
      <c r="L31" s="1"/>
      <c r="M31" s="1"/>
      <c r="N31" s="1"/>
      <c r="O31" s="1">
        <v>74.14560000000003</v>
      </c>
      <c r="P31" s="1">
        <f t="shared" si="3"/>
        <v>37.932600000000001</v>
      </c>
      <c r="Q31" s="5">
        <f t="shared" si="9"/>
        <v>182.70399999999995</v>
      </c>
      <c r="R31" s="5">
        <v>170</v>
      </c>
      <c r="S31" s="5"/>
      <c r="T31" s="1"/>
      <c r="U31" s="1">
        <f t="shared" si="5"/>
        <v>10.665090186277768</v>
      </c>
      <c r="V31" s="1">
        <f t="shared" si="6"/>
        <v>6.1834569736849048</v>
      </c>
      <c r="W31" s="1">
        <v>38.923999999999999</v>
      </c>
      <c r="X31" s="1">
        <v>41.700400000000002</v>
      </c>
      <c r="Y31" s="1">
        <v>37.556399999999996</v>
      </c>
      <c r="Z31" s="1">
        <v>31.436199999999999</v>
      </c>
      <c r="AA31" s="1">
        <v>35.370199999999997</v>
      </c>
      <c r="AB31" s="1">
        <v>39.221600000000002</v>
      </c>
      <c r="AC31" s="1">
        <v>37.488</v>
      </c>
      <c r="AD31" s="1">
        <v>29.335000000000001</v>
      </c>
      <c r="AE31" s="1">
        <v>27.977599999999999</v>
      </c>
      <c r="AF31" s="1">
        <v>31.760400000000001</v>
      </c>
      <c r="AG31" s="1"/>
      <c r="AH31" s="1">
        <f t="shared" si="7"/>
        <v>170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36</v>
      </c>
      <c r="C32" s="1">
        <v>26.914000000000001</v>
      </c>
      <c r="D32" s="1"/>
      <c r="E32" s="1">
        <v>5.4960000000000004</v>
      </c>
      <c r="F32" s="1">
        <v>21.417999999999999</v>
      </c>
      <c r="G32" s="7">
        <v>1</v>
      </c>
      <c r="H32" s="1">
        <v>50</v>
      </c>
      <c r="I32" s="1" t="s">
        <v>37</v>
      </c>
      <c r="J32" s="1">
        <v>5.2</v>
      </c>
      <c r="K32" s="1">
        <f t="shared" si="2"/>
        <v>0.29600000000000026</v>
      </c>
      <c r="L32" s="1"/>
      <c r="M32" s="1"/>
      <c r="N32" s="1"/>
      <c r="O32" s="1">
        <v>0</v>
      </c>
      <c r="P32" s="1">
        <f t="shared" si="3"/>
        <v>1.0992000000000002</v>
      </c>
      <c r="Q32" s="5"/>
      <c r="R32" s="5">
        <f t="shared" si="8"/>
        <v>0</v>
      </c>
      <c r="S32" s="5"/>
      <c r="T32" s="1"/>
      <c r="U32" s="1">
        <f t="shared" si="5"/>
        <v>19.48508005822416</v>
      </c>
      <c r="V32" s="1">
        <f t="shared" si="6"/>
        <v>19.48508005822416</v>
      </c>
      <c r="W32" s="1">
        <v>0.73319999999999996</v>
      </c>
      <c r="X32" s="1">
        <v>0</v>
      </c>
      <c r="Y32" s="1">
        <v>0.19800000000000001</v>
      </c>
      <c r="Z32" s="1">
        <v>2.3355999999999999</v>
      </c>
      <c r="AA32" s="1">
        <v>2.3144</v>
      </c>
      <c r="AB32" s="1">
        <v>1.075</v>
      </c>
      <c r="AC32" s="1">
        <v>1.075</v>
      </c>
      <c r="AD32" s="1">
        <v>1.2565999999999999</v>
      </c>
      <c r="AE32" s="1">
        <v>1.6217999999999999</v>
      </c>
      <c r="AF32" s="1">
        <v>2.3355999999999999</v>
      </c>
      <c r="AG32" s="19" t="s">
        <v>150</v>
      </c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36</v>
      </c>
      <c r="C33" s="1">
        <v>16.516999999999999</v>
      </c>
      <c r="D33" s="1"/>
      <c r="E33" s="1">
        <v>5.548</v>
      </c>
      <c r="F33" s="1">
        <v>9.1150000000000002</v>
      </c>
      <c r="G33" s="7">
        <v>1</v>
      </c>
      <c r="H33" s="1">
        <v>50</v>
      </c>
      <c r="I33" s="1" t="s">
        <v>37</v>
      </c>
      <c r="J33" s="1">
        <v>4.9000000000000004</v>
      </c>
      <c r="K33" s="1">
        <f t="shared" si="2"/>
        <v>0.64799999999999969</v>
      </c>
      <c r="L33" s="1"/>
      <c r="M33" s="1"/>
      <c r="N33" s="1"/>
      <c r="O33" s="1">
        <v>0</v>
      </c>
      <c r="P33" s="1">
        <f t="shared" si="3"/>
        <v>1.1095999999999999</v>
      </c>
      <c r="Q33" s="5">
        <v>4</v>
      </c>
      <c r="R33" s="5">
        <f t="shared" si="8"/>
        <v>4</v>
      </c>
      <c r="S33" s="5"/>
      <c r="T33" s="1"/>
      <c r="U33" s="1">
        <f t="shared" si="5"/>
        <v>11.819574621485222</v>
      </c>
      <c r="V33" s="1">
        <f t="shared" si="6"/>
        <v>8.2146719538572466</v>
      </c>
      <c r="W33" s="1">
        <v>1.4803999999999999</v>
      </c>
      <c r="X33" s="1">
        <v>0.18659999999999999</v>
      </c>
      <c r="Y33" s="1">
        <v>-0.36720000000000003</v>
      </c>
      <c r="Z33" s="1">
        <v>1.1037999999999999</v>
      </c>
      <c r="AA33" s="1">
        <v>1.6537999999999999</v>
      </c>
      <c r="AB33" s="1">
        <v>1.4690000000000001</v>
      </c>
      <c r="AC33" s="1">
        <v>1.1020000000000001</v>
      </c>
      <c r="AD33" s="1">
        <v>1.478</v>
      </c>
      <c r="AE33" s="1">
        <v>1.6639999999999999</v>
      </c>
      <c r="AF33" s="1">
        <v>2.4</v>
      </c>
      <c r="AG33" s="1" t="s">
        <v>71</v>
      </c>
      <c r="AH33" s="1">
        <f t="shared" si="7"/>
        <v>4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1819</v>
      </c>
      <c r="D34" s="1">
        <v>2010</v>
      </c>
      <c r="E34" s="1">
        <v>1782</v>
      </c>
      <c r="F34" s="1">
        <v>1582</v>
      </c>
      <c r="G34" s="7">
        <v>0.4</v>
      </c>
      <c r="H34" s="1">
        <v>45</v>
      </c>
      <c r="I34" s="1" t="s">
        <v>37</v>
      </c>
      <c r="J34" s="1">
        <v>1792</v>
      </c>
      <c r="K34" s="1">
        <f t="shared" si="2"/>
        <v>-10</v>
      </c>
      <c r="L34" s="1"/>
      <c r="M34" s="1"/>
      <c r="N34" s="1"/>
      <c r="O34" s="1">
        <v>1577.2</v>
      </c>
      <c r="P34" s="1">
        <f t="shared" si="3"/>
        <v>356.4</v>
      </c>
      <c r="Q34" s="5">
        <f t="shared" si="9"/>
        <v>761.19999999999982</v>
      </c>
      <c r="R34" s="5">
        <v>650</v>
      </c>
      <c r="S34" s="5"/>
      <c r="T34" s="1"/>
      <c r="U34" s="1">
        <f t="shared" si="5"/>
        <v>10.687991021324354</v>
      </c>
      <c r="V34" s="1">
        <f t="shared" si="6"/>
        <v>8.8641975308641978</v>
      </c>
      <c r="W34" s="1">
        <v>355.2</v>
      </c>
      <c r="X34" s="1">
        <v>312.8</v>
      </c>
      <c r="Y34" s="1">
        <v>300.8</v>
      </c>
      <c r="Z34" s="1">
        <v>236.8</v>
      </c>
      <c r="AA34" s="1">
        <v>242.8</v>
      </c>
      <c r="AB34" s="1">
        <v>253.2</v>
      </c>
      <c r="AC34" s="1">
        <v>230.8</v>
      </c>
      <c r="AD34" s="1">
        <v>186.6</v>
      </c>
      <c r="AE34" s="1">
        <v>185.8</v>
      </c>
      <c r="AF34" s="1">
        <v>232.8</v>
      </c>
      <c r="AG34" s="1" t="s">
        <v>73</v>
      </c>
      <c r="AH34" s="1">
        <f t="shared" si="7"/>
        <v>260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611</v>
      </c>
      <c r="D35" s="1">
        <v>390</v>
      </c>
      <c r="E35" s="1">
        <v>443</v>
      </c>
      <c r="F35" s="1">
        <v>374</v>
      </c>
      <c r="G35" s="7">
        <v>0.45</v>
      </c>
      <c r="H35" s="1">
        <v>50</v>
      </c>
      <c r="I35" s="1" t="s">
        <v>37</v>
      </c>
      <c r="J35" s="1">
        <v>447</v>
      </c>
      <c r="K35" s="1">
        <f t="shared" si="2"/>
        <v>-4</v>
      </c>
      <c r="L35" s="1"/>
      <c r="M35" s="1"/>
      <c r="N35" s="1"/>
      <c r="O35" s="1">
        <v>370</v>
      </c>
      <c r="P35" s="1">
        <f t="shared" si="3"/>
        <v>88.6</v>
      </c>
      <c r="Q35" s="5">
        <f t="shared" si="9"/>
        <v>230.59999999999991</v>
      </c>
      <c r="R35" s="5">
        <v>200</v>
      </c>
      <c r="S35" s="5"/>
      <c r="T35" s="1"/>
      <c r="U35" s="1">
        <f t="shared" si="5"/>
        <v>10.654627539503387</v>
      </c>
      <c r="V35" s="1">
        <f t="shared" si="6"/>
        <v>8.397291196388263</v>
      </c>
      <c r="W35" s="1">
        <v>91.4</v>
      </c>
      <c r="X35" s="1">
        <v>74</v>
      </c>
      <c r="Y35" s="1">
        <v>79.8</v>
      </c>
      <c r="Z35" s="1">
        <v>89.4</v>
      </c>
      <c r="AA35" s="1">
        <v>74.2</v>
      </c>
      <c r="AB35" s="1">
        <v>70.2</v>
      </c>
      <c r="AC35" s="1">
        <v>82</v>
      </c>
      <c r="AD35" s="1">
        <v>92.2</v>
      </c>
      <c r="AE35" s="1">
        <v>110.6</v>
      </c>
      <c r="AF35" s="1">
        <v>95.2</v>
      </c>
      <c r="AG35" s="1" t="s">
        <v>38</v>
      </c>
      <c r="AH35" s="1">
        <f t="shared" si="7"/>
        <v>90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42</v>
      </c>
      <c r="C36" s="1">
        <v>1781</v>
      </c>
      <c r="D36" s="1">
        <v>832</v>
      </c>
      <c r="E36" s="1">
        <v>1766</v>
      </c>
      <c r="F36" s="1">
        <v>552</v>
      </c>
      <c r="G36" s="7">
        <v>0.4</v>
      </c>
      <c r="H36" s="1">
        <v>45</v>
      </c>
      <c r="I36" s="1" t="s">
        <v>37</v>
      </c>
      <c r="J36" s="1">
        <v>1798</v>
      </c>
      <c r="K36" s="1">
        <f t="shared" si="2"/>
        <v>-32</v>
      </c>
      <c r="L36" s="1"/>
      <c r="M36" s="1"/>
      <c r="N36" s="1"/>
      <c r="O36" s="1">
        <v>2115</v>
      </c>
      <c r="P36" s="1">
        <f t="shared" si="3"/>
        <v>353.2</v>
      </c>
      <c r="Q36" s="5">
        <f t="shared" si="9"/>
        <v>1218.1999999999998</v>
      </c>
      <c r="R36" s="5">
        <v>1100</v>
      </c>
      <c r="S36" s="5"/>
      <c r="T36" s="1"/>
      <c r="U36" s="1">
        <f t="shared" si="5"/>
        <v>10.665345413363534</v>
      </c>
      <c r="V36" s="1">
        <f t="shared" si="6"/>
        <v>7.5509626274065687</v>
      </c>
      <c r="W36" s="1">
        <v>342</v>
      </c>
      <c r="X36" s="1">
        <v>241</v>
      </c>
      <c r="Y36" s="1">
        <v>252.8</v>
      </c>
      <c r="Z36" s="1">
        <v>236.8</v>
      </c>
      <c r="AA36" s="1">
        <v>232</v>
      </c>
      <c r="AB36" s="1">
        <v>211.4</v>
      </c>
      <c r="AC36" s="1">
        <v>204.6</v>
      </c>
      <c r="AD36" s="1">
        <v>197.4</v>
      </c>
      <c r="AE36" s="1">
        <v>204.4</v>
      </c>
      <c r="AF36" s="1">
        <v>235.2</v>
      </c>
      <c r="AG36" s="1" t="s">
        <v>73</v>
      </c>
      <c r="AH36" s="1">
        <f t="shared" si="7"/>
        <v>440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36</v>
      </c>
      <c r="C37" s="1">
        <v>1441.7159999999999</v>
      </c>
      <c r="D37" s="1">
        <v>510.42899999999997</v>
      </c>
      <c r="E37" s="1">
        <v>986.19600000000003</v>
      </c>
      <c r="F37" s="1">
        <v>758.30600000000004</v>
      </c>
      <c r="G37" s="7">
        <v>1</v>
      </c>
      <c r="H37" s="1">
        <v>45</v>
      </c>
      <c r="I37" s="1" t="s">
        <v>37</v>
      </c>
      <c r="J37" s="1">
        <v>898.6</v>
      </c>
      <c r="K37" s="1">
        <f t="shared" si="2"/>
        <v>87.596000000000004</v>
      </c>
      <c r="L37" s="1"/>
      <c r="M37" s="1"/>
      <c r="N37" s="1"/>
      <c r="O37" s="1">
        <v>1138.1398999999999</v>
      </c>
      <c r="P37" s="1">
        <f t="shared" si="3"/>
        <v>197.23920000000001</v>
      </c>
      <c r="Q37" s="5">
        <f t="shared" si="9"/>
        <v>273.18530000000032</v>
      </c>
      <c r="R37" s="5">
        <v>200</v>
      </c>
      <c r="S37" s="5"/>
      <c r="T37" s="1"/>
      <c r="U37" s="1">
        <f t="shared" si="5"/>
        <v>10.628951547156953</v>
      </c>
      <c r="V37" s="1">
        <f t="shared" si="6"/>
        <v>9.6149543295653181</v>
      </c>
      <c r="W37" s="1">
        <v>205.6918</v>
      </c>
      <c r="X37" s="1">
        <v>157.06540000000001</v>
      </c>
      <c r="Y37" s="1">
        <v>165.56540000000001</v>
      </c>
      <c r="Z37" s="1">
        <v>203.32579999999999</v>
      </c>
      <c r="AA37" s="1">
        <v>171.24959999999999</v>
      </c>
      <c r="AB37" s="1">
        <v>137.0796</v>
      </c>
      <c r="AC37" s="1">
        <v>141.2576</v>
      </c>
      <c r="AD37" s="1">
        <v>108.191</v>
      </c>
      <c r="AE37" s="1">
        <v>95.141800000000003</v>
      </c>
      <c r="AF37" s="1">
        <v>124.9448</v>
      </c>
      <c r="AG37" s="1"/>
      <c r="AH37" s="1">
        <f t="shared" si="7"/>
        <v>200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42</v>
      </c>
      <c r="C38" s="1">
        <v>652</v>
      </c>
      <c r="D38" s="1">
        <v>484</v>
      </c>
      <c r="E38" s="1">
        <v>520</v>
      </c>
      <c r="F38" s="1">
        <v>467</v>
      </c>
      <c r="G38" s="7">
        <v>0.45</v>
      </c>
      <c r="H38" s="1">
        <v>45</v>
      </c>
      <c r="I38" s="1" t="s">
        <v>37</v>
      </c>
      <c r="J38" s="1">
        <v>527</v>
      </c>
      <c r="K38" s="1">
        <f t="shared" ref="K38:K69" si="12">E38-J38</f>
        <v>-7</v>
      </c>
      <c r="L38" s="1"/>
      <c r="M38" s="1"/>
      <c r="N38" s="1"/>
      <c r="O38" s="1">
        <v>258.59999999999991</v>
      </c>
      <c r="P38" s="1">
        <f t="shared" si="3"/>
        <v>104</v>
      </c>
      <c r="Q38" s="5">
        <f t="shared" si="9"/>
        <v>418.40000000000009</v>
      </c>
      <c r="R38" s="5">
        <v>400</v>
      </c>
      <c r="S38" s="5"/>
      <c r="T38" s="1"/>
      <c r="U38" s="1">
        <f t="shared" si="5"/>
        <v>10.823076923076922</v>
      </c>
      <c r="V38" s="1">
        <f t="shared" si="6"/>
        <v>6.9769230769230761</v>
      </c>
      <c r="W38" s="1">
        <v>93</v>
      </c>
      <c r="X38" s="1">
        <v>89.4</v>
      </c>
      <c r="Y38" s="1">
        <v>92.4</v>
      </c>
      <c r="Z38" s="1">
        <v>83.8</v>
      </c>
      <c r="AA38" s="1">
        <v>77.400000000000006</v>
      </c>
      <c r="AB38" s="1">
        <v>68.400000000000006</v>
      </c>
      <c r="AC38" s="1">
        <v>73.2</v>
      </c>
      <c r="AD38" s="1">
        <v>87.2</v>
      </c>
      <c r="AE38" s="1">
        <v>98.6</v>
      </c>
      <c r="AF38" s="1">
        <v>98.8</v>
      </c>
      <c r="AG38" s="1"/>
      <c r="AH38" s="1">
        <f t="shared" si="7"/>
        <v>180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42</v>
      </c>
      <c r="C39" s="1">
        <v>700</v>
      </c>
      <c r="D39" s="1">
        <v>1362</v>
      </c>
      <c r="E39" s="1">
        <v>725</v>
      </c>
      <c r="F39" s="1">
        <v>1083</v>
      </c>
      <c r="G39" s="7">
        <v>0.35</v>
      </c>
      <c r="H39" s="1">
        <v>40</v>
      </c>
      <c r="I39" s="1" t="s">
        <v>37</v>
      </c>
      <c r="J39" s="1">
        <v>787</v>
      </c>
      <c r="K39" s="1">
        <f t="shared" si="12"/>
        <v>-62</v>
      </c>
      <c r="L39" s="1"/>
      <c r="M39" s="1"/>
      <c r="N39" s="1"/>
      <c r="O39" s="1">
        <v>469.19999999999982</v>
      </c>
      <c r="P39" s="1">
        <f t="shared" si="3"/>
        <v>145</v>
      </c>
      <c r="Q39" s="5">
        <f>12*P39-O39-N39-F39</f>
        <v>187.80000000000018</v>
      </c>
      <c r="R39" s="5">
        <v>150</v>
      </c>
      <c r="S39" s="5"/>
      <c r="T39" s="1"/>
      <c r="U39" s="1">
        <f t="shared" si="5"/>
        <v>11.739310344827585</v>
      </c>
      <c r="V39" s="1">
        <f t="shared" si="6"/>
        <v>10.704827586206894</v>
      </c>
      <c r="W39" s="1">
        <v>158</v>
      </c>
      <c r="X39" s="1">
        <v>150.4</v>
      </c>
      <c r="Y39" s="1">
        <v>128.80000000000001</v>
      </c>
      <c r="Z39" s="1">
        <v>86</v>
      </c>
      <c r="AA39" s="1">
        <v>75.599999999999994</v>
      </c>
      <c r="AB39" s="1">
        <v>83.8</v>
      </c>
      <c r="AC39" s="1">
        <v>84.2</v>
      </c>
      <c r="AD39" s="1">
        <v>83.4</v>
      </c>
      <c r="AE39" s="1">
        <v>96</v>
      </c>
      <c r="AF39" s="1">
        <v>97.2</v>
      </c>
      <c r="AG39" s="1" t="s">
        <v>79</v>
      </c>
      <c r="AH39" s="1">
        <f t="shared" si="7"/>
        <v>53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36</v>
      </c>
      <c r="C40" s="1">
        <v>215.64</v>
      </c>
      <c r="D40" s="1">
        <v>351.029</v>
      </c>
      <c r="E40" s="1">
        <v>208.26499999999999</v>
      </c>
      <c r="F40" s="1">
        <v>280.786</v>
      </c>
      <c r="G40" s="7">
        <v>1</v>
      </c>
      <c r="H40" s="1">
        <v>40</v>
      </c>
      <c r="I40" s="1" t="s">
        <v>37</v>
      </c>
      <c r="J40" s="1">
        <v>202.69</v>
      </c>
      <c r="K40" s="1">
        <f t="shared" si="12"/>
        <v>5.5749999999999886</v>
      </c>
      <c r="L40" s="1"/>
      <c r="M40" s="1"/>
      <c r="N40" s="1"/>
      <c r="O40" s="1">
        <v>208.4812</v>
      </c>
      <c r="P40" s="1">
        <f t="shared" si="3"/>
        <v>41.652999999999999</v>
      </c>
      <c r="Q40" s="5"/>
      <c r="R40" s="5">
        <f t="shared" si="8"/>
        <v>0</v>
      </c>
      <c r="S40" s="5"/>
      <c r="T40" s="1"/>
      <c r="U40" s="1">
        <f t="shared" si="5"/>
        <v>11.746265575108636</v>
      </c>
      <c r="V40" s="1">
        <f t="shared" si="6"/>
        <v>11.746265575108636</v>
      </c>
      <c r="W40" s="1">
        <v>51.464399999999998</v>
      </c>
      <c r="X40" s="1">
        <v>42.780799999999999</v>
      </c>
      <c r="Y40" s="1">
        <v>39.753799999999998</v>
      </c>
      <c r="Z40" s="1">
        <v>35.330399999999997</v>
      </c>
      <c r="AA40" s="1">
        <v>27.658799999999999</v>
      </c>
      <c r="AB40" s="1">
        <v>42.828800000000001</v>
      </c>
      <c r="AC40" s="1">
        <v>41.396000000000001</v>
      </c>
      <c r="AD40" s="1">
        <v>34.8992</v>
      </c>
      <c r="AE40" s="1">
        <v>38.204799999999999</v>
      </c>
      <c r="AF40" s="1">
        <v>38.683800000000012</v>
      </c>
      <c r="AG40" s="1"/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42</v>
      </c>
      <c r="C41" s="1">
        <v>684</v>
      </c>
      <c r="D41" s="1"/>
      <c r="E41" s="1">
        <v>329</v>
      </c>
      <c r="F41" s="1">
        <v>264</v>
      </c>
      <c r="G41" s="7">
        <v>0.4</v>
      </c>
      <c r="H41" s="1">
        <v>40</v>
      </c>
      <c r="I41" s="1" t="s">
        <v>37</v>
      </c>
      <c r="J41" s="1">
        <v>336</v>
      </c>
      <c r="K41" s="1">
        <f t="shared" si="12"/>
        <v>-7</v>
      </c>
      <c r="L41" s="1"/>
      <c r="M41" s="1"/>
      <c r="N41" s="1"/>
      <c r="O41" s="1">
        <v>281</v>
      </c>
      <c r="P41" s="1">
        <f t="shared" si="3"/>
        <v>65.8</v>
      </c>
      <c r="Q41" s="5">
        <f t="shared" si="9"/>
        <v>178.79999999999995</v>
      </c>
      <c r="R41" s="5">
        <f t="shared" si="8"/>
        <v>178.79999999999995</v>
      </c>
      <c r="S41" s="5"/>
      <c r="T41" s="1"/>
      <c r="U41" s="1">
        <f t="shared" si="5"/>
        <v>11</v>
      </c>
      <c r="V41" s="1">
        <f t="shared" si="6"/>
        <v>8.282674772036474</v>
      </c>
      <c r="W41" s="1">
        <v>64.2</v>
      </c>
      <c r="X41" s="1">
        <v>23.8</v>
      </c>
      <c r="Y41" s="1">
        <v>27.2</v>
      </c>
      <c r="Z41" s="1">
        <v>70.8</v>
      </c>
      <c r="AA41" s="1">
        <v>70.8</v>
      </c>
      <c r="AB41" s="1">
        <v>51.2</v>
      </c>
      <c r="AC41" s="1">
        <v>44.8</v>
      </c>
      <c r="AD41" s="1">
        <v>61.6</v>
      </c>
      <c r="AE41" s="1">
        <v>70.8</v>
      </c>
      <c r="AF41" s="1">
        <v>66</v>
      </c>
      <c r="AG41" s="1"/>
      <c r="AH41" s="1">
        <f t="shared" si="7"/>
        <v>72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42</v>
      </c>
      <c r="C42" s="1">
        <v>731</v>
      </c>
      <c r="D42" s="1"/>
      <c r="E42" s="1">
        <v>353</v>
      </c>
      <c r="F42" s="1">
        <v>278</v>
      </c>
      <c r="G42" s="7">
        <v>0.4</v>
      </c>
      <c r="H42" s="1">
        <v>45</v>
      </c>
      <c r="I42" s="1" t="s">
        <v>37</v>
      </c>
      <c r="J42" s="1">
        <v>354</v>
      </c>
      <c r="K42" s="1">
        <f t="shared" si="12"/>
        <v>-1</v>
      </c>
      <c r="L42" s="1"/>
      <c r="M42" s="1"/>
      <c r="N42" s="1"/>
      <c r="O42" s="1">
        <v>358</v>
      </c>
      <c r="P42" s="1">
        <f t="shared" si="3"/>
        <v>70.599999999999994</v>
      </c>
      <c r="Q42" s="5">
        <f t="shared" si="9"/>
        <v>140.59999999999991</v>
      </c>
      <c r="R42" s="5">
        <f t="shared" si="8"/>
        <v>140.59999999999991</v>
      </c>
      <c r="S42" s="5"/>
      <c r="T42" s="1"/>
      <c r="U42" s="1">
        <f t="shared" si="5"/>
        <v>11</v>
      </c>
      <c r="V42" s="1">
        <f t="shared" si="6"/>
        <v>9.0084985835694056</v>
      </c>
      <c r="W42" s="1">
        <v>72.599999999999994</v>
      </c>
      <c r="X42" s="1">
        <v>51</v>
      </c>
      <c r="Y42" s="1">
        <v>63.4</v>
      </c>
      <c r="Z42" s="1">
        <v>74.400000000000006</v>
      </c>
      <c r="AA42" s="1">
        <v>67.8</v>
      </c>
      <c r="AB42" s="1">
        <v>65</v>
      </c>
      <c r="AC42" s="1">
        <v>55.4</v>
      </c>
      <c r="AD42" s="1">
        <v>68.400000000000006</v>
      </c>
      <c r="AE42" s="1">
        <v>78.2</v>
      </c>
      <c r="AF42" s="1">
        <v>84.2</v>
      </c>
      <c r="AG42" s="1" t="s">
        <v>73</v>
      </c>
      <c r="AH42" s="1">
        <f t="shared" si="7"/>
        <v>56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36</v>
      </c>
      <c r="C43" s="1">
        <v>448.50200000000001</v>
      </c>
      <c r="D43" s="1">
        <v>129.80699999999999</v>
      </c>
      <c r="E43" s="1">
        <v>311.55700000000002</v>
      </c>
      <c r="F43" s="1">
        <v>226.738</v>
      </c>
      <c r="G43" s="7">
        <v>1</v>
      </c>
      <c r="H43" s="1">
        <v>40</v>
      </c>
      <c r="I43" s="1" t="s">
        <v>37</v>
      </c>
      <c r="J43" s="1">
        <v>308.35000000000002</v>
      </c>
      <c r="K43" s="1">
        <f t="shared" si="12"/>
        <v>3.2069999999999936</v>
      </c>
      <c r="L43" s="1"/>
      <c r="M43" s="1"/>
      <c r="N43" s="1"/>
      <c r="O43" s="1">
        <v>376.40140000000002</v>
      </c>
      <c r="P43" s="1">
        <f t="shared" si="3"/>
        <v>62.311400000000006</v>
      </c>
      <c r="Q43" s="5">
        <f t="shared" si="9"/>
        <v>82.286000000000058</v>
      </c>
      <c r="R43" s="5">
        <f t="shared" si="8"/>
        <v>82.286000000000058</v>
      </c>
      <c r="S43" s="5"/>
      <c r="T43" s="1"/>
      <c r="U43" s="1">
        <f t="shared" si="5"/>
        <v>11</v>
      </c>
      <c r="V43" s="1">
        <f t="shared" si="6"/>
        <v>9.6794390753537876</v>
      </c>
      <c r="W43" s="1">
        <v>63.376199999999997</v>
      </c>
      <c r="X43" s="1">
        <v>43.7286</v>
      </c>
      <c r="Y43" s="1">
        <v>51.214200000000012</v>
      </c>
      <c r="Z43" s="1">
        <v>62.391199999999998</v>
      </c>
      <c r="AA43" s="1">
        <v>56.701000000000001</v>
      </c>
      <c r="AB43" s="1">
        <v>58.286199999999987</v>
      </c>
      <c r="AC43" s="1">
        <v>52.076000000000001</v>
      </c>
      <c r="AD43" s="1">
        <v>52.982799999999997</v>
      </c>
      <c r="AE43" s="1">
        <v>59.021400000000007</v>
      </c>
      <c r="AF43" s="1">
        <v>48.4604</v>
      </c>
      <c r="AG43" s="1"/>
      <c r="AH43" s="1">
        <f t="shared" si="7"/>
        <v>82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42</v>
      </c>
      <c r="C44" s="1">
        <v>699</v>
      </c>
      <c r="D44" s="1">
        <v>2134</v>
      </c>
      <c r="E44" s="1">
        <v>791</v>
      </c>
      <c r="F44" s="1">
        <v>1705</v>
      </c>
      <c r="G44" s="7">
        <v>0.35</v>
      </c>
      <c r="H44" s="1">
        <v>40</v>
      </c>
      <c r="I44" s="1" t="s">
        <v>37</v>
      </c>
      <c r="J44" s="1">
        <v>866</v>
      </c>
      <c r="K44" s="1">
        <f t="shared" si="12"/>
        <v>-75</v>
      </c>
      <c r="L44" s="1"/>
      <c r="M44" s="1"/>
      <c r="N44" s="1"/>
      <c r="O44" s="1">
        <v>0</v>
      </c>
      <c r="P44" s="1">
        <f t="shared" si="3"/>
        <v>158.19999999999999</v>
      </c>
      <c r="Q44" s="5">
        <f>12*P44-O44-N44-F44</f>
        <v>193.39999999999986</v>
      </c>
      <c r="R44" s="5">
        <v>400</v>
      </c>
      <c r="S44" s="5">
        <v>500</v>
      </c>
      <c r="T44" s="1" t="s">
        <v>154</v>
      </c>
      <c r="U44" s="1">
        <f t="shared" si="5"/>
        <v>13.305941845764856</v>
      </c>
      <c r="V44" s="1">
        <f t="shared" si="6"/>
        <v>10.777496839443742</v>
      </c>
      <c r="W44" s="1">
        <v>176.2</v>
      </c>
      <c r="X44" s="1">
        <v>203</v>
      </c>
      <c r="Y44" s="1">
        <v>162.4</v>
      </c>
      <c r="Z44" s="1">
        <v>123.4</v>
      </c>
      <c r="AA44" s="1">
        <v>128</v>
      </c>
      <c r="AB44" s="1">
        <v>131.19999999999999</v>
      </c>
      <c r="AC44" s="1">
        <v>126.4</v>
      </c>
      <c r="AD44" s="1">
        <v>124.6</v>
      </c>
      <c r="AE44" s="1">
        <v>141.80000000000001</v>
      </c>
      <c r="AF44" s="1">
        <v>147</v>
      </c>
      <c r="AG44" s="1" t="s">
        <v>58</v>
      </c>
      <c r="AH44" s="1">
        <f t="shared" si="7"/>
        <v>140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42</v>
      </c>
      <c r="C45" s="1"/>
      <c r="D45" s="1">
        <v>450</v>
      </c>
      <c r="E45" s="1">
        <v>141</v>
      </c>
      <c r="F45" s="1">
        <v>298</v>
      </c>
      <c r="G45" s="7">
        <v>0.4</v>
      </c>
      <c r="H45" s="1">
        <v>40</v>
      </c>
      <c r="I45" s="1" t="s">
        <v>37</v>
      </c>
      <c r="J45" s="1">
        <v>268</v>
      </c>
      <c r="K45" s="1">
        <f t="shared" si="12"/>
        <v>-127</v>
      </c>
      <c r="L45" s="1"/>
      <c r="M45" s="1"/>
      <c r="N45" s="1"/>
      <c r="O45" s="1">
        <v>0</v>
      </c>
      <c r="P45" s="1">
        <f t="shared" si="3"/>
        <v>28.2</v>
      </c>
      <c r="Q45" s="5">
        <f t="shared" si="9"/>
        <v>12.199999999999989</v>
      </c>
      <c r="R45" s="5">
        <f t="shared" si="8"/>
        <v>12.199999999999989</v>
      </c>
      <c r="S45" s="5"/>
      <c r="T45" s="1"/>
      <c r="U45" s="1">
        <f t="shared" si="5"/>
        <v>11</v>
      </c>
      <c r="V45" s="1">
        <f t="shared" si="6"/>
        <v>10.567375886524824</v>
      </c>
      <c r="W45" s="1">
        <v>1.2</v>
      </c>
      <c r="X45" s="1">
        <v>0</v>
      </c>
      <c r="Y45" s="1">
        <v>9.4</v>
      </c>
      <c r="Z45" s="1">
        <v>71.2</v>
      </c>
      <c r="AA45" s="1">
        <v>85.2</v>
      </c>
      <c r="AB45" s="1">
        <v>113.2</v>
      </c>
      <c r="AC45" s="1">
        <v>109.8</v>
      </c>
      <c r="AD45" s="1">
        <v>87.2</v>
      </c>
      <c r="AE45" s="1">
        <v>86.4</v>
      </c>
      <c r="AF45" s="1">
        <v>94.2</v>
      </c>
      <c r="AG45" s="1" t="s">
        <v>86</v>
      </c>
      <c r="AH45" s="1">
        <f t="shared" si="7"/>
        <v>5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36</v>
      </c>
      <c r="C46" s="1">
        <v>913.69500000000005</v>
      </c>
      <c r="D46" s="1">
        <v>213.517</v>
      </c>
      <c r="E46" s="1">
        <v>550.10400000000004</v>
      </c>
      <c r="F46" s="1">
        <v>443.14</v>
      </c>
      <c r="G46" s="7">
        <v>1</v>
      </c>
      <c r="H46" s="1">
        <v>50</v>
      </c>
      <c r="I46" s="1" t="s">
        <v>37</v>
      </c>
      <c r="J46" s="1">
        <v>532.79</v>
      </c>
      <c r="K46" s="1">
        <f t="shared" si="12"/>
        <v>17.314000000000078</v>
      </c>
      <c r="L46" s="1"/>
      <c r="M46" s="1"/>
      <c r="N46" s="1"/>
      <c r="O46" s="1">
        <v>597.66619999999989</v>
      </c>
      <c r="P46" s="1">
        <f t="shared" si="3"/>
        <v>110.02080000000001</v>
      </c>
      <c r="Q46" s="5">
        <f t="shared" si="9"/>
        <v>169.42260000000022</v>
      </c>
      <c r="R46" s="5">
        <f t="shared" si="8"/>
        <v>169.42260000000022</v>
      </c>
      <c r="S46" s="5"/>
      <c r="T46" s="1"/>
      <c r="U46" s="1">
        <f t="shared" si="5"/>
        <v>11.000000000000002</v>
      </c>
      <c r="V46" s="1">
        <f t="shared" si="6"/>
        <v>9.4600857292439233</v>
      </c>
      <c r="W46" s="1">
        <v>114.21339999999999</v>
      </c>
      <c r="X46" s="1">
        <v>88.943799999999996</v>
      </c>
      <c r="Y46" s="1">
        <v>93.069199999999995</v>
      </c>
      <c r="Z46" s="1">
        <v>121.8596</v>
      </c>
      <c r="AA46" s="1">
        <v>115.65940000000001</v>
      </c>
      <c r="AB46" s="1">
        <v>95.279399999999995</v>
      </c>
      <c r="AC46" s="1">
        <v>90.767399999999995</v>
      </c>
      <c r="AD46" s="1">
        <v>100.724</v>
      </c>
      <c r="AE46" s="1">
        <v>102.1494</v>
      </c>
      <c r="AF46" s="1">
        <v>107.59059999999999</v>
      </c>
      <c r="AG46" s="1"/>
      <c r="AH46" s="1">
        <f t="shared" si="7"/>
        <v>169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36</v>
      </c>
      <c r="C47" s="1">
        <v>797.56200000000001</v>
      </c>
      <c r="D47" s="1">
        <v>1247.867</v>
      </c>
      <c r="E47" s="1">
        <v>927.495</v>
      </c>
      <c r="F47" s="1">
        <v>925.04600000000005</v>
      </c>
      <c r="G47" s="7">
        <v>1</v>
      </c>
      <c r="H47" s="1">
        <v>50</v>
      </c>
      <c r="I47" s="1" t="s">
        <v>37</v>
      </c>
      <c r="J47" s="1">
        <v>901.49</v>
      </c>
      <c r="K47" s="1">
        <f t="shared" si="12"/>
        <v>26.004999999999995</v>
      </c>
      <c r="L47" s="1"/>
      <c r="M47" s="1"/>
      <c r="N47" s="1"/>
      <c r="O47" s="1">
        <v>930.13600000000019</v>
      </c>
      <c r="P47" s="1">
        <f t="shared" si="3"/>
        <v>185.499</v>
      </c>
      <c r="Q47" s="5">
        <f t="shared" si="9"/>
        <v>185.30699999999979</v>
      </c>
      <c r="R47" s="5">
        <v>0</v>
      </c>
      <c r="S47" s="5">
        <v>0</v>
      </c>
      <c r="T47" s="1" t="s">
        <v>152</v>
      </c>
      <c r="U47" s="1">
        <f t="shared" si="5"/>
        <v>10.001035046011031</v>
      </c>
      <c r="V47" s="1">
        <f t="shared" si="6"/>
        <v>10.001035046011031</v>
      </c>
      <c r="W47" s="1">
        <v>198.191</v>
      </c>
      <c r="X47" s="1">
        <v>198.75960000000001</v>
      </c>
      <c r="Y47" s="1">
        <v>210.62899999999999</v>
      </c>
      <c r="Z47" s="1">
        <v>312.38659999999999</v>
      </c>
      <c r="AA47" s="1">
        <v>299.51080000000002</v>
      </c>
      <c r="AB47" s="1">
        <v>258.09820000000002</v>
      </c>
      <c r="AC47" s="1">
        <v>260.9708</v>
      </c>
      <c r="AD47" s="1">
        <v>249.76740000000001</v>
      </c>
      <c r="AE47" s="1">
        <v>254.047</v>
      </c>
      <c r="AF47" s="1">
        <v>245.80179999999999</v>
      </c>
      <c r="AG47" s="1" t="s">
        <v>157</v>
      </c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4" t="s">
        <v>89</v>
      </c>
      <c r="B48" s="14" t="s">
        <v>36</v>
      </c>
      <c r="C48" s="14"/>
      <c r="D48" s="14"/>
      <c r="E48" s="14"/>
      <c r="F48" s="14"/>
      <c r="G48" s="15">
        <v>0</v>
      </c>
      <c r="H48" s="14">
        <v>40</v>
      </c>
      <c r="I48" s="14" t="s">
        <v>37</v>
      </c>
      <c r="J48" s="14"/>
      <c r="K48" s="14">
        <f t="shared" si="12"/>
        <v>0</v>
      </c>
      <c r="L48" s="14"/>
      <c r="M48" s="14"/>
      <c r="N48" s="14"/>
      <c r="O48" s="14">
        <v>0</v>
      </c>
      <c r="P48" s="14">
        <f t="shared" si="3"/>
        <v>0</v>
      </c>
      <c r="Q48" s="16"/>
      <c r="R48" s="5">
        <f t="shared" si="8"/>
        <v>0</v>
      </c>
      <c r="S48" s="16"/>
      <c r="T48" s="14"/>
      <c r="U48" s="1" t="e">
        <f t="shared" si="5"/>
        <v>#DIV/0!</v>
      </c>
      <c r="V48" s="14" t="e">
        <f t="shared" si="6"/>
        <v>#DIV/0!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 t="s">
        <v>49</v>
      </c>
      <c r="AH48" s="1">
        <f t="shared" si="7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90</v>
      </c>
      <c r="B49" s="1" t="s">
        <v>42</v>
      </c>
      <c r="C49" s="1">
        <v>651</v>
      </c>
      <c r="D49" s="1">
        <v>410</v>
      </c>
      <c r="E49" s="1">
        <v>393</v>
      </c>
      <c r="F49" s="1">
        <v>511</v>
      </c>
      <c r="G49" s="7">
        <v>0.45</v>
      </c>
      <c r="H49" s="1">
        <v>50</v>
      </c>
      <c r="I49" s="1" t="s">
        <v>37</v>
      </c>
      <c r="J49" s="1">
        <v>402</v>
      </c>
      <c r="K49" s="1">
        <f t="shared" si="12"/>
        <v>-9</v>
      </c>
      <c r="L49" s="1"/>
      <c r="M49" s="1"/>
      <c r="N49" s="1"/>
      <c r="O49" s="1">
        <v>203.2</v>
      </c>
      <c r="P49" s="1">
        <f t="shared" si="3"/>
        <v>78.599999999999994</v>
      </c>
      <c r="Q49" s="5">
        <f t="shared" ref="Q49:Q69" si="13">11*P49-O49-N49-F49</f>
        <v>150.39999999999986</v>
      </c>
      <c r="R49" s="5">
        <f t="shared" si="8"/>
        <v>150.39999999999986</v>
      </c>
      <c r="S49" s="5"/>
      <c r="T49" s="1"/>
      <c r="U49" s="1">
        <f t="shared" si="5"/>
        <v>11</v>
      </c>
      <c r="V49" s="1">
        <f t="shared" si="6"/>
        <v>9.086513994910943</v>
      </c>
      <c r="W49" s="1">
        <v>84</v>
      </c>
      <c r="X49" s="1">
        <v>81.8</v>
      </c>
      <c r="Y49" s="1">
        <v>87.6</v>
      </c>
      <c r="Z49" s="1">
        <v>110.8</v>
      </c>
      <c r="AA49" s="1">
        <v>99.8</v>
      </c>
      <c r="AB49" s="1">
        <v>131.6</v>
      </c>
      <c r="AC49" s="1">
        <v>124.8</v>
      </c>
      <c r="AD49" s="1">
        <v>87.8</v>
      </c>
      <c r="AE49" s="1">
        <v>108</v>
      </c>
      <c r="AF49" s="1">
        <v>104.4</v>
      </c>
      <c r="AG49" s="1" t="s">
        <v>91</v>
      </c>
      <c r="AH49" s="1">
        <f t="shared" si="7"/>
        <v>68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7" t="s">
        <v>92</v>
      </c>
      <c r="B50" s="1" t="s">
        <v>36</v>
      </c>
      <c r="C50" s="1"/>
      <c r="D50" s="1"/>
      <c r="E50" s="1"/>
      <c r="F50" s="1"/>
      <c r="G50" s="7">
        <v>1</v>
      </c>
      <c r="H50" s="1">
        <v>40</v>
      </c>
      <c r="I50" s="1" t="s">
        <v>37</v>
      </c>
      <c r="J50" s="1">
        <v>3.9</v>
      </c>
      <c r="K50" s="1">
        <f t="shared" si="12"/>
        <v>-3.9</v>
      </c>
      <c r="L50" s="1"/>
      <c r="M50" s="1"/>
      <c r="N50" s="1"/>
      <c r="O50" s="17"/>
      <c r="P50" s="1">
        <f t="shared" si="3"/>
        <v>0</v>
      </c>
      <c r="Q50" s="18">
        <v>4</v>
      </c>
      <c r="R50" s="5">
        <f t="shared" si="8"/>
        <v>4</v>
      </c>
      <c r="S50" s="5"/>
      <c r="T50" s="1"/>
      <c r="U50" s="1" t="e">
        <f t="shared" si="5"/>
        <v>#DIV/0!</v>
      </c>
      <c r="V50" s="1" t="e">
        <f t="shared" si="6"/>
        <v>#DIV/0!</v>
      </c>
      <c r="W50" s="1">
        <v>-0.53400000000000003</v>
      </c>
      <c r="X50" s="1">
        <v>-1.4843999999999999</v>
      </c>
      <c r="Y50" s="1">
        <v>-1.0624</v>
      </c>
      <c r="Z50" s="1">
        <v>5.2502000000000004</v>
      </c>
      <c r="AA50" s="1">
        <v>13.3208</v>
      </c>
      <c r="AB50" s="1">
        <v>40.050800000000002</v>
      </c>
      <c r="AC50" s="1">
        <v>40.622599999999998</v>
      </c>
      <c r="AD50" s="1">
        <v>45.607999999999997</v>
      </c>
      <c r="AE50" s="1">
        <v>39.416400000000003</v>
      </c>
      <c r="AF50" s="1">
        <v>39.8628</v>
      </c>
      <c r="AG50" s="17" t="s">
        <v>93</v>
      </c>
      <c r="AH50" s="1">
        <f t="shared" si="7"/>
        <v>4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42</v>
      </c>
      <c r="C51" s="1">
        <v>294</v>
      </c>
      <c r="D51" s="1">
        <v>210</v>
      </c>
      <c r="E51" s="20">
        <f>183+E89</f>
        <v>189</v>
      </c>
      <c r="F51" s="1">
        <v>220</v>
      </c>
      <c r="G51" s="7">
        <v>0.4</v>
      </c>
      <c r="H51" s="1">
        <v>40</v>
      </c>
      <c r="I51" s="1" t="s">
        <v>37</v>
      </c>
      <c r="J51" s="1">
        <v>199</v>
      </c>
      <c r="K51" s="1">
        <f t="shared" si="12"/>
        <v>-10</v>
      </c>
      <c r="L51" s="1"/>
      <c r="M51" s="1"/>
      <c r="N51" s="1"/>
      <c r="O51" s="1">
        <v>191</v>
      </c>
      <c r="P51" s="1">
        <f t="shared" si="3"/>
        <v>37.799999999999997</v>
      </c>
      <c r="Q51" s="5">
        <f t="shared" si="13"/>
        <v>4.7999999999999545</v>
      </c>
      <c r="R51" s="5">
        <f t="shared" si="8"/>
        <v>4.7999999999999545</v>
      </c>
      <c r="S51" s="5"/>
      <c r="T51" s="1"/>
      <c r="U51" s="1">
        <f t="shared" si="5"/>
        <v>11</v>
      </c>
      <c r="V51" s="1">
        <f t="shared" si="6"/>
        <v>10.873015873015873</v>
      </c>
      <c r="W51" s="1">
        <v>46.2</v>
      </c>
      <c r="X51" s="1">
        <v>37</v>
      </c>
      <c r="Y51" s="1">
        <v>26.4</v>
      </c>
      <c r="Z51" s="1">
        <v>30.2</v>
      </c>
      <c r="AA51" s="1">
        <v>34.6</v>
      </c>
      <c r="AB51" s="1">
        <v>26.6</v>
      </c>
      <c r="AC51" s="1">
        <v>19</v>
      </c>
      <c r="AD51" s="1">
        <v>24.6</v>
      </c>
      <c r="AE51" s="1">
        <v>32.4</v>
      </c>
      <c r="AF51" s="1">
        <v>34.4</v>
      </c>
      <c r="AG51" s="1" t="s">
        <v>95</v>
      </c>
      <c r="AH51" s="1">
        <f t="shared" si="7"/>
        <v>2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96</v>
      </c>
      <c r="B52" s="1" t="s">
        <v>42</v>
      </c>
      <c r="C52" s="1">
        <v>192</v>
      </c>
      <c r="D52" s="1">
        <v>96</v>
      </c>
      <c r="E52" s="1">
        <v>132</v>
      </c>
      <c r="F52" s="1">
        <v>128</v>
      </c>
      <c r="G52" s="7">
        <v>0.4</v>
      </c>
      <c r="H52" s="1">
        <v>40</v>
      </c>
      <c r="I52" s="1" t="s">
        <v>37</v>
      </c>
      <c r="J52" s="1">
        <v>134</v>
      </c>
      <c r="K52" s="1">
        <f t="shared" si="12"/>
        <v>-2</v>
      </c>
      <c r="L52" s="1"/>
      <c r="M52" s="1"/>
      <c r="N52" s="1"/>
      <c r="O52" s="1">
        <v>106.6</v>
      </c>
      <c r="P52" s="1">
        <f t="shared" si="3"/>
        <v>26.4</v>
      </c>
      <c r="Q52" s="5">
        <f t="shared" si="13"/>
        <v>55.799999999999983</v>
      </c>
      <c r="R52" s="5">
        <f t="shared" si="8"/>
        <v>55.799999999999983</v>
      </c>
      <c r="S52" s="5"/>
      <c r="T52" s="1"/>
      <c r="U52" s="1">
        <f t="shared" si="5"/>
        <v>11</v>
      </c>
      <c r="V52" s="1">
        <f t="shared" si="6"/>
        <v>8.8863636363636367</v>
      </c>
      <c r="W52" s="1">
        <v>26.2</v>
      </c>
      <c r="X52" s="1">
        <v>23.4</v>
      </c>
      <c r="Y52" s="1">
        <v>22.4</v>
      </c>
      <c r="Z52" s="1">
        <v>23.2</v>
      </c>
      <c r="AA52" s="1">
        <v>24.6</v>
      </c>
      <c r="AB52" s="1">
        <v>20.8</v>
      </c>
      <c r="AC52" s="1">
        <v>18.2</v>
      </c>
      <c r="AD52" s="1">
        <v>15.2</v>
      </c>
      <c r="AE52" s="1">
        <v>16.8</v>
      </c>
      <c r="AF52" s="1">
        <v>22.2</v>
      </c>
      <c r="AG52" s="1"/>
      <c r="AH52" s="1">
        <f t="shared" si="7"/>
        <v>22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36</v>
      </c>
      <c r="C53" s="1">
        <v>588.69200000000001</v>
      </c>
      <c r="D53" s="1">
        <v>517.17499999999995</v>
      </c>
      <c r="E53" s="1">
        <v>447.875</v>
      </c>
      <c r="F53" s="1">
        <v>533.52800000000002</v>
      </c>
      <c r="G53" s="7">
        <v>1</v>
      </c>
      <c r="H53" s="1">
        <v>50</v>
      </c>
      <c r="I53" s="1" t="s">
        <v>37</v>
      </c>
      <c r="J53" s="1">
        <v>433.44</v>
      </c>
      <c r="K53" s="1">
        <f t="shared" si="12"/>
        <v>14.435000000000002</v>
      </c>
      <c r="L53" s="1"/>
      <c r="M53" s="1"/>
      <c r="N53" s="1"/>
      <c r="O53" s="1">
        <v>402.28240000000011</v>
      </c>
      <c r="P53" s="1">
        <f t="shared" si="3"/>
        <v>89.575000000000003</v>
      </c>
      <c r="Q53" s="5">
        <f t="shared" si="13"/>
        <v>49.514599999999973</v>
      </c>
      <c r="R53" s="5">
        <f t="shared" si="8"/>
        <v>49.514599999999973</v>
      </c>
      <c r="S53" s="5"/>
      <c r="T53" s="1"/>
      <c r="U53" s="1">
        <f t="shared" si="5"/>
        <v>11</v>
      </c>
      <c r="V53" s="1">
        <f t="shared" si="6"/>
        <v>10.447227463019816</v>
      </c>
      <c r="W53" s="1">
        <v>100.0256</v>
      </c>
      <c r="X53" s="1">
        <v>88.262599999999992</v>
      </c>
      <c r="Y53" s="1">
        <v>78.892399999999995</v>
      </c>
      <c r="Z53" s="1">
        <v>93.518200000000007</v>
      </c>
      <c r="AA53" s="1">
        <v>98.896000000000001</v>
      </c>
      <c r="AB53" s="1">
        <v>90.962599999999995</v>
      </c>
      <c r="AC53" s="1">
        <v>80.864200000000011</v>
      </c>
      <c r="AD53" s="1">
        <v>69.453000000000003</v>
      </c>
      <c r="AE53" s="1">
        <v>75.691600000000008</v>
      </c>
      <c r="AF53" s="1">
        <v>78.375599999999991</v>
      </c>
      <c r="AG53" s="1"/>
      <c r="AH53" s="1">
        <f t="shared" si="7"/>
        <v>50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36</v>
      </c>
      <c r="C54" s="1">
        <v>1354.2639999999999</v>
      </c>
      <c r="D54" s="1">
        <v>606.46699999999998</v>
      </c>
      <c r="E54" s="1">
        <v>965.28200000000004</v>
      </c>
      <c r="F54" s="1">
        <v>800.37599999999998</v>
      </c>
      <c r="G54" s="7">
        <v>1</v>
      </c>
      <c r="H54" s="1">
        <v>50</v>
      </c>
      <c r="I54" s="1" t="s">
        <v>37</v>
      </c>
      <c r="J54" s="1">
        <v>928.34</v>
      </c>
      <c r="K54" s="1">
        <f t="shared" si="12"/>
        <v>36.942000000000007</v>
      </c>
      <c r="L54" s="1"/>
      <c r="M54" s="1"/>
      <c r="N54" s="1"/>
      <c r="O54" s="1">
        <v>1037.2633000000001</v>
      </c>
      <c r="P54" s="1">
        <f t="shared" si="3"/>
        <v>193.0564</v>
      </c>
      <c r="Q54" s="5">
        <f t="shared" si="13"/>
        <v>285.98109999999974</v>
      </c>
      <c r="R54" s="5">
        <v>200</v>
      </c>
      <c r="S54" s="5"/>
      <c r="T54" s="1"/>
      <c r="U54" s="1">
        <f t="shared" si="5"/>
        <v>10.554632221464816</v>
      </c>
      <c r="V54" s="1">
        <f t="shared" si="6"/>
        <v>9.5186655298658849</v>
      </c>
      <c r="W54" s="1">
        <v>198.84020000000001</v>
      </c>
      <c r="X54" s="1">
        <v>159.619</v>
      </c>
      <c r="Y54" s="1">
        <v>148.54140000000001</v>
      </c>
      <c r="Z54" s="1">
        <v>195.94839999999999</v>
      </c>
      <c r="AA54" s="1">
        <v>199.10659999999999</v>
      </c>
      <c r="AB54" s="1">
        <v>170.821</v>
      </c>
      <c r="AC54" s="1">
        <v>163.80199999999999</v>
      </c>
      <c r="AD54" s="1">
        <v>145.31460000000001</v>
      </c>
      <c r="AE54" s="1">
        <v>154.2002</v>
      </c>
      <c r="AF54" s="1">
        <v>158.2176</v>
      </c>
      <c r="AG54" s="1"/>
      <c r="AH54" s="1">
        <f t="shared" si="7"/>
        <v>200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36</v>
      </c>
      <c r="C55" s="1">
        <v>146.399</v>
      </c>
      <c r="D55" s="1">
        <v>196.37200000000001</v>
      </c>
      <c r="E55" s="1">
        <v>147.839</v>
      </c>
      <c r="F55" s="1">
        <v>181.565</v>
      </c>
      <c r="G55" s="7">
        <v>1</v>
      </c>
      <c r="H55" s="1">
        <v>50</v>
      </c>
      <c r="I55" s="1" t="s">
        <v>37</v>
      </c>
      <c r="J55" s="1">
        <v>144.9</v>
      </c>
      <c r="K55" s="1">
        <f t="shared" si="12"/>
        <v>2.938999999999993</v>
      </c>
      <c r="L55" s="1"/>
      <c r="M55" s="1"/>
      <c r="N55" s="1"/>
      <c r="O55" s="1">
        <v>87.758200000000045</v>
      </c>
      <c r="P55" s="1">
        <f t="shared" si="3"/>
        <v>29.567799999999998</v>
      </c>
      <c r="Q55" s="5">
        <f t="shared" si="13"/>
        <v>55.922599999999932</v>
      </c>
      <c r="R55" s="5">
        <f t="shared" si="8"/>
        <v>55.922599999999932</v>
      </c>
      <c r="S55" s="5"/>
      <c r="T55" s="1"/>
      <c r="U55" s="1">
        <f t="shared" si="5"/>
        <v>11</v>
      </c>
      <c r="V55" s="1">
        <f t="shared" si="6"/>
        <v>9.1086655077482952</v>
      </c>
      <c r="W55" s="1">
        <v>28.472799999999999</v>
      </c>
      <c r="X55" s="1">
        <v>29.367799999999999</v>
      </c>
      <c r="Y55" s="1">
        <v>30.7394</v>
      </c>
      <c r="Z55" s="1">
        <v>27.356000000000002</v>
      </c>
      <c r="AA55" s="1">
        <v>26.826000000000001</v>
      </c>
      <c r="AB55" s="1">
        <v>33.272000000000013</v>
      </c>
      <c r="AC55" s="1">
        <v>36.747799999999998</v>
      </c>
      <c r="AD55" s="1">
        <v>27.192399999999999</v>
      </c>
      <c r="AE55" s="1">
        <v>22.622399999999999</v>
      </c>
      <c r="AF55" s="1">
        <v>22.773199999999999</v>
      </c>
      <c r="AG55" s="1"/>
      <c r="AH55" s="1">
        <f t="shared" si="7"/>
        <v>56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42</v>
      </c>
      <c r="C56" s="1">
        <v>452</v>
      </c>
      <c r="D56" s="1">
        <v>210</v>
      </c>
      <c r="E56" s="1">
        <v>414</v>
      </c>
      <c r="F56" s="1">
        <v>140</v>
      </c>
      <c r="G56" s="7">
        <v>0.4</v>
      </c>
      <c r="H56" s="1">
        <v>50</v>
      </c>
      <c r="I56" s="1" t="s">
        <v>37</v>
      </c>
      <c r="J56" s="1">
        <v>574</v>
      </c>
      <c r="K56" s="1">
        <f t="shared" si="12"/>
        <v>-160</v>
      </c>
      <c r="L56" s="1"/>
      <c r="M56" s="1"/>
      <c r="N56" s="1"/>
      <c r="O56" s="1">
        <v>686.4</v>
      </c>
      <c r="P56" s="1">
        <f t="shared" si="3"/>
        <v>82.8</v>
      </c>
      <c r="Q56" s="5">
        <f t="shared" si="13"/>
        <v>84.399999999999977</v>
      </c>
      <c r="R56" s="5">
        <v>0</v>
      </c>
      <c r="S56" s="5">
        <v>0</v>
      </c>
      <c r="T56" s="1" t="s">
        <v>152</v>
      </c>
      <c r="U56" s="1">
        <f t="shared" si="5"/>
        <v>9.9806763285024154</v>
      </c>
      <c r="V56" s="1">
        <f t="shared" si="6"/>
        <v>9.9806763285024154</v>
      </c>
      <c r="W56" s="1">
        <v>102.8</v>
      </c>
      <c r="X56" s="1">
        <v>50</v>
      </c>
      <c r="Y56" s="1">
        <v>51.8</v>
      </c>
      <c r="Z56" s="1">
        <v>49.8</v>
      </c>
      <c r="AA56" s="1">
        <v>42.2</v>
      </c>
      <c r="AB56" s="1">
        <v>40.799999999999997</v>
      </c>
      <c r="AC56" s="1">
        <v>35.200000000000003</v>
      </c>
      <c r="AD56" s="1">
        <v>38.200000000000003</v>
      </c>
      <c r="AE56" s="1">
        <v>54.8</v>
      </c>
      <c r="AF56" s="1">
        <v>44.2</v>
      </c>
      <c r="AG56" s="1" t="s">
        <v>158</v>
      </c>
      <c r="AH56" s="1">
        <f t="shared" si="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101</v>
      </c>
      <c r="B57" s="1" t="s">
        <v>42</v>
      </c>
      <c r="C57" s="1">
        <v>1354</v>
      </c>
      <c r="D57" s="1">
        <v>954</v>
      </c>
      <c r="E57" s="1">
        <v>1021</v>
      </c>
      <c r="F57" s="1">
        <v>1118</v>
      </c>
      <c r="G57" s="7">
        <v>0.4</v>
      </c>
      <c r="H57" s="1">
        <v>40</v>
      </c>
      <c r="I57" s="1" t="s">
        <v>37</v>
      </c>
      <c r="J57" s="1">
        <v>1041</v>
      </c>
      <c r="K57" s="1">
        <f t="shared" si="12"/>
        <v>-20</v>
      </c>
      <c r="L57" s="1"/>
      <c r="M57" s="1"/>
      <c r="N57" s="1"/>
      <c r="O57" s="1">
        <v>834.80000000000018</v>
      </c>
      <c r="P57" s="1">
        <f t="shared" si="3"/>
        <v>204.2</v>
      </c>
      <c r="Q57" s="5">
        <f t="shared" si="13"/>
        <v>293.39999999999964</v>
      </c>
      <c r="R57" s="5">
        <v>200</v>
      </c>
      <c r="S57" s="5"/>
      <c r="T57" s="1"/>
      <c r="U57" s="1">
        <f t="shared" si="5"/>
        <v>10.542605288932421</v>
      </c>
      <c r="V57" s="1">
        <f t="shared" si="6"/>
        <v>9.56317335945152</v>
      </c>
      <c r="W57" s="1">
        <v>209.2</v>
      </c>
      <c r="X57" s="1">
        <v>194.2</v>
      </c>
      <c r="Y57" s="1">
        <v>202</v>
      </c>
      <c r="Z57" s="1">
        <v>192</v>
      </c>
      <c r="AA57" s="1">
        <v>188.6</v>
      </c>
      <c r="AB57" s="1">
        <v>188.8</v>
      </c>
      <c r="AC57" s="1">
        <v>182.4</v>
      </c>
      <c r="AD57" s="1">
        <v>146.19999999999999</v>
      </c>
      <c r="AE57" s="1">
        <v>140.80000000000001</v>
      </c>
      <c r="AF57" s="1">
        <v>152.80000000000001</v>
      </c>
      <c r="AG57" s="1"/>
      <c r="AH57" s="1">
        <f t="shared" si="7"/>
        <v>80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102</v>
      </c>
      <c r="B58" s="1" t="s">
        <v>42</v>
      </c>
      <c r="C58" s="1">
        <v>1247</v>
      </c>
      <c r="D58" s="1">
        <v>270</v>
      </c>
      <c r="E58" s="1">
        <v>882</v>
      </c>
      <c r="F58" s="1">
        <v>485</v>
      </c>
      <c r="G58" s="7">
        <v>0.4</v>
      </c>
      <c r="H58" s="1">
        <v>40</v>
      </c>
      <c r="I58" s="1" t="s">
        <v>37</v>
      </c>
      <c r="J58" s="1">
        <v>905</v>
      </c>
      <c r="K58" s="1">
        <f t="shared" si="12"/>
        <v>-23</v>
      </c>
      <c r="L58" s="1"/>
      <c r="M58" s="1"/>
      <c r="N58" s="1"/>
      <c r="O58" s="1">
        <v>1163</v>
      </c>
      <c r="P58" s="1">
        <f t="shared" si="3"/>
        <v>176.4</v>
      </c>
      <c r="Q58" s="5">
        <f t="shared" si="13"/>
        <v>292.40000000000009</v>
      </c>
      <c r="R58" s="5">
        <v>250</v>
      </c>
      <c r="S58" s="5"/>
      <c r="T58" s="1"/>
      <c r="U58" s="1">
        <f t="shared" si="5"/>
        <v>10.759637188208616</v>
      </c>
      <c r="V58" s="1">
        <f t="shared" si="6"/>
        <v>9.3424036281179141</v>
      </c>
      <c r="W58" s="1">
        <v>177.8</v>
      </c>
      <c r="X58" s="1">
        <v>161</v>
      </c>
      <c r="Y58" s="1">
        <v>169.4</v>
      </c>
      <c r="Z58" s="1">
        <v>168.8</v>
      </c>
      <c r="AA58" s="1">
        <v>163.19999999999999</v>
      </c>
      <c r="AB58" s="1">
        <v>160.4</v>
      </c>
      <c r="AC58" s="1">
        <v>153</v>
      </c>
      <c r="AD58" s="1">
        <v>116.4</v>
      </c>
      <c r="AE58" s="1">
        <v>113.6</v>
      </c>
      <c r="AF58" s="1">
        <v>125</v>
      </c>
      <c r="AG58" s="1"/>
      <c r="AH58" s="1">
        <f t="shared" si="7"/>
        <v>100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36</v>
      </c>
      <c r="C59" s="1">
        <v>811.65300000000002</v>
      </c>
      <c r="D59" s="1">
        <v>519.26900000000001</v>
      </c>
      <c r="E59" s="1">
        <v>639.16499999999996</v>
      </c>
      <c r="F59" s="1">
        <v>580.85699999999997</v>
      </c>
      <c r="G59" s="7">
        <v>1</v>
      </c>
      <c r="H59" s="1">
        <v>40</v>
      </c>
      <c r="I59" s="1" t="s">
        <v>37</v>
      </c>
      <c r="J59" s="1">
        <v>623.15</v>
      </c>
      <c r="K59" s="1">
        <f t="shared" si="12"/>
        <v>16.014999999999986</v>
      </c>
      <c r="L59" s="1"/>
      <c r="M59" s="1"/>
      <c r="N59" s="1"/>
      <c r="O59" s="1">
        <v>534.12619999999993</v>
      </c>
      <c r="P59" s="1">
        <f t="shared" si="3"/>
        <v>127.833</v>
      </c>
      <c r="Q59" s="5">
        <f t="shared" si="13"/>
        <v>291.17980000000011</v>
      </c>
      <c r="R59" s="5">
        <v>250</v>
      </c>
      <c r="S59" s="5"/>
      <c r="T59" s="1"/>
      <c r="U59" s="1">
        <f t="shared" si="5"/>
        <v>10.677862523761469</v>
      </c>
      <c r="V59" s="1">
        <f t="shared" si="6"/>
        <v>8.7221859770168884</v>
      </c>
      <c r="W59" s="1">
        <v>123.96980000000001</v>
      </c>
      <c r="X59" s="1">
        <v>110.76819999999999</v>
      </c>
      <c r="Y59" s="1">
        <v>124.61920000000001</v>
      </c>
      <c r="Z59" s="1">
        <v>132.07919999999999</v>
      </c>
      <c r="AA59" s="1">
        <v>107.4828</v>
      </c>
      <c r="AB59" s="1">
        <v>118.8064</v>
      </c>
      <c r="AC59" s="1">
        <v>121.6146</v>
      </c>
      <c r="AD59" s="1">
        <v>78.779399999999995</v>
      </c>
      <c r="AE59" s="1">
        <v>79.445799999999991</v>
      </c>
      <c r="AF59" s="1">
        <v>112.238</v>
      </c>
      <c r="AG59" s="1"/>
      <c r="AH59" s="1">
        <f t="shared" si="7"/>
        <v>250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36</v>
      </c>
      <c r="C60" s="1">
        <v>744.93299999999999</v>
      </c>
      <c r="D60" s="1">
        <v>195.56800000000001</v>
      </c>
      <c r="E60" s="1">
        <v>570.33000000000004</v>
      </c>
      <c r="F60" s="1">
        <v>285.35700000000003</v>
      </c>
      <c r="G60" s="7">
        <v>1</v>
      </c>
      <c r="H60" s="1">
        <v>40</v>
      </c>
      <c r="I60" s="1" t="s">
        <v>37</v>
      </c>
      <c r="J60" s="1">
        <v>557.9</v>
      </c>
      <c r="K60" s="1">
        <f t="shared" si="12"/>
        <v>12.430000000000064</v>
      </c>
      <c r="L60" s="1"/>
      <c r="M60" s="1"/>
      <c r="N60" s="1"/>
      <c r="O60" s="1">
        <v>538.41799999999989</v>
      </c>
      <c r="P60" s="1">
        <f t="shared" si="3"/>
        <v>114.066</v>
      </c>
      <c r="Q60" s="5">
        <f t="shared" si="13"/>
        <v>430.95100000000019</v>
      </c>
      <c r="R60" s="5">
        <v>400</v>
      </c>
      <c r="S60" s="5"/>
      <c r="T60" s="1"/>
      <c r="U60" s="1">
        <f t="shared" si="5"/>
        <v>10.728657093261795</v>
      </c>
      <c r="V60" s="1">
        <f t="shared" si="6"/>
        <v>7.2219153823225133</v>
      </c>
      <c r="W60" s="1">
        <v>95.105199999999996</v>
      </c>
      <c r="X60" s="1">
        <v>73.077200000000005</v>
      </c>
      <c r="Y60" s="1">
        <v>93.453000000000003</v>
      </c>
      <c r="Z60" s="1">
        <v>108.12220000000001</v>
      </c>
      <c r="AA60" s="1">
        <v>90.313400000000001</v>
      </c>
      <c r="AB60" s="1">
        <v>87.304000000000002</v>
      </c>
      <c r="AC60" s="1">
        <v>88.727200000000011</v>
      </c>
      <c r="AD60" s="1">
        <v>52.353200000000001</v>
      </c>
      <c r="AE60" s="1">
        <v>51.728599999999993</v>
      </c>
      <c r="AF60" s="1">
        <v>85.974000000000004</v>
      </c>
      <c r="AG60" s="1"/>
      <c r="AH60" s="1">
        <f t="shared" si="7"/>
        <v>400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36</v>
      </c>
      <c r="C61" s="1">
        <v>702.91399999999999</v>
      </c>
      <c r="D61" s="1">
        <v>458.13499999999999</v>
      </c>
      <c r="E61" s="1">
        <v>502.93700000000001</v>
      </c>
      <c r="F61" s="1">
        <v>604.50599999999997</v>
      </c>
      <c r="G61" s="7">
        <v>1</v>
      </c>
      <c r="H61" s="1">
        <v>40</v>
      </c>
      <c r="I61" s="1" t="s">
        <v>37</v>
      </c>
      <c r="J61" s="1">
        <v>495.15</v>
      </c>
      <c r="K61" s="1">
        <f t="shared" si="12"/>
        <v>7.7870000000000346</v>
      </c>
      <c r="L61" s="1"/>
      <c r="M61" s="1"/>
      <c r="N61" s="1"/>
      <c r="O61" s="1">
        <v>148.4924</v>
      </c>
      <c r="P61" s="1">
        <f t="shared" si="3"/>
        <v>100.5874</v>
      </c>
      <c r="Q61" s="5">
        <f t="shared" si="13"/>
        <v>353.46300000000019</v>
      </c>
      <c r="R61" s="5">
        <v>330</v>
      </c>
      <c r="S61" s="5"/>
      <c r="T61" s="1"/>
      <c r="U61" s="1">
        <f t="shared" si="5"/>
        <v>10.766740168251689</v>
      </c>
      <c r="V61" s="1">
        <f t="shared" si="6"/>
        <v>7.4860111703851571</v>
      </c>
      <c r="W61" s="1">
        <v>86.938999999999993</v>
      </c>
      <c r="X61" s="1">
        <v>99.968800000000002</v>
      </c>
      <c r="Y61" s="1">
        <v>113.9876</v>
      </c>
      <c r="Z61" s="1">
        <v>116.447</v>
      </c>
      <c r="AA61" s="1">
        <v>104.0994</v>
      </c>
      <c r="AB61" s="1">
        <v>107.0544</v>
      </c>
      <c r="AC61" s="1">
        <v>108.00539999999999</v>
      </c>
      <c r="AD61" s="1">
        <v>63.811</v>
      </c>
      <c r="AE61" s="1">
        <v>64.664000000000001</v>
      </c>
      <c r="AF61" s="1">
        <v>96.909000000000006</v>
      </c>
      <c r="AG61" s="1"/>
      <c r="AH61" s="1">
        <f t="shared" si="7"/>
        <v>330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106</v>
      </c>
      <c r="B62" s="1" t="s">
        <v>36</v>
      </c>
      <c r="C62" s="1">
        <v>264.43400000000003</v>
      </c>
      <c r="D62" s="1"/>
      <c r="E62" s="1">
        <v>152.22900000000001</v>
      </c>
      <c r="F62" s="1">
        <v>70.47</v>
      </c>
      <c r="G62" s="7">
        <v>1</v>
      </c>
      <c r="H62" s="1">
        <v>30</v>
      </c>
      <c r="I62" s="1" t="s">
        <v>37</v>
      </c>
      <c r="J62" s="1">
        <v>154.94999999999999</v>
      </c>
      <c r="K62" s="1">
        <f t="shared" si="12"/>
        <v>-2.7209999999999752</v>
      </c>
      <c r="L62" s="1"/>
      <c r="M62" s="1"/>
      <c r="N62" s="1"/>
      <c r="O62" s="1">
        <v>211.07499999999999</v>
      </c>
      <c r="P62" s="1">
        <f t="shared" si="3"/>
        <v>30.445800000000002</v>
      </c>
      <c r="Q62" s="5">
        <f t="shared" si="13"/>
        <v>53.358800000000059</v>
      </c>
      <c r="R62" s="5">
        <f t="shared" si="8"/>
        <v>53.358800000000059</v>
      </c>
      <c r="S62" s="5"/>
      <c r="T62" s="1"/>
      <c r="U62" s="1">
        <f t="shared" si="5"/>
        <v>11</v>
      </c>
      <c r="V62" s="1">
        <f t="shared" si="6"/>
        <v>9.2474167208613327</v>
      </c>
      <c r="W62" s="1">
        <v>31.700600000000001</v>
      </c>
      <c r="X62" s="1">
        <v>19.817799999999998</v>
      </c>
      <c r="Y62" s="1">
        <v>17.847999999999999</v>
      </c>
      <c r="Z62" s="1">
        <v>31.606400000000001</v>
      </c>
      <c r="AA62" s="1">
        <v>33.779200000000003</v>
      </c>
      <c r="AB62" s="1">
        <v>24.966000000000001</v>
      </c>
      <c r="AC62" s="1">
        <v>21.8932</v>
      </c>
      <c r="AD62" s="1">
        <v>18.638999999999999</v>
      </c>
      <c r="AE62" s="1">
        <v>21.760400000000001</v>
      </c>
      <c r="AF62" s="1">
        <v>25.026399999999999</v>
      </c>
      <c r="AG62" s="1" t="s">
        <v>73</v>
      </c>
      <c r="AH62" s="1">
        <f t="shared" si="7"/>
        <v>53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107</v>
      </c>
      <c r="B63" s="1" t="s">
        <v>42</v>
      </c>
      <c r="C63" s="1">
        <v>319</v>
      </c>
      <c r="D63" s="1"/>
      <c r="E63" s="1">
        <v>83</v>
      </c>
      <c r="F63" s="1">
        <v>208</v>
      </c>
      <c r="G63" s="7">
        <v>0.6</v>
      </c>
      <c r="H63" s="1">
        <v>60</v>
      </c>
      <c r="I63" s="1" t="s">
        <v>37</v>
      </c>
      <c r="J63" s="1">
        <v>89</v>
      </c>
      <c r="K63" s="1">
        <f t="shared" si="12"/>
        <v>-6</v>
      </c>
      <c r="L63" s="1"/>
      <c r="M63" s="1"/>
      <c r="N63" s="1"/>
      <c r="O63" s="1">
        <v>0</v>
      </c>
      <c r="P63" s="1">
        <f t="shared" si="3"/>
        <v>16.600000000000001</v>
      </c>
      <c r="Q63" s="5"/>
      <c r="R63" s="5">
        <f t="shared" si="8"/>
        <v>0</v>
      </c>
      <c r="S63" s="5"/>
      <c r="T63" s="1"/>
      <c r="U63" s="1">
        <f t="shared" si="5"/>
        <v>12.53012048192771</v>
      </c>
      <c r="V63" s="1">
        <f t="shared" si="6"/>
        <v>12.53012048192771</v>
      </c>
      <c r="W63" s="1">
        <v>14</v>
      </c>
      <c r="X63" s="1">
        <v>11.8</v>
      </c>
      <c r="Y63" s="1">
        <v>15.4</v>
      </c>
      <c r="Z63" s="1">
        <v>15.4</v>
      </c>
      <c r="AA63" s="1">
        <v>10.4</v>
      </c>
      <c r="AB63" s="1">
        <v>8.6</v>
      </c>
      <c r="AC63" s="1">
        <v>13.6</v>
      </c>
      <c r="AD63" s="1">
        <v>13</v>
      </c>
      <c r="AE63" s="1">
        <v>14</v>
      </c>
      <c r="AF63" s="1">
        <v>17.399999999999999</v>
      </c>
      <c r="AG63" s="22" t="s">
        <v>108</v>
      </c>
      <c r="AH63" s="1">
        <f t="shared" si="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42</v>
      </c>
      <c r="C64" s="1">
        <v>245</v>
      </c>
      <c r="D64" s="1">
        <v>156</v>
      </c>
      <c r="E64" s="1">
        <v>127</v>
      </c>
      <c r="F64" s="1">
        <v>203</v>
      </c>
      <c r="G64" s="7">
        <v>0.35</v>
      </c>
      <c r="H64" s="1">
        <v>50</v>
      </c>
      <c r="I64" s="1" t="s">
        <v>37</v>
      </c>
      <c r="J64" s="1">
        <v>127</v>
      </c>
      <c r="K64" s="1">
        <f t="shared" si="12"/>
        <v>0</v>
      </c>
      <c r="L64" s="1"/>
      <c r="M64" s="1"/>
      <c r="N64" s="1"/>
      <c r="O64" s="1">
        <v>53.800000000000011</v>
      </c>
      <c r="P64" s="1">
        <f t="shared" si="3"/>
        <v>25.4</v>
      </c>
      <c r="Q64" s="5">
        <f t="shared" si="13"/>
        <v>22.599999999999966</v>
      </c>
      <c r="R64" s="5">
        <f t="shared" si="8"/>
        <v>22.599999999999966</v>
      </c>
      <c r="S64" s="5"/>
      <c r="T64" s="1"/>
      <c r="U64" s="1">
        <f t="shared" si="5"/>
        <v>11</v>
      </c>
      <c r="V64" s="1">
        <f t="shared" si="6"/>
        <v>10.110236220472443</v>
      </c>
      <c r="W64" s="1">
        <v>30</v>
      </c>
      <c r="X64" s="1">
        <v>29.2</v>
      </c>
      <c r="Y64" s="1">
        <v>33.4</v>
      </c>
      <c r="Z64" s="1">
        <v>34.799999999999997</v>
      </c>
      <c r="AA64" s="1">
        <v>25</v>
      </c>
      <c r="AB64" s="1">
        <v>24.8</v>
      </c>
      <c r="AC64" s="1">
        <v>27.8</v>
      </c>
      <c r="AD64" s="1">
        <v>20</v>
      </c>
      <c r="AE64" s="1">
        <v>24.2</v>
      </c>
      <c r="AF64" s="1">
        <v>27.6</v>
      </c>
      <c r="AG64" s="1"/>
      <c r="AH64" s="1">
        <f t="shared" si="7"/>
        <v>8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42</v>
      </c>
      <c r="C65" s="1">
        <v>428</v>
      </c>
      <c r="D65" s="1">
        <v>510</v>
      </c>
      <c r="E65" s="1">
        <v>288</v>
      </c>
      <c r="F65" s="1">
        <v>512</v>
      </c>
      <c r="G65" s="7">
        <v>0.37</v>
      </c>
      <c r="H65" s="1">
        <v>50</v>
      </c>
      <c r="I65" s="1" t="s">
        <v>37</v>
      </c>
      <c r="J65" s="1">
        <v>292</v>
      </c>
      <c r="K65" s="1">
        <f t="shared" si="12"/>
        <v>-4</v>
      </c>
      <c r="L65" s="1"/>
      <c r="M65" s="1"/>
      <c r="N65" s="1"/>
      <c r="O65" s="1">
        <v>0</v>
      </c>
      <c r="P65" s="1">
        <f t="shared" si="3"/>
        <v>57.6</v>
      </c>
      <c r="Q65" s="5">
        <f t="shared" si="13"/>
        <v>121.60000000000002</v>
      </c>
      <c r="R65" s="5">
        <v>100</v>
      </c>
      <c r="S65" s="5"/>
      <c r="T65" s="1"/>
      <c r="U65" s="1">
        <f t="shared" si="5"/>
        <v>10.625</v>
      </c>
      <c r="V65" s="1">
        <f t="shared" si="6"/>
        <v>8.8888888888888893</v>
      </c>
      <c r="W65" s="1">
        <v>61.2</v>
      </c>
      <c r="X65" s="1">
        <v>72</v>
      </c>
      <c r="Y65" s="1">
        <v>67.599999999999994</v>
      </c>
      <c r="Z65" s="1">
        <v>73.2</v>
      </c>
      <c r="AA65" s="1">
        <v>68.599999999999994</v>
      </c>
      <c r="AB65" s="1">
        <v>91.6</v>
      </c>
      <c r="AC65" s="1">
        <v>87.4</v>
      </c>
      <c r="AD65" s="1">
        <v>84.6</v>
      </c>
      <c r="AE65" s="1">
        <v>106.8</v>
      </c>
      <c r="AF65" s="1">
        <v>99.2</v>
      </c>
      <c r="AG65" s="1" t="s">
        <v>91</v>
      </c>
      <c r="AH65" s="1">
        <f t="shared" si="7"/>
        <v>37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42</v>
      </c>
      <c r="C66" s="1">
        <v>79</v>
      </c>
      <c r="D66" s="1">
        <v>4</v>
      </c>
      <c r="E66" s="1">
        <v>56</v>
      </c>
      <c r="F66" s="1">
        <v>6</v>
      </c>
      <c r="G66" s="7">
        <v>0.4</v>
      </c>
      <c r="H66" s="1">
        <v>30</v>
      </c>
      <c r="I66" s="1" t="s">
        <v>37</v>
      </c>
      <c r="J66" s="1">
        <v>70</v>
      </c>
      <c r="K66" s="1">
        <f t="shared" si="12"/>
        <v>-14</v>
      </c>
      <c r="L66" s="1"/>
      <c r="M66" s="1"/>
      <c r="N66" s="1"/>
      <c r="O66" s="1">
        <v>72.2</v>
      </c>
      <c r="P66" s="1">
        <f t="shared" si="3"/>
        <v>11.2</v>
      </c>
      <c r="Q66" s="5">
        <f t="shared" si="13"/>
        <v>44.999999999999986</v>
      </c>
      <c r="R66" s="5">
        <f t="shared" si="8"/>
        <v>44.999999999999986</v>
      </c>
      <c r="S66" s="5"/>
      <c r="T66" s="1"/>
      <c r="U66" s="1">
        <f t="shared" si="5"/>
        <v>11</v>
      </c>
      <c r="V66" s="1">
        <f t="shared" si="6"/>
        <v>6.9821428571428577</v>
      </c>
      <c r="W66" s="1">
        <v>12.6</v>
      </c>
      <c r="X66" s="1">
        <v>2.4</v>
      </c>
      <c r="Y66" s="1">
        <v>-2.2000000000000002</v>
      </c>
      <c r="Z66" s="1">
        <v>6.8</v>
      </c>
      <c r="AA66" s="1">
        <v>11.2</v>
      </c>
      <c r="AB66" s="1">
        <v>6.8</v>
      </c>
      <c r="AC66" s="1">
        <v>6.4</v>
      </c>
      <c r="AD66" s="1">
        <v>5</v>
      </c>
      <c r="AE66" s="1">
        <v>6.8</v>
      </c>
      <c r="AF66" s="1">
        <v>9.4</v>
      </c>
      <c r="AG66" s="1"/>
      <c r="AH66" s="1">
        <f t="shared" si="7"/>
        <v>18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42</v>
      </c>
      <c r="C67" s="1">
        <v>200</v>
      </c>
      <c r="D67" s="1"/>
      <c r="E67" s="1">
        <v>60</v>
      </c>
      <c r="F67" s="1">
        <v>99</v>
      </c>
      <c r="G67" s="7">
        <v>0.6</v>
      </c>
      <c r="H67" s="1">
        <v>55</v>
      </c>
      <c r="I67" s="1" t="s">
        <v>37</v>
      </c>
      <c r="J67" s="1">
        <v>57.2</v>
      </c>
      <c r="K67" s="1">
        <f t="shared" si="12"/>
        <v>2.7999999999999972</v>
      </c>
      <c r="L67" s="1"/>
      <c r="M67" s="1"/>
      <c r="N67" s="1"/>
      <c r="O67" s="1">
        <v>40</v>
      </c>
      <c r="P67" s="1">
        <f t="shared" si="3"/>
        <v>12</v>
      </c>
      <c r="Q67" s="5"/>
      <c r="R67" s="5">
        <f t="shared" si="8"/>
        <v>0</v>
      </c>
      <c r="S67" s="5"/>
      <c r="T67" s="1"/>
      <c r="U67" s="1">
        <f t="shared" si="5"/>
        <v>11.583333333333334</v>
      </c>
      <c r="V67" s="1">
        <f t="shared" si="6"/>
        <v>11.583333333333334</v>
      </c>
      <c r="W67" s="1">
        <v>16</v>
      </c>
      <c r="X67" s="1">
        <v>9.4</v>
      </c>
      <c r="Y67" s="1">
        <v>14</v>
      </c>
      <c r="Z67" s="1">
        <v>15.6</v>
      </c>
      <c r="AA67" s="1">
        <v>7.6</v>
      </c>
      <c r="AB67" s="1">
        <v>7.2</v>
      </c>
      <c r="AC67" s="1">
        <v>8</v>
      </c>
      <c r="AD67" s="1">
        <v>9.4</v>
      </c>
      <c r="AE67" s="1">
        <v>20.399999999999999</v>
      </c>
      <c r="AF67" s="1">
        <v>22.4</v>
      </c>
      <c r="AG67" s="1" t="s">
        <v>113</v>
      </c>
      <c r="AH67" s="1">
        <f t="shared" si="7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114</v>
      </c>
      <c r="B68" s="1" t="s">
        <v>42</v>
      </c>
      <c r="C68" s="1">
        <v>109</v>
      </c>
      <c r="D68" s="1">
        <v>126</v>
      </c>
      <c r="E68" s="1">
        <v>44</v>
      </c>
      <c r="F68" s="1">
        <v>118</v>
      </c>
      <c r="G68" s="7">
        <v>0.45</v>
      </c>
      <c r="H68" s="1">
        <v>40</v>
      </c>
      <c r="I68" s="1" t="s">
        <v>37</v>
      </c>
      <c r="J68" s="1">
        <v>94</v>
      </c>
      <c r="K68" s="1">
        <f t="shared" si="12"/>
        <v>-50</v>
      </c>
      <c r="L68" s="1"/>
      <c r="M68" s="1"/>
      <c r="N68" s="1"/>
      <c r="O68" s="1">
        <v>0</v>
      </c>
      <c r="P68" s="1">
        <f t="shared" si="3"/>
        <v>8.8000000000000007</v>
      </c>
      <c r="Q68" s="5"/>
      <c r="R68" s="5">
        <f t="shared" si="8"/>
        <v>0</v>
      </c>
      <c r="S68" s="5"/>
      <c r="T68" s="1"/>
      <c r="U68" s="1">
        <f t="shared" si="5"/>
        <v>13.409090909090908</v>
      </c>
      <c r="V68" s="1">
        <f t="shared" si="6"/>
        <v>13.409090909090908</v>
      </c>
      <c r="W68" s="1">
        <v>20.8</v>
      </c>
      <c r="X68" s="1">
        <v>17</v>
      </c>
      <c r="Y68" s="1">
        <v>16.600000000000001</v>
      </c>
      <c r="Z68" s="1">
        <v>19</v>
      </c>
      <c r="AA68" s="1">
        <v>20.6</v>
      </c>
      <c r="AB68" s="1">
        <v>19.399999999999999</v>
      </c>
      <c r="AC68" s="1">
        <v>15.8</v>
      </c>
      <c r="AD68" s="1">
        <v>20.6</v>
      </c>
      <c r="AE68" s="1">
        <v>24</v>
      </c>
      <c r="AF68" s="1">
        <v>22.8</v>
      </c>
      <c r="AG68" s="1" t="s">
        <v>115</v>
      </c>
      <c r="AH68" s="1">
        <f t="shared" si="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116</v>
      </c>
      <c r="B69" s="1" t="s">
        <v>42</v>
      </c>
      <c r="C69" s="1">
        <v>275</v>
      </c>
      <c r="D69" s="1">
        <v>102</v>
      </c>
      <c r="E69" s="1">
        <v>121</v>
      </c>
      <c r="F69" s="1">
        <v>175</v>
      </c>
      <c r="G69" s="7">
        <v>0.4</v>
      </c>
      <c r="H69" s="1">
        <v>50</v>
      </c>
      <c r="I69" s="1" t="s">
        <v>37</v>
      </c>
      <c r="J69" s="1">
        <v>121</v>
      </c>
      <c r="K69" s="1">
        <f t="shared" si="12"/>
        <v>0</v>
      </c>
      <c r="L69" s="1"/>
      <c r="M69" s="1"/>
      <c r="N69" s="1"/>
      <c r="O69" s="1">
        <v>52.199999999999989</v>
      </c>
      <c r="P69" s="1">
        <f t="shared" si="3"/>
        <v>24.2</v>
      </c>
      <c r="Q69" s="5">
        <f t="shared" si="13"/>
        <v>39</v>
      </c>
      <c r="R69" s="5">
        <f t="shared" si="8"/>
        <v>39</v>
      </c>
      <c r="S69" s="5"/>
      <c r="T69" s="1"/>
      <c r="U69" s="1">
        <f t="shared" si="5"/>
        <v>11</v>
      </c>
      <c r="V69" s="1">
        <f t="shared" si="6"/>
        <v>9.3884297520661146</v>
      </c>
      <c r="W69" s="1">
        <v>28.6</v>
      </c>
      <c r="X69" s="1">
        <v>26.8</v>
      </c>
      <c r="Y69" s="1">
        <v>31.6</v>
      </c>
      <c r="Z69" s="1">
        <v>32.4</v>
      </c>
      <c r="AA69" s="1">
        <v>28.2</v>
      </c>
      <c r="AB69" s="1">
        <v>26</v>
      </c>
      <c r="AC69" s="1">
        <v>23.2</v>
      </c>
      <c r="AD69" s="1">
        <v>27</v>
      </c>
      <c r="AE69" s="1">
        <v>41.6</v>
      </c>
      <c r="AF69" s="1">
        <v>43.8</v>
      </c>
      <c r="AG69" s="1"/>
      <c r="AH69" s="1">
        <f t="shared" si="7"/>
        <v>16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7" t="s">
        <v>117</v>
      </c>
      <c r="B70" s="1" t="s">
        <v>42</v>
      </c>
      <c r="C70" s="1"/>
      <c r="D70" s="1"/>
      <c r="E70" s="1"/>
      <c r="F70" s="1"/>
      <c r="G70" s="7">
        <v>0.06</v>
      </c>
      <c r="H70" s="1">
        <v>60</v>
      </c>
      <c r="I70" s="1" t="s">
        <v>37</v>
      </c>
      <c r="J70" s="1"/>
      <c r="K70" s="1">
        <f t="shared" ref="K70:K95" si="14">E70-J70</f>
        <v>0</v>
      </c>
      <c r="L70" s="1"/>
      <c r="M70" s="1"/>
      <c r="N70" s="1"/>
      <c r="O70" s="17"/>
      <c r="P70" s="1">
        <f t="shared" si="3"/>
        <v>0</v>
      </c>
      <c r="Q70" s="18">
        <v>10</v>
      </c>
      <c r="R70" s="5">
        <f t="shared" si="8"/>
        <v>10</v>
      </c>
      <c r="S70" s="5"/>
      <c r="T70" s="1"/>
      <c r="U70" s="1" t="e">
        <f t="shared" si="5"/>
        <v>#DIV/0!</v>
      </c>
      <c r="V70" s="1" t="e">
        <f t="shared" si="6"/>
        <v>#DIV/0!</v>
      </c>
      <c r="W70" s="1">
        <v>0</v>
      </c>
      <c r="X70" s="1">
        <v>0</v>
      </c>
      <c r="Y70" s="1">
        <v>-0.2</v>
      </c>
      <c r="Z70" s="1">
        <v>-0.2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7" t="s">
        <v>93</v>
      </c>
      <c r="AH70" s="1">
        <f t="shared" si="7"/>
        <v>1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118</v>
      </c>
      <c r="B71" s="1" t="s">
        <v>42</v>
      </c>
      <c r="C71" s="1">
        <v>16</v>
      </c>
      <c r="D71" s="1">
        <v>11</v>
      </c>
      <c r="E71" s="1">
        <v>3</v>
      </c>
      <c r="F71" s="1">
        <v>21</v>
      </c>
      <c r="G71" s="7">
        <v>0.4</v>
      </c>
      <c r="H71" s="1">
        <v>55</v>
      </c>
      <c r="I71" s="1" t="s">
        <v>37</v>
      </c>
      <c r="J71" s="1">
        <v>3</v>
      </c>
      <c r="K71" s="1">
        <f t="shared" si="14"/>
        <v>0</v>
      </c>
      <c r="L71" s="1"/>
      <c r="M71" s="1"/>
      <c r="N71" s="1"/>
      <c r="O71" s="1">
        <v>0</v>
      </c>
      <c r="P71" s="1">
        <f t="shared" ref="P71:P96" si="15">E71/5</f>
        <v>0.6</v>
      </c>
      <c r="Q71" s="5"/>
      <c r="R71" s="5">
        <f t="shared" ref="R71:R95" si="16">Q71</f>
        <v>0</v>
      </c>
      <c r="S71" s="5"/>
      <c r="T71" s="1"/>
      <c r="U71" s="1">
        <f t="shared" ref="U71:U96" si="17">(F71+N71+O71+R71)/P71</f>
        <v>35</v>
      </c>
      <c r="V71" s="1">
        <f t="shared" ref="V71:V96" si="18">(F71+N71+O71)/P71</f>
        <v>35</v>
      </c>
      <c r="W71" s="1">
        <v>1.2</v>
      </c>
      <c r="X71" s="1">
        <v>2.2000000000000002</v>
      </c>
      <c r="Y71" s="1">
        <v>1.6</v>
      </c>
      <c r="Z71" s="1">
        <v>1</v>
      </c>
      <c r="AA71" s="1">
        <v>2</v>
      </c>
      <c r="AB71" s="1">
        <v>1.6</v>
      </c>
      <c r="AC71" s="1">
        <v>0.8</v>
      </c>
      <c r="AD71" s="1">
        <v>0.4</v>
      </c>
      <c r="AE71" s="1">
        <v>1</v>
      </c>
      <c r="AF71" s="1">
        <v>1.6</v>
      </c>
      <c r="AG71" s="21" t="s">
        <v>119</v>
      </c>
      <c r="AH71" s="1">
        <f t="shared" ref="AH71:AH96" si="19">ROUND(G71*R71,0)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120</v>
      </c>
      <c r="B72" s="1" t="s">
        <v>36</v>
      </c>
      <c r="C72" s="1">
        <v>240.696</v>
      </c>
      <c r="D72" s="1">
        <v>334.26600000000002</v>
      </c>
      <c r="E72" s="1">
        <v>142.75</v>
      </c>
      <c r="F72" s="1">
        <v>322.78800000000001</v>
      </c>
      <c r="G72" s="7">
        <v>1</v>
      </c>
      <c r="H72" s="1">
        <v>55</v>
      </c>
      <c r="I72" s="1" t="s">
        <v>37</v>
      </c>
      <c r="J72" s="1">
        <v>139.19999999999999</v>
      </c>
      <c r="K72" s="1">
        <f t="shared" si="14"/>
        <v>3.5500000000000114</v>
      </c>
      <c r="L72" s="1"/>
      <c r="M72" s="1"/>
      <c r="N72" s="1"/>
      <c r="O72" s="1">
        <v>0</v>
      </c>
      <c r="P72" s="1">
        <f t="shared" si="15"/>
        <v>28.55</v>
      </c>
      <c r="Q72" s="5"/>
      <c r="R72" s="5">
        <f t="shared" si="16"/>
        <v>0</v>
      </c>
      <c r="S72" s="5"/>
      <c r="T72" s="1"/>
      <c r="U72" s="1">
        <f t="shared" si="17"/>
        <v>11.306059544658494</v>
      </c>
      <c r="V72" s="1">
        <f t="shared" si="18"/>
        <v>11.306059544658494</v>
      </c>
      <c r="W72" s="1">
        <v>36.019599999999997</v>
      </c>
      <c r="X72" s="1">
        <v>43.8474</v>
      </c>
      <c r="Y72" s="1">
        <v>56.447400000000002</v>
      </c>
      <c r="Z72" s="1">
        <v>57.400599999999997</v>
      </c>
      <c r="AA72" s="1">
        <v>44.5184</v>
      </c>
      <c r="AB72" s="1">
        <v>29.15</v>
      </c>
      <c r="AC72" s="1">
        <v>27.264199999999999</v>
      </c>
      <c r="AD72" s="1">
        <v>55.612400000000001</v>
      </c>
      <c r="AE72" s="1">
        <v>73.2</v>
      </c>
      <c r="AF72" s="1">
        <v>57.658799999999999</v>
      </c>
      <c r="AG72" s="1" t="s">
        <v>121</v>
      </c>
      <c r="AH72" s="1">
        <f t="shared" si="19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1" t="s">
        <v>122</v>
      </c>
      <c r="B73" s="11" t="s">
        <v>36</v>
      </c>
      <c r="C73" s="11">
        <v>421.08600000000001</v>
      </c>
      <c r="D73" s="11">
        <v>1.0740000000000001</v>
      </c>
      <c r="E73" s="11">
        <v>346.49799999999999</v>
      </c>
      <c r="F73" s="11"/>
      <c r="G73" s="12">
        <v>0</v>
      </c>
      <c r="H73" s="11">
        <v>50</v>
      </c>
      <c r="I73" s="11" t="s">
        <v>123</v>
      </c>
      <c r="J73" s="11">
        <v>326.05</v>
      </c>
      <c r="K73" s="11">
        <f t="shared" si="14"/>
        <v>20.447999999999979</v>
      </c>
      <c r="L73" s="11"/>
      <c r="M73" s="11"/>
      <c r="N73" s="11"/>
      <c r="O73" s="11">
        <v>0</v>
      </c>
      <c r="P73" s="11">
        <f t="shared" si="15"/>
        <v>69.299599999999998</v>
      </c>
      <c r="Q73" s="13"/>
      <c r="R73" s="5">
        <f t="shared" si="16"/>
        <v>0</v>
      </c>
      <c r="S73" s="13"/>
      <c r="T73" s="11"/>
      <c r="U73" s="1">
        <f t="shared" si="17"/>
        <v>0</v>
      </c>
      <c r="V73" s="11">
        <f t="shared" si="18"/>
        <v>0</v>
      </c>
      <c r="W73" s="11">
        <v>77.137599999999992</v>
      </c>
      <c r="X73" s="11">
        <v>83.677800000000005</v>
      </c>
      <c r="Y73" s="11">
        <v>86.760400000000004</v>
      </c>
      <c r="Z73" s="11">
        <v>92.899199999999993</v>
      </c>
      <c r="AA73" s="11">
        <v>87.940200000000004</v>
      </c>
      <c r="AB73" s="11">
        <v>75.155999999999992</v>
      </c>
      <c r="AC73" s="11">
        <v>77.6952</v>
      </c>
      <c r="AD73" s="11">
        <v>53.210400000000007</v>
      </c>
      <c r="AE73" s="11">
        <v>49.611800000000002</v>
      </c>
      <c r="AF73" s="11">
        <v>79.387199999999993</v>
      </c>
      <c r="AG73" s="11" t="s">
        <v>124</v>
      </c>
      <c r="AH73" s="1">
        <f t="shared" si="19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4" t="s">
        <v>125</v>
      </c>
      <c r="B74" s="14" t="s">
        <v>42</v>
      </c>
      <c r="C74" s="14"/>
      <c r="D74" s="14"/>
      <c r="E74" s="14"/>
      <c r="F74" s="14"/>
      <c r="G74" s="15">
        <v>0</v>
      </c>
      <c r="H74" s="14">
        <v>40</v>
      </c>
      <c r="I74" s="14" t="s">
        <v>37</v>
      </c>
      <c r="J74" s="14"/>
      <c r="K74" s="14">
        <f t="shared" si="14"/>
        <v>0</v>
      </c>
      <c r="L74" s="14"/>
      <c r="M74" s="14"/>
      <c r="N74" s="14"/>
      <c r="O74" s="14">
        <v>0</v>
      </c>
      <c r="P74" s="14">
        <f t="shared" si="15"/>
        <v>0</v>
      </c>
      <c r="Q74" s="16"/>
      <c r="R74" s="5">
        <f t="shared" si="16"/>
        <v>0</v>
      </c>
      <c r="S74" s="16"/>
      <c r="T74" s="14"/>
      <c r="U74" s="1" t="e">
        <f t="shared" si="17"/>
        <v>#DIV/0!</v>
      </c>
      <c r="V74" s="14" t="e">
        <f t="shared" si="18"/>
        <v>#DIV/0!</v>
      </c>
      <c r="W74" s="14">
        <v>0</v>
      </c>
      <c r="X74" s="14">
        <v>0</v>
      </c>
      <c r="Y74" s="14">
        <v>0</v>
      </c>
      <c r="Z74" s="14">
        <v>-0.4</v>
      </c>
      <c r="AA74" s="14">
        <v>-0.4</v>
      </c>
      <c r="AB74" s="14">
        <v>0</v>
      </c>
      <c r="AC74" s="14">
        <v>0</v>
      </c>
      <c r="AD74" s="14">
        <v>0</v>
      </c>
      <c r="AE74" s="14">
        <v>0</v>
      </c>
      <c r="AF74" s="14">
        <v>-0.6</v>
      </c>
      <c r="AG74" s="14" t="s">
        <v>49</v>
      </c>
      <c r="AH74" s="1">
        <f t="shared" si="19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4" t="s">
        <v>126</v>
      </c>
      <c r="B75" s="14" t="s">
        <v>42</v>
      </c>
      <c r="C75" s="14"/>
      <c r="D75" s="14"/>
      <c r="E75" s="14"/>
      <c r="F75" s="14"/>
      <c r="G75" s="15">
        <v>0</v>
      </c>
      <c r="H75" s="14">
        <v>35</v>
      </c>
      <c r="I75" s="14" t="s">
        <v>37</v>
      </c>
      <c r="J75" s="14"/>
      <c r="K75" s="14">
        <f t="shared" si="14"/>
        <v>0</v>
      </c>
      <c r="L75" s="14"/>
      <c r="M75" s="14"/>
      <c r="N75" s="14"/>
      <c r="O75" s="14">
        <v>0</v>
      </c>
      <c r="P75" s="14">
        <f t="shared" si="15"/>
        <v>0</v>
      </c>
      <c r="Q75" s="16"/>
      <c r="R75" s="5">
        <f t="shared" si="16"/>
        <v>0</v>
      </c>
      <c r="S75" s="16"/>
      <c r="T75" s="14"/>
      <c r="U75" s="1" t="e">
        <f t="shared" si="17"/>
        <v>#DIV/0!</v>
      </c>
      <c r="V75" s="14" t="e">
        <f t="shared" si="18"/>
        <v>#DIV/0!</v>
      </c>
      <c r="W75" s="14">
        <v>0</v>
      </c>
      <c r="X75" s="14">
        <v>0</v>
      </c>
      <c r="Y75" s="14">
        <v>-0.2</v>
      </c>
      <c r="Z75" s="14">
        <v>-0.2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-0.2</v>
      </c>
      <c r="AG75" s="14" t="s">
        <v>49</v>
      </c>
      <c r="AH75" s="1">
        <f t="shared" si="19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127</v>
      </c>
      <c r="B76" s="1" t="s">
        <v>36</v>
      </c>
      <c r="C76" s="1">
        <v>1322.9110000000001</v>
      </c>
      <c r="D76" s="1">
        <v>1025.77</v>
      </c>
      <c r="E76" s="1">
        <v>980.03700000000003</v>
      </c>
      <c r="F76" s="1">
        <v>1179.049</v>
      </c>
      <c r="G76" s="7">
        <v>1</v>
      </c>
      <c r="H76" s="1">
        <v>60</v>
      </c>
      <c r="I76" s="1" t="s">
        <v>37</v>
      </c>
      <c r="J76" s="1">
        <v>962.94</v>
      </c>
      <c r="K76" s="1">
        <f t="shared" si="14"/>
        <v>17.09699999999998</v>
      </c>
      <c r="L76" s="1"/>
      <c r="M76" s="1"/>
      <c r="N76" s="1">
        <v>900</v>
      </c>
      <c r="O76" s="1">
        <v>0</v>
      </c>
      <c r="P76" s="1">
        <f t="shared" si="15"/>
        <v>196.00740000000002</v>
      </c>
      <c r="Q76" s="5">
        <f t="shared" ref="Q76" si="20">12*P76-O76-N76-F76</f>
        <v>273.03980000000047</v>
      </c>
      <c r="R76" s="5">
        <v>200</v>
      </c>
      <c r="S76" s="5"/>
      <c r="T76" s="1"/>
      <c r="U76" s="1">
        <f t="shared" si="17"/>
        <v>11.627362028168323</v>
      </c>
      <c r="V76" s="1">
        <f t="shared" si="18"/>
        <v>10.60699238906286</v>
      </c>
      <c r="W76" s="1">
        <v>200.1096</v>
      </c>
      <c r="X76" s="1">
        <v>177.82900000000001</v>
      </c>
      <c r="Y76" s="1">
        <v>170.0326</v>
      </c>
      <c r="Z76" s="1">
        <v>184.52279999999999</v>
      </c>
      <c r="AA76" s="1">
        <v>186.55940000000001</v>
      </c>
      <c r="AB76" s="1">
        <v>199.25040000000001</v>
      </c>
      <c r="AC76" s="1">
        <v>194.49539999999999</v>
      </c>
      <c r="AD76" s="1">
        <v>166.607</v>
      </c>
      <c r="AE76" s="1">
        <v>173.685</v>
      </c>
      <c r="AF76" s="1">
        <v>205.41059999999999</v>
      </c>
      <c r="AG76" s="1" t="s">
        <v>58</v>
      </c>
      <c r="AH76" s="1">
        <f t="shared" si="19"/>
        <v>200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128</v>
      </c>
      <c r="B77" s="1" t="s">
        <v>36</v>
      </c>
      <c r="C77" s="1">
        <v>1451.444</v>
      </c>
      <c r="D77" s="1">
        <v>2629.0920000000001</v>
      </c>
      <c r="E77" s="1">
        <v>1542.91</v>
      </c>
      <c r="F77" s="1">
        <v>2231.5610000000001</v>
      </c>
      <c r="G77" s="7">
        <v>1</v>
      </c>
      <c r="H77" s="1">
        <v>60</v>
      </c>
      <c r="I77" s="1" t="s">
        <v>37</v>
      </c>
      <c r="J77" s="1">
        <v>1577.8</v>
      </c>
      <c r="K77" s="1">
        <f t="shared" si="14"/>
        <v>-34.889999999999873</v>
      </c>
      <c r="L77" s="1"/>
      <c r="M77" s="1"/>
      <c r="N77" s="1">
        <v>1700</v>
      </c>
      <c r="O77" s="1">
        <v>0</v>
      </c>
      <c r="P77" s="1">
        <f t="shared" si="15"/>
        <v>308.58199999999999</v>
      </c>
      <c r="Q77" s="5"/>
      <c r="R77" s="5">
        <f t="shared" si="16"/>
        <v>0</v>
      </c>
      <c r="S77" s="5"/>
      <c r="T77" s="1"/>
      <c r="U77" s="1">
        <f t="shared" si="17"/>
        <v>12.740733419318042</v>
      </c>
      <c r="V77" s="1">
        <f t="shared" si="18"/>
        <v>12.740733419318042</v>
      </c>
      <c r="W77" s="1">
        <v>328.053</v>
      </c>
      <c r="X77" s="1">
        <v>307.38659999999999</v>
      </c>
      <c r="Y77" s="1">
        <v>314.75560000000002</v>
      </c>
      <c r="Z77" s="1">
        <v>252.93639999999999</v>
      </c>
      <c r="AA77" s="1">
        <v>231.53360000000001</v>
      </c>
      <c r="AB77" s="1">
        <v>264.21800000000002</v>
      </c>
      <c r="AC77" s="1">
        <v>266.18220000000002</v>
      </c>
      <c r="AD77" s="1">
        <v>215.21860000000001</v>
      </c>
      <c r="AE77" s="1">
        <v>199.64680000000001</v>
      </c>
      <c r="AF77" s="1">
        <v>215.5966</v>
      </c>
      <c r="AG77" s="1" t="s">
        <v>58</v>
      </c>
      <c r="AH77" s="1">
        <f t="shared" si="19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129</v>
      </c>
      <c r="B78" s="1" t="s">
        <v>36</v>
      </c>
      <c r="C78" s="1">
        <v>2056.7600000000002</v>
      </c>
      <c r="D78" s="1">
        <v>4908.2560000000003</v>
      </c>
      <c r="E78" s="1">
        <v>2808.0790000000002</v>
      </c>
      <c r="F78" s="1">
        <v>3470.2020000000002</v>
      </c>
      <c r="G78" s="7">
        <v>1</v>
      </c>
      <c r="H78" s="1">
        <v>60</v>
      </c>
      <c r="I78" s="1" t="s">
        <v>37</v>
      </c>
      <c r="J78" s="1">
        <v>3200.1</v>
      </c>
      <c r="K78" s="1">
        <f t="shared" si="14"/>
        <v>-392.02099999999973</v>
      </c>
      <c r="L78" s="1"/>
      <c r="M78" s="1"/>
      <c r="N78" s="1">
        <v>2700</v>
      </c>
      <c r="O78" s="1">
        <v>1251.7996000000001</v>
      </c>
      <c r="P78" s="1">
        <f t="shared" si="15"/>
        <v>561.61580000000004</v>
      </c>
      <c r="Q78" s="5"/>
      <c r="R78" s="5">
        <f t="shared" si="16"/>
        <v>0</v>
      </c>
      <c r="S78" s="5"/>
      <c r="T78" s="1"/>
      <c r="U78" s="1">
        <f t="shared" si="17"/>
        <v>13.21544301282122</v>
      </c>
      <c r="V78" s="1">
        <f t="shared" si="18"/>
        <v>13.21544301282122</v>
      </c>
      <c r="W78" s="1">
        <v>625.89979999999991</v>
      </c>
      <c r="X78" s="1">
        <v>502.97840000000002</v>
      </c>
      <c r="Y78" s="1">
        <v>452.58859999999999</v>
      </c>
      <c r="Z78" s="1">
        <v>292.54039999999998</v>
      </c>
      <c r="AA78" s="1">
        <v>245.78479999999999</v>
      </c>
      <c r="AB78" s="1">
        <v>324.53219999999999</v>
      </c>
      <c r="AC78" s="1">
        <v>342.56060000000002</v>
      </c>
      <c r="AD78" s="1">
        <v>251.38419999999999</v>
      </c>
      <c r="AE78" s="1">
        <v>227.4682</v>
      </c>
      <c r="AF78" s="1">
        <v>379.67259999999999</v>
      </c>
      <c r="AG78" s="1" t="s">
        <v>58</v>
      </c>
      <c r="AH78" s="1">
        <f t="shared" si="19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130</v>
      </c>
      <c r="B79" s="1" t="s">
        <v>36</v>
      </c>
      <c r="C79" s="1">
        <v>1270.6369999999999</v>
      </c>
      <c r="D79" s="1">
        <v>2273.1990000000001</v>
      </c>
      <c r="E79" s="1">
        <v>1653.462</v>
      </c>
      <c r="F79" s="1">
        <v>1577.2929999999999</v>
      </c>
      <c r="G79" s="7">
        <v>1</v>
      </c>
      <c r="H79" s="1">
        <v>60</v>
      </c>
      <c r="I79" s="1" t="s">
        <v>37</v>
      </c>
      <c r="J79" s="1">
        <v>1624.5</v>
      </c>
      <c r="K79" s="1">
        <f t="shared" si="14"/>
        <v>28.961999999999989</v>
      </c>
      <c r="L79" s="1"/>
      <c r="M79" s="1"/>
      <c r="N79" s="1"/>
      <c r="O79" s="1">
        <v>1399.9269999999999</v>
      </c>
      <c r="P79" s="1">
        <f t="shared" si="15"/>
        <v>330.69240000000002</v>
      </c>
      <c r="Q79" s="5">
        <f t="shared" ref="Q79" si="21">11*P79-O79-N79-F79</f>
        <v>660.39640000000031</v>
      </c>
      <c r="R79" s="5">
        <v>500</v>
      </c>
      <c r="S79" s="5"/>
      <c r="T79" s="1"/>
      <c r="U79" s="1">
        <f t="shared" si="17"/>
        <v>10.514967988378322</v>
      </c>
      <c r="V79" s="1">
        <f t="shared" si="18"/>
        <v>9.0029888803008458</v>
      </c>
      <c r="W79" s="1">
        <v>329.08199999999999</v>
      </c>
      <c r="X79" s="1">
        <v>406.68599999999998</v>
      </c>
      <c r="Y79" s="1">
        <v>455.72500000000002</v>
      </c>
      <c r="Z79" s="1">
        <v>549.23320000000001</v>
      </c>
      <c r="AA79" s="1">
        <v>520.91800000000001</v>
      </c>
      <c r="AB79" s="1">
        <v>574.87220000000002</v>
      </c>
      <c r="AC79" s="1">
        <v>570.36080000000004</v>
      </c>
      <c r="AD79" s="1">
        <v>381.52260000000001</v>
      </c>
      <c r="AE79" s="1">
        <v>386.30119999999999</v>
      </c>
      <c r="AF79" s="1">
        <v>524.75879999999995</v>
      </c>
      <c r="AG79" s="1" t="s">
        <v>52</v>
      </c>
      <c r="AH79" s="1">
        <f t="shared" si="19"/>
        <v>500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4" t="s">
        <v>131</v>
      </c>
      <c r="B80" s="14" t="s">
        <v>36</v>
      </c>
      <c r="C80" s="14"/>
      <c r="D80" s="14"/>
      <c r="E80" s="14"/>
      <c r="F80" s="14"/>
      <c r="G80" s="15">
        <v>0</v>
      </c>
      <c r="H80" s="14">
        <v>55</v>
      </c>
      <c r="I80" s="14" t="s">
        <v>37</v>
      </c>
      <c r="J80" s="14"/>
      <c r="K80" s="14">
        <f t="shared" si="14"/>
        <v>0</v>
      </c>
      <c r="L80" s="14"/>
      <c r="M80" s="14"/>
      <c r="N80" s="14"/>
      <c r="O80" s="14">
        <v>0</v>
      </c>
      <c r="P80" s="14">
        <f t="shared" si="15"/>
        <v>0</v>
      </c>
      <c r="Q80" s="16"/>
      <c r="R80" s="5">
        <f t="shared" si="16"/>
        <v>0</v>
      </c>
      <c r="S80" s="16"/>
      <c r="T80" s="14"/>
      <c r="U80" s="1" t="e">
        <f t="shared" si="17"/>
        <v>#DIV/0!</v>
      </c>
      <c r="V80" s="14" t="e">
        <f t="shared" si="18"/>
        <v>#DIV/0!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 t="s">
        <v>49</v>
      </c>
      <c r="AH80" s="1">
        <f t="shared" si="19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4" t="s">
        <v>132</v>
      </c>
      <c r="B81" s="14" t="s">
        <v>36</v>
      </c>
      <c r="C81" s="14"/>
      <c r="D81" s="14"/>
      <c r="E81" s="14"/>
      <c r="F81" s="14"/>
      <c r="G81" s="15">
        <v>0</v>
      </c>
      <c r="H81" s="14">
        <v>55</v>
      </c>
      <c r="I81" s="14" t="s">
        <v>37</v>
      </c>
      <c r="J81" s="14"/>
      <c r="K81" s="14">
        <f t="shared" si="14"/>
        <v>0</v>
      </c>
      <c r="L81" s="14"/>
      <c r="M81" s="14"/>
      <c r="N81" s="14"/>
      <c r="O81" s="14">
        <v>0</v>
      </c>
      <c r="P81" s="14">
        <f t="shared" si="15"/>
        <v>0</v>
      </c>
      <c r="Q81" s="16"/>
      <c r="R81" s="5">
        <f t="shared" si="16"/>
        <v>0</v>
      </c>
      <c r="S81" s="16"/>
      <c r="T81" s="14"/>
      <c r="U81" s="1" t="e">
        <f t="shared" si="17"/>
        <v>#DIV/0!</v>
      </c>
      <c r="V81" s="14" t="e">
        <f t="shared" si="18"/>
        <v>#DIV/0!</v>
      </c>
      <c r="W81" s="14">
        <v>0</v>
      </c>
      <c r="X81" s="14">
        <v>0</v>
      </c>
      <c r="Y81" s="14">
        <v>-0.8</v>
      </c>
      <c r="Z81" s="14">
        <v>-0.8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 t="s">
        <v>49</v>
      </c>
      <c r="AH81" s="1">
        <f t="shared" si="19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4" t="s">
        <v>133</v>
      </c>
      <c r="B82" s="14" t="s">
        <v>36</v>
      </c>
      <c r="C82" s="14"/>
      <c r="D82" s="14"/>
      <c r="E82" s="14"/>
      <c r="F82" s="14"/>
      <c r="G82" s="15">
        <v>0</v>
      </c>
      <c r="H82" s="14">
        <v>55</v>
      </c>
      <c r="I82" s="14" t="s">
        <v>37</v>
      </c>
      <c r="J82" s="14"/>
      <c r="K82" s="14">
        <f t="shared" si="14"/>
        <v>0</v>
      </c>
      <c r="L82" s="14"/>
      <c r="M82" s="14"/>
      <c r="N82" s="14"/>
      <c r="O82" s="14">
        <v>0</v>
      </c>
      <c r="P82" s="14">
        <f t="shared" si="15"/>
        <v>0</v>
      </c>
      <c r="Q82" s="16"/>
      <c r="R82" s="5">
        <f t="shared" si="16"/>
        <v>0</v>
      </c>
      <c r="S82" s="16"/>
      <c r="T82" s="14"/>
      <c r="U82" s="1" t="e">
        <f t="shared" si="17"/>
        <v>#DIV/0!</v>
      </c>
      <c r="V82" s="14" t="e">
        <f t="shared" si="18"/>
        <v>#DIV/0!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 t="s">
        <v>49</v>
      </c>
      <c r="AH82" s="1">
        <f t="shared" si="19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134</v>
      </c>
      <c r="B83" s="1" t="s">
        <v>36</v>
      </c>
      <c r="C83" s="1">
        <v>176.41300000000001</v>
      </c>
      <c r="D83" s="1">
        <v>3.4319999999999999</v>
      </c>
      <c r="E83" s="1">
        <v>49.32</v>
      </c>
      <c r="F83" s="1">
        <v>116.816</v>
      </c>
      <c r="G83" s="7">
        <v>1</v>
      </c>
      <c r="H83" s="1">
        <v>60</v>
      </c>
      <c r="I83" s="1" t="s">
        <v>37</v>
      </c>
      <c r="J83" s="1">
        <v>46.75</v>
      </c>
      <c r="K83" s="1">
        <f t="shared" si="14"/>
        <v>2.5700000000000003</v>
      </c>
      <c r="L83" s="1"/>
      <c r="M83" s="1"/>
      <c r="N83" s="1"/>
      <c r="O83" s="1">
        <v>0</v>
      </c>
      <c r="P83" s="1">
        <f t="shared" si="15"/>
        <v>9.8640000000000008</v>
      </c>
      <c r="Q83" s="5"/>
      <c r="R83" s="5">
        <f t="shared" si="16"/>
        <v>0</v>
      </c>
      <c r="S83" s="5"/>
      <c r="T83" s="1"/>
      <c r="U83" s="1">
        <f t="shared" si="17"/>
        <v>11.842660178426602</v>
      </c>
      <c r="V83" s="1">
        <f t="shared" si="18"/>
        <v>11.842660178426602</v>
      </c>
      <c r="W83" s="1">
        <v>11.646599999999999</v>
      </c>
      <c r="X83" s="1">
        <v>6.7530000000000001</v>
      </c>
      <c r="Y83" s="1">
        <v>8.0256000000000007</v>
      </c>
      <c r="Z83" s="1">
        <v>18.161999999999999</v>
      </c>
      <c r="AA83" s="1">
        <v>15.1066</v>
      </c>
      <c r="AB83" s="1">
        <v>6.4</v>
      </c>
      <c r="AC83" s="1">
        <v>6.7218</v>
      </c>
      <c r="AD83" s="1">
        <v>3.3794</v>
      </c>
      <c r="AE83" s="1">
        <v>2.7408000000000001</v>
      </c>
      <c r="AF83" s="1">
        <v>4.9753999999999996</v>
      </c>
      <c r="AG83" s="1"/>
      <c r="AH83" s="1">
        <f t="shared" si="19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4" t="s">
        <v>135</v>
      </c>
      <c r="B84" s="14" t="s">
        <v>42</v>
      </c>
      <c r="C84" s="14"/>
      <c r="D84" s="14"/>
      <c r="E84" s="14"/>
      <c r="F84" s="14"/>
      <c r="G84" s="15">
        <v>0</v>
      </c>
      <c r="H84" s="14">
        <v>40</v>
      </c>
      <c r="I84" s="14" t="s">
        <v>37</v>
      </c>
      <c r="J84" s="14"/>
      <c r="K84" s="14">
        <f t="shared" si="14"/>
        <v>0</v>
      </c>
      <c r="L84" s="14"/>
      <c r="M84" s="14"/>
      <c r="N84" s="14"/>
      <c r="O84" s="14">
        <v>0</v>
      </c>
      <c r="P84" s="14">
        <f t="shared" si="15"/>
        <v>0</v>
      </c>
      <c r="Q84" s="16"/>
      <c r="R84" s="5">
        <f t="shared" si="16"/>
        <v>0</v>
      </c>
      <c r="S84" s="16"/>
      <c r="T84" s="14"/>
      <c r="U84" s="1" t="e">
        <f t="shared" si="17"/>
        <v>#DIV/0!</v>
      </c>
      <c r="V84" s="14" t="e">
        <f t="shared" si="18"/>
        <v>#DIV/0!</v>
      </c>
      <c r="W84" s="14">
        <v>0</v>
      </c>
      <c r="X84" s="14">
        <v>0</v>
      </c>
      <c r="Y84" s="14">
        <v>-0.4</v>
      </c>
      <c r="Z84" s="14">
        <v>-0.8</v>
      </c>
      <c r="AA84" s="14">
        <v>-0.4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 t="s">
        <v>49</v>
      </c>
      <c r="AH84" s="1">
        <f t="shared" si="19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4" t="s">
        <v>136</v>
      </c>
      <c r="B85" s="14" t="s">
        <v>42</v>
      </c>
      <c r="C85" s="14"/>
      <c r="D85" s="14"/>
      <c r="E85" s="14"/>
      <c r="F85" s="14"/>
      <c r="G85" s="15">
        <v>0</v>
      </c>
      <c r="H85" s="14">
        <v>40</v>
      </c>
      <c r="I85" s="14" t="s">
        <v>37</v>
      </c>
      <c r="J85" s="14"/>
      <c r="K85" s="14">
        <f t="shared" si="14"/>
        <v>0</v>
      </c>
      <c r="L85" s="14"/>
      <c r="M85" s="14"/>
      <c r="N85" s="14"/>
      <c r="O85" s="14">
        <v>0</v>
      </c>
      <c r="P85" s="14">
        <f t="shared" si="15"/>
        <v>0</v>
      </c>
      <c r="Q85" s="16"/>
      <c r="R85" s="5">
        <f t="shared" si="16"/>
        <v>0</v>
      </c>
      <c r="S85" s="16"/>
      <c r="T85" s="14"/>
      <c r="U85" s="1" t="e">
        <f t="shared" si="17"/>
        <v>#DIV/0!</v>
      </c>
      <c r="V85" s="14" t="e">
        <f t="shared" si="18"/>
        <v>#DIV/0!</v>
      </c>
      <c r="W85" s="14">
        <v>0</v>
      </c>
      <c r="X85" s="14">
        <v>0</v>
      </c>
      <c r="Y85" s="14">
        <v>-0.2</v>
      </c>
      <c r="Z85" s="14">
        <v>-0.6</v>
      </c>
      <c r="AA85" s="14">
        <v>-0.4</v>
      </c>
      <c r="AB85" s="14">
        <v>0</v>
      </c>
      <c r="AC85" s="14">
        <v>0</v>
      </c>
      <c r="AD85" s="14">
        <v>0</v>
      </c>
      <c r="AE85" s="14">
        <v>0</v>
      </c>
      <c r="AF85" s="14">
        <v>-0.4</v>
      </c>
      <c r="AG85" s="14" t="s">
        <v>49</v>
      </c>
      <c r="AH85" s="1">
        <f t="shared" si="19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137</v>
      </c>
      <c r="B86" s="1" t="s">
        <v>42</v>
      </c>
      <c r="C86" s="1">
        <v>332</v>
      </c>
      <c r="D86" s="1">
        <v>234</v>
      </c>
      <c r="E86" s="1">
        <v>262</v>
      </c>
      <c r="F86" s="1">
        <v>252</v>
      </c>
      <c r="G86" s="7">
        <v>0.3</v>
      </c>
      <c r="H86" s="1">
        <v>40</v>
      </c>
      <c r="I86" s="1" t="s">
        <v>37</v>
      </c>
      <c r="J86" s="1">
        <v>266</v>
      </c>
      <c r="K86" s="1">
        <f t="shared" si="14"/>
        <v>-4</v>
      </c>
      <c r="L86" s="1"/>
      <c r="M86" s="1"/>
      <c r="N86" s="1"/>
      <c r="O86" s="1">
        <v>275.60000000000002</v>
      </c>
      <c r="P86" s="1">
        <f t="shared" si="15"/>
        <v>52.4</v>
      </c>
      <c r="Q86" s="5">
        <f t="shared" ref="Q86" si="22">11*P86-O86-N86-F86</f>
        <v>48.799999999999955</v>
      </c>
      <c r="R86" s="5">
        <f t="shared" si="16"/>
        <v>48.799999999999955</v>
      </c>
      <c r="S86" s="5"/>
      <c r="T86" s="1"/>
      <c r="U86" s="1">
        <f t="shared" si="17"/>
        <v>11</v>
      </c>
      <c r="V86" s="1">
        <f t="shared" si="18"/>
        <v>10.068702290076336</v>
      </c>
      <c r="W86" s="1">
        <v>55.8</v>
      </c>
      <c r="X86" s="1">
        <v>46.4</v>
      </c>
      <c r="Y86" s="1">
        <v>47.8</v>
      </c>
      <c r="Z86" s="1">
        <v>38.6</v>
      </c>
      <c r="AA86" s="1">
        <v>39</v>
      </c>
      <c r="AB86" s="1">
        <v>58.8</v>
      </c>
      <c r="AC86" s="1">
        <v>57.2</v>
      </c>
      <c r="AD86" s="1">
        <v>54</v>
      </c>
      <c r="AE86" s="1">
        <v>59.6</v>
      </c>
      <c r="AF86" s="1">
        <v>62.4</v>
      </c>
      <c r="AG86" s="1"/>
      <c r="AH86" s="1">
        <f t="shared" si="19"/>
        <v>15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138</v>
      </c>
      <c r="B87" s="1" t="s">
        <v>36</v>
      </c>
      <c r="C87" s="1"/>
      <c r="D87" s="1">
        <v>306.58499999999998</v>
      </c>
      <c r="E87" s="1">
        <v>30.222999999999999</v>
      </c>
      <c r="F87" s="1">
        <v>276.36200000000002</v>
      </c>
      <c r="G87" s="7">
        <v>1</v>
      </c>
      <c r="H87" s="1">
        <v>50</v>
      </c>
      <c r="I87" s="1" t="s">
        <v>37</v>
      </c>
      <c r="J87" s="1">
        <v>28.95</v>
      </c>
      <c r="K87" s="1">
        <f t="shared" si="14"/>
        <v>1.2729999999999997</v>
      </c>
      <c r="L87" s="1"/>
      <c r="M87" s="1"/>
      <c r="N87" s="1"/>
      <c r="O87" s="1">
        <v>0</v>
      </c>
      <c r="P87" s="1">
        <f t="shared" si="15"/>
        <v>6.0446</v>
      </c>
      <c r="Q87" s="5"/>
      <c r="R87" s="5">
        <v>150</v>
      </c>
      <c r="S87" s="5">
        <v>200</v>
      </c>
      <c r="T87" s="1" t="s">
        <v>155</v>
      </c>
      <c r="U87" s="1">
        <f t="shared" si="17"/>
        <v>70.536015617245155</v>
      </c>
      <c r="V87" s="1">
        <f t="shared" si="18"/>
        <v>45.720477781821792</v>
      </c>
      <c r="W87" s="1">
        <v>0.27400000000000002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 t="s">
        <v>47</v>
      </c>
      <c r="AH87" s="1">
        <f t="shared" si="19"/>
        <v>150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140</v>
      </c>
      <c r="B88" s="1" t="s">
        <v>36</v>
      </c>
      <c r="C88" s="1">
        <v>3095.9639999999999</v>
      </c>
      <c r="D88" s="1">
        <v>2731.4279999999999</v>
      </c>
      <c r="E88" s="1">
        <v>2294.3980000000001</v>
      </c>
      <c r="F88" s="1">
        <v>3236.502</v>
      </c>
      <c r="G88" s="7">
        <v>1</v>
      </c>
      <c r="H88" s="1">
        <v>40</v>
      </c>
      <c r="I88" s="1" t="s">
        <v>37</v>
      </c>
      <c r="J88" s="1">
        <v>2132.1</v>
      </c>
      <c r="K88" s="1">
        <f t="shared" si="14"/>
        <v>162.29800000000023</v>
      </c>
      <c r="L88" s="1"/>
      <c r="M88" s="1"/>
      <c r="N88" s="1">
        <v>2300</v>
      </c>
      <c r="O88" s="1">
        <v>0</v>
      </c>
      <c r="P88" s="1">
        <f t="shared" si="15"/>
        <v>458.87960000000004</v>
      </c>
      <c r="Q88" s="5"/>
      <c r="R88" s="5">
        <f>Q88</f>
        <v>0</v>
      </c>
      <c r="S88" s="5"/>
      <c r="T88" s="1"/>
      <c r="U88" s="1">
        <f t="shared" si="17"/>
        <v>12.065260691475498</v>
      </c>
      <c r="V88" s="1">
        <f t="shared" si="18"/>
        <v>12.065260691475498</v>
      </c>
      <c r="W88" s="1">
        <v>469.28460000000001</v>
      </c>
      <c r="X88" s="1">
        <v>452.61579999999998</v>
      </c>
      <c r="Y88" s="1">
        <v>455.24619999999999</v>
      </c>
      <c r="Z88" s="1">
        <v>459.69359999999989</v>
      </c>
      <c r="AA88" s="1">
        <v>457.22019999999998</v>
      </c>
      <c r="AB88" s="1">
        <v>404.15260000000001</v>
      </c>
      <c r="AC88" s="1">
        <v>398.63060000000002</v>
      </c>
      <c r="AD88" s="1">
        <v>367.23379999999997</v>
      </c>
      <c r="AE88" s="1">
        <v>370.40280000000001</v>
      </c>
      <c r="AF88" s="1">
        <v>440.17059999999998</v>
      </c>
      <c r="AG88" s="1" t="s">
        <v>58</v>
      </c>
      <c r="AH88" s="1">
        <f t="shared" si="19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1" t="s">
        <v>141</v>
      </c>
      <c r="B89" s="11" t="s">
        <v>42</v>
      </c>
      <c r="C89" s="11"/>
      <c r="D89" s="11">
        <v>8</v>
      </c>
      <c r="E89" s="20">
        <v>6</v>
      </c>
      <c r="F89" s="11"/>
      <c r="G89" s="12">
        <v>0</v>
      </c>
      <c r="H89" s="11">
        <v>40</v>
      </c>
      <c r="I89" s="11" t="s">
        <v>123</v>
      </c>
      <c r="J89" s="11">
        <v>6</v>
      </c>
      <c r="K89" s="11">
        <f t="shared" si="14"/>
        <v>0</v>
      </c>
      <c r="L89" s="11"/>
      <c r="M89" s="11"/>
      <c r="N89" s="11"/>
      <c r="O89" s="11">
        <v>0</v>
      </c>
      <c r="P89" s="11">
        <f t="shared" si="15"/>
        <v>1.2</v>
      </c>
      <c r="Q89" s="13"/>
      <c r="R89" s="5">
        <f t="shared" si="16"/>
        <v>0</v>
      </c>
      <c r="S89" s="13"/>
      <c r="T89" s="11"/>
      <c r="U89" s="1">
        <f t="shared" si="17"/>
        <v>0</v>
      </c>
      <c r="V89" s="11">
        <f t="shared" si="18"/>
        <v>0</v>
      </c>
      <c r="W89" s="11">
        <v>1.6</v>
      </c>
      <c r="X89" s="11">
        <v>1.4</v>
      </c>
      <c r="Y89" s="11">
        <v>0.8</v>
      </c>
      <c r="Z89" s="11">
        <v>0.6</v>
      </c>
      <c r="AA89" s="11">
        <v>1.2</v>
      </c>
      <c r="AB89" s="11">
        <v>0.8</v>
      </c>
      <c r="AC89" s="11">
        <v>0.8</v>
      </c>
      <c r="AD89" s="11">
        <v>2</v>
      </c>
      <c r="AE89" s="11">
        <v>2</v>
      </c>
      <c r="AF89" s="11">
        <v>1.8</v>
      </c>
      <c r="AG89" s="11" t="s">
        <v>142</v>
      </c>
      <c r="AH89" s="1">
        <f t="shared" si="19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143</v>
      </c>
      <c r="B90" s="1" t="s">
        <v>42</v>
      </c>
      <c r="C90" s="1">
        <v>272</v>
      </c>
      <c r="D90" s="1">
        <v>372</v>
      </c>
      <c r="E90" s="1">
        <v>311</v>
      </c>
      <c r="F90" s="1">
        <v>259</v>
      </c>
      <c r="G90" s="7">
        <v>0.3</v>
      </c>
      <c r="H90" s="1">
        <v>40</v>
      </c>
      <c r="I90" s="1" t="s">
        <v>37</v>
      </c>
      <c r="J90" s="1">
        <v>317</v>
      </c>
      <c r="K90" s="1">
        <f t="shared" si="14"/>
        <v>-6</v>
      </c>
      <c r="L90" s="1"/>
      <c r="M90" s="1"/>
      <c r="N90" s="1"/>
      <c r="O90" s="1">
        <v>332.2</v>
      </c>
      <c r="P90" s="1">
        <f t="shared" si="15"/>
        <v>62.2</v>
      </c>
      <c r="Q90" s="5">
        <f t="shared" ref="Q90:Q92" si="23">11*P90-O90-N90-F90</f>
        <v>93.000000000000057</v>
      </c>
      <c r="R90" s="5">
        <f t="shared" si="16"/>
        <v>93.000000000000057</v>
      </c>
      <c r="S90" s="5"/>
      <c r="T90" s="1"/>
      <c r="U90" s="1">
        <f t="shared" si="17"/>
        <v>11</v>
      </c>
      <c r="V90" s="1">
        <f t="shared" si="18"/>
        <v>9.504823151125402</v>
      </c>
      <c r="W90" s="1">
        <v>64.8</v>
      </c>
      <c r="X90" s="1">
        <v>51.8</v>
      </c>
      <c r="Y90" s="1">
        <v>52.2</v>
      </c>
      <c r="Z90" s="1">
        <v>71.2</v>
      </c>
      <c r="AA90" s="1">
        <v>71.599999999999994</v>
      </c>
      <c r="AB90" s="1">
        <v>73.400000000000006</v>
      </c>
      <c r="AC90" s="1">
        <v>69.8</v>
      </c>
      <c r="AD90" s="1">
        <v>63.8</v>
      </c>
      <c r="AE90" s="1">
        <v>71.599999999999994</v>
      </c>
      <c r="AF90" s="1">
        <v>55.2</v>
      </c>
      <c r="AG90" s="1"/>
      <c r="AH90" s="1">
        <f t="shared" si="19"/>
        <v>28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144</v>
      </c>
      <c r="B91" s="1" t="s">
        <v>42</v>
      </c>
      <c r="C91" s="1">
        <v>286</v>
      </c>
      <c r="D91" s="1">
        <v>234</v>
      </c>
      <c r="E91" s="1">
        <v>255</v>
      </c>
      <c r="F91" s="1">
        <v>210</v>
      </c>
      <c r="G91" s="7">
        <v>0.3</v>
      </c>
      <c r="H91" s="1">
        <v>40</v>
      </c>
      <c r="I91" s="1" t="s">
        <v>37</v>
      </c>
      <c r="J91" s="1">
        <v>258</v>
      </c>
      <c r="K91" s="1">
        <f t="shared" si="14"/>
        <v>-3</v>
      </c>
      <c r="L91" s="1"/>
      <c r="M91" s="1"/>
      <c r="N91" s="1"/>
      <c r="O91" s="1">
        <v>297</v>
      </c>
      <c r="P91" s="1">
        <f t="shared" si="15"/>
        <v>51</v>
      </c>
      <c r="Q91" s="5">
        <f t="shared" si="23"/>
        <v>54</v>
      </c>
      <c r="R91" s="5">
        <f t="shared" si="16"/>
        <v>54</v>
      </c>
      <c r="S91" s="5"/>
      <c r="T91" s="1"/>
      <c r="U91" s="1">
        <f t="shared" si="17"/>
        <v>11</v>
      </c>
      <c r="V91" s="1">
        <f t="shared" si="18"/>
        <v>9.9411764705882355</v>
      </c>
      <c r="W91" s="1">
        <v>54.2</v>
      </c>
      <c r="X91" s="1">
        <v>42</v>
      </c>
      <c r="Y91" s="1">
        <v>41</v>
      </c>
      <c r="Z91" s="1">
        <v>46</v>
      </c>
      <c r="AA91" s="1">
        <v>48</v>
      </c>
      <c r="AB91" s="1">
        <v>37.4</v>
      </c>
      <c r="AC91" s="1">
        <v>31.2</v>
      </c>
      <c r="AD91" s="1">
        <v>39.6</v>
      </c>
      <c r="AE91" s="1">
        <v>44.6</v>
      </c>
      <c r="AF91" s="1">
        <v>57.2</v>
      </c>
      <c r="AG91" s="1"/>
      <c r="AH91" s="1">
        <f t="shared" si="19"/>
        <v>16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145</v>
      </c>
      <c r="B92" s="1" t="s">
        <v>36</v>
      </c>
      <c r="C92" s="1">
        <v>135.666</v>
      </c>
      <c r="D92" s="1">
        <v>50.988</v>
      </c>
      <c r="E92" s="1">
        <v>89.353999999999999</v>
      </c>
      <c r="F92" s="1">
        <v>76.661000000000001</v>
      </c>
      <c r="G92" s="7">
        <v>1</v>
      </c>
      <c r="H92" s="1">
        <v>45</v>
      </c>
      <c r="I92" s="1" t="s">
        <v>37</v>
      </c>
      <c r="J92" s="1">
        <v>86.85</v>
      </c>
      <c r="K92" s="1">
        <f t="shared" si="14"/>
        <v>2.5040000000000049</v>
      </c>
      <c r="L92" s="1"/>
      <c r="M92" s="1"/>
      <c r="N92" s="1"/>
      <c r="O92" s="1">
        <v>94.81440000000002</v>
      </c>
      <c r="P92" s="1">
        <f t="shared" si="15"/>
        <v>17.870799999999999</v>
      </c>
      <c r="Q92" s="5">
        <f t="shared" si="23"/>
        <v>25.103399999999979</v>
      </c>
      <c r="R92" s="5">
        <f t="shared" si="16"/>
        <v>25.103399999999979</v>
      </c>
      <c r="S92" s="5"/>
      <c r="T92" s="1"/>
      <c r="U92" s="1">
        <f t="shared" si="17"/>
        <v>11</v>
      </c>
      <c r="V92" s="1">
        <f t="shared" si="18"/>
        <v>9.5952839268527459</v>
      </c>
      <c r="W92" s="1">
        <v>18.441400000000002</v>
      </c>
      <c r="X92" s="1">
        <v>14.6326</v>
      </c>
      <c r="Y92" s="1">
        <v>15.2096</v>
      </c>
      <c r="Z92" s="1">
        <v>22.603400000000001</v>
      </c>
      <c r="AA92" s="1">
        <v>23.1188</v>
      </c>
      <c r="AB92" s="1">
        <v>17.2348</v>
      </c>
      <c r="AC92" s="1">
        <v>17.216799999999999</v>
      </c>
      <c r="AD92" s="1">
        <v>11.742599999999999</v>
      </c>
      <c r="AE92" s="1">
        <v>9.2825999999999986</v>
      </c>
      <c r="AF92" s="1">
        <v>15.7224</v>
      </c>
      <c r="AG92" s="1"/>
      <c r="AH92" s="1">
        <f t="shared" si="19"/>
        <v>25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4" t="s">
        <v>146</v>
      </c>
      <c r="B93" s="14" t="s">
        <v>42</v>
      </c>
      <c r="C93" s="14"/>
      <c r="D93" s="14"/>
      <c r="E93" s="14"/>
      <c r="F93" s="14"/>
      <c r="G93" s="15">
        <v>0</v>
      </c>
      <c r="H93" s="14">
        <v>40</v>
      </c>
      <c r="I93" s="14" t="s">
        <v>37</v>
      </c>
      <c r="J93" s="14"/>
      <c r="K93" s="14">
        <f t="shared" si="14"/>
        <v>0</v>
      </c>
      <c r="L93" s="14"/>
      <c r="M93" s="14"/>
      <c r="N93" s="14"/>
      <c r="O93" s="14">
        <v>0</v>
      </c>
      <c r="P93" s="14">
        <f t="shared" si="15"/>
        <v>0</v>
      </c>
      <c r="Q93" s="16"/>
      <c r="R93" s="5">
        <f t="shared" si="16"/>
        <v>0</v>
      </c>
      <c r="S93" s="16"/>
      <c r="T93" s="14"/>
      <c r="U93" s="1" t="e">
        <f t="shared" si="17"/>
        <v>#DIV/0!</v>
      </c>
      <c r="V93" s="14" t="e">
        <f t="shared" si="18"/>
        <v>#DIV/0!</v>
      </c>
      <c r="W93" s="14">
        <v>0</v>
      </c>
      <c r="X93" s="14">
        <v>0</v>
      </c>
      <c r="Y93" s="14">
        <v>0</v>
      </c>
      <c r="Z93" s="14">
        <v>-0.6</v>
      </c>
      <c r="AA93" s="14">
        <v>-0.6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 t="s">
        <v>49</v>
      </c>
      <c r="AH93" s="1">
        <f t="shared" si="19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147</v>
      </c>
      <c r="B94" s="1" t="s">
        <v>42</v>
      </c>
      <c r="C94" s="1">
        <v>271</v>
      </c>
      <c r="D94" s="1">
        <v>438</v>
      </c>
      <c r="E94" s="1">
        <v>287</v>
      </c>
      <c r="F94" s="1">
        <v>358</v>
      </c>
      <c r="G94" s="7">
        <v>0.3</v>
      </c>
      <c r="H94" s="1">
        <v>40</v>
      </c>
      <c r="I94" s="1" t="s">
        <v>37</v>
      </c>
      <c r="J94" s="1">
        <v>304</v>
      </c>
      <c r="K94" s="1">
        <f t="shared" si="14"/>
        <v>-17</v>
      </c>
      <c r="L94" s="1"/>
      <c r="M94" s="1"/>
      <c r="N94" s="1"/>
      <c r="O94" s="1">
        <v>275</v>
      </c>
      <c r="P94" s="1">
        <f t="shared" si="15"/>
        <v>57.4</v>
      </c>
      <c r="Q94" s="5"/>
      <c r="R94" s="5">
        <f t="shared" si="16"/>
        <v>0</v>
      </c>
      <c r="S94" s="5"/>
      <c r="T94" s="1"/>
      <c r="U94" s="1">
        <f t="shared" si="17"/>
        <v>11.02787456445993</v>
      </c>
      <c r="V94" s="1">
        <f t="shared" si="18"/>
        <v>11.02787456445993</v>
      </c>
      <c r="W94" s="1">
        <v>65</v>
      </c>
      <c r="X94" s="1">
        <v>59</v>
      </c>
      <c r="Y94" s="1">
        <v>47.8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 t="s">
        <v>47</v>
      </c>
      <c r="AH94" s="1">
        <f t="shared" si="19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1" t="s">
        <v>148</v>
      </c>
      <c r="B95" s="11" t="s">
        <v>42</v>
      </c>
      <c r="C95" s="11"/>
      <c r="D95" s="11">
        <v>380</v>
      </c>
      <c r="E95" s="11">
        <v>378</v>
      </c>
      <c r="F95" s="11">
        <v>2</v>
      </c>
      <c r="G95" s="12">
        <v>0</v>
      </c>
      <c r="H95" s="11" t="e">
        <v>#N/A</v>
      </c>
      <c r="I95" s="11" t="s">
        <v>123</v>
      </c>
      <c r="J95" s="11">
        <v>389</v>
      </c>
      <c r="K95" s="11">
        <f t="shared" si="14"/>
        <v>-11</v>
      </c>
      <c r="L95" s="11"/>
      <c r="M95" s="11"/>
      <c r="N95" s="11"/>
      <c r="O95" s="11">
        <v>0</v>
      </c>
      <c r="P95" s="11">
        <f t="shared" si="15"/>
        <v>75.599999999999994</v>
      </c>
      <c r="Q95" s="13"/>
      <c r="R95" s="5">
        <f t="shared" si="16"/>
        <v>0</v>
      </c>
      <c r="S95" s="13"/>
      <c r="T95" s="11"/>
      <c r="U95" s="1">
        <f t="shared" si="17"/>
        <v>2.6455026455026457E-2</v>
      </c>
      <c r="V95" s="11">
        <f t="shared" si="18"/>
        <v>2.6455026455026457E-2</v>
      </c>
      <c r="W95" s="11">
        <v>61.8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 t="s">
        <v>149</v>
      </c>
      <c r="AH95" s="1">
        <f t="shared" si="19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s="26" customFormat="1" x14ac:dyDescent="0.25">
      <c r="A96" s="23" t="s">
        <v>151</v>
      </c>
      <c r="B96" s="23" t="s">
        <v>42</v>
      </c>
      <c r="C96" s="23"/>
      <c r="D96" s="23"/>
      <c r="E96" s="23"/>
      <c r="F96" s="23"/>
      <c r="G96" s="24">
        <v>0.12</v>
      </c>
      <c r="H96" s="23">
        <v>45</v>
      </c>
      <c r="I96" s="23" t="s">
        <v>37</v>
      </c>
      <c r="J96" s="23"/>
      <c r="K96" s="23"/>
      <c r="L96" s="23"/>
      <c r="M96" s="23"/>
      <c r="N96" s="23"/>
      <c r="O96" s="23"/>
      <c r="P96" s="23">
        <f t="shared" si="15"/>
        <v>0</v>
      </c>
      <c r="Q96" s="25">
        <v>20</v>
      </c>
      <c r="R96" s="5">
        <v>80</v>
      </c>
      <c r="S96" s="25">
        <v>100</v>
      </c>
      <c r="T96" s="23" t="s">
        <v>156</v>
      </c>
      <c r="U96" s="1" t="e">
        <f t="shared" si="17"/>
        <v>#DIV/0!</v>
      </c>
      <c r="V96" s="23" t="e">
        <f t="shared" si="18"/>
        <v>#DIV/0!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>
        <v>0</v>
      </c>
      <c r="AG96" s="23" t="s">
        <v>47</v>
      </c>
      <c r="AH96" s="1">
        <f t="shared" si="19"/>
        <v>10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H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2025-04-10T13:51:19Z</dcterms:created>
  <dcterms:modified xsi:type="dcterms:W3CDTF">2025-04-11T09:19:12Z</dcterms:modified>
</cp:coreProperties>
</file>