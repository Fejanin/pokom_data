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1 машина Луганск_Донецк\"/>
    </mc:Choice>
  </mc:AlternateContent>
  <xr:revisionPtr revIDLastSave="0" documentId="13_ncr:1_{02534214-B119-46E0-8A2E-A1806F1A7C2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Y281" i="1" s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Y242" i="1" s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Y213" i="1" s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Y180" i="1" s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BN161" i="1" s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9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Y148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Y127" i="1" s="1"/>
  <c r="P120" i="1"/>
  <c r="BP119" i="1"/>
  <c r="BO119" i="1"/>
  <c r="BN119" i="1"/>
  <c r="BM119" i="1"/>
  <c r="Z119" i="1"/>
  <c r="Y119" i="1"/>
  <c r="Y126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3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3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606" i="1"/>
  <c r="X597" i="1"/>
  <c r="X598" i="1"/>
  <c r="Z23" i="1"/>
  <c r="Z28" i="1" s="1"/>
  <c r="BN23" i="1"/>
  <c r="BP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32" i="1"/>
  <c r="Z37" i="1"/>
  <c r="BN37" i="1"/>
  <c r="BP37" i="1"/>
  <c r="Z39" i="1"/>
  <c r="BN39" i="1"/>
  <c r="Y42" i="1"/>
  <c r="Y596" i="1" s="1"/>
  <c r="D606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Z72" i="1"/>
  <c r="Z77" i="1" s="1"/>
  <c r="BN72" i="1"/>
  <c r="BP72" i="1"/>
  <c r="Z74" i="1"/>
  <c r="BN74" i="1"/>
  <c r="Z76" i="1"/>
  <c r="BN76" i="1"/>
  <c r="Z80" i="1"/>
  <c r="Z83" i="1" s="1"/>
  <c r="BN80" i="1"/>
  <c r="BP80" i="1"/>
  <c r="Z82" i="1"/>
  <c r="BN82" i="1"/>
  <c r="Y83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Y102" i="1"/>
  <c r="Z106" i="1"/>
  <c r="Z110" i="1" s="1"/>
  <c r="BN106" i="1"/>
  <c r="BP106" i="1"/>
  <c r="Z108" i="1"/>
  <c r="BN108" i="1"/>
  <c r="Y111" i="1"/>
  <c r="Z114" i="1"/>
  <c r="Z116" i="1" s="1"/>
  <c r="BN114" i="1"/>
  <c r="BP114" i="1"/>
  <c r="Z120" i="1"/>
  <c r="Z126" i="1" s="1"/>
  <c r="BN120" i="1"/>
  <c r="BP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Y132" i="1"/>
  <c r="G606" i="1"/>
  <c r="Z136" i="1"/>
  <c r="Z137" i="1" s="1"/>
  <c r="BN136" i="1"/>
  <c r="BP136" i="1"/>
  <c r="Y137" i="1"/>
  <c r="Z140" i="1"/>
  <c r="Z142" i="1" s="1"/>
  <c r="BN140" i="1"/>
  <c r="BP140" i="1"/>
  <c r="Y143" i="1"/>
  <c r="Z146" i="1"/>
  <c r="Z147" i="1" s="1"/>
  <c r="BN146" i="1"/>
  <c r="BP146" i="1"/>
  <c r="Z151" i="1"/>
  <c r="Z152" i="1" s="1"/>
  <c r="BN151" i="1"/>
  <c r="BP151" i="1"/>
  <c r="Y152" i="1"/>
  <c r="Z155" i="1"/>
  <c r="Z158" i="1" s="1"/>
  <c r="BN155" i="1"/>
  <c r="BP155" i="1"/>
  <c r="Z157" i="1"/>
  <c r="BN157" i="1"/>
  <c r="Y158" i="1"/>
  <c r="Z161" i="1"/>
  <c r="Z162" i="1" s="1"/>
  <c r="BP173" i="1"/>
  <c r="BN173" i="1"/>
  <c r="Z173" i="1"/>
  <c r="BP176" i="1"/>
  <c r="BN176" i="1"/>
  <c r="Z176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BP286" i="1"/>
  <c r="BN286" i="1"/>
  <c r="Z286" i="1"/>
  <c r="Y290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Z348" i="1" s="1"/>
  <c r="Y348" i="1"/>
  <c r="Z354" i="1"/>
  <c r="BP352" i="1"/>
  <c r="BN352" i="1"/>
  <c r="Z352" i="1"/>
  <c r="Y354" i="1"/>
  <c r="F9" i="1"/>
  <c r="J9" i="1"/>
  <c r="Y41" i="1"/>
  <c r="Y91" i="1"/>
  <c r="Y110" i="1"/>
  <c r="Y153" i="1"/>
  <c r="Y162" i="1"/>
  <c r="BP161" i="1"/>
  <c r="Y598" i="1" s="1"/>
  <c r="Y163" i="1"/>
  <c r="I606" i="1"/>
  <c r="Y168" i="1"/>
  <c r="BP167" i="1"/>
  <c r="BN167" i="1"/>
  <c r="Y597" i="1" s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1" i="1" s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Z290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Z378" i="1" s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Z606" i="1"/>
  <c r="Y459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Z361" i="1" s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Z448" i="1" s="1"/>
  <c r="BP446" i="1"/>
  <c r="BN446" i="1"/>
  <c r="Z446" i="1"/>
  <c r="Y453" i="1"/>
  <c r="Y466" i="1"/>
  <c r="BP462" i="1"/>
  <c r="BN462" i="1"/>
  <c r="Z462" i="1"/>
  <c r="BP471" i="1"/>
  <c r="BN471" i="1"/>
  <c r="Z471" i="1"/>
  <c r="BP465" i="1"/>
  <c r="BN465" i="1"/>
  <c r="Z465" i="1"/>
  <c r="Y467" i="1"/>
  <c r="AA606" i="1"/>
  <c r="Y472" i="1"/>
  <c r="Y473" i="1"/>
  <c r="BP470" i="1"/>
  <c r="BN470" i="1"/>
  <c r="Z470" i="1"/>
  <c r="Z472" i="1" s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Y599" i="1" l="1"/>
  <c r="Z393" i="1"/>
  <c r="Z416" i="1"/>
  <c r="Z268" i="1"/>
  <c r="Z258" i="1"/>
  <c r="Z186" i="1"/>
  <c r="X599" i="1"/>
  <c r="Z570" i="1"/>
  <c r="Z502" i="1"/>
  <c r="Z523" i="1"/>
  <c r="Z466" i="1"/>
  <c r="Z552" i="1"/>
  <c r="Z427" i="1"/>
  <c r="Z180" i="1"/>
  <c r="Z340" i="1"/>
  <c r="Z224" i="1"/>
  <c r="Z41" i="1"/>
  <c r="Z601" i="1" s="1"/>
  <c r="Y600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<sst xmlns="http://schemas.openxmlformats.org/spreadsheetml/2006/main" count="2760" uniqueCount="998">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</sst>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2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269</v>
      </c>
      <c r="Y37" s="668">
        <f>IFERROR(IF(X37="",0,CEILING((X37/$H37),1)*$H37),"")</f>
        <v>270</v>
      </c>
      <c r="Z37" s="36">
        <f>IFERROR(IF(Y37=0,"",ROUNDUP(Y37/H37,0)*0.01898),"")</f>
        <v>0.47450000000000003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279.83472222222218</v>
      </c>
      <c r="BN37" s="64">
        <f>IFERROR(Y37*I37/H37,"0")</f>
        <v>280.87499999999994</v>
      </c>
      <c r="BO37" s="64">
        <f>IFERROR(1/J37*(X37/H37),"0")</f>
        <v>0.3891782407407407</v>
      </c>
      <c r="BP37" s="64">
        <f>IFERROR(1/J37*(Y37/H37),"0")</f>
        <v>0.390625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24.907407407407405</v>
      </c>
      <c r="Y41" s="669">
        <f>IFERROR(Y37/H37,"0")+IFERROR(Y38/H38,"0")+IFERROR(Y39/H39,"0")+IFERROR(Y40/H40,"0")</f>
        <v>25</v>
      </c>
      <c r="Z41" s="669">
        <f>IFERROR(IF(Z37="",0,Z37),"0")+IFERROR(IF(Z38="",0,Z38),"0")+IFERROR(IF(Z39="",0,Z39),"0")+IFERROR(IF(Z40="",0,Z40),"0")</f>
        <v>0.47450000000000003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269</v>
      </c>
      <c r="Y42" s="669">
        <f>IFERROR(SUM(Y37:Y40),"0")</f>
        <v>270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7</v>
      </c>
      <c r="Y49" s="668">
        <f t="shared" ref="Y49:Y54" si="6">IFERROR(IF(X49="",0,CEILING((X49/$H49),1)*$H49),"")</f>
        <v>11.2</v>
      </c>
      <c r="Z49" s="36">
        <f>IFERROR(IF(Y49=0,"",ROUNDUP(Y49/H49,0)*0.01898),"")</f>
        <v>1.898E-2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7.2718749999999996</v>
      </c>
      <c r="BN49" s="64">
        <f t="shared" ref="BN49:BN54" si="8">IFERROR(Y49*I49/H49,"0")</f>
        <v>11.635</v>
      </c>
      <c r="BO49" s="64">
        <f t="shared" ref="BO49:BO54" si="9">IFERROR(1/J49*(X49/H49),"0")</f>
        <v>9.765625E-3</v>
      </c>
      <c r="BP49" s="64">
        <f t="shared" ref="BP49:BP54" si="10">IFERROR(1/J49*(Y49/H49),"0")</f>
        <v>1.5625E-2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110</v>
      </c>
      <c r="Y50" s="668">
        <f t="shared" si="6"/>
        <v>118.80000000000001</v>
      </c>
      <c r="Z50" s="36">
        <f>IFERROR(IF(Y50=0,"",ROUNDUP(Y50/H50,0)*0.01898),"")</f>
        <v>0.20877999999999999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114.43055555555554</v>
      </c>
      <c r="BN50" s="64">
        <f t="shared" si="8"/>
        <v>123.58499999999999</v>
      </c>
      <c r="BO50" s="64">
        <f t="shared" si="9"/>
        <v>0.15914351851851852</v>
      </c>
      <c r="BP50" s="64">
        <f t="shared" si="10"/>
        <v>0.171875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10.810185185185185</v>
      </c>
      <c r="Y55" s="669">
        <f>IFERROR(Y49/H49,"0")+IFERROR(Y50/H50,"0")+IFERROR(Y51/H51,"0")+IFERROR(Y52/H52,"0")+IFERROR(Y53/H53,"0")+IFERROR(Y54/H54,"0")</f>
        <v>12</v>
      </c>
      <c r="Z55" s="669">
        <f>IFERROR(IF(Z49="",0,Z49),"0")+IFERROR(IF(Z50="",0,Z50),"0")+IFERROR(IF(Z51="",0,Z51),"0")+IFERROR(IF(Z52="",0,Z52),"0")+IFERROR(IF(Z53="",0,Z53),"0")+IFERROR(IF(Z54="",0,Z54),"0")</f>
        <v>0.22775999999999999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117</v>
      </c>
      <c r="Y56" s="669">
        <f>IFERROR(SUM(Y49:Y54),"0")</f>
        <v>130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106</v>
      </c>
      <c r="Y58" s="668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110.26944444444442</v>
      </c>
      <c r="BN58" s="64">
        <f>IFERROR(Y58*I58/H58,"0")</f>
        <v>112.34999999999998</v>
      </c>
      <c r="BO58" s="64">
        <f>IFERROR(1/J58*(X58/H58),"0")</f>
        <v>0.15335648148148148</v>
      </c>
      <c r="BP58" s="64">
        <f>IFERROR(1/J58*(Y58/H58),"0")</f>
        <v>0.15625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9.8148148148148149</v>
      </c>
      <c r="Y62" s="669">
        <f>IFERROR(Y58/H58,"0")+IFERROR(Y59/H59,"0")+IFERROR(Y60/H60,"0")+IFERROR(Y61/H61,"0")</f>
        <v>10</v>
      </c>
      <c r="Z62" s="669">
        <f>IFERROR(IF(Z58="",0,Z58),"0")+IFERROR(IF(Z59="",0,Z59),"0")+IFERROR(IF(Z60="",0,Z60),"0")+IFERROR(IF(Z61="",0,Z61),"0")</f>
        <v>0.1898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106</v>
      </c>
      <c r="Y63" s="669">
        <f>IFERROR(SUM(Y58:Y61),"0")</f>
        <v>108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2</v>
      </c>
      <c r="Y67" s="668">
        <f>IFERROR(IF(X67="",0,CEILING((X67/$H67),1)*$H67),"")</f>
        <v>3.6</v>
      </c>
      <c r="Z67" s="36">
        <f>IFERROR(IF(Y67=0,"",ROUNDUP(Y67/H67,0)*0.00502),"")</f>
        <v>1.004E-2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2.1111111111111112</v>
      </c>
      <c r="BN67" s="64">
        <f>IFERROR(Y67*I67/H67,"0")</f>
        <v>3.8</v>
      </c>
      <c r="BO67" s="64">
        <f>IFERROR(1/J67*(X67/H67),"0")</f>
        <v>4.7483380816714157E-3</v>
      </c>
      <c r="BP67" s="64">
        <f>IFERROR(1/J67*(Y67/H67),"0")</f>
        <v>8.5470085470085479E-3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1.1111111111111112</v>
      </c>
      <c r="Y68" s="669">
        <f>IFERROR(Y65/H65,"0")+IFERROR(Y66/H66,"0")+IFERROR(Y67/H67,"0")</f>
        <v>2</v>
      </c>
      <c r="Z68" s="669">
        <f>IFERROR(IF(Z65="",0,Z65),"0")+IFERROR(IF(Z66="",0,Z66),"0")+IFERROR(IF(Z67="",0,Z67),"0")</f>
        <v>1.004E-2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2</v>
      </c>
      <c r="Y69" s="669">
        <f>IFERROR(SUM(Y65:Y67),"0")</f>
        <v>3.6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6</v>
      </c>
      <c r="Y72" s="668">
        <f t="shared" si="11"/>
        <v>8.4</v>
      </c>
      <c r="Z72" s="36">
        <f>IFERROR(IF(Y72=0,"",ROUNDUP(Y72/H72,0)*0.01898),"")</f>
        <v>1.898E-2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6.3107142857142859</v>
      </c>
      <c r="BN72" s="64">
        <f t="shared" si="13"/>
        <v>8.8350000000000009</v>
      </c>
      <c r="BO72" s="64">
        <f t="shared" si="14"/>
        <v>1.1160714285714286E-2</v>
      </c>
      <c r="BP72" s="64">
        <f t="shared" si="15"/>
        <v>1.5625E-2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0.7142857142857143</v>
      </c>
      <c r="Y77" s="669">
        <f>IFERROR(Y71/H71,"0")+IFERROR(Y72/H72,"0")+IFERROR(Y73/H73,"0")+IFERROR(Y74/H74,"0")+IFERROR(Y75/H75,"0")+IFERROR(Y76/H76,"0")</f>
        <v>1</v>
      </c>
      <c r="Z77" s="669">
        <f>IFERROR(IF(Z71="",0,Z71),"0")+IFERROR(IF(Z72="",0,Z72),"0")+IFERROR(IF(Z73="",0,Z73),"0")+IFERROR(IF(Z74="",0,Z74),"0")+IFERROR(IF(Z75="",0,Z75),"0")+IFERROR(IF(Z76="",0,Z76),"0")</f>
        <v>1.898E-2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6</v>
      </c>
      <c r="Y78" s="669">
        <f>IFERROR(SUM(Y71:Y76),"0")</f>
        <v>8.4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39</v>
      </c>
      <c r="Y81" s="668">
        <f>IFERROR(IF(X81="",0,CEILING((X81/$H81),1)*$H81),"")</f>
        <v>42</v>
      </c>
      <c r="Z81" s="36">
        <f>IFERROR(IF(Y81=0,"",ROUNDUP(Y81/H81,0)*0.01898),"")</f>
        <v>9.4899999999999998E-2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41.409642857142856</v>
      </c>
      <c r="BN81" s="64">
        <f>IFERROR(Y81*I81/H81,"0")</f>
        <v>44.594999999999999</v>
      </c>
      <c r="BO81" s="64">
        <f>IFERROR(1/J81*(X81/H81),"0")</f>
        <v>7.2544642857142849E-2</v>
      </c>
      <c r="BP81" s="64">
        <f>IFERROR(1/J81*(Y81/H81),"0")</f>
        <v>7.8125E-2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4.6428571428571423</v>
      </c>
      <c r="Y83" s="669">
        <f>IFERROR(Y80/H80,"0")+IFERROR(Y81/H81,"0")+IFERROR(Y82/H82,"0")</f>
        <v>5</v>
      </c>
      <c r="Z83" s="669">
        <f>IFERROR(IF(Z80="",0,Z80),"0")+IFERROR(IF(Z81="",0,Z81),"0")+IFERROR(IF(Z82="",0,Z82),"0")</f>
        <v>9.4899999999999998E-2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39</v>
      </c>
      <c r="Y84" s="669">
        <f>IFERROR(SUM(Y80:Y82),"0")</f>
        <v>42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589</v>
      </c>
      <c r="Y87" s="668">
        <f>IFERROR(IF(X87="",0,CEILING((X87/$H87),1)*$H87),"")</f>
        <v>594</v>
      </c>
      <c r="Z87" s="36">
        <f>IFERROR(IF(Y87=0,"",ROUNDUP(Y87/H87,0)*0.01898),"")</f>
        <v>1.0439000000000001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612.72361111111104</v>
      </c>
      <c r="BN87" s="64">
        <f>IFERROR(Y87*I87/H87,"0")</f>
        <v>617.92499999999984</v>
      </c>
      <c r="BO87" s="64">
        <f>IFERROR(1/J87*(X87/H87),"0")</f>
        <v>0.85214120370370361</v>
      </c>
      <c r="BP87" s="64">
        <f>IFERROR(1/J87*(Y87/H87),"0")</f>
        <v>0.85937499999999989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72</v>
      </c>
      <c r="Y89" s="668">
        <f>IFERROR(IF(X89="",0,CEILING((X89/$H89),1)*$H89),"")</f>
        <v>72</v>
      </c>
      <c r="Z89" s="36">
        <f>IFERROR(IF(Y89=0,"",ROUNDUP(Y89/H89,0)*0.00902),"")</f>
        <v>0.14432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75.36</v>
      </c>
      <c r="BN89" s="64">
        <f>IFERROR(Y89*I89/H89,"0")</f>
        <v>75.36</v>
      </c>
      <c r="BO89" s="64">
        <f>IFERROR(1/J89*(X89/H89),"0")</f>
        <v>0.12121212121212122</v>
      </c>
      <c r="BP89" s="64">
        <f>IFERROR(1/J89*(Y89/H89),"0")</f>
        <v>0.12121212121212122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70.537037037037038</v>
      </c>
      <c r="Y90" s="669">
        <f>IFERROR(Y87/H87,"0")+IFERROR(Y88/H88,"0")+IFERROR(Y89/H89,"0")</f>
        <v>71</v>
      </c>
      <c r="Z90" s="669">
        <f>IFERROR(IF(Z87="",0,Z87),"0")+IFERROR(IF(Z88="",0,Z88),"0")+IFERROR(IF(Z89="",0,Z89),"0")</f>
        <v>1.1882200000000001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661</v>
      </c>
      <c r="Y91" s="669">
        <f>IFERROR(SUM(Y87:Y89),"0")</f>
        <v>666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43</v>
      </c>
      <c r="Y98" s="668">
        <f t="shared" si="16"/>
        <v>43.2</v>
      </c>
      <c r="Z98" s="36">
        <f>IFERROR(IF(Y98=0,"",ROUNDUP(Y98/H98,0)*0.00651),"")</f>
        <v>0.10416</v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47.013333333333328</v>
      </c>
      <c r="BN98" s="64">
        <f t="shared" si="18"/>
        <v>47.231999999999999</v>
      </c>
      <c r="BO98" s="64">
        <f t="shared" si="19"/>
        <v>8.7505087505087509E-2</v>
      </c>
      <c r="BP98" s="64">
        <f t="shared" si="20"/>
        <v>8.7912087912087919E-2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15.925925925925926</v>
      </c>
      <c r="Y102" s="669">
        <f>IFERROR(Y93/H93,"0")+IFERROR(Y94/H94,"0")+IFERROR(Y95/H95,"0")+IFERROR(Y96/H96,"0")+IFERROR(Y97/H97,"0")+IFERROR(Y98/H98,"0")+IFERROR(Y99/H99,"0")+IFERROR(Y100/H100,"0")+IFERROR(Y101/H101,"0")</f>
        <v>16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0.10416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43</v>
      </c>
      <c r="Y103" s="669">
        <f>IFERROR(SUM(Y93:Y101),"0")</f>
        <v>43.2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402</v>
      </c>
      <c r="Y106" s="668">
        <f>IFERROR(IF(X106="",0,CEILING((X106/$H106),1)*$H106),"")</f>
        <v>410.40000000000003</v>
      </c>
      <c r="Z106" s="36">
        <f>IFERROR(IF(Y106=0,"",ROUNDUP(Y106/H106,0)*0.01898),"")</f>
        <v>0.72123999999999999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418.19166666666661</v>
      </c>
      <c r="BN106" s="64">
        <f>IFERROR(Y106*I106/H106,"0")</f>
        <v>426.92999999999995</v>
      </c>
      <c r="BO106" s="64">
        <f>IFERROR(1/J106*(X106/H106),"0")</f>
        <v>0.58159722222222221</v>
      </c>
      <c r="BP106" s="64">
        <f>IFERROR(1/J106*(Y106/H106),"0")</f>
        <v>0.59375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143</v>
      </c>
      <c r="Y108" s="668">
        <f>IFERROR(IF(X108="",0,CEILING((X108/$H108),1)*$H108),"")</f>
        <v>144</v>
      </c>
      <c r="Z108" s="36">
        <f>IFERROR(IF(Y108=0,"",ROUNDUP(Y108/H108,0)*0.00902),"")</f>
        <v>0.28864000000000001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149.67333333333332</v>
      </c>
      <c r="BN108" s="64">
        <f>IFERROR(Y108*I108/H108,"0")</f>
        <v>150.72</v>
      </c>
      <c r="BO108" s="64">
        <f>IFERROR(1/J108*(X108/H108),"0")</f>
        <v>0.24074074074074076</v>
      </c>
      <c r="BP108" s="64">
        <f>IFERROR(1/J108*(Y108/H108),"0")</f>
        <v>0.24242424242424243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69</v>
      </c>
      <c r="Y110" s="669">
        <f>IFERROR(Y106/H106,"0")+IFERROR(Y107/H107,"0")+IFERROR(Y108/H108,"0")+IFERROR(Y109/H109,"0")</f>
        <v>70</v>
      </c>
      <c r="Z110" s="669">
        <f>IFERROR(IF(Z106="",0,Z106),"0")+IFERROR(IF(Z107="",0,Z107),"0")+IFERROR(IF(Z108="",0,Z108),"0")+IFERROR(IF(Z109="",0,Z109),"0")</f>
        <v>1.0098799999999999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545</v>
      </c>
      <c r="Y111" s="669">
        <f>IFERROR(SUM(Y106:Y109),"0")</f>
        <v>554.40000000000009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597</v>
      </c>
      <c r="Y120" s="668">
        <f t="shared" si="21"/>
        <v>604.80000000000007</v>
      </c>
      <c r="Z120" s="36">
        <f>IFERROR(IF(Y120=0,"",ROUNDUP(Y120/H120,0)*0.01898),"")</f>
        <v>1.36656</v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633.45964285714285</v>
      </c>
      <c r="BN120" s="64">
        <f t="shared" si="23"/>
        <v>641.7360000000001</v>
      </c>
      <c r="BO120" s="64">
        <f t="shared" si="24"/>
        <v>1.1104910714285714</v>
      </c>
      <c r="BP120" s="64">
        <f t="shared" si="25"/>
        <v>1.125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364</v>
      </c>
      <c r="Y123" s="668">
        <f t="shared" si="21"/>
        <v>364.5</v>
      </c>
      <c r="Z123" s="36">
        <f>IFERROR(IF(Y123=0,"",ROUNDUP(Y123/H123,0)*0.00651),"")</f>
        <v>0.87885000000000002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397.9733333333333</v>
      </c>
      <c r="BN123" s="64">
        <f t="shared" si="23"/>
        <v>398.51999999999992</v>
      </c>
      <c r="BO123" s="64">
        <f t="shared" si="24"/>
        <v>0.74074074074074081</v>
      </c>
      <c r="BP123" s="64">
        <f t="shared" si="25"/>
        <v>0.74175824175824179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205.88624338624339</v>
      </c>
      <c r="Y126" s="669">
        <f>IFERROR(Y119/H119,"0")+IFERROR(Y120/H120,"0")+IFERROR(Y121/H121,"0")+IFERROR(Y122/H122,"0")+IFERROR(Y123/H123,"0")+IFERROR(Y124/H124,"0")+IFERROR(Y125/H125,"0")</f>
        <v>207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2.2454100000000001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961</v>
      </c>
      <c r="Y127" s="669">
        <f>IFERROR(SUM(Y119:Y125),"0")</f>
        <v>969.30000000000007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5</v>
      </c>
      <c r="Y176" s="668">
        <f t="shared" si="26"/>
        <v>5.4</v>
      </c>
      <c r="Z176" s="36">
        <f>IFERROR(IF(Y176=0,"",ROUNDUP(Y176/H176,0)*0.00502),"")</f>
        <v>1.506E-2</v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5.3611111111111116</v>
      </c>
      <c r="BN176" s="64">
        <f t="shared" si="28"/>
        <v>5.79</v>
      </c>
      <c r="BO176" s="64">
        <f t="shared" si="29"/>
        <v>1.1870845204178538E-2</v>
      </c>
      <c r="BP176" s="64">
        <f t="shared" si="30"/>
        <v>1.2820512820512822E-2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262</v>
      </c>
      <c r="Y177" s="668">
        <f t="shared" si="26"/>
        <v>262.5</v>
      </c>
      <c r="Z177" s="36">
        <f>IFERROR(IF(Y177=0,"",ROUNDUP(Y177/H177,0)*0.00502),"")</f>
        <v>0.62750000000000006</v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274.47619047619048</v>
      </c>
      <c r="BN177" s="64">
        <f t="shared" si="28"/>
        <v>275</v>
      </c>
      <c r="BO177" s="64">
        <f t="shared" si="29"/>
        <v>0.5331705331705332</v>
      </c>
      <c r="BP177" s="64">
        <f t="shared" si="30"/>
        <v>0.53418803418803429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127.53968253968253</v>
      </c>
      <c r="Y180" s="669">
        <f>IFERROR(Y171/H171,"0")+IFERROR(Y172/H172,"0")+IFERROR(Y173/H173,"0")+IFERROR(Y174/H174,"0")+IFERROR(Y175/H175,"0")+IFERROR(Y176/H176,"0")+IFERROR(Y177/H177,"0")+IFERROR(Y178/H178,"0")+IFERROR(Y179/H179,"0")</f>
        <v>128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0.64256000000000002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267</v>
      </c>
      <c r="Y181" s="669">
        <f>IFERROR(SUM(Y171:Y179),"0")</f>
        <v>267.89999999999998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435</v>
      </c>
      <c r="Y204" s="668">
        <f t="shared" ref="Y204:Y211" si="31">IFERROR(IF(X204="",0,CEILING((X204/$H204),1)*$H204),"")</f>
        <v>437.40000000000003</v>
      </c>
      <c r="Z204" s="36">
        <f>IFERROR(IF(Y204=0,"",ROUNDUP(Y204/H204,0)*0.00902),"")</f>
        <v>0.73062000000000005</v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451.91666666666669</v>
      </c>
      <c r="BN204" s="64">
        <f t="shared" ref="BN204:BN211" si="33">IFERROR(Y204*I204/H204,"0")</f>
        <v>454.41</v>
      </c>
      <c r="BO204" s="64">
        <f t="shared" ref="BO204:BO211" si="34">IFERROR(1/J204*(X204/H204),"0")</f>
        <v>0.61026936026936029</v>
      </c>
      <c r="BP204" s="64">
        <f t="shared" ref="BP204:BP211" si="35">IFERROR(1/J204*(Y204/H204),"0")</f>
        <v>0.61363636363636365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7</v>
      </c>
      <c r="Y205" s="668">
        <f t="shared" si="31"/>
        <v>10.8</v>
      </c>
      <c r="Z205" s="36">
        <f>IFERROR(IF(Y205=0,"",ROUNDUP(Y205/H205,0)*0.00902),"")</f>
        <v>1.804E-2</v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7.2722222222222221</v>
      </c>
      <c r="BN205" s="64">
        <f t="shared" si="33"/>
        <v>11.22</v>
      </c>
      <c r="BO205" s="64">
        <f t="shared" si="34"/>
        <v>9.8204264870931542E-3</v>
      </c>
      <c r="BP205" s="64">
        <f t="shared" si="35"/>
        <v>1.5151515151515152E-2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128</v>
      </c>
      <c r="Y207" s="668">
        <f t="shared" si="31"/>
        <v>129.60000000000002</v>
      </c>
      <c r="Z207" s="36">
        <f>IFERROR(IF(Y207=0,"",ROUNDUP(Y207/H207,0)*0.00902),"")</f>
        <v>0.21648000000000001</v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132.97777777777779</v>
      </c>
      <c r="BN207" s="64">
        <f t="shared" si="33"/>
        <v>134.64000000000001</v>
      </c>
      <c r="BO207" s="64">
        <f t="shared" si="34"/>
        <v>0.17957351290684623</v>
      </c>
      <c r="BP207" s="64">
        <f t="shared" si="35"/>
        <v>0.18181818181818185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57</v>
      </c>
      <c r="Y209" s="668">
        <f t="shared" si="31"/>
        <v>57.6</v>
      </c>
      <c r="Z209" s="36">
        <f>IFERROR(IF(Y209=0,"",ROUNDUP(Y209/H209,0)*0.00502),"")</f>
        <v>0.16064000000000001</v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60.166666666666664</v>
      </c>
      <c r="BN209" s="64">
        <f t="shared" si="33"/>
        <v>60.8</v>
      </c>
      <c r="BO209" s="64">
        <f t="shared" si="34"/>
        <v>0.13532763532763534</v>
      </c>
      <c r="BP209" s="64">
        <f t="shared" si="35"/>
        <v>0.13675213675213677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36</v>
      </c>
      <c r="Y211" s="668">
        <f t="shared" si="31"/>
        <v>36</v>
      </c>
      <c r="Z211" s="36">
        <f>IFERROR(IF(Y211=0,"",ROUNDUP(Y211/H211,0)*0.00502),"")</f>
        <v>0.1004</v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37.999999999999993</v>
      </c>
      <c r="BN211" s="64">
        <f t="shared" si="33"/>
        <v>37.999999999999993</v>
      </c>
      <c r="BO211" s="64">
        <f t="shared" si="34"/>
        <v>8.5470085470085472E-2</v>
      </c>
      <c r="BP211" s="64">
        <f t="shared" si="35"/>
        <v>8.5470085470085472E-2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157.2222222222222</v>
      </c>
      <c r="Y212" s="669">
        <f>IFERROR(Y204/H204,"0")+IFERROR(Y205/H205,"0")+IFERROR(Y206/H206,"0")+IFERROR(Y207/H207,"0")+IFERROR(Y208/H208,"0")+IFERROR(Y209/H209,"0")+IFERROR(Y210/H210,"0")+IFERROR(Y211/H211,"0")</f>
        <v>159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1.2261800000000003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663</v>
      </c>
      <c r="Y213" s="669">
        <f>IFERROR(SUM(Y204:Y211),"0")</f>
        <v>671.40000000000009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89</v>
      </c>
      <c r="Y220" s="668">
        <f t="shared" si="36"/>
        <v>91.2</v>
      </c>
      <c r="Z220" s="36">
        <f t="shared" si="41"/>
        <v>0.24738000000000002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98.345000000000013</v>
      </c>
      <c r="BN220" s="64">
        <f t="shared" si="38"/>
        <v>100.77600000000001</v>
      </c>
      <c r="BO220" s="64">
        <f t="shared" si="39"/>
        <v>0.20375457875457878</v>
      </c>
      <c r="BP220" s="64">
        <f t="shared" si="40"/>
        <v>0.2087912087912088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106</v>
      </c>
      <c r="Y222" s="668">
        <f t="shared" si="36"/>
        <v>108</v>
      </c>
      <c r="Z222" s="36">
        <f t="shared" si="41"/>
        <v>0.29294999999999999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117.13000000000001</v>
      </c>
      <c r="BN222" s="64">
        <f t="shared" si="38"/>
        <v>119.34</v>
      </c>
      <c r="BO222" s="64">
        <f t="shared" si="39"/>
        <v>0.24267399267399273</v>
      </c>
      <c r="BP222" s="64">
        <f t="shared" si="40"/>
        <v>0.24725274725274726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101</v>
      </c>
      <c r="Y223" s="668">
        <f t="shared" si="36"/>
        <v>103.2</v>
      </c>
      <c r="Z223" s="36">
        <f t="shared" si="41"/>
        <v>0.27993000000000001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111.85749999999999</v>
      </c>
      <c r="BN223" s="64">
        <f t="shared" si="38"/>
        <v>114.29400000000001</v>
      </c>
      <c r="BO223" s="64">
        <f t="shared" si="39"/>
        <v>0.23122710622710627</v>
      </c>
      <c r="BP223" s="64">
        <f t="shared" si="40"/>
        <v>0.23626373626373628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123.33333333333334</v>
      </c>
      <c r="Y224" s="669">
        <f>IFERROR(Y215/H215,"0")+IFERROR(Y216/H216,"0")+IFERROR(Y217/H217,"0")+IFERROR(Y218/H218,"0")+IFERROR(Y219/H219,"0")+IFERROR(Y220/H220,"0")+IFERROR(Y221/H221,"0")+IFERROR(Y222/H222,"0")+IFERROR(Y223/H223,"0")</f>
        <v>126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0.82025999999999999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296</v>
      </c>
      <c r="Y225" s="669">
        <f>IFERROR(SUM(Y215:Y223),"0")</f>
        <v>302.39999999999998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6</v>
      </c>
      <c r="Y227" s="668">
        <f>IFERROR(IF(X227="",0,CEILING((X227/$H227),1)*$H227),"")</f>
        <v>7.1999999999999993</v>
      </c>
      <c r="Z227" s="36">
        <f>IFERROR(IF(Y227=0,"",ROUNDUP(Y227/H227,0)*0.00651),"")</f>
        <v>1.9529999999999999E-2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6.6300000000000008</v>
      </c>
      <c r="BN227" s="64">
        <f>IFERROR(Y227*I227/H227,"0")</f>
        <v>7.9560000000000004</v>
      </c>
      <c r="BO227" s="64">
        <f>IFERROR(1/J227*(X227/H227),"0")</f>
        <v>1.3736263736263738E-2</v>
      </c>
      <c r="BP227" s="64">
        <f>IFERROR(1/J227*(Y227/H227),"0")</f>
        <v>1.6483516483516484E-2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17</v>
      </c>
      <c r="Y228" s="668">
        <f>IFERROR(IF(X228="",0,CEILING((X228/$H228),1)*$H228),"")</f>
        <v>19.2</v>
      </c>
      <c r="Z228" s="36">
        <f>IFERROR(IF(Y228=0,"",ROUNDUP(Y228/H228,0)*0.00651),"")</f>
        <v>5.2080000000000001E-2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18.785000000000004</v>
      </c>
      <c r="BN228" s="64">
        <f>IFERROR(Y228*I228/H228,"0")</f>
        <v>21.216000000000001</v>
      </c>
      <c r="BO228" s="64">
        <f>IFERROR(1/J228*(X228/H228),"0")</f>
        <v>3.8919413919413927E-2</v>
      </c>
      <c r="BP228" s="64">
        <f>IFERROR(1/J228*(Y228/H228),"0")</f>
        <v>4.3956043956043959E-2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9.5833333333333339</v>
      </c>
      <c r="Y229" s="669">
        <f>IFERROR(Y227/H227,"0")+IFERROR(Y228/H228,"0")</f>
        <v>11</v>
      </c>
      <c r="Z229" s="669">
        <f>IFERROR(IF(Z227="",0,Z227),"0")+IFERROR(IF(Z228="",0,Z228),"0")</f>
        <v>7.1610000000000007E-2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23</v>
      </c>
      <c r="Y230" s="669">
        <f>IFERROR(SUM(Y227:Y228),"0")</f>
        <v>26.4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9</v>
      </c>
      <c r="Y233" s="668">
        <f t="shared" ref="Y233:Y240" si="42">IFERROR(IF(X233="",0,CEILING((X233/$H233),1)*$H233),"")</f>
        <v>11.6</v>
      </c>
      <c r="Z233" s="36">
        <f>IFERROR(IF(Y233=0,"",ROUNDUP(Y233/H233,0)*0.01898),"")</f>
        <v>1.898E-2</v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9.3375000000000004</v>
      </c>
      <c r="BN233" s="64">
        <f t="shared" ref="BN233:BN240" si="44">IFERROR(Y233*I233/H233,"0")</f>
        <v>12.035</v>
      </c>
      <c r="BO233" s="64">
        <f t="shared" ref="BO233:BO240" si="45">IFERROR(1/J233*(X233/H233),"0")</f>
        <v>1.2122844827586207E-2</v>
      </c>
      <c r="BP233" s="64">
        <f t="shared" ref="BP233:BP240" si="46">IFERROR(1/J233*(Y233/H233),"0")</f>
        <v>1.5625E-2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0.77586206896551724</v>
      </c>
      <c r="Y241" s="669">
        <f>IFERROR(Y233/H233,"0")+IFERROR(Y234/H234,"0")+IFERROR(Y235/H235,"0")+IFERROR(Y236/H236,"0")+IFERROR(Y237/H237,"0")+IFERROR(Y238/H238,"0")+IFERROR(Y239/H239,"0")+IFERROR(Y240/H240,"0")</f>
        <v>1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1.898E-2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9</v>
      </c>
      <c r="Y242" s="669">
        <f>IFERROR(SUM(Y233:Y240),"0")</f>
        <v>11.6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24</v>
      </c>
      <c r="Y352" s="668">
        <f>IFERROR(IF(X352="",0,CEILING((X352/$H352),1)*$H352),"")</f>
        <v>31.2</v>
      </c>
      <c r="Z352" s="36">
        <f>IFERROR(IF(Y352=0,"",ROUNDUP(Y352/H352,0)*0.01898),"")</f>
        <v>7.5920000000000001E-2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25.59692307692308</v>
      </c>
      <c r="BN352" s="64">
        <f>IFERROR(Y352*I352/H352,"0")</f>
        <v>33.276000000000003</v>
      </c>
      <c r="BO352" s="64">
        <f>IFERROR(1/J352*(X352/H352),"0")</f>
        <v>4.807692307692308E-2</v>
      </c>
      <c r="BP352" s="64">
        <f>IFERROR(1/J352*(Y352/H352),"0")</f>
        <v>6.25E-2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3.0769230769230771</v>
      </c>
      <c r="Y354" s="669">
        <f>IFERROR(Y351/H351,"0")+IFERROR(Y352/H352,"0")+IFERROR(Y353/H353,"0")</f>
        <v>4</v>
      </c>
      <c r="Z354" s="669">
        <f>IFERROR(IF(Z351="",0,Z351),"0")+IFERROR(IF(Z352="",0,Z352),"0")+IFERROR(IF(Z353="",0,Z353),"0")</f>
        <v>7.5920000000000001E-2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24</v>
      </c>
      <c r="Y355" s="669">
        <f>IFERROR(SUM(Y351:Y353),"0")</f>
        <v>31.2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15</v>
      </c>
      <c r="Y359" s="668">
        <f>IFERROR(IF(X359="",0,CEILING((X359/$H359),1)*$H359),"")</f>
        <v>15.299999999999999</v>
      </c>
      <c r="Z359" s="36">
        <f>IFERROR(IF(Y359=0,"",ROUNDUP(Y359/H359,0)*0.00651),"")</f>
        <v>3.9059999999999997E-2</v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17.382352941176475</v>
      </c>
      <c r="BN359" s="64">
        <f>IFERROR(Y359*I359/H359,"0")</f>
        <v>17.73</v>
      </c>
      <c r="BO359" s="64">
        <f>IFERROR(1/J359*(X359/H359),"0")</f>
        <v>3.2320620555914677E-2</v>
      </c>
      <c r="BP359" s="64">
        <f>IFERROR(1/J359*(Y359/H359),"0")</f>
        <v>3.2967032967032968E-2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5.882352941176471</v>
      </c>
      <c r="Y361" s="669">
        <f>IFERROR(Y357/H357,"0")+IFERROR(Y358/H358,"0")+IFERROR(Y359/H359,"0")+IFERROR(Y360/H360,"0")</f>
        <v>6</v>
      </c>
      <c r="Z361" s="669">
        <f>IFERROR(IF(Z357="",0,Z357),"0")+IFERROR(IF(Z358="",0,Z358),"0")+IFERROR(IF(Z359="",0,Z359),"0")+IFERROR(IF(Z360="",0,Z360),"0")</f>
        <v>3.9059999999999997E-2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15</v>
      </c>
      <c r="Y362" s="669">
        <f>IFERROR(SUM(Y357:Y360),"0")</f>
        <v>15.299999999999999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4</v>
      </c>
      <c r="Y371" s="668">
        <f>IFERROR(IF(X371="",0,CEILING((X371/$H371),1)*$H371),"")</f>
        <v>5.4</v>
      </c>
      <c r="Z371" s="36">
        <f>IFERROR(IF(Y371=0,"",ROUNDUP(Y371/H371,0)*0.00651),"")</f>
        <v>1.9529999999999999E-2</v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4.5066666666666668</v>
      </c>
      <c r="BN371" s="64">
        <f>IFERROR(Y371*I371/H371,"0")</f>
        <v>6.0839999999999996</v>
      </c>
      <c r="BO371" s="64">
        <f>IFERROR(1/J371*(X371/H371),"0")</f>
        <v>1.2210012210012212E-2</v>
      </c>
      <c r="BP371" s="64">
        <f>IFERROR(1/J371*(Y371/H371),"0")</f>
        <v>1.6483516483516484E-2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2.2222222222222223</v>
      </c>
      <c r="Y372" s="669">
        <f>IFERROR(Y371/H371,"0")</f>
        <v>3</v>
      </c>
      <c r="Z372" s="669">
        <f>IFERROR(IF(Z371="",0,Z371),"0")</f>
        <v>1.9529999999999999E-2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4</v>
      </c>
      <c r="Y373" s="669">
        <f>IFERROR(SUM(Y371:Y371),"0")</f>
        <v>5.4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587</v>
      </c>
      <c r="Y396" s="668">
        <f>IFERROR(IF(X396="",0,CEILING((X396/$H396),1)*$H396),"")</f>
        <v>600</v>
      </c>
      <c r="Z396" s="36">
        <f>IFERROR(IF(Y396=0,"",ROUNDUP(Y396/H396,0)*0.02175),"")</f>
        <v>0.86999999999999988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605.78399999999999</v>
      </c>
      <c r="BN396" s="64">
        <f>IFERROR(Y396*I396/H396,"0")</f>
        <v>619.20000000000005</v>
      </c>
      <c r="BO396" s="64">
        <f>IFERROR(1/J396*(X396/H396),"0")</f>
        <v>0.81527777777777777</v>
      </c>
      <c r="BP396" s="64">
        <f>IFERROR(1/J396*(Y396/H396),"0")</f>
        <v>0.83333333333333326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39.133333333333333</v>
      </c>
      <c r="Y398" s="669">
        <f>IFERROR(Y396/H396,"0")+IFERROR(Y397/H397,"0")</f>
        <v>40</v>
      </c>
      <c r="Z398" s="669">
        <f>IFERROR(IF(Z396="",0,Z396),"0")+IFERROR(IF(Z397="",0,Z397),"0")</f>
        <v>0.86999999999999988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587</v>
      </c>
      <c r="Y399" s="669">
        <f>IFERROR(SUM(Y396:Y397),"0")</f>
        <v>600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115</v>
      </c>
      <c r="Y423" s="668">
        <f>IFERROR(IF(X423="",0,CEILING((X423/$H423),1)*$H423),"")</f>
        <v>117</v>
      </c>
      <c r="Z423" s="36">
        <f>IFERROR(IF(Y423=0,"",ROUNDUP(Y423/H423,0)*0.01898),"")</f>
        <v>0.24674000000000001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121.63166666666666</v>
      </c>
      <c r="BN423" s="64">
        <f>IFERROR(Y423*I423/H423,"0")</f>
        <v>123.747</v>
      </c>
      <c r="BO423" s="64">
        <f>IFERROR(1/J423*(X423/H423),"0")</f>
        <v>0.19965277777777779</v>
      </c>
      <c r="BP423" s="64">
        <f>IFERROR(1/J423*(Y423/H423),"0")</f>
        <v>0.203125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12.777777777777779</v>
      </c>
      <c r="Y427" s="669">
        <f>IFERROR(Y423/H423,"0")+IFERROR(Y424/H424,"0")+IFERROR(Y425/H425,"0")+IFERROR(Y426/H426,"0")</f>
        <v>13</v>
      </c>
      <c r="Z427" s="669">
        <f>IFERROR(IF(Z423="",0,Z423),"0")+IFERROR(IF(Z424="",0,Z424),"0")+IFERROR(IF(Z425="",0,Z425),"0")+IFERROR(IF(Z426="",0,Z426),"0")</f>
        <v>0.24674000000000001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115</v>
      </c>
      <c r="Y428" s="669">
        <f>IFERROR(SUM(Y423:Y426),"0")</f>
        <v>117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15</v>
      </c>
      <c r="Y436" s="668">
        <f t="shared" ref="Y436:Y447" si="62">IFERROR(IF(X436="",0,CEILING((X436/$H436),1)*$H436),"")</f>
        <v>16.200000000000003</v>
      </c>
      <c r="Z436" s="36">
        <f>IFERROR(IF(Y436=0,"",ROUNDUP(Y436/H436,0)*0.00902),"")</f>
        <v>2.7060000000000001E-2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15.583333333333334</v>
      </c>
      <c r="BN436" s="64">
        <f t="shared" ref="BN436:BN447" si="64">IFERROR(Y436*I436/H436,"0")</f>
        <v>16.830000000000002</v>
      </c>
      <c r="BO436" s="64">
        <f t="shared" ref="BO436:BO447" si="65">IFERROR(1/J436*(X436/H436),"0")</f>
        <v>2.1043771043771045E-2</v>
      </c>
      <c r="BP436" s="64">
        <f t="shared" ref="BP436:BP447" si="66">IFERROR(1/J436*(Y436/H436),"0")</f>
        <v>2.2727272727272731E-2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2.7777777777777777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3.0000000000000004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2.7060000000000001E-2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15</v>
      </c>
      <c r="Y449" s="669">
        <f>IFERROR(SUM(Y436:Y447),"0")</f>
        <v>16.200000000000003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3</v>
      </c>
      <c r="Y471" s="668">
        <f>IFERROR(IF(X471="",0,CEILING((X471/$H471),1)*$H471),"")</f>
        <v>3.5999999999999996</v>
      </c>
      <c r="Z471" s="36">
        <f>IFERROR(IF(Y471=0,"",ROUNDUP(Y471/H471,0)*0.00651),"")</f>
        <v>1.9529999999999999E-2</v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5.2500000000000009</v>
      </c>
      <c r="BN471" s="64">
        <f>IFERROR(Y471*I471/H471,"0")</f>
        <v>6.3</v>
      </c>
      <c r="BO471" s="64">
        <f>IFERROR(1/J471*(X471/H471),"0")</f>
        <v>1.3736263736263738E-2</v>
      </c>
      <c r="BP471" s="64">
        <f>IFERROR(1/J471*(Y471/H471),"0")</f>
        <v>1.6483516483516484E-2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2.5</v>
      </c>
      <c r="Y472" s="669">
        <f>IFERROR(Y470/H470,"0")+IFERROR(Y471/H471,"0")</f>
        <v>3</v>
      </c>
      <c r="Z472" s="669">
        <f>IFERROR(IF(Z470="",0,Z470),"0")+IFERROR(IF(Z471="",0,Z471),"0")</f>
        <v>1.9529999999999999E-2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3</v>
      </c>
      <c r="Y473" s="669">
        <f>IFERROR(SUM(Y470:Y471),"0")</f>
        <v>3.5999999999999996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162</v>
      </c>
      <c r="Y486" s="668">
        <f t="shared" ref="Y486:Y501" si="68">IFERROR(IF(X486="",0,CEILING((X486/$H486),1)*$H486),"")</f>
        <v>163.68</v>
      </c>
      <c r="Z486" s="36">
        <f t="shared" ref="Z486:Z491" si="69">IFERROR(IF(Y486=0,"",ROUNDUP(Y486/H486,0)*0.01196),"")</f>
        <v>0.37075999999999998</v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173.04545454545453</v>
      </c>
      <c r="BN486" s="64">
        <f t="shared" ref="BN486:BN501" si="71">IFERROR(Y486*I486/H486,"0")</f>
        <v>174.84</v>
      </c>
      <c r="BO486" s="64">
        <f t="shared" ref="BO486:BO501" si="72">IFERROR(1/J486*(X486/H486),"0")</f>
        <v>0.2950174825174825</v>
      </c>
      <c r="BP486" s="64">
        <f t="shared" ref="BP486:BP501" si="73">IFERROR(1/J486*(Y486/H486),"0")</f>
        <v>0.29807692307692307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1714</v>
      </c>
      <c r="Y490" s="668">
        <f t="shared" si="68"/>
        <v>1716</v>
      </c>
      <c r="Z490" s="36">
        <f t="shared" si="69"/>
        <v>3.887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1830.863636363636</v>
      </c>
      <c r="BN490" s="64">
        <f t="shared" si="71"/>
        <v>1832.9999999999998</v>
      </c>
      <c r="BO490" s="64">
        <f t="shared" si="72"/>
        <v>3.1213578088578089</v>
      </c>
      <c r="BP490" s="64">
        <f t="shared" si="73"/>
        <v>3.125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143</v>
      </c>
      <c r="Y493" s="668">
        <f t="shared" si="68"/>
        <v>144</v>
      </c>
      <c r="Z493" s="36">
        <f>IFERROR(IF(Y493=0,"",ROUNDUP(Y493/H493,0)*0.00902),"")</f>
        <v>0.36080000000000001</v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151.34166666666667</v>
      </c>
      <c r="BN493" s="64">
        <f t="shared" si="71"/>
        <v>152.4</v>
      </c>
      <c r="BO493" s="64">
        <f t="shared" si="72"/>
        <v>0.30092592592592593</v>
      </c>
      <c r="BP493" s="64">
        <f t="shared" si="73"/>
        <v>0.30303030303030304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395.02525252525254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396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4.6185600000000004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2019</v>
      </c>
      <c r="Y503" s="669">
        <f>IFERROR(SUM(Y486:Y501),"0")</f>
        <v>2023.68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317</v>
      </c>
      <c r="Y505" s="668">
        <f>IFERROR(IF(X505="",0,CEILING((X505/$H505),1)*$H505),"")</f>
        <v>322.08000000000004</v>
      </c>
      <c r="Z505" s="36">
        <f>IFERROR(IF(Y505=0,"",ROUNDUP(Y505/H505,0)*0.01196),"")</f>
        <v>0.72955999999999999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338.61363636363632</v>
      </c>
      <c r="BN505" s="64">
        <f>IFERROR(Y505*I505/H505,"0")</f>
        <v>344.04</v>
      </c>
      <c r="BO505" s="64">
        <f>IFERROR(1/J505*(X505/H505),"0")</f>
        <v>0.577287296037296</v>
      </c>
      <c r="BP505" s="64">
        <f>IFERROR(1/J505*(Y505/H505),"0")</f>
        <v>0.58653846153846168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60.037878787878782</v>
      </c>
      <c r="Y509" s="669">
        <f>IFERROR(Y505/H505,"0")+IFERROR(Y506/H506,"0")+IFERROR(Y507/H507,"0")+IFERROR(Y508/H508,"0")</f>
        <v>61.000000000000007</v>
      </c>
      <c r="Z509" s="669">
        <f>IFERROR(IF(Z505="",0,Z505),"0")+IFERROR(IF(Z506="",0,Z506),"0")+IFERROR(IF(Z507="",0,Z507),"0")+IFERROR(IF(Z508="",0,Z508),"0")</f>
        <v>0.72955999999999999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317</v>
      </c>
      <c r="Y510" s="669">
        <f>IFERROR(SUM(Y505:Y508),"0")</f>
        <v>322.08000000000004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7106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7209.06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7517.8879576559057</v>
      </c>
      <c r="Y597" s="669">
        <f>IFERROR(SUM(BN22:BN593),"0")</f>
        <v>7627.021999999999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13</v>
      </c>
      <c r="Y598" s="38">
        <f>ROUNDUP(SUM(BP22:BP593),0)</f>
        <v>13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7842.8879576559057</v>
      </c>
      <c r="Y599" s="669">
        <f>GrossWeightTotalR+PalletQtyTotalR*25</f>
        <v>7952.021999999999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1355.2378196647467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1373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14.9892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270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292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709.2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1523.7000000000003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267.89999999999998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1000.2000000000003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11.6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46.5</v>
      </c>
      <c r="V606" s="46">
        <f>IFERROR(Y371*1,"0")+IFERROR(Y375*1,"0")+IFERROR(Y376*1,"0")+IFERROR(Y377*1,"0")</f>
        <v>5.4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600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117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16.200000000000003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3.5999999999999996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2345.7600000000002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2025-04-24T07:40:29Z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