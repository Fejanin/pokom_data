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"/>
    </mc:Choice>
  </mc:AlternateContent>
  <xr:revisionPtr revIDLastSave="0" documentId="13_ncr:1_{BE395E0A-5E0B-4EA8-9A4A-638DA2E790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6" i="1"/>
  <c r="O7" i="1" l="1"/>
  <c r="O8" i="1"/>
  <c r="P8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S25" i="1" s="1"/>
  <c r="O26" i="1"/>
  <c r="O27" i="1"/>
  <c r="O28" i="1"/>
  <c r="S28" i="1" s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S49" i="1" s="1"/>
  <c r="O50" i="1"/>
  <c r="O51" i="1"/>
  <c r="O52" i="1"/>
  <c r="S52" i="1" s="1"/>
  <c r="O53" i="1"/>
  <c r="O54" i="1"/>
  <c r="O55" i="1"/>
  <c r="P55" i="1" s="1"/>
  <c r="O56" i="1"/>
  <c r="O57" i="1"/>
  <c r="P57" i="1" s="1"/>
  <c r="O58" i="1"/>
  <c r="O59" i="1"/>
  <c r="P59" i="1" s="1"/>
  <c r="O60" i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O69" i="1"/>
  <c r="S69" i="1" s="1"/>
  <c r="O70" i="1"/>
  <c r="S70" i="1" s="1"/>
  <c r="O71" i="1"/>
  <c r="S71" i="1" s="1"/>
  <c r="O72" i="1"/>
  <c r="S72" i="1" s="1"/>
  <c r="O73" i="1"/>
  <c r="S73" i="1" s="1"/>
  <c r="O74" i="1"/>
  <c r="O75" i="1"/>
  <c r="O76" i="1"/>
  <c r="O77" i="1"/>
  <c r="O78" i="1"/>
  <c r="O79" i="1"/>
  <c r="O80" i="1"/>
  <c r="O81" i="1"/>
  <c r="O82" i="1"/>
  <c r="S82" i="1" s="1"/>
  <c r="O83" i="1"/>
  <c r="P83" i="1" s="1"/>
  <c r="O84" i="1"/>
  <c r="O85" i="1"/>
  <c r="P85" i="1" s="1"/>
  <c r="O86" i="1"/>
  <c r="O87" i="1"/>
  <c r="P87" i="1" s="1"/>
  <c r="O88" i="1"/>
  <c r="O89" i="1"/>
  <c r="O90" i="1"/>
  <c r="O91" i="1"/>
  <c r="O92" i="1"/>
  <c r="O93" i="1"/>
  <c r="P93" i="1" s="1"/>
  <c r="O94" i="1"/>
  <c r="S94" i="1" s="1"/>
  <c r="O95" i="1"/>
  <c r="O6" i="1"/>
  <c r="T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E5" i="1"/>
  <c r="P92" i="1" l="1"/>
  <c r="P90" i="1"/>
  <c r="P88" i="1"/>
  <c r="P86" i="1"/>
  <c r="P84" i="1"/>
  <c r="P50" i="1"/>
  <c r="S46" i="1"/>
  <c r="S38" i="1"/>
  <c r="S22" i="1"/>
  <c r="P6" i="1"/>
  <c r="S6" i="1" s="1"/>
  <c r="P10" i="1"/>
  <c r="P14" i="1"/>
  <c r="P32" i="1"/>
  <c r="P36" i="1"/>
  <c r="P48" i="1"/>
  <c r="P54" i="1"/>
  <c r="P58" i="1"/>
  <c r="P78" i="1"/>
  <c r="P12" i="1"/>
  <c r="P16" i="1"/>
  <c r="P30" i="1"/>
  <c r="P34" i="1"/>
  <c r="P42" i="1"/>
  <c r="P56" i="1"/>
  <c r="P60" i="1"/>
  <c r="P76" i="1"/>
  <c r="P80" i="1"/>
  <c r="S51" i="1"/>
  <c r="S23" i="1"/>
  <c r="S7" i="1"/>
  <c r="P11" i="1"/>
  <c r="P13" i="1"/>
  <c r="P15" i="1"/>
  <c r="P17" i="1"/>
  <c r="P19" i="1"/>
  <c r="P21" i="1"/>
  <c r="P31" i="1"/>
  <c r="P33" i="1"/>
  <c r="P35" i="1"/>
  <c r="P39" i="1"/>
  <c r="P41" i="1"/>
  <c r="P43" i="1"/>
  <c r="P45" i="1"/>
  <c r="P47" i="1"/>
  <c r="P77" i="1"/>
  <c r="S93" i="1"/>
  <c r="S91" i="1"/>
  <c r="S89" i="1"/>
  <c r="S87" i="1"/>
  <c r="S85" i="1"/>
  <c r="S83" i="1"/>
  <c r="S59" i="1"/>
  <c r="S57" i="1"/>
  <c r="S55" i="1"/>
  <c r="S53" i="1"/>
  <c r="S27" i="1"/>
  <c r="T93" i="1"/>
  <c r="T85" i="1"/>
  <c r="T77" i="1"/>
  <c r="T69" i="1"/>
  <c r="T61" i="1"/>
  <c r="T53" i="1"/>
  <c r="T45" i="1"/>
  <c r="T37" i="1"/>
  <c r="T29" i="1"/>
  <c r="T21" i="1"/>
  <c r="T13" i="1"/>
  <c r="K5" i="1"/>
  <c r="T89" i="1"/>
  <c r="T81" i="1"/>
  <c r="T73" i="1"/>
  <c r="T65" i="1"/>
  <c r="T57" i="1"/>
  <c r="T49" i="1"/>
  <c r="T41" i="1"/>
  <c r="T33" i="1"/>
  <c r="T25" i="1"/>
  <c r="T17" i="1"/>
  <c r="T9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O5" i="1"/>
  <c r="S8" i="1"/>
  <c r="T95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S11" i="1" l="1"/>
  <c r="S19" i="1"/>
  <c r="S31" i="1"/>
  <c r="S39" i="1"/>
  <c r="S47" i="1"/>
  <c r="S30" i="1"/>
  <c r="S54" i="1"/>
  <c r="S74" i="1"/>
  <c r="S15" i="1"/>
  <c r="S35" i="1"/>
  <c r="S43" i="1"/>
  <c r="S14" i="1"/>
  <c r="S75" i="1"/>
  <c r="S79" i="1"/>
  <c r="S95" i="1"/>
  <c r="S10" i="1"/>
  <c r="S18" i="1"/>
  <c r="S34" i="1"/>
  <c r="S42" i="1"/>
  <c r="S58" i="1"/>
  <c r="S78" i="1"/>
  <c r="S9" i="1"/>
  <c r="S13" i="1"/>
  <c r="S17" i="1"/>
  <c r="S21" i="1"/>
  <c r="S29" i="1"/>
  <c r="S33" i="1"/>
  <c r="S37" i="1"/>
  <c r="S41" i="1"/>
  <c r="S45" i="1"/>
  <c r="S77" i="1"/>
  <c r="S81" i="1"/>
  <c r="P5" i="1"/>
  <c r="AF5" i="1"/>
  <c r="S12" i="1"/>
  <c r="S16" i="1"/>
  <c r="S20" i="1"/>
  <c r="S24" i="1"/>
  <c r="S26" i="1"/>
  <c r="S32" i="1"/>
  <c r="S36" i="1"/>
  <c r="S40" i="1"/>
  <c r="S44" i="1"/>
  <c r="S48" i="1"/>
  <c r="S50" i="1"/>
  <c r="S56" i="1"/>
  <c r="S60" i="1"/>
  <c r="S68" i="1"/>
  <c r="S76" i="1"/>
  <c r="S80" i="1"/>
  <c r="S84" i="1"/>
  <c r="S86" i="1"/>
  <c r="S88" i="1"/>
  <c r="S90" i="1"/>
  <c r="S92" i="1"/>
</calcChain>
</file>

<file path=xl/sharedStrings.xml><?xml version="1.0" encoding="utf-8"?>
<sst xmlns="http://schemas.openxmlformats.org/spreadsheetml/2006/main" count="359" uniqueCount="151">
  <si>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</si>
  <si>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</si>
  <si>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</si>
  <si>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</si>
  <si>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</si>
  <si>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</si>
  <si>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</si>
  <si>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</si>
  <si>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</si>
  <si>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</si>
  <si>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</si>
  <si>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</si>
  <si>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</si>
  <si>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</si>
  <si>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</si>
  <si>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</si>
  <si>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</si>
  <si>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</si>
  <si>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</si>
  <si>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</si>
  <si>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</si>
  <si>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</si>
  <si>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</si>
  <si>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</si>
  <si>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</si>
  <si>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</si>
  <si>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</si>
  <si>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</si>
  <si>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</si>
  <si>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</si>
  <si>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</si>
  <si>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</si>
  <si>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</si>
  <si>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</si>
  <si>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</si>
  <si>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</si>
  <si>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</si>
  <si>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</si>
  <si>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</si>
  <si>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</si>
  <si>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</si>
  <si>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</si>
  <si>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</si>
  <si>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</si>
  <si>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</si>
  <si>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</si>
  <si>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</si>
  <si>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</si>
  <si>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</si>
  <si>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</si>
  <si>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</si>
  <si>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</si>
  <si>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</si>
  <si>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</si>
  <si>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</si>
  <si>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</si>
  <si>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</si>
  <si>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</si>
  <si>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</si>
  <si>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</si>
  <si>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</si>
  <si>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</si>
  <si>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</si>
  <si>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</si>
  <si>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</si>
  <si>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</si>
  <si>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</si>
  <si>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</si>
  <si>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</si>
  <si>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</si>
  <si>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</si>
  <si>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</si>
  <si>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</si>
  <si>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</si>
  <si>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</si>
  <si>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</si>
  <si>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</si>
  <si>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</si>
  <si>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</si>
  <si>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</si>
  <si>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</si>
  <si>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</si>
  <si>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</si>
  <si>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</si>
  <si>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</si>
  <si>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</si>
  <si>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</si>
  <si>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</si>
  <si>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</si>
  <si>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</si>
  <si>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</si>
  <si>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</si>
  <si>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</si>
  <si>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</si>
  <si>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</si>
  <si>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</si>
  <si>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</si>
  <si>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</si>
  <si>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</si>
  <si>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</si>
  <si>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</si>
  <si>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</si>
  <si>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</si>
  <si>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</si>
  <si>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</si>
  <si>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</si>
  <si>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</si>
  <si>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</si>
  <si>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</si>
  <si>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</si>
  <si>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</si>
  <si>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</si>
  <si>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</si>
  <si>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</si>
  <si>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>не в матрице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</si>
  <si>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</si>
  <si>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</si>
  <si>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</si>
  <si>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</si>
  <si>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</si>
  <si>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</si>
  <si>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</si>
  <si>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</si>
  <si>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</si>
  <si>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20,03,25 в уценку 26кг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</si>
  <si>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</si>
  <si>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</si>
  <si>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464  Колбаса Стародворская Традиционная со шпиком оболочке полиамид ТМ Стародворье.</t>
  </si>
  <si>
    <t>нужно увеличить продажи!!!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</si>
  <si>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</si>
  <si>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</si>
  <si>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</si>
  <si>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</si>
  <si>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</si>
  <si>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</si>
  <si>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</si>
  <si>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</si>
  <si>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</si>
  <si>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</si>
  <si>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</si>
  <si>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</si>
  <si>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</si>
  <si>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</si>
  <si>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</si>
  <si>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</si>
  <si>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 / перемещение из Луганска (забыли паллет)</t>
    </r>
  </si>
  <si>
    <t>нет потребности / 02,04,25 в уценку 51кг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</si>
  <si>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Луганска 49кг (забыли паллет) / 09,01,25 списание 27кг (плесень)</t>
    </r>
  </si>
  <si>
    <t>20,03,25 в уценку 19кг</t>
  </si>
  <si>
    <t>заказ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</si>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</sst>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5" fillId="7" borderId="1" xfId="1" applyNumberFormat="1" applyFont="1" applyFill="1"/>
    <xf numFmtId="164" fontId="5" fillId="0" borderId="1" xfId="1" applyNumberFormat="1" applyFont="1"/>
    <xf numFmtId="164" fontId="1" fillId="0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4.85546875" style="9" customWidth="1"/>
    <col min="8" max="8" width="5" customWidth="1"/>
    <col min="9" max="9" width="12" customWidth="1"/>
    <col min="10" max="11" width="7" customWidth="1"/>
    <col min="12" max="13" width="0.7109375" customWidth="1"/>
    <col min="14" max="17" width="7" customWidth="1"/>
    <col min="18" max="18" width="21" customWidth="1"/>
    <col min="19" max="20" width="5" customWidth="1"/>
    <col min="21" max="30" width="6" customWidth="1"/>
    <col min="31" max="31" width="51.2851562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149</v>
      </c>
      <c r="Q3" s="6" t="s">
        <v>15</v>
      </c>
      <c r="R3" s="6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150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9412.6059999999998</v>
      </c>
      <c r="F5" s="4">
        <f>SUM(F6:F499)</f>
        <v>11123.757000000003</v>
      </c>
      <c r="G5" s="7"/>
      <c r="H5" s="1"/>
      <c r="I5" s="1"/>
      <c r="J5" s="4">
        <f t="shared" ref="J5:Q5" si="0">SUM(J6:J499)</f>
        <v>9954.5300000000025</v>
      </c>
      <c r="K5" s="4">
        <f t="shared" si="0"/>
        <v>-541.92400000000009</v>
      </c>
      <c r="L5" s="4">
        <f t="shared" si="0"/>
        <v>0</v>
      </c>
      <c r="M5" s="4">
        <f t="shared" si="0"/>
        <v>0</v>
      </c>
      <c r="N5" s="4">
        <f t="shared" si="0"/>
        <v>7202.6865399999997</v>
      </c>
      <c r="O5" s="4">
        <f t="shared" si="0"/>
        <v>1882.5211999999997</v>
      </c>
      <c r="P5" s="4">
        <f t="shared" si="0"/>
        <v>2880.6413399999992</v>
      </c>
      <c r="Q5" s="4">
        <f t="shared" si="0"/>
        <v>0</v>
      </c>
      <c r="R5" s="1"/>
      <c r="S5" s="1"/>
      <c r="T5" s="1"/>
      <c r="U5" s="4">
        <f t="shared" ref="U5:AD5" si="1">SUM(U6:U499)</f>
        <v>1879.4088000000002</v>
      </c>
      <c r="V5" s="4">
        <f t="shared" si="1"/>
        <v>1653.8392000000003</v>
      </c>
      <c r="W5" s="4">
        <f t="shared" si="1"/>
        <v>1573.1705999999999</v>
      </c>
      <c r="X5" s="4">
        <f t="shared" si="1"/>
        <v>1597.7781999999997</v>
      </c>
      <c r="Y5" s="4">
        <f t="shared" si="1"/>
        <v>1669.3418000000001</v>
      </c>
      <c r="Z5" s="4">
        <f t="shared" si="1"/>
        <v>1608.9602000000002</v>
      </c>
      <c r="AA5" s="4">
        <f t="shared" si="1"/>
        <v>1623.8684000000003</v>
      </c>
      <c r="AB5" s="4">
        <f t="shared" si="1"/>
        <v>1690.61</v>
      </c>
      <c r="AC5" s="4">
        <f t="shared" si="1"/>
        <v>1712.6226000000004</v>
      </c>
      <c r="AD5" s="4">
        <f t="shared" si="1"/>
        <v>1686.8180000000002</v>
      </c>
      <c r="AE5" s="1"/>
      <c r="AF5" s="4">
        <f>SUM(AF6:AF499)</f>
        <v>2014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174.43700000000001</v>
      </c>
      <c r="D6" s="1">
        <v>86.284000000000006</v>
      </c>
      <c r="E6" s="1">
        <v>90.992999999999995</v>
      </c>
      <c r="F6" s="1">
        <v>160.10599999999999</v>
      </c>
      <c r="G6" s="7">
        <v>1</v>
      </c>
      <c r="H6" s="1">
        <v>50</v>
      </c>
      <c r="I6" s="1" t="s">
        <v>36</v>
      </c>
      <c r="J6" s="1">
        <v>89.9</v>
      </c>
      <c r="K6" s="1">
        <f t="shared" ref="K6:K37" si="2">E6-J6</f>
        <v>1.0929999999999893</v>
      </c>
      <c r="L6" s="1"/>
      <c r="M6" s="1"/>
      <c r="N6" s="1">
        <v>26.971</v>
      </c>
      <c r="O6" s="1">
        <f>E6/5</f>
        <v>18.198599999999999</v>
      </c>
      <c r="P6" s="5">
        <f>11*O6-N6-F6</f>
        <v>13.107599999999991</v>
      </c>
      <c r="Q6" s="5"/>
      <c r="R6" s="1"/>
      <c r="S6" s="1">
        <f>(F6+N6+P6)/O6</f>
        <v>11</v>
      </c>
      <c r="T6" s="1">
        <f>(F6+N6)/O6</f>
        <v>10.279746793709407</v>
      </c>
      <c r="U6" s="1">
        <v>19.121600000000001</v>
      </c>
      <c r="V6" s="1">
        <v>10.3658</v>
      </c>
      <c r="W6" s="1">
        <v>9.6745999999999999</v>
      </c>
      <c r="X6" s="1">
        <v>23.596800000000002</v>
      </c>
      <c r="Y6" s="1">
        <v>23.7376</v>
      </c>
      <c r="Z6" s="1">
        <v>15.42</v>
      </c>
      <c r="AA6" s="1">
        <v>14.901199999999999</v>
      </c>
      <c r="AB6" s="1">
        <v>16.05</v>
      </c>
      <c r="AC6" s="1">
        <v>22.216000000000001</v>
      </c>
      <c r="AD6" s="1">
        <v>26.822800000000001</v>
      </c>
      <c r="AE6" s="1"/>
      <c r="AF6" s="1">
        <f>ROUND(G6*P6,0)</f>
        <v>13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14.964</v>
      </c>
      <c r="D7" s="1">
        <v>150.51599999999999</v>
      </c>
      <c r="E7" s="1">
        <v>24.437999999999999</v>
      </c>
      <c r="F7" s="1">
        <v>138.29400000000001</v>
      </c>
      <c r="G7" s="7">
        <v>1</v>
      </c>
      <c r="H7" s="1">
        <v>45</v>
      </c>
      <c r="I7" s="1" t="s">
        <v>36</v>
      </c>
      <c r="J7" s="1">
        <v>43.55</v>
      </c>
      <c r="K7" s="1">
        <f t="shared" si="2"/>
        <v>-19.111999999999998</v>
      </c>
      <c r="L7" s="1"/>
      <c r="M7" s="1"/>
      <c r="N7" s="1"/>
      <c r="O7" s="1">
        <f t="shared" ref="O7:O70" si="3">E7/5</f>
        <v>4.8875999999999999</v>
      </c>
      <c r="P7" s="5"/>
      <c r="Q7" s="5"/>
      <c r="R7" s="1"/>
      <c r="S7" s="1">
        <f t="shared" ref="S7:S70" si="4">(F7+N7+P7)/O7</f>
        <v>28.294868647188807</v>
      </c>
      <c r="T7" s="1">
        <f t="shared" ref="T7:T70" si="5">(F7+N7)/O7</f>
        <v>28.294868647188807</v>
      </c>
      <c r="U7" s="1">
        <v>3.2704</v>
      </c>
      <c r="V7" s="1">
        <v>12.712</v>
      </c>
      <c r="W7" s="1">
        <v>12.961600000000001</v>
      </c>
      <c r="X7" s="1">
        <v>5.6448</v>
      </c>
      <c r="Y7" s="1">
        <v>6.4615999999999998</v>
      </c>
      <c r="Z7" s="1">
        <v>6.0220000000000002</v>
      </c>
      <c r="AA7" s="1">
        <v>4.6741999999999999</v>
      </c>
      <c r="AB7" s="1">
        <v>9.9971999999999994</v>
      </c>
      <c r="AC7" s="1">
        <v>10.0182</v>
      </c>
      <c r="AD7" s="1">
        <v>8.0830000000000002</v>
      </c>
      <c r="AE7" s="1" t="s">
        <v>38</v>
      </c>
      <c r="AF7" s="1">
        <f t="shared" ref="AF7:AF70" si="6">ROUND(G7*P7,0)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88.828000000000003</v>
      </c>
      <c r="D8" s="1">
        <v>129.566</v>
      </c>
      <c r="E8" s="1">
        <v>96.873999999999995</v>
      </c>
      <c r="F8" s="1">
        <v>117.425</v>
      </c>
      <c r="G8" s="7">
        <v>1</v>
      </c>
      <c r="H8" s="1">
        <v>45</v>
      </c>
      <c r="I8" s="1" t="s">
        <v>36</v>
      </c>
      <c r="J8" s="1">
        <v>91.3</v>
      </c>
      <c r="K8" s="1">
        <f t="shared" si="2"/>
        <v>5.5739999999999981</v>
      </c>
      <c r="L8" s="1"/>
      <c r="M8" s="1"/>
      <c r="N8" s="1">
        <v>72.908800000000028</v>
      </c>
      <c r="O8" s="1">
        <f t="shared" si="3"/>
        <v>19.3748</v>
      </c>
      <c r="P8" s="5">
        <f t="shared" ref="P8:P21" si="7">11*O8-N8-F8</f>
        <v>22.789000000000001</v>
      </c>
      <c r="Q8" s="5"/>
      <c r="R8" s="1"/>
      <c r="S8" s="1">
        <f t="shared" si="4"/>
        <v>11.000000000000002</v>
      </c>
      <c r="T8" s="1">
        <f t="shared" si="5"/>
        <v>9.8237814067758134</v>
      </c>
      <c r="U8" s="1">
        <v>19.3902</v>
      </c>
      <c r="V8" s="1">
        <v>18.181000000000001</v>
      </c>
      <c r="W8" s="1">
        <v>15.996</v>
      </c>
      <c r="X8" s="1">
        <v>13.6038</v>
      </c>
      <c r="Y8" s="1">
        <v>15.9802</v>
      </c>
      <c r="Z8" s="1">
        <v>16.8444</v>
      </c>
      <c r="AA8" s="1">
        <v>14.487</v>
      </c>
      <c r="AB8" s="1">
        <v>13.5244</v>
      </c>
      <c r="AC8" s="1">
        <v>15.400600000000001</v>
      </c>
      <c r="AD8" s="1">
        <v>15.928599999999999</v>
      </c>
      <c r="AE8" s="1"/>
      <c r="AF8" s="1">
        <f t="shared" si="6"/>
        <v>23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78</v>
      </c>
      <c r="D9" s="1">
        <v>288</v>
      </c>
      <c r="E9" s="1">
        <v>93</v>
      </c>
      <c r="F9" s="1">
        <v>265</v>
      </c>
      <c r="G9" s="7">
        <v>0.45</v>
      </c>
      <c r="H9" s="1">
        <v>45</v>
      </c>
      <c r="I9" s="1" t="s">
        <v>36</v>
      </c>
      <c r="J9" s="1">
        <v>122</v>
      </c>
      <c r="K9" s="1">
        <f t="shared" si="2"/>
        <v>-29</v>
      </c>
      <c r="L9" s="1"/>
      <c r="M9" s="1"/>
      <c r="N9" s="1"/>
      <c r="O9" s="1">
        <f t="shared" si="3"/>
        <v>18.600000000000001</v>
      </c>
      <c r="P9" s="5"/>
      <c r="Q9" s="5"/>
      <c r="R9" s="1"/>
      <c r="S9" s="1">
        <f t="shared" si="4"/>
        <v>14.247311827956988</v>
      </c>
      <c r="T9" s="1">
        <f t="shared" si="5"/>
        <v>14.247311827956988</v>
      </c>
      <c r="U9" s="1">
        <v>18.399999999999999</v>
      </c>
      <c r="V9" s="1">
        <v>31.8</v>
      </c>
      <c r="W9" s="1">
        <v>29.4</v>
      </c>
      <c r="X9" s="1">
        <v>10</v>
      </c>
      <c r="Y9" s="1">
        <v>11.6</v>
      </c>
      <c r="Z9" s="1">
        <v>24</v>
      </c>
      <c r="AA9" s="1">
        <v>24.6</v>
      </c>
      <c r="AB9" s="1">
        <v>6.6</v>
      </c>
      <c r="AC9" s="1">
        <v>7.4</v>
      </c>
      <c r="AD9" s="1">
        <v>19.399999999999999</v>
      </c>
      <c r="AE9" s="1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208</v>
      </c>
      <c r="D10" s="1">
        <v>138</v>
      </c>
      <c r="E10" s="1">
        <v>125</v>
      </c>
      <c r="F10" s="1">
        <v>213</v>
      </c>
      <c r="G10" s="7">
        <v>0.45</v>
      </c>
      <c r="H10" s="1">
        <v>45</v>
      </c>
      <c r="I10" s="1" t="s">
        <v>36</v>
      </c>
      <c r="J10" s="1">
        <v>123</v>
      </c>
      <c r="K10" s="1">
        <f t="shared" si="2"/>
        <v>2</v>
      </c>
      <c r="L10" s="1"/>
      <c r="M10" s="1"/>
      <c r="N10" s="1">
        <v>15.00316000000001</v>
      </c>
      <c r="O10" s="1">
        <f t="shared" si="3"/>
        <v>25</v>
      </c>
      <c r="P10" s="5">
        <f t="shared" si="7"/>
        <v>46.996839999999963</v>
      </c>
      <c r="Q10" s="5"/>
      <c r="R10" s="1"/>
      <c r="S10" s="1">
        <f t="shared" si="4"/>
        <v>11</v>
      </c>
      <c r="T10" s="1">
        <f t="shared" si="5"/>
        <v>9.1201264000000002</v>
      </c>
      <c r="U10" s="1">
        <v>24</v>
      </c>
      <c r="V10" s="1">
        <v>30.277200000000001</v>
      </c>
      <c r="W10" s="1">
        <v>28.677199999999999</v>
      </c>
      <c r="X10" s="1">
        <v>1</v>
      </c>
      <c r="Y10" s="1">
        <v>2.8</v>
      </c>
      <c r="Z10" s="1">
        <v>35.4</v>
      </c>
      <c r="AA10" s="1">
        <v>35.4</v>
      </c>
      <c r="AB10" s="1">
        <v>14.4</v>
      </c>
      <c r="AC10" s="1">
        <v>14.2</v>
      </c>
      <c r="AD10" s="1">
        <v>22.8</v>
      </c>
      <c r="AE10" s="1"/>
      <c r="AF10" s="1">
        <f t="shared" si="6"/>
        <v>21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41</v>
      </c>
      <c r="C11" s="1">
        <v>45</v>
      </c>
      <c r="D11" s="1">
        <v>45</v>
      </c>
      <c r="E11" s="1">
        <v>43</v>
      </c>
      <c r="F11" s="1">
        <v>45</v>
      </c>
      <c r="G11" s="7">
        <v>0.17</v>
      </c>
      <c r="H11" s="1">
        <v>180</v>
      </c>
      <c r="I11" s="1" t="s">
        <v>36</v>
      </c>
      <c r="J11" s="1">
        <v>43</v>
      </c>
      <c r="K11" s="1">
        <f t="shared" si="2"/>
        <v>0</v>
      </c>
      <c r="L11" s="1"/>
      <c r="M11" s="1"/>
      <c r="N11" s="1">
        <v>9</v>
      </c>
      <c r="O11" s="1">
        <f t="shared" si="3"/>
        <v>8.6</v>
      </c>
      <c r="P11" s="5">
        <f t="shared" si="7"/>
        <v>40.599999999999994</v>
      </c>
      <c r="Q11" s="5"/>
      <c r="R11" s="1"/>
      <c r="S11" s="1">
        <f t="shared" si="4"/>
        <v>11</v>
      </c>
      <c r="T11" s="1">
        <f t="shared" si="5"/>
        <v>6.279069767441861</v>
      </c>
      <c r="U11" s="1">
        <v>6.6</v>
      </c>
      <c r="V11" s="1">
        <v>3</v>
      </c>
      <c r="W11" s="1">
        <v>2.8</v>
      </c>
      <c r="X11" s="1">
        <v>6</v>
      </c>
      <c r="Y11" s="1">
        <v>6.4</v>
      </c>
      <c r="Z11" s="1">
        <v>4.4000000000000004</v>
      </c>
      <c r="AA11" s="1">
        <v>4.4000000000000004</v>
      </c>
      <c r="AB11" s="1">
        <v>1.6</v>
      </c>
      <c r="AC11" s="1">
        <v>1</v>
      </c>
      <c r="AD11" s="1">
        <v>0.8</v>
      </c>
      <c r="AE11" s="1"/>
      <c r="AF11" s="1">
        <f t="shared" si="6"/>
        <v>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41</v>
      </c>
      <c r="C12" s="1"/>
      <c r="D12" s="1">
        <v>36</v>
      </c>
      <c r="E12" s="1">
        <v>30</v>
      </c>
      <c r="F12" s="1">
        <v>5</v>
      </c>
      <c r="G12" s="7">
        <v>0.3</v>
      </c>
      <c r="H12" s="1">
        <v>40</v>
      </c>
      <c r="I12" s="1" t="s">
        <v>36</v>
      </c>
      <c r="J12" s="1">
        <v>28</v>
      </c>
      <c r="K12" s="1">
        <f t="shared" si="2"/>
        <v>2</v>
      </c>
      <c r="L12" s="1"/>
      <c r="M12" s="1"/>
      <c r="N12" s="1">
        <v>34</v>
      </c>
      <c r="O12" s="1">
        <f t="shared" si="3"/>
        <v>6</v>
      </c>
      <c r="P12" s="5">
        <f t="shared" si="7"/>
        <v>27</v>
      </c>
      <c r="Q12" s="5"/>
      <c r="R12" s="1"/>
      <c r="S12" s="1">
        <f t="shared" si="4"/>
        <v>11</v>
      </c>
      <c r="T12" s="1">
        <f t="shared" si="5"/>
        <v>6.5</v>
      </c>
      <c r="U12" s="1">
        <v>4.5999999999999996</v>
      </c>
      <c r="V12" s="1">
        <v>3</v>
      </c>
      <c r="W12" s="1">
        <v>3.8</v>
      </c>
      <c r="X12" s="1">
        <v>2</v>
      </c>
      <c r="Y12" s="1">
        <v>1.8</v>
      </c>
      <c r="Z12" s="1">
        <v>1.8</v>
      </c>
      <c r="AA12" s="1">
        <v>2.6</v>
      </c>
      <c r="AB12" s="1">
        <v>1.4</v>
      </c>
      <c r="AC12" s="1">
        <v>0</v>
      </c>
      <c r="AD12" s="1">
        <v>4</v>
      </c>
      <c r="AE12" s="1"/>
      <c r="AF12" s="1">
        <f t="shared" si="6"/>
        <v>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41</v>
      </c>
      <c r="C13" s="1">
        <v>46</v>
      </c>
      <c r="D13" s="1">
        <v>45</v>
      </c>
      <c r="E13" s="1">
        <v>44</v>
      </c>
      <c r="F13" s="1">
        <v>41</v>
      </c>
      <c r="G13" s="7">
        <v>0.17</v>
      </c>
      <c r="H13" s="1">
        <v>180</v>
      </c>
      <c r="I13" s="1" t="s">
        <v>36</v>
      </c>
      <c r="J13" s="1">
        <v>44</v>
      </c>
      <c r="K13" s="1">
        <f t="shared" si="2"/>
        <v>0</v>
      </c>
      <c r="L13" s="1"/>
      <c r="M13" s="1"/>
      <c r="N13" s="1">
        <v>26.52</v>
      </c>
      <c r="O13" s="1">
        <f t="shared" si="3"/>
        <v>8.8000000000000007</v>
      </c>
      <c r="P13" s="5">
        <f t="shared" si="7"/>
        <v>29.280000000000015</v>
      </c>
      <c r="Q13" s="5"/>
      <c r="R13" s="1"/>
      <c r="S13" s="1">
        <f t="shared" si="4"/>
        <v>11</v>
      </c>
      <c r="T13" s="1">
        <f t="shared" si="5"/>
        <v>7.672727272727272</v>
      </c>
      <c r="U13" s="1">
        <v>7.6</v>
      </c>
      <c r="V13" s="1">
        <v>7.4</v>
      </c>
      <c r="W13" s="1">
        <v>6.4</v>
      </c>
      <c r="X13" s="1">
        <v>5.8</v>
      </c>
      <c r="Y13" s="1">
        <v>6.8</v>
      </c>
      <c r="Z13" s="1">
        <v>5.8</v>
      </c>
      <c r="AA13" s="1">
        <v>5.6</v>
      </c>
      <c r="AB13" s="1">
        <v>4</v>
      </c>
      <c r="AC13" s="1">
        <v>3.2</v>
      </c>
      <c r="AD13" s="1">
        <v>2</v>
      </c>
      <c r="AE13" s="1"/>
      <c r="AF13" s="1">
        <f t="shared" si="6"/>
        <v>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41</v>
      </c>
      <c r="C14" s="1">
        <v>18</v>
      </c>
      <c r="D14" s="1">
        <v>12</v>
      </c>
      <c r="E14" s="1">
        <v>17</v>
      </c>
      <c r="F14" s="1">
        <v>12</v>
      </c>
      <c r="G14" s="7">
        <v>0.35</v>
      </c>
      <c r="H14" s="1">
        <v>50</v>
      </c>
      <c r="I14" s="1" t="s">
        <v>36</v>
      </c>
      <c r="J14" s="1">
        <v>17</v>
      </c>
      <c r="K14" s="1">
        <f t="shared" si="2"/>
        <v>0</v>
      </c>
      <c r="L14" s="1"/>
      <c r="M14" s="1"/>
      <c r="N14" s="1">
        <v>6</v>
      </c>
      <c r="O14" s="1">
        <f t="shared" si="3"/>
        <v>3.4</v>
      </c>
      <c r="P14" s="5">
        <f t="shared" si="7"/>
        <v>19.399999999999999</v>
      </c>
      <c r="Q14" s="5"/>
      <c r="R14" s="1"/>
      <c r="S14" s="1">
        <f t="shared" si="4"/>
        <v>11</v>
      </c>
      <c r="T14" s="1">
        <f t="shared" si="5"/>
        <v>5.2941176470588234</v>
      </c>
      <c r="U14" s="1">
        <v>2.4</v>
      </c>
      <c r="V14" s="1">
        <v>0</v>
      </c>
      <c r="W14" s="1">
        <v>-0.2</v>
      </c>
      <c r="X14" s="1">
        <v>1.8</v>
      </c>
      <c r="Y14" s="1">
        <v>1.8</v>
      </c>
      <c r="Z14" s="1">
        <v>0.6</v>
      </c>
      <c r="AA14" s="1">
        <v>0.6</v>
      </c>
      <c r="AB14" s="1">
        <v>1</v>
      </c>
      <c r="AC14" s="1">
        <v>1.2</v>
      </c>
      <c r="AD14" s="1">
        <v>-0.2</v>
      </c>
      <c r="AE14" s="1"/>
      <c r="AF14" s="1">
        <f t="shared" si="6"/>
        <v>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41</v>
      </c>
      <c r="C15" s="1">
        <v>24</v>
      </c>
      <c r="D15" s="1">
        <v>12</v>
      </c>
      <c r="E15" s="1">
        <v>23</v>
      </c>
      <c r="F15" s="1">
        <v>8</v>
      </c>
      <c r="G15" s="7">
        <v>0.35</v>
      </c>
      <c r="H15" s="1">
        <v>50</v>
      </c>
      <c r="I15" s="1" t="s">
        <v>36</v>
      </c>
      <c r="J15" s="1">
        <v>27</v>
      </c>
      <c r="K15" s="1">
        <f t="shared" si="2"/>
        <v>-4</v>
      </c>
      <c r="L15" s="1"/>
      <c r="M15" s="1"/>
      <c r="N15" s="1">
        <v>19</v>
      </c>
      <c r="O15" s="1">
        <f t="shared" si="3"/>
        <v>4.5999999999999996</v>
      </c>
      <c r="P15" s="5">
        <f t="shared" si="7"/>
        <v>23.599999999999994</v>
      </c>
      <c r="Q15" s="5"/>
      <c r="R15" s="1"/>
      <c r="S15" s="1">
        <f t="shared" si="4"/>
        <v>11</v>
      </c>
      <c r="T15" s="1">
        <f t="shared" si="5"/>
        <v>5.8695652173913047</v>
      </c>
      <c r="U15" s="1">
        <v>3.4</v>
      </c>
      <c r="V15" s="1">
        <v>0.2</v>
      </c>
      <c r="W15" s="1">
        <v>0</v>
      </c>
      <c r="X15" s="1">
        <v>2.8</v>
      </c>
      <c r="Y15" s="1">
        <v>3.2</v>
      </c>
      <c r="Z15" s="1">
        <v>1.4</v>
      </c>
      <c r="AA15" s="1">
        <v>1.4</v>
      </c>
      <c r="AB15" s="1">
        <v>1.6</v>
      </c>
      <c r="AC15" s="1">
        <v>1.8</v>
      </c>
      <c r="AD15" s="1">
        <v>0</v>
      </c>
      <c r="AE15" s="1"/>
      <c r="AF15" s="1">
        <f t="shared" si="6"/>
        <v>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35</v>
      </c>
      <c r="C16" s="1">
        <v>113.438</v>
      </c>
      <c r="D16" s="1">
        <v>85.102999999999994</v>
      </c>
      <c r="E16" s="1">
        <v>111.636</v>
      </c>
      <c r="F16" s="1">
        <v>76.137</v>
      </c>
      <c r="G16" s="7">
        <v>1</v>
      </c>
      <c r="H16" s="1">
        <v>55</v>
      </c>
      <c r="I16" s="1" t="s">
        <v>36</v>
      </c>
      <c r="J16" s="1">
        <v>106.58</v>
      </c>
      <c r="K16" s="1">
        <f t="shared" si="2"/>
        <v>5.0559999999999974</v>
      </c>
      <c r="L16" s="1"/>
      <c r="M16" s="1"/>
      <c r="N16" s="1">
        <v>155.90056000000001</v>
      </c>
      <c r="O16" s="1">
        <f t="shared" si="3"/>
        <v>22.327199999999998</v>
      </c>
      <c r="P16" s="5">
        <f t="shared" si="7"/>
        <v>13.561639999999954</v>
      </c>
      <c r="Q16" s="5"/>
      <c r="R16" s="1"/>
      <c r="S16" s="1">
        <f t="shared" si="4"/>
        <v>11</v>
      </c>
      <c r="T16" s="1">
        <f t="shared" si="5"/>
        <v>10.392595578487228</v>
      </c>
      <c r="U16" s="1">
        <v>23.3566</v>
      </c>
      <c r="V16" s="1">
        <v>16.344000000000001</v>
      </c>
      <c r="W16" s="1">
        <v>16.019200000000001</v>
      </c>
      <c r="X16" s="1">
        <v>23.446000000000002</v>
      </c>
      <c r="Y16" s="1">
        <v>23.438400000000001</v>
      </c>
      <c r="Z16" s="1">
        <v>15.8162</v>
      </c>
      <c r="AA16" s="1">
        <v>17.888200000000001</v>
      </c>
      <c r="AB16" s="1">
        <v>31.4056</v>
      </c>
      <c r="AC16" s="1">
        <v>30.393599999999999</v>
      </c>
      <c r="AD16" s="1">
        <v>19.087399999999999</v>
      </c>
      <c r="AE16" s="1" t="s">
        <v>38</v>
      </c>
      <c r="AF16" s="1">
        <f t="shared" si="6"/>
        <v>14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35</v>
      </c>
      <c r="C17" s="1">
        <v>796.21</v>
      </c>
      <c r="D17" s="1">
        <v>1067.0619999999999</v>
      </c>
      <c r="E17" s="1">
        <v>846.86</v>
      </c>
      <c r="F17" s="1">
        <v>860.74300000000005</v>
      </c>
      <c r="G17" s="7">
        <v>1</v>
      </c>
      <c r="H17" s="1">
        <v>50</v>
      </c>
      <c r="I17" s="1" t="s">
        <v>36</v>
      </c>
      <c r="J17" s="1">
        <v>852.5</v>
      </c>
      <c r="K17" s="1">
        <f t="shared" si="2"/>
        <v>-5.6399999999999864</v>
      </c>
      <c r="L17" s="1"/>
      <c r="M17" s="1"/>
      <c r="N17" s="1">
        <v>786.42212000000018</v>
      </c>
      <c r="O17" s="1">
        <f t="shared" si="3"/>
        <v>169.37200000000001</v>
      </c>
      <c r="P17" s="5">
        <f t="shared" si="7"/>
        <v>215.92687999999987</v>
      </c>
      <c r="Q17" s="5"/>
      <c r="R17" s="1"/>
      <c r="S17" s="1">
        <f t="shared" si="4"/>
        <v>11</v>
      </c>
      <c r="T17" s="1">
        <f t="shared" si="5"/>
        <v>9.7251323713482751</v>
      </c>
      <c r="U17" s="1">
        <v>175.67859999999999</v>
      </c>
      <c r="V17" s="1">
        <v>153.06100000000001</v>
      </c>
      <c r="W17" s="1">
        <v>144.13040000000001</v>
      </c>
      <c r="X17" s="1">
        <v>172.30179999999999</v>
      </c>
      <c r="Y17" s="1">
        <v>188.45939999999999</v>
      </c>
      <c r="Z17" s="1">
        <v>183.7166</v>
      </c>
      <c r="AA17" s="1">
        <v>173.93520000000001</v>
      </c>
      <c r="AB17" s="1">
        <v>193.48179999999999</v>
      </c>
      <c r="AC17" s="1">
        <v>211.0248</v>
      </c>
      <c r="AD17" s="1">
        <v>194.94</v>
      </c>
      <c r="AE17" s="1"/>
      <c r="AF17" s="1">
        <f t="shared" si="6"/>
        <v>216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35</v>
      </c>
      <c r="C18" s="1">
        <v>18.38</v>
      </c>
      <c r="D18" s="1">
        <v>63.180999999999997</v>
      </c>
      <c r="E18" s="1">
        <v>21.956</v>
      </c>
      <c r="F18" s="1">
        <v>56.085000000000001</v>
      </c>
      <c r="G18" s="7">
        <v>1</v>
      </c>
      <c r="H18" s="1">
        <v>60</v>
      </c>
      <c r="I18" s="1" t="s">
        <v>36</v>
      </c>
      <c r="J18" s="1">
        <v>37.6</v>
      </c>
      <c r="K18" s="1">
        <f t="shared" si="2"/>
        <v>-15.644000000000002</v>
      </c>
      <c r="L18" s="1"/>
      <c r="M18" s="1"/>
      <c r="N18" s="1"/>
      <c r="O18" s="1">
        <f t="shared" si="3"/>
        <v>4.3911999999999995</v>
      </c>
      <c r="P18" s="5"/>
      <c r="Q18" s="5"/>
      <c r="R18" s="1"/>
      <c r="S18" s="1">
        <f t="shared" si="4"/>
        <v>12.77213517944981</v>
      </c>
      <c r="T18" s="1">
        <f t="shared" si="5"/>
        <v>12.77213517944981</v>
      </c>
      <c r="U18" s="1">
        <v>4.5648</v>
      </c>
      <c r="V18" s="1">
        <v>6.9997999999999996</v>
      </c>
      <c r="W18" s="1">
        <v>7.5326000000000004</v>
      </c>
      <c r="X18" s="1">
        <v>4.3984000000000014</v>
      </c>
      <c r="Y18" s="1">
        <v>3.6911999999999998</v>
      </c>
      <c r="Z18" s="1">
        <v>6.0591999999999997</v>
      </c>
      <c r="AA18" s="1">
        <v>5.8823999999999996</v>
      </c>
      <c r="AB18" s="1">
        <v>4.5846</v>
      </c>
      <c r="AC18" s="1">
        <v>4.4093999999999998</v>
      </c>
      <c r="AD18" s="1">
        <v>4.1852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51</v>
      </c>
      <c r="B19" s="1" t="s">
        <v>35</v>
      </c>
      <c r="C19" s="1">
        <v>334.25599999999997</v>
      </c>
      <c r="D19" s="1">
        <v>492.37299999999999</v>
      </c>
      <c r="E19" s="1">
        <v>240.988</v>
      </c>
      <c r="F19" s="1">
        <v>492.358</v>
      </c>
      <c r="G19" s="7">
        <v>1</v>
      </c>
      <c r="H19" s="1">
        <v>60</v>
      </c>
      <c r="I19" s="1" t="s">
        <v>36</v>
      </c>
      <c r="J19" s="1">
        <v>242.5</v>
      </c>
      <c r="K19" s="1">
        <f t="shared" si="2"/>
        <v>-1.5120000000000005</v>
      </c>
      <c r="L19" s="1"/>
      <c r="M19" s="1"/>
      <c r="N19" s="1"/>
      <c r="O19" s="1">
        <f t="shared" si="3"/>
        <v>48.197600000000001</v>
      </c>
      <c r="P19" s="5">
        <f t="shared" si="7"/>
        <v>37.815599999999961</v>
      </c>
      <c r="Q19" s="5"/>
      <c r="R19" s="1"/>
      <c r="S19" s="1">
        <f t="shared" si="4"/>
        <v>10.999999999999998</v>
      </c>
      <c r="T19" s="1">
        <f t="shared" si="5"/>
        <v>10.215404916427374</v>
      </c>
      <c r="U19" s="1">
        <v>54.194200000000002</v>
      </c>
      <c r="V19" s="1">
        <v>65.477599999999995</v>
      </c>
      <c r="W19" s="1">
        <v>53.050400000000003</v>
      </c>
      <c r="X19" s="1">
        <v>45.464399999999998</v>
      </c>
      <c r="Y19" s="1">
        <v>59.327399999999997</v>
      </c>
      <c r="Z19" s="1">
        <v>59.666200000000003</v>
      </c>
      <c r="AA19" s="1">
        <v>55.2164</v>
      </c>
      <c r="AB19" s="1">
        <v>69.369399999999999</v>
      </c>
      <c r="AC19" s="1">
        <v>66.881200000000007</v>
      </c>
      <c r="AD19" s="1">
        <v>55.191800000000001</v>
      </c>
      <c r="AE19" s="1"/>
      <c r="AF19" s="1">
        <f t="shared" si="6"/>
        <v>38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52</v>
      </c>
      <c r="B20" s="1" t="s">
        <v>35</v>
      </c>
      <c r="C20" s="1">
        <v>14.074999999999999</v>
      </c>
      <c r="D20" s="1">
        <v>46.819000000000003</v>
      </c>
      <c r="E20" s="1">
        <v>18.221</v>
      </c>
      <c r="F20" s="1">
        <v>39.176000000000002</v>
      </c>
      <c r="G20" s="7">
        <v>1</v>
      </c>
      <c r="H20" s="1">
        <v>60</v>
      </c>
      <c r="I20" s="1" t="s">
        <v>36</v>
      </c>
      <c r="J20" s="1">
        <v>17</v>
      </c>
      <c r="K20" s="1">
        <f t="shared" si="2"/>
        <v>1.2210000000000001</v>
      </c>
      <c r="L20" s="1"/>
      <c r="M20" s="1"/>
      <c r="N20" s="1">
        <v>4</v>
      </c>
      <c r="O20" s="1">
        <f t="shared" si="3"/>
        <v>3.6442000000000001</v>
      </c>
      <c r="P20" s="5"/>
      <c r="Q20" s="5"/>
      <c r="R20" s="1"/>
      <c r="S20" s="1">
        <f t="shared" si="4"/>
        <v>11.847867844794468</v>
      </c>
      <c r="T20" s="1">
        <f t="shared" si="5"/>
        <v>11.847867844794468</v>
      </c>
      <c r="U20" s="1">
        <v>4.0048000000000004</v>
      </c>
      <c r="V20" s="1">
        <v>4.7290000000000001</v>
      </c>
      <c r="W20" s="1">
        <v>4.7194000000000003</v>
      </c>
      <c r="X20" s="1">
        <v>3.8460000000000001</v>
      </c>
      <c r="Y20" s="1">
        <v>3.3323999999999998</v>
      </c>
      <c r="Z20" s="1">
        <v>3.4674</v>
      </c>
      <c r="AA20" s="1">
        <v>4.1676000000000002</v>
      </c>
      <c r="AB20" s="1">
        <v>4.5407999999999999</v>
      </c>
      <c r="AC20" s="1">
        <v>4.1818</v>
      </c>
      <c r="AD20" s="1">
        <v>5.0773999999999999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53</v>
      </c>
      <c r="B21" s="1" t="s">
        <v>35</v>
      </c>
      <c r="C21" s="1">
        <v>173.94</v>
      </c>
      <c r="D21" s="1">
        <v>200.35599999999999</v>
      </c>
      <c r="E21" s="1">
        <v>176.506</v>
      </c>
      <c r="F21" s="1">
        <v>177.90600000000001</v>
      </c>
      <c r="G21" s="7">
        <v>1</v>
      </c>
      <c r="H21" s="1">
        <v>60</v>
      </c>
      <c r="I21" s="1" t="s">
        <v>36</v>
      </c>
      <c r="J21" s="1">
        <v>164.68</v>
      </c>
      <c r="K21" s="1">
        <f t="shared" si="2"/>
        <v>11.825999999999993</v>
      </c>
      <c r="L21" s="1"/>
      <c r="M21" s="1"/>
      <c r="N21" s="1">
        <v>131.46812</v>
      </c>
      <c r="O21" s="1">
        <f t="shared" si="3"/>
        <v>35.301200000000001</v>
      </c>
      <c r="P21" s="5">
        <f t="shared" si="7"/>
        <v>78.93907999999999</v>
      </c>
      <c r="Q21" s="5"/>
      <c r="R21" s="1"/>
      <c r="S21" s="1">
        <f t="shared" si="4"/>
        <v>11</v>
      </c>
      <c r="T21" s="1">
        <f t="shared" si="5"/>
        <v>8.7638414558145321</v>
      </c>
      <c r="U21" s="1">
        <v>33.3964</v>
      </c>
      <c r="V21" s="1">
        <v>28.496400000000001</v>
      </c>
      <c r="W21" s="1">
        <v>27.232399999999998</v>
      </c>
      <c r="X21" s="1">
        <v>28.316400000000002</v>
      </c>
      <c r="Y21" s="1">
        <v>27.435600000000001</v>
      </c>
      <c r="Z21" s="1">
        <v>20.066400000000002</v>
      </c>
      <c r="AA21" s="1">
        <v>24.487400000000001</v>
      </c>
      <c r="AB21" s="1">
        <v>40.804600000000001</v>
      </c>
      <c r="AC21" s="1">
        <v>38.700200000000002</v>
      </c>
      <c r="AD21" s="1">
        <v>26.024000000000001</v>
      </c>
      <c r="AE21" s="1" t="s">
        <v>54</v>
      </c>
      <c r="AF21" s="1">
        <f t="shared" si="6"/>
        <v>79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55</v>
      </c>
      <c r="B22" s="1" t="s">
        <v>35</v>
      </c>
      <c r="C22" s="1">
        <v>63.698999999999998</v>
      </c>
      <c r="D22" s="1">
        <v>189.86500000000001</v>
      </c>
      <c r="E22" s="1">
        <v>68.302000000000007</v>
      </c>
      <c r="F22" s="1">
        <v>166.77600000000001</v>
      </c>
      <c r="G22" s="7">
        <v>1</v>
      </c>
      <c r="H22" s="1">
        <v>60</v>
      </c>
      <c r="I22" s="1" t="s">
        <v>36</v>
      </c>
      <c r="J22" s="1">
        <v>86</v>
      </c>
      <c r="K22" s="1">
        <f t="shared" si="2"/>
        <v>-17.697999999999993</v>
      </c>
      <c r="L22" s="1"/>
      <c r="M22" s="1"/>
      <c r="N22" s="1"/>
      <c r="O22" s="1">
        <f t="shared" si="3"/>
        <v>13.660400000000001</v>
      </c>
      <c r="P22" s="5"/>
      <c r="Q22" s="5"/>
      <c r="R22" s="1"/>
      <c r="S22" s="1">
        <f t="shared" si="4"/>
        <v>12.20872009604404</v>
      </c>
      <c r="T22" s="1">
        <f t="shared" si="5"/>
        <v>12.20872009604404</v>
      </c>
      <c r="U22" s="1">
        <v>15.611599999999999</v>
      </c>
      <c r="V22" s="1">
        <v>19.278199999999998</v>
      </c>
      <c r="W22" s="1">
        <v>16.819600000000001</v>
      </c>
      <c r="X22" s="1">
        <v>11.6084</v>
      </c>
      <c r="Y22" s="1">
        <v>13.004200000000001</v>
      </c>
      <c r="Z22" s="1">
        <v>10.8704</v>
      </c>
      <c r="AA22" s="1">
        <v>9.6408000000000005</v>
      </c>
      <c r="AB22" s="1">
        <v>11.2256</v>
      </c>
      <c r="AC22" s="1">
        <v>12.276</v>
      </c>
      <c r="AD22" s="1">
        <v>11.9278</v>
      </c>
      <c r="AE22" s="1" t="s">
        <v>54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56</v>
      </c>
      <c r="B23" s="1" t="s">
        <v>35</v>
      </c>
      <c r="C23" s="1">
        <v>39.700000000000003</v>
      </c>
      <c r="D23" s="1">
        <v>179.47399999999999</v>
      </c>
      <c r="E23" s="1">
        <v>44.784999999999997</v>
      </c>
      <c r="F23" s="1">
        <v>152.215</v>
      </c>
      <c r="G23" s="7">
        <v>1</v>
      </c>
      <c r="H23" s="1">
        <v>60</v>
      </c>
      <c r="I23" s="1" t="s">
        <v>36</v>
      </c>
      <c r="J23" s="1">
        <v>71.8</v>
      </c>
      <c r="K23" s="1">
        <f t="shared" si="2"/>
        <v>-27.015000000000001</v>
      </c>
      <c r="L23" s="1"/>
      <c r="M23" s="1"/>
      <c r="N23" s="1"/>
      <c r="O23" s="1">
        <f t="shared" si="3"/>
        <v>8.956999999999999</v>
      </c>
      <c r="P23" s="5"/>
      <c r="Q23" s="5"/>
      <c r="R23" s="1"/>
      <c r="S23" s="1">
        <f t="shared" si="4"/>
        <v>16.993971195712852</v>
      </c>
      <c r="T23" s="1">
        <f t="shared" si="5"/>
        <v>16.993971195712852</v>
      </c>
      <c r="U23" s="1">
        <v>10.721</v>
      </c>
      <c r="V23" s="1">
        <v>16.158999999999999</v>
      </c>
      <c r="W23" s="1">
        <v>14.2194</v>
      </c>
      <c r="X23" s="1">
        <v>9.1598000000000006</v>
      </c>
      <c r="Y23" s="1">
        <v>8.4649999999999999</v>
      </c>
      <c r="Z23" s="1">
        <v>10.3796</v>
      </c>
      <c r="AA23" s="1">
        <v>11.602399999999999</v>
      </c>
      <c r="AB23" s="1">
        <v>9.6736000000000004</v>
      </c>
      <c r="AC23" s="1">
        <v>8.9676000000000009</v>
      </c>
      <c r="AD23" s="1">
        <v>11.7746</v>
      </c>
      <c r="AE23" s="1" t="s">
        <v>54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57</v>
      </c>
      <c r="B24" s="1" t="s">
        <v>35</v>
      </c>
      <c r="C24" s="1">
        <v>1.75</v>
      </c>
      <c r="D24" s="1">
        <v>153.00700000000001</v>
      </c>
      <c r="E24" s="1">
        <v>39.557000000000002</v>
      </c>
      <c r="F24" s="1">
        <v>111.699</v>
      </c>
      <c r="G24" s="7">
        <v>1</v>
      </c>
      <c r="H24" s="1">
        <v>60</v>
      </c>
      <c r="I24" s="1" t="s">
        <v>36</v>
      </c>
      <c r="J24" s="1">
        <v>70.400000000000006</v>
      </c>
      <c r="K24" s="1">
        <f t="shared" si="2"/>
        <v>-30.843000000000004</v>
      </c>
      <c r="L24" s="1"/>
      <c r="M24" s="1"/>
      <c r="N24" s="1"/>
      <c r="O24" s="1">
        <f t="shared" si="3"/>
        <v>7.9114000000000004</v>
      </c>
      <c r="P24" s="5"/>
      <c r="Q24" s="5"/>
      <c r="R24" s="1"/>
      <c r="S24" s="1">
        <f t="shared" si="4"/>
        <v>14.118740046009554</v>
      </c>
      <c r="T24" s="1">
        <f t="shared" si="5"/>
        <v>14.118740046009554</v>
      </c>
      <c r="U24" s="1">
        <v>4.2342000000000004</v>
      </c>
      <c r="V24" s="1">
        <v>13.28</v>
      </c>
      <c r="W24" s="1">
        <v>14.3208</v>
      </c>
      <c r="X24" s="1">
        <v>8.5866000000000007</v>
      </c>
      <c r="Y24" s="1">
        <v>9.1120000000000001</v>
      </c>
      <c r="Z24" s="1">
        <v>14.2098</v>
      </c>
      <c r="AA24" s="1">
        <v>14.9038</v>
      </c>
      <c r="AB24" s="1">
        <v>16.504799999999999</v>
      </c>
      <c r="AC24" s="1">
        <v>16.5198</v>
      </c>
      <c r="AD24" s="1">
        <v>12.3154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58</v>
      </c>
      <c r="B25" s="14" t="s">
        <v>35</v>
      </c>
      <c r="C25" s="14"/>
      <c r="D25" s="14"/>
      <c r="E25" s="14"/>
      <c r="F25" s="14"/>
      <c r="G25" s="15">
        <v>0</v>
      </c>
      <c r="H25" s="14">
        <v>30</v>
      </c>
      <c r="I25" s="14" t="s">
        <v>36</v>
      </c>
      <c r="J25" s="14"/>
      <c r="K25" s="14">
        <f t="shared" si="2"/>
        <v>0</v>
      </c>
      <c r="L25" s="14"/>
      <c r="M25" s="14"/>
      <c r="N25" s="14"/>
      <c r="O25" s="14">
        <f t="shared" si="3"/>
        <v>0</v>
      </c>
      <c r="P25" s="16"/>
      <c r="Q25" s="16"/>
      <c r="R25" s="14"/>
      <c r="S25" s="14" t="e">
        <f t="shared" si="4"/>
        <v>#DIV/0!</v>
      </c>
      <c r="T25" s="14" t="e">
        <f t="shared" si="5"/>
        <v>#DIV/0!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 t="s">
        <v>59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35</v>
      </c>
      <c r="C26" s="1">
        <v>113.289</v>
      </c>
      <c r="D26" s="1">
        <v>46.642000000000003</v>
      </c>
      <c r="E26" s="1">
        <v>74.167000000000002</v>
      </c>
      <c r="F26" s="1">
        <v>72.616</v>
      </c>
      <c r="G26" s="7">
        <v>1</v>
      </c>
      <c r="H26" s="1">
        <v>30</v>
      </c>
      <c r="I26" s="1" t="s">
        <v>36</v>
      </c>
      <c r="J26" s="1">
        <v>67.5</v>
      </c>
      <c r="K26" s="1">
        <f t="shared" si="2"/>
        <v>6.6670000000000016</v>
      </c>
      <c r="L26" s="1"/>
      <c r="M26" s="1"/>
      <c r="N26" s="1">
        <v>90.566999999999979</v>
      </c>
      <c r="O26" s="1">
        <f t="shared" si="3"/>
        <v>14.833400000000001</v>
      </c>
      <c r="P26" s="5"/>
      <c r="Q26" s="5"/>
      <c r="R26" s="1"/>
      <c r="S26" s="1">
        <f t="shared" si="4"/>
        <v>11.001051680666603</v>
      </c>
      <c r="T26" s="1">
        <f t="shared" si="5"/>
        <v>11.001051680666603</v>
      </c>
      <c r="U26" s="1">
        <v>16.6068</v>
      </c>
      <c r="V26" s="1">
        <v>10.8726</v>
      </c>
      <c r="W26" s="1">
        <v>11.959</v>
      </c>
      <c r="X26" s="1">
        <v>18.962399999999999</v>
      </c>
      <c r="Y26" s="1">
        <v>17.425000000000001</v>
      </c>
      <c r="Z26" s="1">
        <v>9.1257999999999999</v>
      </c>
      <c r="AA26" s="1">
        <v>9.4163999999999994</v>
      </c>
      <c r="AB26" s="1">
        <v>14.6172</v>
      </c>
      <c r="AC26" s="1">
        <v>14.907</v>
      </c>
      <c r="AD26" s="1">
        <v>15.1394</v>
      </c>
      <c r="AE26" s="1"/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35</v>
      </c>
      <c r="C27" s="1">
        <v>103.51300000000001</v>
      </c>
      <c r="D27" s="1">
        <v>151.76599999999999</v>
      </c>
      <c r="E27" s="1">
        <v>98.963999999999999</v>
      </c>
      <c r="F27" s="1">
        <v>123.753</v>
      </c>
      <c r="G27" s="7">
        <v>1</v>
      </c>
      <c r="H27" s="1">
        <v>30</v>
      </c>
      <c r="I27" s="1" t="s">
        <v>36</v>
      </c>
      <c r="J27" s="1">
        <v>117.3</v>
      </c>
      <c r="K27" s="1">
        <f t="shared" si="2"/>
        <v>-18.335999999999999</v>
      </c>
      <c r="L27" s="1"/>
      <c r="M27" s="1"/>
      <c r="N27" s="1">
        <v>95.106140000000025</v>
      </c>
      <c r="O27" s="1">
        <f t="shared" si="3"/>
        <v>19.7928</v>
      </c>
      <c r="P27" s="5"/>
      <c r="Q27" s="5"/>
      <c r="R27" s="1"/>
      <c r="S27" s="1">
        <f t="shared" si="4"/>
        <v>11.057512832949357</v>
      </c>
      <c r="T27" s="1">
        <f t="shared" si="5"/>
        <v>11.057512832949357</v>
      </c>
      <c r="U27" s="1">
        <v>22.104399999999998</v>
      </c>
      <c r="V27" s="1">
        <v>20.359400000000001</v>
      </c>
      <c r="W27" s="1">
        <v>17.691800000000001</v>
      </c>
      <c r="X27" s="1">
        <v>16.110800000000001</v>
      </c>
      <c r="Y27" s="1">
        <v>17.9984</v>
      </c>
      <c r="Z27" s="1">
        <v>15.916</v>
      </c>
      <c r="AA27" s="1">
        <v>15.156599999999999</v>
      </c>
      <c r="AB27" s="1">
        <v>11.641400000000001</v>
      </c>
      <c r="AC27" s="1">
        <v>11.7454</v>
      </c>
      <c r="AD27" s="1">
        <v>19.238</v>
      </c>
      <c r="AE27" s="1"/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62</v>
      </c>
      <c r="B28" s="14" t="s">
        <v>35</v>
      </c>
      <c r="C28" s="14"/>
      <c r="D28" s="14"/>
      <c r="E28" s="14"/>
      <c r="F28" s="14"/>
      <c r="G28" s="15">
        <v>0</v>
      </c>
      <c r="H28" s="14">
        <v>45</v>
      </c>
      <c r="I28" s="14" t="s">
        <v>36</v>
      </c>
      <c r="J28" s="14"/>
      <c r="K28" s="14">
        <f t="shared" si="2"/>
        <v>0</v>
      </c>
      <c r="L28" s="14"/>
      <c r="M28" s="14"/>
      <c r="N28" s="14"/>
      <c r="O28" s="14">
        <f t="shared" si="3"/>
        <v>0</v>
      </c>
      <c r="P28" s="16"/>
      <c r="Q28" s="16"/>
      <c r="R28" s="14"/>
      <c r="S28" s="14" t="e">
        <f t="shared" si="4"/>
        <v>#DIV/0!</v>
      </c>
      <c r="T28" s="14" t="e">
        <f t="shared" si="5"/>
        <v>#DIV/0!</v>
      </c>
      <c r="U28" s="14">
        <v>0</v>
      </c>
      <c r="V28" s="14">
        <v>1.629</v>
      </c>
      <c r="W28" s="14">
        <v>1.629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59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35</v>
      </c>
      <c r="C29" s="1">
        <v>93.706000000000003</v>
      </c>
      <c r="D29" s="1">
        <v>45.792000000000002</v>
      </c>
      <c r="E29" s="1">
        <v>44.338000000000001</v>
      </c>
      <c r="F29" s="1">
        <v>76.84</v>
      </c>
      <c r="G29" s="7">
        <v>1</v>
      </c>
      <c r="H29" s="1">
        <v>40</v>
      </c>
      <c r="I29" s="1" t="s">
        <v>36</v>
      </c>
      <c r="J29" s="1">
        <v>38.5</v>
      </c>
      <c r="K29" s="1">
        <f t="shared" si="2"/>
        <v>5.838000000000001</v>
      </c>
      <c r="L29" s="1"/>
      <c r="M29" s="1"/>
      <c r="N29" s="1">
        <v>37.450000000000003</v>
      </c>
      <c r="O29" s="1">
        <f t="shared" si="3"/>
        <v>8.8675999999999995</v>
      </c>
      <c r="P29" s="5"/>
      <c r="Q29" s="5"/>
      <c r="R29" s="1"/>
      <c r="S29" s="1">
        <f t="shared" si="4"/>
        <v>12.888492940592721</v>
      </c>
      <c r="T29" s="1">
        <f t="shared" si="5"/>
        <v>12.888492940592721</v>
      </c>
      <c r="U29" s="1">
        <v>11.724399999999999</v>
      </c>
      <c r="V29" s="1">
        <v>4.9753999999999996</v>
      </c>
      <c r="W29" s="1">
        <v>1.7605999999999999</v>
      </c>
      <c r="X29" s="1">
        <v>10.909599999999999</v>
      </c>
      <c r="Y29" s="1">
        <v>12.910399999999999</v>
      </c>
      <c r="Z29" s="1">
        <v>4.1392000000000007</v>
      </c>
      <c r="AA29" s="1">
        <v>3.7216</v>
      </c>
      <c r="AB29" s="1">
        <v>6.5962000000000014</v>
      </c>
      <c r="AC29" s="1">
        <v>5.2873999999999999</v>
      </c>
      <c r="AD29" s="1">
        <v>8.1159999999999997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35</v>
      </c>
      <c r="C30" s="1">
        <v>1.3360000000000001</v>
      </c>
      <c r="D30" s="1">
        <v>17.399999999999999</v>
      </c>
      <c r="E30" s="1">
        <v>8.0449999999999999</v>
      </c>
      <c r="F30" s="1">
        <v>8.5239999999999991</v>
      </c>
      <c r="G30" s="7">
        <v>1</v>
      </c>
      <c r="H30" s="1">
        <v>30</v>
      </c>
      <c r="I30" s="1" t="s">
        <v>36</v>
      </c>
      <c r="J30" s="1">
        <v>10.5</v>
      </c>
      <c r="K30" s="1">
        <f t="shared" si="2"/>
        <v>-2.4550000000000001</v>
      </c>
      <c r="L30" s="1"/>
      <c r="M30" s="1"/>
      <c r="N30" s="1"/>
      <c r="O30" s="1">
        <f t="shared" si="3"/>
        <v>1.609</v>
      </c>
      <c r="P30" s="5">
        <f t="shared" ref="P30:P50" si="8">11*O30-N30-F30</f>
        <v>9.1749999999999989</v>
      </c>
      <c r="Q30" s="5"/>
      <c r="R30" s="1"/>
      <c r="S30" s="1">
        <f t="shared" si="4"/>
        <v>10.999999999999998</v>
      </c>
      <c r="T30" s="1">
        <f t="shared" si="5"/>
        <v>5.2977004350528274</v>
      </c>
      <c r="U30" s="1">
        <v>-9.6599999999999991E-2</v>
      </c>
      <c r="V30" s="1">
        <v>1.2172000000000001</v>
      </c>
      <c r="W30" s="1">
        <v>3.1541999999999999</v>
      </c>
      <c r="X30" s="1">
        <v>2.6663999999999999</v>
      </c>
      <c r="Y30" s="1">
        <v>0.97460000000000002</v>
      </c>
      <c r="Z30" s="1">
        <v>-1.3874</v>
      </c>
      <c r="AA30" s="1">
        <v>0.50780000000000003</v>
      </c>
      <c r="AB30" s="1">
        <v>-0.02</v>
      </c>
      <c r="AC30" s="1">
        <v>-1.9152</v>
      </c>
      <c r="AD30" s="1">
        <v>2.7717999999999998</v>
      </c>
      <c r="AE30" s="20" t="s">
        <v>148</v>
      </c>
      <c r="AF30" s="1">
        <f t="shared" si="6"/>
        <v>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35</v>
      </c>
      <c r="C31" s="1">
        <v>91.200999999999993</v>
      </c>
      <c r="D31" s="1">
        <v>124.91500000000001</v>
      </c>
      <c r="E31" s="1">
        <v>98.39</v>
      </c>
      <c r="F31" s="1">
        <v>99.59</v>
      </c>
      <c r="G31" s="7">
        <v>1</v>
      </c>
      <c r="H31" s="1">
        <v>50</v>
      </c>
      <c r="I31" s="1" t="s">
        <v>36</v>
      </c>
      <c r="J31" s="1">
        <v>91.4</v>
      </c>
      <c r="K31" s="1">
        <f t="shared" si="2"/>
        <v>6.9899999999999949</v>
      </c>
      <c r="L31" s="1"/>
      <c r="M31" s="1"/>
      <c r="N31" s="1">
        <v>61.654840000000057</v>
      </c>
      <c r="O31" s="1">
        <f t="shared" si="3"/>
        <v>19.678000000000001</v>
      </c>
      <c r="P31" s="5">
        <f t="shared" si="8"/>
        <v>55.213159999999931</v>
      </c>
      <c r="Q31" s="5"/>
      <c r="R31" s="1"/>
      <c r="S31" s="1">
        <f t="shared" si="4"/>
        <v>11</v>
      </c>
      <c r="T31" s="1">
        <f t="shared" si="5"/>
        <v>8.1941681065148924</v>
      </c>
      <c r="U31" s="1">
        <v>17.522200000000002</v>
      </c>
      <c r="V31" s="1">
        <v>17.851199999999999</v>
      </c>
      <c r="W31" s="1">
        <v>19.306799999999999</v>
      </c>
      <c r="X31" s="1">
        <v>19.137799999999999</v>
      </c>
      <c r="Y31" s="1">
        <v>19.3108</v>
      </c>
      <c r="Z31" s="1">
        <v>17.198599999999999</v>
      </c>
      <c r="AA31" s="1">
        <v>19.206199999999999</v>
      </c>
      <c r="AB31" s="1">
        <v>24.776199999999999</v>
      </c>
      <c r="AC31" s="1">
        <v>21.880800000000001</v>
      </c>
      <c r="AD31" s="1">
        <v>22.647200000000002</v>
      </c>
      <c r="AE31" s="1"/>
      <c r="AF31" s="1">
        <f t="shared" si="6"/>
        <v>55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35</v>
      </c>
      <c r="C32" s="1">
        <v>59.051000000000002</v>
      </c>
      <c r="D32" s="1">
        <v>104.664</v>
      </c>
      <c r="E32" s="1">
        <v>47.271000000000001</v>
      </c>
      <c r="F32" s="1">
        <v>94.17</v>
      </c>
      <c r="G32" s="7">
        <v>1</v>
      </c>
      <c r="H32" s="1">
        <v>50</v>
      </c>
      <c r="I32" s="1" t="s">
        <v>36</v>
      </c>
      <c r="J32" s="1">
        <v>38.1</v>
      </c>
      <c r="K32" s="1">
        <f t="shared" si="2"/>
        <v>9.1709999999999994</v>
      </c>
      <c r="L32" s="1"/>
      <c r="M32" s="1"/>
      <c r="N32" s="1">
        <v>5.9194399999999803</v>
      </c>
      <c r="O32" s="1">
        <f t="shared" si="3"/>
        <v>9.4542000000000002</v>
      </c>
      <c r="P32" s="5">
        <f t="shared" si="8"/>
        <v>3.9067600000000198</v>
      </c>
      <c r="Q32" s="5"/>
      <c r="R32" s="1"/>
      <c r="S32" s="1">
        <f t="shared" si="4"/>
        <v>11</v>
      </c>
      <c r="T32" s="1">
        <f t="shared" si="5"/>
        <v>10.586769901207926</v>
      </c>
      <c r="U32" s="1">
        <v>11.1218</v>
      </c>
      <c r="V32" s="1">
        <v>12.4018</v>
      </c>
      <c r="W32" s="1">
        <v>9.7908000000000008</v>
      </c>
      <c r="X32" s="1">
        <v>9.1096000000000004</v>
      </c>
      <c r="Y32" s="1">
        <v>10.4512</v>
      </c>
      <c r="Z32" s="1">
        <v>11.8658</v>
      </c>
      <c r="AA32" s="1">
        <v>9.9860000000000007</v>
      </c>
      <c r="AB32" s="1">
        <v>12.8728</v>
      </c>
      <c r="AC32" s="1">
        <v>14.1358</v>
      </c>
      <c r="AD32" s="1">
        <v>13.7418</v>
      </c>
      <c r="AE32" s="1"/>
      <c r="AF32" s="1">
        <f t="shared" si="6"/>
        <v>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41</v>
      </c>
      <c r="C33" s="1">
        <v>374</v>
      </c>
      <c r="D33" s="1">
        <v>576</v>
      </c>
      <c r="E33" s="1">
        <v>410</v>
      </c>
      <c r="F33" s="1">
        <v>473</v>
      </c>
      <c r="G33" s="7">
        <v>0.4</v>
      </c>
      <c r="H33" s="1">
        <v>45</v>
      </c>
      <c r="I33" s="1" t="s">
        <v>36</v>
      </c>
      <c r="J33" s="1">
        <v>415</v>
      </c>
      <c r="K33" s="1">
        <f t="shared" si="2"/>
        <v>-5</v>
      </c>
      <c r="L33" s="1"/>
      <c r="M33" s="1"/>
      <c r="N33" s="1">
        <v>272.12000000000012</v>
      </c>
      <c r="O33" s="1">
        <f t="shared" si="3"/>
        <v>82</v>
      </c>
      <c r="P33" s="5">
        <f t="shared" si="8"/>
        <v>156.87999999999988</v>
      </c>
      <c r="Q33" s="5"/>
      <c r="R33" s="1"/>
      <c r="S33" s="1">
        <f t="shared" si="4"/>
        <v>11</v>
      </c>
      <c r="T33" s="1">
        <f t="shared" si="5"/>
        <v>9.0868292682926839</v>
      </c>
      <c r="U33" s="1">
        <v>80.8</v>
      </c>
      <c r="V33" s="1">
        <v>80.2</v>
      </c>
      <c r="W33" s="1">
        <v>78.400000000000006</v>
      </c>
      <c r="X33" s="1">
        <v>68.400000000000006</v>
      </c>
      <c r="Y33" s="1">
        <v>76.599999999999994</v>
      </c>
      <c r="Z33" s="1">
        <v>77.2</v>
      </c>
      <c r="AA33" s="1">
        <v>70.599999999999994</v>
      </c>
      <c r="AB33" s="1">
        <v>67.599999999999994</v>
      </c>
      <c r="AC33" s="1">
        <v>67.2</v>
      </c>
      <c r="AD33" s="1">
        <v>61.4</v>
      </c>
      <c r="AE33" s="1"/>
      <c r="AF33" s="1">
        <f t="shared" si="6"/>
        <v>63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68</v>
      </c>
      <c r="B34" s="1" t="s">
        <v>41</v>
      </c>
      <c r="C34" s="1">
        <v>92</v>
      </c>
      <c r="D34" s="1">
        <v>81</v>
      </c>
      <c r="E34" s="1">
        <v>94</v>
      </c>
      <c r="F34" s="1">
        <v>71</v>
      </c>
      <c r="G34" s="7">
        <v>0.45</v>
      </c>
      <c r="H34" s="1">
        <v>50</v>
      </c>
      <c r="I34" s="1" t="s">
        <v>36</v>
      </c>
      <c r="J34" s="1">
        <v>91</v>
      </c>
      <c r="K34" s="1">
        <f t="shared" si="2"/>
        <v>3</v>
      </c>
      <c r="L34" s="1"/>
      <c r="M34" s="1"/>
      <c r="N34" s="1">
        <v>105.3</v>
      </c>
      <c r="O34" s="1">
        <f t="shared" si="3"/>
        <v>18.8</v>
      </c>
      <c r="P34" s="5">
        <f t="shared" si="8"/>
        <v>30.500000000000014</v>
      </c>
      <c r="Q34" s="5"/>
      <c r="R34" s="1"/>
      <c r="S34" s="1">
        <f t="shared" si="4"/>
        <v>11</v>
      </c>
      <c r="T34" s="1">
        <f t="shared" si="5"/>
        <v>9.3776595744680851</v>
      </c>
      <c r="U34" s="1">
        <v>18</v>
      </c>
      <c r="V34" s="1">
        <v>13.6</v>
      </c>
      <c r="W34" s="1">
        <v>13</v>
      </c>
      <c r="X34" s="1">
        <v>12</v>
      </c>
      <c r="Y34" s="1">
        <v>12.8</v>
      </c>
      <c r="Z34" s="1">
        <v>19</v>
      </c>
      <c r="AA34" s="1">
        <v>21.6</v>
      </c>
      <c r="AB34" s="1">
        <v>21</v>
      </c>
      <c r="AC34" s="1">
        <v>18.8</v>
      </c>
      <c r="AD34" s="1">
        <v>22</v>
      </c>
      <c r="AE34" s="1"/>
      <c r="AF34" s="1">
        <f t="shared" si="6"/>
        <v>14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69</v>
      </c>
      <c r="B35" s="1" t="s">
        <v>41</v>
      </c>
      <c r="C35" s="1">
        <v>370</v>
      </c>
      <c r="D35" s="1">
        <v>394</v>
      </c>
      <c r="E35" s="1">
        <v>395</v>
      </c>
      <c r="F35" s="1">
        <v>308</v>
      </c>
      <c r="G35" s="7">
        <v>0.4</v>
      </c>
      <c r="H35" s="1">
        <v>45</v>
      </c>
      <c r="I35" s="1" t="s">
        <v>36</v>
      </c>
      <c r="J35" s="1">
        <v>406</v>
      </c>
      <c r="K35" s="1">
        <f t="shared" si="2"/>
        <v>-11</v>
      </c>
      <c r="L35" s="1"/>
      <c r="M35" s="1"/>
      <c r="N35" s="1">
        <v>403.88000000000011</v>
      </c>
      <c r="O35" s="1">
        <f t="shared" si="3"/>
        <v>79</v>
      </c>
      <c r="P35" s="5">
        <f t="shared" si="8"/>
        <v>157.11999999999989</v>
      </c>
      <c r="Q35" s="5"/>
      <c r="R35" s="1"/>
      <c r="S35" s="1">
        <f t="shared" si="4"/>
        <v>11</v>
      </c>
      <c r="T35" s="1">
        <f t="shared" si="5"/>
        <v>9.0111392405063313</v>
      </c>
      <c r="U35" s="1">
        <v>77.2</v>
      </c>
      <c r="V35" s="1">
        <v>73</v>
      </c>
      <c r="W35" s="1">
        <v>69.599999999999994</v>
      </c>
      <c r="X35" s="1">
        <v>70.400000000000006</v>
      </c>
      <c r="Y35" s="1">
        <v>70.8</v>
      </c>
      <c r="Z35" s="1">
        <v>66</v>
      </c>
      <c r="AA35" s="1">
        <v>70</v>
      </c>
      <c r="AB35" s="1">
        <v>76.599999999999994</v>
      </c>
      <c r="AC35" s="1">
        <v>71.400000000000006</v>
      </c>
      <c r="AD35" s="1">
        <v>65</v>
      </c>
      <c r="AE35" s="1"/>
      <c r="AF35" s="1">
        <f t="shared" si="6"/>
        <v>63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70</v>
      </c>
      <c r="B36" s="1" t="s">
        <v>35</v>
      </c>
      <c r="C36" s="1">
        <v>37.261000000000003</v>
      </c>
      <c r="D36" s="1">
        <v>68.912000000000006</v>
      </c>
      <c r="E36" s="1">
        <v>29.42</v>
      </c>
      <c r="F36" s="1">
        <v>49.76</v>
      </c>
      <c r="G36" s="7">
        <v>1</v>
      </c>
      <c r="H36" s="1">
        <v>45</v>
      </c>
      <c r="I36" s="1" t="s">
        <v>36</v>
      </c>
      <c r="J36" s="1">
        <v>32.700000000000003</v>
      </c>
      <c r="K36" s="1">
        <f t="shared" si="2"/>
        <v>-3.2800000000000011</v>
      </c>
      <c r="L36" s="1"/>
      <c r="M36" s="1"/>
      <c r="N36" s="1"/>
      <c r="O36" s="1">
        <f t="shared" si="3"/>
        <v>5.8840000000000003</v>
      </c>
      <c r="P36" s="5">
        <f t="shared" si="8"/>
        <v>14.964000000000006</v>
      </c>
      <c r="Q36" s="5"/>
      <c r="R36" s="1"/>
      <c r="S36" s="1">
        <f t="shared" si="4"/>
        <v>11</v>
      </c>
      <c r="T36" s="1">
        <f t="shared" si="5"/>
        <v>8.4568320870156342</v>
      </c>
      <c r="U36" s="1">
        <v>6.3213999999999997</v>
      </c>
      <c r="V36" s="1">
        <v>6.8825999999999992</v>
      </c>
      <c r="W36" s="1">
        <v>3.3488000000000002</v>
      </c>
      <c r="X36" s="1">
        <v>5.1319999999999997</v>
      </c>
      <c r="Y36" s="1">
        <v>5.2496</v>
      </c>
      <c r="Z36" s="1">
        <v>4.2872000000000003</v>
      </c>
      <c r="AA36" s="1">
        <v>5.3887999999999998</v>
      </c>
      <c r="AB36" s="1">
        <v>5.3932000000000002</v>
      </c>
      <c r="AC36" s="1">
        <v>4.8428000000000004</v>
      </c>
      <c r="AD36" s="1">
        <v>7.2876000000000003</v>
      </c>
      <c r="AE36" s="1"/>
      <c r="AF36" s="1">
        <f t="shared" si="6"/>
        <v>15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71</v>
      </c>
      <c r="B37" s="1" t="s">
        <v>41</v>
      </c>
      <c r="C37" s="1">
        <v>32</v>
      </c>
      <c r="D37" s="1">
        <v>53</v>
      </c>
      <c r="E37" s="1">
        <v>25</v>
      </c>
      <c r="F37" s="1">
        <v>53</v>
      </c>
      <c r="G37" s="7">
        <v>0.45</v>
      </c>
      <c r="H37" s="1">
        <v>45</v>
      </c>
      <c r="I37" s="1" t="s">
        <v>36</v>
      </c>
      <c r="J37" s="1">
        <v>30</v>
      </c>
      <c r="K37" s="1">
        <f t="shared" si="2"/>
        <v>-5</v>
      </c>
      <c r="L37" s="1"/>
      <c r="M37" s="1"/>
      <c r="N37" s="1"/>
      <c r="O37" s="1">
        <f t="shared" si="3"/>
        <v>5</v>
      </c>
      <c r="P37" s="5"/>
      <c r="Q37" s="5"/>
      <c r="R37" s="1"/>
      <c r="S37" s="1">
        <f t="shared" si="4"/>
        <v>10.6</v>
      </c>
      <c r="T37" s="1">
        <f t="shared" si="5"/>
        <v>10.6</v>
      </c>
      <c r="U37" s="1">
        <v>2.6</v>
      </c>
      <c r="V37" s="1">
        <v>6</v>
      </c>
      <c r="W37" s="1">
        <v>7.4</v>
      </c>
      <c r="X37" s="1">
        <v>8</v>
      </c>
      <c r="Y37" s="1">
        <v>6.2</v>
      </c>
      <c r="Z37" s="1">
        <v>4.4000000000000004</v>
      </c>
      <c r="AA37" s="1">
        <v>6.6</v>
      </c>
      <c r="AB37" s="1">
        <v>6.2</v>
      </c>
      <c r="AC37" s="1">
        <v>5.2</v>
      </c>
      <c r="AD37" s="1">
        <v>4.2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72</v>
      </c>
      <c r="B38" s="1" t="s">
        <v>41</v>
      </c>
      <c r="C38" s="1">
        <v>3</v>
      </c>
      <c r="D38" s="1">
        <v>288</v>
      </c>
      <c r="E38" s="1">
        <v>17</v>
      </c>
      <c r="F38" s="1">
        <v>264</v>
      </c>
      <c r="G38" s="7">
        <v>0.35</v>
      </c>
      <c r="H38" s="1">
        <v>40</v>
      </c>
      <c r="I38" s="1" t="s">
        <v>36</v>
      </c>
      <c r="J38" s="1">
        <v>41</v>
      </c>
      <c r="K38" s="1">
        <f t="shared" ref="K38:K69" si="9">E38-J38</f>
        <v>-24</v>
      </c>
      <c r="L38" s="1"/>
      <c r="M38" s="1"/>
      <c r="N38" s="1"/>
      <c r="O38" s="1">
        <f t="shared" si="3"/>
        <v>3.4</v>
      </c>
      <c r="P38" s="5"/>
      <c r="Q38" s="5"/>
      <c r="R38" s="1"/>
      <c r="S38" s="1">
        <f t="shared" si="4"/>
        <v>77.64705882352942</v>
      </c>
      <c r="T38" s="1">
        <f t="shared" si="5"/>
        <v>77.64705882352942</v>
      </c>
      <c r="U38" s="1">
        <v>-0.4</v>
      </c>
      <c r="V38" s="1">
        <v>23.4</v>
      </c>
      <c r="W38" s="1">
        <v>22.8</v>
      </c>
      <c r="X38" s="1">
        <v>6.6</v>
      </c>
      <c r="Y38" s="1">
        <v>11</v>
      </c>
      <c r="Z38" s="1">
        <v>13.6</v>
      </c>
      <c r="AA38" s="1">
        <v>11.6</v>
      </c>
      <c r="AB38" s="1">
        <v>8.8000000000000007</v>
      </c>
      <c r="AC38" s="1">
        <v>10.8</v>
      </c>
      <c r="AD38" s="1">
        <v>11</v>
      </c>
      <c r="AE38" s="1" t="s">
        <v>54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73</v>
      </c>
      <c r="B39" s="1" t="s">
        <v>35</v>
      </c>
      <c r="C39" s="1">
        <v>131.67599999999999</v>
      </c>
      <c r="D39" s="1">
        <v>151.529</v>
      </c>
      <c r="E39" s="1">
        <v>131.65299999999999</v>
      </c>
      <c r="F39" s="1">
        <v>125.233</v>
      </c>
      <c r="G39" s="7">
        <v>1</v>
      </c>
      <c r="H39" s="1">
        <v>40</v>
      </c>
      <c r="I39" s="1" t="s">
        <v>36</v>
      </c>
      <c r="J39" s="1">
        <v>132.36000000000001</v>
      </c>
      <c r="K39" s="1">
        <f t="shared" si="9"/>
        <v>-0.70700000000002206</v>
      </c>
      <c r="L39" s="1"/>
      <c r="M39" s="1"/>
      <c r="N39" s="1">
        <v>137.52199999999999</v>
      </c>
      <c r="O39" s="1">
        <f t="shared" si="3"/>
        <v>26.330599999999997</v>
      </c>
      <c r="P39" s="5">
        <f t="shared" si="8"/>
        <v>26.881599999999992</v>
      </c>
      <c r="Q39" s="5"/>
      <c r="R39" s="1"/>
      <c r="S39" s="1">
        <f t="shared" si="4"/>
        <v>11</v>
      </c>
      <c r="T39" s="1">
        <f t="shared" si="5"/>
        <v>9.979073777278149</v>
      </c>
      <c r="U39" s="1">
        <v>27.81</v>
      </c>
      <c r="V39" s="1">
        <v>14.552199999999999</v>
      </c>
      <c r="W39" s="1">
        <v>14.3368</v>
      </c>
      <c r="X39" s="1">
        <v>24.102399999999999</v>
      </c>
      <c r="Y39" s="1">
        <v>22.52</v>
      </c>
      <c r="Z39" s="1">
        <v>17.953399999999998</v>
      </c>
      <c r="AA39" s="1">
        <v>18.355599999999999</v>
      </c>
      <c r="AB39" s="1">
        <v>19.347200000000001</v>
      </c>
      <c r="AC39" s="1">
        <v>19.656400000000001</v>
      </c>
      <c r="AD39" s="1">
        <v>16.841200000000001</v>
      </c>
      <c r="AE39" s="1"/>
      <c r="AF39" s="1">
        <f t="shared" si="6"/>
        <v>27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74</v>
      </c>
      <c r="B40" s="1" t="s">
        <v>41</v>
      </c>
      <c r="C40" s="1">
        <v>30</v>
      </c>
      <c r="D40" s="1">
        <v>156</v>
      </c>
      <c r="E40" s="1">
        <v>44</v>
      </c>
      <c r="F40" s="1">
        <v>113</v>
      </c>
      <c r="G40" s="7">
        <v>0.4</v>
      </c>
      <c r="H40" s="1">
        <v>40</v>
      </c>
      <c r="I40" s="1" t="s">
        <v>36</v>
      </c>
      <c r="J40" s="1">
        <v>69</v>
      </c>
      <c r="K40" s="1">
        <f t="shared" si="9"/>
        <v>-25</v>
      </c>
      <c r="L40" s="1"/>
      <c r="M40" s="1"/>
      <c r="N40" s="1"/>
      <c r="O40" s="1">
        <f t="shared" si="3"/>
        <v>8.8000000000000007</v>
      </c>
      <c r="P40" s="5"/>
      <c r="Q40" s="5"/>
      <c r="R40" s="1"/>
      <c r="S40" s="1">
        <f t="shared" si="4"/>
        <v>12.84090909090909</v>
      </c>
      <c r="T40" s="1">
        <f t="shared" si="5"/>
        <v>12.84090909090909</v>
      </c>
      <c r="U40" s="1">
        <v>10</v>
      </c>
      <c r="V40" s="1">
        <v>14.4</v>
      </c>
      <c r="W40" s="1">
        <v>9.6</v>
      </c>
      <c r="X40" s="1">
        <v>9.1999999999999993</v>
      </c>
      <c r="Y40" s="1">
        <v>9</v>
      </c>
      <c r="Z40" s="1">
        <v>11.4</v>
      </c>
      <c r="AA40" s="1">
        <v>12.4</v>
      </c>
      <c r="AB40" s="1">
        <v>12</v>
      </c>
      <c r="AC40" s="1">
        <v>14</v>
      </c>
      <c r="AD40" s="1">
        <v>12.8</v>
      </c>
      <c r="AE40" s="1"/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75</v>
      </c>
      <c r="B41" s="1" t="s">
        <v>41</v>
      </c>
      <c r="C41" s="1">
        <v>99</v>
      </c>
      <c r="D41" s="1">
        <v>150</v>
      </c>
      <c r="E41" s="1">
        <v>80</v>
      </c>
      <c r="F41" s="1">
        <v>154</v>
      </c>
      <c r="G41" s="7">
        <v>0.4</v>
      </c>
      <c r="H41" s="1">
        <v>45</v>
      </c>
      <c r="I41" s="1" t="s">
        <v>36</v>
      </c>
      <c r="J41" s="1">
        <v>83</v>
      </c>
      <c r="K41" s="1">
        <f t="shared" si="9"/>
        <v>-3</v>
      </c>
      <c r="L41" s="1"/>
      <c r="M41" s="1"/>
      <c r="N41" s="1">
        <v>14</v>
      </c>
      <c r="O41" s="1">
        <f t="shared" si="3"/>
        <v>16</v>
      </c>
      <c r="P41" s="5">
        <f t="shared" si="8"/>
        <v>8</v>
      </c>
      <c r="Q41" s="5"/>
      <c r="R41" s="1"/>
      <c r="S41" s="1">
        <f t="shared" si="4"/>
        <v>11</v>
      </c>
      <c r="T41" s="1">
        <f t="shared" si="5"/>
        <v>10.5</v>
      </c>
      <c r="U41" s="1">
        <v>17.399999999999999</v>
      </c>
      <c r="V41" s="1">
        <v>21.2</v>
      </c>
      <c r="W41" s="1">
        <v>22</v>
      </c>
      <c r="X41" s="1">
        <v>20.6</v>
      </c>
      <c r="Y41" s="1">
        <v>20.6</v>
      </c>
      <c r="Z41" s="1">
        <v>21</v>
      </c>
      <c r="AA41" s="1">
        <v>19.600000000000001</v>
      </c>
      <c r="AB41" s="1">
        <v>18.8</v>
      </c>
      <c r="AC41" s="1">
        <v>23</v>
      </c>
      <c r="AD41" s="1">
        <v>20.6</v>
      </c>
      <c r="AE41" s="1" t="s">
        <v>76</v>
      </c>
      <c r="AF41" s="1">
        <f t="shared" si="6"/>
        <v>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77</v>
      </c>
      <c r="B42" s="1" t="s">
        <v>35</v>
      </c>
      <c r="C42" s="1">
        <v>128.41800000000001</v>
      </c>
      <c r="D42" s="1">
        <v>134.65100000000001</v>
      </c>
      <c r="E42" s="1">
        <v>139.744</v>
      </c>
      <c r="F42" s="1">
        <v>92.094999999999999</v>
      </c>
      <c r="G42" s="7">
        <v>1</v>
      </c>
      <c r="H42" s="1">
        <v>40</v>
      </c>
      <c r="I42" s="1" t="s">
        <v>36</v>
      </c>
      <c r="J42" s="1">
        <v>137.97999999999999</v>
      </c>
      <c r="K42" s="1">
        <f t="shared" si="9"/>
        <v>1.76400000000001</v>
      </c>
      <c r="L42" s="1"/>
      <c r="M42" s="1"/>
      <c r="N42" s="1">
        <v>199.11099999999999</v>
      </c>
      <c r="O42" s="1">
        <f t="shared" si="3"/>
        <v>27.948799999999999</v>
      </c>
      <c r="P42" s="5">
        <f t="shared" si="8"/>
        <v>16.230800000000016</v>
      </c>
      <c r="Q42" s="5"/>
      <c r="R42" s="1"/>
      <c r="S42" s="1">
        <f t="shared" si="4"/>
        <v>11.000000000000004</v>
      </c>
      <c r="T42" s="1">
        <f t="shared" si="5"/>
        <v>10.419266659033664</v>
      </c>
      <c r="U42" s="1">
        <v>30.654199999999999</v>
      </c>
      <c r="V42" s="1">
        <v>18.849399999999999</v>
      </c>
      <c r="W42" s="1">
        <v>17.673200000000001</v>
      </c>
      <c r="X42" s="1">
        <v>25.401399999999999</v>
      </c>
      <c r="Y42" s="1">
        <v>21.811599999999999</v>
      </c>
      <c r="Z42" s="1">
        <v>15.449400000000001</v>
      </c>
      <c r="AA42" s="1">
        <v>17.605399999999999</v>
      </c>
      <c r="AB42" s="1">
        <v>28.0486</v>
      </c>
      <c r="AC42" s="1">
        <v>29.026399999999999</v>
      </c>
      <c r="AD42" s="1">
        <v>19.398399999999999</v>
      </c>
      <c r="AE42" s="1"/>
      <c r="AF42" s="1">
        <f t="shared" si="6"/>
        <v>16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78</v>
      </c>
      <c r="B43" s="1" t="s">
        <v>41</v>
      </c>
      <c r="C43" s="1">
        <v>99</v>
      </c>
      <c r="D43" s="1">
        <v>330</v>
      </c>
      <c r="E43" s="1">
        <v>165</v>
      </c>
      <c r="F43" s="1">
        <v>241</v>
      </c>
      <c r="G43" s="7">
        <v>0.35</v>
      </c>
      <c r="H43" s="1">
        <v>40</v>
      </c>
      <c r="I43" s="1" t="s">
        <v>36</v>
      </c>
      <c r="J43" s="1">
        <v>168</v>
      </c>
      <c r="K43" s="1">
        <f t="shared" si="9"/>
        <v>-3</v>
      </c>
      <c r="L43" s="1"/>
      <c r="M43" s="1"/>
      <c r="N43" s="1">
        <v>80</v>
      </c>
      <c r="O43" s="1">
        <f t="shared" si="3"/>
        <v>33</v>
      </c>
      <c r="P43" s="5">
        <f t="shared" si="8"/>
        <v>42</v>
      </c>
      <c r="Q43" s="5"/>
      <c r="R43" s="1"/>
      <c r="S43" s="1">
        <f t="shared" si="4"/>
        <v>11</v>
      </c>
      <c r="T43" s="1">
        <f t="shared" si="5"/>
        <v>9.7272727272727266</v>
      </c>
      <c r="U43" s="1">
        <v>33.799999999999997</v>
      </c>
      <c r="V43" s="1">
        <v>34</v>
      </c>
      <c r="W43" s="1">
        <v>33.799999999999997</v>
      </c>
      <c r="X43" s="1">
        <v>27</v>
      </c>
      <c r="Y43" s="1">
        <v>25</v>
      </c>
      <c r="Z43" s="1">
        <v>19.600000000000001</v>
      </c>
      <c r="AA43" s="1">
        <v>19</v>
      </c>
      <c r="AB43" s="1">
        <v>13.8</v>
      </c>
      <c r="AC43" s="1">
        <v>14.4</v>
      </c>
      <c r="AD43" s="1">
        <v>14.8</v>
      </c>
      <c r="AE43" s="1" t="s">
        <v>54</v>
      </c>
      <c r="AF43" s="1">
        <f t="shared" si="6"/>
        <v>15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79</v>
      </c>
      <c r="B44" s="1" t="s">
        <v>41</v>
      </c>
      <c r="C44" s="1">
        <v>102</v>
      </c>
      <c r="D44" s="1">
        <v>402</v>
      </c>
      <c r="E44" s="1">
        <v>147</v>
      </c>
      <c r="F44" s="1">
        <v>330</v>
      </c>
      <c r="G44" s="7">
        <v>0.4</v>
      </c>
      <c r="H44" s="1">
        <v>40</v>
      </c>
      <c r="I44" s="1" t="s">
        <v>36</v>
      </c>
      <c r="J44" s="1">
        <v>234</v>
      </c>
      <c r="K44" s="1">
        <f t="shared" si="9"/>
        <v>-87</v>
      </c>
      <c r="L44" s="1"/>
      <c r="M44" s="1"/>
      <c r="N44" s="1"/>
      <c r="O44" s="1">
        <f t="shared" si="3"/>
        <v>29.4</v>
      </c>
      <c r="P44" s="5"/>
      <c r="Q44" s="5"/>
      <c r="R44" s="1"/>
      <c r="S44" s="1">
        <f t="shared" si="4"/>
        <v>11.224489795918368</v>
      </c>
      <c r="T44" s="1">
        <f t="shared" si="5"/>
        <v>11.224489795918368</v>
      </c>
      <c r="U44" s="1">
        <v>19.600000000000001</v>
      </c>
      <c r="V44" s="1">
        <v>1.2</v>
      </c>
      <c r="W44" s="1">
        <v>-1.6</v>
      </c>
      <c r="X44" s="1">
        <v>-1</v>
      </c>
      <c r="Y44" s="1">
        <v>2.4</v>
      </c>
      <c r="Z44" s="1">
        <v>44.4</v>
      </c>
      <c r="AA44" s="1">
        <v>52.6</v>
      </c>
      <c r="AB44" s="1">
        <v>58.8</v>
      </c>
      <c r="AC44" s="1">
        <v>55.6</v>
      </c>
      <c r="AD44" s="1">
        <v>46.8</v>
      </c>
      <c r="AE44" s="1" t="s">
        <v>80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81</v>
      </c>
      <c r="B45" s="1" t="s">
        <v>35</v>
      </c>
      <c r="C45" s="1">
        <v>99.034000000000006</v>
      </c>
      <c r="D45" s="1">
        <v>21.652000000000001</v>
      </c>
      <c r="E45" s="1">
        <v>49.444000000000003</v>
      </c>
      <c r="F45" s="1">
        <v>65.447999999999993</v>
      </c>
      <c r="G45" s="7">
        <v>1</v>
      </c>
      <c r="H45" s="1">
        <v>50</v>
      </c>
      <c r="I45" s="1" t="s">
        <v>36</v>
      </c>
      <c r="J45" s="1">
        <v>49</v>
      </c>
      <c r="K45" s="1">
        <f t="shared" si="9"/>
        <v>0.44400000000000261</v>
      </c>
      <c r="L45" s="1"/>
      <c r="M45" s="1"/>
      <c r="N45" s="1">
        <v>33.463999999999977</v>
      </c>
      <c r="O45" s="1">
        <f t="shared" si="3"/>
        <v>9.8887999999999998</v>
      </c>
      <c r="P45" s="5">
        <f t="shared" si="8"/>
        <v>9.8648000000000167</v>
      </c>
      <c r="Q45" s="5"/>
      <c r="R45" s="1"/>
      <c r="S45" s="1">
        <f t="shared" si="4"/>
        <v>11</v>
      </c>
      <c r="T45" s="1">
        <f t="shared" si="5"/>
        <v>10.002426988107755</v>
      </c>
      <c r="U45" s="1">
        <v>10.160399999999999</v>
      </c>
      <c r="V45" s="1">
        <v>7.3932000000000002</v>
      </c>
      <c r="W45" s="1">
        <v>7.1243999999999996</v>
      </c>
      <c r="X45" s="1">
        <v>11.3468</v>
      </c>
      <c r="Y45" s="1">
        <v>12.422000000000001</v>
      </c>
      <c r="Z45" s="1">
        <v>12.632400000000001</v>
      </c>
      <c r="AA45" s="1">
        <v>12.6242</v>
      </c>
      <c r="AB45" s="1">
        <v>11.8062</v>
      </c>
      <c r="AC45" s="1">
        <v>12.616199999999999</v>
      </c>
      <c r="AD45" s="1">
        <v>15.1638</v>
      </c>
      <c r="AE45" s="1"/>
      <c r="AF45" s="1">
        <f t="shared" si="6"/>
        <v>10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82</v>
      </c>
      <c r="B46" s="1" t="s">
        <v>35</v>
      </c>
      <c r="C46" s="1">
        <v>145.648</v>
      </c>
      <c r="D46" s="1">
        <v>86.77</v>
      </c>
      <c r="E46" s="1">
        <v>83.457999999999998</v>
      </c>
      <c r="F46" s="1">
        <v>130.42099999999999</v>
      </c>
      <c r="G46" s="7">
        <v>1</v>
      </c>
      <c r="H46" s="1">
        <v>50</v>
      </c>
      <c r="I46" s="1" t="s">
        <v>36</v>
      </c>
      <c r="J46" s="1">
        <v>82.6</v>
      </c>
      <c r="K46" s="1">
        <f t="shared" si="9"/>
        <v>0.85800000000000409</v>
      </c>
      <c r="L46" s="1"/>
      <c r="M46" s="1"/>
      <c r="N46" s="1">
        <v>58.803799999999981</v>
      </c>
      <c r="O46" s="1">
        <f t="shared" si="3"/>
        <v>16.691600000000001</v>
      </c>
      <c r="P46" s="5"/>
      <c r="Q46" s="5"/>
      <c r="R46" s="1"/>
      <c r="S46" s="1">
        <f t="shared" si="4"/>
        <v>11.336528553284284</v>
      </c>
      <c r="T46" s="1">
        <f t="shared" si="5"/>
        <v>11.336528553284284</v>
      </c>
      <c r="U46" s="1">
        <v>18.6892</v>
      </c>
      <c r="V46" s="1">
        <v>18.606000000000002</v>
      </c>
      <c r="W46" s="1">
        <v>16.420000000000002</v>
      </c>
      <c r="X46" s="1">
        <v>19.878799999999998</v>
      </c>
      <c r="Y46" s="1">
        <v>21.7806</v>
      </c>
      <c r="Z46" s="1">
        <v>21.566600000000001</v>
      </c>
      <c r="AA46" s="1">
        <v>20.7332</v>
      </c>
      <c r="AB46" s="1">
        <v>22.585799999999999</v>
      </c>
      <c r="AC46" s="1">
        <v>25.446400000000001</v>
      </c>
      <c r="AD46" s="1">
        <v>20.695799999999998</v>
      </c>
      <c r="AE46" s="1"/>
      <c r="AF46" s="1">
        <f t="shared" si="6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83</v>
      </c>
      <c r="B47" s="1" t="s">
        <v>35</v>
      </c>
      <c r="C47" s="1">
        <v>134.077</v>
      </c>
      <c r="D47" s="1">
        <v>136.38499999999999</v>
      </c>
      <c r="E47" s="1">
        <v>91.144000000000005</v>
      </c>
      <c r="F47" s="1">
        <v>170.273</v>
      </c>
      <c r="G47" s="7">
        <v>1</v>
      </c>
      <c r="H47" s="1">
        <v>40</v>
      </c>
      <c r="I47" s="1" t="s">
        <v>84</v>
      </c>
      <c r="J47" s="1">
        <v>86.1</v>
      </c>
      <c r="K47" s="1">
        <f t="shared" si="9"/>
        <v>5.0440000000000111</v>
      </c>
      <c r="L47" s="1"/>
      <c r="M47" s="1"/>
      <c r="N47" s="1">
        <v>19.596479999999989</v>
      </c>
      <c r="O47" s="1">
        <f t="shared" si="3"/>
        <v>18.2288</v>
      </c>
      <c r="P47" s="5">
        <f t="shared" si="8"/>
        <v>10.647320000000008</v>
      </c>
      <c r="Q47" s="5"/>
      <c r="R47" s="1"/>
      <c r="S47" s="1">
        <f t="shared" si="4"/>
        <v>11</v>
      </c>
      <c r="T47" s="1">
        <f t="shared" si="5"/>
        <v>10.415906697094707</v>
      </c>
      <c r="U47" s="1">
        <v>18.7974</v>
      </c>
      <c r="V47" s="1">
        <v>23.422799999999999</v>
      </c>
      <c r="W47" s="1">
        <v>24.3276</v>
      </c>
      <c r="X47" s="1">
        <v>13.4206</v>
      </c>
      <c r="Y47" s="1">
        <v>17.793199999999999</v>
      </c>
      <c r="Z47" s="1">
        <v>30.286000000000001</v>
      </c>
      <c r="AA47" s="1">
        <v>24.693999999999999</v>
      </c>
      <c r="AB47" s="1">
        <v>11.278600000000001</v>
      </c>
      <c r="AC47" s="1">
        <v>14.7248</v>
      </c>
      <c r="AD47" s="1">
        <v>19.381799999999998</v>
      </c>
      <c r="AE47" s="1"/>
      <c r="AF47" s="1">
        <f t="shared" si="6"/>
        <v>11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85</v>
      </c>
      <c r="B48" s="1" t="s">
        <v>41</v>
      </c>
      <c r="C48" s="1">
        <v>148</v>
      </c>
      <c r="D48" s="1">
        <v>20</v>
      </c>
      <c r="E48" s="1">
        <v>74</v>
      </c>
      <c r="F48" s="1">
        <v>84</v>
      </c>
      <c r="G48" s="7">
        <v>0.45</v>
      </c>
      <c r="H48" s="1">
        <v>50</v>
      </c>
      <c r="I48" s="1" t="s">
        <v>36</v>
      </c>
      <c r="J48" s="1">
        <v>76</v>
      </c>
      <c r="K48" s="1">
        <f t="shared" si="9"/>
        <v>-2</v>
      </c>
      <c r="L48" s="1"/>
      <c r="M48" s="1"/>
      <c r="N48" s="1">
        <v>75</v>
      </c>
      <c r="O48" s="1">
        <f t="shared" si="3"/>
        <v>14.8</v>
      </c>
      <c r="P48" s="5">
        <f t="shared" si="8"/>
        <v>3.8000000000000114</v>
      </c>
      <c r="Q48" s="5"/>
      <c r="R48" s="1"/>
      <c r="S48" s="1">
        <f t="shared" si="4"/>
        <v>11</v>
      </c>
      <c r="T48" s="1">
        <f t="shared" si="5"/>
        <v>10.743243243243242</v>
      </c>
      <c r="U48" s="1">
        <v>16</v>
      </c>
      <c r="V48" s="1">
        <v>13.6</v>
      </c>
      <c r="W48" s="1">
        <v>12.2</v>
      </c>
      <c r="X48" s="1">
        <v>5.2</v>
      </c>
      <c r="Y48" s="1">
        <v>6.6</v>
      </c>
      <c r="Z48" s="1">
        <v>19</v>
      </c>
      <c r="AA48" s="1">
        <v>20.6</v>
      </c>
      <c r="AB48" s="1">
        <v>11.2</v>
      </c>
      <c r="AC48" s="1">
        <v>10.4</v>
      </c>
      <c r="AD48" s="1">
        <v>16.399999999999999</v>
      </c>
      <c r="AE48" s="1"/>
      <c r="AF48" s="1">
        <f t="shared" si="6"/>
        <v>2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7" t="s">
        <v>86</v>
      </c>
      <c r="B49" s="1" t="s">
        <v>35</v>
      </c>
      <c r="C49" s="1"/>
      <c r="D49" s="1"/>
      <c r="E49" s="1"/>
      <c r="F49" s="1"/>
      <c r="G49" s="7">
        <v>1</v>
      </c>
      <c r="H49" s="1">
        <v>40</v>
      </c>
      <c r="I49" s="1" t="s">
        <v>36</v>
      </c>
      <c r="J49" s="1"/>
      <c r="K49" s="1">
        <f t="shared" si="9"/>
        <v>0</v>
      </c>
      <c r="L49" s="1"/>
      <c r="M49" s="1"/>
      <c r="N49" s="17"/>
      <c r="O49" s="1">
        <f t="shared" si="3"/>
        <v>0</v>
      </c>
      <c r="P49" s="18">
        <v>4</v>
      </c>
      <c r="Q49" s="5"/>
      <c r="R49" s="1"/>
      <c r="S49" s="1" t="e">
        <f t="shared" si="4"/>
        <v>#DIV/0!</v>
      </c>
      <c r="T49" s="1" t="e">
        <f t="shared" si="5"/>
        <v>#DIV/0!</v>
      </c>
      <c r="U49" s="1">
        <v>0</v>
      </c>
      <c r="V49" s="1">
        <v>-0.31140000000000001</v>
      </c>
      <c r="W49" s="1">
        <v>-0.31140000000000001</v>
      </c>
      <c r="X49" s="1">
        <v>-0.26300000000000001</v>
      </c>
      <c r="Y49" s="1">
        <v>-0.26300000000000001</v>
      </c>
      <c r="Z49" s="1">
        <v>0</v>
      </c>
      <c r="AA49" s="1">
        <v>0</v>
      </c>
      <c r="AB49" s="1">
        <v>1.8248</v>
      </c>
      <c r="AC49" s="1">
        <v>3.9188000000000001</v>
      </c>
      <c r="AD49" s="1">
        <v>6.5103999999999997</v>
      </c>
      <c r="AE49" s="17" t="s">
        <v>87</v>
      </c>
      <c r="AF49" s="1">
        <f t="shared" si="6"/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41</v>
      </c>
      <c r="C50" s="1">
        <v>81</v>
      </c>
      <c r="D50" s="1">
        <v>42</v>
      </c>
      <c r="E50" s="1">
        <v>59</v>
      </c>
      <c r="F50" s="1">
        <v>49</v>
      </c>
      <c r="G50" s="7">
        <v>0.4</v>
      </c>
      <c r="H50" s="1">
        <v>40</v>
      </c>
      <c r="I50" s="1" t="s">
        <v>36</v>
      </c>
      <c r="J50" s="1">
        <v>70</v>
      </c>
      <c r="K50" s="1">
        <f t="shared" si="9"/>
        <v>-11</v>
      </c>
      <c r="L50" s="1"/>
      <c r="M50" s="1"/>
      <c r="N50" s="1">
        <v>18</v>
      </c>
      <c r="O50" s="1">
        <f t="shared" si="3"/>
        <v>11.8</v>
      </c>
      <c r="P50" s="5">
        <f t="shared" si="8"/>
        <v>62.800000000000011</v>
      </c>
      <c r="Q50" s="5"/>
      <c r="R50" s="1"/>
      <c r="S50" s="1">
        <f t="shared" si="4"/>
        <v>11</v>
      </c>
      <c r="T50" s="1">
        <f t="shared" si="5"/>
        <v>5.6779661016949152</v>
      </c>
      <c r="U50" s="1">
        <v>8.8000000000000007</v>
      </c>
      <c r="V50" s="1">
        <v>10.199999999999999</v>
      </c>
      <c r="W50" s="1">
        <v>11.6</v>
      </c>
      <c r="X50" s="1">
        <v>0.8</v>
      </c>
      <c r="Y50" s="1">
        <v>1.8</v>
      </c>
      <c r="Z50" s="1">
        <v>14.4</v>
      </c>
      <c r="AA50" s="1">
        <v>12.8</v>
      </c>
      <c r="AB50" s="1">
        <v>1.6</v>
      </c>
      <c r="AC50" s="1">
        <v>1.6</v>
      </c>
      <c r="AD50" s="1">
        <v>7.2</v>
      </c>
      <c r="AE50" s="1" t="s">
        <v>89</v>
      </c>
      <c r="AF50" s="1">
        <f t="shared" si="6"/>
        <v>25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41</v>
      </c>
      <c r="C51" s="1">
        <v>12</v>
      </c>
      <c r="D51" s="1">
        <v>126</v>
      </c>
      <c r="E51" s="1">
        <v>26</v>
      </c>
      <c r="F51" s="1">
        <v>111</v>
      </c>
      <c r="G51" s="7">
        <v>0.4</v>
      </c>
      <c r="H51" s="1">
        <v>40</v>
      </c>
      <c r="I51" s="1" t="s">
        <v>36</v>
      </c>
      <c r="J51" s="1">
        <v>40</v>
      </c>
      <c r="K51" s="1">
        <f t="shared" si="9"/>
        <v>-14</v>
      </c>
      <c r="L51" s="1"/>
      <c r="M51" s="1"/>
      <c r="N51" s="1"/>
      <c r="O51" s="1">
        <f t="shared" si="3"/>
        <v>5.2</v>
      </c>
      <c r="P51" s="5"/>
      <c r="Q51" s="5"/>
      <c r="R51" s="1"/>
      <c r="S51" s="1">
        <f t="shared" si="4"/>
        <v>21.346153846153847</v>
      </c>
      <c r="T51" s="1">
        <f t="shared" si="5"/>
        <v>21.346153846153847</v>
      </c>
      <c r="U51" s="1">
        <v>2.6</v>
      </c>
      <c r="V51" s="1">
        <v>12.4</v>
      </c>
      <c r="W51" s="1">
        <v>13.2</v>
      </c>
      <c r="X51" s="1">
        <v>0.6</v>
      </c>
      <c r="Y51" s="1">
        <v>-0.2</v>
      </c>
      <c r="Z51" s="1">
        <v>7.2</v>
      </c>
      <c r="AA51" s="1">
        <v>7.4</v>
      </c>
      <c r="AB51" s="1">
        <v>1.2</v>
      </c>
      <c r="AC51" s="1">
        <v>1</v>
      </c>
      <c r="AD51" s="1">
        <v>4.4000000000000004</v>
      </c>
      <c r="AE51" s="1"/>
      <c r="AF51" s="1">
        <f t="shared" si="6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91</v>
      </c>
      <c r="B52" s="14" t="s">
        <v>35</v>
      </c>
      <c r="C52" s="14">
        <v>1.329</v>
      </c>
      <c r="D52" s="14">
        <v>2.9000000000000001E-2</v>
      </c>
      <c r="E52" s="14"/>
      <c r="F52" s="14"/>
      <c r="G52" s="15">
        <v>0</v>
      </c>
      <c r="H52" s="14">
        <v>50</v>
      </c>
      <c r="I52" s="14" t="s">
        <v>36</v>
      </c>
      <c r="J52" s="14">
        <v>2.6</v>
      </c>
      <c r="K52" s="14">
        <f t="shared" si="9"/>
        <v>-2.6</v>
      </c>
      <c r="L52" s="14"/>
      <c r="M52" s="14"/>
      <c r="N52" s="14"/>
      <c r="O52" s="14">
        <f t="shared" si="3"/>
        <v>0</v>
      </c>
      <c r="P52" s="16"/>
      <c r="Q52" s="16"/>
      <c r="R52" s="14"/>
      <c r="S52" s="14" t="e">
        <f t="shared" si="4"/>
        <v>#DIV/0!</v>
      </c>
      <c r="T52" s="14" t="e">
        <f t="shared" si="5"/>
        <v>#DIV/0!</v>
      </c>
      <c r="U52" s="14">
        <v>0.27160000000000001</v>
      </c>
      <c r="V52" s="14">
        <v>4.8835999999999986</v>
      </c>
      <c r="W52" s="14">
        <v>4.8844000000000003</v>
      </c>
      <c r="X52" s="14">
        <v>3.8395999999999999</v>
      </c>
      <c r="Y52" s="14">
        <v>3.5672000000000001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 t="s">
        <v>59</v>
      </c>
      <c r="AF52" s="1">
        <f t="shared" si="6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92</v>
      </c>
      <c r="B53" s="1" t="s">
        <v>35</v>
      </c>
      <c r="C53" s="1">
        <v>115.824</v>
      </c>
      <c r="D53" s="1">
        <v>129.05199999999999</v>
      </c>
      <c r="E53" s="1">
        <v>79.686000000000007</v>
      </c>
      <c r="F53" s="1">
        <v>141.02199999999999</v>
      </c>
      <c r="G53" s="7">
        <v>1</v>
      </c>
      <c r="H53" s="1">
        <v>50</v>
      </c>
      <c r="I53" s="1" t="s">
        <v>36</v>
      </c>
      <c r="J53" s="1">
        <v>78.099999999999994</v>
      </c>
      <c r="K53" s="1">
        <f t="shared" si="9"/>
        <v>1.5860000000000127</v>
      </c>
      <c r="L53" s="1"/>
      <c r="M53" s="1"/>
      <c r="N53" s="1">
        <v>49.719480000000047</v>
      </c>
      <c r="O53" s="1">
        <f t="shared" si="3"/>
        <v>15.937200000000001</v>
      </c>
      <c r="P53" s="5"/>
      <c r="Q53" s="5"/>
      <c r="R53" s="1"/>
      <c r="S53" s="1">
        <f t="shared" si="4"/>
        <v>11.968318148733781</v>
      </c>
      <c r="T53" s="1">
        <f t="shared" si="5"/>
        <v>11.968318148733781</v>
      </c>
      <c r="U53" s="1">
        <v>18.936800000000002</v>
      </c>
      <c r="V53" s="1">
        <v>17.7196</v>
      </c>
      <c r="W53" s="1">
        <v>15.4756</v>
      </c>
      <c r="X53" s="1">
        <v>19.059000000000001</v>
      </c>
      <c r="Y53" s="1">
        <v>18.545999999999999</v>
      </c>
      <c r="Z53" s="1">
        <v>17.23</v>
      </c>
      <c r="AA53" s="1">
        <v>17.767399999999999</v>
      </c>
      <c r="AB53" s="1">
        <v>20.4986</v>
      </c>
      <c r="AC53" s="1">
        <v>19.977</v>
      </c>
      <c r="AD53" s="1">
        <v>22.230799999999999</v>
      </c>
      <c r="AE53" s="1"/>
      <c r="AF53" s="1">
        <f t="shared" si="6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93</v>
      </c>
      <c r="B54" s="1" t="s">
        <v>35</v>
      </c>
      <c r="C54" s="1">
        <v>111.69499999999999</v>
      </c>
      <c r="D54" s="1">
        <v>21.716000000000001</v>
      </c>
      <c r="E54" s="1">
        <v>43.073999999999998</v>
      </c>
      <c r="F54" s="1">
        <v>85.844999999999999</v>
      </c>
      <c r="G54" s="7">
        <v>1</v>
      </c>
      <c r="H54" s="1">
        <v>50</v>
      </c>
      <c r="I54" s="1" t="s">
        <v>36</v>
      </c>
      <c r="J54" s="1">
        <v>43.3</v>
      </c>
      <c r="K54" s="1">
        <f t="shared" si="9"/>
        <v>-0.22599999999999909</v>
      </c>
      <c r="L54" s="1"/>
      <c r="M54" s="1"/>
      <c r="N54" s="1"/>
      <c r="O54" s="1">
        <f t="shared" si="3"/>
        <v>8.6147999999999989</v>
      </c>
      <c r="P54" s="5">
        <f t="shared" ref="P54:P60" si="10">11*O54-N54-F54</f>
        <v>8.9177999999999855</v>
      </c>
      <c r="Q54" s="5"/>
      <c r="R54" s="1"/>
      <c r="S54" s="1">
        <f t="shared" si="4"/>
        <v>11</v>
      </c>
      <c r="T54" s="1">
        <f t="shared" si="5"/>
        <v>9.9648279704694254</v>
      </c>
      <c r="U54" s="1">
        <v>7.8180000000000014</v>
      </c>
      <c r="V54" s="1">
        <v>5.9421999999999997</v>
      </c>
      <c r="W54" s="1">
        <v>6.0758000000000001</v>
      </c>
      <c r="X54" s="1">
        <v>12.807600000000001</v>
      </c>
      <c r="Y54" s="1">
        <v>13.478999999999999</v>
      </c>
      <c r="Z54" s="1">
        <v>8.6080000000000005</v>
      </c>
      <c r="AA54" s="1">
        <v>8.3287999999999993</v>
      </c>
      <c r="AB54" s="1">
        <v>8.8146000000000004</v>
      </c>
      <c r="AC54" s="1">
        <v>8.8406000000000002</v>
      </c>
      <c r="AD54" s="1">
        <v>10.1098</v>
      </c>
      <c r="AE54" s="1"/>
      <c r="AF54" s="1">
        <f t="shared" si="6"/>
        <v>9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41</v>
      </c>
      <c r="C55" s="1">
        <v>63</v>
      </c>
      <c r="D55" s="1">
        <v>50</v>
      </c>
      <c r="E55" s="1">
        <v>67</v>
      </c>
      <c r="F55" s="1">
        <v>38</v>
      </c>
      <c r="G55" s="7">
        <v>0.4</v>
      </c>
      <c r="H55" s="1">
        <v>50</v>
      </c>
      <c r="I55" s="1" t="s">
        <v>36</v>
      </c>
      <c r="J55" s="1">
        <v>67</v>
      </c>
      <c r="K55" s="1">
        <f t="shared" si="9"/>
        <v>0</v>
      </c>
      <c r="L55" s="1"/>
      <c r="M55" s="1"/>
      <c r="N55" s="1">
        <v>84.539999999999992</v>
      </c>
      <c r="O55" s="1">
        <f t="shared" si="3"/>
        <v>13.4</v>
      </c>
      <c r="P55" s="5">
        <f t="shared" si="10"/>
        <v>24.860000000000014</v>
      </c>
      <c r="Q55" s="5"/>
      <c r="R55" s="1"/>
      <c r="S55" s="1">
        <f t="shared" si="4"/>
        <v>11</v>
      </c>
      <c r="T55" s="1">
        <f t="shared" si="5"/>
        <v>9.1447761194029837</v>
      </c>
      <c r="U55" s="1">
        <v>12.8</v>
      </c>
      <c r="V55" s="1">
        <v>8.8000000000000007</v>
      </c>
      <c r="W55" s="1">
        <v>7.8</v>
      </c>
      <c r="X55" s="1">
        <v>7.8</v>
      </c>
      <c r="Y55" s="1">
        <v>8.4</v>
      </c>
      <c r="Z55" s="1">
        <v>8.8000000000000007</v>
      </c>
      <c r="AA55" s="1">
        <v>13</v>
      </c>
      <c r="AB55" s="1">
        <v>13.6</v>
      </c>
      <c r="AC55" s="1">
        <v>9.8000000000000007</v>
      </c>
      <c r="AD55" s="1">
        <v>9.4</v>
      </c>
      <c r="AE55" s="1"/>
      <c r="AF55" s="1">
        <f t="shared" si="6"/>
        <v>10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95</v>
      </c>
      <c r="B56" s="1" t="s">
        <v>41</v>
      </c>
      <c r="C56" s="1">
        <v>370</v>
      </c>
      <c r="D56" s="1">
        <v>666</v>
      </c>
      <c r="E56" s="1">
        <v>449</v>
      </c>
      <c r="F56" s="1">
        <v>521</v>
      </c>
      <c r="G56" s="7">
        <v>0.4</v>
      </c>
      <c r="H56" s="1">
        <v>40</v>
      </c>
      <c r="I56" s="1" t="s">
        <v>36</v>
      </c>
      <c r="J56" s="1">
        <v>474</v>
      </c>
      <c r="K56" s="1">
        <f t="shared" si="9"/>
        <v>-25</v>
      </c>
      <c r="L56" s="1"/>
      <c r="M56" s="1"/>
      <c r="N56" s="1">
        <v>378.5</v>
      </c>
      <c r="O56" s="1">
        <f t="shared" si="3"/>
        <v>89.8</v>
      </c>
      <c r="P56" s="5">
        <f t="shared" si="10"/>
        <v>88.299999999999955</v>
      </c>
      <c r="Q56" s="5"/>
      <c r="R56" s="1"/>
      <c r="S56" s="1">
        <f t="shared" si="4"/>
        <v>11</v>
      </c>
      <c r="T56" s="1">
        <f t="shared" si="5"/>
        <v>10.016703786191536</v>
      </c>
      <c r="U56" s="1">
        <v>93.4</v>
      </c>
      <c r="V56" s="1">
        <v>88</v>
      </c>
      <c r="W56" s="1">
        <v>83</v>
      </c>
      <c r="X56" s="1">
        <v>73.2</v>
      </c>
      <c r="Y56" s="1">
        <v>78</v>
      </c>
      <c r="Z56" s="1">
        <v>82.6</v>
      </c>
      <c r="AA56" s="1">
        <v>83.2</v>
      </c>
      <c r="AB56" s="1">
        <v>71.400000000000006</v>
      </c>
      <c r="AC56" s="1">
        <v>72.2</v>
      </c>
      <c r="AD56" s="1">
        <v>69</v>
      </c>
      <c r="AE56" s="1"/>
      <c r="AF56" s="1">
        <f t="shared" si="6"/>
        <v>35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96</v>
      </c>
      <c r="B57" s="1" t="s">
        <v>41</v>
      </c>
      <c r="C57" s="1">
        <v>2</v>
      </c>
      <c r="D57" s="1">
        <v>420</v>
      </c>
      <c r="E57" s="1">
        <v>245</v>
      </c>
      <c r="F57" s="1">
        <v>172</v>
      </c>
      <c r="G57" s="7">
        <v>0.4</v>
      </c>
      <c r="H57" s="1">
        <v>40</v>
      </c>
      <c r="I57" s="1" t="s">
        <v>36</v>
      </c>
      <c r="J57" s="1">
        <v>313</v>
      </c>
      <c r="K57" s="1">
        <f t="shared" si="9"/>
        <v>-68</v>
      </c>
      <c r="L57" s="1"/>
      <c r="M57" s="1"/>
      <c r="N57" s="1">
        <v>139.1999999999999</v>
      </c>
      <c r="O57" s="1">
        <f t="shared" si="3"/>
        <v>49</v>
      </c>
      <c r="P57" s="5">
        <f t="shared" si="10"/>
        <v>227.80000000000007</v>
      </c>
      <c r="Q57" s="5"/>
      <c r="R57" s="1"/>
      <c r="S57" s="1">
        <f t="shared" si="4"/>
        <v>11</v>
      </c>
      <c r="T57" s="1">
        <f t="shared" si="5"/>
        <v>6.3510204081632642</v>
      </c>
      <c r="U57" s="1">
        <v>36.799999999999997</v>
      </c>
      <c r="V57" s="1">
        <v>37.200000000000003</v>
      </c>
      <c r="W57" s="1">
        <v>45.4</v>
      </c>
      <c r="X57" s="1">
        <v>61</v>
      </c>
      <c r="Y57" s="1">
        <v>59.6</v>
      </c>
      <c r="Z57" s="1">
        <v>49.2</v>
      </c>
      <c r="AA57" s="1">
        <v>54.2</v>
      </c>
      <c r="AB57" s="1">
        <v>53</v>
      </c>
      <c r="AC57" s="1">
        <v>48.8</v>
      </c>
      <c r="AD57" s="1">
        <v>50.4</v>
      </c>
      <c r="AE57" s="1"/>
      <c r="AF57" s="1">
        <f t="shared" si="6"/>
        <v>91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97</v>
      </c>
      <c r="B58" s="1" t="s">
        <v>35</v>
      </c>
      <c r="C58" s="1">
        <v>109.789</v>
      </c>
      <c r="D58" s="1">
        <v>140.93100000000001</v>
      </c>
      <c r="E58" s="1">
        <v>145.62299999999999</v>
      </c>
      <c r="F58" s="1">
        <v>86.215000000000003</v>
      </c>
      <c r="G58" s="7">
        <v>1</v>
      </c>
      <c r="H58" s="1">
        <v>40</v>
      </c>
      <c r="I58" s="1" t="s">
        <v>36</v>
      </c>
      <c r="J58" s="1">
        <v>138.30000000000001</v>
      </c>
      <c r="K58" s="1">
        <f t="shared" si="9"/>
        <v>7.3229999999999791</v>
      </c>
      <c r="L58" s="1"/>
      <c r="M58" s="1"/>
      <c r="N58" s="1">
        <v>163.90314000000001</v>
      </c>
      <c r="O58" s="1">
        <f t="shared" si="3"/>
        <v>29.124599999999997</v>
      </c>
      <c r="P58" s="5">
        <f t="shared" si="10"/>
        <v>70.252459999999957</v>
      </c>
      <c r="Q58" s="5"/>
      <c r="R58" s="1"/>
      <c r="S58" s="1">
        <f t="shared" si="4"/>
        <v>11</v>
      </c>
      <c r="T58" s="1">
        <f t="shared" si="5"/>
        <v>8.5878652410676892</v>
      </c>
      <c r="U58" s="1">
        <v>27.018599999999999</v>
      </c>
      <c r="V58" s="1">
        <v>20.191800000000001</v>
      </c>
      <c r="W58" s="1">
        <v>20.629799999999999</v>
      </c>
      <c r="X58" s="1">
        <v>22.31</v>
      </c>
      <c r="Y58" s="1">
        <v>22.3218</v>
      </c>
      <c r="Z58" s="1">
        <v>15.7796</v>
      </c>
      <c r="AA58" s="1">
        <v>18.018599999999999</v>
      </c>
      <c r="AB58" s="1">
        <v>29.340800000000002</v>
      </c>
      <c r="AC58" s="1">
        <v>29.09</v>
      </c>
      <c r="AD58" s="1">
        <v>18.77</v>
      </c>
      <c r="AE58" s="1" t="s">
        <v>98</v>
      </c>
      <c r="AF58" s="1">
        <f t="shared" si="6"/>
        <v>70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35</v>
      </c>
      <c r="C59" s="1">
        <v>129.804</v>
      </c>
      <c r="D59" s="1">
        <v>176.191</v>
      </c>
      <c r="E59" s="1">
        <v>129.70599999999999</v>
      </c>
      <c r="F59" s="1">
        <v>153.041</v>
      </c>
      <c r="G59" s="7">
        <v>1</v>
      </c>
      <c r="H59" s="1">
        <v>40</v>
      </c>
      <c r="I59" s="1" t="s">
        <v>36</v>
      </c>
      <c r="J59" s="1">
        <v>124.6</v>
      </c>
      <c r="K59" s="1">
        <f t="shared" si="9"/>
        <v>5.1059999999999945</v>
      </c>
      <c r="L59" s="1"/>
      <c r="M59" s="1"/>
      <c r="N59" s="1">
        <v>78.835999999999956</v>
      </c>
      <c r="O59" s="1">
        <f t="shared" si="3"/>
        <v>25.941199999999998</v>
      </c>
      <c r="P59" s="5">
        <f t="shared" si="10"/>
        <v>53.476200000000006</v>
      </c>
      <c r="Q59" s="5"/>
      <c r="R59" s="1"/>
      <c r="S59" s="1">
        <f t="shared" si="4"/>
        <v>10.999999999999998</v>
      </c>
      <c r="T59" s="1">
        <f t="shared" si="5"/>
        <v>8.9385610534593614</v>
      </c>
      <c r="U59" s="1">
        <v>25.144400000000001</v>
      </c>
      <c r="V59" s="1">
        <v>24.911000000000001</v>
      </c>
      <c r="W59" s="1">
        <v>27.789400000000001</v>
      </c>
      <c r="X59" s="1">
        <v>26.436199999999999</v>
      </c>
      <c r="Y59" s="1">
        <v>25.998799999999999</v>
      </c>
      <c r="Z59" s="1">
        <v>26.245200000000001</v>
      </c>
      <c r="AA59" s="1">
        <v>26.8096</v>
      </c>
      <c r="AB59" s="1">
        <v>23.7818</v>
      </c>
      <c r="AC59" s="1">
        <v>24.1296</v>
      </c>
      <c r="AD59" s="1">
        <v>28.7286</v>
      </c>
      <c r="AE59" s="1"/>
      <c r="AF59" s="1">
        <f t="shared" si="6"/>
        <v>53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35</v>
      </c>
      <c r="C60" s="1">
        <v>141.53700000000001</v>
      </c>
      <c r="D60" s="1">
        <v>166.226</v>
      </c>
      <c r="E60" s="1">
        <v>153.89099999999999</v>
      </c>
      <c r="F60" s="1">
        <v>130.18100000000001</v>
      </c>
      <c r="G60" s="7">
        <v>1</v>
      </c>
      <c r="H60" s="1">
        <v>40</v>
      </c>
      <c r="I60" s="1" t="s">
        <v>36</v>
      </c>
      <c r="J60" s="1">
        <v>146.80000000000001</v>
      </c>
      <c r="K60" s="1">
        <f t="shared" si="9"/>
        <v>7.0909999999999798</v>
      </c>
      <c r="L60" s="1"/>
      <c r="M60" s="1"/>
      <c r="N60" s="1">
        <v>115.16800000000001</v>
      </c>
      <c r="O60" s="1">
        <f t="shared" si="3"/>
        <v>30.778199999999998</v>
      </c>
      <c r="P60" s="5">
        <f t="shared" si="10"/>
        <v>93.211199999999991</v>
      </c>
      <c r="Q60" s="5"/>
      <c r="R60" s="1"/>
      <c r="S60" s="1">
        <f t="shared" si="4"/>
        <v>11.000000000000002</v>
      </c>
      <c r="T60" s="1">
        <f t="shared" si="5"/>
        <v>7.9715188022691397</v>
      </c>
      <c r="U60" s="1">
        <v>27.654599999999999</v>
      </c>
      <c r="V60" s="1">
        <v>24.975200000000001</v>
      </c>
      <c r="W60" s="1">
        <v>28.192399999999999</v>
      </c>
      <c r="X60" s="1">
        <v>29.488600000000002</v>
      </c>
      <c r="Y60" s="1">
        <v>27.407800000000002</v>
      </c>
      <c r="Z60" s="1">
        <v>25.2224</v>
      </c>
      <c r="AA60" s="1">
        <v>26.7166</v>
      </c>
      <c r="AB60" s="1">
        <v>29.904</v>
      </c>
      <c r="AC60" s="1">
        <v>30.508800000000001</v>
      </c>
      <c r="AD60" s="1">
        <v>28.441600000000001</v>
      </c>
      <c r="AE60" s="1"/>
      <c r="AF60" s="1">
        <f t="shared" si="6"/>
        <v>93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101</v>
      </c>
      <c r="B61" s="14" t="s">
        <v>35</v>
      </c>
      <c r="C61" s="14"/>
      <c r="D61" s="14"/>
      <c r="E61" s="14"/>
      <c r="F61" s="14"/>
      <c r="G61" s="15">
        <v>0</v>
      </c>
      <c r="H61" s="14">
        <v>30</v>
      </c>
      <c r="I61" s="14" t="s">
        <v>36</v>
      </c>
      <c r="J61" s="14"/>
      <c r="K61" s="14">
        <f t="shared" si="9"/>
        <v>0</v>
      </c>
      <c r="L61" s="14"/>
      <c r="M61" s="14"/>
      <c r="N61" s="14"/>
      <c r="O61" s="14">
        <f t="shared" si="3"/>
        <v>0</v>
      </c>
      <c r="P61" s="16"/>
      <c r="Q61" s="16"/>
      <c r="R61" s="14"/>
      <c r="S61" s="14" t="e">
        <f t="shared" si="4"/>
        <v>#DIV/0!</v>
      </c>
      <c r="T61" s="14" t="e">
        <f t="shared" si="5"/>
        <v>#DIV/0!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 t="s">
        <v>59</v>
      </c>
      <c r="AF61" s="1">
        <f t="shared" si="6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102</v>
      </c>
      <c r="B62" s="14" t="s">
        <v>41</v>
      </c>
      <c r="C62" s="14">
        <v>23</v>
      </c>
      <c r="D62" s="14"/>
      <c r="E62" s="14">
        <v>5</v>
      </c>
      <c r="F62" s="14"/>
      <c r="G62" s="15">
        <v>0</v>
      </c>
      <c r="H62" s="14">
        <v>60</v>
      </c>
      <c r="I62" s="14" t="s">
        <v>36</v>
      </c>
      <c r="J62" s="14">
        <v>5</v>
      </c>
      <c r="K62" s="14">
        <f t="shared" si="9"/>
        <v>0</v>
      </c>
      <c r="L62" s="14"/>
      <c r="M62" s="14"/>
      <c r="N62" s="14"/>
      <c r="O62" s="14">
        <f t="shared" si="3"/>
        <v>1</v>
      </c>
      <c r="P62" s="16"/>
      <c r="Q62" s="16"/>
      <c r="R62" s="14"/>
      <c r="S62" s="14">
        <f t="shared" si="4"/>
        <v>0</v>
      </c>
      <c r="T62" s="14">
        <f t="shared" si="5"/>
        <v>0</v>
      </c>
      <c r="U62" s="14">
        <v>1</v>
      </c>
      <c r="V62" s="14">
        <v>4</v>
      </c>
      <c r="W62" s="14">
        <v>4</v>
      </c>
      <c r="X62" s="14">
        <v>3.2</v>
      </c>
      <c r="Y62" s="14">
        <v>3.2</v>
      </c>
      <c r="Z62" s="14">
        <v>0.2</v>
      </c>
      <c r="AA62" s="14">
        <v>0.6</v>
      </c>
      <c r="AB62" s="14">
        <v>0.4</v>
      </c>
      <c r="AC62" s="14">
        <v>0.4</v>
      </c>
      <c r="AD62" s="14">
        <v>1.2</v>
      </c>
      <c r="AE62" s="14" t="s">
        <v>59</v>
      </c>
      <c r="AF62" s="1">
        <f t="shared" si="6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103</v>
      </c>
      <c r="B63" s="14" t="s">
        <v>41</v>
      </c>
      <c r="C63" s="14"/>
      <c r="D63" s="14"/>
      <c r="E63" s="14"/>
      <c r="F63" s="14"/>
      <c r="G63" s="15">
        <v>0</v>
      </c>
      <c r="H63" s="14">
        <v>50</v>
      </c>
      <c r="I63" s="14" t="s">
        <v>36</v>
      </c>
      <c r="J63" s="14"/>
      <c r="K63" s="14">
        <f t="shared" si="9"/>
        <v>0</v>
      </c>
      <c r="L63" s="14"/>
      <c r="M63" s="14"/>
      <c r="N63" s="14"/>
      <c r="O63" s="14">
        <f t="shared" si="3"/>
        <v>0</v>
      </c>
      <c r="P63" s="16"/>
      <c r="Q63" s="16"/>
      <c r="R63" s="14"/>
      <c r="S63" s="14" t="e">
        <f t="shared" si="4"/>
        <v>#DIV/0!</v>
      </c>
      <c r="T63" s="14" t="e">
        <f t="shared" si="5"/>
        <v>#DIV/0!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59</v>
      </c>
      <c r="AF63" s="1">
        <f t="shared" si="6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104</v>
      </c>
      <c r="B64" s="14" t="s">
        <v>41</v>
      </c>
      <c r="C64" s="14"/>
      <c r="D64" s="14"/>
      <c r="E64" s="14"/>
      <c r="F64" s="14"/>
      <c r="G64" s="15">
        <v>0</v>
      </c>
      <c r="H64" s="14">
        <v>50</v>
      </c>
      <c r="I64" s="14" t="s">
        <v>36</v>
      </c>
      <c r="J64" s="14"/>
      <c r="K64" s="14">
        <f t="shared" si="9"/>
        <v>0</v>
      </c>
      <c r="L64" s="14"/>
      <c r="M64" s="14"/>
      <c r="N64" s="14"/>
      <c r="O64" s="14">
        <f t="shared" si="3"/>
        <v>0</v>
      </c>
      <c r="P64" s="16"/>
      <c r="Q64" s="16"/>
      <c r="R64" s="14"/>
      <c r="S64" s="14" t="e">
        <f t="shared" si="4"/>
        <v>#DIV/0!</v>
      </c>
      <c r="T64" s="14" t="e">
        <f t="shared" si="5"/>
        <v>#DIV/0!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59</v>
      </c>
      <c r="AF64" s="1">
        <f t="shared" si="6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105</v>
      </c>
      <c r="B65" s="14" t="s">
        <v>41</v>
      </c>
      <c r="C65" s="14"/>
      <c r="D65" s="14"/>
      <c r="E65" s="14"/>
      <c r="F65" s="14"/>
      <c r="G65" s="15">
        <v>0</v>
      </c>
      <c r="H65" s="14">
        <v>30</v>
      </c>
      <c r="I65" s="14" t="s">
        <v>36</v>
      </c>
      <c r="J65" s="14"/>
      <c r="K65" s="14">
        <f t="shared" si="9"/>
        <v>0</v>
      </c>
      <c r="L65" s="14"/>
      <c r="M65" s="14"/>
      <c r="N65" s="14"/>
      <c r="O65" s="14">
        <f t="shared" si="3"/>
        <v>0</v>
      </c>
      <c r="P65" s="16"/>
      <c r="Q65" s="16"/>
      <c r="R65" s="14"/>
      <c r="S65" s="14" t="e">
        <f t="shared" si="4"/>
        <v>#DIV/0!</v>
      </c>
      <c r="T65" s="14" t="e">
        <f t="shared" si="5"/>
        <v>#DIV/0!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59</v>
      </c>
      <c r="AF65" s="1">
        <f t="shared" si="6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106</v>
      </c>
      <c r="B66" s="14" t="s">
        <v>41</v>
      </c>
      <c r="C66" s="14"/>
      <c r="D66" s="14"/>
      <c r="E66" s="14"/>
      <c r="F66" s="14"/>
      <c r="G66" s="15">
        <v>0</v>
      </c>
      <c r="H66" s="14">
        <v>55</v>
      </c>
      <c r="I66" s="14" t="s">
        <v>36</v>
      </c>
      <c r="J66" s="14"/>
      <c r="K66" s="14">
        <f t="shared" si="9"/>
        <v>0</v>
      </c>
      <c r="L66" s="14"/>
      <c r="M66" s="14"/>
      <c r="N66" s="14"/>
      <c r="O66" s="14">
        <f t="shared" si="3"/>
        <v>0</v>
      </c>
      <c r="P66" s="16"/>
      <c r="Q66" s="16"/>
      <c r="R66" s="14"/>
      <c r="S66" s="14" t="e">
        <f t="shared" si="4"/>
        <v>#DIV/0!</v>
      </c>
      <c r="T66" s="14" t="e">
        <f t="shared" si="5"/>
        <v>#DIV/0!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59</v>
      </c>
      <c r="AF66" s="1">
        <f t="shared" si="6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107</v>
      </c>
      <c r="B67" s="14" t="s">
        <v>41</v>
      </c>
      <c r="C67" s="14"/>
      <c r="D67" s="14"/>
      <c r="E67" s="14"/>
      <c r="F67" s="14"/>
      <c r="G67" s="15">
        <v>0</v>
      </c>
      <c r="H67" s="14">
        <v>40</v>
      </c>
      <c r="I67" s="14" t="s">
        <v>36</v>
      </c>
      <c r="J67" s="14"/>
      <c r="K67" s="14">
        <f t="shared" si="9"/>
        <v>0</v>
      </c>
      <c r="L67" s="14"/>
      <c r="M67" s="14"/>
      <c r="N67" s="14"/>
      <c r="O67" s="14">
        <f t="shared" si="3"/>
        <v>0</v>
      </c>
      <c r="P67" s="16"/>
      <c r="Q67" s="16"/>
      <c r="R67" s="14"/>
      <c r="S67" s="14" t="e">
        <f t="shared" si="4"/>
        <v>#DIV/0!</v>
      </c>
      <c r="T67" s="14" t="e">
        <f t="shared" si="5"/>
        <v>#DIV/0!</v>
      </c>
      <c r="U67" s="14">
        <v>0</v>
      </c>
      <c r="V67" s="14">
        <v>0</v>
      </c>
      <c r="W67" s="14">
        <v>0</v>
      </c>
      <c r="X67" s="14">
        <v>7.2</v>
      </c>
      <c r="Y67" s="14">
        <v>7.2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9" t="s">
        <v>59</v>
      </c>
      <c r="AF67" s="1">
        <f t="shared" si="6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108</v>
      </c>
      <c r="B68" s="1" t="s">
        <v>41</v>
      </c>
      <c r="C68" s="1">
        <v>16</v>
      </c>
      <c r="D68" s="1">
        <v>78</v>
      </c>
      <c r="E68" s="1">
        <v>15</v>
      </c>
      <c r="F68" s="1">
        <v>77</v>
      </c>
      <c r="G68" s="7">
        <v>0.4</v>
      </c>
      <c r="H68" s="1">
        <v>50</v>
      </c>
      <c r="I68" s="1" t="s">
        <v>36</v>
      </c>
      <c r="J68" s="1">
        <v>27</v>
      </c>
      <c r="K68" s="1">
        <f t="shared" si="9"/>
        <v>-12</v>
      </c>
      <c r="L68" s="1"/>
      <c r="M68" s="1"/>
      <c r="N68" s="1"/>
      <c r="O68" s="1">
        <f t="shared" si="3"/>
        <v>3</v>
      </c>
      <c r="P68" s="5"/>
      <c r="Q68" s="5"/>
      <c r="R68" s="1"/>
      <c r="S68" s="1">
        <f t="shared" si="4"/>
        <v>25.666666666666668</v>
      </c>
      <c r="T68" s="1">
        <f t="shared" si="5"/>
        <v>25.666666666666668</v>
      </c>
      <c r="U68" s="1">
        <v>3.2</v>
      </c>
      <c r="V68" s="1">
        <v>8.1999999999999993</v>
      </c>
      <c r="W68" s="1">
        <v>8</v>
      </c>
      <c r="X68" s="1">
        <v>3.6</v>
      </c>
      <c r="Y68" s="1">
        <v>4.4000000000000004</v>
      </c>
      <c r="Z68" s="1">
        <v>5.6</v>
      </c>
      <c r="AA68" s="1">
        <v>7.4</v>
      </c>
      <c r="AB68" s="1">
        <v>3.6</v>
      </c>
      <c r="AC68" s="1">
        <v>2</v>
      </c>
      <c r="AD68" s="1">
        <v>10</v>
      </c>
      <c r="AE68" s="1"/>
      <c r="AF68" s="1">
        <f t="shared" si="6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7" t="s">
        <v>109</v>
      </c>
      <c r="B69" s="1" t="s">
        <v>41</v>
      </c>
      <c r="C69" s="1"/>
      <c r="D69" s="1"/>
      <c r="E69" s="1"/>
      <c r="F69" s="1"/>
      <c r="G69" s="7">
        <v>0.06</v>
      </c>
      <c r="H69" s="1">
        <v>60</v>
      </c>
      <c r="I69" s="1" t="s">
        <v>36</v>
      </c>
      <c r="J69" s="1"/>
      <c r="K69" s="1">
        <f t="shared" si="9"/>
        <v>0</v>
      </c>
      <c r="L69" s="1"/>
      <c r="M69" s="1"/>
      <c r="N69" s="17"/>
      <c r="O69" s="1">
        <f t="shared" si="3"/>
        <v>0</v>
      </c>
      <c r="P69" s="18">
        <v>10</v>
      </c>
      <c r="Q69" s="5"/>
      <c r="R69" s="1"/>
      <c r="S69" s="1" t="e">
        <f t="shared" si="4"/>
        <v>#DIV/0!</v>
      </c>
      <c r="T69" s="1" t="e">
        <f t="shared" si="5"/>
        <v>#DIV/0!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7" t="s">
        <v>110</v>
      </c>
      <c r="AF69" s="1">
        <f t="shared" si="6"/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111</v>
      </c>
      <c r="B70" s="14" t="s">
        <v>41</v>
      </c>
      <c r="C70" s="14"/>
      <c r="D70" s="14"/>
      <c r="E70" s="14"/>
      <c r="F70" s="14"/>
      <c r="G70" s="15">
        <v>0</v>
      </c>
      <c r="H70" s="14">
        <v>55</v>
      </c>
      <c r="I70" s="14" t="s">
        <v>36</v>
      </c>
      <c r="J70" s="14"/>
      <c r="K70" s="14">
        <f t="shared" ref="K70:K95" si="11">E70-J70</f>
        <v>0</v>
      </c>
      <c r="L70" s="14"/>
      <c r="M70" s="14"/>
      <c r="N70" s="14"/>
      <c r="O70" s="14">
        <f t="shared" si="3"/>
        <v>0</v>
      </c>
      <c r="P70" s="16"/>
      <c r="Q70" s="16"/>
      <c r="R70" s="14"/>
      <c r="S70" s="14" t="e">
        <f t="shared" si="4"/>
        <v>#DIV/0!</v>
      </c>
      <c r="T70" s="14" t="e">
        <f t="shared" si="5"/>
        <v>#DIV/0!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 t="s">
        <v>59</v>
      </c>
      <c r="AF70" s="1">
        <f t="shared" si="6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112</v>
      </c>
      <c r="B71" s="14" t="s">
        <v>35</v>
      </c>
      <c r="C71" s="14"/>
      <c r="D71" s="14"/>
      <c r="E71" s="14"/>
      <c r="F71" s="14"/>
      <c r="G71" s="15">
        <v>0</v>
      </c>
      <c r="H71" s="14">
        <v>55</v>
      </c>
      <c r="I71" s="14" t="s">
        <v>36</v>
      </c>
      <c r="J71" s="14"/>
      <c r="K71" s="14">
        <f t="shared" si="11"/>
        <v>0</v>
      </c>
      <c r="L71" s="14"/>
      <c r="M71" s="14"/>
      <c r="N71" s="14">
        <v>0</v>
      </c>
      <c r="O71" s="14">
        <f t="shared" ref="O71:O95" si="12">E71/5</f>
        <v>0</v>
      </c>
      <c r="P71" s="16"/>
      <c r="Q71" s="16"/>
      <c r="R71" s="14"/>
      <c r="S71" s="14" t="e">
        <f t="shared" ref="S71:S95" si="13">(F71+N71+P71)/O71</f>
        <v>#DIV/0!</v>
      </c>
      <c r="T71" s="14" t="e">
        <f t="shared" ref="T71:T95" si="14">(F71+N71)/O71</f>
        <v>#DIV/0!</v>
      </c>
      <c r="U71" s="14">
        <v>0</v>
      </c>
      <c r="V71" s="14">
        <v>0</v>
      </c>
      <c r="W71" s="14">
        <v>0</v>
      </c>
      <c r="X71" s="14">
        <v>-0.29020000000000001</v>
      </c>
      <c r="Y71" s="14">
        <v>-0.29020000000000001</v>
      </c>
      <c r="Z71" s="14">
        <v>0.28220000000000001</v>
      </c>
      <c r="AA71" s="14">
        <v>0.28220000000000001</v>
      </c>
      <c r="AB71" s="14">
        <v>0.2838</v>
      </c>
      <c r="AC71" s="14">
        <v>2.5790000000000002</v>
      </c>
      <c r="AD71" s="14">
        <v>2.3086000000000002</v>
      </c>
      <c r="AE71" s="19" t="s">
        <v>146</v>
      </c>
      <c r="AF71" s="1">
        <f t="shared" ref="AF71:AF95" si="15">ROUND(G71*P71,0)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113</v>
      </c>
      <c r="B72" s="10" t="s">
        <v>35</v>
      </c>
      <c r="C72" s="10">
        <v>116.979</v>
      </c>
      <c r="D72" s="10"/>
      <c r="E72" s="10">
        <v>22.228000000000002</v>
      </c>
      <c r="F72" s="10">
        <v>91.968999999999994</v>
      </c>
      <c r="G72" s="11">
        <v>0</v>
      </c>
      <c r="H72" s="10">
        <v>50</v>
      </c>
      <c r="I72" s="10" t="s">
        <v>114</v>
      </c>
      <c r="J72" s="10">
        <v>22.4</v>
      </c>
      <c r="K72" s="10">
        <f t="shared" si="11"/>
        <v>-0.17199999999999704</v>
      </c>
      <c r="L72" s="10"/>
      <c r="M72" s="10"/>
      <c r="N72" s="10"/>
      <c r="O72" s="10">
        <f t="shared" si="12"/>
        <v>4.4456000000000007</v>
      </c>
      <c r="P72" s="12"/>
      <c r="Q72" s="12"/>
      <c r="R72" s="10"/>
      <c r="S72" s="10">
        <f t="shared" si="13"/>
        <v>20.68764621198488</v>
      </c>
      <c r="T72" s="10">
        <f t="shared" si="14"/>
        <v>20.68764621198488</v>
      </c>
      <c r="U72" s="10">
        <v>4.4468000000000014</v>
      </c>
      <c r="V72" s="10">
        <v>5.8456000000000001</v>
      </c>
      <c r="W72" s="10">
        <v>6.6808000000000014</v>
      </c>
      <c r="X72" s="10">
        <v>4.7278000000000002</v>
      </c>
      <c r="Y72" s="10">
        <v>3.3361999999999998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3" t="s">
        <v>145</v>
      </c>
      <c r="AF72" s="1">
        <f t="shared" si="15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115</v>
      </c>
      <c r="B73" s="14" t="s">
        <v>41</v>
      </c>
      <c r="C73" s="14"/>
      <c r="D73" s="14"/>
      <c r="E73" s="14"/>
      <c r="F73" s="14"/>
      <c r="G73" s="15">
        <v>0</v>
      </c>
      <c r="H73" s="14">
        <v>40</v>
      </c>
      <c r="I73" s="14" t="s">
        <v>36</v>
      </c>
      <c r="J73" s="14"/>
      <c r="K73" s="14">
        <f t="shared" si="11"/>
        <v>0</v>
      </c>
      <c r="L73" s="14"/>
      <c r="M73" s="14"/>
      <c r="N73" s="14"/>
      <c r="O73" s="14">
        <f t="shared" si="12"/>
        <v>0</v>
      </c>
      <c r="P73" s="16"/>
      <c r="Q73" s="16"/>
      <c r="R73" s="14"/>
      <c r="S73" s="14" t="e">
        <f t="shared" si="13"/>
        <v>#DIV/0!</v>
      </c>
      <c r="T73" s="14" t="e">
        <f t="shared" si="14"/>
        <v>#DIV/0!</v>
      </c>
      <c r="U73" s="14">
        <v>0</v>
      </c>
      <c r="V73" s="14">
        <v>0</v>
      </c>
      <c r="W73" s="14">
        <v>-0.2</v>
      </c>
      <c r="X73" s="14">
        <v>-0.2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-0.2</v>
      </c>
      <c r="AE73" s="14" t="s">
        <v>116</v>
      </c>
      <c r="AF73" s="1">
        <f t="shared" si="15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117</v>
      </c>
      <c r="B74" s="1" t="s">
        <v>41</v>
      </c>
      <c r="C74" s="1">
        <v>6</v>
      </c>
      <c r="D74" s="1">
        <v>12</v>
      </c>
      <c r="E74" s="1">
        <v>6</v>
      </c>
      <c r="F74" s="1">
        <v>12</v>
      </c>
      <c r="G74" s="7">
        <v>0.2</v>
      </c>
      <c r="H74" s="1">
        <v>35</v>
      </c>
      <c r="I74" s="1" t="s">
        <v>36</v>
      </c>
      <c r="J74" s="1">
        <v>16</v>
      </c>
      <c r="K74" s="1">
        <f t="shared" si="11"/>
        <v>-10</v>
      </c>
      <c r="L74" s="1"/>
      <c r="M74" s="1"/>
      <c r="N74" s="1">
        <v>0</v>
      </c>
      <c r="O74" s="1">
        <f t="shared" si="12"/>
        <v>1.2</v>
      </c>
      <c r="P74" s="5"/>
      <c r="Q74" s="5"/>
      <c r="R74" s="1"/>
      <c r="S74" s="1">
        <f t="shared" si="13"/>
        <v>10</v>
      </c>
      <c r="T74" s="1">
        <f t="shared" si="14"/>
        <v>10</v>
      </c>
      <c r="U74" s="1">
        <v>1.2</v>
      </c>
      <c r="V74" s="1">
        <v>1.2</v>
      </c>
      <c r="W74" s="1">
        <v>1</v>
      </c>
      <c r="X74" s="1">
        <v>-0.2</v>
      </c>
      <c r="Y74" s="1">
        <v>-0.2</v>
      </c>
      <c r="Z74" s="1">
        <v>-0.2</v>
      </c>
      <c r="AA74" s="1">
        <v>0</v>
      </c>
      <c r="AB74" s="1">
        <v>-0.8</v>
      </c>
      <c r="AC74" s="1">
        <v>-0.8</v>
      </c>
      <c r="AD74" s="1">
        <v>0</v>
      </c>
      <c r="AE74" s="1" t="s">
        <v>118</v>
      </c>
      <c r="AF74" s="1">
        <f t="shared" si="15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119</v>
      </c>
      <c r="B75" s="1" t="s">
        <v>35</v>
      </c>
      <c r="C75" s="1">
        <v>118.9</v>
      </c>
      <c r="D75" s="1">
        <v>97.69</v>
      </c>
      <c r="E75" s="1">
        <v>101.223</v>
      </c>
      <c r="F75" s="1">
        <v>88.06</v>
      </c>
      <c r="G75" s="7">
        <v>1</v>
      </c>
      <c r="H75" s="1">
        <v>60</v>
      </c>
      <c r="I75" s="1" t="s">
        <v>36</v>
      </c>
      <c r="J75" s="1">
        <v>111.78</v>
      </c>
      <c r="K75" s="1">
        <f t="shared" si="11"/>
        <v>-10.557000000000002</v>
      </c>
      <c r="L75" s="1"/>
      <c r="M75" s="1"/>
      <c r="N75" s="1">
        <v>139.82906</v>
      </c>
      <c r="O75" s="1">
        <f t="shared" si="12"/>
        <v>20.244599999999998</v>
      </c>
      <c r="P75" s="5"/>
      <c r="Q75" s="5"/>
      <c r="R75" s="1"/>
      <c r="S75" s="1">
        <f t="shared" si="13"/>
        <v>11.256782549420587</v>
      </c>
      <c r="T75" s="1">
        <f t="shared" si="14"/>
        <v>11.256782549420587</v>
      </c>
      <c r="U75" s="1">
        <v>23.151</v>
      </c>
      <c r="V75" s="1">
        <v>15.3866</v>
      </c>
      <c r="W75" s="1">
        <v>12.1342</v>
      </c>
      <c r="X75" s="1">
        <v>12.692</v>
      </c>
      <c r="Y75" s="1">
        <v>13.7348</v>
      </c>
      <c r="Z75" s="1">
        <v>17.5732</v>
      </c>
      <c r="AA75" s="1">
        <v>17.683399999999999</v>
      </c>
      <c r="AB75" s="1">
        <v>20.470199999999998</v>
      </c>
      <c r="AC75" s="1">
        <v>21.198399999999999</v>
      </c>
      <c r="AD75" s="1">
        <v>16.9664</v>
      </c>
      <c r="AE75" s="1" t="s">
        <v>54</v>
      </c>
      <c r="AF75" s="1">
        <f t="shared" si="15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120</v>
      </c>
      <c r="B76" s="1" t="s">
        <v>35</v>
      </c>
      <c r="C76" s="1">
        <v>803.52499999999998</v>
      </c>
      <c r="D76" s="1">
        <v>1028.49</v>
      </c>
      <c r="E76" s="1">
        <v>705.26400000000001</v>
      </c>
      <c r="F76" s="1">
        <v>983.43100000000004</v>
      </c>
      <c r="G76" s="7">
        <v>1</v>
      </c>
      <c r="H76" s="1">
        <v>60</v>
      </c>
      <c r="I76" s="1" t="s">
        <v>36</v>
      </c>
      <c r="J76" s="1">
        <v>710</v>
      </c>
      <c r="K76" s="1">
        <f t="shared" si="11"/>
        <v>-4.73599999999999</v>
      </c>
      <c r="L76" s="1"/>
      <c r="M76" s="1"/>
      <c r="N76" s="1">
        <v>455.3059199999999</v>
      </c>
      <c r="O76" s="1">
        <f t="shared" si="12"/>
        <v>141.05279999999999</v>
      </c>
      <c r="P76" s="5">
        <f t="shared" ref="P76:P80" si="16">11*O76-N76-F76</f>
        <v>112.8438799999999</v>
      </c>
      <c r="Q76" s="5"/>
      <c r="R76" s="1"/>
      <c r="S76" s="1">
        <f t="shared" si="13"/>
        <v>10.999999999999998</v>
      </c>
      <c r="T76" s="1">
        <f t="shared" si="14"/>
        <v>10.19998837314821</v>
      </c>
      <c r="U76" s="1">
        <v>151.94720000000001</v>
      </c>
      <c r="V76" s="1">
        <v>141.1464</v>
      </c>
      <c r="W76" s="1">
        <v>134.8244</v>
      </c>
      <c r="X76" s="1">
        <v>138.46899999999999</v>
      </c>
      <c r="Y76" s="1">
        <v>131.834</v>
      </c>
      <c r="Z76" s="1">
        <v>94.513800000000003</v>
      </c>
      <c r="AA76" s="1">
        <v>99.917400000000001</v>
      </c>
      <c r="AB76" s="1">
        <v>94.762</v>
      </c>
      <c r="AC76" s="1">
        <v>88.28</v>
      </c>
      <c r="AD76" s="1">
        <v>104.4498</v>
      </c>
      <c r="AE76" s="1" t="s">
        <v>54</v>
      </c>
      <c r="AF76" s="1">
        <f t="shared" si="15"/>
        <v>113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121</v>
      </c>
      <c r="B77" s="1" t="s">
        <v>35</v>
      </c>
      <c r="C77" s="1">
        <v>717.89300000000003</v>
      </c>
      <c r="D77" s="1">
        <v>835.11099999999999</v>
      </c>
      <c r="E77" s="1">
        <v>987.40899999999999</v>
      </c>
      <c r="F77" s="1">
        <v>409.20100000000002</v>
      </c>
      <c r="G77" s="7">
        <v>1</v>
      </c>
      <c r="H77" s="1">
        <v>60</v>
      </c>
      <c r="I77" s="1" t="s">
        <v>36</v>
      </c>
      <c r="J77" s="1">
        <v>1010</v>
      </c>
      <c r="K77" s="1">
        <f t="shared" si="11"/>
        <v>-22.591000000000008</v>
      </c>
      <c r="L77" s="1"/>
      <c r="M77" s="1"/>
      <c r="N77" s="1">
        <v>1500.8679999999999</v>
      </c>
      <c r="O77" s="1">
        <f t="shared" si="12"/>
        <v>197.48179999999999</v>
      </c>
      <c r="P77" s="5">
        <f t="shared" si="16"/>
        <v>262.23079999999982</v>
      </c>
      <c r="Q77" s="5"/>
      <c r="R77" s="1"/>
      <c r="S77" s="1">
        <f t="shared" si="13"/>
        <v>11</v>
      </c>
      <c r="T77" s="1">
        <f t="shared" si="14"/>
        <v>9.6721267478825901</v>
      </c>
      <c r="U77" s="1">
        <v>203.68260000000001</v>
      </c>
      <c r="V77" s="1">
        <v>115.6262</v>
      </c>
      <c r="W77" s="1">
        <v>101.3558</v>
      </c>
      <c r="X77" s="1">
        <v>111.047</v>
      </c>
      <c r="Y77" s="1">
        <v>109.56059999999999</v>
      </c>
      <c r="Z77" s="1">
        <v>77.376400000000004</v>
      </c>
      <c r="AA77" s="1">
        <v>73.351399999999998</v>
      </c>
      <c r="AB77" s="1">
        <v>73.628599999999992</v>
      </c>
      <c r="AC77" s="1">
        <v>82.586600000000004</v>
      </c>
      <c r="AD77" s="1">
        <v>85.712999999999994</v>
      </c>
      <c r="AE77" s="1" t="s">
        <v>54</v>
      </c>
      <c r="AF77" s="1">
        <f t="shared" si="15"/>
        <v>262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122</v>
      </c>
      <c r="B78" s="1" t="s">
        <v>35</v>
      </c>
      <c r="C78" s="1">
        <v>723.98199999999997</v>
      </c>
      <c r="D78" s="1">
        <v>905.88800000000003</v>
      </c>
      <c r="E78" s="1">
        <v>602.92899999999997</v>
      </c>
      <c r="F78" s="1">
        <v>893.88800000000003</v>
      </c>
      <c r="G78" s="7">
        <v>1</v>
      </c>
      <c r="H78" s="1">
        <v>60</v>
      </c>
      <c r="I78" s="1" t="s">
        <v>36</v>
      </c>
      <c r="J78" s="1">
        <v>592.5</v>
      </c>
      <c r="K78" s="1">
        <f t="shared" si="11"/>
        <v>10.428999999999974</v>
      </c>
      <c r="L78" s="1"/>
      <c r="M78" s="1"/>
      <c r="N78" s="1">
        <v>302.39388000000019</v>
      </c>
      <c r="O78" s="1">
        <f t="shared" si="12"/>
        <v>120.58579999999999</v>
      </c>
      <c r="P78" s="5">
        <f t="shared" si="16"/>
        <v>130.1619199999999</v>
      </c>
      <c r="Q78" s="5"/>
      <c r="R78" s="1"/>
      <c r="S78" s="1">
        <f t="shared" si="13"/>
        <v>11</v>
      </c>
      <c r="T78" s="1">
        <f t="shared" si="14"/>
        <v>9.9205866694088378</v>
      </c>
      <c r="U78" s="1">
        <v>128.089</v>
      </c>
      <c r="V78" s="1">
        <v>134.67699999999999</v>
      </c>
      <c r="W78" s="1">
        <v>123.3916</v>
      </c>
      <c r="X78" s="1">
        <v>138.13939999999999</v>
      </c>
      <c r="Y78" s="1">
        <v>167.5504</v>
      </c>
      <c r="Z78" s="1">
        <v>171.14580000000001</v>
      </c>
      <c r="AA78" s="1">
        <v>166.64920000000001</v>
      </c>
      <c r="AB78" s="1">
        <v>213.7526</v>
      </c>
      <c r="AC78" s="1">
        <v>215.4034</v>
      </c>
      <c r="AD78" s="1">
        <v>219.905</v>
      </c>
      <c r="AE78" s="1"/>
      <c r="AF78" s="1">
        <f t="shared" si="15"/>
        <v>130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123</v>
      </c>
      <c r="B79" s="1" t="s">
        <v>35</v>
      </c>
      <c r="C79" s="1">
        <v>6.8739999999999997</v>
      </c>
      <c r="D79" s="1">
        <v>10.973000000000001</v>
      </c>
      <c r="E79" s="1">
        <v>5.48</v>
      </c>
      <c r="F79" s="1">
        <v>12.367000000000001</v>
      </c>
      <c r="G79" s="7">
        <v>1</v>
      </c>
      <c r="H79" s="1">
        <v>55</v>
      </c>
      <c r="I79" s="1" t="s">
        <v>36</v>
      </c>
      <c r="J79" s="1">
        <v>5.2</v>
      </c>
      <c r="K79" s="1">
        <f t="shared" si="11"/>
        <v>0.28000000000000025</v>
      </c>
      <c r="L79" s="1"/>
      <c r="M79" s="1"/>
      <c r="N79" s="1"/>
      <c r="O79" s="1">
        <f t="shared" si="12"/>
        <v>1.0960000000000001</v>
      </c>
      <c r="P79" s="5"/>
      <c r="Q79" s="5"/>
      <c r="R79" s="1"/>
      <c r="S79" s="1">
        <f t="shared" si="13"/>
        <v>11.283759124087592</v>
      </c>
      <c r="T79" s="1">
        <f t="shared" si="14"/>
        <v>11.283759124087592</v>
      </c>
      <c r="U79" s="1">
        <v>1.0960000000000001</v>
      </c>
      <c r="V79" s="1">
        <v>0</v>
      </c>
      <c r="W79" s="1">
        <v>0.2732</v>
      </c>
      <c r="X79" s="1">
        <v>0.82400000000000007</v>
      </c>
      <c r="Y79" s="1">
        <v>0.55079999999999996</v>
      </c>
      <c r="Z79" s="1">
        <v>0</v>
      </c>
      <c r="AA79" s="1">
        <v>0</v>
      </c>
      <c r="AB79" s="1">
        <v>0.80199999999999994</v>
      </c>
      <c r="AC79" s="1">
        <v>1.0693999999999999</v>
      </c>
      <c r="AD79" s="1">
        <v>0.53859999999999997</v>
      </c>
      <c r="AE79" s="1" t="s">
        <v>124</v>
      </c>
      <c r="AF79" s="1">
        <f t="shared" si="15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125</v>
      </c>
      <c r="B80" s="1" t="s">
        <v>35</v>
      </c>
      <c r="C80" s="1">
        <v>8.0150000000000006</v>
      </c>
      <c r="D80" s="1"/>
      <c r="E80" s="1">
        <v>6.6539999999999999</v>
      </c>
      <c r="F80" s="1">
        <v>1.361</v>
      </c>
      <c r="G80" s="7">
        <v>1</v>
      </c>
      <c r="H80" s="1">
        <v>55</v>
      </c>
      <c r="I80" s="1" t="s">
        <v>36</v>
      </c>
      <c r="J80" s="1">
        <v>6.5</v>
      </c>
      <c r="K80" s="1">
        <f t="shared" si="11"/>
        <v>0.15399999999999991</v>
      </c>
      <c r="L80" s="1"/>
      <c r="M80" s="1"/>
      <c r="N80" s="1">
        <v>9.2853999999999992</v>
      </c>
      <c r="O80" s="1">
        <f t="shared" si="12"/>
        <v>1.3308</v>
      </c>
      <c r="P80" s="5">
        <f t="shared" si="16"/>
        <v>3.9924000000000008</v>
      </c>
      <c r="Q80" s="5"/>
      <c r="R80" s="1"/>
      <c r="S80" s="1">
        <f t="shared" si="13"/>
        <v>11</v>
      </c>
      <c r="T80" s="1">
        <f t="shared" si="14"/>
        <v>8</v>
      </c>
      <c r="U80" s="1">
        <v>1.3308</v>
      </c>
      <c r="V80" s="1">
        <v>0</v>
      </c>
      <c r="W80" s="1">
        <v>0.26800000000000002</v>
      </c>
      <c r="X80" s="1">
        <v>0.53520000000000001</v>
      </c>
      <c r="Y80" s="1">
        <v>0.26719999999999999</v>
      </c>
      <c r="Z80" s="1">
        <v>0</v>
      </c>
      <c r="AA80" s="1">
        <v>-0.14000000000000001</v>
      </c>
      <c r="AB80" s="1">
        <v>-0.40639999999999998</v>
      </c>
      <c r="AC80" s="1">
        <v>-0.26640000000000003</v>
      </c>
      <c r="AD80" s="1">
        <v>0.26679999999999998</v>
      </c>
      <c r="AE80" s="1" t="s">
        <v>126</v>
      </c>
      <c r="AF80" s="1">
        <f t="shared" si="15"/>
        <v>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35</v>
      </c>
      <c r="C81" s="1">
        <v>13.372999999999999</v>
      </c>
      <c r="D81" s="1">
        <v>10.555</v>
      </c>
      <c r="E81" s="1"/>
      <c r="F81" s="1">
        <v>23.928000000000001</v>
      </c>
      <c r="G81" s="7">
        <v>1</v>
      </c>
      <c r="H81" s="1">
        <v>55</v>
      </c>
      <c r="I81" s="1" t="s">
        <v>36</v>
      </c>
      <c r="J81" s="1"/>
      <c r="K81" s="1">
        <f t="shared" si="11"/>
        <v>0</v>
      </c>
      <c r="L81" s="1"/>
      <c r="M81" s="1"/>
      <c r="N81" s="1"/>
      <c r="O81" s="1">
        <f t="shared" si="12"/>
        <v>0</v>
      </c>
      <c r="P81" s="5"/>
      <c r="Q81" s="5"/>
      <c r="R81" s="1"/>
      <c r="S81" s="1" t="e">
        <f t="shared" si="13"/>
        <v>#DIV/0!</v>
      </c>
      <c r="T81" s="1" t="e">
        <f t="shared" si="14"/>
        <v>#DIV/0!</v>
      </c>
      <c r="U81" s="1">
        <v>0</v>
      </c>
      <c r="V81" s="1">
        <v>0</v>
      </c>
      <c r="W81" s="1">
        <v>0.26479999999999998</v>
      </c>
      <c r="X81" s="1">
        <v>1.3404</v>
      </c>
      <c r="Y81" s="1">
        <v>1.0755999999999999</v>
      </c>
      <c r="Z81" s="1">
        <v>0</v>
      </c>
      <c r="AA81" s="1">
        <v>0.26879999999999998</v>
      </c>
      <c r="AB81" s="1">
        <v>0.81400000000000006</v>
      </c>
      <c r="AC81" s="1">
        <v>0.54520000000000002</v>
      </c>
      <c r="AD81" s="1">
        <v>0.2712</v>
      </c>
      <c r="AE81" s="22" t="s">
        <v>128</v>
      </c>
      <c r="AF81" s="1">
        <f t="shared" si="15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4" t="s">
        <v>129</v>
      </c>
      <c r="B82" s="14" t="s">
        <v>35</v>
      </c>
      <c r="C82" s="14"/>
      <c r="D82" s="14"/>
      <c r="E82" s="14"/>
      <c r="F82" s="14"/>
      <c r="G82" s="15">
        <v>0</v>
      </c>
      <c r="H82" s="14">
        <v>60</v>
      </c>
      <c r="I82" s="14" t="s">
        <v>36</v>
      </c>
      <c r="J82" s="14"/>
      <c r="K82" s="14">
        <f t="shared" si="11"/>
        <v>0</v>
      </c>
      <c r="L82" s="14"/>
      <c r="M82" s="14"/>
      <c r="N82" s="14"/>
      <c r="O82" s="14">
        <f t="shared" si="12"/>
        <v>0</v>
      </c>
      <c r="P82" s="16"/>
      <c r="Q82" s="16"/>
      <c r="R82" s="14"/>
      <c r="S82" s="14" t="e">
        <f t="shared" si="13"/>
        <v>#DIV/0!</v>
      </c>
      <c r="T82" s="14" t="e">
        <f t="shared" si="14"/>
        <v>#DIV/0!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 t="s">
        <v>59</v>
      </c>
      <c r="AF82" s="1">
        <f t="shared" si="15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41</v>
      </c>
      <c r="C83" s="1">
        <v>20</v>
      </c>
      <c r="D83" s="1">
        <v>12</v>
      </c>
      <c r="E83" s="1">
        <v>20</v>
      </c>
      <c r="F83" s="1">
        <v>5</v>
      </c>
      <c r="G83" s="7">
        <v>0.3</v>
      </c>
      <c r="H83" s="1">
        <v>40</v>
      </c>
      <c r="I83" s="1" t="s">
        <v>36</v>
      </c>
      <c r="J83" s="1">
        <v>27</v>
      </c>
      <c r="K83" s="1">
        <f t="shared" si="11"/>
        <v>-7</v>
      </c>
      <c r="L83" s="1"/>
      <c r="M83" s="1"/>
      <c r="N83" s="1">
        <v>11.4</v>
      </c>
      <c r="O83" s="1">
        <f t="shared" si="12"/>
        <v>4</v>
      </c>
      <c r="P83" s="5">
        <f t="shared" ref="P83:P93" si="17">11*O83-N83-F83</f>
        <v>27.6</v>
      </c>
      <c r="Q83" s="5"/>
      <c r="R83" s="1"/>
      <c r="S83" s="1">
        <f t="shared" si="13"/>
        <v>11</v>
      </c>
      <c r="T83" s="1">
        <f t="shared" si="14"/>
        <v>4.0999999999999996</v>
      </c>
      <c r="U83" s="1">
        <v>2.6</v>
      </c>
      <c r="V83" s="1">
        <v>1.2</v>
      </c>
      <c r="W83" s="1">
        <v>1.2</v>
      </c>
      <c r="X83" s="1">
        <v>1.2</v>
      </c>
      <c r="Y83" s="1">
        <v>0.4</v>
      </c>
      <c r="Z83" s="1">
        <v>2</v>
      </c>
      <c r="AA83" s="1">
        <v>3.4</v>
      </c>
      <c r="AB83" s="1">
        <v>1</v>
      </c>
      <c r="AC83" s="1">
        <v>0.8</v>
      </c>
      <c r="AD83" s="1">
        <v>0.8</v>
      </c>
      <c r="AE83" s="1"/>
      <c r="AF83" s="1">
        <f t="shared" si="15"/>
        <v>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41</v>
      </c>
      <c r="C84" s="1">
        <v>17</v>
      </c>
      <c r="D84" s="1">
        <v>12</v>
      </c>
      <c r="E84" s="1">
        <v>18</v>
      </c>
      <c r="F84" s="1"/>
      <c r="G84" s="7">
        <v>0.3</v>
      </c>
      <c r="H84" s="1">
        <v>40</v>
      </c>
      <c r="I84" s="1" t="s">
        <v>36</v>
      </c>
      <c r="J84" s="1">
        <v>25</v>
      </c>
      <c r="K84" s="1">
        <f t="shared" si="11"/>
        <v>-7</v>
      </c>
      <c r="L84" s="1"/>
      <c r="M84" s="1"/>
      <c r="N84" s="1">
        <v>22.8</v>
      </c>
      <c r="O84" s="1">
        <f t="shared" si="12"/>
        <v>3.6</v>
      </c>
      <c r="P84" s="5">
        <f t="shared" si="17"/>
        <v>16.8</v>
      </c>
      <c r="Q84" s="5"/>
      <c r="R84" s="1"/>
      <c r="S84" s="1">
        <f t="shared" si="13"/>
        <v>11</v>
      </c>
      <c r="T84" s="1">
        <f t="shared" si="14"/>
        <v>6.333333333333333</v>
      </c>
      <c r="U84" s="1">
        <v>3.4</v>
      </c>
      <c r="V84" s="1">
        <v>2</v>
      </c>
      <c r="W84" s="1">
        <v>2.4</v>
      </c>
      <c r="X84" s="1">
        <v>-1</v>
      </c>
      <c r="Y84" s="1">
        <v>-0.6</v>
      </c>
      <c r="Z84" s="1">
        <v>-0.2</v>
      </c>
      <c r="AA84" s="1">
        <v>-0.2</v>
      </c>
      <c r="AB84" s="1">
        <v>0.4</v>
      </c>
      <c r="AC84" s="1">
        <v>0.4</v>
      </c>
      <c r="AD84" s="1">
        <v>2.8</v>
      </c>
      <c r="AE84" s="1"/>
      <c r="AF84" s="1">
        <f t="shared" si="15"/>
        <v>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41</v>
      </c>
      <c r="C85" s="1">
        <v>32</v>
      </c>
      <c r="D85" s="1">
        <v>150</v>
      </c>
      <c r="E85" s="1">
        <v>75</v>
      </c>
      <c r="F85" s="1">
        <v>90</v>
      </c>
      <c r="G85" s="7">
        <v>0.3</v>
      </c>
      <c r="H85" s="1">
        <v>40</v>
      </c>
      <c r="I85" s="1" t="s">
        <v>36</v>
      </c>
      <c r="J85" s="1">
        <v>90</v>
      </c>
      <c r="K85" s="1">
        <f t="shared" si="11"/>
        <v>-15</v>
      </c>
      <c r="L85" s="1"/>
      <c r="M85" s="1"/>
      <c r="N85" s="1">
        <v>50.259999999999991</v>
      </c>
      <c r="O85" s="1">
        <f t="shared" si="12"/>
        <v>15</v>
      </c>
      <c r="P85" s="5">
        <f t="shared" si="17"/>
        <v>24.740000000000009</v>
      </c>
      <c r="Q85" s="5"/>
      <c r="R85" s="1"/>
      <c r="S85" s="1">
        <f t="shared" si="13"/>
        <v>11</v>
      </c>
      <c r="T85" s="1">
        <f t="shared" si="14"/>
        <v>9.3506666666666653</v>
      </c>
      <c r="U85" s="1">
        <v>15.2</v>
      </c>
      <c r="V85" s="1">
        <v>14.4</v>
      </c>
      <c r="W85" s="1">
        <v>12.2</v>
      </c>
      <c r="X85" s="1">
        <v>8.6</v>
      </c>
      <c r="Y85" s="1">
        <v>8.6</v>
      </c>
      <c r="Z85" s="1">
        <v>9.8000000000000007</v>
      </c>
      <c r="AA85" s="1">
        <v>9.1999999999999993</v>
      </c>
      <c r="AB85" s="1">
        <v>7.4</v>
      </c>
      <c r="AC85" s="1">
        <v>9.4</v>
      </c>
      <c r="AD85" s="1">
        <v>9</v>
      </c>
      <c r="AE85" s="1"/>
      <c r="AF85" s="1">
        <f t="shared" si="15"/>
        <v>7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35</v>
      </c>
      <c r="C86" s="1">
        <v>21.715</v>
      </c>
      <c r="D86" s="1"/>
      <c r="E86" s="1">
        <v>21.79</v>
      </c>
      <c r="F86" s="1">
        <v>-7.4999999999999997E-2</v>
      </c>
      <c r="G86" s="7">
        <v>1</v>
      </c>
      <c r="H86" s="1">
        <v>50</v>
      </c>
      <c r="I86" s="1" t="s">
        <v>36</v>
      </c>
      <c r="J86" s="1">
        <v>22.5</v>
      </c>
      <c r="K86" s="1">
        <f t="shared" si="11"/>
        <v>-0.71000000000000085</v>
      </c>
      <c r="L86" s="1"/>
      <c r="M86" s="1"/>
      <c r="N86" s="1">
        <v>27.312200000000001</v>
      </c>
      <c r="O86" s="1">
        <f t="shared" si="12"/>
        <v>4.3579999999999997</v>
      </c>
      <c r="P86" s="5">
        <f t="shared" si="17"/>
        <v>20.700799999999994</v>
      </c>
      <c r="Q86" s="5"/>
      <c r="R86" s="1"/>
      <c r="S86" s="1">
        <f t="shared" si="13"/>
        <v>11</v>
      </c>
      <c r="T86" s="1">
        <f t="shared" si="14"/>
        <v>6.2499311610830661</v>
      </c>
      <c r="U86" s="1">
        <v>4.0856000000000003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134</v>
      </c>
      <c r="AF86" s="1">
        <f t="shared" si="15"/>
        <v>21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135</v>
      </c>
      <c r="B87" s="1" t="s">
        <v>41</v>
      </c>
      <c r="C87" s="1">
        <v>48</v>
      </c>
      <c r="D87" s="1"/>
      <c r="E87" s="1">
        <v>48</v>
      </c>
      <c r="F87" s="1"/>
      <c r="G87" s="7">
        <v>0.05</v>
      </c>
      <c r="H87" s="1">
        <v>120</v>
      </c>
      <c r="I87" s="1" t="s">
        <v>36</v>
      </c>
      <c r="J87" s="1">
        <v>62</v>
      </c>
      <c r="K87" s="1">
        <f t="shared" si="11"/>
        <v>-14</v>
      </c>
      <c r="L87" s="1"/>
      <c r="M87" s="1"/>
      <c r="N87" s="1">
        <v>60</v>
      </c>
      <c r="O87" s="1">
        <f t="shared" si="12"/>
        <v>9.6</v>
      </c>
      <c r="P87" s="5">
        <f t="shared" si="17"/>
        <v>45.599999999999994</v>
      </c>
      <c r="Q87" s="5"/>
      <c r="R87" s="1"/>
      <c r="S87" s="1">
        <f t="shared" si="13"/>
        <v>11</v>
      </c>
      <c r="T87" s="1">
        <f t="shared" si="14"/>
        <v>6.25</v>
      </c>
      <c r="U87" s="1">
        <v>9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134</v>
      </c>
      <c r="AF87" s="1">
        <f t="shared" si="15"/>
        <v>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35</v>
      </c>
      <c r="C88" s="1">
        <v>652.83900000000006</v>
      </c>
      <c r="D88" s="1">
        <v>336.48899999999998</v>
      </c>
      <c r="E88" s="1">
        <v>460.00900000000001</v>
      </c>
      <c r="F88" s="1">
        <v>473.38900000000001</v>
      </c>
      <c r="G88" s="7">
        <v>1</v>
      </c>
      <c r="H88" s="1">
        <v>40</v>
      </c>
      <c r="I88" s="1" t="s">
        <v>36</v>
      </c>
      <c r="J88" s="1">
        <v>426.5</v>
      </c>
      <c r="K88" s="1">
        <f t="shared" si="11"/>
        <v>33.509000000000015</v>
      </c>
      <c r="L88" s="1"/>
      <c r="M88" s="1"/>
      <c r="N88" s="1">
        <v>282.47699999999998</v>
      </c>
      <c r="O88" s="1">
        <f t="shared" si="12"/>
        <v>92.001800000000003</v>
      </c>
      <c r="P88" s="5">
        <f t="shared" si="17"/>
        <v>256.15380000000005</v>
      </c>
      <c r="Q88" s="5"/>
      <c r="R88" s="1"/>
      <c r="S88" s="1">
        <f t="shared" si="13"/>
        <v>11</v>
      </c>
      <c r="T88" s="1">
        <f t="shared" si="14"/>
        <v>8.2157740392035805</v>
      </c>
      <c r="U88" s="1">
        <v>84.121600000000001</v>
      </c>
      <c r="V88" s="1">
        <v>57.739600000000003</v>
      </c>
      <c r="W88" s="1">
        <v>62.705800000000004</v>
      </c>
      <c r="X88" s="1">
        <v>91.754999999999995</v>
      </c>
      <c r="Y88" s="1">
        <v>86.299400000000006</v>
      </c>
      <c r="Z88" s="1">
        <v>62.136000000000003</v>
      </c>
      <c r="AA88" s="1">
        <v>64.355199999999996</v>
      </c>
      <c r="AB88" s="1">
        <v>80.082999999999998</v>
      </c>
      <c r="AC88" s="1">
        <v>79.946400000000011</v>
      </c>
      <c r="AD88" s="1">
        <v>60.302799999999998</v>
      </c>
      <c r="AE88" s="1" t="s">
        <v>54</v>
      </c>
      <c r="AF88" s="1">
        <f t="shared" si="15"/>
        <v>256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41</v>
      </c>
      <c r="C89" s="1">
        <v>12</v>
      </c>
      <c r="D89" s="1">
        <v>54</v>
      </c>
      <c r="E89" s="1">
        <v>14</v>
      </c>
      <c r="F89" s="1">
        <v>39</v>
      </c>
      <c r="G89" s="7">
        <v>0.3</v>
      </c>
      <c r="H89" s="1">
        <v>40</v>
      </c>
      <c r="I89" s="1" t="s">
        <v>36</v>
      </c>
      <c r="J89" s="1">
        <v>43</v>
      </c>
      <c r="K89" s="1">
        <f t="shared" si="11"/>
        <v>-29</v>
      </c>
      <c r="L89" s="1"/>
      <c r="M89" s="1"/>
      <c r="N89" s="1"/>
      <c r="O89" s="1">
        <f t="shared" si="12"/>
        <v>2.8</v>
      </c>
      <c r="P89" s="5"/>
      <c r="Q89" s="5"/>
      <c r="R89" s="1"/>
      <c r="S89" s="1">
        <f t="shared" si="13"/>
        <v>13.928571428571429</v>
      </c>
      <c r="T89" s="1">
        <f t="shared" si="14"/>
        <v>13.928571428571429</v>
      </c>
      <c r="U89" s="1">
        <v>0.8</v>
      </c>
      <c r="V89" s="1">
        <v>2</v>
      </c>
      <c r="W89" s="1">
        <v>3.2</v>
      </c>
      <c r="X89" s="1">
        <v>9.4</v>
      </c>
      <c r="Y89" s="1">
        <v>8</v>
      </c>
      <c r="Z89" s="1">
        <v>10.4</v>
      </c>
      <c r="AA89" s="1">
        <v>11.4</v>
      </c>
      <c r="AB89" s="1">
        <v>9.8000000000000007</v>
      </c>
      <c r="AC89" s="1">
        <v>10.4</v>
      </c>
      <c r="AD89" s="1">
        <v>9.4</v>
      </c>
      <c r="AE89" s="1"/>
      <c r="AF89" s="1">
        <f t="shared" si="15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41</v>
      </c>
      <c r="C90" s="1">
        <v>60</v>
      </c>
      <c r="D90" s="1">
        <v>78</v>
      </c>
      <c r="E90" s="1">
        <v>87</v>
      </c>
      <c r="F90" s="1">
        <v>39</v>
      </c>
      <c r="G90" s="7">
        <v>0.3</v>
      </c>
      <c r="H90" s="1">
        <v>40</v>
      </c>
      <c r="I90" s="1" t="s">
        <v>36</v>
      </c>
      <c r="J90" s="1">
        <v>107</v>
      </c>
      <c r="K90" s="1">
        <f t="shared" si="11"/>
        <v>-20</v>
      </c>
      <c r="L90" s="1"/>
      <c r="M90" s="1"/>
      <c r="N90" s="1">
        <v>89</v>
      </c>
      <c r="O90" s="1">
        <f t="shared" si="12"/>
        <v>17.399999999999999</v>
      </c>
      <c r="P90" s="5">
        <f t="shared" si="17"/>
        <v>63.399999999999977</v>
      </c>
      <c r="Q90" s="5"/>
      <c r="R90" s="1"/>
      <c r="S90" s="1">
        <f t="shared" si="13"/>
        <v>11</v>
      </c>
      <c r="T90" s="1">
        <f t="shared" si="14"/>
        <v>7.3563218390804606</v>
      </c>
      <c r="U90" s="1">
        <v>14.4</v>
      </c>
      <c r="V90" s="1">
        <v>6.6</v>
      </c>
      <c r="W90" s="1">
        <v>7.4</v>
      </c>
      <c r="X90" s="1">
        <v>10</v>
      </c>
      <c r="Y90" s="1">
        <v>9.1999999999999993</v>
      </c>
      <c r="Z90" s="1">
        <v>7</v>
      </c>
      <c r="AA90" s="1">
        <v>8</v>
      </c>
      <c r="AB90" s="1">
        <v>7.8</v>
      </c>
      <c r="AC90" s="1">
        <v>8.8000000000000007</v>
      </c>
      <c r="AD90" s="1">
        <v>7.2</v>
      </c>
      <c r="AE90" s="1"/>
      <c r="AF90" s="1">
        <f t="shared" si="15"/>
        <v>19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35</v>
      </c>
      <c r="C91" s="1">
        <v>42.215000000000003</v>
      </c>
      <c r="D91" s="1"/>
      <c r="E91" s="1">
        <v>9.4860000000000007</v>
      </c>
      <c r="F91" s="1">
        <v>31.291</v>
      </c>
      <c r="G91" s="7">
        <v>1</v>
      </c>
      <c r="H91" s="1">
        <v>45</v>
      </c>
      <c r="I91" s="1" t="s">
        <v>36</v>
      </c>
      <c r="J91" s="1">
        <v>9.6</v>
      </c>
      <c r="K91" s="1">
        <f t="shared" si="11"/>
        <v>-0.11399999999999899</v>
      </c>
      <c r="L91" s="1"/>
      <c r="M91" s="1"/>
      <c r="N91" s="1"/>
      <c r="O91" s="1">
        <f t="shared" si="12"/>
        <v>1.8972000000000002</v>
      </c>
      <c r="P91" s="5"/>
      <c r="Q91" s="5"/>
      <c r="R91" s="1"/>
      <c r="S91" s="1">
        <f t="shared" si="13"/>
        <v>16.493253215264598</v>
      </c>
      <c r="T91" s="1">
        <f t="shared" si="14"/>
        <v>16.493253215264598</v>
      </c>
      <c r="U91" s="1">
        <v>1.4541999999999999</v>
      </c>
      <c r="V91" s="1">
        <v>0.93200000000000005</v>
      </c>
      <c r="W91" s="1">
        <v>1.6594</v>
      </c>
      <c r="X91" s="1">
        <v>1.1088</v>
      </c>
      <c r="Y91" s="1">
        <v>1.673</v>
      </c>
      <c r="Z91" s="1">
        <v>0.27639999999999998</v>
      </c>
      <c r="AA91" s="1">
        <v>0.27739999999999998</v>
      </c>
      <c r="AB91" s="1">
        <v>0.3498</v>
      </c>
      <c r="AC91" s="1">
        <v>7.2399999999999992E-2</v>
      </c>
      <c r="AD91" s="1">
        <v>-0.2762</v>
      </c>
      <c r="AE91" s="13" t="s">
        <v>147</v>
      </c>
      <c r="AF91" s="1">
        <f t="shared" si="15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41</v>
      </c>
      <c r="C92" s="1">
        <v>60</v>
      </c>
      <c r="D92" s="1">
        <v>30</v>
      </c>
      <c r="E92" s="1">
        <v>83</v>
      </c>
      <c r="F92" s="1">
        <v>2</v>
      </c>
      <c r="G92" s="7">
        <v>0.33</v>
      </c>
      <c r="H92" s="1">
        <v>40</v>
      </c>
      <c r="I92" s="1" t="s">
        <v>36</v>
      </c>
      <c r="J92" s="1">
        <v>97</v>
      </c>
      <c r="K92" s="1">
        <f t="shared" si="11"/>
        <v>-14</v>
      </c>
      <c r="L92" s="1"/>
      <c r="M92" s="1"/>
      <c r="N92" s="1">
        <v>114.2</v>
      </c>
      <c r="O92" s="1">
        <f t="shared" si="12"/>
        <v>16.600000000000001</v>
      </c>
      <c r="P92" s="5">
        <f t="shared" si="17"/>
        <v>66.40000000000002</v>
      </c>
      <c r="Q92" s="5"/>
      <c r="R92" s="1"/>
      <c r="S92" s="1">
        <f t="shared" si="13"/>
        <v>11</v>
      </c>
      <c r="T92" s="1">
        <f t="shared" si="14"/>
        <v>7</v>
      </c>
      <c r="U92" s="1">
        <v>16.600000000000001</v>
      </c>
      <c r="V92" s="1">
        <v>2.6</v>
      </c>
      <c r="W92" s="1">
        <v>3.4</v>
      </c>
      <c r="X92" s="1">
        <v>8</v>
      </c>
      <c r="Y92" s="1">
        <v>7.8</v>
      </c>
      <c r="Z92" s="1">
        <v>5.2</v>
      </c>
      <c r="AA92" s="1">
        <v>4.8</v>
      </c>
      <c r="AB92" s="1">
        <v>6</v>
      </c>
      <c r="AC92" s="1">
        <v>7</v>
      </c>
      <c r="AD92" s="1">
        <v>5.4</v>
      </c>
      <c r="AE92" s="1"/>
      <c r="AF92" s="1">
        <f t="shared" si="15"/>
        <v>22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141</v>
      </c>
      <c r="B93" s="1" t="s">
        <v>41</v>
      </c>
      <c r="C93" s="1">
        <v>72</v>
      </c>
      <c r="D93" s="1">
        <v>42</v>
      </c>
      <c r="E93" s="1">
        <v>106</v>
      </c>
      <c r="F93" s="1">
        <v>8</v>
      </c>
      <c r="G93" s="7">
        <v>0.3</v>
      </c>
      <c r="H93" s="1">
        <v>40</v>
      </c>
      <c r="I93" s="1" t="s">
        <v>36</v>
      </c>
      <c r="J93" s="1">
        <v>106</v>
      </c>
      <c r="K93" s="1">
        <f t="shared" si="11"/>
        <v>0</v>
      </c>
      <c r="L93" s="1"/>
      <c r="M93" s="1"/>
      <c r="N93" s="1">
        <v>133</v>
      </c>
      <c r="O93" s="1">
        <f t="shared" si="12"/>
        <v>21.2</v>
      </c>
      <c r="P93" s="5">
        <f t="shared" si="17"/>
        <v>92.199999999999989</v>
      </c>
      <c r="Q93" s="5"/>
      <c r="R93" s="1"/>
      <c r="S93" s="1">
        <f t="shared" si="13"/>
        <v>11</v>
      </c>
      <c r="T93" s="1">
        <f t="shared" si="14"/>
        <v>6.6509433962264151</v>
      </c>
      <c r="U93" s="1">
        <v>19</v>
      </c>
      <c r="V93" s="1">
        <v>0</v>
      </c>
      <c r="W93" s="1">
        <v>0</v>
      </c>
      <c r="X93" s="1">
        <v>8.6</v>
      </c>
      <c r="Y93" s="1">
        <v>8.6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134</v>
      </c>
      <c r="AF93" s="1">
        <f t="shared" si="15"/>
        <v>28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0" t="s">
        <v>142</v>
      </c>
      <c r="B94" s="10" t="s">
        <v>41</v>
      </c>
      <c r="C94" s="10">
        <v>138</v>
      </c>
      <c r="D94" s="10"/>
      <c r="E94" s="10">
        <v>112</v>
      </c>
      <c r="F94" s="10"/>
      <c r="G94" s="11">
        <v>0</v>
      </c>
      <c r="H94" s="10" t="e">
        <v>#N/A</v>
      </c>
      <c r="I94" s="10" t="s">
        <v>114</v>
      </c>
      <c r="J94" s="10">
        <v>160</v>
      </c>
      <c r="K94" s="10">
        <f t="shared" si="11"/>
        <v>-48</v>
      </c>
      <c r="L94" s="10"/>
      <c r="M94" s="10"/>
      <c r="N94" s="10"/>
      <c r="O94" s="10">
        <f t="shared" si="12"/>
        <v>22.4</v>
      </c>
      <c r="P94" s="12"/>
      <c r="Q94" s="12"/>
      <c r="R94" s="10"/>
      <c r="S94" s="10">
        <f t="shared" si="13"/>
        <v>0</v>
      </c>
      <c r="T94" s="10">
        <f t="shared" si="14"/>
        <v>0</v>
      </c>
      <c r="U94" s="10">
        <v>27.4</v>
      </c>
      <c r="V94" s="10">
        <v>5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143</v>
      </c>
      <c r="AF94" s="1">
        <f t="shared" si="15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21" t="s">
        <v>144</v>
      </c>
      <c r="B95" s="1" t="s">
        <v>41</v>
      </c>
      <c r="C95" s="1"/>
      <c r="D95" s="1">
        <v>18</v>
      </c>
      <c r="E95" s="1"/>
      <c r="F95" s="1">
        <v>18</v>
      </c>
      <c r="G95" s="7">
        <v>0.12</v>
      </c>
      <c r="H95" s="1">
        <v>45</v>
      </c>
      <c r="I95" s="1" t="s">
        <v>36</v>
      </c>
      <c r="J95" s="1"/>
      <c r="K95" s="1">
        <f t="shared" si="11"/>
        <v>0</v>
      </c>
      <c r="L95" s="1"/>
      <c r="M95" s="1"/>
      <c r="N95" s="1"/>
      <c r="O95" s="1">
        <f t="shared" si="12"/>
        <v>0</v>
      </c>
      <c r="P95" s="5"/>
      <c r="Q95" s="5"/>
      <c r="R95" s="1"/>
      <c r="S95" s="1" t="e">
        <f t="shared" si="13"/>
        <v>#DIV/0!</v>
      </c>
      <c r="T95" s="1" t="e">
        <f t="shared" si="14"/>
        <v>#DIV/0!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134</v>
      </c>
      <c r="AF95" s="1">
        <f t="shared" si="15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95" xr:uid="{32EAA374-1361-46CB-A600-C2C6360D4FF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2025-04-17T13:10:20Z</dcterms:created>
  <dcterms:modified xsi:type="dcterms:W3CDTF">2025-04-18T08:45:44Z</dcterms:modified>
</cp:coreProperties>
</file>