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"/>
    </mc:Choice>
  </mc:AlternateContent>
  <xr:revisionPtr revIDLastSave="0" documentId="13_ncr:1_{A597DA18-5DBB-4A70-BF94-2289C87B21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0" i="1" l="1"/>
  <c r="Q18" i="1"/>
  <c r="Q10" i="1"/>
  <c r="AI97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6" i="1"/>
  <c r="R5" i="1"/>
  <c r="AI5" i="1" l="1"/>
  <c r="Q62" i="1"/>
  <c r="Q61" i="1"/>
  <c r="Q59" i="1"/>
  <c r="Q58" i="1"/>
  <c r="Q34" i="1"/>
  <c r="Q22" i="1"/>
  <c r="Q92" i="1" l="1"/>
  <c r="Q45" i="1"/>
  <c r="Q35" i="1"/>
  <c r="L7" i="1" l="1"/>
  <c r="P7" i="1" s="1"/>
  <c r="L8" i="1"/>
  <c r="P8" i="1" s="1"/>
  <c r="Q8" i="1" s="1"/>
  <c r="L9" i="1"/>
  <c r="P9" i="1" s="1"/>
  <c r="Q9" i="1" s="1"/>
  <c r="L10" i="1"/>
  <c r="P10" i="1" s="1"/>
  <c r="L11" i="1"/>
  <c r="P11" i="1" s="1"/>
  <c r="L12" i="1"/>
  <c r="P12" i="1" s="1"/>
  <c r="L13" i="1"/>
  <c r="P13" i="1" s="1"/>
  <c r="U13" i="1" s="1"/>
  <c r="L14" i="1"/>
  <c r="P14" i="1" s="1"/>
  <c r="L15" i="1"/>
  <c r="P15" i="1" s="1"/>
  <c r="L16" i="1"/>
  <c r="P16" i="1" s="1"/>
  <c r="L17" i="1"/>
  <c r="P17" i="1" s="1"/>
  <c r="Q17" i="1" s="1"/>
  <c r="L18" i="1"/>
  <c r="P18" i="1" s="1"/>
  <c r="L19" i="1"/>
  <c r="P19" i="1" s="1"/>
  <c r="Q19" i="1" s="1"/>
  <c r="L20" i="1"/>
  <c r="P20" i="1" s="1"/>
  <c r="L21" i="1"/>
  <c r="P21" i="1" s="1"/>
  <c r="U21" i="1" s="1"/>
  <c r="L22" i="1"/>
  <c r="P22" i="1" s="1"/>
  <c r="L23" i="1"/>
  <c r="P23" i="1" s="1"/>
  <c r="L24" i="1"/>
  <c r="P24" i="1" s="1"/>
  <c r="L25" i="1"/>
  <c r="P25" i="1" s="1"/>
  <c r="L26" i="1"/>
  <c r="P26" i="1" s="1"/>
  <c r="U26" i="1" s="1"/>
  <c r="L27" i="1"/>
  <c r="P27" i="1" s="1"/>
  <c r="U27" i="1" s="1"/>
  <c r="L28" i="1"/>
  <c r="P28" i="1" s="1"/>
  <c r="L29" i="1"/>
  <c r="P29" i="1" s="1"/>
  <c r="U29" i="1" s="1"/>
  <c r="L30" i="1"/>
  <c r="P30" i="1" s="1"/>
  <c r="U30" i="1" s="1"/>
  <c r="L31" i="1"/>
  <c r="P31" i="1" s="1"/>
  <c r="U31" i="1" s="1"/>
  <c r="L32" i="1"/>
  <c r="P32" i="1" s="1"/>
  <c r="U32" i="1" s="1"/>
  <c r="L33" i="1"/>
  <c r="P33" i="1" s="1"/>
  <c r="Q33" i="1" s="1"/>
  <c r="L34" i="1"/>
  <c r="P34" i="1" s="1"/>
  <c r="L35" i="1"/>
  <c r="P35" i="1" s="1"/>
  <c r="L36" i="1"/>
  <c r="P36" i="1" s="1"/>
  <c r="L37" i="1"/>
  <c r="P37" i="1" s="1"/>
  <c r="L38" i="1"/>
  <c r="P38" i="1" s="1"/>
  <c r="U38" i="1" s="1"/>
  <c r="L39" i="1"/>
  <c r="P39" i="1" s="1"/>
  <c r="L40" i="1"/>
  <c r="P40" i="1" s="1"/>
  <c r="L41" i="1"/>
  <c r="P41" i="1" s="1"/>
  <c r="L42" i="1"/>
  <c r="P42" i="1" s="1"/>
  <c r="L43" i="1"/>
  <c r="P43" i="1" s="1"/>
  <c r="L44" i="1"/>
  <c r="P44" i="1" s="1"/>
  <c r="Q44" i="1" s="1"/>
  <c r="L45" i="1"/>
  <c r="P45" i="1" s="1"/>
  <c r="L46" i="1"/>
  <c r="P46" i="1" s="1"/>
  <c r="Q46" i="1" s="1"/>
  <c r="L47" i="1"/>
  <c r="P47" i="1" s="1"/>
  <c r="Q47" i="1" s="1"/>
  <c r="L48" i="1"/>
  <c r="P48" i="1" s="1"/>
  <c r="U48" i="1" s="1"/>
  <c r="L49" i="1"/>
  <c r="P49" i="1" s="1"/>
  <c r="L50" i="1"/>
  <c r="P50" i="1" s="1"/>
  <c r="U50" i="1" s="1"/>
  <c r="L51" i="1"/>
  <c r="P51" i="1" s="1"/>
  <c r="L52" i="1"/>
  <c r="P52" i="1" s="1"/>
  <c r="L53" i="1"/>
  <c r="P53" i="1" s="1"/>
  <c r="Q53" i="1" s="1"/>
  <c r="L54" i="1"/>
  <c r="P54" i="1" s="1"/>
  <c r="Q54" i="1" s="1"/>
  <c r="L55" i="1"/>
  <c r="P55" i="1" s="1"/>
  <c r="L56" i="1"/>
  <c r="P56" i="1" s="1"/>
  <c r="L57" i="1"/>
  <c r="P57" i="1" s="1"/>
  <c r="L58" i="1"/>
  <c r="P58" i="1" s="1"/>
  <c r="L59" i="1"/>
  <c r="P59" i="1" s="1"/>
  <c r="L60" i="1"/>
  <c r="P60" i="1" s="1"/>
  <c r="L61" i="1"/>
  <c r="P61" i="1" s="1"/>
  <c r="L62" i="1"/>
  <c r="P62" i="1" s="1"/>
  <c r="L63" i="1"/>
  <c r="P63" i="1" s="1"/>
  <c r="Q63" i="1" s="1"/>
  <c r="L64" i="1"/>
  <c r="P64" i="1" s="1"/>
  <c r="U64" i="1" s="1"/>
  <c r="L65" i="1"/>
  <c r="P65" i="1" s="1"/>
  <c r="U65" i="1" s="1"/>
  <c r="L66" i="1"/>
  <c r="P66" i="1" s="1"/>
  <c r="U66" i="1" s="1"/>
  <c r="L67" i="1"/>
  <c r="P67" i="1" s="1"/>
  <c r="L68" i="1"/>
  <c r="P68" i="1" s="1"/>
  <c r="U68" i="1" s="1"/>
  <c r="L69" i="1"/>
  <c r="P69" i="1" s="1"/>
  <c r="L70" i="1"/>
  <c r="P70" i="1" s="1"/>
  <c r="L71" i="1"/>
  <c r="P71" i="1" s="1"/>
  <c r="L72" i="1"/>
  <c r="P72" i="1" s="1"/>
  <c r="L73" i="1"/>
  <c r="P73" i="1" s="1"/>
  <c r="U73" i="1" s="1"/>
  <c r="L74" i="1"/>
  <c r="P74" i="1" s="1"/>
  <c r="U74" i="1" s="1"/>
  <c r="L75" i="1"/>
  <c r="P75" i="1" s="1"/>
  <c r="L76" i="1"/>
  <c r="P76" i="1" s="1"/>
  <c r="L77" i="1"/>
  <c r="P77" i="1" s="1"/>
  <c r="L78" i="1"/>
  <c r="P78" i="1" s="1"/>
  <c r="U78" i="1" s="1"/>
  <c r="L79" i="1"/>
  <c r="P79" i="1" s="1"/>
  <c r="L80" i="1"/>
  <c r="P80" i="1" s="1"/>
  <c r="L81" i="1"/>
  <c r="P81" i="1" s="1"/>
  <c r="L82" i="1"/>
  <c r="P82" i="1" s="1"/>
  <c r="L83" i="1"/>
  <c r="P83" i="1" s="1"/>
  <c r="L84" i="1"/>
  <c r="P84" i="1" s="1"/>
  <c r="L85" i="1"/>
  <c r="P85" i="1" s="1"/>
  <c r="L86" i="1"/>
  <c r="P86" i="1" s="1"/>
  <c r="L87" i="1"/>
  <c r="P87" i="1" s="1"/>
  <c r="Q87" i="1" s="1"/>
  <c r="L88" i="1"/>
  <c r="P88" i="1" s="1"/>
  <c r="L89" i="1"/>
  <c r="P89" i="1" s="1"/>
  <c r="L90" i="1"/>
  <c r="P90" i="1" s="1"/>
  <c r="L91" i="1"/>
  <c r="P91" i="1" s="1"/>
  <c r="L92" i="1"/>
  <c r="P92" i="1" s="1"/>
  <c r="L93" i="1"/>
  <c r="P93" i="1" s="1"/>
  <c r="L94" i="1"/>
  <c r="P94" i="1" s="1"/>
  <c r="L95" i="1"/>
  <c r="P95" i="1" s="1"/>
  <c r="L96" i="1"/>
  <c r="P96" i="1" s="1"/>
  <c r="U96" i="1" s="1"/>
  <c r="L97" i="1"/>
  <c r="P97" i="1" s="1"/>
  <c r="L6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F5" i="1"/>
  <c r="AE5" i="1"/>
  <c r="AD5" i="1"/>
  <c r="AC5" i="1"/>
  <c r="AB5" i="1"/>
  <c r="AA5" i="1"/>
  <c r="Z5" i="1"/>
  <c r="Y5" i="1"/>
  <c r="X5" i="1"/>
  <c r="W5" i="1"/>
  <c r="S5" i="1"/>
  <c r="O5" i="1"/>
  <c r="N5" i="1"/>
  <c r="M5" i="1"/>
  <c r="J5" i="1"/>
  <c r="F5" i="1"/>
  <c r="E5" i="1"/>
  <c r="Q88" i="1" l="1"/>
  <c r="Q86" i="1"/>
  <c r="Q72" i="1"/>
  <c r="Q60" i="1"/>
  <c r="Q52" i="1"/>
  <c r="Q28" i="1"/>
  <c r="Q12" i="1"/>
  <c r="Q95" i="1"/>
  <c r="Q93" i="1"/>
  <c r="Q83" i="1"/>
  <c r="Q75" i="1"/>
  <c r="Q51" i="1"/>
  <c r="Q49" i="1"/>
  <c r="Q11" i="1"/>
  <c r="V53" i="1"/>
  <c r="V95" i="1"/>
  <c r="V88" i="1"/>
  <c r="V80" i="1"/>
  <c r="V72" i="1"/>
  <c r="V64" i="1"/>
  <c r="V46" i="1"/>
  <c r="V38" i="1"/>
  <c r="V30" i="1"/>
  <c r="V22" i="1"/>
  <c r="V14" i="1"/>
  <c r="L5" i="1"/>
  <c r="V92" i="1"/>
  <c r="V84" i="1"/>
  <c r="V76" i="1"/>
  <c r="V68" i="1"/>
  <c r="V57" i="1"/>
  <c r="V49" i="1"/>
  <c r="V42" i="1"/>
  <c r="V34" i="1"/>
  <c r="V26" i="1"/>
  <c r="V18" i="1"/>
  <c r="V10" i="1"/>
  <c r="K5" i="1"/>
  <c r="V97" i="1"/>
  <c r="V94" i="1"/>
  <c r="V90" i="1"/>
  <c r="V86" i="1"/>
  <c r="V82" i="1"/>
  <c r="V78" i="1"/>
  <c r="V74" i="1"/>
  <c r="V70" i="1"/>
  <c r="V66" i="1"/>
  <c r="V62" i="1"/>
  <c r="V59" i="1"/>
  <c r="V55" i="1"/>
  <c r="V51" i="1"/>
  <c r="V48" i="1"/>
  <c r="V44" i="1"/>
  <c r="V40" i="1"/>
  <c r="V36" i="1"/>
  <c r="V32" i="1"/>
  <c r="V28" i="1"/>
  <c r="V24" i="1"/>
  <c r="V20" i="1"/>
  <c r="V16" i="1"/>
  <c r="V12" i="1"/>
  <c r="V7" i="1"/>
  <c r="V96" i="1"/>
  <c r="V93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60" i="1"/>
  <c r="V58" i="1"/>
  <c r="V56" i="1"/>
  <c r="V54" i="1"/>
  <c r="V52" i="1"/>
  <c r="V50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8" i="1"/>
  <c r="P6" i="1"/>
  <c r="Q6" i="1" s="1"/>
  <c r="U7" i="1" l="1"/>
  <c r="U9" i="1"/>
  <c r="U11" i="1"/>
  <c r="U15" i="1"/>
  <c r="U17" i="1"/>
  <c r="U19" i="1"/>
  <c r="U23" i="1"/>
  <c r="U25" i="1"/>
  <c r="U33" i="1"/>
  <c r="U35" i="1"/>
  <c r="U37" i="1"/>
  <c r="U39" i="1"/>
  <c r="U41" i="1"/>
  <c r="U43" i="1"/>
  <c r="U45" i="1"/>
  <c r="U47" i="1"/>
  <c r="U49" i="1"/>
  <c r="U51" i="1"/>
  <c r="U53" i="1"/>
  <c r="U55" i="1"/>
  <c r="U57" i="1"/>
  <c r="U59" i="1"/>
  <c r="U61" i="1"/>
  <c r="U63" i="1"/>
  <c r="U67" i="1"/>
  <c r="U69" i="1"/>
  <c r="U71" i="1"/>
  <c r="U75" i="1"/>
  <c r="U77" i="1"/>
  <c r="U79" i="1"/>
  <c r="U81" i="1"/>
  <c r="U83" i="1"/>
  <c r="U85" i="1"/>
  <c r="U87" i="1"/>
  <c r="U89" i="1"/>
  <c r="U91" i="1"/>
  <c r="U93" i="1"/>
  <c r="U95" i="1"/>
  <c r="U97" i="1"/>
  <c r="U8" i="1"/>
  <c r="U10" i="1"/>
  <c r="U12" i="1"/>
  <c r="U14" i="1"/>
  <c r="U16" i="1"/>
  <c r="U18" i="1"/>
  <c r="U20" i="1"/>
  <c r="U22" i="1"/>
  <c r="U24" i="1"/>
  <c r="U28" i="1"/>
  <c r="U34" i="1"/>
  <c r="U36" i="1"/>
  <c r="U40" i="1"/>
  <c r="U42" i="1"/>
  <c r="U44" i="1"/>
  <c r="U46" i="1"/>
  <c r="U52" i="1"/>
  <c r="U54" i="1"/>
  <c r="U56" i="1"/>
  <c r="U58" i="1"/>
  <c r="U60" i="1"/>
  <c r="U62" i="1"/>
  <c r="U70" i="1"/>
  <c r="U72" i="1"/>
  <c r="U76" i="1"/>
  <c r="U80" i="1"/>
  <c r="U82" i="1"/>
  <c r="U84" i="1"/>
  <c r="U86" i="1"/>
  <c r="U88" i="1"/>
  <c r="U90" i="1"/>
  <c r="U92" i="1"/>
  <c r="U94" i="1"/>
  <c r="Q5" i="1"/>
  <c r="AH5" i="1"/>
  <c r="P5" i="1"/>
  <c r="V6" i="1"/>
  <c r="U6" i="1"/>
</calcChain>
</file>

<file path=xl/sharedStrings.xml><?xml version="1.0" encoding="utf-8"?>
<sst xmlns="http://schemas.openxmlformats.org/spreadsheetml/2006/main" count="391" uniqueCount="170">
  <si>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</si>
  <si>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</si>
  <si>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</si>
  <si>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</si>
  <si>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</si>
  <si>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</si>
  <si>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</si>
  <si>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</si>
  <si>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</si>
  <si>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</si>
  <si>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</si>
  <si>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</si>
  <si>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</si>
  <si>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</si>
  <si>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</si>
  <si>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</si>
  <si>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</si>
  <si>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</si>
  <si>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</si>
  <si>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</si>
  <si>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</si>
  <si>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</si>
  <si>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21,04,</t>
  </si>
  <si>
    <t>22,04,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</si>
  <si>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</si>
  <si>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</si>
  <si>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</si>
  <si>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</si>
  <si>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</si>
  <si>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</si>
  <si>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</si>
  <si>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</si>
  <si>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</si>
  <si>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</si>
  <si>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</si>
  <si>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</si>
  <si>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</si>
  <si>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</si>
  <si>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</si>
  <si>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</si>
  <si>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</si>
  <si>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>не в матрице</t>
  </si>
  <si>
    <t xml:space="preserve"> 030  Сосиски Вязанка Молочные, Вязанка вискофан МГС, 0.45кг, ПОКОМ</t>
  </si>
  <si>
    <t>ВНИМАНИЕ / матрица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</si>
  <si>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</si>
  <si>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</si>
  <si>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</si>
  <si>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</si>
  <si>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080  Колбаса Сервелат Филейбургский, в/у 0,35 кг срез,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</si>
  <si>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</si>
  <si>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</si>
  <si>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</si>
  <si>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</si>
  <si>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</si>
  <si>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</si>
  <si>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</si>
  <si>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</si>
  <si>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</si>
  <si>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</si>
  <si>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</si>
  <si>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</si>
  <si>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</si>
  <si>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</si>
  <si>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</si>
  <si>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</si>
  <si>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</si>
  <si>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</si>
  <si>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</si>
  <si>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</si>
  <si>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</si>
  <si>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</si>
  <si>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</si>
  <si>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</si>
  <si>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ТС Обжора / 26,03,25 филиал обнулил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</si>
  <si>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</si>
  <si>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</si>
  <si>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</si>
  <si>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</si>
  <si>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</si>
  <si>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</si>
  <si>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</si>
  <si>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</si>
  <si>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</si>
  <si>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</si>
  <si>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</si>
  <si>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</si>
  <si>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</si>
  <si>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</si>
  <si>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</si>
  <si>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потребности / 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</si>
  <si>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</si>
  <si>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</si>
  <si>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20,01,25 в уценку 86шт.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</si>
  <si>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</si>
  <si>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</si>
  <si>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</si>
  <si>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продажи!!!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</si>
  <si>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</si>
  <si>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</si>
  <si>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</si>
  <si>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</si>
  <si>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</si>
  <si>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</si>
  <si>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</si>
  <si>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</si>
  <si>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ТС Обжора / 16,04,25 филиал обнулил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</si>
  <si>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</si>
  <si>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</si>
  <si>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</si>
  <si>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</si>
  <si>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</si>
  <si>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</si>
  <si>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</si>
  <si>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</si>
  <si>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</si>
  <si>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</si>
  <si>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</si>
  <si>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>вывод</t>
  </si>
  <si>
    <t xml:space="preserve"> 445  Колбаса Краковюрст ТМ Баварушка рубленая в оболочке черева в в.у 0,2 кг ПОКОМ</t>
  </si>
  <si>
    <t>нет потребности / 22,02,25 в уценку 5шт. / 06,01,25 в уценку 13шт.</t>
  </si>
  <si>
    <t xml:space="preserve"> 447  Колбаски Краковюрст ТМ Баварушка с изысканными пряностями в оболочке NDX в в.у 0,2 кг. ПОКОМ </t>
  </si>
  <si>
    <t>06,01,25 в уценку 13шт.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</si>
  <si>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</si>
  <si>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</si>
  <si>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</si>
  <si>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</si>
  <si>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>22,01,25 в уценку 1989кг / ТМА апрель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</si>
  <si>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</si>
  <si>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</si>
  <si>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</si>
  <si>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</si>
  <si>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</si>
  <si>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</si>
  <si>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</si>
  <si>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</si>
  <si>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</si>
  <si>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нужно увеличить продажи / новинка</t>
  </si>
  <si>
    <t>090  Мини-салями со вкусом бекона,  0.05кг, ядрена копоть   ПОКОМ</t>
  </si>
  <si>
    <t>новинка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</si>
  <si>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</si>
  <si>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</si>
  <si>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нужно увеличить продажи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</si>
  <si>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</si>
  <si>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</si>
  <si>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</si>
  <si>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</si>
  <si>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</si>
  <si>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</si>
  <si>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</si>
  <si>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СОСГ</t>
  </si>
  <si>
    <t>519  Грудинка 0,12 кг нарезка ТМ Стародворье  ПОКОМ</t>
  </si>
  <si>
    <t>ТМА апрель_май</t>
  </si>
  <si>
    <t>ТМА май</t>
  </si>
  <si>
    <t>ТС Обжора / ТМА апрель_май</t>
  </si>
  <si>
    <t>ТС Обжора / ТМА май</t>
  </si>
  <si>
    <t>нет потребности / 14,04,25 в уценку 7кг / 20,12,24 в уценку 121кг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</si>
  <si>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02,04,25 заказываем</t>
    </r>
  </si>
  <si>
    <t>нужно увеличить продажи / ТС Обжора</t>
  </si>
  <si>
    <t>нужно увеличить продажи / ТМА апрель</t>
  </si>
  <si>
    <t>нужно увеличить продажи / ТМА май</t>
  </si>
  <si>
    <t>нужно увеличить продажи / ТМА апрель_май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</si>
  <si>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11,03,25 списание 7кг (недостача) / 22,01,25 списание 10кг (недостача)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</si>
  <si>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20,12,24 в уценку 51кг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</si>
  <si>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13,02,25 заказываем</t>
    </r>
  </si>
  <si>
    <t>22,04,25 в уценку 34 кг / 25,01,25 в уценку 108кг</t>
  </si>
  <si>
    <t>нужно увеличить продажи / 09,12,24 в уценку 498кг</t>
  </si>
  <si>
    <t>06,01,25 в уценку 26шт.</t>
  </si>
  <si>
    <t>заказ</t>
  </si>
  <si>
    <t>26,04,(1)</t>
  </si>
  <si>
    <t>26,04,(2)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</si>
</sst>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6" borderId="1" xfId="1" applyNumberFormat="1" applyFill="1"/>
    <xf numFmtId="164" fontId="5" fillId="6" borderId="1" xfId="1" applyNumberFormat="1" applyFont="1" applyFill="1"/>
    <xf numFmtId="164" fontId="5" fillId="0" borderId="1" xfId="1" applyNumberFormat="1" applyFont="1"/>
    <xf numFmtId="164" fontId="1" fillId="11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2" sqref="AG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9" width="7" customWidth="1"/>
    <col min="20" max="20" width="21" customWidth="1"/>
    <col min="21" max="22" width="5" customWidth="1"/>
    <col min="23" max="32" width="6" customWidth="1"/>
    <col min="33" max="33" width="26.28515625" customWidth="1"/>
    <col min="34" max="35" width="7" customWidth="1"/>
    <col min="3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167</v>
      </c>
      <c r="R3" s="3" t="s">
        <v>167</v>
      </c>
      <c r="S3" s="6" t="s">
        <v>15</v>
      </c>
      <c r="T3" s="6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22</v>
      </c>
      <c r="O4" s="1" t="s">
        <v>23</v>
      </c>
      <c r="P4" s="1" t="s">
        <v>24</v>
      </c>
      <c r="Q4" s="1" t="s">
        <v>168</v>
      </c>
      <c r="R4" s="1" t="s">
        <v>169</v>
      </c>
      <c r="S4" s="1"/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 t="s">
        <v>168</v>
      </c>
      <c r="AI4" s="1" t="s">
        <v>169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SUM(E6:E496)</f>
        <v>33693.119999999995</v>
      </c>
      <c r="F5" s="4">
        <f>SUM(F6:F496)</f>
        <v>48976.498999999989</v>
      </c>
      <c r="G5" s="7"/>
      <c r="H5" s="1"/>
      <c r="I5" s="1"/>
      <c r="J5" s="4">
        <f t="shared" ref="J5:S5" si="0">SUM(J6:J496)</f>
        <v>37402.489999999991</v>
      </c>
      <c r="K5" s="4">
        <f t="shared" si="0"/>
        <v>-3709.3699999999994</v>
      </c>
      <c r="L5" s="4">
        <f t="shared" si="0"/>
        <v>31807.161000000011</v>
      </c>
      <c r="M5" s="4">
        <f t="shared" si="0"/>
        <v>1885.9589999999998</v>
      </c>
      <c r="N5" s="4">
        <f t="shared" si="0"/>
        <v>17475.338399999997</v>
      </c>
      <c r="O5" s="4">
        <f t="shared" si="0"/>
        <v>5000</v>
      </c>
      <c r="P5" s="4">
        <f t="shared" si="0"/>
        <v>6361.4322000000002</v>
      </c>
      <c r="Q5" s="4">
        <f t="shared" si="0"/>
        <v>9263.9738000000089</v>
      </c>
      <c r="R5" s="4">
        <f t="shared" ref="R5" si="1">SUM(R6:R496)</f>
        <v>1280</v>
      </c>
      <c r="S5" s="4">
        <f t="shared" si="0"/>
        <v>0</v>
      </c>
      <c r="T5" s="1"/>
      <c r="U5" s="1"/>
      <c r="V5" s="1"/>
      <c r="W5" s="4">
        <f t="shared" ref="W5:AF5" si="2">SUM(W6:W496)</f>
        <v>8537.1206000000002</v>
      </c>
      <c r="X5" s="4">
        <f t="shared" si="2"/>
        <v>8706.6709999999985</v>
      </c>
      <c r="Y5" s="4">
        <f t="shared" si="2"/>
        <v>6338.3150000000023</v>
      </c>
      <c r="Z5" s="4">
        <f t="shared" si="2"/>
        <v>6262.349000000002</v>
      </c>
      <c r="AA5" s="4">
        <f t="shared" si="2"/>
        <v>6601.9181999999983</v>
      </c>
      <c r="AB5" s="4">
        <f t="shared" si="2"/>
        <v>6738.2428</v>
      </c>
      <c r="AC5" s="4">
        <f t="shared" si="2"/>
        <v>8099.4839999999976</v>
      </c>
      <c r="AD5" s="4">
        <f t="shared" si="2"/>
        <v>7788.2935999999972</v>
      </c>
      <c r="AE5" s="4">
        <f t="shared" si="2"/>
        <v>7041.3528000000006</v>
      </c>
      <c r="AF5" s="4">
        <f t="shared" si="2"/>
        <v>7175.8040000000001</v>
      </c>
      <c r="AG5" s="1"/>
      <c r="AH5" s="4">
        <f>SUM(AH6:AH496)</f>
        <v>7107</v>
      </c>
      <c r="AI5" s="4">
        <f>SUM(AI6:AI496)</f>
        <v>1005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391.14699999999999</v>
      </c>
      <c r="D6" s="1">
        <v>363.06700000000001</v>
      </c>
      <c r="E6" s="1">
        <v>329.25400000000002</v>
      </c>
      <c r="F6" s="1">
        <v>246.661</v>
      </c>
      <c r="G6" s="7">
        <v>1</v>
      </c>
      <c r="H6" s="1">
        <v>50</v>
      </c>
      <c r="I6" s="1" t="s">
        <v>37</v>
      </c>
      <c r="J6" s="1">
        <v>346.73</v>
      </c>
      <c r="K6" s="1">
        <f t="shared" ref="K6:K36" si="3">E6-J6</f>
        <v>-17.475999999999999</v>
      </c>
      <c r="L6" s="1">
        <f>E6-M6</f>
        <v>286.334</v>
      </c>
      <c r="M6" s="1">
        <v>42.92</v>
      </c>
      <c r="N6" s="1">
        <v>171.53779999999989</v>
      </c>
      <c r="O6" s="1"/>
      <c r="P6" s="1">
        <f>L6/5</f>
        <v>57.266800000000003</v>
      </c>
      <c r="Q6" s="28">
        <f>12*P6-O6-N6-F6</f>
        <v>269.00280000000026</v>
      </c>
      <c r="R6" s="28"/>
      <c r="S6" s="5"/>
      <c r="T6" s="1"/>
      <c r="U6" s="1">
        <f>(F6+N6+O6+Q6)/P6</f>
        <v>12.000000000000002</v>
      </c>
      <c r="V6" s="1">
        <f>(F6+N6+O6)/P6</f>
        <v>7.3026395747623383</v>
      </c>
      <c r="W6" s="1">
        <v>66.631200000000007</v>
      </c>
      <c r="X6" s="1">
        <v>61.940800000000003</v>
      </c>
      <c r="Y6" s="1">
        <v>60.128399999999999</v>
      </c>
      <c r="Z6" s="1">
        <v>58.212000000000003</v>
      </c>
      <c r="AA6" s="1">
        <v>45.116999999999997</v>
      </c>
      <c r="AB6" s="1">
        <v>68.706600000000009</v>
      </c>
      <c r="AC6" s="1">
        <v>96.895799999999994</v>
      </c>
      <c r="AD6" s="1">
        <v>71.089200000000005</v>
      </c>
      <c r="AE6" s="1">
        <v>93.330200000000005</v>
      </c>
      <c r="AF6" s="1">
        <v>80.022000000000006</v>
      </c>
      <c r="AG6" s="1"/>
      <c r="AH6" s="1">
        <f>ROUND(G6*Q6,0)</f>
        <v>269</v>
      </c>
      <c r="AI6" s="1">
        <f>ROUND(G6*R6,0)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408.29199999999997</v>
      </c>
      <c r="D7" s="1">
        <v>265.02999999999997</v>
      </c>
      <c r="E7" s="1">
        <v>198.59700000000001</v>
      </c>
      <c r="F7" s="1">
        <v>345.96499999999997</v>
      </c>
      <c r="G7" s="7">
        <v>1</v>
      </c>
      <c r="H7" s="1">
        <v>45</v>
      </c>
      <c r="I7" s="1" t="s">
        <v>37</v>
      </c>
      <c r="J7" s="1">
        <v>209.11</v>
      </c>
      <c r="K7" s="1">
        <f t="shared" si="3"/>
        <v>-10.513000000000005</v>
      </c>
      <c r="L7" s="1">
        <f t="shared" ref="L7:L67" si="4">E7-M7</f>
        <v>137.98700000000002</v>
      </c>
      <c r="M7" s="1">
        <v>60.61</v>
      </c>
      <c r="N7" s="1">
        <v>129.41340000000011</v>
      </c>
      <c r="O7" s="1"/>
      <c r="P7" s="1">
        <f t="shared" ref="P7:P67" si="5">L7/5</f>
        <v>27.597400000000004</v>
      </c>
      <c r="Q7" s="5"/>
      <c r="R7" s="5"/>
      <c r="S7" s="5"/>
      <c r="T7" s="1"/>
      <c r="U7" s="1">
        <f t="shared" ref="U7:U67" si="6">(F7+N7+O7+Q7)/P7</f>
        <v>17.225477762397908</v>
      </c>
      <c r="V7" s="1">
        <f t="shared" ref="V7:V67" si="7">(F7+N7+O7)/P7</f>
        <v>17.225477762397908</v>
      </c>
      <c r="W7" s="1">
        <v>59.238799999999998</v>
      </c>
      <c r="X7" s="1">
        <v>56.888199999999998</v>
      </c>
      <c r="Y7" s="1">
        <v>63.382199999999997</v>
      </c>
      <c r="Z7" s="1">
        <v>57.285400000000003</v>
      </c>
      <c r="AA7" s="1">
        <v>34.498199999999997</v>
      </c>
      <c r="AB7" s="1">
        <v>32.542400000000001</v>
      </c>
      <c r="AC7" s="1">
        <v>57.383600000000001</v>
      </c>
      <c r="AD7" s="1">
        <v>49.0274</v>
      </c>
      <c r="AE7" s="1">
        <v>77.212400000000002</v>
      </c>
      <c r="AF7" s="1">
        <v>41.129399999999997</v>
      </c>
      <c r="AG7" s="26" t="s">
        <v>141</v>
      </c>
      <c r="AH7" s="1">
        <f t="shared" ref="AH7:AH70" si="8">ROUND(G7*Q7,0)</f>
        <v>0</v>
      </c>
      <c r="AI7" s="1">
        <f t="shared" ref="AI7:AI70" si="9">ROUND(G7*R7,0)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835.452</v>
      </c>
      <c r="D8" s="1">
        <v>1049.414</v>
      </c>
      <c r="E8" s="1">
        <v>732.53800000000001</v>
      </c>
      <c r="F8" s="1">
        <v>710.56600000000003</v>
      </c>
      <c r="G8" s="7">
        <v>1</v>
      </c>
      <c r="H8" s="1">
        <v>45</v>
      </c>
      <c r="I8" s="1" t="s">
        <v>37</v>
      </c>
      <c r="J8" s="1">
        <v>725.41800000000001</v>
      </c>
      <c r="K8" s="1">
        <f t="shared" si="3"/>
        <v>7.1200000000000045</v>
      </c>
      <c r="L8" s="1">
        <f t="shared" si="4"/>
        <v>691.32</v>
      </c>
      <c r="M8" s="1">
        <v>41.218000000000004</v>
      </c>
      <c r="N8" s="1">
        <v>351.47969999999953</v>
      </c>
      <c r="O8" s="1"/>
      <c r="P8" s="1">
        <f t="shared" si="5"/>
        <v>138.26400000000001</v>
      </c>
      <c r="Q8" s="28">
        <f>12*P8-O8-N8-F8</f>
        <v>597.12230000000068</v>
      </c>
      <c r="R8" s="28"/>
      <c r="S8" s="5"/>
      <c r="T8" s="1"/>
      <c r="U8" s="1">
        <f t="shared" si="6"/>
        <v>12.000000000000002</v>
      </c>
      <c r="V8" s="1">
        <f t="shared" si="7"/>
        <v>7.6812886940924576</v>
      </c>
      <c r="W8" s="1">
        <v>166.60939999999999</v>
      </c>
      <c r="X8" s="1">
        <v>164.27279999999999</v>
      </c>
      <c r="Y8" s="1">
        <v>143.53819999999999</v>
      </c>
      <c r="Z8" s="1">
        <v>127.19280000000001</v>
      </c>
      <c r="AA8" s="1">
        <v>89.702200000000005</v>
      </c>
      <c r="AB8" s="1">
        <v>109.47539999999999</v>
      </c>
      <c r="AC8" s="1">
        <v>129.8152</v>
      </c>
      <c r="AD8" s="1">
        <v>119.22799999999999</v>
      </c>
      <c r="AE8" s="1">
        <v>205.73759999999999</v>
      </c>
      <c r="AF8" s="1">
        <v>109.92359999999999</v>
      </c>
      <c r="AG8" s="1"/>
      <c r="AH8" s="1">
        <f t="shared" si="8"/>
        <v>597</v>
      </c>
      <c r="AI8" s="1">
        <f t="shared" si="9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40</v>
      </c>
      <c r="C9" s="1">
        <v>491.48</v>
      </c>
      <c r="D9" s="1">
        <v>826.52</v>
      </c>
      <c r="E9" s="1">
        <v>704</v>
      </c>
      <c r="F9" s="1">
        <v>552</v>
      </c>
      <c r="G9" s="7">
        <v>0.45</v>
      </c>
      <c r="H9" s="1">
        <v>45</v>
      </c>
      <c r="I9" s="17" t="s">
        <v>43</v>
      </c>
      <c r="J9" s="1">
        <v>1365</v>
      </c>
      <c r="K9" s="1">
        <f t="shared" si="3"/>
        <v>-661</v>
      </c>
      <c r="L9" s="1">
        <f t="shared" si="4"/>
        <v>704</v>
      </c>
      <c r="M9" s="1"/>
      <c r="N9" s="1">
        <v>619.52</v>
      </c>
      <c r="O9" s="1"/>
      <c r="P9" s="1">
        <f t="shared" si="5"/>
        <v>140.80000000000001</v>
      </c>
      <c r="Q9" s="5">
        <f>9*P9-O9-N9-F9</f>
        <v>95.680000000000064</v>
      </c>
      <c r="R9" s="5"/>
      <c r="S9" s="5"/>
      <c r="T9" s="1"/>
      <c r="U9" s="1">
        <f t="shared" si="6"/>
        <v>9</v>
      </c>
      <c r="V9" s="1">
        <f t="shared" si="7"/>
        <v>8.3204545454545453</v>
      </c>
      <c r="W9" s="1">
        <v>162</v>
      </c>
      <c r="X9" s="1">
        <v>262.39999999999998</v>
      </c>
      <c r="Y9" s="1">
        <v>315.2</v>
      </c>
      <c r="Z9" s="1">
        <v>353.4</v>
      </c>
      <c r="AA9" s="1">
        <v>280.2</v>
      </c>
      <c r="AB9" s="1">
        <v>187.2</v>
      </c>
      <c r="AC9" s="1">
        <v>126</v>
      </c>
      <c r="AD9" s="1">
        <v>110</v>
      </c>
      <c r="AE9" s="1">
        <v>136</v>
      </c>
      <c r="AF9" s="1">
        <v>117.8</v>
      </c>
      <c r="AG9" s="1" t="s">
        <v>44</v>
      </c>
      <c r="AH9" s="1">
        <f t="shared" si="8"/>
        <v>43</v>
      </c>
      <c r="AI9" s="1">
        <f t="shared" si="9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9" t="s">
        <v>45</v>
      </c>
      <c r="B10" s="19" t="s">
        <v>40</v>
      </c>
      <c r="C10" s="19">
        <v>1753</v>
      </c>
      <c r="D10" s="19">
        <v>1230</v>
      </c>
      <c r="E10" s="19">
        <v>1065</v>
      </c>
      <c r="F10" s="19">
        <v>1559</v>
      </c>
      <c r="G10" s="20">
        <v>0.45</v>
      </c>
      <c r="H10" s="19">
        <v>45</v>
      </c>
      <c r="I10" s="19" t="s">
        <v>37</v>
      </c>
      <c r="J10" s="19">
        <v>1117</v>
      </c>
      <c r="K10" s="19">
        <f t="shared" si="3"/>
        <v>-52</v>
      </c>
      <c r="L10" s="19">
        <f t="shared" si="4"/>
        <v>1065</v>
      </c>
      <c r="M10" s="19"/>
      <c r="N10" s="19">
        <v>115.1999999999998</v>
      </c>
      <c r="O10" s="19"/>
      <c r="P10" s="19">
        <f t="shared" si="5"/>
        <v>213</v>
      </c>
      <c r="Q10" s="28">
        <f>14*P10-O10-N10-F10-R10</f>
        <v>807.80000000000018</v>
      </c>
      <c r="R10" s="28">
        <v>500</v>
      </c>
      <c r="S10" s="21"/>
      <c r="T10" s="19"/>
      <c r="U10" s="19">
        <f t="shared" si="6"/>
        <v>11.652582159624414</v>
      </c>
      <c r="V10" s="19">
        <f t="shared" si="7"/>
        <v>7.8600938967136145</v>
      </c>
      <c r="W10" s="19">
        <v>238.4</v>
      </c>
      <c r="X10" s="19">
        <v>268.8</v>
      </c>
      <c r="Y10" s="19">
        <v>255.2</v>
      </c>
      <c r="Z10" s="19">
        <v>258.2</v>
      </c>
      <c r="AA10" s="19">
        <v>260.39999999999998</v>
      </c>
      <c r="AB10" s="19">
        <v>263.2174</v>
      </c>
      <c r="AC10" s="19">
        <v>249.81739999999999</v>
      </c>
      <c r="AD10" s="19">
        <v>228.09</v>
      </c>
      <c r="AE10" s="19">
        <v>223.09</v>
      </c>
      <c r="AF10" s="19">
        <v>198.27420000000001</v>
      </c>
      <c r="AG10" s="19" t="s">
        <v>154</v>
      </c>
      <c r="AH10" s="1">
        <f t="shared" si="8"/>
        <v>364</v>
      </c>
      <c r="AI10" s="1">
        <f t="shared" si="9"/>
        <v>225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40</v>
      </c>
      <c r="C11" s="1">
        <v>166</v>
      </c>
      <c r="D11" s="1">
        <v>45</v>
      </c>
      <c r="E11" s="1">
        <v>88</v>
      </c>
      <c r="F11" s="1">
        <v>70</v>
      </c>
      <c r="G11" s="7">
        <v>0.17</v>
      </c>
      <c r="H11" s="1">
        <v>180</v>
      </c>
      <c r="I11" s="1" t="s">
        <v>37</v>
      </c>
      <c r="J11" s="1">
        <v>84</v>
      </c>
      <c r="K11" s="1">
        <f t="shared" si="3"/>
        <v>4</v>
      </c>
      <c r="L11" s="1">
        <f t="shared" si="4"/>
        <v>88</v>
      </c>
      <c r="M11" s="1"/>
      <c r="N11" s="1">
        <v>16.299999999999979</v>
      </c>
      <c r="O11" s="1"/>
      <c r="P11" s="1">
        <f t="shared" si="5"/>
        <v>17.600000000000001</v>
      </c>
      <c r="Q11" s="5">
        <f t="shared" ref="Q11:Q12" si="10">10*P11-O11-N11-F11</f>
        <v>89.700000000000017</v>
      </c>
      <c r="R11" s="5"/>
      <c r="S11" s="5"/>
      <c r="T11" s="1"/>
      <c r="U11" s="1">
        <f t="shared" si="6"/>
        <v>10</v>
      </c>
      <c r="V11" s="1">
        <f t="shared" si="7"/>
        <v>4.9034090909090899</v>
      </c>
      <c r="W11" s="1">
        <v>17</v>
      </c>
      <c r="X11" s="1">
        <v>18.600000000000001</v>
      </c>
      <c r="Y11" s="1">
        <v>20.2</v>
      </c>
      <c r="Z11" s="1">
        <v>16.399999999999999</v>
      </c>
      <c r="AA11" s="1">
        <v>24.6</v>
      </c>
      <c r="AB11" s="1">
        <v>29.8</v>
      </c>
      <c r="AC11" s="1">
        <v>24.6</v>
      </c>
      <c r="AD11" s="1">
        <v>17.8</v>
      </c>
      <c r="AE11" s="1">
        <v>15.2</v>
      </c>
      <c r="AF11" s="1">
        <v>16.2</v>
      </c>
      <c r="AG11" s="1" t="s">
        <v>44</v>
      </c>
      <c r="AH11" s="1">
        <f t="shared" si="8"/>
        <v>15</v>
      </c>
      <c r="AI11" s="1">
        <f t="shared" si="9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47</v>
      </c>
      <c r="B12" s="1" t="s">
        <v>40</v>
      </c>
      <c r="C12" s="1">
        <v>24</v>
      </c>
      <c r="D12" s="1">
        <v>12</v>
      </c>
      <c r="E12" s="1">
        <v>14</v>
      </c>
      <c r="F12" s="1">
        <v>15</v>
      </c>
      <c r="G12" s="7">
        <v>0.3</v>
      </c>
      <c r="H12" s="1">
        <v>40</v>
      </c>
      <c r="I12" s="1" t="s">
        <v>37</v>
      </c>
      <c r="J12" s="1">
        <v>28</v>
      </c>
      <c r="K12" s="1">
        <f t="shared" si="3"/>
        <v>-14</v>
      </c>
      <c r="L12" s="1">
        <f t="shared" si="4"/>
        <v>14</v>
      </c>
      <c r="M12" s="1"/>
      <c r="N12" s="1">
        <v>0</v>
      </c>
      <c r="O12" s="1"/>
      <c r="P12" s="1">
        <f t="shared" si="5"/>
        <v>2.8</v>
      </c>
      <c r="Q12" s="5">
        <f t="shared" si="10"/>
        <v>13</v>
      </c>
      <c r="R12" s="5"/>
      <c r="S12" s="5"/>
      <c r="T12" s="1"/>
      <c r="U12" s="1">
        <f t="shared" si="6"/>
        <v>10</v>
      </c>
      <c r="V12" s="1">
        <f t="shared" si="7"/>
        <v>5.3571428571428577</v>
      </c>
      <c r="W12" s="1">
        <v>1.2</v>
      </c>
      <c r="X12" s="1">
        <v>1</v>
      </c>
      <c r="Y12" s="1">
        <v>2.6</v>
      </c>
      <c r="Z12" s="1">
        <v>2.8</v>
      </c>
      <c r="AA12" s="1">
        <v>0.2</v>
      </c>
      <c r="AB12" s="1">
        <v>0</v>
      </c>
      <c r="AC12" s="1">
        <v>1</v>
      </c>
      <c r="AD12" s="1">
        <v>0.6</v>
      </c>
      <c r="AE12" s="1">
        <v>2</v>
      </c>
      <c r="AF12" s="1">
        <v>0.8</v>
      </c>
      <c r="AG12" s="1"/>
      <c r="AH12" s="1">
        <f t="shared" si="8"/>
        <v>4</v>
      </c>
      <c r="AI12" s="1">
        <f t="shared" si="9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0" t="s">
        <v>48</v>
      </c>
      <c r="B13" s="10" t="s">
        <v>40</v>
      </c>
      <c r="C13" s="10"/>
      <c r="D13" s="10">
        <v>1</v>
      </c>
      <c r="E13" s="10">
        <v>1</v>
      </c>
      <c r="F13" s="10"/>
      <c r="G13" s="11">
        <v>0</v>
      </c>
      <c r="H13" s="10" t="e">
        <v>#N/A</v>
      </c>
      <c r="I13" s="10" t="s">
        <v>41</v>
      </c>
      <c r="J13" s="10"/>
      <c r="K13" s="10">
        <f t="shared" si="3"/>
        <v>1</v>
      </c>
      <c r="L13" s="10">
        <f t="shared" si="4"/>
        <v>1</v>
      </c>
      <c r="M13" s="10"/>
      <c r="N13" s="10">
        <v>0</v>
      </c>
      <c r="O13" s="10"/>
      <c r="P13" s="10">
        <f t="shared" si="5"/>
        <v>0.2</v>
      </c>
      <c r="Q13" s="12"/>
      <c r="R13" s="12"/>
      <c r="S13" s="12"/>
      <c r="T13" s="10"/>
      <c r="U13" s="10">
        <f t="shared" si="6"/>
        <v>0</v>
      </c>
      <c r="V13" s="10">
        <f t="shared" si="7"/>
        <v>0</v>
      </c>
      <c r="W13" s="10">
        <v>0.2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/>
      <c r="AH13" s="1">
        <f t="shared" si="8"/>
        <v>0</v>
      </c>
      <c r="AI13" s="1">
        <f t="shared" si="9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40</v>
      </c>
      <c r="C14" s="1">
        <v>105</v>
      </c>
      <c r="D14" s="1">
        <v>375</v>
      </c>
      <c r="E14" s="1">
        <v>143</v>
      </c>
      <c r="F14" s="1">
        <v>301</v>
      </c>
      <c r="G14" s="7">
        <v>0.17</v>
      </c>
      <c r="H14" s="1">
        <v>180</v>
      </c>
      <c r="I14" s="1" t="s">
        <v>37</v>
      </c>
      <c r="J14" s="1">
        <v>227</v>
      </c>
      <c r="K14" s="1">
        <f t="shared" si="3"/>
        <v>-84</v>
      </c>
      <c r="L14" s="1">
        <f t="shared" si="4"/>
        <v>143</v>
      </c>
      <c r="M14" s="1"/>
      <c r="N14" s="1">
        <v>208.4</v>
      </c>
      <c r="O14" s="1"/>
      <c r="P14" s="1">
        <f t="shared" si="5"/>
        <v>28.6</v>
      </c>
      <c r="Q14" s="5"/>
      <c r="R14" s="5"/>
      <c r="S14" s="5"/>
      <c r="T14" s="1"/>
      <c r="U14" s="1">
        <f t="shared" si="6"/>
        <v>17.81118881118881</v>
      </c>
      <c r="V14" s="1">
        <f t="shared" si="7"/>
        <v>17.81118881118881</v>
      </c>
      <c r="W14" s="1">
        <v>50</v>
      </c>
      <c r="X14" s="1">
        <v>42.8</v>
      </c>
      <c r="Y14" s="1">
        <v>18.8</v>
      </c>
      <c r="Z14" s="1">
        <v>18.399999999999999</v>
      </c>
      <c r="AA14" s="1">
        <v>8.8000000000000007</v>
      </c>
      <c r="AB14" s="1">
        <v>21.4</v>
      </c>
      <c r="AC14" s="1">
        <v>27.4</v>
      </c>
      <c r="AD14" s="1">
        <v>31.2</v>
      </c>
      <c r="AE14" s="1">
        <v>28.4</v>
      </c>
      <c r="AF14" s="1">
        <v>34</v>
      </c>
      <c r="AG14" s="1"/>
      <c r="AH14" s="1">
        <f t="shared" si="8"/>
        <v>0</v>
      </c>
      <c r="AI14" s="1">
        <f t="shared" si="9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40</v>
      </c>
      <c r="C15" s="1">
        <v>49</v>
      </c>
      <c r="D15" s="1"/>
      <c r="E15" s="1">
        <v>6</v>
      </c>
      <c r="F15" s="1">
        <v>40</v>
      </c>
      <c r="G15" s="7">
        <v>0.35</v>
      </c>
      <c r="H15" s="1">
        <v>50</v>
      </c>
      <c r="I15" s="1" t="s">
        <v>37</v>
      </c>
      <c r="J15" s="1">
        <v>5</v>
      </c>
      <c r="K15" s="1">
        <f t="shared" si="3"/>
        <v>1</v>
      </c>
      <c r="L15" s="1">
        <f t="shared" si="4"/>
        <v>6</v>
      </c>
      <c r="M15" s="1"/>
      <c r="N15" s="1">
        <v>0</v>
      </c>
      <c r="O15" s="1"/>
      <c r="P15" s="1">
        <f t="shared" si="5"/>
        <v>1.2</v>
      </c>
      <c r="Q15" s="5"/>
      <c r="R15" s="5"/>
      <c r="S15" s="5"/>
      <c r="T15" s="1"/>
      <c r="U15" s="1">
        <f t="shared" si="6"/>
        <v>33.333333333333336</v>
      </c>
      <c r="V15" s="1">
        <f t="shared" si="7"/>
        <v>33.333333333333336</v>
      </c>
      <c r="W15" s="1">
        <v>1.2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26" t="s">
        <v>156</v>
      </c>
      <c r="AH15" s="1">
        <f t="shared" si="8"/>
        <v>0</v>
      </c>
      <c r="AI15" s="1">
        <f t="shared" si="9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40</v>
      </c>
      <c r="C16" s="1">
        <v>88</v>
      </c>
      <c r="D16" s="1">
        <v>96</v>
      </c>
      <c r="E16" s="1">
        <v>41</v>
      </c>
      <c r="F16" s="1">
        <v>131</v>
      </c>
      <c r="G16" s="7">
        <v>0.35</v>
      </c>
      <c r="H16" s="1">
        <v>50</v>
      </c>
      <c r="I16" s="1" t="s">
        <v>37</v>
      </c>
      <c r="J16" s="1">
        <v>45</v>
      </c>
      <c r="K16" s="1">
        <f t="shared" si="3"/>
        <v>-4</v>
      </c>
      <c r="L16" s="1">
        <f t="shared" si="4"/>
        <v>41</v>
      </c>
      <c r="M16" s="1"/>
      <c r="N16" s="1">
        <v>0</v>
      </c>
      <c r="O16" s="1"/>
      <c r="P16" s="1">
        <f t="shared" si="5"/>
        <v>8.1999999999999993</v>
      </c>
      <c r="Q16" s="5"/>
      <c r="R16" s="5"/>
      <c r="S16" s="5"/>
      <c r="T16" s="1"/>
      <c r="U16" s="1">
        <f t="shared" si="6"/>
        <v>15.975609756097562</v>
      </c>
      <c r="V16" s="1">
        <f t="shared" si="7"/>
        <v>15.975609756097562</v>
      </c>
      <c r="W16" s="1">
        <v>9.1999999999999993</v>
      </c>
      <c r="X16" s="1">
        <v>17</v>
      </c>
      <c r="Y16" s="1">
        <v>19.8</v>
      </c>
      <c r="Z16" s="1">
        <v>15.2</v>
      </c>
      <c r="AA16" s="1">
        <v>19.2</v>
      </c>
      <c r="AB16" s="1">
        <v>18</v>
      </c>
      <c r="AC16" s="1">
        <v>11.4</v>
      </c>
      <c r="AD16" s="1">
        <v>11.4</v>
      </c>
      <c r="AE16" s="1">
        <v>9.1999999999999993</v>
      </c>
      <c r="AF16" s="1">
        <v>12.6</v>
      </c>
      <c r="AG16" s="26" t="s">
        <v>157</v>
      </c>
      <c r="AH16" s="1">
        <f t="shared" si="8"/>
        <v>0</v>
      </c>
      <c r="AI16" s="1">
        <f t="shared" si="9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36</v>
      </c>
      <c r="C17" s="1">
        <v>1107.9359999999999</v>
      </c>
      <c r="D17" s="1">
        <v>2263.3820000000001</v>
      </c>
      <c r="E17" s="1">
        <v>1259.694</v>
      </c>
      <c r="F17" s="1">
        <v>1650.1859999999999</v>
      </c>
      <c r="G17" s="7">
        <v>1</v>
      </c>
      <c r="H17" s="1">
        <v>55</v>
      </c>
      <c r="I17" s="1" t="s">
        <v>37</v>
      </c>
      <c r="J17" s="1">
        <v>1250.5999999999999</v>
      </c>
      <c r="K17" s="1">
        <f t="shared" si="3"/>
        <v>9.0940000000000509</v>
      </c>
      <c r="L17" s="1">
        <f t="shared" si="4"/>
        <v>1132.9939999999999</v>
      </c>
      <c r="M17" s="1">
        <v>126.7</v>
      </c>
      <c r="N17" s="1">
        <v>751.84199999999976</v>
      </c>
      <c r="O17" s="1"/>
      <c r="P17" s="1">
        <f t="shared" si="5"/>
        <v>226.59879999999998</v>
      </c>
      <c r="Q17" s="28">
        <f>12*P17-O17-N17-F17</f>
        <v>317.15760000000023</v>
      </c>
      <c r="R17" s="28"/>
      <c r="S17" s="5"/>
      <c r="T17" s="1"/>
      <c r="U17" s="1">
        <f t="shared" si="6"/>
        <v>12</v>
      </c>
      <c r="V17" s="1">
        <f t="shared" si="7"/>
        <v>10.600356224304807</v>
      </c>
      <c r="W17" s="1">
        <v>298.38760000000002</v>
      </c>
      <c r="X17" s="1">
        <v>274.70600000000002</v>
      </c>
      <c r="Y17" s="1">
        <v>206.38939999999999</v>
      </c>
      <c r="Z17" s="1">
        <v>193.7028</v>
      </c>
      <c r="AA17" s="1">
        <v>201.4074</v>
      </c>
      <c r="AB17" s="1">
        <v>310.33399999999989</v>
      </c>
      <c r="AC17" s="1">
        <v>398.28039999999999</v>
      </c>
      <c r="AD17" s="1">
        <v>324.76940000000002</v>
      </c>
      <c r="AE17" s="1">
        <v>301.13979999999998</v>
      </c>
      <c r="AF17" s="1">
        <v>383.67419999999998</v>
      </c>
      <c r="AG17" s="1"/>
      <c r="AH17" s="1">
        <f t="shared" si="8"/>
        <v>317</v>
      </c>
      <c r="AI17" s="1">
        <f t="shared" si="9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9" t="s">
        <v>53</v>
      </c>
      <c r="B18" s="19" t="s">
        <v>36</v>
      </c>
      <c r="C18" s="19">
        <v>1497.97</v>
      </c>
      <c r="D18" s="19">
        <v>4737.607</v>
      </c>
      <c r="E18" s="19">
        <v>2194.5720000000001</v>
      </c>
      <c r="F18" s="19">
        <v>3377.0259999999998</v>
      </c>
      <c r="G18" s="20">
        <v>1</v>
      </c>
      <c r="H18" s="19">
        <v>50</v>
      </c>
      <c r="I18" s="19" t="s">
        <v>37</v>
      </c>
      <c r="J18" s="19">
        <v>2229.8389999999999</v>
      </c>
      <c r="K18" s="19">
        <f t="shared" si="3"/>
        <v>-35.266999999999825</v>
      </c>
      <c r="L18" s="19">
        <f t="shared" si="4"/>
        <v>2058.5240000000003</v>
      </c>
      <c r="M18" s="19">
        <v>136.048</v>
      </c>
      <c r="N18" s="19">
        <v>700</v>
      </c>
      <c r="O18" s="19">
        <v>800</v>
      </c>
      <c r="P18" s="19">
        <f t="shared" si="5"/>
        <v>411.70480000000009</v>
      </c>
      <c r="Q18" s="28">
        <f>14*P18-O18-N18-F18-R18</f>
        <v>586.84120000000166</v>
      </c>
      <c r="R18" s="28">
        <v>300</v>
      </c>
      <c r="S18" s="21"/>
      <c r="T18" s="19"/>
      <c r="U18" s="19">
        <f t="shared" si="6"/>
        <v>13.271322559270624</v>
      </c>
      <c r="V18" s="19">
        <f t="shared" si="7"/>
        <v>11.845929413502098</v>
      </c>
      <c r="W18" s="19">
        <v>546.6848</v>
      </c>
      <c r="X18" s="19">
        <v>527.30619999999999</v>
      </c>
      <c r="Y18" s="19">
        <v>267.09339999999997</v>
      </c>
      <c r="Z18" s="19">
        <v>251.4836</v>
      </c>
      <c r="AA18" s="19">
        <v>292.53859999999997</v>
      </c>
      <c r="AB18" s="19">
        <v>235.83619999999999</v>
      </c>
      <c r="AC18" s="19">
        <v>536.05899999999997</v>
      </c>
      <c r="AD18" s="19">
        <v>581.779</v>
      </c>
      <c r="AE18" s="19">
        <v>386.68200000000002</v>
      </c>
      <c r="AF18" s="19">
        <v>436.22439999999989</v>
      </c>
      <c r="AG18" s="19" t="s">
        <v>152</v>
      </c>
      <c r="AH18" s="1">
        <f t="shared" si="8"/>
        <v>587</v>
      </c>
      <c r="AI18" s="1">
        <f t="shared" si="9"/>
        <v>300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36</v>
      </c>
      <c r="C19" s="1">
        <v>169.34399999999999</v>
      </c>
      <c r="D19" s="1">
        <v>84.1</v>
      </c>
      <c r="E19" s="1">
        <v>144.21299999999999</v>
      </c>
      <c r="F19" s="1">
        <v>89.391999999999996</v>
      </c>
      <c r="G19" s="7">
        <v>1</v>
      </c>
      <c r="H19" s="1">
        <v>60</v>
      </c>
      <c r="I19" s="1" t="s">
        <v>37</v>
      </c>
      <c r="J19" s="1">
        <v>168.85</v>
      </c>
      <c r="K19" s="1">
        <f t="shared" si="3"/>
        <v>-24.637</v>
      </c>
      <c r="L19" s="1">
        <f t="shared" si="4"/>
        <v>144.21299999999999</v>
      </c>
      <c r="M19" s="1"/>
      <c r="N19" s="1">
        <v>94.741399999999999</v>
      </c>
      <c r="O19" s="1"/>
      <c r="P19" s="1">
        <f t="shared" si="5"/>
        <v>28.842599999999997</v>
      </c>
      <c r="Q19" s="28">
        <f>12*P19-O19-N19-F19</f>
        <v>161.97779999999995</v>
      </c>
      <c r="R19" s="28"/>
      <c r="S19" s="5"/>
      <c r="T19" s="1"/>
      <c r="U19" s="1">
        <f t="shared" si="6"/>
        <v>11.999999999999998</v>
      </c>
      <c r="V19" s="1">
        <f t="shared" si="7"/>
        <v>6.384077718374904</v>
      </c>
      <c r="W19" s="1">
        <v>27.014800000000001</v>
      </c>
      <c r="X19" s="1">
        <v>22.9268</v>
      </c>
      <c r="Y19" s="1">
        <v>29.660399999999999</v>
      </c>
      <c r="Z19" s="1">
        <v>26.854800000000001</v>
      </c>
      <c r="AA19" s="1">
        <v>21.146599999999999</v>
      </c>
      <c r="AB19" s="1">
        <v>24.0246</v>
      </c>
      <c r="AC19" s="1">
        <v>29.0502</v>
      </c>
      <c r="AD19" s="1">
        <v>27.303000000000001</v>
      </c>
      <c r="AE19" s="1">
        <v>19.429400000000001</v>
      </c>
      <c r="AF19" s="1">
        <v>23.8124</v>
      </c>
      <c r="AG19" s="1"/>
      <c r="AH19" s="1">
        <f t="shared" si="8"/>
        <v>162</v>
      </c>
      <c r="AI19" s="1">
        <f t="shared" si="9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36</v>
      </c>
      <c r="C20" s="1">
        <v>2037.8620000000001</v>
      </c>
      <c r="D20" s="1">
        <v>3324.5219999999999</v>
      </c>
      <c r="E20" s="1">
        <v>1696.1849999999999</v>
      </c>
      <c r="F20" s="1">
        <v>3535.096</v>
      </c>
      <c r="G20" s="7">
        <v>1</v>
      </c>
      <c r="H20" s="1">
        <v>60</v>
      </c>
      <c r="I20" s="1" t="s">
        <v>37</v>
      </c>
      <c r="J20" s="1">
        <v>1719.999</v>
      </c>
      <c r="K20" s="1">
        <f t="shared" si="3"/>
        <v>-23.814000000000078</v>
      </c>
      <c r="L20" s="1">
        <f t="shared" si="4"/>
        <v>1636.2190000000001</v>
      </c>
      <c r="M20" s="1">
        <v>59.966000000000001</v>
      </c>
      <c r="N20" s="1">
        <v>793.80270000000064</v>
      </c>
      <c r="O20" s="1"/>
      <c r="P20" s="1">
        <f t="shared" si="5"/>
        <v>327.24380000000002</v>
      </c>
      <c r="Q20" s="5"/>
      <c r="R20" s="5"/>
      <c r="S20" s="5"/>
      <c r="T20" s="1"/>
      <c r="U20" s="1">
        <f t="shared" si="6"/>
        <v>13.22835971223901</v>
      </c>
      <c r="V20" s="1">
        <f t="shared" si="7"/>
        <v>13.22835971223901</v>
      </c>
      <c r="W20" s="1">
        <v>418.85660000000001</v>
      </c>
      <c r="X20" s="1">
        <v>404.33440000000002</v>
      </c>
      <c r="Y20" s="1">
        <v>160.50620000000001</v>
      </c>
      <c r="Z20" s="1">
        <v>167.1514</v>
      </c>
      <c r="AA20" s="1">
        <v>272.83499999999998</v>
      </c>
      <c r="AB20" s="1">
        <v>336.50259999999997</v>
      </c>
      <c r="AC20" s="1">
        <v>275.95479999999998</v>
      </c>
      <c r="AD20" s="1">
        <v>196.05439999999999</v>
      </c>
      <c r="AE20" s="1">
        <v>219.8048</v>
      </c>
      <c r="AF20" s="1">
        <v>358.10300000000001</v>
      </c>
      <c r="AG20" s="1"/>
      <c r="AH20" s="1">
        <f t="shared" si="8"/>
        <v>0</v>
      </c>
      <c r="AI20" s="1">
        <f t="shared" si="9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4" t="s">
        <v>56</v>
      </c>
      <c r="B21" s="14" t="s">
        <v>36</v>
      </c>
      <c r="C21" s="14"/>
      <c r="D21" s="14"/>
      <c r="E21" s="14"/>
      <c r="F21" s="14"/>
      <c r="G21" s="15">
        <v>0</v>
      </c>
      <c r="H21" s="14">
        <v>60</v>
      </c>
      <c r="I21" s="14" t="s">
        <v>37</v>
      </c>
      <c r="J21" s="14"/>
      <c r="K21" s="14">
        <f t="shared" si="3"/>
        <v>0</v>
      </c>
      <c r="L21" s="14">
        <f t="shared" si="4"/>
        <v>0</v>
      </c>
      <c r="M21" s="14"/>
      <c r="N21" s="14">
        <v>0</v>
      </c>
      <c r="O21" s="14"/>
      <c r="P21" s="14">
        <f t="shared" si="5"/>
        <v>0</v>
      </c>
      <c r="Q21" s="16"/>
      <c r="R21" s="16"/>
      <c r="S21" s="16"/>
      <c r="T21" s="14"/>
      <c r="U21" s="14" t="e">
        <f t="shared" si="6"/>
        <v>#DIV/0!</v>
      </c>
      <c r="V21" s="14" t="e">
        <f t="shared" si="7"/>
        <v>#DIV/0!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 t="s">
        <v>57</v>
      </c>
      <c r="AH21" s="1">
        <f t="shared" si="8"/>
        <v>0</v>
      </c>
      <c r="AI21" s="1">
        <f t="shared" si="9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9" t="s">
        <v>58</v>
      </c>
      <c r="B22" s="19" t="s">
        <v>36</v>
      </c>
      <c r="C22" s="19">
        <v>2218.3310000000001</v>
      </c>
      <c r="D22" s="19">
        <v>5010.5429999999997</v>
      </c>
      <c r="E22" s="19">
        <v>2852.6579999999999</v>
      </c>
      <c r="F22" s="19">
        <v>3489.4160000000002</v>
      </c>
      <c r="G22" s="20">
        <v>1</v>
      </c>
      <c r="H22" s="19">
        <v>60</v>
      </c>
      <c r="I22" s="19" t="s">
        <v>37</v>
      </c>
      <c r="J22" s="19">
        <v>2790.875</v>
      </c>
      <c r="K22" s="19">
        <f t="shared" si="3"/>
        <v>61.782999999999902</v>
      </c>
      <c r="L22" s="19">
        <f t="shared" si="4"/>
        <v>2610.748</v>
      </c>
      <c r="M22" s="19">
        <v>241.91</v>
      </c>
      <c r="N22" s="19">
        <v>1106.728199999998</v>
      </c>
      <c r="O22" s="19">
        <v>1000</v>
      </c>
      <c r="P22" s="19">
        <f t="shared" si="5"/>
        <v>522.14959999999996</v>
      </c>
      <c r="Q22" s="28">
        <f>14*P22-O22-N22-F22</f>
        <v>1713.950200000002</v>
      </c>
      <c r="R22" s="28"/>
      <c r="S22" s="21"/>
      <c r="T22" s="19"/>
      <c r="U22" s="19">
        <f t="shared" si="6"/>
        <v>14</v>
      </c>
      <c r="V22" s="19">
        <f t="shared" si="7"/>
        <v>10.717511226667604</v>
      </c>
      <c r="W22" s="19">
        <v>640.09120000000007</v>
      </c>
      <c r="X22" s="19">
        <v>606.77560000000005</v>
      </c>
      <c r="Y22" s="19">
        <v>537.21879999999999</v>
      </c>
      <c r="Z22" s="19">
        <v>516.37740000000008</v>
      </c>
      <c r="AA22" s="19">
        <v>434.51839999999999</v>
      </c>
      <c r="AB22" s="19">
        <v>439.80700000000007</v>
      </c>
      <c r="AC22" s="19">
        <v>668.41700000000003</v>
      </c>
      <c r="AD22" s="19">
        <v>686.20619999999997</v>
      </c>
      <c r="AE22" s="19">
        <v>491.83839999999998</v>
      </c>
      <c r="AF22" s="19">
        <v>547.68860000000006</v>
      </c>
      <c r="AG22" s="19" t="s">
        <v>151</v>
      </c>
      <c r="AH22" s="1">
        <f t="shared" si="8"/>
        <v>1714</v>
      </c>
      <c r="AI22" s="1">
        <f t="shared" si="9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22" t="s">
        <v>60</v>
      </c>
      <c r="B23" s="22" t="s">
        <v>36</v>
      </c>
      <c r="C23" s="22">
        <v>618.298</v>
      </c>
      <c r="D23" s="22">
        <v>1103.47</v>
      </c>
      <c r="E23" s="22">
        <v>567.69200000000001</v>
      </c>
      <c r="F23" s="22">
        <v>946.65499999999997</v>
      </c>
      <c r="G23" s="23">
        <v>1</v>
      </c>
      <c r="H23" s="22">
        <v>60</v>
      </c>
      <c r="I23" s="22" t="s">
        <v>37</v>
      </c>
      <c r="J23" s="22">
        <v>603.51</v>
      </c>
      <c r="K23" s="22">
        <f t="shared" si="3"/>
        <v>-35.817999999999984</v>
      </c>
      <c r="L23" s="22">
        <f t="shared" si="4"/>
        <v>520.52200000000005</v>
      </c>
      <c r="M23" s="22">
        <v>47.17</v>
      </c>
      <c r="N23" s="22">
        <v>610.3123999999998</v>
      </c>
      <c r="O23" s="22"/>
      <c r="P23" s="22">
        <f t="shared" si="5"/>
        <v>104.10440000000001</v>
      </c>
      <c r="Q23" s="24"/>
      <c r="R23" s="24"/>
      <c r="S23" s="24"/>
      <c r="T23" s="22"/>
      <c r="U23" s="22">
        <f t="shared" si="6"/>
        <v>14.955827035168538</v>
      </c>
      <c r="V23" s="22">
        <f t="shared" si="7"/>
        <v>14.955827035168538</v>
      </c>
      <c r="W23" s="22">
        <v>180.18639999999999</v>
      </c>
      <c r="X23" s="22">
        <v>161.7552</v>
      </c>
      <c r="Y23" s="22">
        <v>140.8828</v>
      </c>
      <c r="Z23" s="22">
        <v>154.36920000000001</v>
      </c>
      <c r="AA23" s="22">
        <v>112.0834</v>
      </c>
      <c r="AB23" s="22">
        <v>125.7568</v>
      </c>
      <c r="AC23" s="22">
        <v>132.44640000000001</v>
      </c>
      <c r="AD23" s="22">
        <v>97.144800000000004</v>
      </c>
      <c r="AE23" s="22">
        <v>103.6504</v>
      </c>
      <c r="AF23" s="22">
        <v>92.827399999999997</v>
      </c>
      <c r="AG23" s="26" t="s">
        <v>158</v>
      </c>
      <c r="AH23" s="1">
        <f t="shared" si="8"/>
        <v>0</v>
      </c>
      <c r="AI23" s="1">
        <f t="shared" si="9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22" t="s">
        <v>61</v>
      </c>
      <c r="B24" s="22" t="s">
        <v>36</v>
      </c>
      <c r="C24" s="22">
        <v>1015.364</v>
      </c>
      <c r="D24" s="22">
        <v>1229.991</v>
      </c>
      <c r="E24" s="22">
        <v>807.76099999999997</v>
      </c>
      <c r="F24" s="22">
        <v>1161.664</v>
      </c>
      <c r="G24" s="23">
        <v>1</v>
      </c>
      <c r="H24" s="22">
        <v>60</v>
      </c>
      <c r="I24" s="22" t="s">
        <v>37</v>
      </c>
      <c r="J24" s="22">
        <v>809.64800000000002</v>
      </c>
      <c r="K24" s="22">
        <f t="shared" si="3"/>
        <v>-1.8870000000000573</v>
      </c>
      <c r="L24" s="22">
        <f t="shared" si="4"/>
        <v>733.31299999999999</v>
      </c>
      <c r="M24" s="22">
        <v>74.447999999999993</v>
      </c>
      <c r="N24" s="22">
        <v>659.02729999999997</v>
      </c>
      <c r="O24" s="22"/>
      <c r="P24" s="22">
        <f t="shared" si="5"/>
        <v>146.6626</v>
      </c>
      <c r="Q24" s="24"/>
      <c r="R24" s="24"/>
      <c r="S24" s="24"/>
      <c r="T24" s="22"/>
      <c r="U24" s="22">
        <f t="shared" si="6"/>
        <v>12.41414852866375</v>
      </c>
      <c r="V24" s="22">
        <f t="shared" si="7"/>
        <v>12.41414852866375</v>
      </c>
      <c r="W24" s="22">
        <v>220.55019999999999</v>
      </c>
      <c r="X24" s="22">
        <v>204.3252</v>
      </c>
      <c r="Y24" s="22">
        <v>181.23599999999999</v>
      </c>
      <c r="Z24" s="22">
        <v>207.1456</v>
      </c>
      <c r="AA24" s="22">
        <v>153.3486</v>
      </c>
      <c r="AB24" s="22">
        <v>169.1464</v>
      </c>
      <c r="AC24" s="22">
        <v>177.07560000000001</v>
      </c>
      <c r="AD24" s="22">
        <v>111.5564</v>
      </c>
      <c r="AE24" s="22">
        <v>146.03460000000001</v>
      </c>
      <c r="AF24" s="22">
        <v>129.23740000000001</v>
      </c>
      <c r="AG24" s="22" t="s">
        <v>59</v>
      </c>
      <c r="AH24" s="1">
        <f t="shared" si="8"/>
        <v>0</v>
      </c>
      <c r="AI24" s="1">
        <f t="shared" si="9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9" t="s">
        <v>62</v>
      </c>
      <c r="B25" s="19" t="s">
        <v>36</v>
      </c>
      <c r="C25" s="19">
        <v>770.18100000000004</v>
      </c>
      <c r="D25" s="19">
        <v>1435.9290000000001</v>
      </c>
      <c r="E25" s="19">
        <v>627.24400000000003</v>
      </c>
      <c r="F25" s="19">
        <v>1217.1610000000001</v>
      </c>
      <c r="G25" s="20">
        <v>1</v>
      </c>
      <c r="H25" s="19">
        <v>60</v>
      </c>
      <c r="I25" s="19" t="s">
        <v>37</v>
      </c>
      <c r="J25" s="19">
        <v>882.15300000000002</v>
      </c>
      <c r="K25" s="19">
        <f t="shared" si="3"/>
        <v>-254.90899999999999</v>
      </c>
      <c r="L25" s="19">
        <f t="shared" si="4"/>
        <v>531.94100000000003</v>
      </c>
      <c r="M25" s="19">
        <v>95.302999999999997</v>
      </c>
      <c r="N25" s="19">
        <v>935.51599999999985</v>
      </c>
      <c r="O25" s="19"/>
      <c r="P25" s="19">
        <f t="shared" si="5"/>
        <v>106.38820000000001</v>
      </c>
      <c r="Q25" s="21"/>
      <c r="R25" s="21"/>
      <c r="S25" s="21"/>
      <c r="T25" s="19"/>
      <c r="U25" s="19">
        <f t="shared" si="6"/>
        <v>20.2341707069017</v>
      </c>
      <c r="V25" s="19">
        <f t="shared" si="7"/>
        <v>20.2341707069017</v>
      </c>
      <c r="W25" s="19">
        <v>235.61680000000001</v>
      </c>
      <c r="X25" s="19">
        <v>203.40199999999999</v>
      </c>
      <c r="Y25" s="19">
        <v>136.2996</v>
      </c>
      <c r="Z25" s="19">
        <v>134.27719999999999</v>
      </c>
      <c r="AA25" s="19">
        <v>169.32679999999999</v>
      </c>
      <c r="AB25" s="19">
        <v>268.72460000000001</v>
      </c>
      <c r="AC25" s="19">
        <v>363.09100000000001</v>
      </c>
      <c r="AD25" s="19">
        <v>276.38380000000001</v>
      </c>
      <c r="AE25" s="19">
        <v>235.2038</v>
      </c>
      <c r="AF25" s="19">
        <v>370.42840000000001</v>
      </c>
      <c r="AG25" s="26" t="s">
        <v>159</v>
      </c>
      <c r="AH25" s="1">
        <f t="shared" si="8"/>
        <v>0</v>
      </c>
      <c r="AI25" s="1">
        <f t="shared" si="9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4" t="s">
        <v>63</v>
      </c>
      <c r="B26" s="14" t="s">
        <v>36</v>
      </c>
      <c r="C26" s="14"/>
      <c r="D26" s="14"/>
      <c r="E26" s="14"/>
      <c r="F26" s="14"/>
      <c r="G26" s="15">
        <v>0</v>
      </c>
      <c r="H26" s="14">
        <v>30</v>
      </c>
      <c r="I26" s="14" t="s">
        <v>37</v>
      </c>
      <c r="J26" s="14"/>
      <c r="K26" s="14">
        <f t="shared" si="3"/>
        <v>0</v>
      </c>
      <c r="L26" s="14">
        <f t="shared" si="4"/>
        <v>0</v>
      </c>
      <c r="M26" s="14"/>
      <c r="N26" s="14">
        <v>0</v>
      </c>
      <c r="O26" s="14"/>
      <c r="P26" s="14">
        <f t="shared" si="5"/>
        <v>0</v>
      </c>
      <c r="Q26" s="16"/>
      <c r="R26" s="16"/>
      <c r="S26" s="16"/>
      <c r="T26" s="14"/>
      <c r="U26" s="14" t="e">
        <f t="shared" si="6"/>
        <v>#DIV/0!</v>
      </c>
      <c r="V26" s="14" t="e">
        <f t="shared" si="7"/>
        <v>#DIV/0!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 t="s">
        <v>57</v>
      </c>
      <c r="AH26" s="1">
        <f t="shared" si="8"/>
        <v>0</v>
      </c>
      <c r="AI26" s="1">
        <f t="shared" si="9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4" t="s">
        <v>64</v>
      </c>
      <c r="B27" s="14" t="s">
        <v>36</v>
      </c>
      <c r="C27" s="14"/>
      <c r="D27" s="14"/>
      <c r="E27" s="14"/>
      <c r="F27" s="14"/>
      <c r="G27" s="15">
        <v>0</v>
      </c>
      <c r="H27" s="14">
        <v>30</v>
      </c>
      <c r="I27" s="14" t="s">
        <v>37</v>
      </c>
      <c r="J27" s="14"/>
      <c r="K27" s="14">
        <f t="shared" si="3"/>
        <v>0</v>
      </c>
      <c r="L27" s="14">
        <f t="shared" si="4"/>
        <v>0</v>
      </c>
      <c r="M27" s="14"/>
      <c r="N27" s="14">
        <v>0</v>
      </c>
      <c r="O27" s="14"/>
      <c r="P27" s="14">
        <f t="shared" si="5"/>
        <v>0</v>
      </c>
      <c r="Q27" s="16"/>
      <c r="R27" s="16"/>
      <c r="S27" s="16"/>
      <c r="T27" s="14"/>
      <c r="U27" s="14" t="e">
        <f t="shared" si="6"/>
        <v>#DIV/0!</v>
      </c>
      <c r="V27" s="14" t="e">
        <f t="shared" si="7"/>
        <v>#DIV/0!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 t="s">
        <v>57</v>
      </c>
      <c r="AH27" s="1">
        <f t="shared" si="8"/>
        <v>0</v>
      </c>
      <c r="AI27" s="1">
        <f t="shared" si="9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36</v>
      </c>
      <c r="C28" s="1">
        <v>1040.98</v>
      </c>
      <c r="D28" s="1">
        <v>1373.3789999999999</v>
      </c>
      <c r="E28" s="1">
        <v>894.48900000000003</v>
      </c>
      <c r="F28" s="1">
        <v>1244.481</v>
      </c>
      <c r="G28" s="7">
        <v>1</v>
      </c>
      <c r="H28" s="1">
        <v>30</v>
      </c>
      <c r="I28" s="1" t="s">
        <v>37</v>
      </c>
      <c r="J28" s="1">
        <v>943.851</v>
      </c>
      <c r="K28" s="1">
        <f t="shared" si="3"/>
        <v>-49.361999999999966</v>
      </c>
      <c r="L28" s="1">
        <f t="shared" si="4"/>
        <v>823.29899999999998</v>
      </c>
      <c r="M28" s="1">
        <v>71.19</v>
      </c>
      <c r="N28" s="1">
        <v>378.09329999999977</v>
      </c>
      <c r="O28" s="1"/>
      <c r="P28" s="1">
        <f t="shared" si="5"/>
        <v>164.65979999999999</v>
      </c>
      <c r="Q28" s="5">
        <f>10*P28-O28-N28-F28</f>
        <v>24.02370000000019</v>
      </c>
      <c r="R28" s="5"/>
      <c r="S28" s="5"/>
      <c r="T28" s="1"/>
      <c r="U28" s="1">
        <f t="shared" si="6"/>
        <v>10</v>
      </c>
      <c r="V28" s="1">
        <f t="shared" si="7"/>
        <v>9.8541010009729142</v>
      </c>
      <c r="W28" s="1">
        <v>198.98699999999999</v>
      </c>
      <c r="X28" s="1">
        <v>201.74520000000001</v>
      </c>
      <c r="Y28" s="1">
        <v>138.4486</v>
      </c>
      <c r="Z28" s="1">
        <v>139.56200000000001</v>
      </c>
      <c r="AA28" s="1">
        <v>107.913</v>
      </c>
      <c r="AB28" s="1">
        <v>127.68940000000001</v>
      </c>
      <c r="AC28" s="1">
        <v>172.2902</v>
      </c>
      <c r="AD28" s="1">
        <v>142.6968</v>
      </c>
      <c r="AE28" s="1">
        <v>193.83279999999999</v>
      </c>
      <c r="AF28" s="1">
        <v>148.1738</v>
      </c>
      <c r="AG28" s="1"/>
      <c r="AH28" s="1">
        <f t="shared" si="8"/>
        <v>24</v>
      </c>
      <c r="AI28" s="1">
        <f t="shared" si="9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4" t="s">
        <v>66</v>
      </c>
      <c r="B29" s="14" t="s">
        <v>36</v>
      </c>
      <c r="C29" s="14"/>
      <c r="D29" s="14"/>
      <c r="E29" s="14"/>
      <c r="F29" s="14"/>
      <c r="G29" s="15">
        <v>0</v>
      </c>
      <c r="H29" s="14">
        <v>45</v>
      </c>
      <c r="I29" s="14" t="s">
        <v>37</v>
      </c>
      <c r="J29" s="14"/>
      <c r="K29" s="14">
        <f t="shared" si="3"/>
        <v>0</v>
      </c>
      <c r="L29" s="14">
        <f t="shared" si="4"/>
        <v>0</v>
      </c>
      <c r="M29" s="14"/>
      <c r="N29" s="14">
        <v>0</v>
      </c>
      <c r="O29" s="14"/>
      <c r="P29" s="14">
        <f t="shared" si="5"/>
        <v>0</v>
      </c>
      <c r="Q29" s="16"/>
      <c r="R29" s="16"/>
      <c r="S29" s="16"/>
      <c r="T29" s="14"/>
      <c r="U29" s="14" t="e">
        <f t="shared" si="6"/>
        <v>#DIV/0!</v>
      </c>
      <c r="V29" s="14" t="e">
        <f t="shared" si="7"/>
        <v>#DIV/0!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 t="s">
        <v>57</v>
      </c>
      <c r="AH29" s="1">
        <f t="shared" si="8"/>
        <v>0</v>
      </c>
      <c r="AI29" s="1">
        <f t="shared" si="9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4" t="s">
        <v>67</v>
      </c>
      <c r="B30" s="14" t="s">
        <v>36</v>
      </c>
      <c r="C30" s="14"/>
      <c r="D30" s="14"/>
      <c r="E30" s="14"/>
      <c r="F30" s="14"/>
      <c r="G30" s="15">
        <v>0</v>
      </c>
      <c r="H30" s="14">
        <v>40</v>
      </c>
      <c r="I30" s="14" t="s">
        <v>37</v>
      </c>
      <c r="J30" s="14"/>
      <c r="K30" s="14">
        <f t="shared" si="3"/>
        <v>0</v>
      </c>
      <c r="L30" s="14">
        <f t="shared" si="4"/>
        <v>0</v>
      </c>
      <c r="M30" s="14"/>
      <c r="N30" s="14">
        <v>0</v>
      </c>
      <c r="O30" s="14"/>
      <c r="P30" s="14">
        <f t="shared" si="5"/>
        <v>0</v>
      </c>
      <c r="Q30" s="16"/>
      <c r="R30" s="16"/>
      <c r="S30" s="16"/>
      <c r="T30" s="14"/>
      <c r="U30" s="14" t="e">
        <f t="shared" si="6"/>
        <v>#DIV/0!</v>
      </c>
      <c r="V30" s="14" t="e">
        <f t="shared" si="7"/>
        <v>#DIV/0!</v>
      </c>
      <c r="W30" s="14">
        <v>17.963799999999999</v>
      </c>
      <c r="X30" s="14">
        <v>169.2766</v>
      </c>
      <c r="Y30" s="14">
        <v>24.254799999999999</v>
      </c>
      <c r="Z30" s="14">
        <v>24.254799999999999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 t="s">
        <v>57</v>
      </c>
      <c r="AH30" s="1">
        <f t="shared" si="8"/>
        <v>0</v>
      </c>
      <c r="AI30" s="1">
        <f t="shared" si="9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4" t="s">
        <v>68</v>
      </c>
      <c r="B31" s="14" t="s">
        <v>36</v>
      </c>
      <c r="C31" s="14"/>
      <c r="D31" s="14"/>
      <c r="E31" s="14"/>
      <c r="F31" s="14"/>
      <c r="G31" s="15">
        <v>0</v>
      </c>
      <c r="H31" s="14">
        <v>30</v>
      </c>
      <c r="I31" s="14" t="s">
        <v>37</v>
      </c>
      <c r="J31" s="14"/>
      <c r="K31" s="14">
        <f t="shared" si="3"/>
        <v>0</v>
      </c>
      <c r="L31" s="14">
        <f t="shared" si="4"/>
        <v>0</v>
      </c>
      <c r="M31" s="14"/>
      <c r="N31" s="14">
        <v>0</v>
      </c>
      <c r="O31" s="14"/>
      <c r="P31" s="14">
        <f t="shared" si="5"/>
        <v>0</v>
      </c>
      <c r="Q31" s="16"/>
      <c r="R31" s="16"/>
      <c r="S31" s="16"/>
      <c r="T31" s="14"/>
      <c r="U31" s="14" t="e">
        <f t="shared" si="6"/>
        <v>#DIV/0!</v>
      </c>
      <c r="V31" s="14" t="e">
        <f t="shared" si="7"/>
        <v>#DIV/0!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 t="s">
        <v>57</v>
      </c>
      <c r="AH31" s="1">
        <f t="shared" si="8"/>
        <v>0</v>
      </c>
      <c r="AI31" s="1">
        <f t="shared" si="9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4" t="s">
        <v>69</v>
      </c>
      <c r="B32" s="14" t="s">
        <v>36</v>
      </c>
      <c r="C32" s="14"/>
      <c r="D32" s="14"/>
      <c r="E32" s="14"/>
      <c r="F32" s="14"/>
      <c r="G32" s="15">
        <v>0</v>
      </c>
      <c r="H32" s="14">
        <v>50</v>
      </c>
      <c r="I32" s="14" t="s">
        <v>37</v>
      </c>
      <c r="J32" s="14"/>
      <c r="K32" s="14">
        <f t="shared" si="3"/>
        <v>0</v>
      </c>
      <c r="L32" s="14">
        <f t="shared" si="4"/>
        <v>0</v>
      </c>
      <c r="M32" s="14"/>
      <c r="N32" s="14">
        <v>0</v>
      </c>
      <c r="O32" s="14"/>
      <c r="P32" s="14">
        <f t="shared" si="5"/>
        <v>0</v>
      </c>
      <c r="Q32" s="16"/>
      <c r="R32" s="16"/>
      <c r="S32" s="16"/>
      <c r="T32" s="14"/>
      <c r="U32" s="14" t="e">
        <f t="shared" si="6"/>
        <v>#DIV/0!</v>
      </c>
      <c r="V32" s="14" t="e">
        <f t="shared" si="7"/>
        <v>#DIV/0!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 t="s">
        <v>57</v>
      </c>
      <c r="AH32" s="1">
        <f t="shared" si="8"/>
        <v>0</v>
      </c>
      <c r="AI32" s="1">
        <f t="shared" si="9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70</v>
      </c>
      <c r="B33" s="1" t="s">
        <v>36</v>
      </c>
      <c r="C33" s="1">
        <v>47.621000000000002</v>
      </c>
      <c r="D33" s="1"/>
      <c r="E33" s="1">
        <v>12.834</v>
      </c>
      <c r="F33" s="1">
        <v>2.7149999999999999</v>
      </c>
      <c r="G33" s="7">
        <v>1</v>
      </c>
      <c r="H33" s="1">
        <v>50</v>
      </c>
      <c r="I33" s="1" t="s">
        <v>37</v>
      </c>
      <c r="J33" s="1">
        <v>17.2</v>
      </c>
      <c r="K33" s="1">
        <f t="shared" si="3"/>
        <v>-4.3659999999999997</v>
      </c>
      <c r="L33" s="1">
        <f t="shared" si="4"/>
        <v>12.834</v>
      </c>
      <c r="M33" s="1"/>
      <c r="N33" s="1">
        <v>0</v>
      </c>
      <c r="O33" s="1"/>
      <c r="P33" s="1">
        <f t="shared" si="5"/>
        <v>2.5667999999999997</v>
      </c>
      <c r="Q33" s="5">
        <f>7*P33-O33-N33-F33</f>
        <v>15.252599999999997</v>
      </c>
      <c r="R33" s="5"/>
      <c r="S33" s="5"/>
      <c r="T33" s="1"/>
      <c r="U33" s="1">
        <f t="shared" si="6"/>
        <v>7</v>
      </c>
      <c r="V33" s="1">
        <f t="shared" si="7"/>
        <v>1.0577372604020572</v>
      </c>
      <c r="W33" s="1">
        <v>3.4731999999999998</v>
      </c>
      <c r="X33" s="1">
        <v>3.1503999999999999</v>
      </c>
      <c r="Y33" s="1">
        <v>1.6772</v>
      </c>
      <c r="Z33" s="1">
        <v>1.8615999999999999</v>
      </c>
      <c r="AA33" s="1">
        <v>2.0434000000000001</v>
      </c>
      <c r="AB33" s="1">
        <v>7.6715999999999998</v>
      </c>
      <c r="AC33" s="1">
        <v>6.3672000000000004</v>
      </c>
      <c r="AD33" s="1">
        <v>0.55359999999999998</v>
      </c>
      <c r="AE33" s="1">
        <v>1.4683999999999999</v>
      </c>
      <c r="AF33" s="1">
        <v>8.0381999999999998</v>
      </c>
      <c r="AG33" s="27" t="s">
        <v>164</v>
      </c>
      <c r="AH33" s="1">
        <f t="shared" si="8"/>
        <v>15</v>
      </c>
      <c r="AI33" s="1">
        <f t="shared" si="9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9" t="s">
        <v>71</v>
      </c>
      <c r="B34" s="19" t="s">
        <v>40</v>
      </c>
      <c r="C34" s="19">
        <v>1716</v>
      </c>
      <c r="D34" s="19">
        <v>1344</v>
      </c>
      <c r="E34" s="19">
        <v>942</v>
      </c>
      <c r="F34" s="19">
        <v>1887</v>
      </c>
      <c r="G34" s="20">
        <v>0.4</v>
      </c>
      <c r="H34" s="19">
        <v>45</v>
      </c>
      <c r="I34" s="19" t="s">
        <v>37</v>
      </c>
      <c r="J34" s="19">
        <v>983</v>
      </c>
      <c r="K34" s="19">
        <f t="shared" si="3"/>
        <v>-41</v>
      </c>
      <c r="L34" s="19">
        <f t="shared" si="4"/>
        <v>828</v>
      </c>
      <c r="M34" s="19">
        <v>114</v>
      </c>
      <c r="N34" s="19">
        <v>208.09999999999951</v>
      </c>
      <c r="O34" s="19"/>
      <c r="P34" s="19">
        <f t="shared" si="5"/>
        <v>165.6</v>
      </c>
      <c r="Q34" s="28">
        <f>14*P34-O34-N34-F34</f>
        <v>223.30000000000064</v>
      </c>
      <c r="R34" s="28"/>
      <c r="S34" s="21"/>
      <c r="T34" s="19"/>
      <c r="U34" s="19">
        <f t="shared" si="6"/>
        <v>14.000000000000002</v>
      </c>
      <c r="V34" s="19">
        <f t="shared" si="7"/>
        <v>12.651570048309177</v>
      </c>
      <c r="W34" s="19">
        <v>252.2</v>
      </c>
      <c r="X34" s="19">
        <v>273.8</v>
      </c>
      <c r="Y34" s="19">
        <v>246.2</v>
      </c>
      <c r="Z34" s="19">
        <v>241.6</v>
      </c>
      <c r="AA34" s="19">
        <v>218.2</v>
      </c>
      <c r="AB34" s="19">
        <v>230.2</v>
      </c>
      <c r="AC34" s="19">
        <v>246.2</v>
      </c>
      <c r="AD34" s="19">
        <v>213.6</v>
      </c>
      <c r="AE34" s="19">
        <v>222.2</v>
      </c>
      <c r="AF34" s="19">
        <v>185</v>
      </c>
      <c r="AG34" s="19" t="s">
        <v>154</v>
      </c>
      <c r="AH34" s="1">
        <f t="shared" si="8"/>
        <v>89</v>
      </c>
      <c r="AI34" s="1">
        <f t="shared" si="9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72</v>
      </c>
      <c r="B35" s="1" t="s">
        <v>40</v>
      </c>
      <c r="C35" s="1">
        <v>438</v>
      </c>
      <c r="D35" s="1">
        <v>160</v>
      </c>
      <c r="E35" s="1">
        <v>261</v>
      </c>
      <c r="F35" s="1">
        <v>308</v>
      </c>
      <c r="G35" s="7">
        <v>0.45</v>
      </c>
      <c r="H35" s="1">
        <v>50</v>
      </c>
      <c r="I35" s="1" t="s">
        <v>37</v>
      </c>
      <c r="J35" s="1">
        <v>271</v>
      </c>
      <c r="K35" s="1">
        <f t="shared" si="3"/>
        <v>-10</v>
      </c>
      <c r="L35" s="1">
        <f t="shared" si="4"/>
        <v>261</v>
      </c>
      <c r="M35" s="1"/>
      <c r="N35" s="1">
        <v>0</v>
      </c>
      <c r="O35" s="1"/>
      <c r="P35" s="1">
        <f t="shared" si="5"/>
        <v>52.2</v>
      </c>
      <c r="Q35" s="28">
        <f>12*P35-O35-N35-F35</f>
        <v>318.40000000000009</v>
      </c>
      <c r="R35" s="28"/>
      <c r="S35" s="5"/>
      <c r="T35" s="1"/>
      <c r="U35" s="1">
        <f t="shared" si="6"/>
        <v>12.000000000000002</v>
      </c>
      <c r="V35" s="1">
        <f t="shared" si="7"/>
        <v>5.9003831417624522</v>
      </c>
      <c r="W35" s="1">
        <v>46</v>
      </c>
      <c r="X35" s="1">
        <v>58</v>
      </c>
      <c r="Y35" s="1">
        <v>49.2</v>
      </c>
      <c r="Z35" s="1">
        <v>61.2</v>
      </c>
      <c r="AA35" s="1">
        <v>83.2</v>
      </c>
      <c r="AB35" s="1">
        <v>70.400000000000006</v>
      </c>
      <c r="AC35" s="1">
        <v>17.399999999999999</v>
      </c>
      <c r="AD35" s="1">
        <v>37.200000000000003</v>
      </c>
      <c r="AE35" s="1">
        <v>259.60000000000002</v>
      </c>
      <c r="AF35" s="1">
        <v>355.8</v>
      </c>
      <c r="AG35" s="1" t="s">
        <v>73</v>
      </c>
      <c r="AH35" s="1">
        <f t="shared" si="8"/>
        <v>143</v>
      </c>
      <c r="AI35" s="1">
        <f t="shared" si="9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9" t="s">
        <v>74</v>
      </c>
      <c r="B36" s="19" t="s">
        <v>40</v>
      </c>
      <c r="C36" s="19">
        <v>970</v>
      </c>
      <c r="D36" s="19">
        <v>1236</v>
      </c>
      <c r="E36" s="19">
        <v>664</v>
      </c>
      <c r="F36" s="19">
        <v>1383</v>
      </c>
      <c r="G36" s="20">
        <v>0.4</v>
      </c>
      <c r="H36" s="19">
        <v>45</v>
      </c>
      <c r="I36" s="19" t="s">
        <v>37</v>
      </c>
      <c r="J36" s="19">
        <v>709</v>
      </c>
      <c r="K36" s="19">
        <f t="shared" si="3"/>
        <v>-45</v>
      </c>
      <c r="L36" s="19">
        <f t="shared" si="4"/>
        <v>616</v>
      </c>
      <c r="M36" s="19">
        <v>48</v>
      </c>
      <c r="N36" s="19">
        <v>453.40000000000032</v>
      </c>
      <c r="O36" s="19"/>
      <c r="P36" s="19">
        <f t="shared" si="5"/>
        <v>123.2</v>
      </c>
      <c r="Q36" s="28"/>
      <c r="R36" s="28"/>
      <c r="S36" s="21"/>
      <c r="T36" s="19"/>
      <c r="U36" s="19">
        <f t="shared" si="6"/>
        <v>14.905844155844157</v>
      </c>
      <c r="V36" s="19">
        <f t="shared" si="7"/>
        <v>14.905844155844157</v>
      </c>
      <c r="W36" s="19">
        <v>208.8</v>
      </c>
      <c r="X36" s="19">
        <v>201.2</v>
      </c>
      <c r="Y36" s="19">
        <v>186.8</v>
      </c>
      <c r="Z36" s="19">
        <v>186.2</v>
      </c>
      <c r="AA36" s="19">
        <v>149</v>
      </c>
      <c r="AB36" s="19">
        <v>139.19999999999999</v>
      </c>
      <c r="AC36" s="19">
        <v>165.4</v>
      </c>
      <c r="AD36" s="19">
        <v>172</v>
      </c>
      <c r="AE36" s="19">
        <v>185.6</v>
      </c>
      <c r="AF36" s="19">
        <v>141.80000000000001</v>
      </c>
      <c r="AG36" s="19" t="s">
        <v>152</v>
      </c>
      <c r="AH36" s="1">
        <f t="shared" si="8"/>
        <v>0</v>
      </c>
      <c r="AI36" s="1">
        <f t="shared" si="9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36</v>
      </c>
      <c r="C37" s="1">
        <v>398.23500000000001</v>
      </c>
      <c r="D37" s="1">
        <v>563.471</v>
      </c>
      <c r="E37" s="1">
        <v>299.76</v>
      </c>
      <c r="F37" s="1">
        <v>614.61400000000003</v>
      </c>
      <c r="G37" s="7">
        <v>1</v>
      </c>
      <c r="H37" s="1">
        <v>45</v>
      </c>
      <c r="I37" s="1" t="s">
        <v>37</v>
      </c>
      <c r="J37" s="1">
        <v>286.98099999999999</v>
      </c>
      <c r="K37" s="1">
        <f t="shared" ref="K37:K66" si="11">E37-J37</f>
        <v>12.778999999999996</v>
      </c>
      <c r="L37" s="1">
        <f t="shared" si="4"/>
        <v>215.34100000000001</v>
      </c>
      <c r="M37" s="1">
        <v>84.418999999999997</v>
      </c>
      <c r="N37" s="1">
        <v>0</v>
      </c>
      <c r="O37" s="1"/>
      <c r="P37" s="1">
        <f t="shared" si="5"/>
        <v>43.068200000000004</v>
      </c>
      <c r="Q37" s="5"/>
      <c r="R37" s="5"/>
      <c r="S37" s="5"/>
      <c r="T37" s="1"/>
      <c r="U37" s="1">
        <f t="shared" si="6"/>
        <v>14.270714819750999</v>
      </c>
      <c r="V37" s="1">
        <f t="shared" si="7"/>
        <v>14.270714819750999</v>
      </c>
      <c r="W37" s="1">
        <v>60.004199999999997</v>
      </c>
      <c r="X37" s="1">
        <v>85.956800000000001</v>
      </c>
      <c r="Y37" s="1">
        <v>70.850600000000014</v>
      </c>
      <c r="Z37" s="1">
        <v>61.820800000000013</v>
      </c>
      <c r="AA37" s="1">
        <v>70.298199999999994</v>
      </c>
      <c r="AB37" s="1">
        <v>81.474199999999996</v>
      </c>
      <c r="AC37" s="1">
        <v>74.7346</v>
      </c>
      <c r="AD37" s="1">
        <v>41.038200000000003</v>
      </c>
      <c r="AE37" s="1">
        <v>70.729799999999997</v>
      </c>
      <c r="AF37" s="1">
        <v>51.452599999999997</v>
      </c>
      <c r="AG37" s="1"/>
      <c r="AH37" s="1">
        <f t="shared" si="8"/>
        <v>0</v>
      </c>
      <c r="AI37" s="1">
        <f t="shared" si="9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4" t="s">
        <v>76</v>
      </c>
      <c r="B38" s="14" t="s">
        <v>40</v>
      </c>
      <c r="C38" s="14"/>
      <c r="D38" s="14">
        <v>1</v>
      </c>
      <c r="E38" s="14"/>
      <c r="F38" s="14"/>
      <c r="G38" s="15">
        <v>0</v>
      </c>
      <c r="H38" s="14">
        <v>45</v>
      </c>
      <c r="I38" s="14" t="s">
        <v>37</v>
      </c>
      <c r="J38" s="14"/>
      <c r="K38" s="14">
        <f t="shared" si="11"/>
        <v>0</v>
      </c>
      <c r="L38" s="14">
        <f t="shared" si="4"/>
        <v>0</v>
      </c>
      <c r="M38" s="14"/>
      <c r="N38" s="14">
        <v>0</v>
      </c>
      <c r="O38" s="14"/>
      <c r="P38" s="14">
        <f t="shared" si="5"/>
        <v>0</v>
      </c>
      <c r="Q38" s="16"/>
      <c r="R38" s="16"/>
      <c r="S38" s="16"/>
      <c r="T38" s="14"/>
      <c r="U38" s="14" t="e">
        <f t="shared" si="6"/>
        <v>#DIV/0!</v>
      </c>
      <c r="V38" s="14" t="e">
        <f t="shared" si="7"/>
        <v>#DIV/0!</v>
      </c>
      <c r="W38" s="14">
        <v>0.2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0.2</v>
      </c>
      <c r="AD38" s="14">
        <v>0.2</v>
      </c>
      <c r="AE38" s="14">
        <v>0</v>
      </c>
      <c r="AF38" s="14">
        <v>0</v>
      </c>
      <c r="AG38" s="14" t="s">
        <v>57</v>
      </c>
      <c r="AH38" s="1">
        <f t="shared" si="8"/>
        <v>0</v>
      </c>
      <c r="AI38" s="1">
        <f t="shared" si="9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9" t="s">
        <v>77</v>
      </c>
      <c r="B39" s="19" t="s">
        <v>40</v>
      </c>
      <c r="C39" s="19">
        <v>214</v>
      </c>
      <c r="D39" s="19">
        <v>709</v>
      </c>
      <c r="E39" s="19">
        <v>105</v>
      </c>
      <c r="F39" s="19">
        <v>648</v>
      </c>
      <c r="G39" s="20">
        <v>0.35</v>
      </c>
      <c r="H39" s="19">
        <v>40</v>
      </c>
      <c r="I39" s="19" t="s">
        <v>37</v>
      </c>
      <c r="J39" s="19">
        <v>394</v>
      </c>
      <c r="K39" s="19">
        <f t="shared" si="11"/>
        <v>-289</v>
      </c>
      <c r="L39" s="19">
        <f t="shared" si="4"/>
        <v>105</v>
      </c>
      <c r="M39" s="19"/>
      <c r="N39" s="19">
        <v>357.7</v>
      </c>
      <c r="O39" s="19"/>
      <c r="P39" s="19">
        <f t="shared" si="5"/>
        <v>21</v>
      </c>
      <c r="Q39" s="28"/>
      <c r="R39" s="28"/>
      <c r="S39" s="21"/>
      <c r="T39" s="19"/>
      <c r="U39" s="19">
        <f t="shared" si="6"/>
        <v>47.890476190476193</v>
      </c>
      <c r="V39" s="19">
        <f t="shared" si="7"/>
        <v>47.890476190476193</v>
      </c>
      <c r="W39" s="19">
        <v>101.4</v>
      </c>
      <c r="X39" s="19">
        <v>104</v>
      </c>
      <c r="Y39" s="19">
        <v>36.6</v>
      </c>
      <c r="Z39" s="19">
        <v>34</v>
      </c>
      <c r="AA39" s="19">
        <v>59.2</v>
      </c>
      <c r="AB39" s="19">
        <v>47.8</v>
      </c>
      <c r="AC39" s="19">
        <v>27</v>
      </c>
      <c r="AD39" s="19">
        <v>29</v>
      </c>
      <c r="AE39" s="19">
        <v>46.4</v>
      </c>
      <c r="AF39" s="19">
        <v>35</v>
      </c>
      <c r="AG39" s="26" t="s">
        <v>160</v>
      </c>
      <c r="AH39" s="1">
        <f t="shared" si="8"/>
        <v>0</v>
      </c>
      <c r="AI39" s="1">
        <f t="shared" si="9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36</v>
      </c>
      <c r="C40" s="1">
        <v>71.444999999999993</v>
      </c>
      <c r="D40" s="1">
        <v>42.984000000000002</v>
      </c>
      <c r="E40" s="1">
        <v>8.0839999999999996</v>
      </c>
      <c r="F40" s="1">
        <v>42.984000000000002</v>
      </c>
      <c r="G40" s="7">
        <v>1</v>
      </c>
      <c r="H40" s="1">
        <v>40</v>
      </c>
      <c r="I40" s="1" t="s">
        <v>37</v>
      </c>
      <c r="J40" s="1">
        <v>55.6</v>
      </c>
      <c r="K40" s="1">
        <f t="shared" si="11"/>
        <v>-47.516000000000005</v>
      </c>
      <c r="L40" s="1">
        <f t="shared" si="4"/>
        <v>8.0839999999999996</v>
      </c>
      <c r="M40" s="1"/>
      <c r="N40" s="1">
        <v>21.044699999999999</v>
      </c>
      <c r="O40" s="1"/>
      <c r="P40" s="1">
        <f t="shared" si="5"/>
        <v>1.6168</v>
      </c>
      <c r="Q40" s="5"/>
      <c r="R40" s="5"/>
      <c r="S40" s="5"/>
      <c r="T40" s="1"/>
      <c r="U40" s="1">
        <f t="shared" si="6"/>
        <v>39.602115289460663</v>
      </c>
      <c r="V40" s="1">
        <f t="shared" si="7"/>
        <v>39.602115289460663</v>
      </c>
      <c r="W40" s="1">
        <v>10.706200000000001</v>
      </c>
      <c r="X40" s="1">
        <v>11.1776</v>
      </c>
      <c r="Y40" s="1">
        <v>8.0286000000000008</v>
      </c>
      <c r="Z40" s="1">
        <v>7.0257999999999994</v>
      </c>
      <c r="AA40" s="1">
        <v>10.194000000000001</v>
      </c>
      <c r="AB40" s="1">
        <v>14.821</v>
      </c>
      <c r="AC40" s="1">
        <v>15.6356</v>
      </c>
      <c r="AD40" s="1">
        <v>10.5738</v>
      </c>
      <c r="AE40" s="1">
        <v>1.5162</v>
      </c>
      <c r="AF40" s="1">
        <v>10.4338</v>
      </c>
      <c r="AG40" s="1"/>
      <c r="AH40" s="1">
        <f t="shared" si="8"/>
        <v>0</v>
      </c>
      <c r="AI40" s="1">
        <f t="shared" si="9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40</v>
      </c>
      <c r="C41" s="1">
        <v>465</v>
      </c>
      <c r="D41" s="1">
        <v>336</v>
      </c>
      <c r="E41" s="1">
        <v>367</v>
      </c>
      <c r="F41" s="1">
        <v>410</v>
      </c>
      <c r="G41" s="7">
        <v>0.4</v>
      </c>
      <c r="H41" s="1">
        <v>40</v>
      </c>
      <c r="I41" s="1" t="s">
        <v>37</v>
      </c>
      <c r="J41" s="1">
        <v>392</v>
      </c>
      <c r="K41" s="1">
        <f t="shared" si="11"/>
        <v>-25</v>
      </c>
      <c r="L41" s="1">
        <f t="shared" si="4"/>
        <v>277</v>
      </c>
      <c r="M41" s="1">
        <v>90</v>
      </c>
      <c r="N41" s="1">
        <v>191.1</v>
      </c>
      <c r="O41" s="1"/>
      <c r="P41" s="1">
        <f t="shared" si="5"/>
        <v>55.4</v>
      </c>
      <c r="Q41" s="5"/>
      <c r="R41" s="5"/>
      <c r="S41" s="5"/>
      <c r="T41" s="1"/>
      <c r="U41" s="1">
        <f t="shared" si="6"/>
        <v>10.850180505415164</v>
      </c>
      <c r="V41" s="1">
        <f t="shared" si="7"/>
        <v>10.850180505415164</v>
      </c>
      <c r="W41" s="1">
        <v>72.2</v>
      </c>
      <c r="X41" s="1">
        <v>59</v>
      </c>
      <c r="Y41" s="1">
        <v>67</v>
      </c>
      <c r="Z41" s="1">
        <v>65.8</v>
      </c>
      <c r="AA41" s="1">
        <v>39.4</v>
      </c>
      <c r="AB41" s="1">
        <v>39.200000000000003</v>
      </c>
      <c r="AC41" s="1">
        <v>47.8</v>
      </c>
      <c r="AD41" s="1">
        <v>49</v>
      </c>
      <c r="AE41" s="1">
        <v>52.6</v>
      </c>
      <c r="AF41" s="1">
        <v>40.6</v>
      </c>
      <c r="AG41" s="1"/>
      <c r="AH41" s="1">
        <f t="shared" si="8"/>
        <v>0</v>
      </c>
      <c r="AI41" s="1">
        <f t="shared" si="9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80</v>
      </c>
      <c r="B42" s="1" t="s">
        <v>40</v>
      </c>
      <c r="C42" s="1">
        <v>836</v>
      </c>
      <c r="D42" s="1">
        <v>276</v>
      </c>
      <c r="E42" s="1">
        <v>516</v>
      </c>
      <c r="F42" s="1">
        <v>530</v>
      </c>
      <c r="G42" s="7">
        <v>0.4</v>
      </c>
      <c r="H42" s="1">
        <v>45</v>
      </c>
      <c r="I42" s="1" t="s">
        <v>37</v>
      </c>
      <c r="J42" s="1">
        <v>534</v>
      </c>
      <c r="K42" s="1">
        <f t="shared" si="11"/>
        <v>-18</v>
      </c>
      <c r="L42" s="1">
        <f t="shared" si="4"/>
        <v>402</v>
      </c>
      <c r="M42" s="1">
        <v>114</v>
      </c>
      <c r="N42" s="1">
        <v>350.7</v>
      </c>
      <c r="O42" s="1"/>
      <c r="P42" s="1">
        <f t="shared" si="5"/>
        <v>80.400000000000006</v>
      </c>
      <c r="Q42" s="5"/>
      <c r="R42" s="5"/>
      <c r="S42" s="5"/>
      <c r="T42" s="1"/>
      <c r="U42" s="1">
        <f t="shared" si="6"/>
        <v>10.953980099502488</v>
      </c>
      <c r="V42" s="1">
        <f t="shared" si="7"/>
        <v>10.953980099502488</v>
      </c>
      <c r="W42" s="1">
        <v>107.4</v>
      </c>
      <c r="X42" s="1">
        <v>94.6</v>
      </c>
      <c r="Y42" s="1">
        <v>101</v>
      </c>
      <c r="Z42" s="1">
        <v>109.2</v>
      </c>
      <c r="AA42" s="1">
        <v>90.8</v>
      </c>
      <c r="AB42" s="1">
        <v>81.2</v>
      </c>
      <c r="AC42" s="1">
        <v>89.8</v>
      </c>
      <c r="AD42" s="1">
        <v>89.8</v>
      </c>
      <c r="AE42" s="1">
        <v>85</v>
      </c>
      <c r="AF42" s="1">
        <v>70.2</v>
      </c>
      <c r="AG42" s="1" t="s">
        <v>44</v>
      </c>
      <c r="AH42" s="1">
        <f t="shared" si="8"/>
        <v>0</v>
      </c>
      <c r="AI42" s="1">
        <f t="shared" si="9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81</v>
      </c>
      <c r="B43" s="1" t="s">
        <v>36</v>
      </c>
      <c r="C43" s="1">
        <v>73.069999999999993</v>
      </c>
      <c r="D43" s="1">
        <v>229.25800000000001</v>
      </c>
      <c r="E43" s="1">
        <v>87.584000000000003</v>
      </c>
      <c r="F43" s="1">
        <v>194.81299999999999</v>
      </c>
      <c r="G43" s="7">
        <v>1</v>
      </c>
      <c r="H43" s="1">
        <v>40</v>
      </c>
      <c r="I43" s="1" t="s">
        <v>37</v>
      </c>
      <c r="J43" s="1">
        <v>98.866</v>
      </c>
      <c r="K43" s="1">
        <f t="shared" si="11"/>
        <v>-11.281999999999996</v>
      </c>
      <c r="L43" s="1">
        <f t="shared" si="4"/>
        <v>87.584000000000003</v>
      </c>
      <c r="M43" s="1"/>
      <c r="N43" s="1">
        <v>0</v>
      </c>
      <c r="O43" s="1"/>
      <c r="P43" s="1">
        <f t="shared" si="5"/>
        <v>17.5168</v>
      </c>
      <c r="Q43" s="5"/>
      <c r="R43" s="5"/>
      <c r="S43" s="5"/>
      <c r="T43" s="1"/>
      <c r="U43" s="1">
        <f t="shared" si="6"/>
        <v>11.121494793569601</v>
      </c>
      <c r="V43" s="1">
        <f t="shared" si="7"/>
        <v>11.121494793569601</v>
      </c>
      <c r="W43" s="1">
        <v>12.3604</v>
      </c>
      <c r="X43" s="1">
        <v>11.5212</v>
      </c>
      <c r="Y43" s="1">
        <v>15.338200000000001</v>
      </c>
      <c r="Z43" s="1">
        <v>11.880800000000001</v>
      </c>
      <c r="AA43" s="1">
        <v>10.1258</v>
      </c>
      <c r="AB43" s="1">
        <v>11.2706</v>
      </c>
      <c r="AC43" s="1">
        <v>10.634399999999999</v>
      </c>
      <c r="AD43" s="1">
        <v>10.061199999999999</v>
      </c>
      <c r="AE43" s="1">
        <v>7.9871999999999996</v>
      </c>
      <c r="AF43" s="1">
        <v>9.5608000000000004</v>
      </c>
      <c r="AG43" s="1"/>
      <c r="AH43" s="1">
        <f t="shared" si="8"/>
        <v>0</v>
      </c>
      <c r="AI43" s="1">
        <f t="shared" si="9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9" t="s">
        <v>82</v>
      </c>
      <c r="B44" s="19" t="s">
        <v>40</v>
      </c>
      <c r="C44" s="19">
        <v>937</v>
      </c>
      <c r="D44" s="19">
        <v>552</v>
      </c>
      <c r="E44" s="19">
        <v>576</v>
      </c>
      <c r="F44" s="19">
        <v>749</v>
      </c>
      <c r="G44" s="20">
        <v>0.35</v>
      </c>
      <c r="H44" s="19">
        <v>40</v>
      </c>
      <c r="I44" s="19" t="s">
        <v>37</v>
      </c>
      <c r="J44" s="19">
        <v>616</v>
      </c>
      <c r="K44" s="19">
        <f t="shared" si="11"/>
        <v>-40</v>
      </c>
      <c r="L44" s="19">
        <f t="shared" si="4"/>
        <v>576</v>
      </c>
      <c r="M44" s="19"/>
      <c r="N44" s="19">
        <v>0</v>
      </c>
      <c r="O44" s="19"/>
      <c r="P44" s="19">
        <f t="shared" si="5"/>
        <v>115.2</v>
      </c>
      <c r="Q44" s="28">
        <f>13*P44-O44-N44-F44</f>
        <v>748.60000000000014</v>
      </c>
      <c r="R44" s="28"/>
      <c r="S44" s="21"/>
      <c r="T44" s="19"/>
      <c r="U44" s="19">
        <f t="shared" si="6"/>
        <v>13</v>
      </c>
      <c r="V44" s="19">
        <f t="shared" si="7"/>
        <v>6.5017361111111107</v>
      </c>
      <c r="W44" s="19">
        <v>110.6</v>
      </c>
      <c r="X44" s="19">
        <v>145.19999999999999</v>
      </c>
      <c r="Y44" s="19">
        <v>124.6</v>
      </c>
      <c r="Z44" s="19">
        <v>122.6</v>
      </c>
      <c r="AA44" s="19">
        <v>97.2</v>
      </c>
      <c r="AB44" s="19">
        <v>93.4</v>
      </c>
      <c r="AC44" s="19">
        <v>93.4</v>
      </c>
      <c r="AD44" s="19">
        <v>87.4</v>
      </c>
      <c r="AE44" s="19">
        <v>69.8</v>
      </c>
      <c r="AF44" s="19">
        <v>64.400000000000006</v>
      </c>
      <c r="AG44" s="19" t="s">
        <v>153</v>
      </c>
      <c r="AH44" s="1">
        <f t="shared" si="8"/>
        <v>262</v>
      </c>
      <c r="AI44" s="1">
        <f t="shared" si="9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83</v>
      </c>
      <c r="B45" s="1" t="s">
        <v>40</v>
      </c>
      <c r="C45" s="1">
        <v>199</v>
      </c>
      <c r="D45" s="1">
        <v>162</v>
      </c>
      <c r="E45" s="1">
        <v>323</v>
      </c>
      <c r="F45" s="1">
        <v>-1</v>
      </c>
      <c r="G45" s="7">
        <v>0.4</v>
      </c>
      <c r="H45" s="1">
        <v>40</v>
      </c>
      <c r="I45" s="1" t="s">
        <v>37</v>
      </c>
      <c r="J45" s="1">
        <v>339</v>
      </c>
      <c r="K45" s="1">
        <f t="shared" si="11"/>
        <v>-16</v>
      </c>
      <c r="L45" s="1">
        <f t="shared" si="4"/>
        <v>263</v>
      </c>
      <c r="M45" s="1">
        <v>60</v>
      </c>
      <c r="N45" s="1">
        <v>0</v>
      </c>
      <c r="O45" s="1"/>
      <c r="P45" s="1">
        <f t="shared" si="5"/>
        <v>52.6</v>
      </c>
      <c r="Q45" s="5">
        <f>5*P45-O45-N45-F45</f>
        <v>264</v>
      </c>
      <c r="R45" s="5"/>
      <c r="S45" s="5"/>
      <c r="T45" s="1"/>
      <c r="U45" s="1">
        <f t="shared" si="6"/>
        <v>5</v>
      </c>
      <c r="V45" s="1">
        <f t="shared" si="7"/>
        <v>-1.9011406844106463E-2</v>
      </c>
      <c r="W45" s="1">
        <v>12.2</v>
      </c>
      <c r="X45" s="1">
        <v>4.4000000000000004</v>
      </c>
      <c r="Y45" s="1">
        <v>4.2</v>
      </c>
      <c r="Z45" s="1">
        <v>5</v>
      </c>
      <c r="AA45" s="1">
        <v>1</v>
      </c>
      <c r="AB45" s="1">
        <v>3.2</v>
      </c>
      <c r="AC45" s="1">
        <v>48.2</v>
      </c>
      <c r="AD45" s="1">
        <v>57.6</v>
      </c>
      <c r="AE45" s="1">
        <v>66.2</v>
      </c>
      <c r="AF45" s="1">
        <v>56.8</v>
      </c>
      <c r="AG45" s="27" t="s">
        <v>44</v>
      </c>
      <c r="AH45" s="1">
        <f t="shared" si="8"/>
        <v>106</v>
      </c>
      <c r="AI45" s="1">
        <f t="shared" si="9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84</v>
      </c>
      <c r="B46" s="1" t="s">
        <v>36</v>
      </c>
      <c r="C46" s="1">
        <v>182.88200000000001</v>
      </c>
      <c r="D46" s="1">
        <v>157.74100000000001</v>
      </c>
      <c r="E46" s="1">
        <v>145.846</v>
      </c>
      <c r="F46" s="1">
        <v>124.64</v>
      </c>
      <c r="G46" s="7">
        <v>1</v>
      </c>
      <c r="H46" s="1">
        <v>50</v>
      </c>
      <c r="I46" s="1" t="s">
        <v>37</v>
      </c>
      <c r="J46" s="1">
        <v>154.99</v>
      </c>
      <c r="K46" s="1">
        <f t="shared" si="11"/>
        <v>-9.1440000000000055</v>
      </c>
      <c r="L46" s="1">
        <f t="shared" si="4"/>
        <v>124.166</v>
      </c>
      <c r="M46" s="1">
        <v>21.68</v>
      </c>
      <c r="N46" s="1">
        <v>67.533199999999965</v>
      </c>
      <c r="O46" s="1"/>
      <c r="P46" s="1">
        <f t="shared" si="5"/>
        <v>24.833199999999998</v>
      </c>
      <c r="Q46" s="28">
        <f t="shared" ref="Q46:Q47" si="12">12*P46-O46-N46-F46</f>
        <v>105.82519999999998</v>
      </c>
      <c r="R46" s="28"/>
      <c r="S46" s="5"/>
      <c r="T46" s="1"/>
      <c r="U46" s="1">
        <f t="shared" si="6"/>
        <v>11.999999999999998</v>
      </c>
      <c r="V46" s="1">
        <f t="shared" si="7"/>
        <v>7.7385596701190327</v>
      </c>
      <c r="W46" s="1">
        <v>27.833600000000001</v>
      </c>
      <c r="X46" s="1">
        <v>27.299600000000002</v>
      </c>
      <c r="Y46" s="1">
        <v>22.294799999999999</v>
      </c>
      <c r="Z46" s="1">
        <v>25.2546</v>
      </c>
      <c r="AA46" s="1">
        <v>29.015999999999998</v>
      </c>
      <c r="AB46" s="1">
        <v>28.9726</v>
      </c>
      <c r="AC46" s="1">
        <v>27.550599999999999</v>
      </c>
      <c r="AD46" s="1">
        <v>24.900600000000001</v>
      </c>
      <c r="AE46" s="1">
        <v>22.1234</v>
      </c>
      <c r="AF46" s="1">
        <v>24.8508</v>
      </c>
      <c r="AG46" s="1"/>
      <c r="AH46" s="1">
        <f t="shared" si="8"/>
        <v>106</v>
      </c>
      <c r="AI46" s="1">
        <f t="shared" si="9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36</v>
      </c>
      <c r="C47" s="1">
        <v>852.77200000000005</v>
      </c>
      <c r="D47" s="1">
        <v>300.13</v>
      </c>
      <c r="E47" s="1">
        <v>601.25599999999997</v>
      </c>
      <c r="F47" s="1">
        <v>357.64100000000002</v>
      </c>
      <c r="G47" s="7">
        <v>1</v>
      </c>
      <c r="H47" s="1">
        <v>50</v>
      </c>
      <c r="I47" s="1" t="s">
        <v>37</v>
      </c>
      <c r="J47" s="1">
        <v>606.51499999999999</v>
      </c>
      <c r="K47" s="1">
        <f t="shared" si="11"/>
        <v>-5.2590000000000146</v>
      </c>
      <c r="L47" s="1">
        <f t="shared" si="4"/>
        <v>558.26599999999996</v>
      </c>
      <c r="M47" s="1">
        <v>42.99</v>
      </c>
      <c r="N47" s="1">
        <v>393.34420000000011</v>
      </c>
      <c r="O47" s="1"/>
      <c r="P47" s="1">
        <f t="shared" si="5"/>
        <v>111.6532</v>
      </c>
      <c r="Q47" s="28">
        <f t="shared" si="12"/>
        <v>588.85320000000002</v>
      </c>
      <c r="R47" s="28"/>
      <c r="S47" s="5"/>
      <c r="T47" s="1"/>
      <c r="U47" s="1">
        <f t="shared" si="6"/>
        <v>12.000000000000002</v>
      </c>
      <c r="V47" s="1">
        <f t="shared" si="7"/>
        <v>6.7260517387768566</v>
      </c>
      <c r="W47" s="1">
        <v>116.15519999999999</v>
      </c>
      <c r="X47" s="1">
        <v>101.9816</v>
      </c>
      <c r="Y47" s="1">
        <v>88.563199999999995</v>
      </c>
      <c r="Z47" s="1">
        <v>91.916399999999996</v>
      </c>
      <c r="AA47" s="1">
        <v>104.374</v>
      </c>
      <c r="AB47" s="1">
        <v>112.3566</v>
      </c>
      <c r="AC47" s="1">
        <v>212.51599999999999</v>
      </c>
      <c r="AD47" s="1">
        <v>203.15559999999999</v>
      </c>
      <c r="AE47" s="1">
        <v>188.63339999999999</v>
      </c>
      <c r="AF47" s="1">
        <v>180.3518</v>
      </c>
      <c r="AG47" s="1"/>
      <c r="AH47" s="1">
        <f t="shared" si="8"/>
        <v>589</v>
      </c>
      <c r="AI47" s="1">
        <f t="shared" si="9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4" t="s">
        <v>86</v>
      </c>
      <c r="B48" s="14" t="s">
        <v>36</v>
      </c>
      <c r="C48" s="14"/>
      <c r="D48" s="14"/>
      <c r="E48" s="14"/>
      <c r="F48" s="14"/>
      <c r="G48" s="15">
        <v>0</v>
      </c>
      <c r="H48" s="14">
        <v>40</v>
      </c>
      <c r="I48" s="14" t="s">
        <v>37</v>
      </c>
      <c r="J48" s="14"/>
      <c r="K48" s="14">
        <f t="shared" si="11"/>
        <v>0</v>
      </c>
      <c r="L48" s="14">
        <f t="shared" si="4"/>
        <v>0</v>
      </c>
      <c r="M48" s="14"/>
      <c r="N48" s="14">
        <v>0</v>
      </c>
      <c r="O48" s="14"/>
      <c r="P48" s="14">
        <f t="shared" si="5"/>
        <v>0</v>
      </c>
      <c r="Q48" s="16"/>
      <c r="R48" s="16"/>
      <c r="S48" s="16"/>
      <c r="T48" s="14"/>
      <c r="U48" s="14" t="e">
        <f t="shared" si="6"/>
        <v>#DIV/0!</v>
      </c>
      <c r="V48" s="14" t="e">
        <f t="shared" si="7"/>
        <v>#DIV/0!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 t="s">
        <v>57</v>
      </c>
      <c r="AH48" s="1">
        <f t="shared" si="8"/>
        <v>0</v>
      </c>
      <c r="AI48" s="1">
        <f t="shared" si="9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87</v>
      </c>
      <c r="B49" s="1" t="s">
        <v>40</v>
      </c>
      <c r="C49" s="1">
        <v>172</v>
      </c>
      <c r="D49" s="1">
        <v>130</v>
      </c>
      <c r="E49" s="1">
        <v>148</v>
      </c>
      <c r="F49" s="1">
        <v>135</v>
      </c>
      <c r="G49" s="7">
        <v>0.45</v>
      </c>
      <c r="H49" s="1">
        <v>50</v>
      </c>
      <c r="I49" s="1" t="s">
        <v>37</v>
      </c>
      <c r="J49" s="1">
        <v>151</v>
      </c>
      <c r="K49" s="1">
        <f t="shared" si="11"/>
        <v>-3</v>
      </c>
      <c r="L49" s="1">
        <f t="shared" si="4"/>
        <v>148</v>
      </c>
      <c r="M49" s="1"/>
      <c r="N49" s="1">
        <v>0</v>
      </c>
      <c r="O49" s="1"/>
      <c r="P49" s="1">
        <f t="shared" si="5"/>
        <v>29.6</v>
      </c>
      <c r="Q49" s="5">
        <f>10*P49-O49-N49-F49</f>
        <v>161</v>
      </c>
      <c r="R49" s="5"/>
      <c r="S49" s="5"/>
      <c r="T49" s="1"/>
      <c r="U49" s="1">
        <f t="shared" si="6"/>
        <v>10</v>
      </c>
      <c r="V49" s="1">
        <f t="shared" si="7"/>
        <v>4.5608108108108105</v>
      </c>
      <c r="W49" s="1">
        <v>20.6</v>
      </c>
      <c r="X49" s="1">
        <v>23</v>
      </c>
      <c r="Y49" s="1">
        <v>31.4</v>
      </c>
      <c r="Z49" s="1">
        <v>25.6</v>
      </c>
      <c r="AA49" s="1">
        <v>31.2</v>
      </c>
      <c r="AB49" s="1">
        <v>34.200000000000003</v>
      </c>
      <c r="AC49" s="1">
        <v>34.4</v>
      </c>
      <c r="AD49" s="1">
        <v>35.799999999999997</v>
      </c>
      <c r="AE49" s="1">
        <v>14.2</v>
      </c>
      <c r="AF49" s="1">
        <v>23.2</v>
      </c>
      <c r="AG49" s="1" t="s">
        <v>44</v>
      </c>
      <c r="AH49" s="1">
        <f t="shared" si="8"/>
        <v>72</v>
      </c>
      <c r="AI49" s="1">
        <f t="shared" si="9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4" t="s">
        <v>88</v>
      </c>
      <c r="B50" s="14" t="s">
        <v>36</v>
      </c>
      <c r="C50" s="14"/>
      <c r="D50" s="14"/>
      <c r="E50" s="14"/>
      <c r="F50" s="14"/>
      <c r="G50" s="15">
        <v>0</v>
      </c>
      <c r="H50" s="14">
        <v>40</v>
      </c>
      <c r="I50" s="14" t="s">
        <v>37</v>
      </c>
      <c r="J50" s="14"/>
      <c r="K50" s="14">
        <f t="shared" si="11"/>
        <v>0</v>
      </c>
      <c r="L50" s="14">
        <f t="shared" si="4"/>
        <v>0</v>
      </c>
      <c r="M50" s="14"/>
      <c r="N50" s="14">
        <v>0</v>
      </c>
      <c r="O50" s="14"/>
      <c r="P50" s="14">
        <f t="shared" si="5"/>
        <v>0</v>
      </c>
      <c r="Q50" s="16"/>
      <c r="R50" s="16"/>
      <c r="S50" s="16"/>
      <c r="T50" s="14"/>
      <c r="U50" s="14" t="e">
        <f t="shared" si="6"/>
        <v>#DIV/0!</v>
      </c>
      <c r="V50" s="14" t="e">
        <f t="shared" si="7"/>
        <v>#DIV/0!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 t="s">
        <v>89</v>
      </c>
      <c r="AH50" s="1">
        <f t="shared" si="8"/>
        <v>0</v>
      </c>
      <c r="AI50" s="1">
        <f t="shared" si="9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40</v>
      </c>
      <c r="C51" s="1">
        <v>66</v>
      </c>
      <c r="D51" s="1">
        <v>128</v>
      </c>
      <c r="E51" s="1">
        <v>85</v>
      </c>
      <c r="F51" s="1">
        <v>89</v>
      </c>
      <c r="G51" s="7">
        <v>0.4</v>
      </c>
      <c r="H51" s="1">
        <v>40</v>
      </c>
      <c r="I51" s="1" t="s">
        <v>37</v>
      </c>
      <c r="J51" s="1">
        <v>88</v>
      </c>
      <c r="K51" s="1">
        <f t="shared" si="11"/>
        <v>-3</v>
      </c>
      <c r="L51" s="1">
        <f t="shared" si="4"/>
        <v>85</v>
      </c>
      <c r="M51" s="1"/>
      <c r="N51" s="1">
        <v>38.19999999999996</v>
      </c>
      <c r="O51" s="1"/>
      <c r="P51" s="1">
        <f t="shared" si="5"/>
        <v>17</v>
      </c>
      <c r="Q51" s="5">
        <f t="shared" ref="Q51:Q60" si="13">10*P51-O51-N51-F51</f>
        <v>42.80000000000004</v>
      </c>
      <c r="R51" s="5"/>
      <c r="S51" s="5"/>
      <c r="T51" s="1"/>
      <c r="U51" s="1">
        <f t="shared" si="6"/>
        <v>10</v>
      </c>
      <c r="V51" s="1">
        <f t="shared" si="7"/>
        <v>7.482352941176468</v>
      </c>
      <c r="W51" s="1">
        <v>15.6</v>
      </c>
      <c r="X51" s="1">
        <v>15.8</v>
      </c>
      <c r="Y51" s="1">
        <v>12.6</v>
      </c>
      <c r="Z51" s="1">
        <v>11.8</v>
      </c>
      <c r="AA51" s="1">
        <v>10.4</v>
      </c>
      <c r="AB51" s="1">
        <v>8.6</v>
      </c>
      <c r="AC51" s="1">
        <v>9.6</v>
      </c>
      <c r="AD51" s="1">
        <v>9.1999999999999993</v>
      </c>
      <c r="AE51" s="1">
        <v>12</v>
      </c>
      <c r="AF51" s="1">
        <v>11.6</v>
      </c>
      <c r="AG51" s="1"/>
      <c r="AH51" s="1">
        <f t="shared" si="8"/>
        <v>17</v>
      </c>
      <c r="AI51" s="1">
        <f t="shared" si="9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91</v>
      </c>
      <c r="B52" s="1" t="s">
        <v>40</v>
      </c>
      <c r="C52" s="1">
        <v>36</v>
      </c>
      <c r="D52" s="1">
        <v>120</v>
      </c>
      <c r="E52" s="1">
        <v>67</v>
      </c>
      <c r="F52" s="1">
        <v>80</v>
      </c>
      <c r="G52" s="7">
        <v>0.4</v>
      </c>
      <c r="H52" s="1">
        <v>40</v>
      </c>
      <c r="I52" s="1" t="s">
        <v>37</v>
      </c>
      <c r="J52" s="1">
        <v>78</v>
      </c>
      <c r="K52" s="1">
        <f t="shared" si="11"/>
        <v>-11</v>
      </c>
      <c r="L52" s="1">
        <f t="shared" si="4"/>
        <v>67</v>
      </c>
      <c r="M52" s="1"/>
      <c r="N52" s="1">
        <v>38.300000000000011</v>
      </c>
      <c r="O52" s="1"/>
      <c r="P52" s="1">
        <f t="shared" si="5"/>
        <v>13.4</v>
      </c>
      <c r="Q52" s="5">
        <f t="shared" si="13"/>
        <v>15.699999999999989</v>
      </c>
      <c r="R52" s="5"/>
      <c r="S52" s="5"/>
      <c r="T52" s="1"/>
      <c r="U52" s="1">
        <f t="shared" si="6"/>
        <v>10</v>
      </c>
      <c r="V52" s="1">
        <f t="shared" si="7"/>
        <v>8.8283582089552244</v>
      </c>
      <c r="W52" s="1">
        <v>15.4</v>
      </c>
      <c r="X52" s="1">
        <v>15.4</v>
      </c>
      <c r="Y52" s="1">
        <v>13.2</v>
      </c>
      <c r="Z52" s="1">
        <v>9.4</v>
      </c>
      <c r="AA52" s="1">
        <v>1.4</v>
      </c>
      <c r="AB52" s="1">
        <v>2.8</v>
      </c>
      <c r="AC52" s="1">
        <v>8.6</v>
      </c>
      <c r="AD52" s="1">
        <v>10.4</v>
      </c>
      <c r="AE52" s="1">
        <v>10.6</v>
      </c>
      <c r="AF52" s="1">
        <v>9.1999999999999993</v>
      </c>
      <c r="AG52" s="1" t="s">
        <v>92</v>
      </c>
      <c r="AH52" s="1">
        <f t="shared" si="8"/>
        <v>6</v>
      </c>
      <c r="AI52" s="1">
        <f t="shared" si="9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93</v>
      </c>
      <c r="B53" s="1" t="s">
        <v>36</v>
      </c>
      <c r="C53" s="1">
        <v>192.31899999999999</v>
      </c>
      <c r="D53" s="1">
        <v>105.99</v>
      </c>
      <c r="E53" s="1">
        <v>128.846</v>
      </c>
      <c r="F53" s="1">
        <v>85.76</v>
      </c>
      <c r="G53" s="7">
        <v>1</v>
      </c>
      <c r="H53" s="1">
        <v>50</v>
      </c>
      <c r="I53" s="1" t="s">
        <v>37</v>
      </c>
      <c r="J53" s="1">
        <v>165.905</v>
      </c>
      <c r="K53" s="1">
        <f t="shared" si="11"/>
        <v>-37.058999999999997</v>
      </c>
      <c r="L53" s="1">
        <f t="shared" si="4"/>
        <v>128.846</v>
      </c>
      <c r="M53" s="1"/>
      <c r="N53" s="1">
        <v>113.4954</v>
      </c>
      <c r="O53" s="1"/>
      <c r="P53" s="1">
        <f t="shared" si="5"/>
        <v>25.769200000000001</v>
      </c>
      <c r="Q53" s="28">
        <f t="shared" ref="Q53:Q54" si="14">12*P53-O53-N53-F53</f>
        <v>109.97500000000001</v>
      </c>
      <c r="R53" s="28"/>
      <c r="S53" s="5"/>
      <c r="T53" s="1"/>
      <c r="U53" s="1">
        <f t="shared" si="6"/>
        <v>12</v>
      </c>
      <c r="V53" s="1">
        <f t="shared" si="7"/>
        <v>7.7323083370845813</v>
      </c>
      <c r="W53" s="1">
        <v>28.898800000000001</v>
      </c>
      <c r="X53" s="1">
        <v>23.081199999999999</v>
      </c>
      <c r="Y53" s="1">
        <v>20.8338</v>
      </c>
      <c r="Z53" s="1">
        <v>23.843399999999999</v>
      </c>
      <c r="AA53" s="1">
        <v>18.227599999999999</v>
      </c>
      <c r="AB53" s="1">
        <v>14.6684</v>
      </c>
      <c r="AC53" s="1">
        <v>20.7562</v>
      </c>
      <c r="AD53" s="1">
        <v>22.980799999999999</v>
      </c>
      <c r="AE53" s="1">
        <v>21.758800000000001</v>
      </c>
      <c r="AF53" s="1">
        <v>18.047999999999998</v>
      </c>
      <c r="AG53" s="1"/>
      <c r="AH53" s="1">
        <f t="shared" si="8"/>
        <v>110</v>
      </c>
      <c r="AI53" s="1">
        <f t="shared" si="9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94</v>
      </c>
      <c r="B54" s="1" t="s">
        <v>36</v>
      </c>
      <c r="C54" s="1">
        <v>462.78899999999999</v>
      </c>
      <c r="D54" s="1">
        <v>615.13</v>
      </c>
      <c r="E54" s="1">
        <v>508.92200000000003</v>
      </c>
      <c r="F54" s="1">
        <v>419.005</v>
      </c>
      <c r="G54" s="7">
        <v>1</v>
      </c>
      <c r="H54" s="1">
        <v>50</v>
      </c>
      <c r="I54" s="1" t="s">
        <v>37</v>
      </c>
      <c r="J54" s="1">
        <v>514.89</v>
      </c>
      <c r="K54" s="1">
        <f t="shared" si="11"/>
        <v>-5.9679999999999609</v>
      </c>
      <c r="L54" s="1">
        <f t="shared" si="4"/>
        <v>487.30700000000002</v>
      </c>
      <c r="M54" s="1">
        <v>21.614999999999998</v>
      </c>
      <c r="N54" s="1">
        <v>348.84989999999999</v>
      </c>
      <c r="O54" s="1"/>
      <c r="P54" s="1">
        <f t="shared" si="5"/>
        <v>97.461399999999998</v>
      </c>
      <c r="Q54" s="28">
        <f t="shared" si="14"/>
        <v>401.68189999999993</v>
      </c>
      <c r="R54" s="28"/>
      <c r="S54" s="5"/>
      <c r="T54" s="1"/>
      <c r="U54" s="1">
        <f t="shared" si="6"/>
        <v>11.999999999999998</v>
      </c>
      <c r="V54" s="1">
        <f t="shared" si="7"/>
        <v>7.8785539711106143</v>
      </c>
      <c r="W54" s="1">
        <v>105.70659999999999</v>
      </c>
      <c r="X54" s="1">
        <v>93.241399999999999</v>
      </c>
      <c r="Y54" s="1">
        <v>83.374200000000002</v>
      </c>
      <c r="Z54" s="1">
        <v>76.477000000000004</v>
      </c>
      <c r="AA54" s="1">
        <v>68.045199999999994</v>
      </c>
      <c r="AB54" s="1">
        <v>106.3288</v>
      </c>
      <c r="AC54" s="1">
        <v>105.8222</v>
      </c>
      <c r="AD54" s="1">
        <v>83.827200000000005</v>
      </c>
      <c r="AE54" s="1">
        <v>77.943399999999997</v>
      </c>
      <c r="AF54" s="1">
        <v>51.977200000000003</v>
      </c>
      <c r="AG54" s="1"/>
      <c r="AH54" s="1">
        <f t="shared" si="8"/>
        <v>402</v>
      </c>
      <c r="AI54" s="1">
        <f t="shared" si="9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95</v>
      </c>
      <c r="B55" s="1" t="s">
        <v>36</v>
      </c>
      <c r="C55" s="1">
        <v>290.89299999999997</v>
      </c>
      <c r="D55" s="1"/>
      <c r="E55" s="1">
        <v>70.668999999999997</v>
      </c>
      <c r="F55" s="1">
        <v>179.87899999999999</v>
      </c>
      <c r="G55" s="7">
        <v>1</v>
      </c>
      <c r="H55" s="1">
        <v>50</v>
      </c>
      <c r="I55" s="1" t="s">
        <v>37</v>
      </c>
      <c r="J55" s="1">
        <v>73.19</v>
      </c>
      <c r="K55" s="1">
        <f t="shared" si="11"/>
        <v>-2.5210000000000008</v>
      </c>
      <c r="L55" s="1">
        <f t="shared" si="4"/>
        <v>70.668999999999997</v>
      </c>
      <c r="M55" s="1"/>
      <c r="N55" s="1">
        <v>0</v>
      </c>
      <c r="O55" s="1"/>
      <c r="P55" s="1">
        <f t="shared" si="5"/>
        <v>14.133799999999999</v>
      </c>
      <c r="Q55" s="5"/>
      <c r="R55" s="5"/>
      <c r="S55" s="5"/>
      <c r="T55" s="1"/>
      <c r="U55" s="1">
        <f t="shared" si="6"/>
        <v>12.726867509091681</v>
      </c>
      <c r="V55" s="1">
        <f t="shared" si="7"/>
        <v>12.726867509091681</v>
      </c>
      <c r="W55" s="1">
        <v>10.619199999999999</v>
      </c>
      <c r="X55" s="1">
        <v>30.541599999999999</v>
      </c>
      <c r="Y55" s="1">
        <v>5.1849999999999969</v>
      </c>
      <c r="Z55" s="1">
        <v>5.4548000000000014</v>
      </c>
      <c r="AA55" s="1">
        <v>29.638200000000001</v>
      </c>
      <c r="AB55" s="1">
        <v>28.748999999999999</v>
      </c>
      <c r="AC55" s="1">
        <v>25.186800000000002</v>
      </c>
      <c r="AD55" s="1">
        <v>25.7958</v>
      </c>
      <c r="AE55" s="1">
        <v>5.7170000000000014</v>
      </c>
      <c r="AF55" s="1">
        <v>1.7465999999999999</v>
      </c>
      <c r="AG55" s="13" t="s">
        <v>96</v>
      </c>
      <c r="AH55" s="1">
        <f t="shared" si="8"/>
        <v>0</v>
      </c>
      <c r="AI55" s="1">
        <f t="shared" si="9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97</v>
      </c>
      <c r="B56" s="1" t="s">
        <v>40</v>
      </c>
      <c r="C56" s="1">
        <v>175</v>
      </c>
      <c r="D56" s="1">
        <v>130</v>
      </c>
      <c r="E56" s="1">
        <v>108</v>
      </c>
      <c r="F56" s="1">
        <v>163</v>
      </c>
      <c r="G56" s="7">
        <v>0.4</v>
      </c>
      <c r="H56" s="1">
        <v>50</v>
      </c>
      <c r="I56" s="1" t="s">
        <v>37</v>
      </c>
      <c r="J56" s="1">
        <v>111</v>
      </c>
      <c r="K56" s="1">
        <f t="shared" si="11"/>
        <v>-3</v>
      </c>
      <c r="L56" s="1">
        <f t="shared" si="4"/>
        <v>108</v>
      </c>
      <c r="M56" s="1"/>
      <c r="N56" s="1">
        <v>99.399999999999977</v>
      </c>
      <c r="O56" s="1"/>
      <c r="P56" s="1">
        <f t="shared" si="5"/>
        <v>21.6</v>
      </c>
      <c r="Q56" s="5"/>
      <c r="R56" s="5"/>
      <c r="S56" s="5"/>
      <c r="T56" s="1"/>
      <c r="U56" s="1">
        <f t="shared" si="6"/>
        <v>12.148148148148147</v>
      </c>
      <c r="V56" s="1">
        <f t="shared" si="7"/>
        <v>12.148148148148147</v>
      </c>
      <c r="W56" s="1">
        <v>32.799999999999997</v>
      </c>
      <c r="X56" s="1">
        <v>29.2</v>
      </c>
      <c r="Y56" s="1">
        <v>28.8</v>
      </c>
      <c r="Z56" s="1">
        <v>30.4</v>
      </c>
      <c r="AA56" s="1">
        <v>28.8</v>
      </c>
      <c r="AB56" s="1">
        <v>34.6</v>
      </c>
      <c r="AC56" s="1">
        <v>53</v>
      </c>
      <c r="AD56" s="1">
        <v>46.2</v>
      </c>
      <c r="AE56" s="1">
        <v>6.6</v>
      </c>
      <c r="AF56" s="1">
        <v>4</v>
      </c>
      <c r="AG56" s="1"/>
      <c r="AH56" s="1">
        <f t="shared" si="8"/>
        <v>0</v>
      </c>
      <c r="AI56" s="1">
        <f t="shared" si="9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98</v>
      </c>
      <c r="B57" s="1" t="s">
        <v>40</v>
      </c>
      <c r="C57" s="1">
        <v>739</v>
      </c>
      <c r="D57" s="1">
        <v>978</v>
      </c>
      <c r="E57" s="1">
        <v>546</v>
      </c>
      <c r="F57" s="1">
        <v>890</v>
      </c>
      <c r="G57" s="7">
        <v>0.4</v>
      </c>
      <c r="H57" s="1">
        <v>40</v>
      </c>
      <c r="I57" s="1" t="s">
        <v>37</v>
      </c>
      <c r="J57" s="1">
        <v>607</v>
      </c>
      <c r="K57" s="1">
        <f t="shared" si="11"/>
        <v>-61</v>
      </c>
      <c r="L57" s="1">
        <f t="shared" si="4"/>
        <v>546</v>
      </c>
      <c r="M57" s="1"/>
      <c r="N57" s="1">
        <v>402.37200000000013</v>
      </c>
      <c r="O57" s="1"/>
      <c r="P57" s="1">
        <f t="shared" si="5"/>
        <v>109.2</v>
      </c>
      <c r="Q57" s="5"/>
      <c r="R57" s="5"/>
      <c r="S57" s="5"/>
      <c r="T57" s="1"/>
      <c r="U57" s="1">
        <f t="shared" si="6"/>
        <v>11.834908424908425</v>
      </c>
      <c r="V57" s="1">
        <f t="shared" si="7"/>
        <v>11.834908424908425</v>
      </c>
      <c r="W57" s="1">
        <v>165.286</v>
      </c>
      <c r="X57" s="1">
        <v>168.48599999999999</v>
      </c>
      <c r="Y57" s="1">
        <v>92.6</v>
      </c>
      <c r="Z57" s="1">
        <v>92.8</v>
      </c>
      <c r="AA57" s="1">
        <v>153.19999999999999</v>
      </c>
      <c r="AB57" s="1">
        <v>153.4</v>
      </c>
      <c r="AC57" s="1">
        <v>112.2</v>
      </c>
      <c r="AD57" s="1">
        <v>108.4</v>
      </c>
      <c r="AE57" s="1">
        <v>122.6</v>
      </c>
      <c r="AF57" s="1">
        <v>103.2</v>
      </c>
      <c r="AG57" s="1"/>
      <c r="AH57" s="1">
        <f t="shared" si="8"/>
        <v>0</v>
      </c>
      <c r="AI57" s="1">
        <f t="shared" si="9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99</v>
      </c>
      <c r="B58" s="1" t="s">
        <v>40</v>
      </c>
      <c r="C58" s="1">
        <v>491</v>
      </c>
      <c r="D58" s="1">
        <v>331</v>
      </c>
      <c r="E58" s="1">
        <v>456</v>
      </c>
      <c r="F58" s="1">
        <v>233</v>
      </c>
      <c r="G58" s="7">
        <v>0.4</v>
      </c>
      <c r="H58" s="1">
        <v>40</v>
      </c>
      <c r="I58" s="1" t="s">
        <v>37</v>
      </c>
      <c r="J58" s="1">
        <v>490</v>
      </c>
      <c r="K58" s="1">
        <f t="shared" si="11"/>
        <v>-34</v>
      </c>
      <c r="L58" s="1">
        <f t="shared" si="4"/>
        <v>456</v>
      </c>
      <c r="M58" s="1"/>
      <c r="N58" s="1">
        <v>609.4</v>
      </c>
      <c r="O58" s="1"/>
      <c r="P58" s="1">
        <f t="shared" si="5"/>
        <v>91.2</v>
      </c>
      <c r="Q58" s="28">
        <f t="shared" ref="Q58:Q59" si="15">12*P58-O58-N58-F58</f>
        <v>252.00000000000011</v>
      </c>
      <c r="R58" s="28"/>
      <c r="S58" s="5"/>
      <c r="T58" s="1"/>
      <c r="U58" s="1">
        <f t="shared" si="6"/>
        <v>12</v>
      </c>
      <c r="V58" s="1">
        <f t="shared" si="7"/>
        <v>9.2368421052631575</v>
      </c>
      <c r="W58" s="1">
        <v>104.4</v>
      </c>
      <c r="X58" s="1">
        <v>64.2</v>
      </c>
      <c r="Y58" s="1">
        <v>51.4</v>
      </c>
      <c r="Z58" s="1">
        <v>69.8</v>
      </c>
      <c r="AA58" s="1">
        <v>114.6</v>
      </c>
      <c r="AB58" s="1">
        <v>105.8</v>
      </c>
      <c r="AC58" s="1">
        <v>71.400000000000006</v>
      </c>
      <c r="AD58" s="1">
        <v>74</v>
      </c>
      <c r="AE58" s="1">
        <v>108.8</v>
      </c>
      <c r="AF58" s="1">
        <v>81.400000000000006</v>
      </c>
      <c r="AG58" s="1"/>
      <c r="AH58" s="1">
        <f t="shared" si="8"/>
        <v>101</v>
      </c>
      <c r="AI58" s="1">
        <f t="shared" si="9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100</v>
      </c>
      <c r="B59" s="1" t="s">
        <v>36</v>
      </c>
      <c r="C59" s="1">
        <v>212.97800000000001</v>
      </c>
      <c r="D59" s="1">
        <v>291.524</v>
      </c>
      <c r="E59" s="1">
        <v>289.32499999999999</v>
      </c>
      <c r="F59" s="1">
        <v>150.452</v>
      </c>
      <c r="G59" s="7">
        <v>1</v>
      </c>
      <c r="H59" s="1">
        <v>40</v>
      </c>
      <c r="I59" s="1" t="s">
        <v>37</v>
      </c>
      <c r="J59" s="1">
        <v>300.93200000000002</v>
      </c>
      <c r="K59" s="1">
        <f t="shared" si="11"/>
        <v>-11.607000000000028</v>
      </c>
      <c r="L59" s="1">
        <f t="shared" si="4"/>
        <v>289.32499999999999</v>
      </c>
      <c r="M59" s="1"/>
      <c r="N59" s="1">
        <v>108.6096000000001</v>
      </c>
      <c r="O59" s="1"/>
      <c r="P59" s="1">
        <f t="shared" si="5"/>
        <v>57.864999999999995</v>
      </c>
      <c r="Q59" s="28">
        <f t="shared" si="15"/>
        <v>435.31839999999977</v>
      </c>
      <c r="R59" s="28"/>
      <c r="S59" s="5"/>
      <c r="T59" s="1"/>
      <c r="U59" s="1">
        <f t="shared" si="6"/>
        <v>11.999999999999998</v>
      </c>
      <c r="V59" s="1">
        <f t="shared" si="7"/>
        <v>4.4769999135919836</v>
      </c>
      <c r="W59" s="1">
        <v>45.7532</v>
      </c>
      <c r="X59" s="1">
        <v>45.354599999999998</v>
      </c>
      <c r="Y59" s="1">
        <v>45.513399999999997</v>
      </c>
      <c r="Z59" s="1">
        <v>33.489400000000003</v>
      </c>
      <c r="AA59" s="1">
        <v>8.1622000000000003</v>
      </c>
      <c r="AB59" s="1">
        <v>5.0213999999999999</v>
      </c>
      <c r="AC59" s="1">
        <v>53.783200000000001</v>
      </c>
      <c r="AD59" s="1">
        <v>50.0608</v>
      </c>
      <c r="AE59" s="1">
        <v>22.703800000000001</v>
      </c>
      <c r="AF59" s="1">
        <v>26.747399999999999</v>
      </c>
      <c r="AG59" s="1"/>
      <c r="AH59" s="1">
        <f t="shared" si="8"/>
        <v>435</v>
      </c>
      <c r="AI59" s="1">
        <f t="shared" si="9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101</v>
      </c>
      <c r="B60" s="1" t="s">
        <v>36</v>
      </c>
      <c r="C60" s="1">
        <v>112.822</v>
      </c>
      <c r="D60" s="1">
        <v>287.654</v>
      </c>
      <c r="E60" s="1">
        <v>207.30500000000001</v>
      </c>
      <c r="F60" s="1">
        <v>147.00399999999999</v>
      </c>
      <c r="G60" s="7">
        <v>1</v>
      </c>
      <c r="H60" s="1">
        <v>40</v>
      </c>
      <c r="I60" s="1" t="s">
        <v>37</v>
      </c>
      <c r="J60" s="1">
        <v>252.72900000000001</v>
      </c>
      <c r="K60" s="1">
        <f t="shared" si="11"/>
        <v>-45.424000000000007</v>
      </c>
      <c r="L60" s="1">
        <f t="shared" si="4"/>
        <v>207.30500000000001</v>
      </c>
      <c r="M60" s="1"/>
      <c r="N60" s="1">
        <v>260.80919999999998</v>
      </c>
      <c r="O60" s="1"/>
      <c r="P60" s="1">
        <f t="shared" si="5"/>
        <v>41.460999999999999</v>
      </c>
      <c r="Q60" s="5">
        <f t="shared" si="13"/>
        <v>6.7968000000000472</v>
      </c>
      <c r="R60" s="5"/>
      <c r="S60" s="5"/>
      <c r="T60" s="1"/>
      <c r="U60" s="1">
        <f t="shared" si="6"/>
        <v>10</v>
      </c>
      <c r="V60" s="1">
        <f t="shared" si="7"/>
        <v>9.8360676298207945</v>
      </c>
      <c r="W60" s="1">
        <v>50.3324</v>
      </c>
      <c r="X60" s="1">
        <v>33.1736</v>
      </c>
      <c r="Y60" s="1">
        <v>28.763400000000001</v>
      </c>
      <c r="Z60" s="1">
        <v>24.647200000000002</v>
      </c>
      <c r="AA60" s="1">
        <v>23.712199999999999</v>
      </c>
      <c r="AB60" s="1">
        <v>28.724799999999998</v>
      </c>
      <c r="AC60" s="1">
        <v>40.096800000000002</v>
      </c>
      <c r="AD60" s="1">
        <v>33.127600000000001</v>
      </c>
      <c r="AE60" s="1">
        <v>12.061199999999999</v>
      </c>
      <c r="AF60" s="1">
        <v>17.687799999999999</v>
      </c>
      <c r="AG60" s="1"/>
      <c r="AH60" s="1">
        <f t="shared" si="8"/>
        <v>7</v>
      </c>
      <c r="AI60" s="1">
        <f t="shared" si="9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102</v>
      </c>
      <c r="B61" s="1" t="s">
        <v>36</v>
      </c>
      <c r="C61" s="1">
        <v>111.476</v>
      </c>
      <c r="D61" s="1">
        <v>296.59399999999999</v>
      </c>
      <c r="E61" s="1">
        <v>154.29599999999999</v>
      </c>
      <c r="F61" s="1">
        <v>198.42</v>
      </c>
      <c r="G61" s="7">
        <v>1</v>
      </c>
      <c r="H61" s="1">
        <v>40</v>
      </c>
      <c r="I61" s="1" t="s">
        <v>37</v>
      </c>
      <c r="J61" s="1">
        <v>171.16300000000001</v>
      </c>
      <c r="K61" s="1">
        <f t="shared" si="11"/>
        <v>-16.867000000000019</v>
      </c>
      <c r="L61" s="1">
        <f t="shared" si="4"/>
        <v>154.29599999999999</v>
      </c>
      <c r="M61" s="1"/>
      <c r="N61" s="1">
        <v>44.357699999999952</v>
      </c>
      <c r="O61" s="1"/>
      <c r="P61" s="1">
        <f t="shared" si="5"/>
        <v>30.859199999999998</v>
      </c>
      <c r="Q61" s="28">
        <f t="shared" ref="Q61:Q62" si="16">12*P61-O61-N61-F61</f>
        <v>127.53270000000001</v>
      </c>
      <c r="R61" s="28"/>
      <c r="S61" s="5"/>
      <c r="T61" s="1"/>
      <c r="U61" s="1">
        <f t="shared" si="6"/>
        <v>12</v>
      </c>
      <c r="V61" s="1">
        <f t="shared" si="7"/>
        <v>7.86727134857676</v>
      </c>
      <c r="W61" s="1">
        <v>33.629199999999997</v>
      </c>
      <c r="X61" s="1">
        <v>37.529800000000002</v>
      </c>
      <c r="Y61" s="1">
        <v>26.715399999999999</v>
      </c>
      <c r="Z61" s="1">
        <v>22.999600000000001</v>
      </c>
      <c r="AA61" s="1">
        <v>31.666599999999999</v>
      </c>
      <c r="AB61" s="1">
        <v>35.583000000000013</v>
      </c>
      <c r="AC61" s="1">
        <v>50.459200000000003</v>
      </c>
      <c r="AD61" s="1">
        <v>43.281599999999997</v>
      </c>
      <c r="AE61" s="1">
        <v>10.667400000000001</v>
      </c>
      <c r="AF61" s="1">
        <v>13.9076</v>
      </c>
      <c r="AG61" s="1"/>
      <c r="AH61" s="1">
        <f t="shared" si="8"/>
        <v>128</v>
      </c>
      <c r="AI61" s="1">
        <f t="shared" si="9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103</v>
      </c>
      <c r="B62" s="1" t="s">
        <v>36</v>
      </c>
      <c r="C62" s="1">
        <v>53.912999999999997</v>
      </c>
      <c r="D62" s="1">
        <v>79.858999999999995</v>
      </c>
      <c r="E62" s="1">
        <v>53.465000000000003</v>
      </c>
      <c r="F62" s="1">
        <v>57.094000000000001</v>
      </c>
      <c r="G62" s="7">
        <v>1</v>
      </c>
      <c r="H62" s="1">
        <v>30</v>
      </c>
      <c r="I62" s="1" t="s">
        <v>37</v>
      </c>
      <c r="J62" s="1">
        <v>62.5</v>
      </c>
      <c r="K62" s="1">
        <f t="shared" si="11"/>
        <v>-9.0349999999999966</v>
      </c>
      <c r="L62" s="1">
        <f t="shared" si="4"/>
        <v>53.465000000000003</v>
      </c>
      <c r="M62" s="1"/>
      <c r="N62" s="1">
        <v>32.230100000000007</v>
      </c>
      <c r="O62" s="1"/>
      <c r="P62" s="1">
        <f t="shared" si="5"/>
        <v>10.693000000000001</v>
      </c>
      <c r="Q62" s="28">
        <f t="shared" si="16"/>
        <v>38.991900000000022</v>
      </c>
      <c r="R62" s="28"/>
      <c r="S62" s="5"/>
      <c r="T62" s="1"/>
      <c r="U62" s="1">
        <f t="shared" si="6"/>
        <v>12.000000000000002</v>
      </c>
      <c r="V62" s="1">
        <f t="shared" si="7"/>
        <v>8.3535116431310215</v>
      </c>
      <c r="W62" s="1">
        <v>8.6018000000000008</v>
      </c>
      <c r="X62" s="1">
        <v>7.6099999999999994</v>
      </c>
      <c r="Y62" s="1">
        <v>8.7211999999999996</v>
      </c>
      <c r="Z62" s="1">
        <v>10.027799999999999</v>
      </c>
      <c r="AA62" s="1">
        <v>11.640599999999999</v>
      </c>
      <c r="AB62" s="1">
        <v>10.793799999999999</v>
      </c>
      <c r="AC62" s="1">
        <v>11.015000000000001</v>
      </c>
      <c r="AD62" s="1">
        <v>10.7562</v>
      </c>
      <c r="AE62" s="1">
        <v>10.955</v>
      </c>
      <c r="AF62" s="1">
        <v>9.2786000000000008</v>
      </c>
      <c r="AG62" s="1"/>
      <c r="AH62" s="1">
        <f t="shared" si="8"/>
        <v>39</v>
      </c>
      <c r="AI62" s="1">
        <f t="shared" si="9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104</v>
      </c>
      <c r="B63" s="1" t="s">
        <v>40</v>
      </c>
      <c r="C63" s="1">
        <v>276</v>
      </c>
      <c r="D63" s="1">
        <v>48</v>
      </c>
      <c r="E63" s="1">
        <v>254</v>
      </c>
      <c r="F63" s="1">
        <v>68</v>
      </c>
      <c r="G63" s="7">
        <v>0.6</v>
      </c>
      <c r="H63" s="1">
        <v>60</v>
      </c>
      <c r="I63" s="17" t="s">
        <v>43</v>
      </c>
      <c r="J63" s="1">
        <v>767</v>
      </c>
      <c r="K63" s="1">
        <f t="shared" si="11"/>
        <v>-513</v>
      </c>
      <c r="L63" s="1">
        <f t="shared" si="4"/>
        <v>254</v>
      </c>
      <c r="M63" s="1"/>
      <c r="N63" s="1">
        <v>100</v>
      </c>
      <c r="O63" s="1"/>
      <c r="P63" s="1">
        <f t="shared" si="5"/>
        <v>50.8</v>
      </c>
      <c r="Q63" s="5">
        <f>8*P63-O63-N63-F63</f>
        <v>238.39999999999998</v>
      </c>
      <c r="R63" s="5"/>
      <c r="S63" s="5"/>
      <c r="T63" s="1"/>
      <c r="U63" s="1">
        <f t="shared" si="6"/>
        <v>8</v>
      </c>
      <c r="V63" s="1">
        <f t="shared" si="7"/>
        <v>3.3070866141732287</v>
      </c>
      <c r="W63" s="1">
        <v>79.2</v>
      </c>
      <c r="X63" s="1">
        <v>175</v>
      </c>
      <c r="Y63" s="1">
        <v>200.8</v>
      </c>
      <c r="Z63" s="1">
        <v>245.2</v>
      </c>
      <c r="AA63" s="1">
        <v>191.2</v>
      </c>
      <c r="AB63" s="1">
        <v>88.6</v>
      </c>
      <c r="AC63" s="1">
        <v>48.4</v>
      </c>
      <c r="AD63" s="1">
        <v>26.2</v>
      </c>
      <c r="AE63" s="1">
        <v>30.2</v>
      </c>
      <c r="AF63" s="1">
        <v>67.599999999999994</v>
      </c>
      <c r="AG63" s="1" t="s">
        <v>105</v>
      </c>
      <c r="AH63" s="1">
        <f t="shared" si="8"/>
        <v>143</v>
      </c>
      <c r="AI63" s="1">
        <f t="shared" si="9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4" t="s">
        <v>106</v>
      </c>
      <c r="B64" s="14" t="s">
        <v>40</v>
      </c>
      <c r="C64" s="14"/>
      <c r="D64" s="14"/>
      <c r="E64" s="14"/>
      <c r="F64" s="14"/>
      <c r="G64" s="15">
        <v>0</v>
      </c>
      <c r="H64" s="14">
        <v>50</v>
      </c>
      <c r="I64" s="14" t="s">
        <v>37</v>
      </c>
      <c r="J64" s="14"/>
      <c r="K64" s="14">
        <f t="shared" si="11"/>
        <v>0</v>
      </c>
      <c r="L64" s="14">
        <f t="shared" si="4"/>
        <v>0</v>
      </c>
      <c r="M64" s="14"/>
      <c r="N64" s="14">
        <v>0</v>
      </c>
      <c r="O64" s="14"/>
      <c r="P64" s="14">
        <f t="shared" si="5"/>
        <v>0</v>
      </c>
      <c r="Q64" s="16"/>
      <c r="R64" s="16"/>
      <c r="S64" s="16"/>
      <c r="T64" s="14"/>
      <c r="U64" s="14" t="e">
        <f t="shared" si="6"/>
        <v>#DIV/0!</v>
      </c>
      <c r="V64" s="14" t="e">
        <f t="shared" si="7"/>
        <v>#DIV/0!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 t="s">
        <v>57</v>
      </c>
      <c r="AH64" s="1">
        <f t="shared" si="8"/>
        <v>0</v>
      </c>
      <c r="AI64" s="1">
        <f t="shared" si="9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4" t="s">
        <v>107</v>
      </c>
      <c r="B65" s="14" t="s">
        <v>40</v>
      </c>
      <c r="C65" s="14"/>
      <c r="D65" s="14"/>
      <c r="E65" s="14"/>
      <c r="F65" s="14"/>
      <c r="G65" s="15">
        <v>0</v>
      </c>
      <c r="H65" s="14">
        <v>50</v>
      </c>
      <c r="I65" s="14" t="s">
        <v>37</v>
      </c>
      <c r="J65" s="14"/>
      <c r="K65" s="14">
        <f t="shared" si="11"/>
        <v>0</v>
      </c>
      <c r="L65" s="14">
        <f t="shared" si="4"/>
        <v>0</v>
      </c>
      <c r="M65" s="14"/>
      <c r="N65" s="14">
        <v>0</v>
      </c>
      <c r="O65" s="14"/>
      <c r="P65" s="14">
        <f t="shared" si="5"/>
        <v>0</v>
      </c>
      <c r="Q65" s="16"/>
      <c r="R65" s="16"/>
      <c r="S65" s="16"/>
      <c r="T65" s="14"/>
      <c r="U65" s="14" t="e">
        <f t="shared" si="6"/>
        <v>#DIV/0!</v>
      </c>
      <c r="V65" s="14" t="e">
        <f t="shared" si="7"/>
        <v>#DIV/0!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 t="s">
        <v>57</v>
      </c>
      <c r="AH65" s="1">
        <f t="shared" si="8"/>
        <v>0</v>
      </c>
      <c r="AI65" s="1">
        <f t="shared" si="9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4" t="s">
        <v>108</v>
      </c>
      <c r="B66" s="14" t="s">
        <v>40</v>
      </c>
      <c r="C66" s="14"/>
      <c r="D66" s="14"/>
      <c r="E66" s="14"/>
      <c r="F66" s="14"/>
      <c r="G66" s="15">
        <v>0</v>
      </c>
      <c r="H66" s="14">
        <v>30</v>
      </c>
      <c r="I66" s="14" t="s">
        <v>37</v>
      </c>
      <c r="J66" s="14"/>
      <c r="K66" s="14">
        <f t="shared" si="11"/>
        <v>0</v>
      </c>
      <c r="L66" s="14">
        <f t="shared" si="4"/>
        <v>0</v>
      </c>
      <c r="M66" s="14"/>
      <c r="N66" s="14">
        <v>0</v>
      </c>
      <c r="O66" s="14"/>
      <c r="P66" s="14">
        <f t="shared" si="5"/>
        <v>0</v>
      </c>
      <c r="Q66" s="16"/>
      <c r="R66" s="16"/>
      <c r="S66" s="16"/>
      <c r="T66" s="14"/>
      <c r="U66" s="14" t="e">
        <f t="shared" si="6"/>
        <v>#DIV/0!</v>
      </c>
      <c r="V66" s="14" t="e">
        <f t="shared" si="7"/>
        <v>#DIV/0!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 t="s">
        <v>57</v>
      </c>
      <c r="AH66" s="1">
        <f t="shared" si="8"/>
        <v>0</v>
      </c>
      <c r="AI66" s="1">
        <f t="shared" si="9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109</v>
      </c>
      <c r="B67" s="1" t="s">
        <v>40</v>
      </c>
      <c r="C67" s="1">
        <v>101</v>
      </c>
      <c r="D67" s="1">
        <v>136</v>
      </c>
      <c r="E67" s="1">
        <v>59</v>
      </c>
      <c r="F67" s="1">
        <v>176</v>
      </c>
      <c r="G67" s="7">
        <v>0.6</v>
      </c>
      <c r="H67" s="1">
        <v>55</v>
      </c>
      <c r="I67" s="1" t="s">
        <v>37</v>
      </c>
      <c r="J67" s="1">
        <v>61</v>
      </c>
      <c r="K67" s="1">
        <f t="shared" ref="K67:K97" si="17">E67-J67</f>
        <v>-2</v>
      </c>
      <c r="L67" s="1">
        <f t="shared" si="4"/>
        <v>59</v>
      </c>
      <c r="M67" s="1"/>
      <c r="N67" s="1">
        <v>0</v>
      </c>
      <c r="O67" s="1"/>
      <c r="P67" s="1">
        <f t="shared" si="5"/>
        <v>11.8</v>
      </c>
      <c r="Q67" s="5"/>
      <c r="R67" s="5"/>
      <c r="S67" s="5"/>
      <c r="T67" s="1"/>
      <c r="U67" s="1">
        <f t="shared" si="6"/>
        <v>14.915254237288135</v>
      </c>
      <c r="V67" s="1">
        <f t="shared" si="7"/>
        <v>14.915254237288135</v>
      </c>
      <c r="W67" s="1">
        <v>14.2</v>
      </c>
      <c r="X67" s="1">
        <v>23.6</v>
      </c>
      <c r="Y67" s="1">
        <v>15.8</v>
      </c>
      <c r="Z67" s="1">
        <v>19.399999999999999</v>
      </c>
      <c r="AA67" s="1">
        <v>33.6</v>
      </c>
      <c r="AB67" s="1">
        <v>26.4</v>
      </c>
      <c r="AC67" s="1">
        <v>19.8</v>
      </c>
      <c r="AD67" s="1">
        <v>19.399999999999999</v>
      </c>
      <c r="AE67" s="1">
        <v>17.600000000000001</v>
      </c>
      <c r="AF67" s="1">
        <v>23.8</v>
      </c>
      <c r="AG67" s="1" t="s">
        <v>44</v>
      </c>
      <c r="AH67" s="1">
        <f t="shared" si="8"/>
        <v>0</v>
      </c>
      <c r="AI67" s="1">
        <f t="shared" si="9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4" t="s">
        <v>110</v>
      </c>
      <c r="B68" s="14" t="s">
        <v>40</v>
      </c>
      <c r="C68" s="14"/>
      <c r="D68" s="14"/>
      <c r="E68" s="14"/>
      <c r="F68" s="14"/>
      <c r="G68" s="15">
        <v>0</v>
      </c>
      <c r="H68" s="14">
        <v>40</v>
      </c>
      <c r="I68" s="14" t="s">
        <v>37</v>
      </c>
      <c r="J68" s="14"/>
      <c r="K68" s="14">
        <f t="shared" si="17"/>
        <v>0</v>
      </c>
      <c r="L68" s="14">
        <f t="shared" ref="L68:L97" si="18">E68-M68</f>
        <v>0</v>
      </c>
      <c r="M68" s="14"/>
      <c r="N68" s="14">
        <v>0</v>
      </c>
      <c r="O68" s="14"/>
      <c r="P68" s="14">
        <f t="shared" ref="P68:P97" si="19">L68/5</f>
        <v>0</v>
      </c>
      <c r="Q68" s="16"/>
      <c r="R68" s="16"/>
      <c r="S68" s="16"/>
      <c r="T68" s="14"/>
      <c r="U68" s="14" t="e">
        <f t="shared" ref="U68:U97" si="20">(F68+N68+O68+Q68)/P68</f>
        <v>#DIV/0!</v>
      </c>
      <c r="V68" s="14" t="e">
        <f t="shared" ref="V68:V97" si="21">(F68+N68+O68)/P68</f>
        <v>#DIV/0!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 t="s">
        <v>57</v>
      </c>
      <c r="AH68" s="1">
        <f t="shared" si="8"/>
        <v>0</v>
      </c>
      <c r="AI68" s="1">
        <f t="shared" si="9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111</v>
      </c>
      <c r="B69" s="1" t="s">
        <v>40</v>
      </c>
      <c r="C69" s="1">
        <v>44</v>
      </c>
      <c r="D69" s="1">
        <v>142</v>
      </c>
      <c r="E69" s="1">
        <v>62</v>
      </c>
      <c r="F69" s="1">
        <v>112</v>
      </c>
      <c r="G69" s="7">
        <v>0.4</v>
      </c>
      <c r="H69" s="1">
        <v>50</v>
      </c>
      <c r="I69" s="1" t="s">
        <v>37</v>
      </c>
      <c r="J69" s="1">
        <v>63</v>
      </c>
      <c r="K69" s="1">
        <f t="shared" si="17"/>
        <v>-1</v>
      </c>
      <c r="L69" s="1">
        <f t="shared" si="18"/>
        <v>62</v>
      </c>
      <c r="M69" s="1"/>
      <c r="N69" s="1">
        <v>30.099999999999969</v>
      </c>
      <c r="O69" s="1"/>
      <c r="P69" s="1">
        <f t="shared" si="19"/>
        <v>12.4</v>
      </c>
      <c r="Q69" s="5"/>
      <c r="R69" s="5"/>
      <c r="S69" s="5"/>
      <c r="T69" s="1"/>
      <c r="U69" s="1">
        <f t="shared" si="20"/>
        <v>11.459677419354836</v>
      </c>
      <c r="V69" s="1">
        <f t="shared" si="21"/>
        <v>11.459677419354836</v>
      </c>
      <c r="W69" s="1">
        <v>17.399999999999999</v>
      </c>
      <c r="X69" s="1">
        <v>18.8</v>
      </c>
      <c r="Y69" s="1">
        <v>13.2</v>
      </c>
      <c r="Z69" s="1">
        <v>11.8</v>
      </c>
      <c r="AA69" s="1">
        <v>16</v>
      </c>
      <c r="AB69" s="1">
        <v>17.2</v>
      </c>
      <c r="AC69" s="1">
        <v>13.2</v>
      </c>
      <c r="AD69" s="1">
        <v>13</v>
      </c>
      <c r="AE69" s="1">
        <v>7.2</v>
      </c>
      <c r="AF69" s="1">
        <v>12</v>
      </c>
      <c r="AG69" s="1" t="s">
        <v>44</v>
      </c>
      <c r="AH69" s="1">
        <f t="shared" si="8"/>
        <v>0</v>
      </c>
      <c r="AI69" s="1">
        <f t="shared" si="9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7" t="s">
        <v>112</v>
      </c>
      <c r="B70" s="1" t="s">
        <v>40</v>
      </c>
      <c r="C70" s="1"/>
      <c r="D70" s="1"/>
      <c r="E70" s="1"/>
      <c r="F70" s="1"/>
      <c r="G70" s="7">
        <v>0.06</v>
      </c>
      <c r="H70" s="1">
        <v>60</v>
      </c>
      <c r="I70" s="1" t="s">
        <v>37</v>
      </c>
      <c r="J70" s="1"/>
      <c r="K70" s="1">
        <f t="shared" si="17"/>
        <v>0</v>
      </c>
      <c r="L70" s="1">
        <f t="shared" si="18"/>
        <v>0</v>
      </c>
      <c r="M70" s="1"/>
      <c r="N70" s="17"/>
      <c r="O70" s="1"/>
      <c r="P70" s="1">
        <f t="shared" si="19"/>
        <v>0</v>
      </c>
      <c r="Q70" s="18">
        <v>10</v>
      </c>
      <c r="R70" s="18"/>
      <c r="S70" s="5"/>
      <c r="T70" s="1"/>
      <c r="U70" s="1" t="e">
        <f t="shared" si="20"/>
        <v>#DIV/0!</v>
      </c>
      <c r="V70" s="1" t="e">
        <f t="shared" si="21"/>
        <v>#DIV/0!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7" t="s">
        <v>113</v>
      </c>
      <c r="AH70" s="1">
        <f t="shared" si="8"/>
        <v>1</v>
      </c>
      <c r="AI70" s="1">
        <f t="shared" si="9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114</v>
      </c>
      <c r="B71" s="1" t="s">
        <v>40</v>
      </c>
      <c r="C71" s="1">
        <v>24</v>
      </c>
      <c r="D71" s="1"/>
      <c r="E71" s="1">
        <v>1</v>
      </c>
      <c r="F71" s="1">
        <v>22</v>
      </c>
      <c r="G71" s="7">
        <v>0.4</v>
      </c>
      <c r="H71" s="1">
        <v>55</v>
      </c>
      <c r="I71" s="1" t="s">
        <v>37</v>
      </c>
      <c r="J71" s="1">
        <v>2</v>
      </c>
      <c r="K71" s="1">
        <f t="shared" si="17"/>
        <v>-1</v>
      </c>
      <c r="L71" s="1">
        <f t="shared" si="18"/>
        <v>1</v>
      </c>
      <c r="M71" s="1"/>
      <c r="N71" s="1">
        <v>0</v>
      </c>
      <c r="O71" s="1"/>
      <c r="P71" s="1">
        <f t="shared" si="19"/>
        <v>0.2</v>
      </c>
      <c r="Q71" s="5"/>
      <c r="R71" s="5"/>
      <c r="S71" s="5"/>
      <c r="T71" s="1"/>
      <c r="U71" s="1">
        <f t="shared" si="20"/>
        <v>110</v>
      </c>
      <c r="V71" s="1">
        <f t="shared" si="21"/>
        <v>110</v>
      </c>
      <c r="W71" s="1">
        <v>0.4</v>
      </c>
      <c r="X71" s="1">
        <v>0.2</v>
      </c>
      <c r="Y71" s="1">
        <v>0</v>
      </c>
      <c r="Z71" s="1">
        <v>0</v>
      </c>
      <c r="AA71" s="1">
        <v>0.2</v>
      </c>
      <c r="AB71" s="1">
        <v>0.2</v>
      </c>
      <c r="AC71" s="1">
        <v>1</v>
      </c>
      <c r="AD71" s="1">
        <v>1.2</v>
      </c>
      <c r="AE71" s="1">
        <v>0.8</v>
      </c>
      <c r="AF71" s="1">
        <v>0.6</v>
      </c>
      <c r="AG71" s="13" t="s">
        <v>96</v>
      </c>
      <c r="AH71" s="1">
        <f t="shared" ref="AH71:AH97" si="22">ROUND(G71*Q71,0)</f>
        <v>0</v>
      </c>
      <c r="AI71" s="1">
        <f t="shared" ref="AI71:AI97" si="23">ROUND(G71*R71,0)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115</v>
      </c>
      <c r="B72" s="1" t="s">
        <v>36</v>
      </c>
      <c r="C72" s="1">
        <v>18.763000000000002</v>
      </c>
      <c r="D72" s="1"/>
      <c r="E72" s="1">
        <v>8.6829999999999998</v>
      </c>
      <c r="F72" s="1">
        <v>8.64</v>
      </c>
      <c r="G72" s="7">
        <v>1</v>
      </c>
      <c r="H72" s="1">
        <v>55</v>
      </c>
      <c r="I72" s="1" t="s">
        <v>37</v>
      </c>
      <c r="J72" s="1">
        <v>7.2</v>
      </c>
      <c r="K72" s="1">
        <f t="shared" si="17"/>
        <v>1.4829999999999997</v>
      </c>
      <c r="L72" s="1">
        <f t="shared" si="18"/>
        <v>8.6829999999999998</v>
      </c>
      <c r="M72" s="1"/>
      <c r="N72" s="1">
        <v>0</v>
      </c>
      <c r="O72" s="1"/>
      <c r="P72" s="1">
        <f t="shared" si="19"/>
        <v>1.7365999999999999</v>
      </c>
      <c r="Q72" s="5">
        <f t="shared" ref="Q72" si="24">10*P72-O72-N72-F72</f>
        <v>8.7259999999999991</v>
      </c>
      <c r="R72" s="5"/>
      <c r="S72" s="5"/>
      <c r="T72" s="1"/>
      <c r="U72" s="1">
        <f t="shared" si="20"/>
        <v>10</v>
      </c>
      <c r="V72" s="1">
        <f t="shared" si="21"/>
        <v>4.975238972705287</v>
      </c>
      <c r="W72" s="1">
        <v>0.28799999999999998</v>
      </c>
      <c r="X72" s="1">
        <v>0.28799999999999998</v>
      </c>
      <c r="Y72" s="1">
        <v>1.6706000000000001</v>
      </c>
      <c r="Z72" s="1">
        <v>1.6706000000000001</v>
      </c>
      <c r="AA72" s="1">
        <v>0</v>
      </c>
      <c r="AB72" s="1">
        <v>0</v>
      </c>
      <c r="AC72" s="1">
        <v>1.4498</v>
      </c>
      <c r="AD72" s="1">
        <v>1.4498</v>
      </c>
      <c r="AE72" s="1">
        <v>0.28960000000000002</v>
      </c>
      <c r="AF72" s="1">
        <v>0.57840000000000003</v>
      </c>
      <c r="AG72" s="26" t="s">
        <v>165</v>
      </c>
      <c r="AH72" s="1">
        <f t="shared" si="22"/>
        <v>9</v>
      </c>
      <c r="AI72" s="1">
        <f t="shared" si="23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0" t="s">
        <v>116</v>
      </c>
      <c r="B73" s="10" t="s">
        <v>36</v>
      </c>
      <c r="C73" s="10">
        <v>25.68</v>
      </c>
      <c r="D73" s="10">
        <v>24.83</v>
      </c>
      <c r="E73" s="10">
        <v>34.630000000000003</v>
      </c>
      <c r="F73" s="10"/>
      <c r="G73" s="11">
        <v>0</v>
      </c>
      <c r="H73" s="10">
        <v>50</v>
      </c>
      <c r="I73" s="10" t="s">
        <v>41</v>
      </c>
      <c r="J73" s="10">
        <v>45.33</v>
      </c>
      <c r="K73" s="10">
        <f t="shared" si="17"/>
        <v>-10.699999999999996</v>
      </c>
      <c r="L73" s="10">
        <f t="shared" si="18"/>
        <v>34.630000000000003</v>
      </c>
      <c r="M73" s="10"/>
      <c r="N73" s="10">
        <v>0</v>
      </c>
      <c r="O73" s="10"/>
      <c r="P73" s="10">
        <f t="shared" si="19"/>
        <v>6.9260000000000002</v>
      </c>
      <c r="Q73" s="12"/>
      <c r="R73" s="12"/>
      <c r="S73" s="12"/>
      <c r="T73" s="10"/>
      <c r="U73" s="10">
        <f t="shared" si="20"/>
        <v>0</v>
      </c>
      <c r="V73" s="10">
        <f t="shared" si="21"/>
        <v>0</v>
      </c>
      <c r="W73" s="10">
        <v>12.0786</v>
      </c>
      <c r="X73" s="10">
        <v>11.2844</v>
      </c>
      <c r="Y73" s="10">
        <v>13.769</v>
      </c>
      <c r="Z73" s="10">
        <v>12.1906</v>
      </c>
      <c r="AA73" s="10">
        <v>17.401</v>
      </c>
      <c r="AB73" s="10">
        <v>20.459199999999999</v>
      </c>
      <c r="AC73" s="10">
        <v>19.576000000000001</v>
      </c>
      <c r="AD73" s="10">
        <v>22.449000000000002</v>
      </c>
      <c r="AE73" s="10">
        <v>15.4742</v>
      </c>
      <c r="AF73" s="10">
        <v>13.44</v>
      </c>
      <c r="AG73" s="10" t="s">
        <v>117</v>
      </c>
      <c r="AH73" s="1">
        <f t="shared" si="22"/>
        <v>0</v>
      </c>
      <c r="AI73" s="1">
        <f t="shared" si="23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4" t="s">
        <v>118</v>
      </c>
      <c r="B74" s="14" t="s">
        <v>40</v>
      </c>
      <c r="C74" s="14"/>
      <c r="D74" s="14"/>
      <c r="E74" s="14"/>
      <c r="F74" s="14"/>
      <c r="G74" s="15">
        <v>0</v>
      </c>
      <c r="H74" s="14">
        <v>40</v>
      </c>
      <c r="I74" s="14" t="s">
        <v>37</v>
      </c>
      <c r="J74" s="14"/>
      <c r="K74" s="14">
        <f t="shared" si="17"/>
        <v>0</v>
      </c>
      <c r="L74" s="14">
        <f t="shared" si="18"/>
        <v>0</v>
      </c>
      <c r="M74" s="14"/>
      <c r="N74" s="14">
        <v>0</v>
      </c>
      <c r="O74" s="14"/>
      <c r="P74" s="14">
        <f t="shared" si="19"/>
        <v>0</v>
      </c>
      <c r="Q74" s="16"/>
      <c r="R74" s="16"/>
      <c r="S74" s="16"/>
      <c r="T74" s="14"/>
      <c r="U74" s="14" t="e">
        <f t="shared" si="20"/>
        <v>#DIV/0!</v>
      </c>
      <c r="V74" s="14" t="e">
        <f t="shared" si="21"/>
        <v>#DIV/0!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 t="s">
        <v>119</v>
      </c>
      <c r="AH74" s="1">
        <f t="shared" si="22"/>
        <v>0</v>
      </c>
      <c r="AI74" s="1">
        <f t="shared" si="23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120</v>
      </c>
      <c r="B75" s="1" t="s">
        <v>40</v>
      </c>
      <c r="C75" s="1">
        <v>19</v>
      </c>
      <c r="D75" s="1">
        <v>13</v>
      </c>
      <c r="E75" s="1">
        <v>16</v>
      </c>
      <c r="F75" s="1">
        <v>16</v>
      </c>
      <c r="G75" s="7">
        <v>0.2</v>
      </c>
      <c r="H75" s="1">
        <v>35</v>
      </c>
      <c r="I75" s="1" t="s">
        <v>37</v>
      </c>
      <c r="J75" s="1">
        <v>16</v>
      </c>
      <c r="K75" s="1">
        <f t="shared" si="17"/>
        <v>0</v>
      </c>
      <c r="L75" s="1">
        <f t="shared" si="18"/>
        <v>16</v>
      </c>
      <c r="M75" s="1"/>
      <c r="N75" s="1">
        <v>0</v>
      </c>
      <c r="O75" s="1"/>
      <c r="P75" s="1">
        <f t="shared" si="19"/>
        <v>3.2</v>
      </c>
      <c r="Q75" s="5">
        <f t="shared" ref="Q75" si="25">10*P75-O75-N75-F75</f>
        <v>16</v>
      </c>
      <c r="R75" s="5"/>
      <c r="S75" s="5"/>
      <c r="T75" s="1"/>
      <c r="U75" s="1">
        <f t="shared" si="20"/>
        <v>10</v>
      </c>
      <c r="V75" s="1">
        <f t="shared" si="21"/>
        <v>5</v>
      </c>
      <c r="W75" s="1">
        <v>1.4</v>
      </c>
      <c r="X75" s="1">
        <v>0</v>
      </c>
      <c r="Y75" s="1">
        <v>2.6</v>
      </c>
      <c r="Z75" s="1">
        <v>2.6</v>
      </c>
      <c r="AA75" s="1">
        <v>0.4</v>
      </c>
      <c r="AB75" s="1">
        <v>0.4</v>
      </c>
      <c r="AC75" s="1">
        <v>0</v>
      </c>
      <c r="AD75" s="1">
        <v>0</v>
      </c>
      <c r="AE75" s="1">
        <v>1.8</v>
      </c>
      <c r="AF75" s="1">
        <v>1.8</v>
      </c>
      <c r="AG75" s="1" t="s">
        <v>121</v>
      </c>
      <c r="AH75" s="1">
        <f t="shared" si="22"/>
        <v>3</v>
      </c>
      <c r="AI75" s="1">
        <f t="shared" si="23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22" t="s">
        <v>122</v>
      </c>
      <c r="B76" s="22" t="s">
        <v>36</v>
      </c>
      <c r="C76" s="22">
        <v>3297.1419999999998</v>
      </c>
      <c r="D76" s="22">
        <v>2979.7820000000002</v>
      </c>
      <c r="E76" s="22">
        <v>2417.172</v>
      </c>
      <c r="F76" s="22">
        <v>3113.835</v>
      </c>
      <c r="G76" s="23">
        <v>1</v>
      </c>
      <c r="H76" s="22">
        <v>60</v>
      </c>
      <c r="I76" s="22" t="s">
        <v>37</v>
      </c>
      <c r="J76" s="22">
        <v>2419.7869999999998</v>
      </c>
      <c r="K76" s="22">
        <f t="shared" si="17"/>
        <v>-2.6149999999997817</v>
      </c>
      <c r="L76" s="22">
        <f t="shared" si="18"/>
        <v>2402.0050000000001</v>
      </c>
      <c r="M76" s="22">
        <v>15.167</v>
      </c>
      <c r="N76" s="22">
        <v>1186.7864000000011</v>
      </c>
      <c r="O76" s="22">
        <v>1000</v>
      </c>
      <c r="P76" s="22">
        <f t="shared" si="19"/>
        <v>480.40100000000001</v>
      </c>
      <c r="Q76" s="24"/>
      <c r="R76" s="24"/>
      <c r="S76" s="24"/>
      <c r="T76" s="22"/>
      <c r="U76" s="22">
        <f t="shared" si="20"/>
        <v>11.033743476803755</v>
      </c>
      <c r="V76" s="22">
        <f t="shared" si="21"/>
        <v>11.033743476803755</v>
      </c>
      <c r="W76" s="22">
        <v>606.80460000000005</v>
      </c>
      <c r="X76" s="22">
        <v>541.07579999999996</v>
      </c>
      <c r="Y76" s="22">
        <v>395.20519999999999</v>
      </c>
      <c r="Z76" s="22">
        <v>385.33859999999999</v>
      </c>
      <c r="AA76" s="22">
        <v>527.70839999999998</v>
      </c>
      <c r="AB76" s="22">
        <v>533.19940000000008</v>
      </c>
      <c r="AC76" s="22">
        <v>391.99459999999999</v>
      </c>
      <c r="AD76" s="22">
        <v>409.6884</v>
      </c>
      <c r="AE76" s="22">
        <v>348.62119999999999</v>
      </c>
      <c r="AF76" s="22">
        <v>432.40300000000002</v>
      </c>
      <c r="AG76" s="22" t="s">
        <v>59</v>
      </c>
      <c r="AH76" s="1">
        <f t="shared" si="22"/>
        <v>0</v>
      </c>
      <c r="AI76" s="1">
        <f t="shared" si="23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22" t="s">
        <v>123</v>
      </c>
      <c r="B77" s="22" t="s">
        <v>36</v>
      </c>
      <c r="C77" s="22">
        <v>1743.2670000000001</v>
      </c>
      <c r="D77" s="22">
        <v>1399.33</v>
      </c>
      <c r="E77" s="22">
        <v>1262.992</v>
      </c>
      <c r="F77" s="22">
        <v>1572.9549999999999</v>
      </c>
      <c r="G77" s="23">
        <v>1</v>
      </c>
      <c r="H77" s="22">
        <v>60</v>
      </c>
      <c r="I77" s="22" t="s">
        <v>37</v>
      </c>
      <c r="J77" s="22">
        <v>1289.48</v>
      </c>
      <c r="K77" s="22">
        <f t="shared" si="17"/>
        <v>-26.488000000000056</v>
      </c>
      <c r="L77" s="22">
        <f t="shared" si="18"/>
        <v>1247.942</v>
      </c>
      <c r="M77" s="22">
        <v>15.05</v>
      </c>
      <c r="N77" s="22">
        <v>603.65140000000019</v>
      </c>
      <c r="O77" s="22"/>
      <c r="P77" s="22">
        <f t="shared" si="19"/>
        <v>249.58840000000001</v>
      </c>
      <c r="Q77" s="24"/>
      <c r="R77" s="24"/>
      <c r="S77" s="24"/>
      <c r="T77" s="22"/>
      <c r="U77" s="22">
        <f t="shared" si="20"/>
        <v>8.720783497951027</v>
      </c>
      <c r="V77" s="22">
        <f t="shared" si="21"/>
        <v>8.720783497951027</v>
      </c>
      <c r="W77" s="22">
        <v>251.4068</v>
      </c>
      <c r="X77" s="22">
        <v>251.52459999999999</v>
      </c>
      <c r="Y77" s="22">
        <v>167.60140000000001</v>
      </c>
      <c r="Z77" s="22">
        <v>175.3792</v>
      </c>
      <c r="AA77" s="22">
        <v>233.99199999999999</v>
      </c>
      <c r="AB77" s="22">
        <v>239.4606</v>
      </c>
      <c r="AC77" s="22">
        <v>231.31639999999999</v>
      </c>
      <c r="AD77" s="22">
        <v>176.95740000000001</v>
      </c>
      <c r="AE77" s="22">
        <v>193.71940000000001</v>
      </c>
      <c r="AF77" s="22">
        <v>147.5848</v>
      </c>
      <c r="AG77" s="22" t="s">
        <v>59</v>
      </c>
      <c r="AH77" s="1">
        <f t="shared" si="22"/>
        <v>0</v>
      </c>
      <c r="AI77" s="1">
        <f t="shared" si="23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0" t="s">
        <v>124</v>
      </c>
      <c r="B78" s="10" t="s">
        <v>36</v>
      </c>
      <c r="C78" s="10">
        <v>-2.492</v>
      </c>
      <c r="D78" s="10">
        <v>2.492</v>
      </c>
      <c r="E78" s="10"/>
      <c r="F78" s="10"/>
      <c r="G78" s="11">
        <v>0</v>
      </c>
      <c r="H78" s="10" t="e">
        <v>#N/A</v>
      </c>
      <c r="I78" s="10" t="s">
        <v>41</v>
      </c>
      <c r="J78" s="10"/>
      <c r="K78" s="10">
        <f t="shared" si="17"/>
        <v>0</v>
      </c>
      <c r="L78" s="10">
        <f t="shared" si="18"/>
        <v>0</v>
      </c>
      <c r="M78" s="10"/>
      <c r="N78" s="10">
        <v>0</v>
      </c>
      <c r="O78" s="10"/>
      <c r="P78" s="10">
        <f t="shared" si="19"/>
        <v>0</v>
      </c>
      <c r="Q78" s="12"/>
      <c r="R78" s="12"/>
      <c r="S78" s="12"/>
      <c r="T78" s="10"/>
      <c r="U78" s="10" t="e">
        <f t="shared" si="20"/>
        <v>#DIV/0!</v>
      </c>
      <c r="V78" s="10" t="e">
        <f t="shared" si="21"/>
        <v>#DIV/0!</v>
      </c>
      <c r="W78" s="10">
        <v>0.49840000000000001</v>
      </c>
      <c r="X78" s="10">
        <v>0.49840000000000001</v>
      </c>
      <c r="Y78" s="10">
        <v>0</v>
      </c>
      <c r="Z78" s="10">
        <v>0</v>
      </c>
      <c r="AA78" s="10">
        <v>0.52060000000000006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/>
      <c r="AH78" s="1">
        <f t="shared" si="22"/>
        <v>0</v>
      </c>
      <c r="AI78" s="1">
        <f t="shared" si="23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22" t="s">
        <v>125</v>
      </c>
      <c r="B79" s="22" t="s">
        <v>36</v>
      </c>
      <c r="C79" s="22">
        <v>1402.694</v>
      </c>
      <c r="D79" s="22">
        <v>3263.3809999999999</v>
      </c>
      <c r="E79" s="22">
        <v>1687.598</v>
      </c>
      <c r="F79" s="22">
        <v>2387.181</v>
      </c>
      <c r="G79" s="23">
        <v>1</v>
      </c>
      <c r="H79" s="22">
        <v>60</v>
      </c>
      <c r="I79" s="22" t="s">
        <v>37</v>
      </c>
      <c r="J79" s="22">
        <v>2038.1389999999999</v>
      </c>
      <c r="K79" s="22">
        <f t="shared" si="17"/>
        <v>-350.54099999999994</v>
      </c>
      <c r="L79" s="22">
        <f t="shared" si="18"/>
        <v>1628.134</v>
      </c>
      <c r="M79" s="22">
        <v>59.463999999999999</v>
      </c>
      <c r="N79" s="22">
        <v>1087.7295000000011</v>
      </c>
      <c r="O79" s="22">
        <v>700</v>
      </c>
      <c r="P79" s="22">
        <f t="shared" si="19"/>
        <v>325.6268</v>
      </c>
      <c r="Q79" s="24"/>
      <c r="R79" s="24"/>
      <c r="S79" s="24"/>
      <c r="T79" s="22"/>
      <c r="U79" s="22">
        <f t="shared" si="20"/>
        <v>12.821151391715917</v>
      </c>
      <c r="V79" s="22">
        <f t="shared" si="21"/>
        <v>12.821151391715917</v>
      </c>
      <c r="W79" s="22">
        <v>477.57700000000011</v>
      </c>
      <c r="X79" s="22">
        <v>455.36860000000001</v>
      </c>
      <c r="Y79" s="22">
        <v>290.72300000000001</v>
      </c>
      <c r="Z79" s="22">
        <v>297.3904</v>
      </c>
      <c r="AA79" s="22">
        <v>298.51600000000002</v>
      </c>
      <c r="AB79" s="22">
        <v>258.31079999999997</v>
      </c>
      <c r="AC79" s="22">
        <v>164.2698</v>
      </c>
      <c r="AD79" s="22">
        <v>181.83359999999999</v>
      </c>
      <c r="AE79" s="22">
        <v>178.24760000000001</v>
      </c>
      <c r="AF79" s="22">
        <v>131.71719999999999</v>
      </c>
      <c r="AG79" s="22" t="s">
        <v>126</v>
      </c>
      <c r="AH79" s="1">
        <f t="shared" si="22"/>
        <v>0</v>
      </c>
      <c r="AI79" s="1">
        <f t="shared" si="23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9" t="s">
        <v>127</v>
      </c>
      <c r="B80" s="19" t="s">
        <v>36</v>
      </c>
      <c r="C80" s="19">
        <v>1667.623</v>
      </c>
      <c r="D80" s="19">
        <v>5117.6890000000003</v>
      </c>
      <c r="E80" s="19">
        <v>2028.3140000000001</v>
      </c>
      <c r="F80" s="19">
        <v>4095.41</v>
      </c>
      <c r="G80" s="20">
        <v>1</v>
      </c>
      <c r="H80" s="19">
        <v>60</v>
      </c>
      <c r="I80" s="19" t="s">
        <v>37</v>
      </c>
      <c r="J80" s="19">
        <v>2762.5010000000002</v>
      </c>
      <c r="K80" s="19">
        <f t="shared" si="17"/>
        <v>-734.18700000000013</v>
      </c>
      <c r="L80" s="19">
        <f t="shared" si="18"/>
        <v>1879.107</v>
      </c>
      <c r="M80" s="19">
        <v>149.20699999999999</v>
      </c>
      <c r="N80" s="19">
        <v>1122.594599999999</v>
      </c>
      <c r="O80" s="19"/>
      <c r="P80" s="19">
        <f t="shared" si="19"/>
        <v>375.82139999999998</v>
      </c>
      <c r="Q80" s="21"/>
      <c r="R80" s="21"/>
      <c r="S80" s="21"/>
      <c r="T80" s="19"/>
      <c r="U80" s="19">
        <f t="shared" si="20"/>
        <v>13.884266835257382</v>
      </c>
      <c r="V80" s="19">
        <f t="shared" si="21"/>
        <v>13.884266835257382</v>
      </c>
      <c r="W80" s="19">
        <v>544.85159999999996</v>
      </c>
      <c r="X80" s="19">
        <v>645.95100000000002</v>
      </c>
      <c r="Y80" s="19">
        <v>176.8768</v>
      </c>
      <c r="Z80" s="19">
        <v>131.86940000000001</v>
      </c>
      <c r="AA80" s="19">
        <v>350.85899999999998</v>
      </c>
      <c r="AB80" s="19">
        <v>321.74360000000001</v>
      </c>
      <c r="AC80" s="19">
        <v>675.32060000000001</v>
      </c>
      <c r="AD80" s="19">
        <v>735.18680000000006</v>
      </c>
      <c r="AE80" s="19">
        <v>514.34320000000002</v>
      </c>
      <c r="AF80" s="19">
        <v>549.89760000000001</v>
      </c>
      <c r="AG80" s="19" t="s">
        <v>152</v>
      </c>
      <c r="AH80" s="1">
        <f t="shared" si="22"/>
        <v>0</v>
      </c>
      <c r="AI80" s="1">
        <f t="shared" si="23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128</v>
      </c>
      <c r="B81" s="1" t="s">
        <v>36</v>
      </c>
      <c r="C81" s="1">
        <v>25.545000000000002</v>
      </c>
      <c r="D81" s="1"/>
      <c r="E81" s="1"/>
      <c r="F81" s="1">
        <v>25.545000000000002</v>
      </c>
      <c r="G81" s="7">
        <v>1</v>
      </c>
      <c r="H81" s="1">
        <v>55</v>
      </c>
      <c r="I81" s="1" t="s">
        <v>37</v>
      </c>
      <c r="J81" s="1"/>
      <c r="K81" s="1">
        <f t="shared" si="17"/>
        <v>0</v>
      </c>
      <c r="L81" s="1">
        <f t="shared" si="18"/>
        <v>0</v>
      </c>
      <c r="M81" s="1"/>
      <c r="N81" s="1">
        <v>0</v>
      </c>
      <c r="O81" s="1"/>
      <c r="P81" s="1">
        <f t="shared" si="19"/>
        <v>0</v>
      </c>
      <c r="Q81" s="5"/>
      <c r="R81" s="5"/>
      <c r="S81" s="5"/>
      <c r="T81" s="1"/>
      <c r="U81" s="1" t="e">
        <f t="shared" si="20"/>
        <v>#DIV/0!</v>
      </c>
      <c r="V81" s="1" t="e">
        <f t="shared" si="21"/>
        <v>#DIV/0!</v>
      </c>
      <c r="W81" s="1">
        <v>0.26700000000000002</v>
      </c>
      <c r="X81" s="1">
        <v>0.26700000000000002</v>
      </c>
      <c r="Y81" s="1">
        <v>1.0716000000000001</v>
      </c>
      <c r="Z81" s="1">
        <v>1.0716000000000001</v>
      </c>
      <c r="AA81" s="1">
        <v>1.0642</v>
      </c>
      <c r="AB81" s="1">
        <v>1.6112</v>
      </c>
      <c r="AC81" s="1">
        <v>0.8146000000000001</v>
      </c>
      <c r="AD81" s="1">
        <v>0.8103999999999999</v>
      </c>
      <c r="AE81" s="1">
        <v>0.8156000000000001</v>
      </c>
      <c r="AF81" s="1">
        <v>0.27279999999999999</v>
      </c>
      <c r="AG81" s="26" t="s">
        <v>161</v>
      </c>
      <c r="AH81" s="1">
        <f t="shared" si="22"/>
        <v>0</v>
      </c>
      <c r="AI81" s="1">
        <f t="shared" si="23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129</v>
      </c>
      <c r="B82" s="1" t="s">
        <v>36</v>
      </c>
      <c r="C82" s="1">
        <v>37.731999999999999</v>
      </c>
      <c r="D82" s="1"/>
      <c r="E82" s="1">
        <v>6.7720000000000002</v>
      </c>
      <c r="F82" s="1">
        <v>29.613</v>
      </c>
      <c r="G82" s="7">
        <v>1</v>
      </c>
      <c r="H82" s="1">
        <v>55</v>
      </c>
      <c r="I82" s="1" t="s">
        <v>37</v>
      </c>
      <c r="J82" s="1">
        <v>6.2</v>
      </c>
      <c r="K82" s="1">
        <f t="shared" si="17"/>
        <v>0.57200000000000006</v>
      </c>
      <c r="L82" s="1">
        <f t="shared" si="18"/>
        <v>6.7720000000000002</v>
      </c>
      <c r="M82" s="1"/>
      <c r="N82" s="1">
        <v>0</v>
      </c>
      <c r="O82" s="1"/>
      <c r="P82" s="1">
        <f t="shared" si="19"/>
        <v>1.3544</v>
      </c>
      <c r="Q82" s="5"/>
      <c r="R82" s="5"/>
      <c r="S82" s="5"/>
      <c r="T82" s="1"/>
      <c r="U82" s="1">
        <f t="shared" si="20"/>
        <v>21.864294152392201</v>
      </c>
      <c r="V82" s="1">
        <f t="shared" si="21"/>
        <v>21.864294152392201</v>
      </c>
      <c r="W82" s="1">
        <v>1.5212000000000001</v>
      </c>
      <c r="X82" s="1">
        <v>0.98180000000000001</v>
      </c>
      <c r="Y82" s="1">
        <v>1.0815999999999999</v>
      </c>
      <c r="Z82" s="1">
        <v>1.0786</v>
      </c>
      <c r="AA82" s="1">
        <v>1.6180000000000001</v>
      </c>
      <c r="AB82" s="1">
        <v>3.4996</v>
      </c>
      <c r="AC82" s="1">
        <v>4.0282</v>
      </c>
      <c r="AD82" s="1">
        <v>2.1478000000000002</v>
      </c>
      <c r="AE82" s="1">
        <v>0.2702</v>
      </c>
      <c r="AF82" s="1">
        <v>1.0928</v>
      </c>
      <c r="AG82" s="26" t="s">
        <v>162</v>
      </c>
      <c r="AH82" s="1">
        <f t="shared" si="22"/>
        <v>0</v>
      </c>
      <c r="AI82" s="1">
        <f t="shared" si="23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4" t="s">
        <v>130</v>
      </c>
      <c r="B83" s="14" t="s">
        <v>36</v>
      </c>
      <c r="C83" s="14"/>
      <c r="D83" s="14"/>
      <c r="E83" s="14"/>
      <c r="F83" s="14"/>
      <c r="G83" s="15">
        <v>0</v>
      </c>
      <c r="H83" s="14">
        <v>55</v>
      </c>
      <c r="I83" s="14" t="s">
        <v>37</v>
      </c>
      <c r="J83" s="14"/>
      <c r="K83" s="14">
        <f t="shared" si="17"/>
        <v>0</v>
      </c>
      <c r="L83" s="14">
        <f t="shared" si="18"/>
        <v>0</v>
      </c>
      <c r="M83" s="14"/>
      <c r="N83" s="14">
        <v>0</v>
      </c>
      <c r="O83" s="14"/>
      <c r="P83" s="14">
        <f t="shared" si="19"/>
        <v>0</v>
      </c>
      <c r="Q83" s="16">
        <f t="shared" ref="Q83:Q95" si="26">10*P83-O83-N83-F83</f>
        <v>0</v>
      </c>
      <c r="R83" s="16"/>
      <c r="S83" s="16"/>
      <c r="T83" s="14"/>
      <c r="U83" s="14" t="e">
        <f t="shared" si="20"/>
        <v>#DIV/0!</v>
      </c>
      <c r="V83" s="14" t="e">
        <f t="shared" si="21"/>
        <v>#DIV/0!</v>
      </c>
      <c r="W83" s="14">
        <v>0</v>
      </c>
      <c r="X83" s="14">
        <v>0</v>
      </c>
      <c r="Y83" s="14">
        <v>0.27200000000000002</v>
      </c>
      <c r="Z83" s="14">
        <v>0.54200000000000004</v>
      </c>
      <c r="AA83" s="14">
        <v>0.8076000000000001</v>
      </c>
      <c r="AB83" s="14">
        <v>0.53760000000000008</v>
      </c>
      <c r="AC83" s="14">
        <v>0.187</v>
      </c>
      <c r="AD83" s="14">
        <v>0.45600000000000002</v>
      </c>
      <c r="AE83" s="14">
        <v>0.53579999999999994</v>
      </c>
      <c r="AF83" s="14">
        <v>0.26679999999999998</v>
      </c>
      <c r="AG83" s="14" t="s">
        <v>155</v>
      </c>
      <c r="AH83" s="1">
        <f t="shared" si="22"/>
        <v>0</v>
      </c>
      <c r="AI83" s="1">
        <f t="shared" si="23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131</v>
      </c>
      <c r="B84" s="1" t="s">
        <v>36</v>
      </c>
      <c r="C84" s="1">
        <v>137.083</v>
      </c>
      <c r="D84" s="1"/>
      <c r="E84" s="1">
        <v>29.734999999999999</v>
      </c>
      <c r="F84" s="1">
        <v>107.348</v>
      </c>
      <c r="G84" s="7">
        <v>1</v>
      </c>
      <c r="H84" s="1">
        <v>60</v>
      </c>
      <c r="I84" s="1" t="s">
        <v>37</v>
      </c>
      <c r="J84" s="1">
        <v>29.6</v>
      </c>
      <c r="K84" s="1">
        <f t="shared" si="17"/>
        <v>0.13499999999999801</v>
      </c>
      <c r="L84" s="1">
        <f t="shared" si="18"/>
        <v>29.734999999999999</v>
      </c>
      <c r="M84" s="1"/>
      <c r="N84" s="1">
        <v>0</v>
      </c>
      <c r="O84" s="1"/>
      <c r="P84" s="1">
        <f t="shared" si="19"/>
        <v>5.9470000000000001</v>
      </c>
      <c r="Q84" s="5"/>
      <c r="R84" s="5"/>
      <c r="S84" s="5"/>
      <c r="T84" s="1"/>
      <c r="U84" s="1">
        <f t="shared" si="20"/>
        <v>18.050781906843785</v>
      </c>
      <c r="V84" s="1">
        <f t="shared" si="21"/>
        <v>18.050781906843785</v>
      </c>
      <c r="W84" s="1">
        <v>1.276</v>
      </c>
      <c r="X84" s="1">
        <v>0.95600000000000007</v>
      </c>
      <c r="Y84" s="1">
        <v>0</v>
      </c>
      <c r="Z84" s="1">
        <v>0.1588</v>
      </c>
      <c r="AA84" s="1">
        <v>12.1892</v>
      </c>
      <c r="AB84" s="1">
        <v>12.1904</v>
      </c>
      <c r="AC84" s="1">
        <v>8.9773999999999994</v>
      </c>
      <c r="AD84" s="1">
        <v>8.817400000000001</v>
      </c>
      <c r="AE84" s="1">
        <v>3.0908000000000002</v>
      </c>
      <c r="AF84" s="1">
        <v>3.4098000000000002</v>
      </c>
      <c r="AG84" s="26" t="s">
        <v>163</v>
      </c>
      <c r="AH84" s="1">
        <f t="shared" si="22"/>
        <v>0</v>
      </c>
      <c r="AI84" s="1">
        <f t="shared" si="23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132</v>
      </c>
      <c r="B85" s="1" t="s">
        <v>40</v>
      </c>
      <c r="C85" s="1">
        <v>31</v>
      </c>
      <c r="D85" s="1">
        <v>12</v>
      </c>
      <c r="E85" s="1">
        <v>14</v>
      </c>
      <c r="F85" s="1">
        <v>25</v>
      </c>
      <c r="G85" s="7">
        <v>0.3</v>
      </c>
      <c r="H85" s="1">
        <v>40</v>
      </c>
      <c r="I85" s="1" t="s">
        <v>37</v>
      </c>
      <c r="J85" s="1">
        <v>15</v>
      </c>
      <c r="K85" s="1">
        <f t="shared" si="17"/>
        <v>-1</v>
      </c>
      <c r="L85" s="1">
        <f t="shared" si="18"/>
        <v>14</v>
      </c>
      <c r="M85" s="1"/>
      <c r="N85" s="1">
        <v>0</v>
      </c>
      <c r="O85" s="1"/>
      <c r="P85" s="1">
        <f t="shared" si="19"/>
        <v>2.8</v>
      </c>
      <c r="Q85" s="5"/>
      <c r="R85" s="5"/>
      <c r="S85" s="5"/>
      <c r="T85" s="1"/>
      <c r="U85" s="1">
        <f t="shared" si="20"/>
        <v>8.9285714285714288</v>
      </c>
      <c r="V85" s="1">
        <f t="shared" si="21"/>
        <v>8.9285714285714288</v>
      </c>
      <c r="W85" s="1">
        <v>1.4</v>
      </c>
      <c r="X85" s="1">
        <v>0.8</v>
      </c>
      <c r="Y85" s="1">
        <v>2.8</v>
      </c>
      <c r="Z85" s="1">
        <v>3</v>
      </c>
      <c r="AA85" s="1">
        <v>2.2000000000000002</v>
      </c>
      <c r="AB85" s="1">
        <v>2.2000000000000002</v>
      </c>
      <c r="AC85" s="1">
        <v>2.8</v>
      </c>
      <c r="AD85" s="1">
        <v>3.2</v>
      </c>
      <c r="AE85" s="1">
        <v>2.8</v>
      </c>
      <c r="AF85" s="1">
        <v>2.2000000000000002</v>
      </c>
      <c r="AG85" s="13" t="s">
        <v>96</v>
      </c>
      <c r="AH85" s="1">
        <f t="shared" si="22"/>
        <v>0</v>
      </c>
      <c r="AI85" s="1">
        <f t="shared" si="23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133</v>
      </c>
      <c r="B86" s="1" t="s">
        <v>40</v>
      </c>
      <c r="C86" s="1">
        <v>25</v>
      </c>
      <c r="D86" s="1"/>
      <c r="E86" s="1">
        <v>15</v>
      </c>
      <c r="F86" s="1">
        <v>5</v>
      </c>
      <c r="G86" s="7">
        <v>0.3</v>
      </c>
      <c r="H86" s="1">
        <v>40</v>
      </c>
      <c r="I86" s="1" t="s">
        <v>37</v>
      </c>
      <c r="J86" s="1">
        <v>20</v>
      </c>
      <c r="K86" s="1">
        <f t="shared" si="17"/>
        <v>-5</v>
      </c>
      <c r="L86" s="1">
        <f t="shared" si="18"/>
        <v>15</v>
      </c>
      <c r="M86" s="1"/>
      <c r="N86" s="1">
        <v>19.399999999999999</v>
      </c>
      <c r="O86" s="1"/>
      <c r="P86" s="1">
        <f t="shared" si="19"/>
        <v>3</v>
      </c>
      <c r="Q86" s="5">
        <f t="shared" si="26"/>
        <v>5.6000000000000014</v>
      </c>
      <c r="R86" s="5"/>
      <c r="S86" s="5"/>
      <c r="T86" s="1"/>
      <c r="U86" s="1">
        <f t="shared" si="20"/>
        <v>10</v>
      </c>
      <c r="V86" s="1">
        <f t="shared" si="21"/>
        <v>8.1333333333333329</v>
      </c>
      <c r="W86" s="1">
        <v>2.8</v>
      </c>
      <c r="X86" s="1">
        <v>1</v>
      </c>
      <c r="Y86" s="1">
        <v>2.4</v>
      </c>
      <c r="Z86" s="1">
        <v>2.4</v>
      </c>
      <c r="AA86" s="1">
        <v>1.4</v>
      </c>
      <c r="AB86" s="1">
        <v>1.6</v>
      </c>
      <c r="AC86" s="1">
        <v>1.6</v>
      </c>
      <c r="AD86" s="1">
        <v>2</v>
      </c>
      <c r="AE86" s="1">
        <v>2.4</v>
      </c>
      <c r="AF86" s="1">
        <v>2.4</v>
      </c>
      <c r="AG86" s="27" t="s">
        <v>166</v>
      </c>
      <c r="AH86" s="1">
        <f t="shared" si="22"/>
        <v>2</v>
      </c>
      <c r="AI86" s="1">
        <f t="shared" si="23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134</v>
      </c>
      <c r="B87" s="1" t="s">
        <v>40</v>
      </c>
      <c r="C87" s="1">
        <v>95</v>
      </c>
      <c r="D87" s="1">
        <v>38</v>
      </c>
      <c r="E87" s="1">
        <v>106</v>
      </c>
      <c r="F87" s="1"/>
      <c r="G87" s="7">
        <v>0.3</v>
      </c>
      <c r="H87" s="1">
        <v>40</v>
      </c>
      <c r="I87" s="1" t="s">
        <v>37</v>
      </c>
      <c r="J87" s="1">
        <v>121</v>
      </c>
      <c r="K87" s="1">
        <f t="shared" si="17"/>
        <v>-15</v>
      </c>
      <c r="L87" s="1">
        <f t="shared" si="18"/>
        <v>106</v>
      </c>
      <c r="M87" s="1"/>
      <c r="N87" s="1">
        <v>71.700000000000017</v>
      </c>
      <c r="O87" s="1"/>
      <c r="P87" s="1">
        <f t="shared" si="19"/>
        <v>21.2</v>
      </c>
      <c r="Q87" s="5">
        <f>9*P87-O87-N87-F87</f>
        <v>119.09999999999997</v>
      </c>
      <c r="R87" s="5"/>
      <c r="S87" s="5"/>
      <c r="T87" s="1"/>
      <c r="U87" s="1">
        <f t="shared" si="20"/>
        <v>9</v>
      </c>
      <c r="V87" s="1">
        <f t="shared" si="21"/>
        <v>3.3820754716981143</v>
      </c>
      <c r="W87" s="1">
        <v>15.4</v>
      </c>
      <c r="X87" s="1">
        <v>12.8</v>
      </c>
      <c r="Y87" s="1">
        <v>15</v>
      </c>
      <c r="Z87" s="1">
        <v>15</v>
      </c>
      <c r="AA87" s="1">
        <v>9</v>
      </c>
      <c r="AB87" s="1">
        <v>9.1999999999999993</v>
      </c>
      <c r="AC87" s="1">
        <v>13.4</v>
      </c>
      <c r="AD87" s="1">
        <v>12.4</v>
      </c>
      <c r="AE87" s="1">
        <v>13.8</v>
      </c>
      <c r="AF87" s="1">
        <v>17.399999999999999</v>
      </c>
      <c r="AG87" s="1"/>
      <c r="AH87" s="1">
        <f t="shared" si="22"/>
        <v>36</v>
      </c>
      <c r="AI87" s="1">
        <f t="shared" si="23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135</v>
      </c>
      <c r="B88" s="1" t="s">
        <v>36</v>
      </c>
      <c r="C88" s="1">
        <v>17.542999999999999</v>
      </c>
      <c r="D88" s="1"/>
      <c r="E88" s="1">
        <v>6.7430000000000003</v>
      </c>
      <c r="F88" s="1">
        <v>6.7889999999999997</v>
      </c>
      <c r="G88" s="7">
        <v>1</v>
      </c>
      <c r="H88" s="1">
        <v>50</v>
      </c>
      <c r="I88" s="1" t="s">
        <v>37</v>
      </c>
      <c r="J88" s="1">
        <v>6.5</v>
      </c>
      <c r="K88" s="1">
        <f t="shared" si="17"/>
        <v>0.24300000000000033</v>
      </c>
      <c r="L88" s="1">
        <f t="shared" si="18"/>
        <v>6.7430000000000003</v>
      </c>
      <c r="M88" s="1"/>
      <c r="N88" s="1">
        <v>0</v>
      </c>
      <c r="O88" s="1"/>
      <c r="P88" s="1">
        <f t="shared" si="19"/>
        <v>1.3486</v>
      </c>
      <c r="Q88" s="5">
        <f t="shared" si="26"/>
        <v>6.697000000000001</v>
      </c>
      <c r="R88" s="5"/>
      <c r="S88" s="5"/>
      <c r="T88" s="1"/>
      <c r="U88" s="1">
        <f t="shared" si="20"/>
        <v>10</v>
      </c>
      <c r="V88" s="1">
        <f t="shared" si="21"/>
        <v>5.0341094468337531</v>
      </c>
      <c r="W88" s="1">
        <v>1.0804</v>
      </c>
      <c r="X88" s="1">
        <v>1.0804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25" t="s">
        <v>136</v>
      </c>
      <c r="AH88" s="1">
        <f t="shared" si="22"/>
        <v>7</v>
      </c>
      <c r="AI88" s="1">
        <f t="shared" si="23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137</v>
      </c>
      <c r="B89" s="1" t="s">
        <v>40</v>
      </c>
      <c r="C89" s="1">
        <v>43</v>
      </c>
      <c r="D89" s="1">
        <v>48</v>
      </c>
      <c r="E89" s="1">
        <v>1</v>
      </c>
      <c r="F89" s="1">
        <v>48</v>
      </c>
      <c r="G89" s="7">
        <v>0.05</v>
      </c>
      <c r="H89" s="1">
        <v>120</v>
      </c>
      <c r="I89" s="1" t="s">
        <v>37</v>
      </c>
      <c r="J89" s="1">
        <v>27</v>
      </c>
      <c r="K89" s="1">
        <f t="shared" si="17"/>
        <v>-26</v>
      </c>
      <c r="L89" s="1">
        <f t="shared" si="18"/>
        <v>1</v>
      </c>
      <c r="M89" s="1"/>
      <c r="N89" s="1">
        <v>0</v>
      </c>
      <c r="O89" s="1"/>
      <c r="P89" s="1">
        <f t="shared" si="19"/>
        <v>0.2</v>
      </c>
      <c r="Q89" s="5"/>
      <c r="R89" s="5"/>
      <c r="S89" s="5"/>
      <c r="T89" s="1"/>
      <c r="U89" s="1">
        <f t="shared" si="20"/>
        <v>240</v>
      </c>
      <c r="V89" s="1">
        <f t="shared" si="21"/>
        <v>240</v>
      </c>
      <c r="W89" s="1">
        <v>6.6</v>
      </c>
      <c r="X89" s="1">
        <v>9.1999999999999993</v>
      </c>
      <c r="Y89" s="1">
        <v>3.8</v>
      </c>
      <c r="Z89" s="1">
        <v>0.8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 t="s">
        <v>138</v>
      </c>
      <c r="AH89" s="1">
        <f t="shared" si="22"/>
        <v>0</v>
      </c>
      <c r="AI89" s="1">
        <f t="shared" si="23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9" t="s">
        <v>139</v>
      </c>
      <c r="B90" s="19" t="s">
        <v>36</v>
      </c>
      <c r="C90" s="19">
        <v>3840.759</v>
      </c>
      <c r="D90" s="19">
        <v>6512.51</v>
      </c>
      <c r="E90" s="19">
        <v>3334.71</v>
      </c>
      <c r="F90" s="19">
        <v>5724.1930000000002</v>
      </c>
      <c r="G90" s="20">
        <v>1</v>
      </c>
      <c r="H90" s="19">
        <v>40</v>
      </c>
      <c r="I90" s="19" t="s">
        <v>37</v>
      </c>
      <c r="J90" s="19">
        <v>3194.8589999999999</v>
      </c>
      <c r="K90" s="19">
        <f t="shared" si="17"/>
        <v>139.85100000000011</v>
      </c>
      <c r="L90" s="19">
        <f t="shared" si="18"/>
        <v>3281.826</v>
      </c>
      <c r="M90" s="19">
        <v>52.884</v>
      </c>
      <c r="N90" s="19">
        <v>1370.2162999999989</v>
      </c>
      <c r="O90" s="19">
        <v>1500</v>
      </c>
      <c r="P90" s="19">
        <f t="shared" si="19"/>
        <v>656.36519999999996</v>
      </c>
      <c r="Q90" s="28">
        <f>14*P90-O90-N90-F90-R90</f>
        <v>114.70349999999962</v>
      </c>
      <c r="R90" s="28">
        <v>480</v>
      </c>
      <c r="S90" s="21"/>
      <c r="T90" s="19"/>
      <c r="U90" s="19">
        <f t="shared" si="20"/>
        <v>13.268699803097421</v>
      </c>
      <c r="V90" s="19">
        <f t="shared" si="21"/>
        <v>13.093944194481974</v>
      </c>
      <c r="W90" s="19">
        <v>1055.3234</v>
      </c>
      <c r="X90" s="19">
        <v>984.75660000000005</v>
      </c>
      <c r="Y90" s="19">
        <v>746.59719999999993</v>
      </c>
      <c r="Z90" s="19">
        <v>732.85320000000002</v>
      </c>
      <c r="AA90" s="19">
        <v>833.77319999999997</v>
      </c>
      <c r="AB90" s="19">
        <v>852.93179999999995</v>
      </c>
      <c r="AC90" s="19">
        <v>1290.4069999999999</v>
      </c>
      <c r="AD90" s="19">
        <v>1456.4558</v>
      </c>
      <c r="AE90" s="19">
        <v>1056.0206000000001</v>
      </c>
      <c r="AF90" s="19">
        <v>1007.1074</v>
      </c>
      <c r="AG90" s="19" t="s">
        <v>151</v>
      </c>
      <c r="AH90" s="1">
        <f t="shared" si="22"/>
        <v>115</v>
      </c>
      <c r="AI90" s="1">
        <f t="shared" si="23"/>
        <v>480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140</v>
      </c>
      <c r="B91" s="1" t="s">
        <v>40</v>
      </c>
      <c r="C91" s="1">
        <v>70</v>
      </c>
      <c r="D91" s="1">
        <v>234</v>
      </c>
      <c r="E91" s="1">
        <v>3</v>
      </c>
      <c r="F91" s="1">
        <v>234</v>
      </c>
      <c r="G91" s="7">
        <v>0.3</v>
      </c>
      <c r="H91" s="1">
        <v>40</v>
      </c>
      <c r="I91" s="1" t="s">
        <v>37</v>
      </c>
      <c r="J91" s="1">
        <v>157</v>
      </c>
      <c r="K91" s="1">
        <f t="shared" si="17"/>
        <v>-154</v>
      </c>
      <c r="L91" s="1">
        <f t="shared" si="18"/>
        <v>3</v>
      </c>
      <c r="M91" s="1"/>
      <c r="N91" s="1">
        <v>78.100000000000023</v>
      </c>
      <c r="O91" s="1"/>
      <c r="P91" s="1">
        <f t="shared" si="19"/>
        <v>0.6</v>
      </c>
      <c r="Q91" s="5"/>
      <c r="R91" s="5"/>
      <c r="S91" s="5"/>
      <c r="T91" s="1"/>
      <c r="U91" s="1">
        <f t="shared" si="20"/>
        <v>520.16666666666674</v>
      </c>
      <c r="V91" s="1">
        <f t="shared" si="21"/>
        <v>520.16666666666674</v>
      </c>
      <c r="W91" s="1">
        <v>32.6</v>
      </c>
      <c r="X91" s="1">
        <v>37.6</v>
      </c>
      <c r="Y91" s="1">
        <v>5.6</v>
      </c>
      <c r="Z91" s="1">
        <v>2.8</v>
      </c>
      <c r="AA91" s="1">
        <v>21.8</v>
      </c>
      <c r="AB91" s="1">
        <v>25.2</v>
      </c>
      <c r="AC91" s="1">
        <v>26.6</v>
      </c>
      <c r="AD91" s="1">
        <v>25.2</v>
      </c>
      <c r="AE91" s="1">
        <v>26.8</v>
      </c>
      <c r="AF91" s="1">
        <v>28</v>
      </c>
      <c r="AG91" s="1"/>
      <c r="AH91" s="1">
        <f t="shared" si="22"/>
        <v>0</v>
      </c>
      <c r="AI91" s="1">
        <f t="shared" si="23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142</v>
      </c>
      <c r="B92" s="1" t="s">
        <v>40</v>
      </c>
      <c r="C92" s="1">
        <v>154</v>
      </c>
      <c r="D92" s="1">
        <v>156</v>
      </c>
      <c r="E92" s="1">
        <v>144</v>
      </c>
      <c r="F92" s="1">
        <v>128</v>
      </c>
      <c r="G92" s="7">
        <v>0.3</v>
      </c>
      <c r="H92" s="1">
        <v>40</v>
      </c>
      <c r="I92" s="1" t="s">
        <v>37</v>
      </c>
      <c r="J92" s="1">
        <v>152</v>
      </c>
      <c r="K92" s="1">
        <f t="shared" si="17"/>
        <v>-8</v>
      </c>
      <c r="L92" s="1">
        <f t="shared" si="18"/>
        <v>144</v>
      </c>
      <c r="M92" s="1"/>
      <c r="N92" s="1">
        <v>0</v>
      </c>
      <c r="O92" s="1"/>
      <c r="P92" s="1">
        <f t="shared" si="19"/>
        <v>28.8</v>
      </c>
      <c r="Q92" s="5">
        <f>11*P92-O92-N92-F92</f>
        <v>188.8</v>
      </c>
      <c r="R92" s="5"/>
      <c r="S92" s="5"/>
      <c r="T92" s="1"/>
      <c r="U92" s="1">
        <f t="shared" si="20"/>
        <v>11</v>
      </c>
      <c r="V92" s="1">
        <f t="shared" si="21"/>
        <v>4.4444444444444446</v>
      </c>
      <c r="W92" s="1">
        <v>21.4</v>
      </c>
      <c r="X92" s="1">
        <v>17.600000000000001</v>
      </c>
      <c r="Y92" s="1">
        <v>23.8</v>
      </c>
      <c r="Z92" s="1">
        <v>25</v>
      </c>
      <c r="AA92" s="1">
        <v>16.8</v>
      </c>
      <c r="AB92" s="1">
        <v>17</v>
      </c>
      <c r="AC92" s="1">
        <v>21</v>
      </c>
      <c r="AD92" s="1">
        <v>21</v>
      </c>
      <c r="AE92" s="1">
        <v>20</v>
      </c>
      <c r="AF92" s="1">
        <v>21.2</v>
      </c>
      <c r="AG92" s="1" t="s">
        <v>143</v>
      </c>
      <c r="AH92" s="1">
        <f t="shared" si="22"/>
        <v>57</v>
      </c>
      <c r="AI92" s="1">
        <f t="shared" si="23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144</v>
      </c>
      <c r="B93" s="1" t="s">
        <v>36</v>
      </c>
      <c r="C93" s="1">
        <v>28.826000000000001</v>
      </c>
      <c r="D93" s="1">
        <v>15.766999999999999</v>
      </c>
      <c r="E93" s="1">
        <v>16.681999999999999</v>
      </c>
      <c r="F93" s="1">
        <v>27.7</v>
      </c>
      <c r="G93" s="7">
        <v>1</v>
      </c>
      <c r="H93" s="1">
        <v>45</v>
      </c>
      <c r="I93" s="1" t="s">
        <v>37</v>
      </c>
      <c r="J93" s="1">
        <v>14.85</v>
      </c>
      <c r="K93" s="1">
        <f t="shared" si="17"/>
        <v>1.831999999999999</v>
      </c>
      <c r="L93" s="1">
        <f t="shared" si="18"/>
        <v>16.681999999999999</v>
      </c>
      <c r="M93" s="1"/>
      <c r="N93" s="1">
        <v>0</v>
      </c>
      <c r="O93" s="1"/>
      <c r="P93" s="1">
        <f t="shared" si="19"/>
        <v>3.3363999999999998</v>
      </c>
      <c r="Q93" s="5">
        <f t="shared" si="26"/>
        <v>5.6639999999999979</v>
      </c>
      <c r="R93" s="5"/>
      <c r="S93" s="5"/>
      <c r="T93" s="1"/>
      <c r="U93" s="1">
        <f t="shared" si="20"/>
        <v>10</v>
      </c>
      <c r="V93" s="1">
        <f t="shared" si="21"/>
        <v>8.30236182711905</v>
      </c>
      <c r="W93" s="1">
        <v>3.3690000000000002</v>
      </c>
      <c r="X93" s="1">
        <v>3.8780000000000001</v>
      </c>
      <c r="Y93" s="1">
        <v>4.3487999999999998</v>
      </c>
      <c r="Z93" s="1">
        <v>4.0377999999999998</v>
      </c>
      <c r="AA93" s="1">
        <v>4.2898000000000014</v>
      </c>
      <c r="AB93" s="1">
        <v>3.4994000000000001</v>
      </c>
      <c r="AC93" s="1">
        <v>4.0082000000000004</v>
      </c>
      <c r="AD93" s="1">
        <v>3.9998</v>
      </c>
      <c r="AE93" s="1">
        <v>1.0733999999999999</v>
      </c>
      <c r="AF93" s="1">
        <v>2.4333999999999998</v>
      </c>
      <c r="AG93" s="1" t="s">
        <v>145</v>
      </c>
      <c r="AH93" s="1">
        <f t="shared" si="22"/>
        <v>6</v>
      </c>
      <c r="AI93" s="1">
        <f t="shared" si="23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146</v>
      </c>
      <c r="B94" s="1" t="s">
        <v>40</v>
      </c>
      <c r="C94" s="1">
        <v>17</v>
      </c>
      <c r="D94" s="1">
        <v>13</v>
      </c>
      <c r="E94" s="1">
        <v>13</v>
      </c>
      <c r="F94" s="1">
        <v>12</v>
      </c>
      <c r="G94" s="7">
        <v>0.33</v>
      </c>
      <c r="H94" s="1">
        <v>40</v>
      </c>
      <c r="I94" s="1" t="s">
        <v>37</v>
      </c>
      <c r="J94" s="1">
        <v>15</v>
      </c>
      <c r="K94" s="1">
        <f t="shared" si="17"/>
        <v>-2</v>
      </c>
      <c r="L94" s="1">
        <f t="shared" si="18"/>
        <v>13</v>
      </c>
      <c r="M94" s="1"/>
      <c r="N94" s="1">
        <v>24.2</v>
      </c>
      <c r="O94" s="1"/>
      <c r="P94" s="1">
        <f t="shared" si="19"/>
        <v>2.6</v>
      </c>
      <c r="Q94" s="5"/>
      <c r="R94" s="5"/>
      <c r="S94" s="5"/>
      <c r="T94" s="1"/>
      <c r="U94" s="1">
        <f t="shared" si="20"/>
        <v>13.923076923076923</v>
      </c>
      <c r="V94" s="1">
        <f t="shared" si="21"/>
        <v>13.923076923076923</v>
      </c>
      <c r="W94" s="1">
        <v>3.6</v>
      </c>
      <c r="X94" s="1">
        <v>2.2000000000000002</v>
      </c>
      <c r="Y94" s="1">
        <v>1.6</v>
      </c>
      <c r="Z94" s="1">
        <v>1.6</v>
      </c>
      <c r="AA94" s="1">
        <v>1</v>
      </c>
      <c r="AB94" s="1">
        <v>1</v>
      </c>
      <c r="AC94" s="1">
        <v>2</v>
      </c>
      <c r="AD94" s="1">
        <v>2.2000000000000002</v>
      </c>
      <c r="AE94" s="1">
        <v>1.2</v>
      </c>
      <c r="AF94" s="1">
        <v>1.4</v>
      </c>
      <c r="AG94" s="1"/>
      <c r="AH94" s="1">
        <f t="shared" si="22"/>
        <v>0</v>
      </c>
      <c r="AI94" s="1">
        <f t="shared" si="23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147</v>
      </c>
      <c r="B95" s="1" t="s">
        <v>40</v>
      </c>
      <c r="C95" s="1">
        <v>33</v>
      </c>
      <c r="D95" s="1">
        <v>30</v>
      </c>
      <c r="E95" s="1">
        <v>26</v>
      </c>
      <c r="F95" s="1">
        <v>34</v>
      </c>
      <c r="G95" s="7">
        <v>0.3</v>
      </c>
      <c r="H95" s="1">
        <v>40</v>
      </c>
      <c r="I95" s="1" t="s">
        <v>37</v>
      </c>
      <c r="J95" s="1">
        <v>25</v>
      </c>
      <c r="K95" s="1">
        <f t="shared" si="17"/>
        <v>1</v>
      </c>
      <c r="L95" s="1">
        <f t="shared" si="18"/>
        <v>26</v>
      </c>
      <c r="M95" s="1"/>
      <c r="N95" s="1">
        <v>0</v>
      </c>
      <c r="O95" s="1"/>
      <c r="P95" s="1">
        <f t="shared" si="19"/>
        <v>5.2</v>
      </c>
      <c r="Q95" s="5">
        <f t="shared" si="26"/>
        <v>18</v>
      </c>
      <c r="R95" s="5"/>
      <c r="S95" s="5"/>
      <c r="T95" s="1"/>
      <c r="U95" s="1">
        <f t="shared" si="20"/>
        <v>10</v>
      </c>
      <c r="V95" s="1">
        <f t="shared" si="21"/>
        <v>6.5384615384615383</v>
      </c>
      <c r="W95" s="1">
        <v>2.6</v>
      </c>
      <c r="X95" s="1">
        <v>1.8</v>
      </c>
      <c r="Y95" s="1">
        <v>1.4</v>
      </c>
      <c r="Z95" s="1">
        <v>2</v>
      </c>
      <c r="AA95" s="1">
        <v>3</v>
      </c>
      <c r="AB95" s="1">
        <v>3.2</v>
      </c>
      <c r="AC95" s="1">
        <v>1.2</v>
      </c>
      <c r="AD95" s="1">
        <v>0</v>
      </c>
      <c r="AE95" s="1">
        <v>0</v>
      </c>
      <c r="AF95" s="1">
        <v>0</v>
      </c>
      <c r="AG95" s="25" t="s">
        <v>136</v>
      </c>
      <c r="AH95" s="1">
        <f t="shared" si="22"/>
        <v>5</v>
      </c>
      <c r="AI95" s="1">
        <f t="shared" si="23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0" t="s">
        <v>148</v>
      </c>
      <c r="B96" s="10" t="s">
        <v>40</v>
      </c>
      <c r="C96" s="10">
        <v>125</v>
      </c>
      <c r="D96" s="10">
        <v>31</v>
      </c>
      <c r="E96" s="10">
        <v>39</v>
      </c>
      <c r="F96" s="10">
        <v>117</v>
      </c>
      <c r="G96" s="11">
        <v>0</v>
      </c>
      <c r="H96" s="10" t="e">
        <v>#N/A</v>
      </c>
      <c r="I96" s="10" t="s">
        <v>41</v>
      </c>
      <c r="J96" s="10">
        <v>62</v>
      </c>
      <c r="K96" s="10">
        <f t="shared" si="17"/>
        <v>-23</v>
      </c>
      <c r="L96" s="10">
        <f t="shared" si="18"/>
        <v>39</v>
      </c>
      <c r="M96" s="10"/>
      <c r="N96" s="10">
        <v>0</v>
      </c>
      <c r="O96" s="10"/>
      <c r="P96" s="10">
        <f t="shared" si="19"/>
        <v>7.8</v>
      </c>
      <c r="Q96" s="12"/>
      <c r="R96" s="12"/>
      <c r="S96" s="12"/>
      <c r="T96" s="10"/>
      <c r="U96" s="10">
        <f t="shared" si="20"/>
        <v>15</v>
      </c>
      <c r="V96" s="10">
        <f t="shared" si="21"/>
        <v>15</v>
      </c>
      <c r="W96" s="10">
        <v>46.6</v>
      </c>
      <c r="X96" s="10">
        <v>69</v>
      </c>
      <c r="Y96" s="10">
        <v>58</v>
      </c>
      <c r="Z96" s="10">
        <v>2.8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3" t="s">
        <v>149</v>
      </c>
      <c r="AH96" s="1">
        <f t="shared" si="22"/>
        <v>0</v>
      </c>
      <c r="AI96" s="1">
        <f t="shared" si="23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150</v>
      </c>
      <c r="B97" s="1" t="s">
        <v>40</v>
      </c>
      <c r="C97" s="1"/>
      <c r="D97" s="1">
        <v>126</v>
      </c>
      <c r="E97" s="1">
        <v>7</v>
      </c>
      <c r="F97" s="1">
        <v>119</v>
      </c>
      <c r="G97" s="7">
        <v>0.12</v>
      </c>
      <c r="H97" s="1">
        <v>45</v>
      </c>
      <c r="I97" s="1" t="s">
        <v>37</v>
      </c>
      <c r="J97" s="1">
        <v>9</v>
      </c>
      <c r="K97" s="1">
        <f t="shared" si="17"/>
        <v>-2</v>
      </c>
      <c r="L97" s="1">
        <f t="shared" si="18"/>
        <v>7</v>
      </c>
      <c r="M97" s="1"/>
      <c r="N97" s="1">
        <v>0</v>
      </c>
      <c r="O97" s="1"/>
      <c r="P97" s="1">
        <f t="shared" si="19"/>
        <v>1.4</v>
      </c>
      <c r="Q97" s="5"/>
      <c r="R97" s="5"/>
      <c r="S97" s="5"/>
      <c r="T97" s="1"/>
      <c r="U97" s="1">
        <f t="shared" si="20"/>
        <v>85</v>
      </c>
      <c r="V97" s="1">
        <f t="shared" si="21"/>
        <v>85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 t="s">
        <v>138</v>
      </c>
      <c r="AH97" s="1">
        <f t="shared" si="22"/>
        <v>0</v>
      </c>
      <c r="AI97" s="1">
        <f t="shared" si="23"/>
        <v>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</sheetData>
  <autoFilter ref="A3:AH97" xr:uid="{15BF6CD2-8B41-48B4-BB66-22214362823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2025-04-23T12:23:28Z</dcterms:created>
  <dcterms:modified xsi:type="dcterms:W3CDTF">2025-04-24T07:38:49Z</dcterms:modified>
</cp:coreProperties>
</file>