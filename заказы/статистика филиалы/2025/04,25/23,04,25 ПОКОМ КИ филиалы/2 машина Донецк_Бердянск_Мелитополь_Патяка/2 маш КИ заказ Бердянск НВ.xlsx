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EFF03F09-E033-420C-817D-1120223C43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26" i="1"/>
  <c r="Z147" i="1"/>
  <c r="Z398" i="1"/>
  <c r="Z77" i="1"/>
  <c r="Z246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Y598" i="1" s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Z241" i="1" s="1"/>
  <c r="BP240" i="1"/>
  <c r="BN240" i="1"/>
  <c r="Z240" i="1"/>
  <c r="Y242" i="1"/>
  <c r="BP245" i="1"/>
  <c r="BN245" i="1"/>
  <c r="Z245" i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52" i="1"/>
  <c r="Z523" i="1"/>
  <c r="Z340" i="1"/>
  <c r="Z258" i="1"/>
  <c r="Z224" i="1"/>
  <c r="Z378" i="1"/>
  <c r="Z570" i="1"/>
  <c r="Z502" i="1"/>
  <c r="Z466" i="1"/>
  <c r="Z393" i="1"/>
  <c r="Z361" i="1"/>
  <c r="Z472" i="1"/>
  <c r="Z158" i="1"/>
  <c r="Z110" i="1"/>
  <c r="Z83" i="1"/>
  <c r="Z601" i="1" s="1"/>
  <c r="Y600" i="1"/>
  <c r="Z427" i="1"/>
  <c r="Z180" i="1"/>
  <c r="Y596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<sst xmlns="http://schemas.openxmlformats.org/spreadsheetml/2006/main" count="2760" uniqueCount="998">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</sst>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8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86</v>
      </c>
      <c r="Y37" s="668">
        <f>IFERROR(IF(X37="",0,CEILING((X37/$H37),1)*$H37),"")</f>
        <v>86.4</v>
      </c>
      <c r="Z37" s="36">
        <f>IFERROR(IF(Y37=0,"",ROUNDUP(Y37/H37,0)*0.01898),"")</f>
        <v>0.15184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89.463888888888874</v>
      </c>
      <c r="BN37" s="64">
        <f>IFERROR(Y37*I37/H37,"0")</f>
        <v>89.88</v>
      </c>
      <c r="BO37" s="64">
        <f>IFERROR(1/J37*(X37/H37),"0")</f>
        <v>0.12442129629629629</v>
      </c>
      <c r="BP37" s="64">
        <f>IFERROR(1/J37*(Y37/H37),"0")</f>
        <v>0.125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7.9629629629629628</v>
      </c>
      <c r="Y41" s="669">
        <f>IFERROR(Y37/H37,"0")+IFERROR(Y38/H38,"0")+IFERROR(Y39/H39,"0")+IFERROR(Y40/H40,"0")</f>
        <v>8</v>
      </c>
      <c r="Z41" s="669">
        <f>IFERROR(IF(Z37="",0,Z37),"0")+IFERROR(IF(Z38="",0,Z38),"0")+IFERROR(IF(Z39="",0,Z39),"0")+IFERROR(IF(Z40="",0,Z40),"0")</f>
        <v>0.15184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86</v>
      </c>
      <c r="Y42" s="669">
        <f>IFERROR(SUM(Y37:Y40),"0")</f>
        <v>86.4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13</v>
      </c>
      <c r="Y72" s="668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13.673214285714288</v>
      </c>
      <c r="BN72" s="64">
        <f t="shared" si="13"/>
        <v>17.670000000000002</v>
      </c>
      <c r="BO72" s="64">
        <f t="shared" si="14"/>
        <v>2.4181547619047616E-2</v>
      </c>
      <c r="BP72" s="64">
        <f t="shared" si="15"/>
        <v>3.125E-2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1.5476190476190474</v>
      </c>
      <c r="Y77" s="669">
        <f>IFERROR(Y71/H71,"0")+IFERROR(Y72/H72,"0")+IFERROR(Y73/H73,"0")+IFERROR(Y74/H74,"0")+IFERROR(Y75/H75,"0")+IFERROR(Y76/H76,"0")</f>
        <v>2</v>
      </c>
      <c r="Z77" s="669">
        <f>IFERROR(IF(Z71="",0,Z71),"0")+IFERROR(IF(Z72="",0,Z72),"0")+IFERROR(IF(Z73="",0,Z73),"0")+IFERROR(IF(Z74="",0,Z74),"0")+IFERROR(IF(Z75="",0,Z75),"0")+IFERROR(IF(Z76="",0,Z76),"0")</f>
        <v>3.7960000000000001E-2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13</v>
      </c>
      <c r="Y78" s="669">
        <f>IFERROR(SUM(Y71:Y76),"0")</f>
        <v>16.8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117</v>
      </c>
      <c r="Y87" s="668">
        <f>IFERROR(IF(X87="",0,CEILING((X87/$H87),1)*$H87),"")</f>
        <v>118.80000000000001</v>
      </c>
      <c r="Z87" s="36">
        <f>IFERROR(IF(Y87=0,"",ROUNDUP(Y87/H87,0)*0.01898),"")</f>
        <v>0.20877999999999999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121.71249999999998</v>
      </c>
      <c r="BN87" s="64">
        <f>IFERROR(Y87*I87/H87,"0")</f>
        <v>123.58499999999999</v>
      </c>
      <c r="BO87" s="64">
        <f>IFERROR(1/J87*(X87/H87),"0")</f>
        <v>0.16927083333333331</v>
      </c>
      <c r="BP87" s="64">
        <f>IFERROR(1/J87*(Y87/H87),"0")</f>
        <v>0.171875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36</v>
      </c>
      <c r="Y89" s="668">
        <f>IFERROR(IF(X89="",0,CEILING((X89/$H89),1)*$H89),"")</f>
        <v>36</v>
      </c>
      <c r="Z89" s="36">
        <f>IFERROR(IF(Y89=0,"",ROUNDUP(Y89/H89,0)*0.00902),"")</f>
        <v>7.2160000000000002E-2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37.68</v>
      </c>
      <c r="BN89" s="64">
        <f>IFERROR(Y89*I89/H89,"0")</f>
        <v>37.68</v>
      </c>
      <c r="BO89" s="64">
        <f>IFERROR(1/J89*(X89/H89),"0")</f>
        <v>6.0606060606060608E-2</v>
      </c>
      <c r="BP89" s="64">
        <f>IFERROR(1/J89*(Y89/H89),"0")</f>
        <v>6.0606060606060608E-2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18.833333333333332</v>
      </c>
      <c r="Y90" s="669">
        <f>IFERROR(Y87/H87,"0")+IFERROR(Y88/H88,"0")+IFERROR(Y89/H89,"0")</f>
        <v>19</v>
      </c>
      <c r="Z90" s="669">
        <f>IFERROR(IF(Z87="",0,Z87),"0")+IFERROR(IF(Z88="",0,Z88),"0")+IFERROR(IF(Z89="",0,Z89),"0")</f>
        <v>0.28093999999999997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153</v>
      </c>
      <c r="Y91" s="669">
        <f>IFERROR(SUM(Y87:Y89),"0")</f>
        <v>154.80000000000001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21</v>
      </c>
      <c r="Y100" s="668">
        <f t="shared" si="16"/>
        <v>21.6</v>
      </c>
      <c r="Z100" s="36">
        <f>IFERROR(IF(Y100=0,"",ROUNDUP(Y100/H100,0)*0.00902),"")</f>
        <v>7.2160000000000002E-2</v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23.24</v>
      </c>
      <c r="BN100" s="64">
        <f t="shared" si="18"/>
        <v>23.904</v>
      </c>
      <c r="BO100" s="64">
        <f t="shared" si="19"/>
        <v>5.8922558922558925E-2</v>
      </c>
      <c r="BP100" s="64">
        <f t="shared" si="20"/>
        <v>6.0606060606060608E-2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7.7777777777777777</v>
      </c>
      <c r="Y102" s="669">
        <f>IFERROR(Y93/H93,"0")+IFERROR(Y94/H94,"0")+IFERROR(Y95/H95,"0")+IFERROR(Y96/H96,"0")+IFERROR(Y97/H97,"0")+IFERROR(Y98/H98,"0")+IFERROR(Y99/H99,"0")+IFERROR(Y100/H100,"0")+IFERROR(Y101/H101,"0")</f>
        <v>8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7.2160000000000002E-2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21</v>
      </c>
      <c r="Y103" s="669">
        <f>IFERROR(SUM(Y93:Y101),"0")</f>
        <v>21.6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147</v>
      </c>
      <c r="Y106" s="668">
        <f>IFERROR(IF(X106="",0,CEILING((X106/$H106),1)*$H106),"")</f>
        <v>151.20000000000002</v>
      </c>
      <c r="Z106" s="36">
        <f>IFERROR(IF(Y106=0,"",ROUNDUP(Y106/H106,0)*0.01898),"")</f>
        <v>0.26572000000000001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152.92083333333332</v>
      </c>
      <c r="BN106" s="64">
        <f>IFERROR(Y106*I106/H106,"0")</f>
        <v>157.29000000000002</v>
      </c>
      <c r="BO106" s="64">
        <f>IFERROR(1/J106*(X106/H106),"0")</f>
        <v>0.2126736111111111</v>
      </c>
      <c r="BP106" s="64">
        <f>IFERROR(1/J106*(Y106/H106),"0")</f>
        <v>0.21875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9</v>
      </c>
      <c r="Y108" s="668">
        <f>IFERROR(IF(X108="",0,CEILING((X108/$H108),1)*$H108),"")</f>
        <v>9</v>
      </c>
      <c r="Z108" s="36">
        <f>IFERROR(IF(Y108=0,"",ROUNDUP(Y108/H108,0)*0.00902),"")</f>
        <v>1.804E-2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9.42</v>
      </c>
      <c r="BN108" s="64">
        <f>IFERROR(Y108*I108/H108,"0")</f>
        <v>9.42</v>
      </c>
      <c r="BO108" s="64">
        <f>IFERROR(1/J108*(X108/H108),"0")</f>
        <v>1.5151515151515152E-2</v>
      </c>
      <c r="BP108" s="64">
        <f>IFERROR(1/J108*(Y108/H108),"0")</f>
        <v>1.5151515151515152E-2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15.611111111111111</v>
      </c>
      <c r="Y110" s="669">
        <f>IFERROR(Y106/H106,"0")+IFERROR(Y107/H107,"0")+IFERROR(Y108/H108,"0")+IFERROR(Y109/H109,"0")</f>
        <v>16</v>
      </c>
      <c r="Z110" s="669">
        <f>IFERROR(IF(Z106="",0,Z106),"0")+IFERROR(IF(Z107="",0,Z107),"0")+IFERROR(IF(Z108="",0,Z108),"0")+IFERROR(IF(Z109="",0,Z109),"0")</f>
        <v>0.28376000000000001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156</v>
      </c>
      <c r="Y111" s="669">
        <f>IFERROR(SUM(Y106:Y109),"0")</f>
        <v>160.20000000000002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69</v>
      </c>
      <c r="Y113" s="668">
        <f>IFERROR(IF(X113="",0,CEILING((X113/$H113),1)*$H113),"")</f>
        <v>75.600000000000009</v>
      </c>
      <c r="Z113" s="36">
        <f>IFERROR(IF(Y113=0,"",ROUNDUP(Y113/H113,0)*0.01898),"")</f>
        <v>0.13286000000000001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71.779166666666654</v>
      </c>
      <c r="BN113" s="64">
        <f>IFERROR(Y113*I113/H113,"0")</f>
        <v>78.64500000000001</v>
      </c>
      <c r="BO113" s="64">
        <f>IFERROR(1/J113*(X113/H113),"0")</f>
        <v>9.9826388888888881E-2</v>
      </c>
      <c r="BP113" s="64">
        <f>IFERROR(1/J113*(Y113/H113),"0")</f>
        <v>0.109375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23</v>
      </c>
      <c r="Y115" s="668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24.725000000000001</v>
      </c>
      <c r="BN115" s="64">
        <f>IFERROR(Y115*I115/H115,"0")</f>
        <v>25.8</v>
      </c>
      <c r="BO115" s="64">
        <f>IFERROR(1/J115*(X115/H115),"0")</f>
        <v>5.2655677655677663E-2</v>
      </c>
      <c r="BP115" s="64">
        <f>IFERROR(1/J115*(Y115/H115),"0")</f>
        <v>5.4945054945054951E-2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15.972222222222221</v>
      </c>
      <c r="Y116" s="669">
        <f>IFERROR(Y113/H113,"0")+IFERROR(Y114/H114,"0")+IFERROR(Y115/H115,"0")</f>
        <v>17</v>
      </c>
      <c r="Z116" s="669">
        <f>IFERROR(IF(Z113="",0,Z113),"0")+IFERROR(IF(Z114="",0,Z114),"0")+IFERROR(IF(Z115="",0,Z115),"0")</f>
        <v>0.19796000000000002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92</v>
      </c>
      <c r="Y117" s="669">
        <f>IFERROR(SUM(Y113:Y115),"0")</f>
        <v>99.600000000000009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68</v>
      </c>
      <c r="Y123" s="668">
        <f t="shared" si="21"/>
        <v>70.2</v>
      </c>
      <c r="Z123" s="36">
        <f>IFERROR(IF(Y123=0,"",ROUNDUP(Y123/H123,0)*0.00651),"")</f>
        <v>0.16925999999999999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74.346666666666664</v>
      </c>
      <c r="BN123" s="64">
        <f t="shared" si="23"/>
        <v>76.751999999999995</v>
      </c>
      <c r="BO123" s="64">
        <f t="shared" si="24"/>
        <v>0.13838013838013838</v>
      </c>
      <c r="BP123" s="64">
        <f t="shared" si="25"/>
        <v>0.14285714285714288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25.185185185185183</v>
      </c>
      <c r="Y126" s="669">
        <f>IFERROR(Y119/H119,"0")+IFERROR(Y120/H120,"0")+IFERROR(Y121/H121,"0")+IFERROR(Y122/H122,"0")+IFERROR(Y123/H123,"0")+IFERROR(Y124/H124,"0")+IFERROR(Y125/H125,"0")</f>
        <v>26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0.16925999999999999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68</v>
      </c>
      <c r="Y127" s="669">
        <f>IFERROR(SUM(Y119:Y125),"0")</f>
        <v>70.2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126</v>
      </c>
      <c r="Y174" s="668">
        <f t="shared" si="26"/>
        <v>126</v>
      </c>
      <c r="Z174" s="36">
        <f>IFERROR(IF(Y174=0,"",ROUNDUP(Y174/H174,0)*0.00502),"")</f>
        <v>0.30120000000000002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133.80000000000001</v>
      </c>
      <c r="BN174" s="64">
        <f t="shared" si="28"/>
        <v>133.80000000000001</v>
      </c>
      <c r="BO174" s="64">
        <f t="shared" si="29"/>
        <v>0.25641025641025644</v>
      </c>
      <c r="BP174" s="64">
        <f t="shared" si="30"/>
        <v>0.25641025641025644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119</v>
      </c>
      <c r="Y177" s="668">
        <f t="shared" si="26"/>
        <v>119.7</v>
      </c>
      <c r="Z177" s="36">
        <f>IFERROR(IF(Y177=0,"",ROUNDUP(Y177/H177,0)*0.00502),"")</f>
        <v>0.28614000000000001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124.66666666666667</v>
      </c>
      <c r="BN177" s="64">
        <f t="shared" si="28"/>
        <v>125.4</v>
      </c>
      <c r="BO177" s="64">
        <f t="shared" si="29"/>
        <v>0.24216524216524218</v>
      </c>
      <c r="BP177" s="64">
        <f t="shared" si="30"/>
        <v>0.24358974358974361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116.66666666666666</v>
      </c>
      <c r="Y180" s="669">
        <f>IFERROR(Y171/H171,"0")+IFERROR(Y172/H172,"0")+IFERROR(Y173/H173,"0")+IFERROR(Y174/H174,"0")+IFERROR(Y175/H175,"0")+IFERROR(Y176/H176,"0")+IFERROR(Y177/H177,"0")+IFERROR(Y178/H178,"0")+IFERROR(Y179/H179,"0")</f>
        <v>117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0.58733999999999997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245</v>
      </c>
      <c r="Y181" s="669">
        <f>IFERROR(SUM(Y171:Y179),"0")</f>
        <v>245.7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88</v>
      </c>
      <c r="Y205" s="668">
        <f t="shared" si="31"/>
        <v>91.800000000000011</v>
      </c>
      <c r="Z205" s="36">
        <f>IFERROR(IF(Y205=0,"",ROUNDUP(Y205/H205,0)*0.00902),"")</f>
        <v>0.15334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91.422222222222217</v>
      </c>
      <c r="BN205" s="64">
        <f t="shared" si="33"/>
        <v>95.37</v>
      </c>
      <c r="BO205" s="64">
        <f t="shared" si="34"/>
        <v>0.12345679012345678</v>
      </c>
      <c r="BP205" s="64">
        <f t="shared" si="35"/>
        <v>0.12878787878787878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101</v>
      </c>
      <c r="Y207" s="668">
        <f t="shared" si="31"/>
        <v>102.60000000000001</v>
      </c>
      <c r="Z207" s="36">
        <f>IFERROR(IF(Y207=0,"",ROUNDUP(Y207/H207,0)*0.00902),"")</f>
        <v>0.17138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104.92777777777778</v>
      </c>
      <c r="BN207" s="64">
        <f t="shared" si="33"/>
        <v>106.59000000000002</v>
      </c>
      <c r="BO207" s="64">
        <f t="shared" si="34"/>
        <v>0.14169472502805835</v>
      </c>
      <c r="BP207" s="64">
        <f t="shared" si="35"/>
        <v>0.14393939393939395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20</v>
      </c>
      <c r="Y208" s="668">
        <f t="shared" si="31"/>
        <v>21.6</v>
      </c>
      <c r="Z208" s="36">
        <f>IFERROR(IF(Y208=0,"",ROUNDUP(Y208/H208,0)*0.00502),"")</f>
        <v>6.0240000000000002E-2</v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21.444444444444446</v>
      </c>
      <c r="BN208" s="64">
        <f t="shared" si="33"/>
        <v>23.16</v>
      </c>
      <c r="BO208" s="64">
        <f t="shared" si="34"/>
        <v>4.7483380816714153E-2</v>
      </c>
      <c r="BP208" s="64">
        <f t="shared" si="35"/>
        <v>5.1282051282051287E-2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37</v>
      </c>
      <c r="Y211" s="668">
        <f t="shared" si="31"/>
        <v>37.800000000000004</v>
      </c>
      <c r="Z211" s="36">
        <f>IFERROR(IF(Y211=0,"",ROUNDUP(Y211/H211,0)*0.00502),"")</f>
        <v>0.10542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39.05555555555555</v>
      </c>
      <c r="BN211" s="64">
        <f t="shared" si="33"/>
        <v>39.900000000000006</v>
      </c>
      <c r="BO211" s="64">
        <f t="shared" si="34"/>
        <v>8.7844254510921177E-2</v>
      </c>
      <c r="BP211" s="64">
        <f t="shared" si="35"/>
        <v>8.9743589743589772E-2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66.666666666666671</v>
      </c>
      <c r="Y212" s="669">
        <f>IFERROR(Y204/H204,"0")+IFERROR(Y205/H205,"0")+IFERROR(Y206/H206,"0")+IFERROR(Y207/H207,"0")+IFERROR(Y208/H208,"0")+IFERROR(Y209/H209,"0")+IFERROR(Y210/H210,"0")+IFERROR(Y211/H211,"0")</f>
        <v>69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0.49038000000000004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246</v>
      </c>
      <c r="Y213" s="669">
        <f>IFERROR(SUM(Y204:Y211),"0")</f>
        <v>253.80000000000004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48</v>
      </c>
      <c r="Y217" s="668">
        <f t="shared" si="36"/>
        <v>52.199999999999996</v>
      </c>
      <c r="Z217" s="36">
        <f>IFERROR(IF(Y217=0,"",ROUNDUP(Y217/H217,0)*0.01898),"")</f>
        <v>0.11388000000000001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50.863448275862069</v>
      </c>
      <c r="BN217" s="64">
        <f t="shared" si="38"/>
        <v>55.313999999999993</v>
      </c>
      <c r="BO217" s="64">
        <f t="shared" si="39"/>
        <v>8.6206896551724144E-2</v>
      </c>
      <c r="BP217" s="64">
        <f t="shared" si="40"/>
        <v>9.375E-2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60</v>
      </c>
      <c r="Y220" s="668">
        <f t="shared" si="36"/>
        <v>60</v>
      </c>
      <c r="Z220" s="36">
        <f t="shared" si="41"/>
        <v>0.16275000000000001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66.300000000000011</v>
      </c>
      <c r="BN220" s="64">
        <f t="shared" si="38"/>
        <v>66.300000000000011</v>
      </c>
      <c r="BO220" s="64">
        <f t="shared" si="39"/>
        <v>0.13736263736263737</v>
      </c>
      <c r="BP220" s="64">
        <f t="shared" si="40"/>
        <v>0.13736263736263737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60</v>
      </c>
      <c r="Y221" s="668">
        <f t="shared" si="36"/>
        <v>60</v>
      </c>
      <c r="Z221" s="36">
        <f t="shared" si="41"/>
        <v>0.16275000000000001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66.300000000000011</v>
      </c>
      <c r="BN221" s="64">
        <f t="shared" si="38"/>
        <v>66.300000000000011</v>
      </c>
      <c r="BO221" s="64">
        <f t="shared" si="39"/>
        <v>0.13736263736263737</v>
      </c>
      <c r="BP221" s="64">
        <f t="shared" si="40"/>
        <v>0.13736263736263737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80</v>
      </c>
      <c r="Y222" s="668">
        <f t="shared" si="36"/>
        <v>81.599999999999994</v>
      </c>
      <c r="Z222" s="36">
        <f t="shared" si="41"/>
        <v>0.22134000000000001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88.40000000000002</v>
      </c>
      <c r="BN222" s="64">
        <f t="shared" si="38"/>
        <v>90.168000000000006</v>
      </c>
      <c r="BO222" s="64">
        <f t="shared" si="39"/>
        <v>0.18315018315018317</v>
      </c>
      <c r="BP222" s="64">
        <f t="shared" si="40"/>
        <v>0.18681318681318682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39</v>
      </c>
      <c r="Y223" s="668">
        <f t="shared" si="36"/>
        <v>40.799999999999997</v>
      </c>
      <c r="Z223" s="36">
        <f t="shared" si="41"/>
        <v>0.11067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43.192499999999995</v>
      </c>
      <c r="BN223" s="64">
        <f t="shared" si="38"/>
        <v>45.185999999999993</v>
      </c>
      <c r="BO223" s="64">
        <f t="shared" si="39"/>
        <v>8.9285714285714288E-2</v>
      </c>
      <c r="BP223" s="64">
        <f t="shared" si="40"/>
        <v>9.3406593406593408E-2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105.10057471264369</v>
      </c>
      <c r="Y224" s="669">
        <f>IFERROR(Y215/H215,"0")+IFERROR(Y216/H216,"0")+IFERROR(Y217/H217,"0")+IFERROR(Y218/H218,"0")+IFERROR(Y219/H219,"0")+IFERROR(Y220/H220,"0")+IFERROR(Y221/H221,"0")+IFERROR(Y222/H222,"0")+IFERROR(Y223/H223,"0")</f>
        <v>107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0.77139000000000013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287</v>
      </c>
      <c r="Y225" s="669">
        <f>IFERROR(SUM(Y215:Y223),"0")</f>
        <v>294.59999999999997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42</v>
      </c>
      <c r="Y227" s="668">
        <f>IFERROR(IF(X227="",0,CEILING((X227/$H227),1)*$H227),"")</f>
        <v>43.199999999999996</v>
      </c>
      <c r="Z227" s="36">
        <f>IFERROR(IF(Y227=0,"",ROUNDUP(Y227/H227,0)*0.00651),"")</f>
        <v>0.11718000000000001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46.410000000000004</v>
      </c>
      <c r="BN227" s="64">
        <f>IFERROR(Y227*I227/H227,"0")</f>
        <v>47.736000000000004</v>
      </c>
      <c r="BO227" s="64">
        <f>IFERROR(1/J227*(X227/H227),"0")</f>
        <v>9.6153846153846159E-2</v>
      </c>
      <c r="BP227" s="64">
        <f>IFERROR(1/J227*(Y227/H227),"0")</f>
        <v>9.8901098901098911E-2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12</v>
      </c>
      <c r="Y228" s="668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22.5</v>
      </c>
      <c r="Y229" s="669">
        <f>IFERROR(Y227/H227,"0")+IFERROR(Y228/H228,"0")</f>
        <v>23</v>
      </c>
      <c r="Z229" s="669">
        <f>IFERROR(IF(Z227="",0,Z227),"0")+IFERROR(IF(Z228="",0,Z228),"0")</f>
        <v>0.14973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54</v>
      </c>
      <c r="Y230" s="669">
        <f>IFERROR(SUM(Y227:Y228),"0")</f>
        <v>55.199999999999996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54</v>
      </c>
      <c r="Y287" s="668">
        <f>IFERROR(IF(X287="",0,CEILING((X287/$H287),1)*$H287),"")</f>
        <v>55.199999999999996</v>
      </c>
      <c r="Z287" s="36">
        <f>IFERROR(IF(Y287=0,"",ROUNDUP(Y287/H287,0)*0.00651),"")</f>
        <v>0.14973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59.67</v>
      </c>
      <c r="BN287" s="64">
        <f>IFERROR(Y287*I287/H287,"0")</f>
        <v>60.996000000000002</v>
      </c>
      <c r="BO287" s="64">
        <f>IFERROR(1/J287*(X287/H287),"0")</f>
        <v>0.12362637362637363</v>
      </c>
      <c r="BP287" s="64">
        <f>IFERROR(1/J287*(Y287/H287),"0")</f>
        <v>0.1263736263736264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30</v>
      </c>
      <c r="Y288" s="668">
        <f>IFERROR(IF(X288="",0,CEILING((X288/$H288),1)*$H288),"")</f>
        <v>31.2</v>
      </c>
      <c r="Z288" s="36">
        <f>IFERROR(IF(Y288=0,"",ROUNDUP(Y288/H288,0)*0.00651),"")</f>
        <v>8.4629999999999997E-2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32.250000000000007</v>
      </c>
      <c r="BN288" s="64">
        <f>IFERROR(Y288*I288/H288,"0")</f>
        <v>33.54</v>
      </c>
      <c r="BO288" s="64">
        <f>IFERROR(1/J288*(X288/H288),"0")</f>
        <v>6.8681318681318687E-2</v>
      </c>
      <c r="BP288" s="64">
        <f>IFERROR(1/J288*(Y288/H288),"0")</f>
        <v>7.1428571428571438E-2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35</v>
      </c>
      <c r="Y290" s="669">
        <f>IFERROR(Y285/H285,"0")+IFERROR(Y286/H286,"0")+IFERROR(Y287/H287,"0")+IFERROR(Y288/H288,"0")+IFERROR(Y289/H289,"0")</f>
        <v>36</v>
      </c>
      <c r="Z290" s="669">
        <f>IFERROR(IF(Z285="",0,Z285),"0")+IFERROR(IF(Z286="",0,Z286),"0")+IFERROR(IF(Z287="",0,Z287),"0")+IFERROR(IF(Z288="",0,Z288),"0")+IFERROR(IF(Z289="",0,Z289),"0")</f>
        <v>0.23436000000000001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84</v>
      </c>
      <c r="Y291" s="669">
        <f>IFERROR(SUM(Y285:Y289),"0")</f>
        <v>86.399999999999991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23</v>
      </c>
      <c r="Y353" s="668">
        <f>IFERROR(IF(X353="",0,CEILING((X353/$H353),1)*$H353),"")</f>
        <v>25.200000000000003</v>
      </c>
      <c r="Z353" s="36">
        <f>IFERROR(IF(Y353=0,"",ROUNDUP(Y353/H353,0)*0.01898),"")</f>
        <v>5.6940000000000004E-2</v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24.421071428571427</v>
      </c>
      <c r="BN353" s="64">
        <f>IFERROR(Y353*I353/H353,"0")</f>
        <v>26.757000000000001</v>
      </c>
      <c r="BO353" s="64">
        <f>IFERROR(1/J353*(X353/H353),"0")</f>
        <v>4.2782738095238096E-2</v>
      </c>
      <c r="BP353" s="64">
        <f>IFERROR(1/J353*(Y353/H353),"0")</f>
        <v>4.6875E-2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2.7380952380952381</v>
      </c>
      <c r="Y354" s="669">
        <f>IFERROR(Y351/H351,"0")+IFERROR(Y352/H352,"0")+IFERROR(Y353/H353,"0")</f>
        <v>3</v>
      </c>
      <c r="Z354" s="669">
        <f>IFERROR(IF(Z351="",0,Z351),"0")+IFERROR(IF(Z352="",0,Z352),"0")+IFERROR(IF(Z353="",0,Z353),"0")</f>
        <v>5.6940000000000004E-2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23</v>
      </c>
      <c r="Y355" s="669">
        <f>IFERROR(SUM(Y351:Y353),"0")</f>
        <v>25.200000000000003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947</v>
      </c>
      <c r="Y383" s="668">
        <f t="shared" ref="Y383:Y392" si="57">IFERROR(IF(X383="",0,CEILING((X383/$H383),1)*$H383),"")</f>
        <v>960</v>
      </c>
      <c r="Z383" s="36">
        <f>IFERROR(IF(Y383=0,"",ROUNDUP(Y383/H383,0)*0.02175),"")</f>
        <v>1.3919999999999999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977.30400000000009</v>
      </c>
      <c r="BN383" s="64">
        <f t="shared" ref="BN383:BN392" si="59">IFERROR(Y383*I383/H383,"0")</f>
        <v>990.72</v>
      </c>
      <c r="BO383" s="64">
        <f t="shared" ref="BO383:BO392" si="60">IFERROR(1/J383*(X383/H383),"0")</f>
        <v>1.3152777777777778</v>
      </c>
      <c r="BP383" s="64">
        <f t="shared" ref="BP383:BP392" si="61">IFERROR(1/J383*(Y383/H383),"0")</f>
        <v>1.3333333333333333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517</v>
      </c>
      <c r="Y387" s="668">
        <f t="shared" si="57"/>
        <v>525</v>
      </c>
      <c r="Z387" s="36">
        <f>IFERROR(IF(Y387=0,"",ROUNDUP(Y387/H387,0)*0.02175),"")</f>
        <v>0.76124999999999998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533.54399999999998</v>
      </c>
      <c r="BN387" s="64">
        <f t="shared" si="59"/>
        <v>541.79999999999995</v>
      </c>
      <c r="BO387" s="64">
        <f t="shared" si="60"/>
        <v>0.71805555555555556</v>
      </c>
      <c r="BP387" s="64">
        <f t="shared" si="61"/>
        <v>0.72916666666666663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97.6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99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2.1532499999999999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1464</v>
      </c>
      <c r="Y394" s="669">
        <f>IFERROR(SUM(Y383:Y392),"0")</f>
        <v>1485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859</v>
      </c>
      <c r="Y396" s="668">
        <f>IFERROR(IF(X396="",0,CEILING((X396/$H396),1)*$H396),"")</f>
        <v>870</v>
      </c>
      <c r="Z396" s="36">
        <f>IFERROR(IF(Y396=0,"",ROUNDUP(Y396/H396,0)*0.02175),"")</f>
        <v>1.2614999999999998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886.48799999999994</v>
      </c>
      <c r="BN396" s="64">
        <f>IFERROR(Y396*I396/H396,"0")</f>
        <v>897.84</v>
      </c>
      <c r="BO396" s="64">
        <f>IFERROR(1/J396*(X396/H396),"0")</f>
        <v>1.1930555555555555</v>
      </c>
      <c r="BP396" s="64">
        <f>IFERROR(1/J396*(Y396/H396),"0")</f>
        <v>1.2083333333333333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57.266666666666666</v>
      </c>
      <c r="Y398" s="669">
        <f>IFERROR(Y396/H396,"0")+IFERROR(Y397/H397,"0")</f>
        <v>58</v>
      </c>
      <c r="Z398" s="669">
        <f>IFERROR(IF(Z396="",0,Z396),"0")+IFERROR(IF(Z397="",0,Z397),"0")</f>
        <v>1.2614999999999998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859</v>
      </c>
      <c r="Y399" s="669">
        <f>IFERROR(SUM(Y396:Y397),"0")</f>
        <v>870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98</v>
      </c>
      <c r="Y436" s="668">
        <f t="shared" ref="Y436:Y447" si="62">IFERROR(IF(X436="",0,CEILING((X436/$H436),1)*$H436),"")</f>
        <v>102.60000000000001</v>
      </c>
      <c r="Z436" s="36">
        <f>IFERROR(IF(Y436=0,"",ROUNDUP(Y436/H436,0)*0.00902),"")</f>
        <v>0.17138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101.81111111111112</v>
      </c>
      <c r="BN436" s="64">
        <f t="shared" ref="BN436:BN447" si="64">IFERROR(Y436*I436/H436,"0")</f>
        <v>106.59000000000002</v>
      </c>
      <c r="BO436" s="64">
        <f t="shared" ref="BO436:BO447" si="65">IFERROR(1/J436*(X436/H436),"0")</f>
        <v>0.13748597081930414</v>
      </c>
      <c r="BP436" s="64">
        <f t="shared" ref="BP436:BP447" si="66">IFERROR(1/J436*(Y436/H436),"0")</f>
        <v>0.14393939393939395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3</v>
      </c>
      <c r="Y443" s="668">
        <f t="shared" si="62"/>
        <v>4.2</v>
      </c>
      <c r="Z443" s="36">
        <f t="shared" si="67"/>
        <v>1.004E-2</v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3.1857142857142855</v>
      </c>
      <c r="BN443" s="64">
        <f t="shared" si="64"/>
        <v>4.46</v>
      </c>
      <c r="BO443" s="64">
        <f t="shared" si="65"/>
        <v>6.1050061050061059E-3</v>
      </c>
      <c r="BP443" s="64">
        <f t="shared" si="66"/>
        <v>8.5470085470085479E-3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19.576719576719572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21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0.18142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101</v>
      </c>
      <c r="Y449" s="669">
        <f>IFERROR(SUM(Y436:Y447),"0")</f>
        <v>106.80000000000001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93</v>
      </c>
      <c r="Y462" s="668">
        <f>IFERROR(IF(X462="",0,CEILING((X462/$H462),1)*$H462),"")</f>
        <v>97.2</v>
      </c>
      <c r="Z462" s="36">
        <f>IFERROR(IF(Y462=0,"",ROUNDUP(Y462/H462,0)*0.00902),"")</f>
        <v>0.16236</v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96.61666666666666</v>
      </c>
      <c r="BN462" s="64">
        <f>IFERROR(Y462*I462/H462,"0")</f>
        <v>100.98</v>
      </c>
      <c r="BO462" s="64">
        <f>IFERROR(1/J462*(X462/H462),"0")</f>
        <v>0.13047138047138046</v>
      </c>
      <c r="BP462" s="64">
        <f>IFERROR(1/J462*(Y462/H462),"0")</f>
        <v>0.13636363636363635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17.222222222222221</v>
      </c>
      <c r="Y466" s="669">
        <f>IFERROR(Y462/H462,"0")+IFERROR(Y463/H463,"0")+IFERROR(Y464/H464,"0")+IFERROR(Y465/H465,"0")</f>
        <v>18</v>
      </c>
      <c r="Z466" s="669">
        <f>IFERROR(IF(Z462="",0,Z462),"0")+IFERROR(IF(Z463="",0,Z463),"0")+IFERROR(IF(Z464="",0,Z464),"0")+IFERROR(IF(Z465="",0,Z465),"0")</f>
        <v>0.16236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93</v>
      </c>
      <c r="Y467" s="669">
        <f>IFERROR(SUM(Y462:Y465),"0")</f>
        <v>97.2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3</v>
      </c>
      <c r="Y471" s="668">
        <f>IFERROR(IF(X471="",0,CEILING((X471/$H471),1)*$H471),"")</f>
        <v>3.5999999999999996</v>
      </c>
      <c r="Z471" s="36">
        <f>IFERROR(IF(Y471=0,"",ROUNDUP(Y471/H471,0)*0.00651),"")</f>
        <v>1.9529999999999999E-2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5.2500000000000009</v>
      </c>
      <c r="BN471" s="64">
        <f>IFERROR(Y471*I471/H471,"0")</f>
        <v>6.3</v>
      </c>
      <c r="BO471" s="64">
        <f>IFERROR(1/J471*(X471/H471),"0")</f>
        <v>1.3736263736263738E-2</v>
      </c>
      <c r="BP471" s="64">
        <f>IFERROR(1/J471*(Y471/H471),"0")</f>
        <v>1.6483516483516484E-2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2.5</v>
      </c>
      <c r="Y472" s="669">
        <f>IFERROR(Y470/H470,"0")+IFERROR(Y471/H471,"0")</f>
        <v>3</v>
      </c>
      <c r="Z472" s="669">
        <f>IFERROR(IF(Z470="",0,Z470),"0")+IFERROR(IF(Z471="",0,Z471),"0")</f>
        <v>1.9529999999999999E-2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3</v>
      </c>
      <c r="Y473" s="669">
        <f>IFERROR(SUM(Y470:Y471),"0")</f>
        <v>3.5999999999999996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32</v>
      </c>
      <c r="Y486" s="668">
        <f t="shared" ref="Y486:Y501" si="68">IFERROR(IF(X486="",0,CEILING((X486/$H486),1)*$H486),"")</f>
        <v>36.96</v>
      </c>
      <c r="Z486" s="36">
        <f t="shared" ref="Z486:Z491" si="69">IFERROR(IF(Y486=0,"",ROUNDUP(Y486/H486,0)*0.01196),"")</f>
        <v>8.3720000000000003E-2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34.18181818181818</v>
      </c>
      <c r="BN486" s="64">
        <f t="shared" ref="BN486:BN501" si="71">IFERROR(Y486*I486/H486,"0")</f>
        <v>39.479999999999997</v>
      </c>
      <c r="BO486" s="64">
        <f t="shared" ref="BO486:BO501" si="72">IFERROR(1/J486*(X486/H486),"0")</f>
        <v>5.8275058275058279E-2</v>
      </c>
      <c r="BP486" s="64">
        <f t="shared" ref="BP486:BP501" si="73">IFERROR(1/J486*(Y486/H486),"0")</f>
        <v>6.7307692307692318E-2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25</v>
      </c>
      <c r="Y490" s="668">
        <f t="shared" si="68"/>
        <v>26.400000000000002</v>
      </c>
      <c r="Z490" s="36">
        <f t="shared" si="69"/>
        <v>5.9799999999999999E-2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26.704545454545453</v>
      </c>
      <c r="BN490" s="64">
        <f t="shared" si="71"/>
        <v>28.200000000000003</v>
      </c>
      <c r="BO490" s="64">
        <f t="shared" si="72"/>
        <v>4.5527389277389273E-2</v>
      </c>
      <c r="BP490" s="64">
        <f t="shared" si="73"/>
        <v>4.807692307692308E-2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10.795454545454545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12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0.14352000000000001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57</v>
      </c>
      <c r="Y503" s="669">
        <f>IFERROR(SUM(Y486:Y501),"0")</f>
        <v>63.36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76</v>
      </c>
      <c r="Y514" s="668">
        <f t="shared" si="74"/>
        <v>79.2</v>
      </c>
      <c r="Z514" s="36">
        <f>IFERROR(IF(Y514=0,"",ROUNDUP(Y514/H514,0)*0.01196),"")</f>
        <v>0.1794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81.181818181818173</v>
      </c>
      <c r="BN514" s="64">
        <f t="shared" si="76"/>
        <v>84.6</v>
      </c>
      <c r="BO514" s="64">
        <f t="shared" si="77"/>
        <v>0.13840326340326339</v>
      </c>
      <c r="BP514" s="64">
        <f t="shared" si="78"/>
        <v>0.14423076923076925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14.393939393939393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15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0.1794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76</v>
      </c>
      <c r="Y524" s="669">
        <f>IFERROR(SUM(Y512:Y522),"0")</f>
        <v>79.2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4181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4275.66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4371.6126300940432</v>
      </c>
      <c r="Y597" s="669">
        <f>IFERROR(SUM(BN22:BN593),"0")</f>
        <v>4471.3729999999996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4546.6126300940432</v>
      </c>
      <c r="Y599" s="669">
        <f>GrossWeightTotalR+PalletQtyTotalR*25</f>
        <v>4646.3729999999996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660.91721732928613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677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7.585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86.4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16.8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176.4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330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245.7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603.6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86.399999999999991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25.200000000000003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2355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106.80000000000001</v>
      </c>
      <c r="Z606" s="46">
        <f>IFERROR(Y457*1,"0")+IFERROR(Y458*1,"0")+IFERROR(Y462*1,"0")+IFERROR(Y463*1,"0")+IFERROR(Y464*1,"0")+IFERROR(Y465*1,"0")</f>
        <v>97.2</v>
      </c>
      <c r="AA606" s="46">
        <f>IFERROR(Y470*1,"0")+IFERROR(Y471*1,"0")</f>
        <v>3.5999999999999996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142.56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2025-04-24T07:43:54Z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