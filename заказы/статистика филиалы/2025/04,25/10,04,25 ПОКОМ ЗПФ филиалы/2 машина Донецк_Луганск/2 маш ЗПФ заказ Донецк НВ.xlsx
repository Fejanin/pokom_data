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57D562A5-5178-4A0C-AF03-388B7C58BEA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199" i="1" s="1"/>
  <c r="Y196" i="1"/>
  <c r="Y200" i="1" s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Z191" i="1" s="1"/>
  <c r="Y189" i="1"/>
  <c r="P189" i="1"/>
  <c r="X187" i="1"/>
  <c r="X186" i="1"/>
  <c r="BO185" i="1"/>
  <c r="BM185" i="1"/>
  <c r="Z185" i="1"/>
  <c r="Y185" i="1"/>
  <c r="P185" i="1"/>
  <c r="BP184" i="1"/>
  <c r="BO184" i="1"/>
  <c r="BN184" i="1"/>
  <c r="BM184" i="1"/>
  <c r="Z184" i="1"/>
  <c r="Z186" i="1" s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Y173" i="1"/>
  <c r="X173" i="1"/>
  <c r="Z172" i="1"/>
  <c r="X172" i="1"/>
  <c r="BO171" i="1"/>
  <c r="BM171" i="1"/>
  <c r="Z171" i="1"/>
  <c r="Y171" i="1"/>
  <c r="P171" i="1"/>
  <c r="X168" i="1"/>
  <c r="X167" i="1"/>
  <c r="BO166" i="1"/>
  <c r="BM166" i="1"/>
  <c r="Z166" i="1"/>
  <c r="Y166" i="1"/>
  <c r="P166" i="1"/>
  <c r="BP165" i="1"/>
  <c r="BO165" i="1"/>
  <c r="BN165" i="1"/>
  <c r="BM165" i="1"/>
  <c r="Z165" i="1"/>
  <c r="Z167" i="1" s="1"/>
  <c r="Y165" i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Y145" i="1"/>
  <c r="X145" i="1"/>
  <c r="Z144" i="1"/>
  <c r="X144" i="1"/>
  <c r="BO143" i="1"/>
  <c r="BM143" i="1"/>
  <c r="Z143" i="1"/>
  <c r="Y143" i="1"/>
  <c r="P143" i="1"/>
  <c r="BP142" i="1"/>
  <c r="BO142" i="1"/>
  <c r="BN142" i="1"/>
  <c r="BM142" i="1"/>
  <c r="Z142" i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Z138" i="1" s="1"/>
  <c r="Y136" i="1"/>
  <c r="P136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P94" i="1"/>
  <c r="Y91" i="1"/>
  <c r="X91" i="1"/>
  <c r="Z90" i="1"/>
  <c r="X90" i="1"/>
  <c r="BO89" i="1"/>
  <c r="BM89" i="1"/>
  <c r="Z89" i="1"/>
  <c r="Y89" i="1"/>
  <c r="BO88" i="1"/>
  <c r="BM88" i="1"/>
  <c r="Z88" i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Y73" i="1"/>
  <c r="X73" i="1"/>
  <c r="Z72" i="1"/>
  <c r="X72" i="1"/>
  <c r="BO71" i="1"/>
  <c r="BM71" i="1"/>
  <c r="Z71" i="1"/>
  <c r="Y71" i="1"/>
  <c r="P71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Y60" i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Z54" i="1" s="1"/>
  <c r="Y46" i="1"/>
  <c r="P46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Y35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5" i="1" s="1"/>
  <c r="Y28" i="1"/>
  <c r="Y36" i="1" s="1"/>
  <c r="Y24" i="1"/>
  <c r="X24" i="1"/>
  <c r="Z23" i="1"/>
  <c r="X23" i="1"/>
  <c r="BO22" i="1"/>
  <c r="X338" i="1" s="1"/>
  <c r="BM22" i="1"/>
  <c r="Z22" i="1"/>
  <c r="Y22" i="1"/>
  <c r="P22" i="1"/>
  <c r="H10" i="1"/>
  <c r="A9" i="1"/>
  <c r="D7" i="1"/>
  <c r="Q6" i="1"/>
  <c r="P2" i="1"/>
  <c r="F10" i="1" l="1"/>
  <c r="J9" i="1"/>
  <c r="F9" i="1"/>
  <c r="A10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H9" i="1"/>
  <c r="Y23" i="1"/>
  <c r="BP22" i="1"/>
  <c r="BN22" i="1"/>
  <c r="X337" i="1"/>
  <c r="X339" i="1" s="1"/>
  <c r="X340" i="1"/>
  <c r="X336" i="1"/>
  <c r="Y43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3" i="1"/>
  <c r="Y139" i="1"/>
  <c r="BP136" i="1"/>
  <c r="BN136" i="1"/>
  <c r="Y138" i="1"/>
  <c r="BP143" i="1"/>
  <c r="BN143" i="1"/>
  <c r="Z150" i="1"/>
  <c r="Y167" i="1"/>
  <c r="Y168" i="1"/>
  <c r="Y172" i="1"/>
  <c r="BP171" i="1"/>
  <c r="BN171" i="1"/>
  <c r="Y187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6" i="1" l="1"/>
  <c r="C349" i="1" s="1"/>
  <c r="Y338" i="1"/>
  <c r="Y337" i="1"/>
  <c r="Y339" i="1" s="1"/>
  <c r="Y340" i="1"/>
  <c r="A349" i="1" l="1"/>
  <c r="B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<sst xmlns="http://schemas.openxmlformats.org/spreadsheetml/2006/main" count="1706" uniqueCount="557">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</sst>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6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28</v>
      </c>
      <c r="Y32" s="355">
        <f t="shared" si="0"/>
        <v>28</v>
      </c>
      <c r="Z32" s="36">
        <f t="shared" si="1"/>
        <v>0.26347999999999999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53.810400000000001</v>
      </c>
      <c r="BN32" s="67">
        <f t="shared" si="3"/>
        <v>53.810400000000001</v>
      </c>
      <c r="BO32" s="67">
        <f t="shared" si="4"/>
        <v>0.2</v>
      </c>
      <c r="BP32" s="67">
        <f t="shared" si="5"/>
        <v>0.2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14</v>
      </c>
      <c r="Y34" s="355">
        <f t="shared" si="0"/>
        <v>14</v>
      </c>
      <c r="Z34" s="36">
        <f t="shared" si="1"/>
        <v>0.13174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26.905200000000001</v>
      </c>
      <c r="BN34" s="67">
        <f t="shared" si="3"/>
        <v>26.905200000000001</v>
      </c>
      <c r="BO34" s="67">
        <f t="shared" si="4"/>
        <v>0.1</v>
      </c>
      <c r="BP34" s="67">
        <f t="shared" si="5"/>
        <v>0.1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24</v>
      </c>
      <c r="Y41" s="355">
        <f>IFERROR(IF(X41="","",X41),"")</f>
        <v>24</v>
      </c>
      <c r="Z41" s="36">
        <f>IFERROR(IF(X41="","",X41*0.0155),"")</f>
        <v>0.372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140.88</v>
      </c>
      <c r="BN41" s="67">
        <f>IFERROR(Y41*I41,"0")</f>
        <v>140.88</v>
      </c>
      <c r="BO41" s="67">
        <f>IFERROR(X41/J41,"0")</f>
        <v>0.2857142857142857</v>
      </c>
      <c r="BP41" s="67">
        <f>IFERROR(Y41/J41,"0")</f>
        <v>0.2857142857142857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24</v>
      </c>
      <c r="Y42" s="356">
        <f>IFERROR(SUM(Y39:Y41),"0")</f>
        <v>24</v>
      </c>
      <c r="Z42" s="356">
        <f>IFERROR(IF(Z39="",0,Z39),"0")+IFERROR(IF(Z40="",0,Z40),"0")+IFERROR(IF(Z41="",0,Z41),"0")</f>
        <v>0.372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134.39999999999998</v>
      </c>
      <c r="Y43" s="356">
        <f>IFERROR(SUMPRODUCT(Y39:Y41*H39:H41),"0")</f>
        <v>134.39999999999998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24</v>
      </c>
      <c r="Y48" s="355">
        <f t="shared" si="6"/>
        <v>24</v>
      </c>
      <c r="Z48" s="36">
        <f t="shared" si="7"/>
        <v>0.372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175.2</v>
      </c>
      <c r="BN48" s="67">
        <f t="shared" si="9"/>
        <v>175.2</v>
      </c>
      <c r="BO48" s="67">
        <f t="shared" si="10"/>
        <v>0.2857142857142857</v>
      </c>
      <c r="BP48" s="67">
        <f t="shared" si="11"/>
        <v>0.2857142857142857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12</v>
      </c>
      <c r="Y50" s="355">
        <f t="shared" si="6"/>
        <v>12</v>
      </c>
      <c r="Z50" s="36">
        <f t="shared" si="7"/>
        <v>0.186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87.431999999999988</v>
      </c>
      <c r="BN50" s="67">
        <f t="shared" si="9"/>
        <v>87.431999999999988</v>
      </c>
      <c r="BO50" s="67">
        <f t="shared" si="10"/>
        <v>0.14285714285714285</v>
      </c>
      <c r="BP50" s="67">
        <f t="shared" si="11"/>
        <v>0.14285714285714285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48</v>
      </c>
      <c r="Y54" s="356">
        <f>IFERROR(SUM(Y46:Y53),"0")</f>
        <v>48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0.74399999999999999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336</v>
      </c>
      <c r="Y55" s="356">
        <f>IFERROR(SUMPRODUCT(Y46:Y53*H46:H53),"0")</f>
        <v>336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84</v>
      </c>
      <c r="Y83" s="355">
        <f>IFERROR(IF(X83="","",X83),"")</f>
        <v>84</v>
      </c>
      <c r="Z83" s="36">
        <f>IFERROR(IF(X83="","",X83*0.00866),"")</f>
        <v>0.72743999999999998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437.90879999999999</v>
      </c>
      <c r="BN83" s="67">
        <f>IFERROR(Y83*I83,"0")</f>
        <v>437.90879999999999</v>
      </c>
      <c r="BO83" s="67">
        <f>IFERROR(X83/J83,"0")</f>
        <v>0.58333333333333337</v>
      </c>
      <c r="BP83" s="67">
        <f>IFERROR(Y83/J83,"0")</f>
        <v>0.58333333333333337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84</v>
      </c>
      <c r="Y84" s="356">
        <f>IFERROR(SUM(Y82:Y83),"0")</f>
        <v>84</v>
      </c>
      <c r="Z84" s="356">
        <f>IFERROR(IF(Z82="",0,Z82),"0")+IFERROR(IF(Z83="",0,Z83),"0")</f>
        <v>0.72743999999999998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420</v>
      </c>
      <c r="Y85" s="356">
        <f>IFERROR(SUMPRODUCT(Y82:Y83*H82:H83),"0")</f>
        <v>420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14</v>
      </c>
      <c r="Y89" s="355">
        <f>IFERROR(IF(X89="","",X89),"")</f>
        <v>14</v>
      </c>
      <c r="Z89" s="36">
        <f>IFERROR(IF(X89="","",X89*0.01788),"")</f>
        <v>0.25031999999999999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14</v>
      </c>
      <c r="Y90" s="356">
        <f>IFERROR(SUM(Y88:Y89),"0")</f>
        <v>14</v>
      </c>
      <c r="Z90" s="356">
        <f>IFERROR(IF(Z88="",0,Z88),"0")+IFERROR(IF(Z89="",0,Z89),"0")</f>
        <v>0.25031999999999999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50.4</v>
      </c>
      <c r="Y91" s="356">
        <f>IFERROR(SUMPRODUCT(Y88:Y89*H88:H89),"0")</f>
        <v>50.4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28</v>
      </c>
      <c r="Y96" s="355">
        <f>IFERROR(IF(X96="","",X96),"")</f>
        <v>28</v>
      </c>
      <c r="Z96" s="36">
        <f>IFERROR(IF(X96="","",X96*0.01788),"")</f>
        <v>0.50063999999999997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120.50080000000001</v>
      </c>
      <c r="BN96" s="67">
        <f>IFERROR(Y96*I96,"0")</f>
        <v>120.50080000000001</v>
      </c>
      <c r="BO96" s="67">
        <f>IFERROR(X96/J96,"0")</f>
        <v>0.4</v>
      </c>
      <c r="BP96" s="67">
        <f>IFERROR(Y96/J96,"0")</f>
        <v>0.4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42</v>
      </c>
      <c r="Y98" s="355">
        <f>IFERROR(IF(X98="","",X98),"")</f>
        <v>42</v>
      </c>
      <c r="Z98" s="36">
        <f>IFERROR(IF(X98="","",X98*0.01788),"")</f>
        <v>0.75095999999999996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180.75120000000001</v>
      </c>
      <c r="BN98" s="67">
        <f>IFERROR(Y98*I98,"0")</f>
        <v>180.75120000000001</v>
      </c>
      <c r="BO98" s="67">
        <f>IFERROR(X98/J98,"0")</f>
        <v>0.6</v>
      </c>
      <c r="BP98" s="67">
        <f>IFERROR(Y98/J98,"0")</f>
        <v>0.6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70</v>
      </c>
      <c r="Y99" s="356">
        <f>IFERROR(SUM(Y94:Y98),"0")</f>
        <v>70</v>
      </c>
      <c r="Z99" s="356">
        <f>IFERROR(IF(Z94="",0,Z94),"0")+IFERROR(IF(Z95="",0,Z95),"0")+IFERROR(IF(Z96="",0,Z96),"0")+IFERROR(IF(Z97="",0,Z97),"0")+IFERROR(IF(Z98="",0,Z98),"0")</f>
        <v>1.2515999999999998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252</v>
      </c>
      <c r="Y100" s="356">
        <f>IFERROR(SUMPRODUCT(Y94:Y98*H94:H98),"0")</f>
        <v>252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14</v>
      </c>
      <c r="Y103" s="355">
        <f t="shared" ref="Y103:Y109" si="12">IFERROR(IF(X103="","",X103),"")</f>
        <v>14</v>
      </c>
      <c r="Z103" s="36">
        <f t="shared" ref="Z103:Z109" si="13">IFERROR(IF(X103="","",X103*0.01788),"")</f>
        <v>0.25031999999999999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60.250400000000006</v>
      </c>
      <c r="BN103" s="67">
        <f t="shared" ref="BN103:BN109" si="15">IFERROR(Y103*I103,"0")</f>
        <v>60.250400000000006</v>
      </c>
      <c r="BO103" s="67">
        <f t="shared" ref="BO103:BO109" si="16">IFERROR(X103/J103,"0")</f>
        <v>0.2</v>
      </c>
      <c r="BP103" s="67">
        <f t="shared" ref="BP103:BP109" si="17">IFERROR(Y103/J103,"0")</f>
        <v>0.2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42</v>
      </c>
      <c r="Y104" s="355">
        <f t="shared" si="12"/>
        <v>42</v>
      </c>
      <c r="Z104" s="36">
        <f t="shared" si="13"/>
        <v>0.75095999999999996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180.75120000000001</v>
      </c>
      <c r="BN104" s="67">
        <f t="shared" si="15"/>
        <v>180.75120000000001</v>
      </c>
      <c r="BO104" s="67">
        <f t="shared" si="16"/>
        <v>0.6</v>
      </c>
      <c r="BP104" s="67">
        <f t="shared" si="17"/>
        <v>0.6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14</v>
      </c>
      <c r="Y105" s="355">
        <f t="shared" si="12"/>
        <v>14</v>
      </c>
      <c r="Z105" s="36">
        <f t="shared" si="13"/>
        <v>0.25031999999999999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60.250400000000006</v>
      </c>
      <c r="BN105" s="67">
        <f t="shared" si="15"/>
        <v>60.250400000000006</v>
      </c>
      <c r="BO105" s="67">
        <f t="shared" si="16"/>
        <v>0.2</v>
      </c>
      <c r="BP105" s="67">
        <f t="shared" si="17"/>
        <v>0.2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14</v>
      </c>
      <c r="Y107" s="355">
        <f t="shared" si="12"/>
        <v>14</v>
      </c>
      <c r="Z107" s="36">
        <f t="shared" si="13"/>
        <v>0.25031999999999999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60.250400000000006</v>
      </c>
      <c r="BN107" s="67">
        <f t="shared" si="15"/>
        <v>60.250400000000006</v>
      </c>
      <c r="BO107" s="67">
        <f t="shared" si="16"/>
        <v>0.2</v>
      </c>
      <c r="BP107" s="67">
        <f t="shared" si="17"/>
        <v>0.2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84</v>
      </c>
      <c r="Y110" s="356">
        <f>IFERROR(SUM(Y103:Y109),"0")</f>
        <v>84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1.5019199999999997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302.40000000000003</v>
      </c>
      <c r="Y111" s="356">
        <f>IFERROR(SUMPRODUCT(Y103:Y109*H103:H109),"0")</f>
        <v>302.40000000000003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14</v>
      </c>
      <c r="Y115" s="355">
        <f>IFERROR(IF(X115="","",X115),"")</f>
        <v>14</v>
      </c>
      <c r="Z115" s="36">
        <f>IFERROR(IF(X115="","",X115*0.01788),"")</f>
        <v>0.25031999999999999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59.415999999999997</v>
      </c>
      <c r="BN115" s="67">
        <f>IFERROR(Y115*I115,"0")</f>
        <v>59.415999999999997</v>
      </c>
      <c r="BO115" s="67">
        <f>IFERROR(X115/J115,"0")</f>
        <v>0.2</v>
      </c>
      <c r="BP115" s="67">
        <f>IFERROR(Y115/J115,"0")</f>
        <v>0.2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26</v>
      </c>
      <c r="Y118" s="356">
        <f>IFERROR(SUM(Y114:Y117),"0")</f>
        <v>26</v>
      </c>
      <c r="Z118" s="356">
        <f>IFERROR(IF(Z114="",0,Z114),"0")+IFERROR(IF(Z115="",0,Z115),"0")+IFERROR(IF(Z116="",0,Z116),"0")+IFERROR(IF(Z117="",0,Z117),"0")</f>
        <v>0.43631999999999999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87.36</v>
      </c>
      <c r="Y119" s="356">
        <f>IFERROR(SUMPRODUCT(Y114:Y117*H114:H117),"0")</f>
        <v>87.36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12</v>
      </c>
      <c r="Y123" s="355">
        <f t="shared" si="18"/>
        <v>12</v>
      </c>
      <c r="Z123" s="36">
        <f t="shared" si="19"/>
        <v>0.186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80.635199999999998</v>
      </c>
      <c r="BN123" s="67">
        <f t="shared" si="21"/>
        <v>80.635199999999998</v>
      </c>
      <c r="BO123" s="67">
        <f t="shared" si="22"/>
        <v>0.14285714285714285</v>
      </c>
      <c r="BP123" s="67">
        <f t="shared" si="23"/>
        <v>0.14285714285714285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12</v>
      </c>
      <c r="Y124" s="355">
        <f t="shared" si="18"/>
        <v>12</v>
      </c>
      <c r="Z124" s="36">
        <f t="shared" si="19"/>
        <v>0.186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87.6</v>
      </c>
      <c r="BN124" s="67">
        <f t="shared" si="21"/>
        <v>87.6</v>
      </c>
      <c r="BO124" s="67">
        <f t="shared" si="22"/>
        <v>0.14285714285714285</v>
      </c>
      <c r="BP124" s="67">
        <f t="shared" si="23"/>
        <v>0.14285714285714285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12</v>
      </c>
      <c r="Y126" s="355">
        <f t="shared" si="18"/>
        <v>12</v>
      </c>
      <c r="Z126" s="36">
        <f t="shared" si="19"/>
        <v>0.186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80.635199999999998</v>
      </c>
      <c r="BN126" s="67">
        <f t="shared" si="21"/>
        <v>80.635199999999998</v>
      </c>
      <c r="BO126" s="67">
        <f t="shared" si="22"/>
        <v>0.14285714285714285</v>
      </c>
      <c r="BP126" s="67">
        <f t="shared" si="23"/>
        <v>0.14285714285714285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48</v>
      </c>
      <c r="Y127" s="355">
        <f t="shared" si="18"/>
        <v>48</v>
      </c>
      <c r="Z127" s="36">
        <f t="shared" si="19"/>
        <v>0.74399999999999999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350.4</v>
      </c>
      <c r="BN127" s="67">
        <f t="shared" si="21"/>
        <v>350.4</v>
      </c>
      <c r="BO127" s="67">
        <f t="shared" si="22"/>
        <v>0.5714285714285714</v>
      </c>
      <c r="BP127" s="67">
        <f t="shared" si="23"/>
        <v>0.5714285714285714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84</v>
      </c>
      <c r="Y128" s="356">
        <f>IFERROR(SUM(Y122:Y127),"0")</f>
        <v>84</v>
      </c>
      <c r="Z128" s="356">
        <f>IFERROR(IF(Z122="",0,Z122),"0")+IFERROR(IF(Z123="",0,Z123),"0")+IFERROR(IF(Z124="",0,Z124),"0")+IFERROR(IF(Z125="",0,Z125),"0")+IFERROR(IF(Z126="",0,Z126),"0")+IFERROR(IF(Z127="",0,Z127),"0")</f>
        <v>1.302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573.6</v>
      </c>
      <c r="Y129" s="356">
        <f>IFERROR(SUMPRODUCT(Y122:Y127*H122:H127),"0")</f>
        <v>573.6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0</v>
      </c>
      <c r="Y136" s="355">
        <f>IFERROR(IF(X136="","",X136),"")</f>
        <v>0</v>
      </c>
      <c r="Z136" s="36">
        <f>IFERROR(IF(X136="","",X136*0.01788),"")</f>
        <v>0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28</v>
      </c>
      <c r="Y137" s="355">
        <f>IFERROR(IF(X137="","",X137),"")</f>
        <v>28</v>
      </c>
      <c r="Z137" s="36">
        <f>IFERROR(IF(X137="","",X137*0.01788),"")</f>
        <v>0.50063999999999997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103.70079999999999</v>
      </c>
      <c r="BN137" s="67">
        <f>IFERROR(Y137*I137,"0")</f>
        <v>103.70079999999999</v>
      </c>
      <c r="BO137" s="67">
        <f>IFERROR(X137/J137,"0")</f>
        <v>0.4</v>
      </c>
      <c r="BP137" s="67">
        <f>IFERROR(Y137/J137,"0")</f>
        <v>0.4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28</v>
      </c>
      <c r="Y138" s="356">
        <f>IFERROR(SUM(Y136:Y137),"0")</f>
        <v>28</v>
      </c>
      <c r="Z138" s="356">
        <f>IFERROR(IF(Z136="",0,Z136),"0")+IFERROR(IF(Z137="",0,Z137),"0")</f>
        <v>0.50063999999999997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84</v>
      </c>
      <c r="Y139" s="356">
        <f>IFERROR(SUMPRODUCT(Y136:Y137*H136:H137),"0")</f>
        <v>84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14</v>
      </c>
      <c r="Y143" s="35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28</v>
      </c>
      <c r="Y144" s="356">
        <f>IFERROR(SUM(Y142:Y143),"0")</f>
        <v>28</v>
      </c>
      <c r="Z144" s="356">
        <f>IFERROR(IF(Z142="",0,Z142),"0")+IFERROR(IF(Z143="",0,Z143),"0")</f>
        <v>0.50063999999999997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84</v>
      </c>
      <c r="Y145" s="356">
        <f>IFERROR(SUMPRODUCT(Y142:Y143*H142:H143),"0")</f>
        <v>84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28</v>
      </c>
      <c r="Y148" s="355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91.839999999999989</v>
      </c>
      <c r="BN148" s="67">
        <f>IFERROR(Y148*I148,"0")</f>
        <v>91.839999999999989</v>
      </c>
      <c r="BO148" s="67">
        <f>IFERROR(X148/J148,"0")</f>
        <v>0.4</v>
      </c>
      <c r="BP148" s="67">
        <f>IFERROR(Y148/J148,"0")</f>
        <v>0.4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14</v>
      </c>
      <c r="Y149" s="35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45.919999999999995</v>
      </c>
      <c r="BN149" s="67">
        <f>IFERROR(Y149*I149,"0")</f>
        <v>45.919999999999995</v>
      </c>
      <c r="BO149" s="67">
        <f>IFERROR(X149/J149,"0")</f>
        <v>0.2</v>
      </c>
      <c r="BP149" s="67">
        <f>IFERROR(Y149/J149,"0")</f>
        <v>0.2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42</v>
      </c>
      <c r="Y150" s="356">
        <f>IFERROR(SUM(Y148:Y149),"0")</f>
        <v>42</v>
      </c>
      <c r="Z150" s="356">
        <f>IFERROR(IF(Z148="",0,Z148),"0")+IFERROR(IF(Z149="",0,Z149),"0")</f>
        <v>0.75095999999999996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126</v>
      </c>
      <c r="Y151" s="356">
        <f>IFERROR(SUMPRODUCT(Y148:Y149*H148:H149),"0")</f>
        <v>126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14</v>
      </c>
      <c r="Y155" s="355">
        <f>IFERROR(IF(X155="","",X155),"")</f>
        <v>14</v>
      </c>
      <c r="Z155" s="36">
        <f>IFERROR(IF(X155="","",X155*0.01788),"")</f>
        <v>0.25031999999999999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51.850399999999993</v>
      </c>
      <c r="BN155" s="67">
        <f>IFERROR(Y155*I155,"0")</f>
        <v>51.850399999999993</v>
      </c>
      <c r="BO155" s="67">
        <f>IFERROR(X155/J155,"0")</f>
        <v>0.2</v>
      </c>
      <c r="BP155" s="67">
        <f>IFERROR(Y155/J155,"0")</f>
        <v>0.2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14</v>
      </c>
      <c r="Y156" s="356">
        <f>IFERROR(SUM(Y154:Y155),"0")</f>
        <v>14</v>
      </c>
      <c r="Z156" s="356">
        <f>IFERROR(IF(Z154="",0,Z154),"0")+IFERROR(IF(Z155="",0,Z155),"0")</f>
        <v>0.25031999999999999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42</v>
      </c>
      <c r="Y157" s="356">
        <f>IFERROR(SUMPRODUCT(Y154:Y155*H154:H155),"0")</f>
        <v>42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96</v>
      </c>
      <c r="Y184" s="355">
        <f>IFERROR(IF(X184="","",X184),"")</f>
        <v>96</v>
      </c>
      <c r="Z184" s="36">
        <f>IFERROR(IF(X184="","",X184*0.00866),"")</f>
        <v>0.83135999999999988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500.46719999999993</v>
      </c>
      <c r="BN184" s="67">
        <f>IFERROR(Y184*I184,"0")</f>
        <v>500.46719999999993</v>
      </c>
      <c r="BO184" s="67">
        <f>IFERROR(X184/J184,"0")</f>
        <v>0.66666666666666663</v>
      </c>
      <c r="BP184" s="67">
        <f>IFERROR(Y184/J184,"0")</f>
        <v>0.66666666666666663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96</v>
      </c>
      <c r="Y186" s="356">
        <f>IFERROR(SUM(Y182:Y185),"0")</f>
        <v>96</v>
      </c>
      <c r="Z186" s="356">
        <f>IFERROR(IF(Z182="",0,Z182),"0")+IFERROR(IF(Z183="",0,Z183),"0")+IFERROR(IF(Z184="",0,Z184),"0")+IFERROR(IF(Z185="",0,Z185),"0")</f>
        <v>0.83135999999999988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480</v>
      </c>
      <c r="Y187" s="356">
        <f>IFERROR(SUMPRODUCT(Y182:Y185*H182:H185),"0")</f>
        <v>480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14</v>
      </c>
      <c r="Y196" s="355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47.432000000000002</v>
      </c>
      <c r="BN196" s="67">
        <f>IFERROR(Y196*I196,"0")</f>
        <v>47.432000000000002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42</v>
      </c>
      <c r="Y197" s="355">
        <f>IFERROR(IF(X197="","",X197),"")</f>
        <v>42</v>
      </c>
      <c r="Z197" s="36">
        <f>IFERROR(IF(X197="","",X197*0.01788),"")</f>
        <v>0.75095999999999996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142.29599999999999</v>
      </c>
      <c r="BN197" s="67">
        <f>IFERROR(Y197*I197,"0")</f>
        <v>142.29599999999999</v>
      </c>
      <c r="BO197" s="67">
        <f>IFERROR(X197/J197,"0")</f>
        <v>0.6</v>
      </c>
      <c r="BP197" s="67">
        <f>IFERROR(Y197/J197,"0")</f>
        <v>0.6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84</v>
      </c>
      <c r="Y199" s="356">
        <f>IFERROR(SUM(Y196:Y198),"0")</f>
        <v>84</v>
      </c>
      <c r="Z199" s="356">
        <f>IFERROR(IF(Z196="",0,Z196),"0")+IFERROR(IF(Z197="",0,Z197),"0")+IFERROR(IF(Z198="",0,Z198),"0")</f>
        <v>1.5019199999999999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252</v>
      </c>
      <c r="Y200" s="356">
        <f>IFERROR(SUMPRODUCT(Y196:Y198*H196:H198),"0")</f>
        <v>252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36</v>
      </c>
      <c r="Y216" s="355">
        <f>IFERROR(IF(X216="","",X216),"")</f>
        <v>36</v>
      </c>
      <c r="Z216" s="36">
        <f>IFERROR(IF(X216="","",X216*0.0155),"")</f>
        <v>0.55800000000000005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211.32</v>
      </c>
      <c r="BN216" s="67">
        <f>IFERROR(Y216*I216,"0")</f>
        <v>211.32</v>
      </c>
      <c r="BO216" s="67">
        <f>IFERROR(X216/J216,"0")</f>
        <v>0.42857142857142855</v>
      </c>
      <c r="BP216" s="67">
        <f>IFERROR(Y216/J216,"0")</f>
        <v>0.42857142857142855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36</v>
      </c>
      <c r="Y219" s="356">
        <f>IFERROR(SUM(Y216:Y218),"0")</f>
        <v>36</v>
      </c>
      <c r="Z219" s="356">
        <f>IFERROR(IF(Z216="",0,Z216),"0")+IFERROR(IF(Z217="",0,Z217),"0")+IFERROR(IF(Z218="",0,Z218),"0")</f>
        <v>0.55800000000000005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201.6</v>
      </c>
      <c r="Y220" s="356">
        <f>IFERROR(SUMPRODUCT(Y216:Y218*H216:H218),"0")</f>
        <v>201.6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12</v>
      </c>
      <c r="Y236" s="355">
        <f>IFERROR(IF(X236="","",X236),"")</f>
        <v>12</v>
      </c>
      <c r="Z236" s="36">
        <f>IFERROR(IF(X236="","",X236*0.0155),"")</f>
        <v>0.186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89.64</v>
      </c>
      <c r="BN236" s="67">
        <f>IFERROR(Y236*I236,"0")</f>
        <v>89.64</v>
      </c>
      <c r="BO236" s="67">
        <f>IFERROR(X236/J236,"0")</f>
        <v>0.14285714285714285</v>
      </c>
      <c r="BP236" s="67">
        <f>IFERROR(Y236/J236,"0")</f>
        <v>0.14285714285714285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12</v>
      </c>
      <c r="Y237" s="356">
        <f>IFERROR(SUM(Y233:Y236),"0")</f>
        <v>12</v>
      </c>
      <c r="Z237" s="356">
        <f>IFERROR(IF(Z233="",0,Z233),"0")+IFERROR(IF(Z234="",0,Z234),"0")+IFERROR(IF(Z235="",0,Z235),"0")+IFERROR(IF(Z236="",0,Z236),"0")</f>
        <v>0.186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86.4</v>
      </c>
      <c r="Y238" s="356">
        <f>IFERROR(SUMPRODUCT(Y233:Y236*H233:H236),"0")</f>
        <v>86.4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12</v>
      </c>
      <c r="Y297" s="355">
        <f>IFERROR(IF(X297="","",X297),"")</f>
        <v>12</v>
      </c>
      <c r="Z297" s="36">
        <f>IFERROR(IF(X297="","",X297*0.0155),"")</f>
        <v>0.186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75.12</v>
      </c>
      <c r="BN297" s="67">
        <f>IFERROR(Y297*I297,"0")</f>
        <v>75.12</v>
      </c>
      <c r="BO297" s="67">
        <f>IFERROR(X297/J297,"0")</f>
        <v>0.14285714285714285</v>
      </c>
      <c r="BP297" s="67">
        <f>IFERROR(Y297/J297,"0")</f>
        <v>0.14285714285714285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12</v>
      </c>
      <c r="Y299" s="356">
        <f>IFERROR(SUM(Y297:Y298),"0")</f>
        <v>12</v>
      </c>
      <c r="Z299" s="356">
        <f>IFERROR(IF(Z297="",0,Z297),"0")+IFERROR(IF(Z298="",0,Z298),"0")</f>
        <v>0.186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72</v>
      </c>
      <c r="Y300" s="356">
        <f>IFERROR(SUMPRODUCT(Y297:Y298*H297:H298),"0")</f>
        <v>72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14</v>
      </c>
      <c r="Y302" s="355">
        <f>IFERROR(IF(X302="","",X302),"")</f>
        <v>14</v>
      </c>
      <c r="Z302" s="36">
        <f>IFERROR(IF(X302="","",X302*0.00936),"")</f>
        <v>0.13103999999999999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40.468400000000003</v>
      </c>
      <c r="BN302" s="67">
        <f>IFERROR(Y302*I302,"0")</f>
        <v>40.468400000000003</v>
      </c>
      <c r="BO302" s="67">
        <f>IFERROR(X302/J302,"0")</f>
        <v>0.1111111111111111</v>
      </c>
      <c r="BP302" s="67">
        <f>IFERROR(Y302/J302,"0")</f>
        <v>0.1111111111111111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60</v>
      </c>
      <c r="Y303" s="355">
        <f>IFERROR(IF(X303="","",X303),"")</f>
        <v>60</v>
      </c>
      <c r="Z303" s="36">
        <f>IFERROR(IF(X303="","",X303*0.0155),"")</f>
        <v>0.92999999999999994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314.10000000000002</v>
      </c>
      <c r="BN303" s="67">
        <f>IFERROR(Y303*I303,"0")</f>
        <v>314.10000000000002</v>
      </c>
      <c r="BO303" s="67">
        <f>IFERROR(X303/J303,"0")</f>
        <v>0.7142857142857143</v>
      </c>
      <c r="BP303" s="67">
        <f>IFERROR(Y303/J303,"0")</f>
        <v>0.7142857142857143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74</v>
      </c>
      <c r="Y305" s="356">
        <f>IFERROR(SUM(Y302:Y304),"0")</f>
        <v>74</v>
      </c>
      <c r="Z305" s="356">
        <f>IFERROR(IF(Z302="",0,Z302),"0")+IFERROR(IF(Z303="",0,Z303),"0")+IFERROR(IF(Z304="",0,Z304),"0")</f>
        <v>1.06104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337.8</v>
      </c>
      <c r="Y306" s="356">
        <f>IFERROR(SUMPRODUCT(Y302:Y304*H302:H304),"0")</f>
        <v>337.8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14</v>
      </c>
      <c r="Y313" s="355">
        <f t="shared" si="30"/>
        <v>14</v>
      </c>
      <c r="Z313" s="36">
        <f t="shared" si="35"/>
        <v>0.13103999999999999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44.688000000000002</v>
      </c>
      <c r="BN313" s="67">
        <f t="shared" si="32"/>
        <v>44.688000000000002</v>
      </c>
      <c r="BO313" s="67">
        <f t="shared" si="33"/>
        <v>0.1111111111111111</v>
      </c>
      <c r="BP313" s="67">
        <f t="shared" si="34"/>
        <v>0.1111111111111111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14</v>
      </c>
      <c r="Y315" s="355">
        <f t="shared" si="30"/>
        <v>14</v>
      </c>
      <c r="Z315" s="36">
        <f t="shared" si="35"/>
        <v>0.13103999999999999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54.488</v>
      </c>
      <c r="BN315" s="67">
        <f t="shared" si="32"/>
        <v>54.488</v>
      </c>
      <c r="BO315" s="67">
        <f t="shared" si="33"/>
        <v>0.1111111111111111</v>
      </c>
      <c r="BP315" s="67">
        <f t="shared" si="34"/>
        <v>0.1111111111111111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28</v>
      </c>
      <c r="Y329" s="356">
        <f>IFERROR(SUM(Y308:Y328),"0")</f>
        <v>28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0.26207999999999998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93.800000000000011</v>
      </c>
      <c r="Y330" s="356">
        <f>IFERROR(SUMPRODUCT(Y308:Y328*H308:H328),"0")</f>
        <v>93.800000000000011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4078.76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4078.76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4455.2568000000001</v>
      </c>
      <c r="Y337" s="356">
        <f>IFERROR(SUM(BN22:BN333),"0")</f>
        <v>4455.2568000000001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11</v>
      </c>
      <c r="Y338" s="38">
        <f>ROUNDUP(SUM(BP22:BP333),0)</f>
        <v>11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4730.2568000000001</v>
      </c>
      <c r="Y339" s="356">
        <f>GrossWeightTotalR+PalletQtyTotalR*25</f>
        <v>4730.2568000000001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930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930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13.569779999999998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134.39999999999998</v>
      </c>
      <c r="E346" s="46">
        <f>IFERROR(X46*H46,"0")+IFERROR(X47*H47,"0")+IFERROR(X48*H48,"0")+IFERROR(X49*H49,"0")+IFERROR(X50*H50,"0")+IFERROR(X51*H51,"0")+IFERROR(X52*H52,"0")+IFERROR(X53*H53,"0")</f>
        <v>336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420</v>
      </c>
      <c r="H346" s="46">
        <f>IFERROR(X88*H88,"0")+IFERROR(X89*H89,"0")</f>
        <v>50.4</v>
      </c>
      <c r="I346" s="46">
        <f>IFERROR(X94*H94,"0")+IFERROR(X95*H95,"0")+IFERROR(X96*H96,"0")+IFERROR(X97*H97,"0")+IFERROR(X98*H98,"0")</f>
        <v>252</v>
      </c>
      <c r="J346" s="46">
        <f>IFERROR(X103*H103,"0")+IFERROR(X104*H104,"0")+IFERROR(X105*H105,"0")+IFERROR(X106*H106,"0")+IFERROR(X107*H107,"0")+IFERROR(X108*H108,"0")+IFERROR(X109*H109,"0")</f>
        <v>302.40000000000003</v>
      </c>
      <c r="K346" s="46">
        <f>IFERROR(X114*H114,"0")+IFERROR(X115*H115,"0")+IFERROR(X116*H116,"0")+IFERROR(X117*H117,"0")</f>
        <v>87.36</v>
      </c>
      <c r="L346" s="46">
        <f>IFERROR(X122*H122,"0")+IFERROR(X123*H123,"0")+IFERROR(X124*H124,"0")+IFERROR(X125*H125,"0")+IFERROR(X126*H126,"0")+IFERROR(X127*H127,"0")+IFERROR(X131*H131,"0")</f>
        <v>573.6</v>
      </c>
      <c r="M346" s="46">
        <f>IFERROR(X136*H136,"0")+IFERROR(X137*H137,"0")</f>
        <v>84</v>
      </c>
      <c r="N346" s="352"/>
      <c r="O346" s="46">
        <f>IFERROR(X142*H142,"0")+IFERROR(X143*H143,"0")</f>
        <v>84</v>
      </c>
      <c r="P346" s="46">
        <f>IFERROR(X148*H148,"0")+IFERROR(X149*H149,"0")</f>
        <v>126</v>
      </c>
      <c r="Q346" s="46">
        <f>IFERROR(X154*H154,"0")+IFERROR(X155*H155,"0")</f>
        <v>42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480</v>
      </c>
      <c r="W346" s="46">
        <f>IFERROR(X196*H196,"0")+IFERROR(X197*H197,"0")+IFERROR(X198*H198,"0")+IFERROR(X202*H202,"0")</f>
        <v>252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201.6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86.4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503.6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2232</v>
      </c>
      <c r="B349" s="60">
        <f>SUMPRODUCT(--(BB:BB="ПГП"),--(W:W="кор"),H:H,Y:Y)+SUMPRODUCT(--(BB:BB="ПГП"),--(W:W="кг"),Y:Y)</f>
        <v>1846.7599999999998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