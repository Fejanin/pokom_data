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3 машина Бердянск_Аист\"/>
    </mc:Choice>
  </mc:AlternateContent>
  <xr:revisionPtr revIDLastSave="0" documentId="13_ncr:1_{48337427-0F1D-43DD-9267-1A4CB42CE91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Y334" i="1"/>
  <c r="X334" i="1"/>
  <c r="BP333" i="1"/>
  <c r="BO333" i="1"/>
  <c r="BN333" i="1"/>
  <c r="BM333" i="1"/>
  <c r="Z333" i="1"/>
  <c r="Z334" i="1" s="1"/>
  <c r="Y333" i="1"/>
  <c r="Y335" i="1" s="1"/>
  <c r="Y330" i="1"/>
  <c r="X330" i="1"/>
  <c r="Z329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P315" i="1"/>
  <c r="BO314" i="1"/>
  <c r="BM314" i="1"/>
  <c r="Z314" i="1"/>
  <c r="Y314" i="1"/>
  <c r="BO313" i="1"/>
  <c r="BM313" i="1"/>
  <c r="Z313" i="1"/>
  <c r="Y313" i="1"/>
  <c r="P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Y310" i="1"/>
  <c r="P310" i="1"/>
  <c r="BO309" i="1"/>
  <c r="BM309" i="1"/>
  <c r="Z309" i="1"/>
  <c r="Y309" i="1"/>
  <c r="BO308" i="1"/>
  <c r="BM308" i="1"/>
  <c r="Z308" i="1"/>
  <c r="Y308" i="1"/>
  <c r="X306" i="1"/>
  <c r="X305" i="1"/>
  <c r="BP304" i="1"/>
  <c r="BO304" i="1"/>
  <c r="BN304" i="1"/>
  <c r="BM304" i="1"/>
  <c r="Z304" i="1"/>
  <c r="Y304" i="1"/>
  <c r="P304" i="1"/>
  <c r="BO303" i="1"/>
  <c r="BM303" i="1"/>
  <c r="Z303" i="1"/>
  <c r="Y303" i="1"/>
  <c r="P303" i="1"/>
  <c r="BP302" i="1"/>
  <c r="BO302" i="1"/>
  <c r="BN302" i="1"/>
  <c r="BM302" i="1"/>
  <c r="Z302" i="1"/>
  <c r="Z305" i="1" s="1"/>
  <c r="Y302" i="1"/>
  <c r="Y306" i="1" s="1"/>
  <c r="X300" i="1"/>
  <c r="Z299" i="1"/>
  <c r="X299" i="1"/>
  <c r="BO298" i="1"/>
  <c r="BM298" i="1"/>
  <c r="Z298" i="1"/>
  <c r="Y298" i="1"/>
  <c r="BO297" i="1"/>
  <c r="BM297" i="1"/>
  <c r="Z297" i="1"/>
  <c r="Y297" i="1"/>
  <c r="P297" i="1"/>
  <c r="Y295" i="1"/>
  <c r="X295" i="1"/>
  <c r="Z294" i="1"/>
  <c r="X294" i="1"/>
  <c r="BO293" i="1"/>
  <c r="BM293" i="1"/>
  <c r="Z293" i="1"/>
  <c r="Y293" i="1"/>
  <c r="P293" i="1"/>
  <c r="X291" i="1"/>
  <c r="Z290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Y287" i="1"/>
  <c r="X283" i="1"/>
  <c r="Y282" i="1"/>
  <c r="X282" i="1"/>
  <c r="BP281" i="1"/>
  <c r="BO281" i="1"/>
  <c r="BN281" i="1"/>
  <c r="BM281" i="1"/>
  <c r="Z281" i="1"/>
  <c r="Z282" i="1" s="1"/>
  <c r="Y281" i="1"/>
  <c r="Y283" i="1" s="1"/>
  <c r="P281" i="1"/>
  <c r="X279" i="1"/>
  <c r="Y278" i="1"/>
  <c r="X278" i="1"/>
  <c r="BP277" i="1"/>
  <c r="BO277" i="1"/>
  <c r="BN277" i="1"/>
  <c r="BM277" i="1"/>
  <c r="Z277" i="1"/>
  <c r="Z278" i="1" s="1"/>
  <c r="Y277" i="1"/>
  <c r="Y279" i="1" s="1"/>
  <c r="Y273" i="1"/>
  <c r="X273" i="1"/>
  <c r="Z272" i="1"/>
  <c r="X272" i="1"/>
  <c r="BO271" i="1"/>
  <c r="BM271" i="1"/>
  <c r="Z271" i="1"/>
  <c r="Y271" i="1"/>
  <c r="P271" i="1"/>
  <c r="BP270" i="1"/>
  <c r="BO270" i="1"/>
  <c r="BN270" i="1"/>
  <c r="BM270" i="1"/>
  <c r="Z270" i="1"/>
  <c r="Y270" i="1"/>
  <c r="Y272" i="1" s="1"/>
  <c r="P270" i="1"/>
  <c r="X266" i="1"/>
  <c r="Y265" i="1"/>
  <c r="X265" i="1"/>
  <c r="BP264" i="1"/>
  <c r="BO264" i="1"/>
  <c r="BN264" i="1"/>
  <c r="BM264" i="1"/>
  <c r="Z264" i="1"/>
  <c r="Z265" i="1" s="1"/>
  <c r="Y264" i="1"/>
  <c r="Y266" i="1" s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Z259" i="1" s="1"/>
  <c r="Y257" i="1"/>
  <c r="P257" i="1"/>
  <c r="X254" i="1"/>
  <c r="Z253" i="1"/>
  <c r="X253" i="1"/>
  <c r="BO252" i="1"/>
  <c r="BM252" i="1"/>
  <c r="Z252" i="1"/>
  <c r="Y252" i="1"/>
  <c r="P252" i="1"/>
  <c r="Y249" i="1"/>
  <c r="X249" i="1"/>
  <c r="Z248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Y245" i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Z237" i="1" s="1"/>
  <c r="Y233" i="1"/>
  <c r="Y238" i="1" s="1"/>
  <c r="P233" i="1"/>
  <c r="X230" i="1"/>
  <c r="X229" i="1"/>
  <c r="BO228" i="1"/>
  <c r="BM228" i="1"/>
  <c r="Z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Z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Z224" i="1"/>
  <c r="Y224" i="1"/>
  <c r="BP224" i="1" s="1"/>
  <c r="P224" i="1"/>
  <c r="BP223" i="1"/>
  <c r="BO223" i="1"/>
  <c r="BN223" i="1"/>
  <c r="BM223" i="1"/>
  <c r="Z223" i="1"/>
  <c r="Z229" i="1" s="1"/>
  <c r="Y223" i="1"/>
  <c r="Y229" i="1" s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Y220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Z208" i="1"/>
  <c r="Z212" i="1" s="1"/>
  <c r="Y208" i="1"/>
  <c r="Y213" i="1" s="1"/>
  <c r="P208" i="1"/>
  <c r="X204" i="1"/>
  <c r="Z203" i="1"/>
  <c r="X203" i="1"/>
  <c r="BO202" i="1"/>
  <c r="BM202" i="1"/>
  <c r="Z202" i="1"/>
  <c r="Y202" i="1"/>
  <c r="X200" i="1"/>
  <c r="X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Z199" i="1" s="1"/>
  <c r="Y196" i="1"/>
  <c r="BP196" i="1" s="1"/>
  <c r="P196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Y187" i="1"/>
  <c r="X187" i="1"/>
  <c r="Z186" i="1"/>
  <c r="X186" i="1"/>
  <c r="BO185" i="1"/>
  <c r="BM185" i="1"/>
  <c r="Z185" i="1"/>
  <c r="Y185" i="1"/>
  <c r="P185" i="1"/>
  <c r="BP184" i="1"/>
  <c r="BO184" i="1"/>
  <c r="BN184" i="1"/>
  <c r="BM184" i="1"/>
  <c r="Z184" i="1"/>
  <c r="Y184" i="1"/>
  <c r="P184" i="1"/>
  <c r="BO183" i="1"/>
  <c r="BM183" i="1"/>
  <c r="Z183" i="1"/>
  <c r="Y183" i="1"/>
  <c r="BO182" i="1"/>
  <c r="BM182" i="1"/>
  <c r="Z182" i="1"/>
  <c r="Y182" i="1"/>
  <c r="X179" i="1"/>
  <c r="Y178" i="1"/>
  <c r="X178" i="1"/>
  <c r="BP177" i="1"/>
  <c r="BO177" i="1"/>
  <c r="BN177" i="1"/>
  <c r="BM177" i="1"/>
  <c r="Z177" i="1"/>
  <c r="Z178" i="1" s="1"/>
  <c r="Y177" i="1"/>
  <c r="Y179" i="1" s="1"/>
  <c r="X173" i="1"/>
  <c r="Z172" i="1"/>
  <c r="X172" i="1"/>
  <c r="BO171" i="1"/>
  <c r="BM171" i="1"/>
  <c r="Z171" i="1"/>
  <c r="Y171" i="1"/>
  <c r="P171" i="1"/>
  <c r="Y168" i="1"/>
  <c r="X168" i="1"/>
  <c r="Z167" i="1"/>
  <c r="X167" i="1"/>
  <c r="BO166" i="1"/>
  <c r="BM166" i="1"/>
  <c r="Z166" i="1"/>
  <c r="Y166" i="1"/>
  <c r="P166" i="1"/>
  <c r="BP165" i="1"/>
  <c r="BO165" i="1"/>
  <c r="BN165" i="1"/>
  <c r="BM165" i="1"/>
  <c r="Z165" i="1"/>
  <c r="Y165" i="1"/>
  <c r="Y167" i="1" s="1"/>
  <c r="P165" i="1"/>
  <c r="X162" i="1"/>
  <c r="Y161" i="1"/>
  <c r="X161" i="1"/>
  <c r="BP160" i="1"/>
  <c r="BO160" i="1"/>
  <c r="BN160" i="1"/>
  <c r="BM160" i="1"/>
  <c r="Z160" i="1"/>
  <c r="Z161" i="1" s="1"/>
  <c r="Y160" i="1"/>
  <c r="Y162" i="1" s="1"/>
  <c r="P160" i="1"/>
  <c r="X157" i="1"/>
  <c r="Y156" i="1"/>
  <c r="X156" i="1"/>
  <c r="BP155" i="1"/>
  <c r="BO155" i="1"/>
  <c r="BN155" i="1"/>
  <c r="BM155" i="1"/>
  <c r="Z155" i="1"/>
  <c r="Y155" i="1"/>
  <c r="BP154" i="1"/>
  <c r="BO154" i="1"/>
  <c r="BN154" i="1"/>
  <c r="BM154" i="1"/>
  <c r="Z154" i="1"/>
  <c r="Z156" i="1" s="1"/>
  <c r="Y154" i="1"/>
  <c r="Y157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P143" i="1"/>
  <c r="BP142" i="1"/>
  <c r="BO142" i="1"/>
  <c r="BN142" i="1"/>
  <c r="BM142" i="1"/>
  <c r="Z142" i="1"/>
  <c r="Z144" i="1" s="1"/>
  <c r="Y142" i="1"/>
  <c r="P142" i="1"/>
  <c r="X139" i="1"/>
  <c r="X138" i="1"/>
  <c r="BO137" i="1"/>
  <c r="BM137" i="1"/>
  <c r="Z137" i="1"/>
  <c r="Y137" i="1"/>
  <c r="BP137" i="1" s="1"/>
  <c r="P137" i="1"/>
  <c r="BO136" i="1"/>
  <c r="BM136" i="1"/>
  <c r="Z136" i="1"/>
  <c r="Y136" i="1"/>
  <c r="P136" i="1"/>
  <c r="Y133" i="1"/>
  <c r="X133" i="1"/>
  <c r="Z132" i="1"/>
  <c r="X132" i="1"/>
  <c r="BO131" i="1"/>
  <c r="BM131" i="1"/>
  <c r="Z131" i="1"/>
  <c r="Y131" i="1"/>
  <c r="X129" i="1"/>
  <c r="X128" i="1"/>
  <c r="BP127" i="1"/>
  <c r="BO127" i="1"/>
  <c r="BN127" i="1"/>
  <c r="BM127" i="1"/>
  <c r="Z127" i="1"/>
  <c r="Y127" i="1"/>
  <c r="P127" i="1"/>
  <c r="BO126" i="1"/>
  <c r="BM126" i="1"/>
  <c r="Z126" i="1"/>
  <c r="Y126" i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P124" i="1"/>
  <c r="BP123" i="1"/>
  <c r="BO123" i="1"/>
  <c r="BN123" i="1"/>
  <c r="BM123" i="1"/>
  <c r="Z123" i="1"/>
  <c r="Y123" i="1"/>
  <c r="P123" i="1"/>
  <c r="BO122" i="1"/>
  <c r="BM122" i="1"/>
  <c r="Z122" i="1"/>
  <c r="Z128" i="1" s="1"/>
  <c r="Y122" i="1"/>
  <c r="X119" i="1"/>
  <c r="X118" i="1"/>
  <c r="BP117" i="1"/>
  <c r="BO117" i="1"/>
  <c r="BN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P114" i="1"/>
  <c r="BO114" i="1"/>
  <c r="BN114" i="1"/>
  <c r="BM114" i="1"/>
  <c r="Z114" i="1"/>
  <c r="Z118" i="1" s="1"/>
  <c r="Y114" i="1"/>
  <c r="Y119" i="1" s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Y104" i="1"/>
  <c r="P104" i="1"/>
  <c r="BO103" i="1"/>
  <c r="BM103" i="1"/>
  <c r="Z103" i="1"/>
  <c r="Z110" i="1" s="1"/>
  <c r="Y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Z99" i="1" s="1"/>
  <c r="Y94" i="1"/>
  <c r="P94" i="1"/>
  <c r="X91" i="1"/>
  <c r="X90" i="1"/>
  <c r="BO89" i="1"/>
  <c r="BM89" i="1"/>
  <c r="Z89" i="1"/>
  <c r="Y89" i="1"/>
  <c r="BO88" i="1"/>
  <c r="BM88" i="1"/>
  <c r="Z88" i="1"/>
  <c r="Z90" i="1" s="1"/>
  <c r="Y88" i="1"/>
  <c r="P88" i="1"/>
  <c r="Y85" i="1"/>
  <c r="X85" i="1"/>
  <c r="Z84" i="1"/>
  <c r="X84" i="1"/>
  <c r="BO83" i="1"/>
  <c r="BM83" i="1"/>
  <c r="Z83" i="1"/>
  <c r="Y83" i="1"/>
  <c r="P83" i="1"/>
  <c r="BP82" i="1"/>
  <c r="BO82" i="1"/>
  <c r="BN82" i="1"/>
  <c r="BM82" i="1"/>
  <c r="Z82" i="1"/>
  <c r="Y82" i="1"/>
  <c r="Y84" i="1" s="1"/>
  <c r="P82" i="1"/>
  <c r="X79" i="1"/>
  <c r="Y78" i="1"/>
  <c r="X78" i="1"/>
  <c r="BP77" i="1"/>
  <c r="BO77" i="1"/>
  <c r="BN77" i="1"/>
  <c r="BM77" i="1"/>
  <c r="Z77" i="1"/>
  <c r="Y77" i="1"/>
  <c r="BP76" i="1"/>
  <c r="BO76" i="1"/>
  <c r="BN76" i="1"/>
  <c r="BM76" i="1"/>
  <c r="Z76" i="1"/>
  <c r="Y76" i="1"/>
  <c r="BP75" i="1"/>
  <c r="BO75" i="1"/>
  <c r="BN75" i="1"/>
  <c r="BM75" i="1"/>
  <c r="Z75" i="1"/>
  <c r="Z78" i="1" s="1"/>
  <c r="Y75" i="1"/>
  <c r="Y79" i="1" s="1"/>
  <c r="X73" i="1"/>
  <c r="Z72" i="1"/>
  <c r="X72" i="1"/>
  <c r="BO71" i="1"/>
  <c r="BM71" i="1"/>
  <c r="Z71" i="1"/>
  <c r="Y71" i="1"/>
  <c r="P71" i="1"/>
  <c r="Y69" i="1"/>
  <c r="X69" i="1"/>
  <c r="Z68" i="1"/>
  <c r="X68" i="1"/>
  <c r="BO67" i="1"/>
  <c r="BM67" i="1"/>
  <c r="Z67" i="1"/>
  <c r="Y67" i="1"/>
  <c r="X65" i="1"/>
  <c r="Y64" i="1"/>
  <c r="X64" i="1"/>
  <c r="BP63" i="1"/>
  <c r="BO63" i="1"/>
  <c r="BN63" i="1"/>
  <c r="BM63" i="1"/>
  <c r="Z63" i="1"/>
  <c r="Y63" i="1"/>
  <c r="BP62" i="1"/>
  <c r="BO62" i="1"/>
  <c r="BN62" i="1"/>
  <c r="BM62" i="1"/>
  <c r="Z62" i="1"/>
  <c r="Z64" i="1" s="1"/>
  <c r="Y62" i="1"/>
  <c r="Y65" i="1" s="1"/>
  <c r="X60" i="1"/>
  <c r="Z59" i="1"/>
  <c r="X59" i="1"/>
  <c r="BO58" i="1"/>
  <c r="BM58" i="1"/>
  <c r="Z58" i="1"/>
  <c r="Y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P52" i="1"/>
  <c r="BP51" i="1"/>
  <c r="BO51" i="1"/>
  <c r="BN51" i="1"/>
  <c r="BM51" i="1"/>
  <c r="Z51" i="1"/>
  <c r="Y51" i="1"/>
  <c r="P51" i="1"/>
  <c r="BO50" i="1"/>
  <c r="BM50" i="1"/>
  <c r="Z50" i="1"/>
  <c r="Y50" i="1"/>
  <c r="P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Y47" i="1"/>
  <c r="P47" i="1"/>
  <c r="BO46" i="1"/>
  <c r="BM46" i="1"/>
  <c r="Z46" i="1"/>
  <c r="Y46" i="1"/>
  <c r="P46" i="1"/>
  <c r="Y43" i="1"/>
  <c r="X43" i="1"/>
  <c r="Z42" i="1"/>
  <c r="X42" i="1"/>
  <c r="BO41" i="1"/>
  <c r="BM41" i="1"/>
  <c r="Z41" i="1"/>
  <c r="Y41" i="1"/>
  <c r="BO40" i="1"/>
  <c r="BM40" i="1"/>
  <c r="Z40" i="1"/>
  <c r="Y40" i="1"/>
  <c r="BO39" i="1"/>
  <c r="BM39" i="1"/>
  <c r="Z39" i="1"/>
  <c r="Y39" i="1"/>
  <c r="X36" i="1"/>
  <c r="X35" i="1"/>
  <c r="BP34" i="1"/>
  <c r="BO34" i="1"/>
  <c r="BN34" i="1"/>
  <c r="BM34" i="1"/>
  <c r="Z34" i="1"/>
  <c r="Y34" i="1"/>
  <c r="BP33" i="1"/>
  <c r="BO33" i="1"/>
  <c r="BN33" i="1"/>
  <c r="BM33" i="1"/>
  <c r="Z33" i="1"/>
  <c r="Y33" i="1"/>
  <c r="BP32" i="1"/>
  <c r="BO32" i="1"/>
  <c r="BN32" i="1"/>
  <c r="BM32" i="1"/>
  <c r="Z32" i="1"/>
  <c r="Y32" i="1"/>
  <c r="BP31" i="1"/>
  <c r="BO31" i="1"/>
  <c r="BN31" i="1"/>
  <c r="BM31" i="1"/>
  <c r="Z31" i="1"/>
  <c r="Y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O28" i="1"/>
  <c r="BM28" i="1"/>
  <c r="Z28" i="1"/>
  <c r="Z35" i="1" s="1"/>
  <c r="Y28" i="1"/>
  <c r="Y36" i="1" s="1"/>
  <c r="X24" i="1"/>
  <c r="Z23" i="1"/>
  <c r="X23" i="1"/>
  <c r="BO22" i="1"/>
  <c r="BM22" i="1"/>
  <c r="Z22" i="1"/>
  <c r="Y22" i="1"/>
  <c r="P22" i="1"/>
  <c r="H10" i="1"/>
  <c r="H9" i="1"/>
  <c r="A9" i="1"/>
  <c r="D7" i="1"/>
  <c r="Q6" i="1"/>
  <c r="P2" i="1"/>
  <c r="BN198" i="1" l="1"/>
  <c r="BN196" i="1"/>
  <c r="BN137" i="1"/>
  <c r="X336" i="1"/>
  <c r="X337" i="1"/>
  <c r="X340" i="1"/>
  <c r="BN28" i="1"/>
  <c r="BP28" i="1"/>
  <c r="Y35" i="1"/>
  <c r="Y23" i="1"/>
  <c r="BP22" i="1"/>
  <c r="BN22" i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72" i="1"/>
  <c r="BP71" i="1"/>
  <c r="BN71" i="1"/>
  <c r="Y90" i="1"/>
  <c r="BP88" i="1"/>
  <c r="BN88" i="1"/>
  <c r="BP89" i="1"/>
  <c r="BN89" i="1"/>
  <c r="Y139" i="1"/>
  <c r="BP136" i="1"/>
  <c r="BN136" i="1"/>
  <c r="Y138" i="1"/>
  <c r="BP143" i="1"/>
  <c r="BN143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F10" i="1"/>
  <c r="J9" i="1"/>
  <c r="F9" i="1"/>
  <c r="A10" i="1"/>
  <c r="X338" i="1"/>
  <c r="Y24" i="1"/>
  <c r="Y42" i="1"/>
  <c r="BP39" i="1"/>
  <c r="BN39" i="1"/>
  <c r="BP40" i="1"/>
  <c r="BN40" i="1"/>
  <c r="BP41" i="1"/>
  <c r="BN41" i="1"/>
  <c r="Z54" i="1"/>
  <c r="Z341" i="1" s="1"/>
  <c r="Y60" i="1"/>
  <c r="Y68" i="1"/>
  <c r="BP67" i="1"/>
  <c r="BN67" i="1"/>
  <c r="Y73" i="1"/>
  <c r="BP83" i="1"/>
  <c r="BN83" i="1"/>
  <c r="Y91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Z138" i="1"/>
  <c r="Y144" i="1"/>
  <c r="Y145" i="1"/>
  <c r="Y151" i="1"/>
  <c r="BP148" i="1"/>
  <c r="BN148" i="1"/>
  <c r="Y150" i="1"/>
  <c r="BP166" i="1"/>
  <c r="BN166" i="1"/>
  <c r="Y173" i="1"/>
  <c r="Y186" i="1"/>
  <c r="BP182" i="1"/>
  <c r="BN182" i="1"/>
  <c r="BP183" i="1"/>
  <c r="BN183" i="1"/>
  <c r="BP185" i="1"/>
  <c r="BN185" i="1"/>
  <c r="Z191" i="1"/>
  <c r="Y200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X339" i="1" l="1"/>
  <c r="Y337" i="1"/>
  <c r="Y340" i="1"/>
  <c r="Y336" i="1"/>
  <c r="Y338" i="1"/>
  <c r="Y339" i="1" l="1"/>
  <c r="A349" i="1" s="1"/>
  <c r="B349" i="1" l="1"/>
  <c r="C349" i="1"/>
</calcChain>
</file>

<file path=xl/sharedStrings.xml><?xml version="1.0" encoding="utf-8"?>
<sst xmlns="http://schemas.openxmlformats.org/spreadsheetml/2006/main" count="1706" uniqueCount="557">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</sst>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2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0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5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6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32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27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9"/>
  <sheetViews>
    <sheetView showGridLines="0" tabSelected="1" topLeftCell="A320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537" t="s">
        <v>0</v>
      </c>
      <c r="E1" s="386"/>
      <c r="F1" s="386"/>
      <c r="G1" s="12" t="s">
        <v>1</v>
      </c>
      <c r="H1" s="537" t="s">
        <v>2</v>
      </c>
      <c r="I1" s="386"/>
      <c r="J1" s="386"/>
      <c r="K1" s="386"/>
      <c r="L1" s="386"/>
      <c r="M1" s="386"/>
      <c r="N1" s="386"/>
      <c r="O1" s="386"/>
      <c r="P1" s="386"/>
      <c r="Q1" s="386"/>
      <c r="R1" s="574" t="s">
        <v>3</v>
      </c>
      <c r="S1" s="386"/>
      <c r="T1" s="38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7"/>
      <c r="R2" s="367"/>
      <c r="S2" s="367"/>
      <c r="T2" s="367"/>
      <c r="U2" s="367"/>
      <c r="V2" s="367"/>
      <c r="W2" s="367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7"/>
      <c r="Q3" s="367"/>
      <c r="R3" s="367"/>
      <c r="S3" s="367"/>
      <c r="T3" s="367"/>
      <c r="U3" s="367"/>
      <c r="V3" s="367"/>
      <c r="W3" s="367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511" t="s">
        <v>8</v>
      </c>
      <c r="B5" s="435"/>
      <c r="C5" s="390"/>
      <c r="D5" s="440"/>
      <c r="E5" s="442"/>
      <c r="F5" s="410" t="s">
        <v>9</v>
      </c>
      <c r="G5" s="390"/>
      <c r="H5" s="440"/>
      <c r="I5" s="441"/>
      <c r="J5" s="441"/>
      <c r="K5" s="441"/>
      <c r="L5" s="441"/>
      <c r="M5" s="442"/>
      <c r="N5" s="61"/>
      <c r="P5" s="24" t="s">
        <v>10</v>
      </c>
      <c r="Q5" s="394">
        <v>45759</v>
      </c>
      <c r="R5" s="395"/>
      <c r="T5" s="497" t="s">
        <v>11</v>
      </c>
      <c r="U5" s="491"/>
      <c r="V5" s="499" t="s">
        <v>12</v>
      </c>
      <c r="W5" s="395"/>
      <c r="AB5" s="51"/>
      <c r="AC5" s="51"/>
      <c r="AD5" s="51"/>
      <c r="AE5" s="51"/>
    </row>
    <row r="6" spans="1:32" s="348" customFormat="1" ht="24" customHeight="1" x14ac:dyDescent="0.2">
      <c r="A6" s="511" t="s">
        <v>13</v>
      </c>
      <c r="B6" s="435"/>
      <c r="C6" s="390"/>
      <c r="D6" s="445" t="s">
        <v>14</v>
      </c>
      <c r="E6" s="446"/>
      <c r="F6" s="446"/>
      <c r="G6" s="446"/>
      <c r="H6" s="446"/>
      <c r="I6" s="446"/>
      <c r="J6" s="446"/>
      <c r="K6" s="446"/>
      <c r="L6" s="446"/>
      <c r="M6" s="395"/>
      <c r="N6" s="62"/>
      <c r="P6" s="24" t="s">
        <v>15</v>
      </c>
      <c r="Q6" s="401" t="str">
        <f>IF(Q5=0," ",CHOOSE(WEEKDAY(Q5,2),"Понедельник","Вторник","Среда","Четверг","Пятница","Суббота","Воскресенье"))</f>
        <v>Суббота</v>
      </c>
      <c r="R6" s="365"/>
      <c r="T6" s="490" t="s">
        <v>16</v>
      </c>
      <c r="U6" s="491"/>
      <c r="V6" s="453" t="s">
        <v>17</v>
      </c>
      <c r="W6" s="454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557" t="str">
        <f>IFERROR(VLOOKUP(DeliveryAddress,Table,3,0),1)</f>
        <v>1</v>
      </c>
      <c r="E7" s="558"/>
      <c r="F7" s="558"/>
      <c r="G7" s="558"/>
      <c r="H7" s="558"/>
      <c r="I7" s="558"/>
      <c r="J7" s="558"/>
      <c r="K7" s="558"/>
      <c r="L7" s="558"/>
      <c r="M7" s="501"/>
      <c r="N7" s="63"/>
      <c r="P7" s="24"/>
      <c r="Q7" s="42"/>
      <c r="R7" s="42"/>
      <c r="T7" s="367"/>
      <c r="U7" s="491"/>
      <c r="V7" s="455"/>
      <c r="W7" s="456"/>
      <c r="AB7" s="51"/>
      <c r="AC7" s="51"/>
      <c r="AD7" s="51"/>
      <c r="AE7" s="51"/>
    </row>
    <row r="8" spans="1:32" s="348" customFormat="1" ht="25.5" customHeight="1" x14ac:dyDescent="0.2">
      <c r="A8" s="358" t="s">
        <v>18</v>
      </c>
      <c r="B8" s="359"/>
      <c r="C8" s="360"/>
      <c r="D8" s="563" t="s">
        <v>19</v>
      </c>
      <c r="E8" s="564"/>
      <c r="F8" s="564"/>
      <c r="G8" s="564"/>
      <c r="H8" s="564"/>
      <c r="I8" s="564"/>
      <c r="J8" s="564"/>
      <c r="K8" s="564"/>
      <c r="L8" s="564"/>
      <c r="M8" s="565"/>
      <c r="N8" s="64"/>
      <c r="P8" s="24" t="s">
        <v>20</v>
      </c>
      <c r="Q8" s="500">
        <v>0.41666666666666669</v>
      </c>
      <c r="R8" s="501"/>
      <c r="T8" s="367"/>
      <c r="U8" s="491"/>
      <c r="V8" s="455"/>
      <c r="W8" s="456"/>
      <c r="AB8" s="51"/>
      <c r="AC8" s="51"/>
      <c r="AD8" s="51"/>
      <c r="AE8" s="51"/>
    </row>
    <row r="9" spans="1:32" s="348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7"/>
      <c r="C9" s="367"/>
      <c r="D9" s="423"/>
      <c r="E9" s="424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7"/>
      <c r="H9" s="504" t="str">
        <f>IF(AND($A$9="Тип доверенности/получателя при получении в адресе перегруза:",$D$9="Разовая доверенность"),"Введите ФИО","")</f>
        <v/>
      </c>
      <c r="I9" s="424"/>
      <c r="J9" s="5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24"/>
      <c r="L9" s="424"/>
      <c r="M9" s="424"/>
      <c r="N9" s="346"/>
      <c r="P9" s="26" t="s">
        <v>21</v>
      </c>
      <c r="Q9" s="522"/>
      <c r="R9" s="414"/>
      <c r="T9" s="367"/>
      <c r="U9" s="491"/>
      <c r="V9" s="457"/>
      <c r="W9" s="458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7"/>
      <c r="C10" s="367"/>
      <c r="D10" s="423"/>
      <c r="E10" s="424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7"/>
      <c r="H10" s="469" t="str">
        <f>IFERROR(VLOOKUP($D$10,Proxy,2,FALSE),"")</f>
        <v/>
      </c>
      <c r="I10" s="367"/>
      <c r="J10" s="367"/>
      <c r="K10" s="367"/>
      <c r="L10" s="367"/>
      <c r="M10" s="367"/>
      <c r="N10" s="347"/>
      <c r="P10" s="26" t="s">
        <v>22</v>
      </c>
      <c r="Q10" s="492"/>
      <c r="R10" s="493"/>
      <c r="U10" s="24" t="s">
        <v>23</v>
      </c>
      <c r="V10" s="581" t="s">
        <v>24</v>
      </c>
      <c r="W10" s="454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524"/>
      <c r="R11" s="395"/>
      <c r="U11" s="24" t="s">
        <v>27</v>
      </c>
      <c r="V11" s="413" t="s">
        <v>28</v>
      </c>
      <c r="W11" s="414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96" t="s">
        <v>29</v>
      </c>
      <c r="B12" s="435"/>
      <c r="C12" s="435"/>
      <c r="D12" s="435"/>
      <c r="E12" s="435"/>
      <c r="F12" s="435"/>
      <c r="G12" s="435"/>
      <c r="H12" s="435"/>
      <c r="I12" s="435"/>
      <c r="J12" s="435"/>
      <c r="K12" s="435"/>
      <c r="L12" s="435"/>
      <c r="M12" s="390"/>
      <c r="N12" s="65"/>
      <c r="P12" s="24" t="s">
        <v>30</v>
      </c>
      <c r="Q12" s="500"/>
      <c r="R12" s="501"/>
      <c r="S12" s="23"/>
      <c r="U12" s="24"/>
      <c r="V12" s="386"/>
      <c r="W12" s="367"/>
      <c r="AB12" s="51"/>
      <c r="AC12" s="51"/>
      <c r="AD12" s="51"/>
      <c r="AE12" s="51"/>
    </row>
    <row r="13" spans="1:32" s="348" customFormat="1" ht="23.25" customHeight="1" x14ac:dyDescent="0.2">
      <c r="A13" s="496" t="s">
        <v>31</v>
      </c>
      <c r="B13" s="435"/>
      <c r="C13" s="435"/>
      <c r="D13" s="435"/>
      <c r="E13" s="435"/>
      <c r="F13" s="435"/>
      <c r="G13" s="435"/>
      <c r="H13" s="435"/>
      <c r="I13" s="435"/>
      <c r="J13" s="435"/>
      <c r="K13" s="435"/>
      <c r="L13" s="435"/>
      <c r="M13" s="390"/>
      <c r="N13" s="65"/>
      <c r="O13" s="26"/>
      <c r="P13" s="26" t="s">
        <v>32</v>
      </c>
      <c r="Q13" s="413"/>
      <c r="R13" s="4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96" t="s">
        <v>33</v>
      </c>
      <c r="B14" s="435"/>
      <c r="C14" s="435"/>
      <c r="D14" s="435"/>
      <c r="E14" s="435"/>
      <c r="F14" s="435"/>
      <c r="G14" s="435"/>
      <c r="H14" s="435"/>
      <c r="I14" s="435"/>
      <c r="J14" s="435"/>
      <c r="K14" s="435"/>
      <c r="L14" s="435"/>
      <c r="M14" s="39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502" t="s">
        <v>34</v>
      </c>
      <c r="B15" s="435"/>
      <c r="C15" s="435"/>
      <c r="D15" s="435"/>
      <c r="E15" s="435"/>
      <c r="F15" s="435"/>
      <c r="G15" s="435"/>
      <c r="H15" s="435"/>
      <c r="I15" s="435"/>
      <c r="J15" s="435"/>
      <c r="K15" s="435"/>
      <c r="L15" s="435"/>
      <c r="M15" s="390"/>
      <c r="N15" s="66"/>
      <c r="P15" s="527" t="s">
        <v>35</v>
      </c>
      <c r="Q15" s="386"/>
      <c r="R15" s="386"/>
      <c r="S15" s="386"/>
      <c r="T15" s="38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28"/>
      <c r="Q16" s="528"/>
      <c r="R16" s="528"/>
      <c r="S16" s="528"/>
      <c r="T16" s="52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5" t="s">
        <v>36</v>
      </c>
      <c r="B17" s="375" t="s">
        <v>37</v>
      </c>
      <c r="C17" s="512" t="s">
        <v>38</v>
      </c>
      <c r="D17" s="375" t="s">
        <v>39</v>
      </c>
      <c r="E17" s="376"/>
      <c r="F17" s="375" t="s">
        <v>40</v>
      </c>
      <c r="G17" s="375" t="s">
        <v>41</v>
      </c>
      <c r="H17" s="375" t="s">
        <v>42</v>
      </c>
      <c r="I17" s="375" t="s">
        <v>43</v>
      </c>
      <c r="J17" s="375" t="s">
        <v>44</v>
      </c>
      <c r="K17" s="375" t="s">
        <v>45</v>
      </c>
      <c r="L17" s="375" t="s">
        <v>46</v>
      </c>
      <c r="M17" s="375" t="s">
        <v>47</v>
      </c>
      <c r="N17" s="375" t="s">
        <v>48</v>
      </c>
      <c r="O17" s="375" t="s">
        <v>49</v>
      </c>
      <c r="P17" s="375" t="s">
        <v>50</v>
      </c>
      <c r="Q17" s="539"/>
      <c r="R17" s="539"/>
      <c r="S17" s="539"/>
      <c r="T17" s="376"/>
      <c r="U17" s="389" t="s">
        <v>51</v>
      </c>
      <c r="V17" s="390"/>
      <c r="W17" s="375" t="s">
        <v>52</v>
      </c>
      <c r="X17" s="375" t="s">
        <v>53</v>
      </c>
      <c r="Y17" s="391" t="s">
        <v>54</v>
      </c>
      <c r="Z17" s="465" t="s">
        <v>55</v>
      </c>
      <c r="AA17" s="404" t="s">
        <v>56</v>
      </c>
      <c r="AB17" s="404" t="s">
        <v>57</v>
      </c>
      <c r="AC17" s="404" t="s">
        <v>58</v>
      </c>
      <c r="AD17" s="404" t="s">
        <v>59</v>
      </c>
      <c r="AE17" s="405"/>
      <c r="AF17" s="406"/>
      <c r="AG17" s="69"/>
      <c r="BD17" s="68" t="s">
        <v>60</v>
      </c>
    </row>
    <row r="18" spans="1:68" ht="14.25" customHeight="1" x14ac:dyDescent="0.2">
      <c r="A18" s="382"/>
      <c r="B18" s="382"/>
      <c r="C18" s="382"/>
      <c r="D18" s="377"/>
      <c r="E18" s="378"/>
      <c r="F18" s="382"/>
      <c r="G18" s="382"/>
      <c r="H18" s="382"/>
      <c r="I18" s="382"/>
      <c r="J18" s="382"/>
      <c r="K18" s="382"/>
      <c r="L18" s="382"/>
      <c r="M18" s="382"/>
      <c r="N18" s="382"/>
      <c r="O18" s="382"/>
      <c r="P18" s="377"/>
      <c r="Q18" s="540"/>
      <c r="R18" s="540"/>
      <c r="S18" s="540"/>
      <c r="T18" s="378"/>
      <c r="U18" s="70" t="s">
        <v>61</v>
      </c>
      <c r="V18" s="70" t="s">
        <v>62</v>
      </c>
      <c r="W18" s="382"/>
      <c r="X18" s="382"/>
      <c r="Y18" s="392"/>
      <c r="Z18" s="466"/>
      <c r="AA18" s="468"/>
      <c r="AB18" s="468"/>
      <c r="AC18" s="468"/>
      <c r="AD18" s="407"/>
      <c r="AE18" s="408"/>
      <c r="AF18" s="409"/>
      <c r="AG18" s="69"/>
      <c r="BD18" s="68"/>
    </row>
    <row r="19" spans="1:68" ht="27.75" customHeight="1" x14ac:dyDescent="0.2">
      <c r="A19" s="402" t="s">
        <v>63</v>
      </c>
      <c r="B19" s="403"/>
      <c r="C19" s="403"/>
      <c r="D19" s="403"/>
      <c r="E19" s="403"/>
      <c r="F19" s="403"/>
      <c r="G19" s="403"/>
      <c r="H19" s="403"/>
      <c r="I19" s="403"/>
      <c r="J19" s="403"/>
      <c r="K19" s="403"/>
      <c r="L19" s="403"/>
      <c r="M19" s="403"/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403"/>
      <c r="Y19" s="403"/>
      <c r="Z19" s="403"/>
      <c r="AA19" s="48"/>
      <c r="AB19" s="48"/>
      <c r="AC19" s="48"/>
    </row>
    <row r="20" spans="1:68" ht="16.5" customHeight="1" x14ac:dyDescent="0.25">
      <c r="A20" s="369" t="s">
        <v>63</v>
      </c>
      <c r="B20" s="367"/>
      <c r="C20" s="367"/>
      <c r="D20" s="367"/>
      <c r="E20" s="367"/>
      <c r="F20" s="367"/>
      <c r="G20" s="367"/>
      <c r="H20" s="367"/>
      <c r="I20" s="367"/>
      <c r="J20" s="367"/>
      <c r="K20" s="367"/>
      <c r="L20" s="367"/>
      <c r="M20" s="367"/>
      <c r="N20" s="367"/>
      <c r="O20" s="367"/>
      <c r="P20" s="367"/>
      <c r="Q20" s="367"/>
      <c r="R20" s="367"/>
      <c r="S20" s="367"/>
      <c r="T20" s="367"/>
      <c r="U20" s="367"/>
      <c r="V20" s="367"/>
      <c r="W20" s="367"/>
      <c r="X20" s="367"/>
      <c r="Y20" s="367"/>
      <c r="Z20" s="367"/>
      <c r="AA20" s="349"/>
      <c r="AB20" s="349"/>
      <c r="AC20" s="349"/>
    </row>
    <row r="21" spans="1:68" ht="14.25" customHeight="1" x14ac:dyDescent="0.25">
      <c r="A21" s="366" t="s">
        <v>64</v>
      </c>
      <c r="B21" s="367"/>
      <c r="C21" s="367"/>
      <c r="D21" s="367"/>
      <c r="E21" s="367"/>
      <c r="F21" s="367"/>
      <c r="G21" s="367"/>
      <c r="H21" s="367"/>
      <c r="I21" s="367"/>
      <c r="J21" s="367"/>
      <c r="K21" s="367"/>
      <c r="L21" s="367"/>
      <c r="M21" s="367"/>
      <c r="N21" s="367"/>
      <c r="O21" s="367"/>
      <c r="P21" s="367"/>
      <c r="Q21" s="367"/>
      <c r="R21" s="367"/>
      <c r="S21" s="367"/>
      <c r="T21" s="367"/>
      <c r="U21" s="367"/>
      <c r="V21" s="367"/>
      <c r="W21" s="367"/>
      <c r="X21" s="367"/>
      <c r="Y21" s="367"/>
      <c r="Z21" s="367"/>
      <c r="AA21" s="350"/>
      <c r="AB21" s="350"/>
      <c r="AC21" s="350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364">
        <v>4607111035752</v>
      </c>
      <c r="E22" s="365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6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62"/>
      <c r="R22" s="362"/>
      <c r="S22" s="362"/>
      <c r="T22" s="363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73"/>
      <c r="B23" s="367"/>
      <c r="C23" s="367"/>
      <c r="D23" s="367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74"/>
      <c r="P23" s="368" t="s">
        <v>73</v>
      </c>
      <c r="Q23" s="359"/>
      <c r="R23" s="359"/>
      <c r="S23" s="359"/>
      <c r="T23" s="359"/>
      <c r="U23" s="359"/>
      <c r="V23" s="36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x14ac:dyDescent="0.2">
      <c r="A24" s="367"/>
      <c r="B24" s="367"/>
      <c r="C24" s="367"/>
      <c r="D24" s="367"/>
      <c r="E24" s="367"/>
      <c r="F24" s="367"/>
      <c r="G24" s="367"/>
      <c r="H24" s="367"/>
      <c r="I24" s="367"/>
      <c r="J24" s="367"/>
      <c r="K24" s="367"/>
      <c r="L24" s="367"/>
      <c r="M24" s="367"/>
      <c r="N24" s="367"/>
      <c r="O24" s="374"/>
      <c r="P24" s="368" t="s">
        <v>73</v>
      </c>
      <c r="Q24" s="359"/>
      <c r="R24" s="359"/>
      <c r="S24" s="359"/>
      <c r="T24" s="359"/>
      <c r="U24" s="359"/>
      <c r="V24" s="36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customHeight="1" x14ac:dyDescent="0.2">
      <c r="A25" s="402" t="s">
        <v>75</v>
      </c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U25" s="403"/>
      <c r="V25" s="403"/>
      <c r="W25" s="403"/>
      <c r="X25" s="403"/>
      <c r="Y25" s="403"/>
      <c r="Z25" s="403"/>
      <c r="AA25" s="48"/>
      <c r="AB25" s="48"/>
      <c r="AC25" s="48"/>
    </row>
    <row r="26" spans="1:68" ht="16.5" customHeight="1" x14ac:dyDescent="0.25">
      <c r="A26" s="369" t="s">
        <v>76</v>
      </c>
      <c r="B26" s="367"/>
      <c r="C26" s="367"/>
      <c r="D26" s="367"/>
      <c r="E26" s="367"/>
      <c r="F26" s="367"/>
      <c r="G26" s="367"/>
      <c r="H26" s="367"/>
      <c r="I26" s="367"/>
      <c r="J26" s="367"/>
      <c r="K26" s="367"/>
      <c r="L26" s="367"/>
      <c r="M26" s="367"/>
      <c r="N26" s="367"/>
      <c r="O26" s="367"/>
      <c r="P26" s="367"/>
      <c r="Q26" s="367"/>
      <c r="R26" s="367"/>
      <c r="S26" s="367"/>
      <c r="T26" s="367"/>
      <c r="U26" s="367"/>
      <c r="V26" s="367"/>
      <c r="W26" s="367"/>
      <c r="X26" s="367"/>
      <c r="Y26" s="367"/>
      <c r="Z26" s="367"/>
      <c r="AA26" s="349"/>
      <c r="AB26" s="349"/>
      <c r="AC26" s="349"/>
    </row>
    <row r="27" spans="1:68" ht="14.25" customHeight="1" x14ac:dyDescent="0.25">
      <c r="A27" s="366" t="s">
        <v>77</v>
      </c>
      <c r="B27" s="367"/>
      <c r="C27" s="367"/>
      <c r="D27" s="367"/>
      <c r="E27" s="367"/>
      <c r="F27" s="367"/>
      <c r="G27" s="367"/>
      <c r="H27" s="367"/>
      <c r="I27" s="367"/>
      <c r="J27" s="367"/>
      <c r="K27" s="367"/>
      <c r="L27" s="367"/>
      <c r="M27" s="367"/>
      <c r="N27" s="367"/>
      <c r="O27" s="367"/>
      <c r="P27" s="367"/>
      <c r="Q27" s="367"/>
      <c r="R27" s="367"/>
      <c r="S27" s="367"/>
      <c r="T27" s="367"/>
      <c r="U27" s="367"/>
      <c r="V27" s="367"/>
      <c r="W27" s="367"/>
      <c r="X27" s="367"/>
      <c r="Y27" s="367"/>
      <c r="Z27" s="367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64">
        <v>4607111036520</v>
      </c>
      <c r="E28" s="365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575" t="s">
        <v>81</v>
      </c>
      <c r="Q28" s="362"/>
      <c r="R28" s="362"/>
      <c r="S28" s="362"/>
      <c r="T28" s="363"/>
      <c r="U28" s="34"/>
      <c r="V28" s="34"/>
      <c r="W28" s="35" t="s">
        <v>70</v>
      </c>
      <c r="X28" s="354">
        <v>42</v>
      </c>
      <c r="Y28" s="355">
        <f t="shared" ref="Y28:Y34" si="0">IFERROR(IF(X28="","",X28),"")</f>
        <v>42</v>
      </c>
      <c r="Z28" s="36">
        <f t="shared" ref="Z28:Z34" si="1">IFERROR(IF(X28="","",X28*0.00941),"")</f>
        <v>0.39522000000000002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80.715599999999995</v>
      </c>
      <c r="BN28" s="67">
        <f t="shared" ref="BN28:BN34" si="3">IFERROR(Y28*I28,"0")</f>
        <v>80.715599999999995</v>
      </c>
      <c r="BO28" s="67">
        <f t="shared" ref="BO28:BO34" si="4">IFERROR(X28/J28,"0")</f>
        <v>0.3</v>
      </c>
      <c r="BP28" s="67">
        <f t="shared" ref="BP28:BP34" si="5">IFERROR(Y28/J28,"0")</f>
        <v>0.3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64">
        <v>4607111036520</v>
      </c>
      <c r="E29" s="365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560" t="s">
        <v>81</v>
      </c>
      <c r="Q29" s="362"/>
      <c r="R29" s="362"/>
      <c r="S29" s="362"/>
      <c r="T29" s="363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64">
        <v>4607111036537</v>
      </c>
      <c r="E30" s="365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578" t="s">
        <v>88</v>
      </c>
      <c r="Q30" s="362"/>
      <c r="R30" s="362"/>
      <c r="S30" s="362"/>
      <c r="T30" s="363"/>
      <c r="U30" s="34"/>
      <c r="V30" s="34"/>
      <c r="W30" s="35" t="s">
        <v>70</v>
      </c>
      <c r="X30" s="354">
        <v>0</v>
      </c>
      <c r="Y30" s="355">
        <f t="shared" si="0"/>
        <v>0</v>
      </c>
      <c r="Z30" s="36">
        <f t="shared" si="1"/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0</v>
      </c>
      <c r="BN30" s="67">
        <f t="shared" si="3"/>
        <v>0</v>
      </c>
      <c r="BO30" s="67">
        <f t="shared" si="4"/>
        <v>0</v>
      </c>
      <c r="BP30" s="67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4301132209</v>
      </c>
      <c r="D31" s="364">
        <v>4607111036599</v>
      </c>
      <c r="E31" s="365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553" t="s">
        <v>91</v>
      </c>
      <c r="Q31" s="362"/>
      <c r="R31" s="362"/>
      <c r="S31" s="362"/>
      <c r="T31" s="363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64">
        <v>4607111036599</v>
      </c>
      <c r="E32" s="365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552" t="s">
        <v>91</v>
      </c>
      <c r="Q32" s="362"/>
      <c r="R32" s="362"/>
      <c r="S32" s="362"/>
      <c r="T32" s="363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customHeight="1" x14ac:dyDescent="0.25">
      <c r="A33" s="54" t="s">
        <v>94</v>
      </c>
      <c r="B33" s="54" t="s">
        <v>95</v>
      </c>
      <c r="C33" s="31">
        <v>4301132210</v>
      </c>
      <c r="D33" s="364">
        <v>4607111036605</v>
      </c>
      <c r="E33" s="365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450" t="s">
        <v>96</v>
      </c>
      <c r="Q33" s="362"/>
      <c r="R33" s="362"/>
      <c r="S33" s="362"/>
      <c r="T33" s="363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64">
        <v>4607111036605</v>
      </c>
      <c r="E34" s="365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09" t="s">
        <v>96</v>
      </c>
      <c r="Q34" s="362"/>
      <c r="R34" s="362"/>
      <c r="S34" s="362"/>
      <c r="T34" s="363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73"/>
      <c r="B35" s="367"/>
      <c r="C35" s="367"/>
      <c r="D35" s="367"/>
      <c r="E35" s="367"/>
      <c r="F35" s="367"/>
      <c r="G35" s="367"/>
      <c r="H35" s="367"/>
      <c r="I35" s="367"/>
      <c r="J35" s="367"/>
      <c r="K35" s="367"/>
      <c r="L35" s="367"/>
      <c r="M35" s="367"/>
      <c r="N35" s="367"/>
      <c r="O35" s="374"/>
      <c r="P35" s="368" t="s">
        <v>73</v>
      </c>
      <c r="Q35" s="359"/>
      <c r="R35" s="359"/>
      <c r="S35" s="359"/>
      <c r="T35" s="359"/>
      <c r="U35" s="359"/>
      <c r="V35" s="360"/>
      <c r="W35" s="37" t="s">
        <v>70</v>
      </c>
      <c r="X35" s="356">
        <f>IFERROR(SUM(X28:X34),"0")</f>
        <v>42</v>
      </c>
      <c r="Y35" s="356">
        <f>IFERROR(SUM(Y28:Y34),"0")</f>
        <v>42</v>
      </c>
      <c r="Z35" s="356">
        <f>IFERROR(IF(Z28="",0,Z28),"0")+IFERROR(IF(Z29="",0,Z29),"0")+IFERROR(IF(Z30="",0,Z30),"0")+IFERROR(IF(Z31="",0,Z31),"0")+IFERROR(IF(Z32="",0,Z32),"0")+IFERROR(IF(Z33="",0,Z33),"0")+IFERROR(IF(Z34="",0,Z34),"0")</f>
        <v>0.39522000000000002</v>
      </c>
      <c r="AA35" s="357"/>
      <c r="AB35" s="357"/>
      <c r="AC35" s="357"/>
    </row>
    <row r="36" spans="1:68" x14ac:dyDescent="0.2">
      <c r="A36" s="367"/>
      <c r="B36" s="367"/>
      <c r="C36" s="367"/>
      <c r="D36" s="367"/>
      <c r="E36" s="367"/>
      <c r="F36" s="367"/>
      <c r="G36" s="367"/>
      <c r="H36" s="367"/>
      <c r="I36" s="367"/>
      <c r="J36" s="367"/>
      <c r="K36" s="367"/>
      <c r="L36" s="367"/>
      <c r="M36" s="367"/>
      <c r="N36" s="367"/>
      <c r="O36" s="374"/>
      <c r="P36" s="368" t="s">
        <v>73</v>
      </c>
      <c r="Q36" s="359"/>
      <c r="R36" s="359"/>
      <c r="S36" s="359"/>
      <c r="T36" s="359"/>
      <c r="U36" s="359"/>
      <c r="V36" s="360"/>
      <c r="W36" s="37" t="s">
        <v>74</v>
      </c>
      <c r="X36" s="356">
        <f>IFERROR(SUMPRODUCT(X28:X34*H28:H34),"0")</f>
        <v>63</v>
      </c>
      <c r="Y36" s="356">
        <f>IFERROR(SUMPRODUCT(Y28:Y34*H28:H34),"0")</f>
        <v>63</v>
      </c>
      <c r="Z36" s="37"/>
      <c r="AA36" s="357"/>
      <c r="AB36" s="357"/>
      <c r="AC36" s="357"/>
    </row>
    <row r="37" spans="1:68" ht="16.5" customHeight="1" x14ac:dyDescent="0.25">
      <c r="A37" s="369" t="s">
        <v>99</v>
      </c>
      <c r="B37" s="367"/>
      <c r="C37" s="367"/>
      <c r="D37" s="367"/>
      <c r="E37" s="367"/>
      <c r="F37" s="367"/>
      <c r="G37" s="367"/>
      <c r="H37" s="367"/>
      <c r="I37" s="367"/>
      <c r="J37" s="367"/>
      <c r="K37" s="367"/>
      <c r="L37" s="367"/>
      <c r="M37" s="367"/>
      <c r="N37" s="367"/>
      <c r="O37" s="367"/>
      <c r="P37" s="367"/>
      <c r="Q37" s="367"/>
      <c r="R37" s="367"/>
      <c r="S37" s="367"/>
      <c r="T37" s="367"/>
      <c r="U37" s="367"/>
      <c r="V37" s="367"/>
      <c r="W37" s="367"/>
      <c r="X37" s="367"/>
      <c r="Y37" s="367"/>
      <c r="Z37" s="367"/>
      <c r="AA37" s="349"/>
      <c r="AB37" s="349"/>
      <c r="AC37" s="349"/>
    </row>
    <row r="38" spans="1:68" ht="14.25" customHeight="1" x14ac:dyDescent="0.25">
      <c r="A38" s="366" t="s">
        <v>64</v>
      </c>
      <c r="B38" s="367"/>
      <c r="C38" s="367"/>
      <c r="D38" s="367"/>
      <c r="E38" s="367"/>
      <c r="F38" s="367"/>
      <c r="G38" s="367"/>
      <c r="H38" s="367"/>
      <c r="I38" s="367"/>
      <c r="J38" s="367"/>
      <c r="K38" s="367"/>
      <c r="L38" s="367"/>
      <c r="M38" s="367"/>
      <c r="N38" s="367"/>
      <c r="O38" s="367"/>
      <c r="P38" s="367"/>
      <c r="Q38" s="367"/>
      <c r="R38" s="367"/>
      <c r="S38" s="367"/>
      <c r="T38" s="367"/>
      <c r="U38" s="367"/>
      <c r="V38" s="367"/>
      <c r="W38" s="367"/>
      <c r="X38" s="367"/>
      <c r="Y38" s="367"/>
      <c r="Z38" s="367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64">
        <v>4620207490075</v>
      </c>
      <c r="E39" s="365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549" t="s">
        <v>102</v>
      </c>
      <c r="Q39" s="362"/>
      <c r="R39" s="362"/>
      <c r="S39" s="362"/>
      <c r="T39" s="363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104</v>
      </c>
      <c r="B40" s="54" t="s">
        <v>105</v>
      </c>
      <c r="C40" s="31">
        <v>4301071092</v>
      </c>
      <c r="D40" s="364">
        <v>4620207490174</v>
      </c>
      <c r="E40" s="365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463" t="s">
        <v>106</v>
      </c>
      <c r="Q40" s="362"/>
      <c r="R40" s="362"/>
      <c r="S40" s="362"/>
      <c r="T40" s="363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4301071091</v>
      </c>
      <c r="D41" s="364">
        <v>4620207490044</v>
      </c>
      <c r="E41" s="365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439" t="s">
        <v>110</v>
      </c>
      <c r="Q41" s="362"/>
      <c r="R41" s="362"/>
      <c r="S41" s="362"/>
      <c r="T41" s="363"/>
      <c r="U41" s="34"/>
      <c r="V41" s="34"/>
      <c r="W41" s="35" t="s">
        <v>70</v>
      </c>
      <c r="X41" s="354">
        <v>0</v>
      </c>
      <c r="Y41" s="355">
        <f>IFERROR(IF(X41="","",X41),"")</f>
        <v>0</v>
      </c>
      <c r="Z41" s="36">
        <f>IFERROR(IF(X41="","",X41*0.0155),"")</f>
        <v>0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x14ac:dyDescent="0.2">
      <c r="A42" s="373"/>
      <c r="B42" s="367"/>
      <c r="C42" s="367"/>
      <c r="D42" s="367"/>
      <c r="E42" s="367"/>
      <c r="F42" s="367"/>
      <c r="G42" s="367"/>
      <c r="H42" s="367"/>
      <c r="I42" s="367"/>
      <c r="J42" s="367"/>
      <c r="K42" s="367"/>
      <c r="L42" s="367"/>
      <c r="M42" s="367"/>
      <c r="N42" s="367"/>
      <c r="O42" s="374"/>
      <c r="P42" s="368" t="s">
        <v>73</v>
      </c>
      <c r="Q42" s="359"/>
      <c r="R42" s="359"/>
      <c r="S42" s="359"/>
      <c r="T42" s="359"/>
      <c r="U42" s="359"/>
      <c r="V42" s="360"/>
      <c r="W42" s="37" t="s">
        <v>70</v>
      </c>
      <c r="X42" s="356">
        <f>IFERROR(SUM(X39:X41),"0")</f>
        <v>0</v>
      </c>
      <c r="Y42" s="356">
        <f>IFERROR(SUM(Y39:Y41),"0")</f>
        <v>0</v>
      </c>
      <c r="Z42" s="356">
        <f>IFERROR(IF(Z39="",0,Z39),"0")+IFERROR(IF(Z40="",0,Z40),"0")+IFERROR(IF(Z41="",0,Z41),"0")</f>
        <v>0</v>
      </c>
      <c r="AA42" s="357"/>
      <c r="AB42" s="357"/>
      <c r="AC42" s="357"/>
    </row>
    <row r="43" spans="1:68" x14ac:dyDescent="0.2">
      <c r="A43" s="367"/>
      <c r="B43" s="367"/>
      <c r="C43" s="367"/>
      <c r="D43" s="367"/>
      <c r="E43" s="367"/>
      <c r="F43" s="367"/>
      <c r="G43" s="367"/>
      <c r="H43" s="367"/>
      <c r="I43" s="367"/>
      <c r="J43" s="367"/>
      <c r="K43" s="367"/>
      <c r="L43" s="367"/>
      <c r="M43" s="367"/>
      <c r="N43" s="367"/>
      <c r="O43" s="374"/>
      <c r="P43" s="368" t="s">
        <v>73</v>
      </c>
      <c r="Q43" s="359"/>
      <c r="R43" s="359"/>
      <c r="S43" s="359"/>
      <c r="T43" s="359"/>
      <c r="U43" s="359"/>
      <c r="V43" s="360"/>
      <c r="W43" s="37" t="s">
        <v>74</v>
      </c>
      <c r="X43" s="356">
        <f>IFERROR(SUMPRODUCT(X39:X41*H39:H41),"0")</f>
        <v>0</v>
      </c>
      <c r="Y43" s="356">
        <f>IFERROR(SUMPRODUCT(Y39:Y41*H39:H41),"0")</f>
        <v>0</v>
      </c>
      <c r="Z43" s="37"/>
      <c r="AA43" s="357"/>
      <c r="AB43" s="357"/>
      <c r="AC43" s="357"/>
    </row>
    <row r="44" spans="1:68" ht="16.5" customHeight="1" x14ac:dyDescent="0.25">
      <c r="A44" s="369" t="s">
        <v>112</v>
      </c>
      <c r="B44" s="367"/>
      <c r="C44" s="367"/>
      <c r="D44" s="367"/>
      <c r="E44" s="367"/>
      <c r="F44" s="367"/>
      <c r="G44" s="367"/>
      <c r="H44" s="367"/>
      <c r="I44" s="367"/>
      <c r="J44" s="367"/>
      <c r="K44" s="367"/>
      <c r="L44" s="367"/>
      <c r="M44" s="367"/>
      <c r="N44" s="367"/>
      <c r="O44" s="367"/>
      <c r="P44" s="367"/>
      <c r="Q44" s="367"/>
      <c r="R44" s="367"/>
      <c r="S44" s="367"/>
      <c r="T44" s="367"/>
      <c r="U44" s="367"/>
      <c r="V44" s="367"/>
      <c r="W44" s="367"/>
      <c r="X44" s="367"/>
      <c r="Y44" s="367"/>
      <c r="Z44" s="367"/>
      <c r="AA44" s="349"/>
      <c r="AB44" s="349"/>
      <c r="AC44" s="349"/>
    </row>
    <row r="45" spans="1:68" ht="14.25" customHeight="1" x14ac:dyDescent="0.25">
      <c r="A45" s="366" t="s">
        <v>64</v>
      </c>
      <c r="B45" s="367"/>
      <c r="C45" s="367"/>
      <c r="D45" s="367"/>
      <c r="E45" s="367"/>
      <c r="F45" s="367"/>
      <c r="G45" s="367"/>
      <c r="H45" s="367"/>
      <c r="I45" s="367"/>
      <c r="J45" s="367"/>
      <c r="K45" s="367"/>
      <c r="L45" s="367"/>
      <c r="M45" s="367"/>
      <c r="N45" s="367"/>
      <c r="O45" s="367"/>
      <c r="P45" s="367"/>
      <c r="Q45" s="367"/>
      <c r="R45" s="367"/>
      <c r="S45" s="367"/>
      <c r="T45" s="367"/>
      <c r="U45" s="367"/>
      <c r="V45" s="367"/>
      <c r="W45" s="367"/>
      <c r="X45" s="367"/>
      <c r="Y45" s="367"/>
      <c r="Z45" s="367"/>
      <c r="AA45" s="350"/>
      <c r="AB45" s="350"/>
      <c r="AC45" s="350"/>
    </row>
    <row r="46" spans="1:68" ht="27" customHeight="1" x14ac:dyDescent="0.25">
      <c r="A46" s="54" t="s">
        <v>113</v>
      </c>
      <c r="B46" s="54" t="s">
        <v>114</v>
      </c>
      <c r="C46" s="31">
        <v>4301071032</v>
      </c>
      <c r="D46" s="364">
        <v>4607111038999</v>
      </c>
      <c r="E46" s="365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472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62"/>
      <c r="R46" s="362"/>
      <c r="S46" s="362"/>
      <c r="T46" s="363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customHeight="1" x14ac:dyDescent="0.25">
      <c r="A47" s="54" t="s">
        <v>116</v>
      </c>
      <c r="B47" s="54" t="s">
        <v>117</v>
      </c>
      <c r="C47" s="31">
        <v>4301070972</v>
      </c>
      <c r="D47" s="364">
        <v>4607111037183</v>
      </c>
      <c r="E47" s="365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538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62"/>
      <c r="R47" s="362"/>
      <c r="S47" s="362"/>
      <c r="T47" s="363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64">
        <v>4607111039385</v>
      </c>
      <c r="E48" s="365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0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62"/>
      <c r="R48" s="362"/>
      <c r="S48" s="362"/>
      <c r="T48" s="363"/>
      <c r="U48" s="34"/>
      <c r="V48" s="34"/>
      <c r="W48" s="35" t="s">
        <v>70</v>
      </c>
      <c r="X48" s="354">
        <v>0</v>
      </c>
      <c r="Y48" s="355">
        <f t="shared" si="6"/>
        <v>0</v>
      </c>
      <c r="Z48" s="36">
        <f t="shared" si="7"/>
        <v>0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customHeight="1" x14ac:dyDescent="0.25">
      <c r="A49" s="54" t="s">
        <v>120</v>
      </c>
      <c r="B49" s="54" t="s">
        <v>121</v>
      </c>
      <c r="C49" s="31">
        <v>4301071045</v>
      </c>
      <c r="D49" s="364">
        <v>4607111039392</v>
      </c>
      <c r="E49" s="365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7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62"/>
      <c r="R49" s="362"/>
      <c r="S49" s="362"/>
      <c r="T49" s="363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64">
        <v>4607111038982</v>
      </c>
      <c r="E50" s="365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5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62"/>
      <c r="R50" s="362"/>
      <c r="S50" s="362"/>
      <c r="T50" s="363"/>
      <c r="U50" s="34"/>
      <c r="V50" s="34"/>
      <c r="W50" s="35" t="s">
        <v>70</v>
      </c>
      <c r="X50" s="354">
        <v>0</v>
      </c>
      <c r="Y50" s="355">
        <f t="shared" si="6"/>
        <v>0</v>
      </c>
      <c r="Z50" s="36">
        <f t="shared" si="7"/>
        <v>0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4301071046</v>
      </c>
      <c r="D51" s="364">
        <v>4607111039354</v>
      </c>
      <c r="E51" s="365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9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62"/>
      <c r="R51" s="362"/>
      <c r="S51" s="362"/>
      <c r="T51" s="363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4301070968</v>
      </c>
      <c r="D52" s="364">
        <v>4607111036889</v>
      </c>
      <c r="E52" s="365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546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62"/>
      <c r="R52" s="362"/>
      <c r="S52" s="362"/>
      <c r="T52" s="363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64">
        <v>4607111039330</v>
      </c>
      <c r="E53" s="365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5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62"/>
      <c r="R53" s="362"/>
      <c r="S53" s="362"/>
      <c r="T53" s="363"/>
      <c r="U53" s="34"/>
      <c r="V53" s="34"/>
      <c r="W53" s="35" t="s">
        <v>70</v>
      </c>
      <c r="X53" s="354">
        <v>0</v>
      </c>
      <c r="Y53" s="355">
        <f t="shared" si="6"/>
        <v>0</v>
      </c>
      <c r="Z53" s="36">
        <f t="shared" si="7"/>
        <v>0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0</v>
      </c>
      <c r="BN53" s="67">
        <f t="shared" si="9"/>
        <v>0</v>
      </c>
      <c r="BO53" s="67">
        <f t="shared" si="10"/>
        <v>0</v>
      </c>
      <c r="BP53" s="67">
        <f t="shared" si="11"/>
        <v>0</v>
      </c>
    </row>
    <row r="54" spans="1:68" x14ac:dyDescent="0.2">
      <c r="A54" s="373"/>
      <c r="B54" s="367"/>
      <c r="C54" s="367"/>
      <c r="D54" s="367"/>
      <c r="E54" s="367"/>
      <c r="F54" s="367"/>
      <c r="G54" s="367"/>
      <c r="H54" s="367"/>
      <c r="I54" s="367"/>
      <c r="J54" s="367"/>
      <c r="K54" s="367"/>
      <c r="L54" s="367"/>
      <c r="M54" s="367"/>
      <c r="N54" s="367"/>
      <c r="O54" s="374"/>
      <c r="P54" s="368" t="s">
        <v>73</v>
      </c>
      <c r="Q54" s="359"/>
      <c r="R54" s="359"/>
      <c r="S54" s="359"/>
      <c r="T54" s="359"/>
      <c r="U54" s="359"/>
      <c r="V54" s="360"/>
      <c r="W54" s="37" t="s">
        <v>70</v>
      </c>
      <c r="X54" s="356">
        <f>IFERROR(SUM(X46:X53),"0")</f>
        <v>0</v>
      </c>
      <c r="Y54" s="356">
        <f>IFERROR(SUM(Y46:Y53),"0")</f>
        <v>0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</v>
      </c>
      <c r="AA54" s="357"/>
      <c r="AB54" s="357"/>
      <c r="AC54" s="357"/>
    </row>
    <row r="55" spans="1:68" x14ac:dyDescent="0.2">
      <c r="A55" s="367"/>
      <c r="B55" s="367"/>
      <c r="C55" s="367"/>
      <c r="D55" s="367"/>
      <c r="E55" s="367"/>
      <c r="F55" s="367"/>
      <c r="G55" s="367"/>
      <c r="H55" s="367"/>
      <c r="I55" s="367"/>
      <c r="J55" s="367"/>
      <c r="K55" s="367"/>
      <c r="L55" s="367"/>
      <c r="M55" s="367"/>
      <c r="N55" s="367"/>
      <c r="O55" s="374"/>
      <c r="P55" s="368" t="s">
        <v>73</v>
      </c>
      <c r="Q55" s="359"/>
      <c r="R55" s="359"/>
      <c r="S55" s="359"/>
      <c r="T55" s="359"/>
      <c r="U55" s="359"/>
      <c r="V55" s="360"/>
      <c r="W55" s="37" t="s">
        <v>74</v>
      </c>
      <c r="X55" s="356">
        <f>IFERROR(SUMPRODUCT(X46:X53*H46:H53),"0")</f>
        <v>0</v>
      </c>
      <c r="Y55" s="356">
        <f>IFERROR(SUMPRODUCT(Y46:Y53*H46:H53),"0")</f>
        <v>0</v>
      </c>
      <c r="Z55" s="37"/>
      <c r="AA55" s="357"/>
      <c r="AB55" s="357"/>
      <c r="AC55" s="357"/>
    </row>
    <row r="56" spans="1:68" ht="16.5" customHeight="1" x14ac:dyDescent="0.25">
      <c r="A56" s="369" t="s">
        <v>131</v>
      </c>
      <c r="B56" s="367"/>
      <c r="C56" s="367"/>
      <c r="D56" s="367"/>
      <c r="E56" s="367"/>
      <c r="F56" s="367"/>
      <c r="G56" s="367"/>
      <c r="H56" s="367"/>
      <c r="I56" s="367"/>
      <c r="J56" s="367"/>
      <c r="K56" s="367"/>
      <c r="L56" s="367"/>
      <c r="M56" s="367"/>
      <c r="N56" s="367"/>
      <c r="O56" s="367"/>
      <c r="P56" s="367"/>
      <c r="Q56" s="367"/>
      <c r="R56" s="367"/>
      <c r="S56" s="367"/>
      <c r="T56" s="367"/>
      <c r="U56" s="367"/>
      <c r="V56" s="367"/>
      <c r="W56" s="367"/>
      <c r="X56" s="367"/>
      <c r="Y56" s="367"/>
      <c r="Z56" s="367"/>
      <c r="AA56" s="349"/>
      <c r="AB56" s="349"/>
      <c r="AC56" s="349"/>
    </row>
    <row r="57" spans="1:68" ht="14.25" customHeight="1" x14ac:dyDescent="0.25">
      <c r="A57" s="366" t="s">
        <v>64</v>
      </c>
      <c r="B57" s="367"/>
      <c r="C57" s="367"/>
      <c r="D57" s="367"/>
      <c r="E57" s="367"/>
      <c r="F57" s="367"/>
      <c r="G57" s="367"/>
      <c r="H57" s="367"/>
      <c r="I57" s="367"/>
      <c r="J57" s="367"/>
      <c r="K57" s="367"/>
      <c r="L57" s="367"/>
      <c r="M57" s="367"/>
      <c r="N57" s="367"/>
      <c r="O57" s="367"/>
      <c r="P57" s="367"/>
      <c r="Q57" s="367"/>
      <c r="R57" s="367"/>
      <c r="S57" s="367"/>
      <c r="T57" s="367"/>
      <c r="U57" s="367"/>
      <c r="V57" s="367"/>
      <c r="W57" s="367"/>
      <c r="X57" s="367"/>
      <c r="Y57" s="367"/>
      <c r="Z57" s="367"/>
      <c r="AA57" s="350"/>
      <c r="AB57" s="350"/>
      <c r="AC57" s="350"/>
    </row>
    <row r="58" spans="1:68" ht="16.5" customHeight="1" x14ac:dyDescent="0.25">
      <c r="A58" s="54" t="s">
        <v>132</v>
      </c>
      <c r="B58" s="54" t="s">
        <v>133</v>
      </c>
      <c r="C58" s="31">
        <v>4301071073</v>
      </c>
      <c r="D58" s="364">
        <v>4620207490822</v>
      </c>
      <c r="E58" s="365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381" t="s">
        <v>134</v>
      </c>
      <c r="Q58" s="362"/>
      <c r="R58" s="362"/>
      <c r="S58" s="362"/>
      <c r="T58" s="363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73"/>
      <c r="B59" s="367"/>
      <c r="C59" s="367"/>
      <c r="D59" s="367"/>
      <c r="E59" s="367"/>
      <c r="F59" s="367"/>
      <c r="G59" s="367"/>
      <c r="H59" s="367"/>
      <c r="I59" s="367"/>
      <c r="J59" s="367"/>
      <c r="K59" s="367"/>
      <c r="L59" s="367"/>
      <c r="M59" s="367"/>
      <c r="N59" s="367"/>
      <c r="O59" s="374"/>
      <c r="P59" s="368" t="s">
        <v>73</v>
      </c>
      <c r="Q59" s="359"/>
      <c r="R59" s="359"/>
      <c r="S59" s="359"/>
      <c r="T59" s="359"/>
      <c r="U59" s="359"/>
      <c r="V59" s="36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x14ac:dyDescent="0.2">
      <c r="A60" s="367"/>
      <c r="B60" s="367"/>
      <c r="C60" s="367"/>
      <c r="D60" s="367"/>
      <c r="E60" s="367"/>
      <c r="F60" s="367"/>
      <c r="G60" s="367"/>
      <c r="H60" s="367"/>
      <c r="I60" s="367"/>
      <c r="J60" s="367"/>
      <c r="K60" s="367"/>
      <c r="L60" s="367"/>
      <c r="M60" s="367"/>
      <c r="N60" s="367"/>
      <c r="O60" s="374"/>
      <c r="P60" s="368" t="s">
        <v>73</v>
      </c>
      <c r="Q60" s="359"/>
      <c r="R60" s="359"/>
      <c r="S60" s="359"/>
      <c r="T60" s="359"/>
      <c r="U60" s="359"/>
      <c r="V60" s="36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customHeight="1" x14ac:dyDescent="0.25">
      <c r="A61" s="366" t="s">
        <v>136</v>
      </c>
      <c r="B61" s="367"/>
      <c r="C61" s="367"/>
      <c r="D61" s="367"/>
      <c r="E61" s="367"/>
      <c r="F61" s="367"/>
      <c r="G61" s="367"/>
      <c r="H61" s="367"/>
      <c r="I61" s="367"/>
      <c r="J61" s="367"/>
      <c r="K61" s="367"/>
      <c r="L61" s="367"/>
      <c r="M61" s="367"/>
      <c r="N61" s="367"/>
      <c r="O61" s="367"/>
      <c r="P61" s="367"/>
      <c r="Q61" s="367"/>
      <c r="R61" s="367"/>
      <c r="S61" s="367"/>
      <c r="T61" s="367"/>
      <c r="U61" s="367"/>
      <c r="V61" s="367"/>
      <c r="W61" s="367"/>
      <c r="X61" s="367"/>
      <c r="Y61" s="367"/>
      <c r="Z61" s="367"/>
      <c r="AA61" s="350"/>
      <c r="AB61" s="350"/>
      <c r="AC61" s="350"/>
    </row>
    <row r="62" spans="1:68" ht="16.5" customHeight="1" x14ac:dyDescent="0.25">
      <c r="A62" s="54" t="s">
        <v>137</v>
      </c>
      <c r="B62" s="54" t="s">
        <v>138</v>
      </c>
      <c r="C62" s="31">
        <v>4301100088</v>
      </c>
      <c r="D62" s="364">
        <v>4607111037077</v>
      </c>
      <c r="E62" s="365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9" t="s">
        <v>139</v>
      </c>
      <c r="Q62" s="362"/>
      <c r="R62" s="362"/>
      <c r="S62" s="362"/>
      <c r="T62" s="363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customHeight="1" x14ac:dyDescent="0.25">
      <c r="A63" s="54" t="s">
        <v>141</v>
      </c>
      <c r="B63" s="54" t="s">
        <v>142</v>
      </c>
      <c r="C63" s="31">
        <v>4301100087</v>
      </c>
      <c r="D63" s="364">
        <v>4607111039743</v>
      </c>
      <c r="E63" s="365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541" t="s">
        <v>143</v>
      </c>
      <c r="Q63" s="362"/>
      <c r="R63" s="362"/>
      <c r="S63" s="362"/>
      <c r="T63" s="363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x14ac:dyDescent="0.2">
      <c r="A64" s="373"/>
      <c r="B64" s="367"/>
      <c r="C64" s="367"/>
      <c r="D64" s="367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74"/>
      <c r="P64" s="368" t="s">
        <v>73</v>
      </c>
      <c r="Q64" s="359"/>
      <c r="R64" s="359"/>
      <c r="S64" s="359"/>
      <c r="T64" s="359"/>
      <c r="U64" s="359"/>
      <c r="V64" s="36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x14ac:dyDescent="0.2">
      <c r="A65" s="367"/>
      <c r="B65" s="367"/>
      <c r="C65" s="367"/>
      <c r="D65" s="367"/>
      <c r="E65" s="367"/>
      <c r="F65" s="367"/>
      <c r="G65" s="367"/>
      <c r="H65" s="367"/>
      <c r="I65" s="367"/>
      <c r="J65" s="367"/>
      <c r="K65" s="367"/>
      <c r="L65" s="367"/>
      <c r="M65" s="367"/>
      <c r="N65" s="367"/>
      <c r="O65" s="374"/>
      <c r="P65" s="368" t="s">
        <v>73</v>
      </c>
      <c r="Q65" s="359"/>
      <c r="R65" s="359"/>
      <c r="S65" s="359"/>
      <c r="T65" s="359"/>
      <c r="U65" s="359"/>
      <c r="V65" s="36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customHeight="1" x14ac:dyDescent="0.25">
      <c r="A66" s="366" t="s">
        <v>77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  <c r="X66" s="367"/>
      <c r="Y66" s="367"/>
      <c r="Z66" s="367"/>
      <c r="AA66" s="350"/>
      <c r="AB66" s="350"/>
      <c r="AC66" s="350"/>
    </row>
    <row r="67" spans="1:68" ht="16.5" customHeight="1" x14ac:dyDescent="0.25">
      <c r="A67" s="54" t="s">
        <v>144</v>
      </c>
      <c r="B67" s="54" t="s">
        <v>145</v>
      </c>
      <c r="C67" s="31">
        <v>4301132194</v>
      </c>
      <c r="D67" s="364">
        <v>4607111039712</v>
      </c>
      <c r="E67" s="365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411" t="s">
        <v>146</v>
      </c>
      <c r="Q67" s="362"/>
      <c r="R67" s="362"/>
      <c r="S67" s="362"/>
      <c r="T67" s="363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x14ac:dyDescent="0.2">
      <c r="A68" s="373"/>
      <c r="B68" s="367"/>
      <c r="C68" s="367"/>
      <c r="D68" s="367"/>
      <c r="E68" s="367"/>
      <c r="F68" s="367"/>
      <c r="G68" s="367"/>
      <c r="H68" s="367"/>
      <c r="I68" s="367"/>
      <c r="J68" s="367"/>
      <c r="K68" s="367"/>
      <c r="L68" s="367"/>
      <c r="M68" s="367"/>
      <c r="N68" s="367"/>
      <c r="O68" s="374"/>
      <c r="P68" s="368" t="s">
        <v>73</v>
      </c>
      <c r="Q68" s="359"/>
      <c r="R68" s="359"/>
      <c r="S68" s="359"/>
      <c r="T68" s="359"/>
      <c r="U68" s="359"/>
      <c r="V68" s="36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x14ac:dyDescent="0.2">
      <c r="A69" s="367"/>
      <c r="B69" s="367"/>
      <c r="C69" s="367"/>
      <c r="D69" s="367"/>
      <c r="E69" s="367"/>
      <c r="F69" s="367"/>
      <c r="G69" s="367"/>
      <c r="H69" s="367"/>
      <c r="I69" s="367"/>
      <c r="J69" s="367"/>
      <c r="K69" s="367"/>
      <c r="L69" s="367"/>
      <c r="M69" s="367"/>
      <c r="N69" s="367"/>
      <c r="O69" s="374"/>
      <c r="P69" s="368" t="s">
        <v>73</v>
      </c>
      <c r="Q69" s="359"/>
      <c r="R69" s="359"/>
      <c r="S69" s="359"/>
      <c r="T69" s="359"/>
      <c r="U69" s="359"/>
      <c r="V69" s="36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customHeight="1" x14ac:dyDescent="0.25">
      <c r="A70" s="366" t="s">
        <v>148</v>
      </c>
      <c r="B70" s="367"/>
      <c r="C70" s="367"/>
      <c r="D70" s="367"/>
      <c r="E70" s="367"/>
      <c r="F70" s="367"/>
      <c r="G70" s="367"/>
      <c r="H70" s="367"/>
      <c r="I70" s="367"/>
      <c r="J70" s="367"/>
      <c r="K70" s="367"/>
      <c r="L70" s="367"/>
      <c r="M70" s="367"/>
      <c r="N70" s="367"/>
      <c r="O70" s="367"/>
      <c r="P70" s="367"/>
      <c r="Q70" s="367"/>
      <c r="R70" s="367"/>
      <c r="S70" s="367"/>
      <c r="T70" s="367"/>
      <c r="U70" s="367"/>
      <c r="V70" s="367"/>
      <c r="W70" s="367"/>
      <c r="X70" s="367"/>
      <c r="Y70" s="367"/>
      <c r="Z70" s="367"/>
      <c r="AA70" s="350"/>
      <c r="AB70" s="350"/>
      <c r="AC70" s="350"/>
    </row>
    <row r="71" spans="1:68" ht="16.5" customHeight="1" x14ac:dyDescent="0.25">
      <c r="A71" s="54" t="s">
        <v>149</v>
      </c>
      <c r="B71" s="54" t="s">
        <v>150</v>
      </c>
      <c r="C71" s="31">
        <v>4301136018</v>
      </c>
      <c r="D71" s="364">
        <v>4607111037008</v>
      </c>
      <c r="E71" s="365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37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62"/>
      <c r="R71" s="362"/>
      <c r="S71" s="362"/>
      <c r="T71" s="363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73"/>
      <c r="B72" s="367"/>
      <c r="C72" s="367"/>
      <c r="D72" s="367"/>
      <c r="E72" s="367"/>
      <c r="F72" s="367"/>
      <c r="G72" s="367"/>
      <c r="H72" s="367"/>
      <c r="I72" s="367"/>
      <c r="J72" s="367"/>
      <c r="K72" s="367"/>
      <c r="L72" s="367"/>
      <c r="M72" s="367"/>
      <c r="N72" s="367"/>
      <c r="O72" s="374"/>
      <c r="P72" s="368" t="s">
        <v>73</v>
      </c>
      <c r="Q72" s="359"/>
      <c r="R72" s="359"/>
      <c r="S72" s="359"/>
      <c r="T72" s="359"/>
      <c r="U72" s="359"/>
      <c r="V72" s="36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x14ac:dyDescent="0.2">
      <c r="A73" s="367"/>
      <c r="B73" s="367"/>
      <c r="C73" s="367"/>
      <c r="D73" s="367"/>
      <c r="E73" s="367"/>
      <c r="F73" s="367"/>
      <c r="G73" s="367"/>
      <c r="H73" s="367"/>
      <c r="I73" s="367"/>
      <c r="J73" s="367"/>
      <c r="K73" s="367"/>
      <c r="L73" s="367"/>
      <c r="M73" s="367"/>
      <c r="N73" s="367"/>
      <c r="O73" s="374"/>
      <c r="P73" s="368" t="s">
        <v>73</v>
      </c>
      <c r="Q73" s="359"/>
      <c r="R73" s="359"/>
      <c r="S73" s="359"/>
      <c r="T73" s="359"/>
      <c r="U73" s="359"/>
      <c r="V73" s="36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customHeight="1" x14ac:dyDescent="0.25">
      <c r="A74" s="366" t="s">
        <v>152</v>
      </c>
      <c r="B74" s="367"/>
      <c r="C74" s="367"/>
      <c r="D74" s="367"/>
      <c r="E74" s="367"/>
      <c r="F74" s="367"/>
      <c r="G74" s="367"/>
      <c r="H74" s="367"/>
      <c r="I74" s="367"/>
      <c r="J74" s="367"/>
      <c r="K74" s="367"/>
      <c r="L74" s="367"/>
      <c r="M74" s="367"/>
      <c r="N74" s="367"/>
      <c r="O74" s="367"/>
      <c r="P74" s="367"/>
      <c r="Q74" s="367"/>
      <c r="R74" s="367"/>
      <c r="S74" s="367"/>
      <c r="T74" s="367"/>
      <c r="U74" s="367"/>
      <c r="V74" s="367"/>
      <c r="W74" s="367"/>
      <c r="X74" s="367"/>
      <c r="Y74" s="367"/>
      <c r="Z74" s="367"/>
      <c r="AA74" s="350"/>
      <c r="AB74" s="350"/>
      <c r="AC74" s="350"/>
    </row>
    <row r="75" spans="1:68" ht="16.5" customHeight="1" x14ac:dyDescent="0.25">
      <c r="A75" s="54" t="s">
        <v>153</v>
      </c>
      <c r="B75" s="54" t="s">
        <v>154</v>
      </c>
      <c r="C75" s="31">
        <v>4301135664</v>
      </c>
      <c r="D75" s="364">
        <v>4607111039705</v>
      </c>
      <c r="E75" s="365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415" t="s">
        <v>155</v>
      </c>
      <c r="Q75" s="362"/>
      <c r="R75" s="362"/>
      <c r="S75" s="362"/>
      <c r="T75" s="363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156</v>
      </c>
      <c r="B76" s="54" t="s">
        <v>157</v>
      </c>
      <c r="C76" s="31">
        <v>4301135665</v>
      </c>
      <c r="D76" s="364">
        <v>4607111039729</v>
      </c>
      <c r="E76" s="365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98" t="s">
        <v>158</v>
      </c>
      <c r="Q76" s="362"/>
      <c r="R76" s="362"/>
      <c r="S76" s="362"/>
      <c r="T76" s="363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160</v>
      </c>
      <c r="B77" s="54" t="s">
        <v>161</v>
      </c>
      <c r="C77" s="31">
        <v>4301135702</v>
      </c>
      <c r="D77" s="364">
        <v>4620207490228</v>
      </c>
      <c r="E77" s="365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503" t="s">
        <v>162</v>
      </c>
      <c r="Q77" s="362"/>
      <c r="R77" s="362"/>
      <c r="S77" s="362"/>
      <c r="T77" s="363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73"/>
      <c r="B78" s="367"/>
      <c r="C78" s="367"/>
      <c r="D78" s="367"/>
      <c r="E78" s="367"/>
      <c r="F78" s="367"/>
      <c r="G78" s="367"/>
      <c r="H78" s="367"/>
      <c r="I78" s="367"/>
      <c r="J78" s="367"/>
      <c r="K78" s="367"/>
      <c r="L78" s="367"/>
      <c r="M78" s="367"/>
      <c r="N78" s="367"/>
      <c r="O78" s="374"/>
      <c r="P78" s="368" t="s">
        <v>73</v>
      </c>
      <c r="Q78" s="359"/>
      <c r="R78" s="359"/>
      <c r="S78" s="359"/>
      <c r="T78" s="359"/>
      <c r="U78" s="359"/>
      <c r="V78" s="36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x14ac:dyDescent="0.2">
      <c r="A79" s="367"/>
      <c r="B79" s="367"/>
      <c r="C79" s="367"/>
      <c r="D79" s="367"/>
      <c r="E79" s="367"/>
      <c r="F79" s="367"/>
      <c r="G79" s="367"/>
      <c r="H79" s="367"/>
      <c r="I79" s="367"/>
      <c r="J79" s="367"/>
      <c r="K79" s="367"/>
      <c r="L79" s="367"/>
      <c r="M79" s="367"/>
      <c r="N79" s="367"/>
      <c r="O79" s="374"/>
      <c r="P79" s="368" t="s">
        <v>73</v>
      </c>
      <c r="Q79" s="359"/>
      <c r="R79" s="359"/>
      <c r="S79" s="359"/>
      <c r="T79" s="359"/>
      <c r="U79" s="359"/>
      <c r="V79" s="36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customHeight="1" x14ac:dyDescent="0.25">
      <c r="A80" s="369" t="s">
        <v>163</v>
      </c>
      <c r="B80" s="367"/>
      <c r="C80" s="367"/>
      <c r="D80" s="367"/>
      <c r="E80" s="367"/>
      <c r="F80" s="367"/>
      <c r="G80" s="367"/>
      <c r="H80" s="367"/>
      <c r="I80" s="367"/>
      <c r="J80" s="367"/>
      <c r="K80" s="367"/>
      <c r="L80" s="367"/>
      <c r="M80" s="367"/>
      <c r="N80" s="367"/>
      <c r="O80" s="367"/>
      <c r="P80" s="367"/>
      <c r="Q80" s="367"/>
      <c r="R80" s="367"/>
      <c r="S80" s="367"/>
      <c r="T80" s="367"/>
      <c r="U80" s="367"/>
      <c r="V80" s="367"/>
      <c r="W80" s="367"/>
      <c r="X80" s="367"/>
      <c r="Y80" s="367"/>
      <c r="Z80" s="367"/>
      <c r="AA80" s="349"/>
      <c r="AB80" s="349"/>
      <c r="AC80" s="349"/>
    </row>
    <row r="81" spans="1:68" ht="14.25" customHeight="1" x14ac:dyDescent="0.25">
      <c r="A81" s="366" t="s">
        <v>64</v>
      </c>
      <c r="B81" s="367"/>
      <c r="C81" s="367"/>
      <c r="D81" s="367"/>
      <c r="E81" s="367"/>
      <c r="F81" s="367"/>
      <c r="G81" s="367"/>
      <c r="H81" s="367"/>
      <c r="I81" s="367"/>
      <c r="J81" s="367"/>
      <c r="K81" s="367"/>
      <c r="L81" s="367"/>
      <c r="M81" s="367"/>
      <c r="N81" s="367"/>
      <c r="O81" s="367"/>
      <c r="P81" s="367"/>
      <c r="Q81" s="367"/>
      <c r="R81" s="367"/>
      <c r="S81" s="367"/>
      <c r="T81" s="367"/>
      <c r="U81" s="367"/>
      <c r="V81" s="367"/>
      <c r="W81" s="367"/>
      <c r="X81" s="367"/>
      <c r="Y81" s="367"/>
      <c r="Z81" s="367"/>
      <c r="AA81" s="350"/>
      <c r="AB81" s="350"/>
      <c r="AC81" s="350"/>
    </row>
    <row r="82" spans="1:68" ht="27" customHeight="1" x14ac:dyDescent="0.25">
      <c r="A82" s="54" t="s">
        <v>164</v>
      </c>
      <c r="B82" s="54" t="s">
        <v>165</v>
      </c>
      <c r="C82" s="31">
        <v>4301070977</v>
      </c>
      <c r="D82" s="364">
        <v>4607111037411</v>
      </c>
      <c r="E82" s="365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41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2"/>
      <c r="R82" s="362"/>
      <c r="S82" s="362"/>
      <c r="T82" s="363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64">
        <v>4607111036728</v>
      </c>
      <c r="E83" s="365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38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2"/>
      <c r="R83" s="362"/>
      <c r="S83" s="362"/>
      <c r="T83" s="363"/>
      <c r="U83" s="34"/>
      <c r="V83" s="34"/>
      <c r="W83" s="35" t="s">
        <v>70</v>
      </c>
      <c r="X83" s="354">
        <v>0</v>
      </c>
      <c r="Y83" s="355">
        <f>IFERROR(IF(X83="","",X83),"")</f>
        <v>0</v>
      </c>
      <c r="Z83" s="36">
        <f>IFERROR(IF(X83="","",X83*0.00866),"")</f>
        <v>0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373"/>
      <c r="B84" s="367"/>
      <c r="C84" s="367"/>
      <c r="D84" s="367"/>
      <c r="E84" s="367"/>
      <c r="F84" s="367"/>
      <c r="G84" s="367"/>
      <c r="H84" s="367"/>
      <c r="I84" s="367"/>
      <c r="J84" s="367"/>
      <c r="K84" s="367"/>
      <c r="L84" s="367"/>
      <c r="M84" s="367"/>
      <c r="N84" s="367"/>
      <c r="O84" s="374"/>
      <c r="P84" s="368" t="s">
        <v>73</v>
      </c>
      <c r="Q84" s="359"/>
      <c r="R84" s="359"/>
      <c r="S84" s="359"/>
      <c r="T84" s="359"/>
      <c r="U84" s="359"/>
      <c r="V84" s="360"/>
      <c r="W84" s="37" t="s">
        <v>70</v>
      </c>
      <c r="X84" s="356">
        <f>IFERROR(SUM(X82:X83),"0")</f>
        <v>0</v>
      </c>
      <c r="Y84" s="356">
        <f>IFERROR(SUM(Y82:Y83),"0")</f>
        <v>0</v>
      </c>
      <c r="Z84" s="356">
        <f>IFERROR(IF(Z82="",0,Z82),"0")+IFERROR(IF(Z83="",0,Z83),"0")</f>
        <v>0</v>
      </c>
      <c r="AA84" s="357"/>
      <c r="AB84" s="357"/>
      <c r="AC84" s="357"/>
    </row>
    <row r="85" spans="1:68" x14ac:dyDescent="0.2">
      <c r="A85" s="367"/>
      <c r="B85" s="367"/>
      <c r="C85" s="367"/>
      <c r="D85" s="367"/>
      <c r="E85" s="367"/>
      <c r="F85" s="367"/>
      <c r="G85" s="367"/>
      <c r="H85" s="367"/>
      <c r="I85" s="367"/>
      <c r="J85" s="367"/>
      <c r="K85" s="367"/>
      <c r="L85" s="367"/>
      <c r="M85" s="367"/>
      <c r="N85" s="367"/>
      <c r="O85" s="374"/>
      <c r="P85" s="368" t="s">
        <v>73</v>
      </c>
      <c r="Q85" s="359"/>
      <c r="R85" s="359"/>
      <c r="S85" s="359"/>
      <c r="T85" s="359"/>
      <c r="U85" s="359"/>
      <c r="V85" s="360"/>
      <c r="W85" s="37" t="s">
        <v>74</v>
      </c>
      <c r="X85" s="356">
        <f>IFERROR(SUMPRODUCT(X82:X83*H82:H83),"0")</f>
        <v>0</v>
      </c>
      <c r="Y85" s="356">
        <f>IFERROR(SUMPRODUCT(Y82:Y83*H82:H83),"0")</f>
        <v>0</v>
      </c>
      <c r="Z85" s="37"/>
      <c r="AA85" s="357"/>
      <c r="AB85" s="357"/>
      <c r="AC85" s="357"/>
    </row>
    <row r="86" spans="1:68" ht="16.5" customHeight="1" x14ac:dyDescent="0.25">
      <c r="A86" s="369" t="s">
        <v>170</v>
      </c>
      <c r="B86" s="367"/>
      <c r="C86" s="367"/>
      <c r="D86" s="367"/>
      <c r="E86" s="367"/>
      <c r="F86" s="367"/>
      <c r="G86" s="367"/>
      <c r="H86" s="367"/>
      <c r="I86" s="367"/>
      <c r="J86" s="367"/>
      <c r="K86" s="367"/>
      <c r="L86" s="367"/>
      <c r="M86" s="367"/>
      <c r="N86" s="367"/>
      <c r="O86" s="367"/>
      <c r="P86" s="367"/>
      <c r="Q86" s="367"/>
      <c r="R86" s="367"/>
      <c r="S86" s="367"/>
      <c r="T86" s="367"/>
      <c r="U86" s="367"/>
      <c r="V86" s="367"/>
      <c r="W86" s="367"/>
      <c r="X86" s="367"/>
      <c r="Y86" s="367"/>
      <c r="Z86" s="367"/>
      <c r="AA86" s="349"/>
      <c r="AB86" s="349"/>
      <c r="AC86" s="349"/>
    </row>
    <row r="87" spans="1:68" ht="14.25" customHeight="1" x14ac:dyDescent="0.25">
      <c r="A87" s="366" t="s">
        <v>152</v>
      </c>
      <c r="B87" s="367"/>
      <c r="C87" s="367"/>
      <c r="D87" s="367"/>
      <c r="E87" s="367"/>
      <c r="F87" s="367"/>
      <c r="G87" s="367"/>
      <c r="H87" s="367"/>
      <c r="I87" s="367"/>
      <c r="J87" s="367"/>
      <c r="K87" s="367"/>
      <c r="L87" s="367"/>
      <c r="M87" s="367"/>
      <c r="N87" s="367"/>
      <c r="O87" s="367"/>
      <c r="P87" s="367"/>
      <c r="Q87" s="367"/>
      <c r="R87" s="367"/>
      <c r="S87" s="367"/>
      <c r="T87" s="367"/>
      <c r="U87" s="367"/>
      <c r="V87" s="367"/>
      <c r="W87" s="367"/>
      <c r="X87" s="367"/>
      <c r="Y87" s="367"/>
      <c r="Z87" s="367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64">
        <v>4607111033659</v>
      </c>
      <c r="E88" s="365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4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62"/>
      <c r="R88" s="362"/>
      <c r="S88" s="362"/>
      <c r="T88" s="363"/>
      <c r="U88" s="34"/>
      <c r="V88" s="34"/>
      <c r="W88" s="35" t="s">
        <v>70</v>
      </c>
      <c r="X88" s="354">
        <v>70</v>
      </c>
      <c r="Y88" s="355">
        <f>IFERROR(IF(X88="","",X88),"")</f>
        <v>70</v>
      </c>
      <c r="Z88" s="36">
        <f>IFERROR(IF(X88="","",X88*0.01788),"")</f>
        <v>1.2516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301.25200000000001</v>
      </c>
      <c r="BN88" s="67">
        <f>IFERROR(Y88*I88,"0")</f>
        <v>301.25200000000001</v>
      </c>
      <c r="BO88" s="67">
        <f>IFERROR(X88/J88,"0")</f>
        <v>1</v>
      </c>
      <c r="BP88" s="67">
        <f>IFERROR(Y88/J88,"0")</f>
        <v>1</v>
      </c>
    </row>
    <row r="89" spans="1:68" ht="27" customHeight="1" x14ac:dyDescent="0.25">
      <c r="A89" s="54" t="s">
        <v>174</v>
      </c>
      <c r="B89" s="54" t="s">
        <v>175</v>
      </c>
      <c r="C89" s="31">
        <v>4301135584</v>
      </c>
      <c r="D89" s="364">
        <v>4607111033659</v>
      </c>
      <c r="E89" s="365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1" t="s">
        <v>176</v>
      </c>
      <c r="Q89" s="362"/>
      <c r="R89" s="362"/>
      <c r="S89" s="362"/>
      <c r="T89" s="363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73"/>
      <c r="B90" s="367"/>
      <c r="C90" s="367"/>
      <c r="D90" s="367"/>
      <c r="E90" s="367"/>
      <c r="F90" s="367"/>
      <c r="G90" s="367"/>
      <c r="H90" s="367"/>
      <c r="I90" s="367"/>
      <c r="J90" s="367"/>
      <c r="K90" s="367"/>
      <c r="L90" s="367"/>
      <c r="M90" s="367"/>
      <c r="N90" s="367"/>
      <c r="O90" s="374"/>
      <c r="P90" s="368" t="s">
        <v>73</v>
      </c>
      <c r="Q90" s="359"/>
      <c r="R90" s="359"/>
      <c r="S90" s="359"/>
      <c r="T90" s="359"/>
      <c r="U90" s="359"/>
      <c r="V90" s="360"/>
      <c r="W90" s="37" t="s">
        <v>70</v>
      </c>
      <c r="X90" s="356">
        <f>IFERROR(SUM(X88:X89),"0")</f>
        <v>70</v>
      </c>
      <c r="Y90" s="356">
        <f>IFERROR(SUM(Y88:Y89),"0")</f>
        <v>70</v>
      </c>
      <c r="Z90" s="356">
        <f>IFERROR(IF(Z88="",0,Z88),"0")+IFERROR(IF(Z89="",0,Z89),"0")</f>
        <v>1.2516</v>
      </c>
      <c r="AA90" s="357"/>
      <c r="AB90" s="357"/>
      <c r="AC90" s="357"/>
    </row>
    <row r="91" spans="1:68" x14ac:dyDescent="0.2">
      <c r="A91" s="367"/>
      <c r="B91" s="367"/>
      <c r="C91" s="367"/>
      <c r="D91" s="367"/>
      <c r="E91" s="367"/>
      <c r="F91" s="367"/>
      <c r="G91" s="367"/>
      <c r="H91" s="367"/>
      <c r="I91" s="367"/>
      <c r="J91" s="367"/>
      <c r="K91" s="367"/>
      <c r="L91" s="367"/>
      <c r="M91" s="367"/>
      <c r="N91" s="367"/>
      <c r="O91" s="374"/>
      <c r="P91" s="368" t="s">
        <v>73</v>
      </c>
      <c r="Q91" s="359"/>
      <c r="R91" s="359"/>
      <c r="S91" s="359"/>
      <c r="T91" s="359"/>
      <c r="U91" s="359"/>
      <c r="V91" s="360"/>
      <c r="W91" s="37" t="s">
        <v>74</v>
      </c>
      <c r="X91" s="356">
        <f>IFERROR(SUMPRODUCT(X88:X89*H88:H89),"0")</f>
        <v>252</v>
      </c>
      <c r="Y91" s="356">
        <f>IFERROR(SUMPRODUCT(Y88:Y89*H88:H89),"0")</f>
        <v>252</v>
      </c>
      <c r="Z91" s="37"/>
      <c r="AA91" s="357"/>
      <c r="AB91" s="357"/>
      <c r="AC91" s="357"/>
    </row>
    <row r="92" spans="1:68" ht="16.5" customHeight="1" x14ac:dyDescent="0.25">
      <c r="A92" s="369" t="s">
        <v>177</v>
      </c>
      <c r="B92" s="367"/>
      <c r="C92" s="367"/>
      <c r="D92" s="367"/>
      <c r="E92" s="367"/>
      <c r="F92" s="367"/>
      <c r="G92" s="367"/>
      <c r="H92" s="367"/>
      <c r="I92" s="367"/>
      <c r="J92" s="367"/>
      <c r="K92" s="367"/>
      <c r="L92" s="367"/>
      <c r="M92" s="367"/>
      <c r="N92" s="367"/>
      <c r="O92" s="367"/>
      <c r="P92" s="367"/>
      <c r="Q92" s="367"/>
      <c r="R92" s="367"/>
      <c r="S92" s="367"/>
      <c r="T92" s="367"/>
      <c r="U92" s="367"/>
      <c r="V92" s="367"/>
      <c r="W92" s="367"/>
      <c r="X92" s="367"/>
      <c r="Y92" s="367"/>
      <c r="Z92" s="367"/>
      <c r="AA92" s="349"/>
      <c r="AB92" s="349"/>
      <c r="AC92" s="349"/>
    </row>
    <row r="93" spans="1:68" ht="14.25" customHeight="1" x14ac:dyDescent="0.25">
      <c r="A93" s="366" t="s">
        <v>178</v>
      </c>
      <c r="B93" s="367"/>
      <c r="C93" s="367"/>
      <c r="D93" s="367"/>
      <c r="E93" s="367"/>
      <c r="F93" s="367"/>
      <c r="G93" s="367"/>
      <c r="H93" s="367"/>
      <c r="I93" s="367"/>
      <c r="J93" s="367"/>
      <c r="K93" s="367"/>
      <c r="L93" s="367"/>
      <c r="M93" s="367"/>
      <c r="N93" s="367"/>
      <c r="O93" s="367"/>
      <c r="P93" s="367"/>
      <c r="Q93" s="367"/>
      <c r="R93" s="367"/>
      <c r="S93" s="367"/>
      <c r="T93" s="367"/>
      <c r="U93" s="367"/>
      <c r="V93" s="367"/>
      <c r="W93" s="367"/>
      <c r="X93" s="367"/>
      <c r="Y93" s="367"/>
      <c r="Z93" s="367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64">
        <v>4607111034120</v>
      </c>
      <c r="E94" s="365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562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62"/>
      <c r="R94" s="362"/>
      <c r="S94" s="362"/>
      <c r="T94" s="363"/>
      <c r="U94" s="34"/>
      <c r="V94" s="34"/>
      <c r="W94" s="35" t="s">
        <v>70</v>
      </c>
      <c r="X94" s="354">
        <v>70</v>
      </c>
      <c r="Y94" s="355">
        <f>IFERROR(IF(X94="","",X94),"")</f>
        <v>70</v>
      </c>
      <c r="Z94" s="36">
        <f>IFERROR(IF(X94="","",X94*0.01788),"")</f>
        <v>1.2516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301.25200000000001</v>
      </c>
      <c r="BN94" s="67">
        <f>IFERROR(Y94*I94,"0")</f>
        <v>301.25200000000001</v>
      </c>
      <c r="BO94" s="67">
        <f>IFERROR(X94/J94,"0")</f>
        <v>1</v>
      </c>
      <c r="BP94" s="67">
        <f>IFERROR(Y94/J94,"0")</f>
        <v>1</v>
      </c>
    </row>
    <row r="95" spans="1:68" ht="27" customHeight="1" x14ac:dyDescent="0.25">
      <c r="A95" s="54" t="s">
        <v>182</v>
      </c>
      <c r="B95" s="54" t="s">
        <v>183</v>
      </c>
      <c r="C95" s="31">
        <v>4301131024</v>
      </c>
      <c r="D95" s="364">
        <v>4607111034120</v>
      </c>
      <c r="E95" s="365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554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62"/>
      <c r="R95" s="362"/>
      <c r="S95" s="362"/>
      <c r="T95" s="363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64">
        <v>4607111034120</v>
      </c>
      <c r="E96" s="365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74" t="s">
        <v>187</v>
      </c>
      <c r="Q96" s="362"/>
      <c r="R96" s="362"/>
      <c r="S96" s="362"/>
      <c r="T96" s="363"/>
      <c r="U96" s="34"/>
      <c r="V96" s="34"/>
      <c r="W96" s="35" t="s">
        <v>70</v>
      </c>
      <c r="X96" s="354">
        <v>0</v>
      </c>
      <c r="Y96" s="355">
        <f>IFERROR(IF(X96="","",X96),"")</f>
        <v>0</v>
      </c>
      <c r="Z96" s="36">
        <f>IFERROR(IF(X96="","",X96*0.01788),"")</f>
        <v>0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188</v>
      </c>
      <c r="B97" s="54" t="s">
        <v>189</v>
      </c>
      <c r="C97" s="31">
        <v>4301131049</v>
      </c>
      <c r="D97" s="364">
        <v>4607111034137</v>
      </c>
      <c r="E97" s="365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567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62"/>
      <c r="R97" s="362"/>
      <c r="S97" s="362"/>
      <c r="T97" s="363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64">
        <v>4607111034137</v>
      </c>
      <c r="E98" s="365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443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62"/>
      <c r="R98" s="362"/>
      <c r="S98" s="362"/>
      <c r="T98" s="363"/>
      <c r="U98" s="34"/>
      <c r="V98" s="34"/>
      <c r="W98" s="35" t="s">
        <v>70</v>
      </c>
      <c r="X98" s="354">
        <v>70</v>
      </c>
      <c r="Y98" s="355">
        <f>IFERROR(IF(X98="","",X98),"")</f>
        <v>70</v>
      </c>
      <c r="Z98" s="36">
        <f>IFERROR(IF(X98="","",X98*0.01788),"")</f>
        <v>1.2516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301.25200000000001</v>
      </c>
      <c r="BN98" s="67">
        <f>IFERROR(Y98*I98,"0")</f>
        <v>301.25200000000001</v>
      </c>
      <c r="BO98" s="67">
        <f>IFERROR(X98/J98,"0")</f>
        <v>1</v>
      </c>
      <c r="BP98" s="67">
        <f>IFERROR(Y98/J98,"0")</f>
        <v>1</v>
      </c>
    </row>
    <row r="99" spans="1:68" x14ac:dyDescent="0.2">
      <c r="A99" s="373"/>
      <c r="B99" s="367"/>
      <c r="C99" s="367"/>
      <c r="D99" s="367"/>
      <c r="E99" s="367"/>
      <c r="F99" s="367"/>
      <c r="G99" s="367"/>
      <c r="H99" s="367"/>
      <c r="I99" s="367"/>
      <c r="J99" s="367"/>
      <c r="K99" s="367"/>
      <c r="L99" s="367"/>
      <c r="M99" s="367"/>
      <c r="N99" s="367"/>
      <c r="O99" s="374"/>
      <c r="P99" s="368" t="s">
        <v>73</v>
      </c>
      <c r="Q99" s="359"/>
      <c r="R99" s="359"/>
      <c r="S99" s="359"/>
      <c r="T99" s="359"/>
      <c r="U99" s="359"/>
      <c r="V99" s="360"/>
      <c r="W99" s="37" t="s">
        <v>70</v>
      </c>
      <c r="X99" s="356">
        <f>IFERROR(SUM(X94:X98),"0")</f>
        <v>140</v>
      </c>
      <c r="Y99" s="356">
        <f>IFERROR(SUM(Y94:Y98),"0")</f>
        <v>140</v>
      </c>
      <c r="Z99" s="356">
        <f>IFERROR(IF(Z94="",0,Z94),"0")+IFERROR(IF(Z95="",0,Z95),"0")+IFERROR(IF(Z96="",0,Z96),"0")+IFERROR(IF(Z97="",0,Z97),"0")+IFERROR(IF(Z98="",0,Z98),"0")</f>
        <v>2.5032000000000001</v>
      </c>
      <c r="AA99" s="357"/>
      <c r="AB99" s="357"/>
      <c r="AC99" s="357"/>
    </row>
    <row r="100" spans="1:68" x14ac:dyDescent="0.2">
      <c r="A100" s="367"/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74"/>
      <c r="P100" s="368" t="s">
        <v>73</v>
      </c>
      <c r="Q100" s="359"/>
      <c r="R100" s="359"/>
      <c r="S100" s="359"/>
      <c r="T100" s="359"/>
      <c r="U100" s="359"/>
      <c r="V100" s="360"/>
      <c r="W100" s="37" t="s">
        <v>74</v>
      </c>
      <c r="X100" s="356">
        <f>IFERROR(SUMPRODUCT(X94:X98*H94:H98),"0")</f>
        <v>504</v>
      </c>
      <c r="Y100" s="356">
        <f>IFERROR(SUMPRODUCT(Y94:Y98*H94:H98),"0")</f>
        <v>504</v>
      </c>
      <c r="Z100" s="37"/>
      <c r="AA100" s="357"/>
      <c r="AB100" s="357"/>
      <c r="AC100" s="357"/>
    </row>
    <row r="101" spans="1:68" ht="16.5" customHeight="1" x14ac:dyDescent="0.25">
      <c r="A101" s="369" t="s">
        <v>194</v>
      </c>
      <c r="B101" s="367"/>
      <c r="C101" s="367"/>
      <c r="D101" s="367"/>
      <c r="E101" s="367"/>
      <c r="F101" s="367"/>
      <c r="G101" s="367"/>
      <c r="H101" s="367"/>
      <c r="I101" s="367"/>
      <c r="J101" s="367"/>
      <c r="K101" s="367"/>
      <c r="L101" s="367"/>
      <c r="M101" s="367"/>
      <c r="N101" s="367"/>
      <c r="O101" s="367"/>
      <c r="P101" s="367"/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  <c r="AA101" s="349"/>
      <c r="AB101" s="349"/>
      <c r="AC101" s="349"/>
    </row>
    <row r="102" spans="1:68" ht="14.25" customHeight="1" x14ac:dyDescent="0.25">
      <c r="A102" s="366" t="s">
        <v>152</v>
      </c>
      <c r="B102" s="367"/>
      <c r="C102" s="367"/>
      <c r="D102" s="367"/>
      <c r="E102" s="367"/>
      <c r="F102" s="367"/>
      <c r="G102" s="367"/>
      <c r="H102" s="367"/>
      <c r="I102" s="367"/>
      <c r="J102" s="367"/>
      <c r="K102" s="367"/>
      <c r="L102" s="367"/>
      <c r="M102" s="367"/>
      <c r="N102" s="367"/>
      <c r="O102" s="367"/>
      <c r="P102" s="367"/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64">
        <v>4607111033628</v>
      </c>
      <c r="E103" s="365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566" t="s">
        <v>197</v>
      </c>
      <c r="Q103" s="362"/>
      <c r="R103" s="362"/>
      <c r="S103" s="362"/>
      <c r="T103" s="363"/>
      <c r="U103" s="34"/>
      <c r="V103" s="34"/>
      <c r="W103" s="35" t="s">
        <v>70</v>
      </c>
      <c r="X103" s="354">
        <v>0</v>
      </c>
      <c r="Y103" s="355">
        <f t="shared" ref="Y103:Y109" si="12">IFERROR(IF(X103="","",X103),"")</f>
        <v>0</v>
      </c>
      <c r="Z103" s="36">
        <f t="shared" ref="Z103:Z109" si="13">IFERROR(IF(X103="","",X103*0.01788),"")</f>
        <v>0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0</v>
      </c>
      <c r="BN103" s="67">
        <f t="shared" ref="BN103:BN109" si="15">IFERROR(Y103*I103,"0")</f>
        <v>0</v>
      </c>
      <c r="BO103" s="67">
        <f t="shared" ref="BO103:BO109" si="16">IFERROR(X103/J103,"0")</f>
        <v>0</v>
      </c>
      <c r="BP103" s="67">
        <f t="shared" ref="BP103:BP109" si="17">IFERROR(Y103/J103,"0")</f>
        <v>0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64">
        <v>4607111033451</v>
      </c>
      <c r="E104" s="365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579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62"/>
      <c r="R104" s="362"/>
      <c r="S104" s="362"/>
      <c r="T104" s="363"/>
      <c r="U104" s="34"/>
      <c r="V104" s="34"/>
      <c r="W104" s="35" t="s">
        <v>70</v>
      </c>
      <c r="X104" s="354">
        <v>0</v>
      </c>
      <c r="Y104" s="355">
        <f t="shared" si="12"/>
        <v>0</v>
      </c>
      <c r="Z104" s="36">
        <f t="shared" si="13"/>
        <v>0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customHeight="1" x14ac:dyDescent="0.25">
      <c r="A105" s="54" t="s">
        <v>200</v>
      </c>
      <c r="B105" s="54" t="s">
        <v>201</v>
      </c>
      <c r="C105" s="31">
        <v>4301135575</v>
      </c>
      <c r="D105" s="364">
        <v>4607111035141</v>
      </c>
      <c r="E105" s="365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10" t="s">
        <v>202</v>
      </c>
      <c r="Q105" s="362"/>
      <c r="R105" s="362"/>
      <c r="S105" s="362"/>
      <c r="T105" s="363"/>
      <c r="U105" s="34"/>
      <c r="V105" s="34"/>
      <c r="W105" s="35" t="s">
        <v>70</v>
      </c>
      <c r="X105" s="354">
        <v>0</v>
      </c>
      <c r="Y105" s="355">
        <f t="shared" si="12"/>
        <v>0</v>
      </c>
      <c r="Z105" s="36">
        <f t="shared" si="13"/>
        <v>0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0</v>
      </c>
      <c r="BN105" s="67">
        <f t="shared" si="15"/>
        <v>0</v>
      </c>
      <c r="BO105" s="67">
        <f t="shared" si="16"/>
        <v>0</v>
      </c>
      <c r="BP105" s="67">
        <f t="shared" si="17"/>
        <v>0</v>
      </c>
    </row>
    <row r="106" spans="1:68" ht="27" customHeight="1" x14ac:dyDescent="0.25">
      <c r="A106" s="54" t="s">
        <v>204</v>
      </c>
      <c r="B106" s="54" t="s">
        <v>205</v>
      </c>
      <c r="C106" s="31">
        <v>4301135579</v>
      </c>
      <c r="D106" s="364">
        <v>4607111033444</v>
      </c>
      <c r="E106" s="365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448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62"/>
      <c r="R106" s="362"/>
      <c r="S106" s="362"/>
      <c r="T106" s="363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64">
        <v>4607111033444</v>
      </c>
      <c r="E107" s="365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426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62"/>
      <c r="R107" s="362"/>
      <c r="S107" s="362"/>
      <c r="T107" s="363"/>
      <c r="U107" s="34"/>
      <c r="V107" s="34"/>
      <c r="W107" s="35" t="s">
        <v>70</v>
      </c>
      <c r="X107" s="354">
        <v>0</v>
      </c>
      <c r="Y107" s="355">
        <f t="shared" si="12"/>
        <v>0</v>
      </c>
      <c r="Z107" s="36">
        <f t="shared" si="13"/>
        <v>0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0</v>
      </c>
      <c r="BN107" s="67">
        <f t="shared" si="15"/>
        <v>0</v>
      </c>
      <c r="BO107" s="67">
        <f t="shared" si="16"/>
        <v>0</v>
      </c>
      <c r="BP107" s="67">
        <f t="shared" si="17"/>
        <v>0</v>
      </c>
    </row>
    <row r="108" spans="1:68" ht="27" customHeight="1" x14ac:dyDescent="0.25">
      <c r="A108" s="54" t="s">
        <v>208</v>
      </c>
      <c r="B108" s="54" t="s">
        <v>209</v>
      </c>
      <c r="C108" s="31">
        <v>4301135290</v>
      </c>
      <c r="D108" s="364">
        <v>4607111035028</v>
      </c>
      <c r="E108" s="365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470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62"/>
      <c r="R108" s="362"/>
      <c r="S108" s="362"/>
      <c r="T108" s="363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64">
        <v>4607111036407</v>
      </c>
      <c r="E109" s="365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45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62"/>
      <c r="R109" s="362"/>
      <c r="S109" s="362"/>
      <c r="T109" s="363"/>
      <c r="U109" s="34"/>
      <c r="V109" s="34"/>
      <c r="W109" s="35" t="s">
        <v>70</v>
      </c>
      <c r="X109" s="354">
        <v>28</v>
      </c>
      <c r="Y109" s="355">
        <f t="shared" si="12"/>
        <v>28</v>
      </c>
      <c r="Z109" s="36">
        <f t="shared" si="13"/>
        <v>0.50063999999999997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126.81760000000001</v>
      </c>
      <c r="BN109" s="67">
        <f t="shared" si="15"/>
        <v>126.81760000000001</v>
      </c>
      <c r="BO109" s="67">
        <f t="shared" si="16"/>
        <v>0.4</v>
      </c>
      <c r="BP109" s="67">
        <f t="shared" si="17"/>
        <v>0.4</v>
      </c>
    </row>
    <row r="110" spans="1:68" x14ac:dyDescent="0.2">
      <c r="A110" s="373"/>
      <c r="B110" s="367"/>
      <c r="C110" s="367"/>
      <c r="D110" s="367"/>
      <c r="E110" s="367"/>
      <c r="F110" s="367"/>
      <c r="G110" s="367"/>
      <c r="H110" s="367"/>
      <c r="I110" s="367"/>
      <c r="J110" s="367"/>
      <c r="K110" s="367"/>
      <c r="L110" s="367"/>
      <c r="M110" s="367"/>
      <c r="N110" s="367"/>
      <c r="O110" s="374"/>
      <c r="P110" s="368" t="s">
        <v>73</v>
      </c>
      <c r="Q110" s="359"/>
      <c r="R110" s="359"/>
      <c r="S110" s="359"/>
      <c r="T110" s="359"/>
      <c r="U110" s="359"/>
      <c r="V110" s="360"/>
      <c r="W110" s="37" t="s">
        <v>70</v>
      </c>
      <c r="X110" s="356">
        <f>IFERROR(SUM(X103:X109),"0")</f>
        <v>28</v>
      </c>
      <c r="Y110" s="356">
        <f>IFERROR(SUM(Y103:Y109),"0")</f>
        <v>28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0.50063999999999997</v>
      </c>
      <c r="AA110" s="357"/>
      <c r="AB110" s="357"/>
      <c r="AC110" s="357"/>
    </row>
    <row r="111" spans="1:68" x14ac:dyDescent="0.2">
      <c r="A111" s="367"/>
      <c r="B111" s="367"/>
      <c r="C111" s="367"/>
      <c r="D111" s="367"/>
      <c r="E111" s="367"/>
      <c r="F111" s="367"/>
      <c r="G111" s="367"/>
      <c r="H111" s="367"/>
      <c r="I111" s="367"/>
      <c r="J111" s="367"/>
      <c r="K111" s="367"/>
      <c r="L111" s="367"/>
      <c r="M111" s="367"/>
      <c r="N111" s="367"/>
      <c r="O111" s="374"/>
      <c r="P111" s="368" t="s">
        <v>73</v>
      </c>
      <c r="Q111" s="359"/>
      <c r="R111" s="359"/>
      <c r="S111" s="359"/>
      <c r="T111" s="359"/>
      <c r="U111" s="359"/>
      <c r="V111" s="360"/>
      <c r="W111" s="37" t="s">
        <v>74</v>
      </c>
      <c r="X111" s="356">
        <f>IFERROR(SUMPRODUCT(X103:X109*H103:H109),"0")</f>
        <v>117.60000000000001</v>
      </c>
      <c r="Y111" s="356">
        <f>IFERROR(SUMPRODUCT(Y103:Y109*H103:H109),"0")</f>
        <v>117.60000000000001</v>
      </c>
      <c r="Z111" s="37"/>
      <c r="AA111" s="357"/>
      <c r="AB111" s="357"/>
      <c r="AC111" s="357"/>
    </row>
    <row r="112" spans="1:68" ht="16.5" customHeight="1" x14ac:dyDescent="0.25">
      <c r="A112" s="369" t="s">
        <v>213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7"/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  <c r="AA112" s="349"/>
      <c r="AB112" s="349"/>
      <c r="AC112" s="349"/>
    </row>
    <row r="113" spans="1:68" ht="14.25" customHeight="1" x14ac:dyDescent="0.25">
      <c r="A113" s="366" t="s">
        <v>148</v>
      </c>
      <c r="B113" s="367"/>
      <c r="C113" s="367"/>
      <c r="D113" s="367"/>
      <c r="E113" s="367"/>
      <c r="F113" s="367"/>
      <c r="G113" s="367"/>
      <c r="H113" s="367"/>
      <c r="I113" s="367"/>
      <c r="J113" s="367"/>
      <c r="K113" s="367"/>
      <c r="L113" s="367"/>
      <c r="M113" s="367"/>
      <c r="N113" s="367"/>
      <c r="O113" s="367"/>
      <c r="P113" s="367"/>
      <c r="Q113" s="367"/>
      <c r="R113" s="367"/>
      <c r="S113" s="367"/>
      <c r="T113" s="367"/>
      <c r="U113" s="367"/>
      <c r="V113" s="367"/>
      <c r="W113" s="367"/>
      <c r="X113" s="367"/>
      <c r="Y113" s="367"/>
      <c r="Z113" s="367"/>
      <c r="AA113" s="350"/>
      <c r="AB113" s="350"/>
      <c r="AC113" s="350"/>
    </row>
    <row r="114" spans="1:68" ht="27" customHeight="1" x14ac:dyDescent="0.25">
      <c r="A114" s="54" t="s">
        <v>214</v>
      </c>
      <c r="B114" s="54" t="s">
        <v>215</v>
      </c>
      <c r="C114" s="31">
        <v>4301136042</v>
      </c>
      <c r="D114" s="364">
        <v>4607025784012</v>
      </c>
      <c r="E114" s="365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43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62"/>
      <c r="R114" s="362"/>
      <c r="S114" s="362"/>
      <c r="T114" s="363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64">
        <v>4607025784319</v>
      </c>
      <c r="E115" s="365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6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62"/>
      <c r="R115" s="362"/>
      <c r="S115" s="362"/>
      <c r="T115" s="363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4301136077</v>
      </c>
      <c r="D116" s="364">
        <v>4607025784319</v>
      </c>
      <c r="E116" s="365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551" t="s">
        <v>221</v>
      </c>
      <c r="Q116" s="362"/>
      <c r="R116" s="362"/>
      <c r="S116" s="362"/>
      <c r="T116" s="363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64">
        <v>4607111035370</v>
      </c>
      <c r="E117" s="365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518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62"/>
      <c r="R117" s="362"/>
      <c r="S117" s="362"/>
      <c r="T117" s="363"/>
      <c r="U117" s="34"/>
      <c r="V117" s="34"/>
      <c r="W117" s="35" t="s">
        <v>70</v>
      </c>
      <c r="X117" s="354">
        <v>12</v>
      </c>
      <c r="Y117" s="355">
        <f>IFERROR(IF(X117="","",X117),"")</f>
        <v>12</v>
      </c>
      <c r="Z117" s="36">
        <f>IFERROR(IF(X117="","",X117*0.0155),"")</f>
        <v>0.186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41.567999999999998</v>
      </c>
      <c r="BN117" s="67">
        <f>IFERROR(Y117*I117,"0")</f>
        <v>41.567999999999998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373"/>
      <c r="B118" s="367"/>
      <c r="C118" s="367"/>
      <c r="D118" s="367"/>
      <c r="E118" s="367"/>
      <c r="F118" s="367"/>
      <c r="G118" s="367"/>
      <c r="H118" s="367"/>
      <c r="I118" s="367"/>
      <c r="J118" s="367"/>
      <c r="K118" s="367"/>
      <c r="L118" s="367"/>
      <c r="M118" s="367"/>
      <c r="N118" s="367"/>
      <c r="O118" s="374"/>
      <c r="P118" s="368" t="s">
        <v>73</v>
      </c>
      <c r="Q118" s="359"/>
      <c r="R118" s="359"/>
      <c r="S118" s="359"/>
      <c r="T118" s="359"/>
      <c r="U118" s="359"/>
      <c r="V118" s="360"/>
      <c r="W118" s="37" t="s">
        <v>70</v>
      </c>
      <c r="X118" s="356">
        <f>IFERROR(SUM(X114:X117),"0")</f>
        <v>12</v>
      </c>
      <c r="Y118" s="356">
        <f>IFERROR(SUM(Y114:Y117),"0")</f>
        <v>12</v>
      </c>
      <c r="Z118" s="356">
        <f>IFERROR(IF(Z114="",0,Z114),"0")+IFERROR(IF(Z115="",0,Z115),"0")+IFERROR(IF(Z116="",0,Z116),"0")+IFERROR(IF(Z117="",0,Z117),"0")</f>
        <v>0.186</v>
      </c>
      <c r="AA118" s="357"/>
      <c r="AB118" s="357"/>
      <c r="AC118" s="357"/>
    </row>
    <row r="119" spans="1:68" x14ac:dyDescent="0.2">
      <c r="A119" s="367"/>
      <c r="B119" s="367"/>
      <c r="C119" s="367"/>
      <c r="D119" s="367"/>
      <c r="E119" s="367"/>
      <c r="F119" s="367"/>
      <c r="G119" s="367"/>
      <c r="H119" s="367"/>
      <c r="I119" s="367"/>
      <c r="J119" s="367"/>
      <c r="K119" s="367"/>
      <c r="L119" s="367"/>
      <c r="M119" s="367"/>
      <c r="N119" s="367"/>
      <c r="O119" s="374"/>
      <c r="P119" s="368" t="s">
        <v>73</v>
      </c>
      <c r="Q119" s="359"/>
      <c r="R119" s="359"/>
      <c r="S119" s="359"/>
      <c r="T119" s="359"/>
      <c r="U119" s="359"/>
      <c r="V119" s="360"/>
      <c r="W119" s="37" t="s">
        <v>74</v>
      </c>
      <c r="X119" s="356">
        <f>IFERROR(SUMPRODUCT(X114:X117*H114:H117),"0")</f>
        <v>36.96</v>
      </c>
      <c r="Y119" s="356">
        <f>IFERROR(SUMPRODUCT(Y114:Y117*H114:H117),"0")</f>
        <v>36.96</v>
      </c>
      <c r="Z119" s="37"/>
      <c r="AA119" s="357"/>
      <c r="AB119" s="357"/>
      <c r="AC119" s="357"/>
    </row>
    <row r="120" spans="1:68" ht="16.5" customHeight="1" x14ac:dyDescent="0.25">
      <c r="A120" s="369" t="s">
        <v>225</v>
      </c>
      <c r="B120" s="367"/>
      <c r="C120" s="367"/>
      <c r="D120" s="367"/>
      <c r="E120" s="367"/>
      <c r="F120" s="367"/>
      <c r="G120" s="367"/>
      <c r="H120" s="367"/>
      <c r="I120" s="367"/>
      <c r="J120" s="367"/>
      <c r="K120" s="367"/>
      <c r="L120" s="367"/>
      <c r="M120" s="367"/>
      <c r="N120" s="367"/>
      <c r="O120" s="367"/>
      <c r="P120" s="367"/>
      <c r="Q120" s="367"/>
      <c r="R120" s="367"/>
      <c r="S120" s="367"/>
      <c r="T120" s="367"/>
      <c r="U120" s="367"/>
      <c r="V120" s="367"/>
      <c r="W120" s="367"/>
      <c r="X120" s="367"/>
      <c r="Y120" s="367"/>
      <c r="Z120" s="367"/>
      <c r="AA120" s="349"/>
      <c r="AB120" s="349"/>
      <c r="AC120" s="349"/>
    </row>
    <row r="121" spans="1:68" ht="14.25" customHeight="1" x14ac:dyDescent="0.25">
      <c r="A121" s="366" t="s">
        <v>64</v>
      </c>
      <c r="B121" s="367"/>
      <c r="C121" s="367"/>
      <c r="D121" s="367"/>
      <c r="E121" s="367"/>
      <c r="F121" s="367"/>
      <c r="G121" s="367"/>
      <c r="H121" s="367"/>
      <c r="I121" s="367"/>
      <c r="J121" s="367"/>
      <c r="K121" s="367"/>
      <c r="L121" s="367"/>
      <c r="M121" s="367"/>
      <c r="N121" s="367"/>
      <c r="O121" s="367"/>
      <c r="P121" s="367"/>
      <c r="Q121" s="367"/>
      <c r="R121" s="367"/>
      <c r="S121" s="367"/>
      <c r="T121" s="367"/>
      <c r="U121" s="367"/>
      <c r="V121" s="367"/>
      <c r="W121" s="367"/>
      <c r="X121" s="367"/>
      <c r="Y121" s="367"/>
      <c r="Z121" s="367"/>
      <c r="AA121" s="350"/>
      <c r="AB121" s="350"/>
      <c r="AC121" s="350"/>
    </row>
    <row r="122" spans="1:68" ht="27" customHeight="1" x14ac:dyDescent="0.25">
      <c r="A122" s="54" t="s">
        <v>226</v>
      </c>
      <c r="B122" s="54" t="s">
        <v>227</v>
      </c>
      <c r="C122" s="31">
        <v>4301071074</v>
      </c>
      <c r="D122" s="364">
        <v>4620207491157</v>
      </c>
      <c r="E122" s="365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571" t="s">
        <v>228</v>
      </c>
      <c r="Q122" s="362"/>
      <c r="R122" s="362"/>
      <c r="S122" s="362"/>
      <c r="T122" s="363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customHeight="1" x14ac:dyDescent="0.25">
      <c r="A123" s="54" t="s">
        <v>231</v>
      </c>
      <c r="B123" s="54" t="s">
        <v>232</v>
      </c>
      <c r="C123" s="31">
        <v>4301071051</v>
      </c>
      <c r="D123" s="364">
        <v>4607111039262</v>
      </c>
      <c r="E123" s="365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42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62"/>
      <c r="R123" s="362"/>
      <c r="S123" s="362"/>
      <c r="T123" s="363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64">
        <v>4607111039248</v>
      </c>
      <c r="E124" s="365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36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62"/>
      <c r="R124" s="362"/>
      <c r="S124" s="362"/>
      <c r="T124" s="363"/>
      <c r="U124" s="34"/>
      <c r="V124" s="34"/>
      <c r="W124" s="35" t="s">
        <v>70</v>
      </c>
      <c r="X124" s="354">
        <v>0</v>
      </c>
      <c r="Y124" s="355">
        <f t="shared" si="18"/>
        <v>0</v>
      </c>
      <c r="Z124" s="36">
        <f t="shared" si="19"/>
        <v>0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0</v>
      </c>
      <c r="BN124" s="67">
        <f t="shared" si="21"/>
        <v>0</v>
      </c>
      <c r="BO124" s="67">
        <f t="shared" si="22"/>
        <v>0</v>
      </c>
      <c r="BP124" s="67">
        <f t="shared" si="23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4301070976</v>
      </c>
      <c r="D125" s="364">
        <v>4607111034144</v>
      </c>
      <c r="E125" s="365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431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62"/>
      <c r="R125" s="362"/>
      <c r="S125" s="362"/>
      <c r="T125" s="363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64">
        <v>4607111039293</v>
      </c>
      <c r="E126" s="365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37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62"/>
      <c r="R126" s="362"/>
      <c r="S126" s="362"/>
      <c r="T126" s="363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64">
        <v>4607111039279</v>
      </c>
      <c r="E127" s="365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2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62"/>
      <c r="R127" s="362"/>
      <c r="S127" s="362"/>
      <c r="T127" s="363"/>
      <c r="U127" s="34"/>
      <c r="V127" s="34"/>
      <c r="W127" s="35" t="s">
        <v>70</v>
      </c>
      <c r="X127" s="354">
        <v>0</v>
      </c>
      <c r="Y127" s="355">
        <f t="shared" si="18"/>
        <v>0</v>
      </c>
      <c r="Z127" s="36">
        <f t="shared" si="19"/>
        <v>0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0</v>
      </c>
      <c r="BN127" s="67">
        <f t="shared" si="21"/>
        <v>0</v>
      </c>
      <c r="BO127" s="67">
        <f t="shared" si="22"/>
        <v>0</v>
      </c>
      <c r="BP127" s="67">
        <f t="shared" si="23"/>
        <v>0</v>
      </c>
    </row>
    <row r="128" spans="1:68" x14ac:dyDescent="0.2">
      <c r="A128" s="373"/>
      <c r="B128" s="367"/>
      <c r="C128" s="367"/>
      <c r="D128" s="367"/>
      <c r="E128" s="367"/>
      <c r="F128" s="367"/>
      <c r="G128" s="367"/>
      <c r="H128" s="367"/>
      <c r="I128" s="367"/>
      <c r="J128" s="367"/>
      <c r="K128" s="367"/>
      <c r="L128" s="367"/>
      <c r="M128" s="367"/>
      <c r="N128" s="367"/>
      <c r="O128" s="374"/>
      <c r="P128" s="368" t="s">
        <v>73</v>
      </c>
      <c r="Q128" s="359"/>
      <c r="R128" s="359"/>
      <c r="S128" s="359"/>
      <c r="T128" s="359"/>
      <c r="U128" s="359"/>
      <c r="V128" s="360"/>
      <c r="W128" s="37" t="s">
        <v>70</v>
      </c>
      <c r="X128" s="356">
        <f>IFERROR(SUM(X122:X127),"0")</f>
        <v>0</v>
      </c>
      <c r="Y128" s="356">
        <f>IFERROR(SUM(Y122:Y127),"0")</f>
        <v>0</v>
      </c>
      <c r="Z128" s="356">
        <f>IFERROR(IF(Z122="",0,Z122),"0")+IFERROR(IF(Z123="",0,Z123),"0")+IFERROR(IF(Z124="",0,Z124),"0")+IFERROR(IF(Z125="",0,Z125),"0")+IFERROR(IF(Z126="",0,Z126),"0")+IFERROR(IF(Z127="",0,Z127),"0")</f>
        <v>0</v>
      </c>
      <c r="AA128" s="357"/>
      <c r="AB128" s="357"/>
      <c r="AC128" s="357"/>
    </row>
    <row r="129" spans="1:68" x14ac:dyDescent="0.2">
      <c r="A129" s="367"/>
      <c r="B129" s="367"/>
      <c r="C129" s="367"/>
      <c r="D129" s="367"/>
      <c r="E129" s="367"/>
      <c r="F129" s="367"/>
      <c r="G129" s="367"/>
      <c r="H129" s="367"/>
      <c r="I129" s="367"/>
      <c r="J129" s="367"/>
      <c r="K129" s="367"/>
      <c r="L129" s="367"/>
      <c r="M129" s="367"/>
      <c r="N129" s="367"/>
      <c r="O129" s="374"/>
      <c r="P129" s="368" t="s">
        <v>73</v>
      </c>
      <c r="Q129" s="359"/>
      <c r="R129" s="359"/>
      <c r="S129" s="359"/>
      <c r="T129" s="359"/>
      <c r="U129" s="359"/>
      <c r="V129" s="360"/>
      <c r="W129" s="37" t="s">
        <v>74</v>
      </c>
      <c r="X129" s="356">
        <f>IFERROR(SUMPRODUCT(X122:X127*H122:H127),"0")</f>
        <v>0</v>
      </c>
      <c r="Y129" s="356">
        <f>IFERROR(SUMPRODUCT(Y122:Y127*H122:H127),"0")</f>
        <v>0</v>
      </c>
      <c r="Z129" s="37"/>
      <c r="AA129" s="357"/>
      <c r="AB129" s="357"/>
      <c r="AC129" s="357"/>
    </row>
    <row r="130" spans="1:68" ht="14.25" customHeight="1" x14ac:dyDescent="0.25">
      <c r="A130" s="366" t="s">
        <v>152</v>
      </c>
      <c r="B130" s="367"/>
      <c r="C130" s="367"/>
      <c r="D130" s="367"/>
      <c r="E130" s="367"/>
      <c r="F130" s="367"/>
      <c r="G130" s="367"/>
      <c r="H130" s="367"/>
      <c r="I130" s="367"/>
      <c r="J130" s="367"/>
      <c r="K130" s="367"/>
      <c r="L130" s="367"/>
      <c r="M130" s="367"/>
      <c r="N130" s="367"/>
      <c r="O130" s="367"/>
      <c r="P130" s="367"/>
      <c r="Q130" s="367"/>
      <c r="R130" s="367"/>
      <c r="S130" s="367"/>
      <c r="T130" s="367"/>
      <c r="U130" s="367"/>
      <c r="V130" s="367"/>
      <c r="W130" s="367"/>
      <c r="X130" s="367"/>
      <c r="Y130" s="367"/>
      <c r="Z130" s="367"/>
      <c r="AA130" s="350"/>
      <c r="AB130" s="350"/>
      <c r="AC130" s="350"/>
    </row>
    <row r="131" spans="1:68" ht="27" customHeight="1" x14ac:dyDescent="0.25">
      <c r="A131" s="54" t="s">
        <v>241</v>
      </c>
      <c r="B131" s="54" t="s">
        <v>242</v>
      </c>
      <c r="C131" s="31">
        <v>4301135670</v>
      </c>
      <c r="D131" s="364">
        <v>4620207490983</v>
      </c>
      <c r="E131" s="365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543" t="s">
        <v>243</v>
      </c>
      <c r="Q131" s="362"/>
      <c r="R131" s="362"/>
      <c r="S131" s="362"/>
      <c r="T131" s="363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x14ac:dyDescent="0.2">
      <c r="A132" s="373"/>
      <c r="B132" s="367"/>
      <c r="C132" s="367"/>
      <c r="D132" s="367"/>
      <c r="E132" s="367"/>
      <c r="F132" s="367"/>
      <c r="G132" s="367"/>
      <c r="H132" s="367"/>
      <c r="I132" s="367"/>
      <c r="J132" s="367"/>
      <c r="K132" s="367"/>
      <c r="L132" s="367"/>
      <c r="M132" s="367"/>
      <c r="N132" s="367"/>
      <c r="O132" s="374"/>
      <c r="P132" s="368" t="s">
        <v>73</v>
      </c>
      <c r="Q132" s="359"/>
      <c r="R132" s="359"/>
      <c r="S132" s="359"/>
      <c r="T132" s="359"/>
      <c r="U132" s="359"/>
      <c r="V132" s="36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x14ac:dyDescent="0.2">
      <c r="A133" s="367"/>
      <c r="B133" s="367"/>
      <c r="C133" s="367"/>
      <c r="D133" s="367"/>
      <c r="E133" s="367"/>
      <c r="F133" s="367"/>
      <c r="G133" s="367"/>
      <c r="H133" s="367"/>
      <c r="I133" s="367"/>
      <c r="J133" s="367"/>
      <c r="K133" s="367"/>
      <c r="L133" s="367"/>
      <c r="M133" s="367"/>
      <c r="N133" s="367"/>
      <c r="O133" s="374"/>
      <c r="P133" s="368" t="s">
        <v>73</v>
      </c>
      <c r="Q133" s="359"/>
      <c r="R133" s="359"/>
      <c r="S133" s="359"/>
      <c r="T133" s="359"/>
      <c r="U133" s="359"/>
      <c r="V133" s="36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customHeight="1" x14ac:dyDescent="0.25">
      <c r="A134" s="369" t="s">
        <v>245</v>
      </c>
      <c r="B134" s="367"/>
      <c r="C134" s="367"/>
      <c r="D134" s="367"/>
      <c r="E134" s="367"/>
      <c r="F134" s="367"/>
      <c r="G134" s="367"/>
      <c r="H134" s="367"/>
      <c r="I134" s="367"/>
      <c r="J134" s="367"/>
      <c r="K134" s="367"/>
      <c r="L134" s="367"/>
      <c r="M134" s="367"/>
      <c r="N134" s="367"/>
      <c r="O134" s="367"/>
      <c r="P134" s="367"/>
      <c r="Q134" s="367"/>
      <c r="R134" s="367"/>
      <c r="S134" s="367"/>
      <c r="T134" s="367"/>
      <c r="U134" s="367"/>
      <c r="V134" s="367"/>
      <c r="W134" s="367"/>
      <c r="X134" s="367"/>
      <c r="Y134" s="367"/>
      <c r="Z134" s="367"/>
      <c r="AA134" s="349"/>
      <c r="AB134" s="349"/>
      <c r="AC134" s="349"/>
    </row>
    <row r="135" spans="1:68" ht="14.25" customHeight="1" x14ac:dyDescent="0.25">
      <c r="A135" s="366" t="s">
        <v>152</v>
      </c>
      <c r="B135" s="367"/>
      <c r="C135" s="367"/>
      <c r="D135" s="367"/>
      <c r="E135" s="367"/>
      <c r="F135" s="367"/>
      <c r="G135" s="367"/>
      <c r="H135" s="367"/>
      <c r="I135" s="367"/>
      <c r="J135" s="367"/>
      <c r="K135" s="367"/>
      <c r="L135" s="367"/>
      <c r="M135" s="367"/>
      <c r="N135" s="367"/>
      <c r="O135" s="367"/>
      <c r="P135" s="367"/>
      <c r="Q135" s="367"/>
      <c r="R135" s="367"/>
      <c r="S135" s="367"/>
      <c r="T135" s="367"/>
      <c r="U135" s="367"/>
      <c r="V135" s="367"/>
      <c r="W135" s="367"/>
      <c r="X135" s="367"/>
      <c r="Y135" s="367"/>
      <c r="Z135" s="367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64">
        <v>4607111034014</v>
      </c>
      <c r="E136" s="365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39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62"/>
      <c r="R136" s="362"/>
      <c r="S136" s="362"/>
      <c r="T136" s="363"/>
      <c r="U136" s="34"/>
      <c r="V136" s="34"/>
      <c r="W136" s="35" t="s">
        <v>70</v>
      </c>
      <c r="X136" s="354">
        <v>70</v>
      </c>
      <c r="Y136" s="355">
        <f>IFERROR(IF(X136="","",X136),"")</f>
        <v>70</v>
      </c>
      <c r="Z136" s="36">
        <f>IFERROR(IF(X136="","",X136*0.01788),"")</f>
        <v>1.2516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259.25200000000001</v>
      </c>
      <c r="BN136" s="67">
        <f>IFERROR(Y136*I136,"0")</f>
        <v>259.25200000000001</v>
      </c>
      <c r="BO136" s="67">
        <f>IFERROR(X136/J136,"0")</f>
        <v>1</v>
      </c>
      <c r="BP136" s="67">
        <f>IFERROR(Y136/J136,"0")</f>
        <v>1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64">
        <v>4607111033994</v>
      </c>
      <c r="E137" s="365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51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62"/>
      <c r="R137" s="362"/>
      <c r="S137" s="362"/>
      <c r="T137" s="363"/>
      <c r="U137" s="34"/>
      <c r="V137" s="34"/>
      <c r="W137" s="35" t="s">
        <v>70</v>
      </c>
      <c r="X137" s="354">
        <v>70</v>
      </c>
      <c r="Y137" s="355">
        <f>IFERROR(IF(X137="","",X137),"")</f>
        <v>70</v>
      </c>
      <c r="Z137" s="36">
        <f>IFERROR(IF(X137="","",X137*0.01788),"")</f>
        <v>1.2516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259.25200000000001</v>
      </c>
      <c r="BN137" s="67">
        <f>IFERROR(Y137*I137,"0")</f>
        <v>259.25200000000001</v>
      </c>
      <c r="BO137" s="67">
        <f>IFERROR(X137/J137,"0")</f>
        <v>1</v>
      </c>
      <c r="BP137" s="67">
        <f>IFERROR(Y137/J137,"0")</f>
        <v>1</v>
      </c>
    </row>
    <row r="138" spans="1:68" x14ac:dyDescent="0.2">
      <c r="A138" s="373"/>
      <c r="B138" s="367"/>
      <c r="C138" s="367"/>
      <c r="D138" s="367"/>
      <c r="E138" s="367"/>
      <c r="F138" s="367"/>
      <c r="G138" s="367"/>
      <c r="H138" s="367"/>
      <c r="I138" s="367"/>
      <c r="J138" s="367"/>
      <c r="K138" s="367"/>
      <c r="L138" s="367"/>
      <c r="M138" s="367"/>
      <c r="N138" s="367"/>
      <c r="O138" s="374"/>
      <c r="P138" s="368" t="s">
        <v>73</v>
      </c>
      <c r="Q138" s="359"/>
      <c r="R138" s="359"/>
      <c r="S138" s="359"/>
      <c r="T138" s="359"/>
      <c r="U138" s="359"/>
      <c r="V138" s="360"/>
      <c r="W138" s="37" t="s">
        <v>70</v>
      </c>
      <c r="X138" s="356">
        <f>IFERROR(SUM(X136:X137),"0")</f>
        <v>140</v>
      </c>
      <c r="Y138" s="356">
        <f>IFERROR(SUM(Y136:Y137),"0")</f>
        <v>140</v>
      </c>
      <c r="Z138" s="356">
        <f>IFERROR(IF(Z136="",0,Z136),"0")+IFERROR(IF(Z137="",0,Z137),"0")</f>
        <v>2.5032000000000001</v>
      </c>
      <c r="AA138" s="357"/>
      <c r="AB138" s="357"/>
      <c r="AC138" s="357"/>
    </row>
    <row r="139" spans="1:68" x14ac:dyDescent="0.2">
      <c r="A139" s="367"/>
      <c r="B139" s="367"/>
      <c r="C139" s="367"/>
      <c r="D139" s="367"/>
      <c r="E139" s="367"/>
      <c r="F139" s="367"/>
      <c r="G139" s="367"/>
      <c r="H139" s="367"/>
      <c r="I139" s="367"/>
      <c r="J139" s="367"/>
      <c r="K139" s="367"/>
      <c r="L139" s="367"/>
      <c r="M139" s="367"/>
      <c r="N139" s="367"/>
      <c r="O139" s="374"/>
      <c r="P139" s="368" t="s">
        <v>73</v>
      </c>
      <c r="Q139" s="359"/>
      <c r="R139" s="359"/>
      <c r="S139" s="359"/>
      <c r="T139" s="359"/>
      <c r="U139" s="359"/>
      <c r="V139" s="360"/>
      <c r="W139" s="37" t="s">
        <v>74</v>
      </c>
      <c r="X139" s="356">
        <f>IFERROR(SUMPRODUCT(X136:X137*H136:H137),"0")</f>
        <v>420</v>
      </c>
      <c r="Y139" s="356">
        <f>IFERROR(SUMPRODUCT(Y136:Y137*H136:H137),"0")</f>
        <v>420</v>
      </c>
      <c r="Z139" s="37"/>
      <c r="AA139" s="357"/>
      <c r="AB139" s="357"/>
      <c r="AC139" s="357"/>
    </row>
    <row r="140" spans="1:68" ht="16.5" customHeight="1" x14ac:dyDescent="0.25">
      <c r="A140" s="369" t="s">
        <v>251</v>
      </c>
      <c r="B140" s="367"/>
      <c r="C140" s="367"/>
      <c r="D140" s="367"/>
      <c r="E140" s="367"/>
      <c r="F140" s="367"/>
      <c r="G140" s="367"/>
      <c r="H140" s="367"/>
      <c r="I140" s="367"/>
      <c r="J140" s="367"/>
      <c r="K140" s="367"/>
      <c r="L140" s="367"/>
      <c r="M140" s="367"/>
      <c r="N140" s="367"/>
      <c r="O140" s="367"/>
      <c r="P140" s="367"/>
      <c r="Q140" s="367"/>
      <c r="R140" s="367"/>
      <c r="S140" s="367"/>
      <c r="T140" s="367"/>
      <c r="U140" s="367"/>
      <c r="V140" s="367"/>
      <c r="W140" s="367"/>
      <c r="X140" s="367"/>
      <c r="Y140" s="367"/>
      <c r="Z140" s="367"/>
      <c r="AA140" s="349"/>
      <c r="AB140" s="349"/>
      <c r="AC140" s="349"/>
    </row>
    <row r="141" spans="1:68" ht="14.25" customHeight="1" x14ac:dyDescent="0.25">
      <c r="A141" s="366" t="s">
        <v>152</v>
      </c>
      <c r="B141" s="367"/>
      <c r="C141" s="367"/>
      <c r="D141" s="367"/>
      <c r="E141" s="367"/>
      <c r="F141" s="367"/>
      <c r="G141" s="367"/>
      <c r="H141" s="367"/>
      <c r="I141" s="367"/>
      <c r="J141" s="367"/>
      <c r="K141" s="367"/>
      <c r="L141" s="367"/>
      <c r="M141" s="367"/>
      <c r="N141" s="367"/>
      <c r="O141" s="367"/>
      <c r="P141" s="367"/>
      <c r="Q141" s="367"/>
      <c r="R141" s="367"/>
      <c r="S141" s="367"/>
      <c r="T141" s="367"/>
      <c r="U141" s="367"/>
      <c r="V141" s="367"/>
      <c r="W141" s="367"/>
      <c r="X141" s="367"/>
      <c r="Y141" s="367"/>
      <c r="Z141" s="367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64">
        <v>4607111039095</v>
      </c>
      <c r="E142" s="365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517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62"/>
      <c r="R142" s="362"/>
      <c r="S142" s="362"/>
      <c r="T142" s="363"/>
      <c r="U142" s="34"/>
      <c r="V142" s="34"/>
      <c r="W142" s="35" t="s">
        <v>70</v>
      </c>
      <c r="X142" s="354">
        <v>0</v>
      </c>
      <c r="Y142" s="355">
        <f>IFERROR(IF(X142="","",X142),"")</f>
        <v>0</v>
      </c>
      <c r="Z142" s="36">
        <f>IFERROR(IF(X142="","",X142*0.01788),"")</f>
        <v>0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64">
        <v>4607111034199</v>
      </c>
      <c r="E143" s="365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50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62"/>
      <c r="R143" s="362"/>
      <c r="S143" s="362"/>
      <c r="T143" s="363"/>
      <c r="U143" s="34"/>
      <c r="V143" s="34"/>
      <c r="W143" s="35" t="s">
        <v>70</v>
      </c>
      <c r="X143" s="354">
        <v>70</v>
      </c>
      <c r="Y143" s="355">
        <f>IFERROR(IF(X143="","",X143),"")</f>
        <v>70</v>
      </c>
      <c r="Z143" s="36">
        <f>IFERROR(IF(X143="","",X143*0.01788),"")</f>
        <v>1.2516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259.25200000000001</v>
      </c>
      <c r="BN143" s="67">
        <f>IFERROR(Y143*I143,"0")</f>
        <v>259.25200000000001</v>
      </c>
      <c r="BO143" s="67">
        <f>IFERROR(X143/J143,"0")</f>
        <v>1</v>
      </c>
      <c r="BP143" s="67">
        <f>IFERROR(Y143/J143,"0")</f>
        <v>1</v>
      </c>
    </row>
    <row r="144" spans="1:68" x14ac:dyDescent="0.2">
      <c r="A144" s="373"/>
      <c r="B144" s="367"/>
      <c r="C144" s="367"/>
      <c r="D144" s="367"/>
      <c r="E144" s="367"/>
      <c r="F144" s="367"/>
      <c r="G144" s="367"/>
      <c r="H144" s="367"/>
      <c r="I144" s="367"/>
      <c r="J144" s="367"/>
      <c r="K144" s="367"/>
      <c r="L144" s="367"/>
      <c r="M144" s="367"/>
      <c r="N144" s="367"/>
      <c r="O144" s="374"/>
      <c r="P144" s="368" t="s">
        <v>73</v>
      </c>
      <c r="Q144" s="359"/>
      <c r="R144" s="359"/>
      <c r="S144" s="359"/>
      <c r="T144" s="359"/>
      <c r="U144" s="359"/>
      <c r="V144" s="360"/>
      <c r="W144" s="37" t="s">
        <v>70</v>
      </c>
      <c r="X144" s="356">
        <f>IFERROR(SUM(X142:X143),"0")</f>
        <v>70</v>
      </c>
      <c r="Y144" s="356">
        <f>IFERROR(SUM(Y142:Y143),"0")</f>
        <v>70</v>
      </c>
      <c r="Z144" s="356">
        <f>IFERROR(IF(Z142="",0,Z142),"0")+IFERROR(IF(Z143="",0,Z143),"0")</f>
        <v>1.2516</v>
      </c>
      <c r="AA144" s="357"/>
      <c r="AB144" s="357"/>
      <c r="AC144" s="357"/>
    </row>
    <row r="145" spans="1:68" x14ac:dyDescent="0.2">
      <c r="A145" s="367"/>
      <c r="B145" s="367"/>
      <c r="C145" s="367"/>
      <c r="D145" s="367"/>
      <c r="E145" s="367"/>
      <c r="F145" s="367"/>
      <c r="G145" s="367"/>
      <c r="H145" s="367"/>
      <c r="I145" s="367"/>
      <c r="J145" s="367"/>
      <c r="K145" s="367"/>
      <c r="L145" s="367"/>
      <c r="M145" s="367"/>
      <c r="N145" s="367"/>
      <c r="O145" s="374"/>
      <c r="P145" s="368" t="s">
        <v>73</v>
      </c>
      <c r="Q145" s="359"/>
      <c r="R145" s="359"/>
      <c r="S145" s="359"/>
      <c r="T145" s="359"/>
      <c r="U145" s="359"/>
      <c r="V145" s="360"/>
      <c r="W145" s="37" t="s">
        <v>74</v>
      </c>
      <c r="X145" s="356">
        <f>IFERROR(SUMPRODUCT(X142:X143*H142:H143),"0")</f>
        <v>210</v>
      </c>
      <c r="Y145" s="356">
        <f>IFERROR(SUMPRODUCT(Y142:Y143*H142:H143),"0")</f>
        <v>210</v>
      </c>
      <c r="Z145" s="37"/>
      <c r="AA145" s="357"/>
      <c r="AB145" s="357"/>
      <c r="AC145" s="357"/>
    </row>
    <row r="146" spans="1:68" ht="16.5" customHeight="1" x14ac:dyDescent="0.25">
      <c r="A146" s="369" t="s">
        <v>258</v>
      </c>
      <c r="B146" s="367"/>
      <c r="C146" s="367"/>
      <c r="D146" s="367"/>
      <c r="E146" s="367"/>
      <c r="F146" s="367"/>
      <c r="G146" s="367"/>
      <c r="H146" s="367"/>
      <c r="I146" s="367"/>
      <c r="J146" s="367"/>
      <c r="K146" s="367"/>
      <c r="L146" s="367"/>
      <c r="M146" s="367"/>
      <c r="N146" s="367"/>
      <c r="O146" s="367"/>
      <c r="P146" s="367"/>
      <c r="Q146" s="367"/>
      <c r="R146" s="367"/>
      <c r="S146" s="367"/>
      <c r="T146" s="367"/>
      <c r="U146" s="367"/>
      <c r="V146" s="367"/>
      <c r="W146" s="367"/>
      <c r="X146" s="367"/>
      <c r="Y146" s="367"/>
      <c r="Z146" s="367"/>
      <c r="AA146" s="349"/>
      <c r="AB146" s="349"/>
      <c r="AC146" s="349"/>
    </row>
    <row r="147" spans="1:68" ht="14.25" customHeight="1" x14ac:dyDescent="0.25">
      <c r="A147" s="366" t="s">
        <v>152</v>
      </c>
      <c r="B147" s="367"/>
      <c r="C147" s="367"/>
      <c r="D147" s="367"/>
      <c r="E147" s="367"/>
      <c r="F147" s="367"/>
      <c r="G147" s="367"/>
      <c r="H147" s="367"/>
      <c r="I147" s="367"/>
      <c r="J147" s="367"/>
      <c r="K147" s="367"/>
      <c r="L147" s="367"/>
      <c r="M147" s="367"/>
      <c r="N147" s="367"/>
      <c r="O147" s="367"/>
      <c r="P147" s="367"/>
      <c r="Q147" s="367"/>
      <c r="R147" s="367"/>
      <c r="S147" s="367"/>
      <c r="T147" s="367"/>
      <c r="U147" s="367"/>
      <c r="V147" s="367"/>
      <c r="W147" s="367"/>
      <c r="X147" s="367"/>
      <c r="Y147" s="367"/>
      <c r="Z147" s="367"/>
      <c r="AA147" s="350"/>
      <c r="AB147" s="350"/>
      <c r="AC147" s="350"/>
    </row>
    <row r="148" spans="1:68" ht="27" customHeight="1" x14ac:dyDescent="0.25">
      <c r="A148" s="54" t="s">
        <v>259</v>
      </c>
      <c r="B148" s="54" t="s">
        <v>260</v>
      </c>
      <c r="C148" s="31">
        <v>4301135275</v>
      </c>
      <c r="D148" s="364">
        <v>4607111034380</v>
      </c>
      <c r="E148" s="365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547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62"/>
      <c r="R148" s="362"/>
      <c r="S148" s="362"/>
      <c r="T148" s="363"/>
      <c r="U148" s="34"/>
      <c r="V148" s="34"/>
      <c r="W148" s="35" t="s">
        <v>70</v>
      </c>
      <c r="X148" s="354">
        <v>0</v>
      </c>
      <c r="Y148" s="355">
        <f>IFERROR(IF(X148="","",X148),"")</f>
        <v>0</v>
      </c>
      <c r="Z148" s="36">
        <f>IFERROR(IF(X148="","",X148*0.01788),"")</f>
        <v>0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customHeight="1" x14ac:dyDescent="0.25">
      <c r="A149" s="54" t="s">
        <v>262</v>
      </c>
      <c r="B149" s="54" t="s">
        <v>263</v>
      </c>
      <c r="C149" s="31">
        <v>4301135277</v>
      </c>
      <c r="D149" s="364">
        <v>4607111034397</v>
      </c>
      <c r="E149" s="365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388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62"/>
      <c r="R149" s="362"/>
      <c r="S149" s="362"/>
      <c r="T149" s="363"/>
      <c r="U149" s="34"/>
      <c r="V149" s="34"/>
      <c r="W149" s="35" t="s">
        <v>70</v>
      </c>
      <c r="X149" s="354">
        <v>0</v>
      </c>
      <c r="Y149" s="355">
        <f>IFERROR(IF(X149="","",X149),"")</f>
        <v>0</v>
      </c>
      <c r="Z149" s="36">
        <f>IFERROR(IF(X149="","",X149*0.01788),"")</f>
        <v>0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373"/>
      <c r="B150" s="367"/>
      <c r="C150" s="367"/>
      <c r="D150" s="367"/>
      <c r="E150" s="367"/>
      <c r="F150" s="367"/>
      <c r="G150" s="367"/>
      <c r="H150" s="367"/>
      <c r="I150" s="367"/>
      <c r="J150" s="367"/>
      <c r="K150" s="367"/>
      <c r="L150" s="367"/>
      <c r="M150" s="367"/>
      <c r="N150" s="367"/>
      <c r="O150" s="374"/>
      <c r="P150" s="368" t="s">
        <v>73</v>
      </c>
      <c r="Q150" s="359"/>
      <c r="R150" s="359"/>
      <c r="S150" s="359"/>
      <c r="T150" s="359"/>
      <c r="U150" s="359"/>
      <c r="V150" s="360"/>
      <c r="W150" s="37" t="s">
        <v>70</v>
      </c>
      <c r="X150" s="356">
        <f>IFERROR(SUM(X148:X149),"0")</f>
        <v>0</v>
      </c>
      <c r="Y150" s="356">
        <f>IFERROR(SUM(Y148:Y149),"0")</f>
        <v>0</v>
      </c>
      <c r="Z150" s="356">
        <f>IFERROR(IF(Z148="",0,Z148),"0")+IFERROR(IF(Z149="",0,Z149),"0")</f>
        <v>0</v>
      </c>
      <c r="AA150" s="357"/>
      <c r="AB150" s="357"/>
      <c r="AC150" s="357"/>
    </row>
    <row r="151" spans="1:68" x14ac:dyDescent="0.2">
      <c r="A151" s="367"/>
      <c r="B151" s="367"/>
      <c r="C151" s="367"/>
      <c r="D151" s="367"/>
      <c r="E151" s="367"/>
      <c r="F151" s="367"/>
      <c r="G151" s="367"/>
      <c r="H151" s="367"/>
      <c r="I151" s="367"/>
      <c r="J151" s="367"/>
      <c r="K151" s="367"/>
      <c r="L151" s="367"/>
      <c r="M151" s="367"/>
      <c r="N151" s="367"/>
      <c r="O151" s="374"/>
      <c r="P151" s="368" t="s">
        <v>73</v>
      </c>
      <c r="Q151" s="359"/>
      <c r="R151" s="359"/>
      <c r="S151" s="359"/>
      <c r="T151" s="359"/>
      <c r="U151" s="359"/>
      <c r="V151" s="360"/>
      <c r="W151" s="37" t="s">
        <v>74</v>
      </c>
      <c r="X151" s="356">
        <f>IFERROR(SUMPRODUCT(X148:X149*H148:H149),"0")</f>
        <v>0</v>
      </c>
      <c r="Y151" s="356">
        <f>IFERROR(SUMPRODUCT(Y148:Y149*H148:H149),"0")</f>
        <v>0</v>
      </c>
      <c r="Z151" s="37"/>
      <c r="AA151" s="357"/>
      <c r="AB151" s="357"/>
      <c r="AC151" s="357"/>
    </row>
    <row r="152" spans="1:68" ht="16.5" customHeight="1" x14ac:dyDescent="0.25">
      <c r="A152" s="369" t="s">
        <v>264</v>
      </c>
      <c r="B152" s="367"/>
      <c r="C152" s="367"/>
      <c r="D152" s="367"/>
      <c r="E152" s="367"/>
      <c r="F152" s="367"/>
      <c r="G152" s="367"/>
      <c r="H152" s="367"/>
      <c r="I152" s="367"/>
      <c r="J152" s="367"/>
      <c r="K152" s="367"/>
      <c r="L152" s="367"/>
      <c r="M152" s="367"/>
      <c r="N152" s="367"/>
      <c r="O152" s="367"/>
      <c r="P152" s="367"/>
      <c r="Q152" s="367"/>
      <c r="R152" s="367"/>
      <c r="S152" s="367"/>
      <c r="T152" s="367"/>
      <c r="U152" s="367"/>
      <c r="V152" s="367"/>
      <c r="W152" s="367"/>
      <c r="X152" s="367"/>
      <c r="Y152" s="367"/>
      <c r="Z152" s="367"/>
      <c r="AA152" s="349"/>
      <c r="AB152" s="349"/>
      <c r="AC152" s="349"/>
    </row>
    <row r="153" spans="1:68" ht="14.25" customHeight="1" x14ac:dyDescent="0.25">
      <c r="A153" s="366" t="s">
        <v>152</v>
      </c>
      <c r="B153" s="367"/>
      <c r="C153" s="367"/>
      <c r="D153" s="367"/>
      <c r="E153" s="367"/>
      <c r="F153" s="367"/>
      <c r="G153" s="367"/>
      <c r="H153" s="367"/>
      <c r="I153" s="367"/>
      <c r="J153" s="367"/>
      <c r="K153" s="367"/>
      <c r="L153" s="367"/>
      <c r="M153" s="367"/>
      <c r="N153" s="367"/>
      <c r="O153" s="367"/>
      <c r="P153" s="367"/>
      <c r="Q153" s="367"/>
      <c r="R153" s="367"/>
      <c r="S153" s="367"/>
      <c r="T153" s="367"/>
      <c r="U153" s="367"/>
      <c r="V153" s="367"/>
      <c r="W153" s="367"/>
      <c r="X153" s="367"/>
      <c r="Y153" s="367"/>
      <c r="Z153" s="367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64">
        <v>4607111035806</v>
      </c>
      <c r="E154" s="365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77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62"/>
      <c r="R154" s="362"/>
      <c r="S154" s="362"/>
      <c r="T154" s="363"/>
      <c r="U154" s="34"/>
      <c r="V154" s="34"/>
      <c r="W154" s="35" t="s">
        <v>70</v>
      </c>
      <c r="X154" s="354">
        <v>28</v>
      </c>
      <c r="Y154" s="355">
        <f>IFERROR(IF(X154="","",X154),"")</f>
        <v>28</v>
      </c>
      <c r="Z154" s="36">
        <f>IFERROR(IF(X154="","",X154*0.01788),"")</f>
        <v>0.50063999999999997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103.70079999999999</v>
      </c>
      <c r="BN154" s="67">
        <f>IFERROR(Y154*I154,"0")</f>
        <v>103.70079999999999</v>
      </c>
      <c r="BO154" s="67">
        <f>IFERROR(X154/J154,"0")</f>
        <v>0.4</v>
      </c>
      <c r="BP154" s="67">
        <f>IFERROR(Y154/J154,"0")</f>
        <v>0.4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64">
        <v>4607111035806</v>
      </c>
      <c r="E155" s="365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584" t="s">
        <v>270</v>
      </c>
      <c r="Q155" s="362"/>
      <c r="R155" s="362"/>
      <c r="S155" s="362"/>
      <c r="T155" s="363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373"/>
      <c r="B156" s="367"/>
      <c r="C156" s="367"/>
      <c r="D156" s="367"/>
      <c r="E156" s="367"/>
      <c r="F156" s="367"/>
      <c r="G156" s="367"/>
      <c r="H156" s="367"/>
      <c r="I156" s="367"/>
      <c r="J156" s="367"/>
      <c r="K156" s="367"/>
      <c r="L156" s="367"/>
      <c r="M156" s="367"/>
      <c r="N156" s="367"/>
      <c r="O156" s="374"/>
      <c r="P156" s="368" t="s">
        <v>73</v>
      </c>
      <c r="Q156" s="359"/>
      <c r="R156" s="359"/>
      <c r="S156" s="359"/>
      <c r="T156" s="359"/>
      <c r="U156" s="359"/>
      <c r="V156" s="360"/>
      <c r="W156" s="37" t="s">
        <v>70</v>
      </c>
      <c r="X156" s="356">
        <f>IFERROR(SUM(X154:X155),"0")</f>
        <v>28</v>
      </c>
      <c r="Y156" s="356">
        <f>IFERROR(SUM(Y154:Y155),"0")</f>
        <v>28</v>
      </c>
      <c r="Z156" s="356">
        <f>IFERROR(IF(Z154="",0,Z154),"0")+IFERROR(IF(Z155="",0,Z155),"0")</f>
        <v>0.50063999999999997</v>
      </c>
      <c r="AA156" s="357"/>
      <c r="AB156" s="357"/>
      <c r="AC156" s="357"/>
    </row>
    <row r="157" spans="1:68" x14ac:dyDescent="0.2">
      <c r="A157" s="367"/>
      <c r="B157" s="367"/>
      <c r="C157" s="367"/>
      <c r="D157" s="367"/>
      <c r="E157" s="367"/>
      <c r="F157" s="367"/>
      <c r="G157" s="367"/>
      <c r="H157" s="367"/>
      <c r="I157" s="367"/>
      <c r="J157" s="367"/>
      <c r="K157" s="367"/>
      <c r="L157" s="367"/>
      <c r="M157" s="367"/>
      <c r="N157" s="367"/>
      <c r="O157" s="374"/>
      <c r="P157" s="368" t="s">
        <v>73</v>
      </c>
      <c r="Q157" s="359"/>
      <c r="R157" s="359"/>
      <c r="S157" s="359"/>
      <c r="T157" s="359"/>
      <c r="U157" s="359"/>
      <c r="V157" s="360"/>
      <c r="W157" s="37" t="s">
        <v>74</v>
      </c>
      <c r="X157" s="356">
        <f>IFERROR(SUMPRODUCT(X154:X155*H154:H155),"0")</f>
        <v>84</v>
      </c>
      <c r="Y157" s="356">
        <f>IFERROR(SUMPRODUCT(Y154:Y155*H154:H155),"0")</f>
        <v>84</v>
      </c>
      <c r="Z157" s="37"/>
      <c r="AA157" s="357"/>
      <c r="AB157" s="357"/>
      <c r="AC157" s="357"/>
    </row>
    <row r="158" spans="1:68" ht="16.5" customHeight="1" x14ac:dyDescent="0.25">
      <c r="A158" s="369" t="s">
        <v>272</v>
      </c>
      <c r="B158" s="367"/>
      <c r="C158" s="367"/>
      <c r="D158" s="367"/>
      <c r="E158" s="367"/>
      <c r="F158" s="367"/>
      <c r="G158" s="367"/>
      <c r="H158" s="367"/>
      <c r="I158" s="367"/>
      <c r="J158" s="367"/>
      <c r="K158" s="367"/>
      <c r="L158" s="367"/>
      <c r="M158" s="367"/>
      <c r="N158" s="367"/>
      <c r="O158" s="367"/>
      <c r="P158" s="367"/>
      <c r="Q158" s="367"/>
      <c r="R158" s="367"/>
      <c r="S158" s="367"/>
      <c r="T158" s="367"/>
      <c r="U158" s="367"/>
      <c r="V158" s="367"/>
      <c r="W158" s="367"/>
      <c r="X158" s="367"/>
      <c r="Y158" s="367"/>
      <c r="Z158" s="367"/>
      <c r="AA158" s="349"/>
      <c r="AB158" s="349"/>
      <c r="AC158" s="349"/>
    </row>
    <row r="159" spans="1:68" ht="14.25" customHeight="1" x14ac:dyDescent="0.25">
      <c r="A159" s="366" t="s">
        <v>152</v>
      </c>
      <c r="B159" s="367"/>
      <c r="C159" s="367"/>
      <c r="D159" s="367"/>
      <c r="E159" s="367"/>
      <c r="F159" s="367"/>
      <c r="G159" s="367"/>
      <c r="H159" s="367"/>
      <c r="I159" s="367"/>
      <c r="J159" s="367"/>
      <c r="K159" s="367"/>
      <c r="L159" s="367"/>
      <c r="M159" s="367"/>
      <c r="N159" s="367"/>
      <c r="O159" s="367"/>
      <c r="P159" s="367"/>
      <c r="Q159" s="367"/>
      <c r="R159" s="367"/>
      <c r="S159" s="367"/>
      <c r="T159" s="367"/>
      <c r="U159" s="367"/>
      <c r="V159" s="367"/>
      <c r="W159" s="367"/>
      <c r="X159" s="367"/>
      <c r="Y159" s="367"/>
      <c r="Z159" s="367"/>
      <c r="AA159" s="350"/>
      <c r="AB159" s="350"/>
      <c r="AC159" s="350"/>
    </row>
    <row r="160" spans="1:68" ht="16.5" customHeight="1" x14ac:dyDescent="0.25">
      <c r="A160" s="54" t="s">
        <v>273</v>
      </c>
      <c r="B160" s="54" t="s">
        <v>274</v>
      </c>
      <c r="C160" s="31">
        <v>4301135596</v>
      </c>
      <c r="D160" s="364">
        <v>4607111039613</v>
      </c>
      <c r="E160" s="365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56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62"/>
      <c r="R160" s="362"/>
      <c r="S160" s="362"/>
      <c r="T160" s="363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373"/>
      <c r="B161" s="367"/>
      <c r="C161" s="367"/>
      <c r="D161" s="367"/>
      <c r="E161" s="367"/>
      <c r="F161" s="367"/>
      <c r="G161" s="367"/>
      <c r="H161" s="367"/>
      <c r="I161" s="367"/>
      <c r="J161" s="367"/>
      <c r="K161" s="367"/>
      <c r="L161" s="367"/>
      <c r="M161" s="367"/>
      <c r="N161" s="367"/>
      <c r="O161" s="374"/>
      <c r="P161" s="368" t="s">
        <v>73</v>
      </c>
      <c r="Q161" s="359"/>
      <c r="R161" s="359"/>
      <c r="S161" s="359"/>
      <c r="T161" s="359"/>
      <c r="U161" s="359"/>
      <c r="V161" s="36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x14ac:dyDescent="0.2">
      <c r="A162" s="367"/>
      <c r="B162" s="367"/>
      <c r="C162" s="367"/>
      <c r="D162" s="367"/>
      <c r="E162" s="367"/>
      <c r="F162" s="367"/>
      <c r="G162" s="367"/>
      <c r="H162" s="367"/>
      <c r="I162" s="367"/>
      <c r="J162" s="367"/>
      <c r="K162" s="367"/>
      <c r="L162" s="367"/>
      <c r="M162" s="367"/>
      <c r="N162" s="367"/>
      <c r="O162" s="374"/>
      <c r="P162" s="368" t="s">
        <v>73</v>
      </c>
      <c r="Q162" s="359"/>
      <c r="R162" s="359"/>
      <c r="S162" s="359"/>
      <c r="T162" s="359"/>
      <c r="U162" s="359"/>
      <c r="V162" s="36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customHeight="1" x14ac:dyDescent="0.25">
      <c r="A163" s="369" t="s">
        <v>275</v>
      </c>
      <c r="B163" s="367"/>
      <c r="C163" s="367"/>
      <c r="D163" s="367"/>
      <c r="E163" s="367"/>
      <c r="F163" s="367"/>
      <c r="G163" s="367"/>
      <c r="H163" s="367"/>
      <c r="I163" s="367"/>
      <c r="J163" s="367"/>
      <c r="K163" s="367"/>
      <c r="L163" s="367"/>
      <c r="M163" s="367"/>
      <c r="N163" s="367"/>
      <c r="O163" s="367"/>
      <c r="P163" s="367"/>
      <c r="Q163" s="367"/>
      <c r="R163" s="367"/>
      <c r="S163" s="367"/>
      <c r="T163" s="367"/>
      <c r="U163" s="367"/>
      <c r="V163" s="367"/>
      <c r="W163" s="367"/>
      <c r="X163" s="367"/>
      <c r="Y163" s="367"/>
      <c r="Z163" s="367"/>
      <c r="AA163" s="349"/>
      <c r="AB163" s="349"/>
      <c r="AC163" s="349"/>
    </row>
    <row r="164" spans="1:68" ht="14.25" customHeight="1" x14ac:dyDescent="0.25">
      <c r="A164" s="366" t="s">
        <v>276</v>
      </c>
      <c r="B164" s="367"/>
      <c r="C164" s="367"/>
      <c r="D164" s="367"/>
      <c r="E164" s="367"/>
      <c r="F164" s="367"/>
      <c r="G164" s="367"/>
      <c r="H164" s="367"/>
      <c r="I164" s="367"/>
      <c r="J164" s="367"/>
      <c r="K164" s="367"/>
      <c r="L164" s="367"/>
      <c r="M164" s="367"/>
      <c r="N164" s="367"/>
      <c r="O164" s="367"/>
      <c r="P164" s="367"/>
      <c r="Q164" s="367"/>
      <c r="R164" s="367"/>
      <c r="S164" s="367"/>
      <c r="T164" s="367"/>
      <c r="U164" s="367"/>
      <c r="V164" s="367"/>
      <c r="W164" s="367"/>
      <c r="X164" s="367"/>
      <c r="Y164" s="367"/>
      <c r="Z164" s="367"/>
      <c r="AA164" s="350"/>
      <c r="AB164" s="350"/>
      <c r="AC164" s="350"/>
    </row>
    <row r="165" spans="1:68" ht="27" customHeight="1" x14ac:dyDescent="0.25">
      <c r="A165" s="54" t="s">
        <v>277</v>
      </c>
      <c r="B165" s="54" t="s">
        <v>278</v>
      </c>
      <c r="C165" s="31">
        <v>4301071054</v>
      </c>
      <c r="D165" s="364">
        <v>4607111035639</v>
      </c>
      <c r="E165" s="365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577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62"/>
      <c r="R165" s="362"/>
      <c r="S165" s="362"/>
      <c r="T165" s="363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64">
        <v>4607111035646</v>
      </c>
      <c r="E166" s="365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55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62"/>
      <c r="R166" s="362"/>
      <c r="S166" s="362"/>
      <c r="T166" s="363"/>
      <c r="U166" s="34"/>
      <c r="V166" s="34"/>
      <c r="W166" s="35" t="s">
        <v>70</v>
      </c>
      <c r="X166" s="354">
        <v>24</v>
      </c>
      <c r="Y166" s="355">
        <f>IFERROR(IF(X166="","",X166),"")</f>
        <v>24</v>
      </c>
      <c r="Z166" s="36">
        <f>IFERROR(IF(X166="","",X166*0.01157),"")</f>
        <v>0.27768000000000004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50.88</v>
      </c>
      <c r="BN166" s="67">
        <f>IFERROR(Y166*I166,"0")</f>
        <v>50.88</v>
      </c>
      <c r="BO166" s="67">
        <f>IFERROR(X166/J166,"0")</f>
        <v>0.33333333333333331</v>
      </c>
      <c r="BP166" s="67">
        <f>IFERROR(Y166/J166,"0")</f>
        <v>0.33333333333333331</v>
      </c>
    </row>
    <row r="167" spans="1:68" x14ac:dyDescent="0.2">
      <c r="A167" s="373"/>
      <c r="B167" s="367"/>
      <c r="C167" s="367"/>
      <c r="D167" s="367"/>
      <c r="E167" s="367"/>
      <c r="F167" s="367"/>
      <c r="G167" s="367"/>
      <c r="H167" s="367"/>
      <c r="I167" s="367"/>
      <c r="J167" s="367"/>
      <c r="K167" s="367"/>
      <c r="L167" s="367"/>
      <c r="M167" s="367"/>
      <c r="N167" s="367"/>
      <c r="O167" s="374"/>
      <c r="P167" s="368" t="s">
        <v>73</v>
      </c>
      <c r="Q167" s="359"/>
      <c r="R167" s="359"/>
      <c r="S167" s="359"/>
      <c r="T167" s="359"/>
      <c r="U167" s="359"/>
      <c r="V167" s="360"/>
      <c r="W167" s="37" t="s">
        <v>70</v>
      </c>
      <c r="X167" s="356">
        <f>IFERROR(SUM(X165:X166),"0")</f>
        <v>24</v>
      </c>
      <c r="Y167" s="356">
        <f>IFERROR(SUM(Y165:Y166),"0")</f>
        <v>24</v>
      </c>
      <c r="Z167" s="356">
        <f>IFERROR(IF(Z165="",0,Z165),"0")+IFERROR(IF(Z166="",0,Z166),"0")</f>
        <v>0.27768000000000004</v>
      </c>
      <c r="AA167" s="357"/>
      <c r="AB167" s="357"/>
      <c r="AC167" s="357"/>
    </row>
    <row r="168" spans="1:68" x14ac:dyDescent="0.2">
      <c r="A168" s="367"/>
      <c r="B168" s="367"/>
      <c r="C168" s="367"/>
      <c r="D168" s="367"/>
      <c r="E168" s="367"/>
      <c r="F168" s="367"/>
      <c r="G168" s="367"/>
      <c r="H168" s="367"/>
      <c r="I168" s="367"/>
      <c r="J168" s="367"/>
      <c r="K168" s="367"/>
      <c r="L168" s="367"/>
      <c r="M168" s="367"/>
      <c r="N168" s="367"/>
      <c r="O168" s="374"/>
      <c r="P168" s="368" t="s">
        <v>73</v>
      </c>
      <c r="Q168" s="359"/>
      <c r="R168" s="359"/>
      <c r="S168" s="359"/>
      <c r="T168" s="359"/>
      <c r="U168" s="359"/>
      <c r="V168" s="360"/>
      <c r="W168" s="37" t="s">
        <v>74</v>
      </c>
      <c r="X168" s="356">
        <f>IFERROR(SUMPRODUCT(X165:X166*H165:H166),"0")</f>
        <v>38.400000000000006</v>
      </c>
      <c r="Y168" s="356">
        <f>IFERROR(SUMPRODUCT(Y165:Y166*H165:H166),"0")</f>
        <v>38.400000000000006</v>
      </c>
      <c r="Z168" s="37"/>
      <c r="AA168" s="357"/>
      <c r="AB168" s="357"/>
      <c r="AC168" s="357"/>
    </row>
    <row r="169" spans="1:68" ht="16.5" customHeight="1" x14ac:dyDescent="0.25">
      <c r="A169" s="369" t="s">
        <v>283</v>
      </c>
      <c r="B169" s="367"/>
      <c r="C169" s="367"/>
      <c r="D169" s="367"/>
      <c r="E169" s="367"/>
      <c r="F169" s="367"/>
      <c r="G169" s="367"/>
      <c r="H169" s="367"/>
      <c r="I169" s="367"/>
      <c r="J169" s="367"/>
      <c r="K169" s="367"/>
      <c r="L169" s="367"/>
      <c r="M169" s="367"/>
      <c r="N169" s="367"/>
      <c r="O169" s="367"/>
      <c r="P169" s="367"/>
      <c r="Q169" s="367"/>
      <c r="R169" s="367"/>
      <c r="S169" s="367"/>
      <c r="T169" s="367"/>
      <c r="U169" s="367"/>
      <c r="V169" s="367"/>
      <c r="W169" s="367"/>
      <c r="X169" s="367"/>
      <c r="Y169" s="367"/>
      <c r="Z169" s="367"/>
      <c r="AA169" s="349"/>
      <c r="AB169" s="349"/>
      <c r="AC169" s="349"/>
    </row>
    <row r="170" spans="1:68" ht="14.25" customHeight="1" x14ac:dyDescent="0.25">
      <c r="A170" s="366" t="s">
        <v>152</v>
      </c>
      <c r="B170" s="367"/>
      <c r="C170" s="367"/>
      <c r="D170" s="367"/>
      <c r="E170" s="367"/>
      <c r="F170" s="367"/>
      <c r="G170" s="367"/>
      <c r="H170" s="367"/>
      <c r="I170" s="367"/>
      <c r="J170" s="367"/>
      <c r="K170" s="367"/>
      <c r="L170" s="367"/>
      <c r="M170" s="367"/>
      <c r="N170" s="367"/>
      <c r="O170" s="367"/>
      <c r="P170" s="367"/>
      <c r="Q170" s="367"/>
      <c r="R170" s="367"/>
      <c r="S170" s="367"/>
      <c r="T170" s="367"/>
      <c r="U170" s="367"/>
      <c r="V170" s="367"/>
      <c r="W170" s="367"/>
      <c r="X170" s="367"/>
      <c r="Y170" s="367"/>
      <c r="Z170" s="367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64">
        <v>4607111036568</v>
      </c>
      <c r="E171" s="365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556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62"/>
      <c r="R171" s="362"/>
      <c r="S171" s="362"/>
      <c r="T171" s="363"/>
      <c r="U171" s="34"/>
      <c r="V171" s="34"/>
      <c r="W171" s="35" t="s">
        <v>70</v>
      </c>
      <c r="X171" s="354">
        <v>140</v>
      </c>
      <c r="Y171" s="355">
        <f>IFERROR(IF(X171="","",X171),"")</f>
        <v>140</v>
      </c>
      <c r="Z171" s="36">
        <f>IFERROR(IF(X171="","",X171*0.00941),"")</f>
        <v>1.3173999999999999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294.25200000000001</v>
      </c>
      <c r="BN171" s="67">
        <f>IFERROR(Y171*I171,"0")</f>
        <v>294.25200000000001</v>
      </c>
      <c r="BO171" s="67">
        <f>IFERROR(X171/J171,"0")</f>
        <v>1</v>
      </c>
      <c r="BP171" s="67">
        <f>IFERROR(Y171/J171,"0")</f>
        <v>1</v>
      </c>
    </row>
    <row r="172" spans="1:68" x14ac:dyDescent="0.2">
      <c r="A172" s="373"/>
      <c r="B172" s="367"/>
      <c r="C172" s="367"/>
      <c r="D172" s="367"/>
      <c r="E172" s="367"/>
      <c r="F172" s="367"/>
      <c r="G172" s="367"/>
      <c r="H172" s="367"/>
      <c r="I172" s="367"/>
      <c r="J172" s="367"/>
      <c r="K172" s="367"/>
      <c r="L172" s="367"/>
      <c r="M172" s="367"/>
      <c r="N172" s="367"/>
      <c r="O172" s="374"/>
      <c r="P172" s="368" t="s">
        <v>73</v>
      </c>
      <c r="Q172" s="359"/>
      <c r="R172" s="359"/>
      <c r="S172" s="359"/>
      <c r="T172" s="359"/>
      <c r="U172" s="359"/>
      <c r="V172" s="360"/>
      <c r="W172" s="37" t="s">
        <v>70</v>
      </c>
      <c r="X172" s="356">
        <f>IFERROR(SUM(X171:X171),"0")</f>
        <v>140</v>
      </c>
      <c r="Y172" s="356">
        <f>IFERROR(SUM(Y171:Y171),"0")</f>
        <v>140</v>
      </c>
      <c r="Z172" s="356">
        <f>IFERROR(IF(Z171="",0,Z171),"0")</f>
        <v>1.3173999999999999</v>
      </c>
      <c r="AA172" s="357"/>
      <c r="AB172" s="357"/>
      <c r="AC172" s="357"/>
    </row>
    <row r="173" spans="1:68" x14ac:dyDescent="0.2">
      <c r="A173" s="367"/>
      <c r="B173" s="367"/>
      <c r="C173" s="367"/>
      <c r="D173" s="367"/>
      <c r="E173" s="367"/>
      <c r="F173" s="367"/>
      <c r="G173" s="367"/>
      <c r="H173" s="367"/>
      <c r="I173" s="367"/>
      <c r="J173" s="367"/>
      <c r="K173" s="367"/>
      <c r="L173" s="367"/>
      <c r="M173" s="367"/>
      <c r="N173" s="367"/>
      <c r="O173" s="374"/>
      <c r="P173" s="368" t="s">
        <v>73</v>
      </c>
      <c r="Q173" s="359"/>
      <c r="R173" s="359"/>
      <c r="S173" s="359"/>
      <c r="T173" s="359"/>
      <c r="U173" s="359"/>
      <c r="V173" s="360"/>
      <c r="W173" s="37" t="s">
        <v>74</v>
      </c>
      <c r="X173" s="356">
        <f>IFERROR(SUMPRODUCT(X171:X171*H171:H171),"0")</f>
        <v>235.2</v>
      </c>
      <c r="Y173" s="356">
        <f>IFERROR(SUMPRODUCT(Y171:Y171*H171:H171),"0")</f>
        <v>235.2</v>
      </c>
      <c r="Z173" s="37"/>
      <c r="AA173" s="357"/>
      <c r="AB173" s="357"/>
      <c r="AC173" s="357"/>
    </row>
    <row r="174" spans="1:68" ht="27.75" customHeight="1" x14ac:dyDescent="0.2">
      <c r="A174" s="402" t="s">
        <v>287</v>
      </c>
      <c r="B174" s="403"/>
      <c r="C174" s="403"/>
      <c r="D174" s="403"/>
      <c r="E174" s="403"/>
      <c r="F174" s="403"/>
      <c r="G174" s="403"/>
      <c r="H174" s="403"/>
      <c r="I174" s="403"/>
      <c r="J174" s="403"/>
      <c r="K174" s="403"/>
      <c r="L174" s="403"/>
      <c r="M174" s="403"/>
      <c r="N174" s="403"/>
      <c r="O174" s="403"/>
      <c r="P174" s="403"/>
      <c r="Q174" s="403"/>
      <c r="R174" s="403"/>
      <c r="S174" s="403"/>
      <c r="T174" s="403"/>
      <c r="U174" s="403"/>
      <c r="V174" s="403"/>
      <c r="W174" s="403"/>
      <c r="X174" s="403"/>
      <c r="Y174" s="403"/>
      <c r="Z174" s="403"/>
      <c r="AA174" s="48"/>
      <c r="AB174" s="48"/>
      <c r="AC174" s="48"/>
    </row>
    <row r="175" spans="1:68" ht="16.5" customHeight="1" x14ac:dyDescent="0.25">
      <c r="A175" s="369" t="s">
        <v>288</v>
      </c>
      <c r="B175" s="367"/>
      <c r="C175" s="367"/>
      <c r="D175" s="367"/>
      <c r="E175" s="367"/>
      <c r="F175" s="367"/>
      <c r="G175" s="367"/>
      <c r="H175" s="367"/>
      <c r="I175" s="367"/>
      <c r="J175" s="367"/>
      <c r="K175" s="367"/>
      <c r="L175" s="367"/>
      <c r="M175" s="367"/>
      <c r="N175" s="367"/>
      <c r="O175" s="367"/>
      <c r="P175" s="367"/>
      <c r="Q175" s="367"/>
      <c r="R175" s="367"/>
      <c r="S175" s="367"/>
      <c r="T175" s="367"/>
      <c r="U175" s="367"/>
      <c r="V175" s="367"/>
      <c r="W175" s="367"/>
      <c r="X175" s="367"/>
      <c r="Y175" s="367"/>
      <c r="Z175" s="367"/>
      <c r="AA175" s="349"/>
      <c r="AB175" s="349"/>
      <c r="AC175" s="349"/>
    </row>
    <row r="176" spans="1:68" ht="14.25" customHeight="1" x14ac:dyDescent="0.25">
      <c r="A176" s="366" t="s">
        <v>152</v>
      </c>
      <c r="B176" s="367"/>
      <c r="C176" s="367"/>
      <c r="D176" s="367"/>
      <c r="E176" s="367"/>
      <c r="F176" s="367"/>
      <c r="G176" s="367"/>
      <c r="H176" s="367"/>
      <c r="I176" s="367"/>
      <c r="J176" s="367"/>
      <c r="K176" s="367"/>
      <c r="L176" s="367"/>
      <c r="M176" s="367"/>
      <c r="N176" s="367"/>
      <c r="O176" s="367"/>
      <c r="P176" s="367"/>
      <c r="Q176" s="367"/>
      <c r="R176" s="367"/>
      <c r="S176" s="367"/>
      <c r="T176" s="367"/>
      <c r="U176" s="367"/>
      <c r="V176" s="367"/>
      <c r="W176" s="367"/>
      <c r="X176" s="367"/>
      <c r="Y176" s="367"/>
      <c r="Z176" s="367"/>
      <c r="AA176" s="350"/>
      <c r="AB176" s="350"/>
      <c r="AC176" s="350"/>
    </row>
    <row r="177" spans="1:68" ht="27" customHeight="1" x14ac:dyDescent="0.25">
      <c r="A177" s="54" t="s">
        <v>289</v>
      </c>
      <c r="B177" s="54" t="s">
        <v>290</v>
      </c>
      <c r="C177" s="31">
        <v>4301135317</v>
      </c>
      <c r="D177" s="364">
        <v>4607111039057</v>
      </c>
      <c r="E177" s="365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449" t="s">
        <v>291</v>
      </c>
      <c r="Q177" s="362"/>
      <c r="R177" s="362"/>
      <c r="S177" s="362"/>
      <c r="T177" s="363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x14ac:dyDescent="0.2">
      <c r="A178" s="373"/>
      <c r="B178" s="367"/>
      <c r="C178" s="367"/>
      <c r="D178" s="367"/>
      <c r="E178" s="367"/>
      <c r="F178" s="367"/>
      <c r="G178" s="367"/>
      <c r="H178" s="367"/>
      <c r="I178" s="367"/>
      <c r="J178" s="367"/>
      <c r="K178" s="367"/>
      <c r="L178" s="367"/>
      <c r="M178" s="367"/>
      <c r="N178" s="367"/>
      <c r="O178" s="374"/>
      <c r="P178" s="368" t="s">
        <v>73</v>
      </c>
      <c r="Q178" s="359"/>
      <c r="R178" s="359"/>
      <c r="S178" s="359"/>
      <c r="T178" s="359"/>
      <c r="U178" s="359"/>
      <c r="V178" s="36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x14ac:dyDescent="0.2">
      <c r="A179" s="367"/>
      <c r="B179" s="367"/>
      <c r="C179" s="367"/>
      <c r="D179" s="367"/>
      <c r="E179" s="367"/>
      <c r="F179" s="367"/>
      <c r="G179" s="367"/>
      <c r="H179" s="367"/>
      <c r="I179" s="367"/>
      <c r="J179" s="367"/>
      <c r="K179" s="367"/>
      <c r="L179" s="367"/>
      <c r="M179" s="367"/>
      <c r="N179" s="367"/>
      <c r="O179" s="374"/>
      <c r="P179" s="368" t="s">
        <v>73</v>
      </c>
      <c r="Q179" s="359"/>
      <c r="R179" s="359"/>
      <c r="S179" s="359"/>
      <c r="T179" s="359"/>
      <c r="U179" s="359"/>
      <c r="V179" s="36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customHeight="1" x14ac:dyDescent="0.25">
      <c r="A180" s="369" t="s">
        <v>292</v>
      </c>
      <c r="B180" s="367"/>
      <c r="C180" s="367"/>
      <c r="D180" s="367"/>
      <c r="E180" s="367"/>
      <c r="F180" s="367"/>
      <c r="G180" s="367"/>
      <c r="H180" s="367"/>
      <c r="I180" s="367"/>
      <c r="J180" s="367"/>
      <c r="K180" s="367"/>
      <c r="L180" s="367"/>
      <c r="M180" s="367"/>
      <c r="N180" s="367"/>
      <c r="O180" s="367"/>
      <c r="P180" s="367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  <c r="AA180" s="349"/>
      <c r="AB180" s="349"/>
      <c r="AC180" s="349"/>
    </row>
    <row r="181" spans="1:68" ht="14.25" customHeight="1" x14ac:dyDescent="0.25">
      <c r="A181" s="366" t="s">
        <v>64</v>
      </c>
      <c r="B181" s="367"/>
      <c r="C181" s="367"/>
      <c r="D181" s="367"/>
      <c r="E181" s="367"/>
      <c r="F181" s="367"/>
      <c r="G181" s="367"/>
      <c r="H181" s="367"/>
      <c r="I181" s="367"/>
      <c r="J181" s="367"/>
      <c r="K181" s="367"/>
      <c r="L181" s="367"/>
      <c r="M181" s="367"/>
      <c r="N181" s="367"/>
      <c r="O181" s="367"/>
      <c r="P181" s="367"/>
      <c r="Q181" s="367"/>
      <c r="R181" s="367"/>
      <c r="S181" s="367"/>
      <c r="T181" s="367"/>
      <c r="U181" s="367"/>
      <c r="V181" s="367"/>
      <c r="W181" s="367"/>
      <c r="X181" s="367"/>
      <c r="Y181" s="367"/>
      <c r="Z181" s="367"/>
      <c r="AA181" s="350"/>
      <c r="AB181" s="350"/>
      <c r="AC181" s="350"/>
    </row>
    <row r="182" spans="1:68" ht="16.5" customHeight="1" x14ac:dyDescent="0.25">
      <c r="A182" s="54" t="s">
        <v>293</v>
      </c>
      <c r="B182" s="54" t="s">
        <v>294</v>
      </c>
      <c r="C182" s="31">
        <v>4301071062</v>
      </c>
      <c r="D182" s="364">
        <v>4607111036384</v>
      </c>
      <c r="E182" s="365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519" t="s">
        <v>295</v>
      </c>
      <c r="Q182" s="362"/>
      <c r="R182" s="362"/>
      <c r="S182" s="362"/>
      <c r="T182" s="363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customHeight="1" x14ac:dyDescent="0.25">
      <c r="A183" s="54" t="s">
        <v>297</v>
      </c>
      <c r="B183" s="54" t="s">
        <v>298</v>
      </c>
      <c r="C183" s="31">
        <v>4301071056</v>
      </c>
      <c r="D183" s="364">
        <v>4640242180250</v>
      </c>
      <c r="E183" s="365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428" t="s">
        <v>299</v>
      </c>
      <c r="Q183" s="362"/>
      <c r="R183" s="362"/>
      <c r="S183" s="362"/>
      <c r="T183" s="363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64">
        <v>4607111036216</v>
      </c>
      <c r="E184" s="365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55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62"/>
      <c r="R184" s="362"/>
      <c r="S184" s="362"/>
      <c r="T184" s="363"/>
      <c r="U184" s="34"/>
      <c r="V184" s="34"/>
      <c r="W184" s="35" t="s">
        <v>70</v>
      </c>
      <c r="X184" s="354">
        <v>0</v>
      </c>
      <c r="Y184" s="355">
        <f>IFERROR(IF(X184="","",X184),"")</f>
        <v>0</v>
      </c>
      <c r="Z184" s="36">
        <f>IFERROR(IF(X184="","",X184*0.00866),"")</f>
        <v>0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304</v>
      </c>
      <c r="B185" s="54" t="s">
        <v>305</v>
      </c>
      <c r="C185" s="31">
        <v>4301071061</v>
      </c>
      <c r="D185" s="364">
        <v>4607111036278</v>
      </c>
      <c r="E185" s="365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535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62"/>
      <c r="R185" s="362"/>
      <c r="S185" s="362"/>
      <c r="T185" s="363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73"/>
      <c r="B186" s="367"/>
      <c r="C186" s="367"/>
      <c r="D186" s="367"/>
      <c r="E186" s="367"/>
      <c r="F186" s="367"/>
      <c r="G186" s="367"/>
      <c r="H186" s="367"/>
      <c r="I186" s="367"/>
      <c r="J186" s="367"/>
      <c r="K186" s="367"/>
      <c r="L186" s="367"/>
      <c r="M186" s="367"/>
      <c r="N186" s="367"/>
      <c r="O186" s="374"/>
      <c r="P186" s="368" t="s">
        <v>73</v>
      </c>
      <c r="Q186" s="359"/>
      <c r="R186" s="359"/>
      <c r="S186" s="359"/>
      <c r="T186" s="359"/>
      <c r="U186" s="359"/>
      <c r="V186" s="360"/>
      <c r="W186" s="37" t="s">
        <v>70</v>
      </c>
      <c r="X186" s="356">
        <f>IFERROR(SUM(X182:X185),"0")</f>
        <v>0</v>
      </c>
      <c r="Y186" s="356">
        <f>IFERROR(SUM(Y182:Y185),"0")</f>
        <v>0</v>
      </c>
      <c r="Z186" s="356">
        <f>IFERROR(IF(Z182="",0,Z182),"0")+IFERROR(IF(Z183="",0,Z183),"0")+IFERROR(IF(Z184="",0,Z184),"0")+IFERROR(IF(Z185="",0,Z185),"0")</f>
        <v>0</v>
      </c>
      <c r="AA186" s="357"/>
      <c r="AB186" s="357"/>
      <c r="AC186" s="357"/>
    </row>
    <row r="187" spans="1:68" x14ac:dyDescent="0.2">
      <c r="A187" s="367"/>
      <c r="B187" s="367"/>
      <c r="C187" s="367"/>
      <c r="D187" s="367"/>
      <c r="E187" s="367"/>
      <c r="F187" s="367"/>
      <c r="G187" s="367"/>
      <c r="H187" s="367"/>
      <c r="I187" s="367"/>
      <c r="J187" s="367"/>
      <c r="K187" s="367"/>
      <c r="L187" s="367"/>
      <c r="M187" s="367"/>
      <c r="N187" s="367"/>
      <c r="O187" s="374"/>
      <c r="P187" s="368" t="s">
        <v>73</v>
      </c>
      <c r="Q187" s="359"/>
      <c r="R187" s="359"/>
      <c r="S187" s="359"/>
      <c r="T187" s="359"/>
      <c r="U187" s="359"/>
      <c r="V187" s="360"/>
      <c r="W187" s="37" t="s">
        <v>74</v>
      </c>
      <c r="X187" s="356">
        <f>IFERROR(SUMPRODUCT(X182:X185*H182:H185),"0")</f>
        <v>0</v>
      </c>
      <c r="Y187" s="356">
        <f>IFERROR(SUMPRODUCT(Y182:Y185*H182:H185),"0")</f>
        <v>0</v>
      </c>
      <c r="Z187" s="37"/>
      <c r="AA187" s="357"/>
      <c r="AB187" s="357"/>
      <c r="AC187" s="357"/>
    </row>
    <row r="188" spans="1:68" ht="14.25" customHeight="1" x14ac:dyDescent="0.25">
      <c r="A188" s="366" t="s">
        <v>307</v>
      </c>
      <c r="B188" s="367"/>
      <c r="C188" s="367"/>
      <c r="D188" s="367"/>
      <c r="E188" s="367"/>
      <c r="F188" s="367"/>
      <c r="G188" s="367"/>
      <c r="H188" s="367"/>
      <c r="I188" s="367"/>
      <c r="J188" s="367"/>
      <c r="K188" s="367"/>
      <c r="L188" s="367"/>
      <c r="M188" s="367"/>
      <c r="N188" s="367"/>
      <c r="O188" s="367"/>
      <c r="P188" s="367"/>
      <c r="Q188" s="367"/>
      <c r="R188" s="367"/>
      <c r="S188" s="367"/>
      <c r="T188" s="367"/>
      <c r="U188" s="367"/>
      <c r="V188" s="367"/>
      <c r="W188" s="367"/>
      <c r="X188" s="367"/>
      <c r="Y188" s="367"/>
      <c r="Z188" s="367"/>
      <c r="AA188" s="350"/>
      <c r="AB188" s="350"/>
      <c r="AC188" s="350"/>
    </row>
    <row r="189" spans="1:68" ht="27" customHeight="1" x14ac:dyDescent="0.25">
      <c r="A189" s="54" t="s">
        <v>308</v>
      </c>
      <c r="B189" s="54" t="s">
        <v>309</v>
      </c>
      <c r="C189" s="31">
        <v>4301080153</v>
      </c>
      <c r="D189" s="364">
        <v>4607111036827</v>
      </c>
      <c r="E189" s="365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52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62"/>
      <c r="R189" s="362"/>
      <c r="S189" s="362"/>
      <c r="T189" s="363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311</v>
      </c>
      <c r="B190" s="54" t="s">
        <v>312</v>
      </c>
      <c r="C190" s="31">
        <v>4301080154</v>
      </c>
      <c r="D190" s="364">
        <v>4607111036834</v>
      </c>
      <c r="E190" s="365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47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62"/>
      <c r="R190" s="362"/>
      <c r="S190" s="362"/>
      <c r="T190" s="363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73"/>
      <c r="B191" s="367"/>
      <c r="C191" s="367"/>
      <c r="D191" s="367"/>
      <c r="E191" s="367"/>
      <c r="F191" s="367"/>
      <c r="G191" s="367"/>
      <c r="H191" s="367"/>
      <c r="I191" s="367"/>
      <c r="J191" s="367"/>
      <c r="K191" s="367"/>
      <c r="L191" s="367"/>
      <c r="M191" s="367"/>
      <c r="N191" s="367"/>
      <c r="O191" s="374"/>
      <c r="P191" s="368" t="s">
        <v>73</v>
      </c>
      <c r="Q191" s="359"/>
      <c r="R191" s="359"/>
      <c r="S191" s="359"/>
      <c r="T191" s="359"/>
      <c r="U191" s="359"/>
      <c r="V191" s="36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x14ac:dyDescent="0.2">
      <c r="A192" s="367"/>
      <c r="B192" s="367"/>
      <c r="C192" s="367"/>
      <c r="D192" s="367"/>
      <c r="E192" s="367"/>
      <c r="F192" s="367"/>
      <c r="G192" s="367"/>
      <c r="H192" s="367"/>
      <c r="I192" s="367"/>
      <c r="J192" s="367"/>
      <c r="K192" s="367"/>
      <c r="L192" s="367"/>
      <c r="M192" s="367"/>
      <c r="N192" s="367"/>
      <c r="O192" s="374"/>
      <c r="P192" s="368" t="s">
        <v>73</v>
      </c>
      <c r="Q192" s="359"/>
      <c r="R192" s="359"/>
      <c r="S192" s="359"/>
      <c r="T192" s="359"/>
      <c r="U192" s="359"/>
      <c r="V192" s="36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customHeight="1" x14ac:dyDescent="0.2">
      <c r="A193" s="402" t="s">
        <v>313</v>
      </c>
      <c r="B193" s="403"/>
      <c r="C193" s="403"/>
      <c r="D193" s="403"/>
      <c r="E193" s="403"/>
      <c r="F193" s="403"/>
      <c r="G193" s="403"/>
      <c r="H193" s="403"/>
      <c r="I193" s="403"/>
      <c r="J193" s="403"/>
      <c r="K193" s="403"/>
      <c r="L193" s="403"/>
      <c r="M193" s="403"/>
      <c r="N193" s="403"/>
      <c r="O193" s="403"/>
      <c r="P193" s="403"/>
      <c r="Q193" s="403"/>
      <c r="R193" s="403"/>
      <c r="S193" s="403"/>
      <c r="T193" s="403"/>
      <c r="U193" s="403"/>
      <c r="V193" s="403"/>
      <c r="W193" s="403"/>
      <c r="X193" s="403"/>
      <c r="Y193" s="403"/>
      <c r="Z193" s="403"/>
      <c r="AA193" s="48"/>
      <c r="AB193" s="48"/>
      <c r="AC193" s="48"/>
    </row>
    <row r="194" spans="1:68" ht="16.5" customHeight="1" x14ac:dyDescent="0.25">
      <c r="A194" s="369" t="s">
        <v>314</v>
      </c>
      <c r="B194" s="367"/>
      <c r="C194" s="367"/>
      <c r="D194" s="367"/>
      <c r="E194" s="367"/>
      <c r="F194" s="367"/>
      <c r="G194" s="367"/>
      <c r="H194" s="367"/>
      <c r="I194" s="367"/>
      <c r="J194" s="367"/>
      <c r="K194" s="367"/>
      <c r="L194" s="367"/>
      <c r="M194" s="367"/>
      <c r="N194" s="367"/>
      <c r="O194" s="367"/>
      <c r="P194" s="367"/>
      <c r="Q194" s="367"/>
      <c r="R194" s="367"/>
      <c r="S194" s="367"/>
      <c r="T194" s="367"/>
      <c r="U194" s="367"/>
      <c r="V194" s="367"/>
      <c r="W194" s="367"/>
      <c r="X194" s="367"/>
      <c r="Y194" s="367"/>
      <c r="Z194" s="367"/>
      <c r="AA194" s="349"/>
      <c r="AB194" s="349"/>
      <c r="AC194" s="349"/>
    </row>
    <row r="195" spans="1:68" ht="14.25" customHeight="1" x14ac:dyDescent="0.25">
      <c r="A195" s="366" t="s">
        <v>77</v>
      </c>
      <c r="B195" s="367"/>
      <c r="C195" s="367"/>
      <c r="D195" s="367"/>
      <c r="E195" s="367"/>
      <c r="F195" s="367"/>
      <c r="G195" s="367"/>
      <c r="H195" s="367"/>
      <c r="I195" s="367"/>
      <c r="J195" s="367"/>
      <c r="K195" s="367"/>
      <c r="L195" s="367"/>
      <c r="M195" s="367"/>
      <c r="N195" s="367"/>
      <c r="O195" s="367"/>
      <c r="P195" s="367"/>
      <c r="Q195" s="367"/>
      <c r="R195" s="367"/>
      <c r="S195" s="367"/>
      <c r="T195" s="367"/>
      <c r="U195" s="367"/>
      <c r="V195" s="367"/>
      <c r="W195" s="367"/>
      <c r="X195" s="367"/>
      <c r="Y195" s="367"/>
      <c r="Z195" s="367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64">
        <v>4607111035721</v>
      </c>
      <c r="E196" s="365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42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62"/>
      <c r="R196" s="362"/>
      <c r="S196" s="362"/>
      <c r="T196" s="363"/>
      <c r="U196" s="34"/>
      <c r="V196" s="34"/>
      <c r="W196" s="35" t="s">
        <v>70</v>
      </c>
      <c r="X196" s="354">
        <v>70</v>
      </c>
      <c r="Y196" s="355">
        <f>IFERROR(IF(X196="","",X196),"")</f>
        <v>70</v>
      </c>
      <c r="Z196" s="36">
        <f>IFERROR(IF(X196="","",X196*0.01788),"")</f>
        <v>1.2516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237.16</v>
      </c>
      <c r="BN196" s="67">
        <f>IFERROR(Y196*I196,"0")</f>
        <v>237.16</v>
      </c>
      <c r="BO196" s="67">
        <f>IFERROR(X196/J196,"0")</f>
        <v>1</v>
      </c>
      <c r="BP196" s="67">
        <f>IFERROR(Y196/J196,"0")</f>
        <v>1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64">
        <v>4607111035691</v>
      </c>
      <c r="E197" s="365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51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62"/>
      <c r="R197" s="362"/>
      <c r="S197" s="362"/>
      <c r="T197" s="363"/>
      <c r="U197" s="34"/>
      <c r="V197" s="34"/>
      <c r="W197" s="35" t="s">
        <v>70</v>
      </c>
      <c r="X197" s="354">
        <v>70</v>
      </c>
      <c r="Y197" s="355">
        <f>IFERROR(IF(X197="","",X197),"")</f>
        <v>70</v>
      </c>
      <c r="Z197" s="36">
        <f>IFERROR(IF(X197="","",X197*0.01788),"")</f>
        <v>1.2516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237.16</v>
      </c>
      <c r="BN197" s="67">
        <f>IFERROR(Y197*I197,"0")</f>
        <v>237.16</v>
      </c>
      <c r="BO197" s="67">
        <f>IFERROR(X197/J197,"0")</f>
        <v>1</v>
      </c>
      <c r="BP197" s="67">
        <f>IFERROR(Y197/J197,"0")</f>
        <v>1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64">
        <v>4607111038487</v>
      </c>
      <c r="E198" s="365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42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62"/>
      <c r="R198" s="362"/>
      <c r="S198" s="362"/>
      <c r="T198" s="363"/>
      <c r="U198" s="34"/>
      <c r="V198" s="34"/>
      <c r="W198" s="35" t="s">
        <v>70</v>
      </c>
      <c r="X198" s="354">
        <v>28</v>
      </c>
      <c r="Y198" s="355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104.608</v>
      </c>
      <c r="BN198" s="67">
        <f>IFERROR(Y198*I198,"0")</f>
        <v>104.608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373"/>
      <c r="B199" s="367"/>
      <c r="C199" s="367"/>
      <c r="D199" s="367"/>
      <c r="E199" s="367"/>
      <c r="F199" s="367"/>
      <c r="G199" s="367"/>
      <c r="H199" s="367"/>
      <c r="I199" s="367"/>
      <c r="J199" s="367"/>
      <c r="K199" s="367"/>
      <c r="L199" s="367"/>
      <c r="M199" s="367"/>
      <c r="N199" s="367"/>
      <c r="O199" s="374"/>
      <c r="P199" s="368" t="s">
        <v>73</v>
      </c>
      <c r="Q199" s="359"/>
      <c r="R199" s="359"/>
      <c r="S199" s="359"/>
      <c r="T199" s="359"/>
      <c r="U199" s="359"/>
      <c r="V199" s="360"/>
      <c r="W199" s="37" t="s">
        <v>70</v>
      </c>
      <c r="X199" s="356">
        <f>IFERROR(SUM(X196:X198),"0")</f>
        <v>168</v>
      </c>
      <c r="Y199" s="356">
        <f>IFERROR(SUM(Y196:Y198),"0")</f>
        <v>168</v>
      </c>
      <c r="Z199" s="356">
        <f>IFERROR(IF(Z196="",0,Z196),"0")+IFERROR(IF(Z197="",0,Z197),"0")+IFERROR(IF(Z198="",0,Z198),"0")</f>
        <v>3.0038400000000003</v>
      </c>
      <c r="AA199" s="357"/>
      <c r="AB199" s="357"/>
      <c r="AC199" s="357"/>
    </row>
    <row r="200" spans="1:68" x14ac:dyDescent="0.2">
      <c r="A200" s="367"/>
      <c r="B200" s="367"/>
      <c r="C200" s="367"/>
      <c r="D200" s="367"/>
      <c r="E200" s="367"/>
      <c r="F200" s="367"/>
      <c r="G200" s="367"/>
      <c r="H200" s="367"/>
      <c r="I200" s="367"/>
      <c r="J200" s="367"/>
      <c r="K200" s="367"/>
      <c r="L200" s="367"/>
      <c r="M200" s="367"/>
      <c r="N200" s="367"/>
      <c r="O200" s="374"/>
      <c r="P200" s="368" t="s">
        <v>73</v>
      </c>
      <c r="Q200" s="359"/>
      <c r="R200" s="359"/>
      <c r="S200" s="359"/>
      <c r="T200" s="359"/>
      <c r="U200" s="359"/>
      <c r="V200" s="360"/>
      <c r="W200" s="37" t="s">
        <v>74</v>
      </c>
      <c r="X200" s="356">
        <f>IFERROR(SUMPRODUCT(X196:X198*H196:H198),"0")</f>
        <v>504</v>
      </c>
      <c r="Y200" s="356">
        <f>IFERROR(SUMPRODUCT(Y196:Y198*H196:H198),"0")</f>
        <v>504</v>
      </c>
      <c r="Z200" s="37"/>
      <c r="AA200" s="357"/>
      <c r="AB200" s="357"/>
      <c r="AC200" s="357"/>
    </row>
    <row r="201" spans="1:68" ht="14.25" customHeight="1" x14ac:dyDescent="0.25">
      <c r="A201" s="366" t="s">
        <v>324</v>
      </c>
      <c r="B201" s="367"/>
      <c r="C201" s="367"/>
      <c r="D201" s="367"/>
      <c r="E201" s="367"/>
      <c r="F201" s="367"/>
      <c r="G201" s="367"/>
      <c r="H201" s="367"/>
      <c r="I201" s="367"/>
      <c r="J201" s="367"/>
      <c r="K201" s="367"/>
      <c r="L201" s="367"/>
      <c r="M201" s="367"/>
      <c r="N201" s="367"/>
      <c r="O201" s="367"/>
      <c r="P201" s="367"/>
      <c r="Q201" s="367"/>
      <c r="R201" s="367"/>
      <c r="S201" s="367"/>
      <c r="T201" s="367"/>
      <c r="U201" s="367"/>
      <c r="V201" s="367"/>
      <c r="W201" s="367"/>
      <c r="X201" s="367"/>
      <c r="Y201" s="367"/>
      <c r="Z201" s="367"/>
      <c r="AA201" s="350"/>
      <c r="AB201" s="350"/>
      <c r="AC201" s="350"/>
    </row>
    <row r="202" spans="1:68" ht="27" customHeight="1" x14ac:dyDescent="0.25">
      <c r="A202" s="54" t="s">
        <v>325</v>
      </c>
      <c r="B202" s="54" t="s">
        <v>326</v>
      </c>
      <c r="C202" s="31">
        <v>4301051855</v>
      </c>
      <c r="D202" s="364">
        <v>4680115885875</v>
      </c>
      <c r="E202" s="365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380" t="s">
        <v>329</v>
      </c>
      <c r="Q202" s="362"/>
      <c r="R202" s="362"/>
      <c r="S202" s="362"/>
      <c r="T202" s="363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73"/>
      <c r="B203" s="367"/>
      <c r="C203" s="367"/>
      <c r="D203" s="367"/>
      <c r="E203" s="367"/>
      <c r="F203" s="367"/>
      <c r="G203" s="367"/>
      <c r="H203" s="367"/>
      <c r="I203" s="367"/>
      <c r="J203" s="367"/>
      <c r="K203" s="367"/>
      <c r="L203" s="367"/>
      <c r="M203" s="367"/>
      <c r="N203" s="367"/>
      <c r="O203" s="374"/>
      <c r="P203" s="368" t="s">
        <v>73</v>
      </c>
      <c r="Q203" s="359"/>
      <c r="R203" s="359"/>
      <c r="S203" s="359"/>
      <c r="T203" s="359"/>
      <c r="U203" s="359"/>
      <c r="V203" s="36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x14ac:dyDescent="0.2">
      <c r="A204" s="367"/>
      <c r="B204" s="367"/>
      <c r="C204" s="367"/>
      <c r="D204" s="367"/>
      <c r="E204" s="367"/>
      <c r="F204" s="367"/>
      <c r="G204" s="367"/>
      <c r="H204" s="367"/>
      <c r="I204" s="367"/>
      <c r="J204" s="367"/>
      <c r="K204" s="367"/>
      <c r="L204" s="367"/>
      <c r="M204" s="367"/>
      <c r="N204" s="367"/>
      <c r="O204" s="374"/>
      <c r="P204" s="368" t="s">
        <v>73</v>
      </c>
      <c r="Q204" s="359"/>
      <c r="R204" s="359"/>
      <c r="S204" s="359"/>
      <c r="T204" s="359"/>
      <c r="U204" s="359"/>
      <c r="V204" s="36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customHeight="1" x14ac:dyDescent="0.2">
      <c r="A205" s="402" t="s">
        <v>332</v>
      </c>
      <c r="B205" s="403"/>
      <c r="C205" s="403"/>
      <c r="D205" s="403"/>
      <c r="E205" s="403"/>
      <c r="F205" s="403"/>
      <c r="G205" s="403"/>
      <c r="H205" s="403"/>
      <c r="I205" s="403"/>
      <c r="J205" s="403"/>
      <c r="K205" s="403"/>
      <c r="L205" s="403"/>
      <c r="M205" s="403"/>
      <c r="N205" s="403"/>
      <c r="O205" s="403"/>
      <c r="P205" s="403"/>
      <c r="Q205" s="403"/>
      <c r="R205" s="403"/>
      <c r="S205" s="403"/>
      <c r="T205" s="403"/>
      <c r="U205" s="403"/>
      <c r="V205" s="403"/>
      <c r="W205" s="403"/>
      <c r="X205" s="403"/>
      <c r="Y205" s="403"/>
      <c r="Z205" s="403"/>
      <c r="AA205" s="48"/>
      <c r="AB205" s="48"/>
      <c r="AC205" s="48"/>
    </row>
    <row r="206" spans="1:68" ht="16.5" customHeight="1" x14ac:dyDescent="0.25">
      <c r="A206" s="369" t="s">
        <v>333</v>
      </c>
      <c r="B206" s="367"/>
      <c r="C206" s="367"/>
      <c r="D206" s="367"/>
      <c r="E206" s="367"/>
      <c r="F206" s="367"/>
      <c r="G206" s="367"/>
      <c r="H206" s="367"/>
      <c r="I206" s="367"/>
      <c r="J206" s="367"/>
      <c r="K206" s="367"/>
      <c r="L206" s="367"/>
      <c r="M206" s="367"/>
      <c r="N206" s="367"/>
      <c r="O206" s="367"/>
      <c r="P206" s="367"/>
      <c r="Q206" s="367"/>
      <c r="R206" s="367"/>
      <c r="S206" s="367"/>
      <c r="T206" s="367"/>
      <c r="U206" s="367"/>
      <c r="V206" s="367"/>
      <c r="W206" s="367"/>
      <c r="X206" s="367"/>
      <c r="Y206" s="367"/>
      <c r="Z206" s="367"/>
      <c r="AA206" s="349"/>
      <c r="AB206" s="349"/>
      <c r="AC206" s="349"/>
    </row>
    <row r="207" spans="1:68" ht="14.25" customHeight="1" x14ac:dyDescent="0.25">
      <c r="A207" s="366" t="s">
        <v>152</v>
      </c>
      <c r="B207" s="367"/>
      <c r="C207" s="367"/>
      <c r="D207" s="367"/>
      <c r="E207" s="367"/>
      <c r="F207" s="367"/>
      <c r="G207" s="367"/>
      <c r="H207" s="367"/>
      <c r="I207" s="367"/>
      <c r="J207" s="367"/>
      <c r="K207" s="367"/>
      <c r="L207" s="367"/>
      <c r="M207" s="367"/>
      <c r="N207" s="367"/>
      <c r="O207" s="367"/>
      <c r="P207" s="367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  <c r="AA207" s="350"/>
      <c r="AB207" s="350"/>
      <c r="AC207" s="350"/>
    </row>
    <row r="208" spans="1:68" ht="27" customHeight="1" x14ac:dyDescent="0.25">
      <c r="A208" s="54" t="s">
        <v>334</v>
      </c>
      <c r="B208" s="54" t="s">
        <v>335</v>
      </c>
      <c r="C208" s="31">
        <v>4301135707</v>
      </c>
      <c r="D208" s="364">
        <v>4620207490198</v>
      </c>
      <c r="E208" s="365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5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62"/>
      <c r="R208" s="362"/>
      <c r="S208" s="362"/>
      <c r="T208" s="363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4301135719</v>
      </c>
      <c r="D209" s="364">
        <v>4620207490235</v>
      </c>
      <c r="E209" s="365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56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62"/>
      <c r="R209" s="362"/>
      <c r="S209" s="362"/>
      <c r="T209" s="363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4301135697</v>
      </c>
      <c r="D210" s="364">
        <v>4620207490259</v>
      </c>
      <c r="E210" s="365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53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62"/>
      <c r="R210" s="362"/>
      <c r="S210" s="362"/>
      <c r="T210" s="363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4301135681</v>
      </c>
      <c r="D211" s="364">
        <v>4620207490143</v>
      </c>
      <c r="E211" s="365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62"/>
      <c r="R211" s="362"/>
      <c r="S211" s="362"/>
      <c r="T211" s="363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373"/>
      <c r="B212" s="367"/>
      <c r="C212" s="367"/>
      <c r="D212" s="367"/>
      <c r="E212" s="367"/>
      <c r="F212" s="367"/>
      <c r="G212" s="367"/>
      <c r="H212" s="367"/>
      <c r="I212" s="367"/>
      <c r="J212" s="367"/>
      <c r="K212" s="367"/>
      <c r="L212" s="367"/>
      <c r="M212" s="367"/>
      <c r="N212" s="367"/>
      <c r="O212" s="374"/>
      <c r="P212" s="368" t="s">
        <v>73</v>
      </c>
      <c r="Q212" s="359"/>
      <c r="R212" s="359"/>
      <c r="S212" s="359"/>
      <c r="T212" s="359"/>
      <c r="U212" s="359"/>
      <c r="V212" s="36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x14ac:dyDescent="0.2">
      <c r="A213" s="367"/>
      <c r="B213" s="367"/>
      <c r="C213" s="367"/>
      <c r="D213" s="367"/>
      <c r="E213" s="367"/>
      <c r="F213" s="367"/>
      <c r="G213" s="367"/>
      <c r="H213" s="367"/>
      <c r="I213" s="367"/>
      <c r="J213" s="367"/>
      <c r="K213" s="367"/>
      <c r="L213" s="367"/>
      <c r="M213" s="367"/>
      <c r="N213" s="367"/>
      <c r="O213" s="374"/>
      <c r="P213" s="368" t="s">
        <v>73</v>
      </c>
      <c r="Q213" s="359"/>
      <c r="R213" s="359"/>
      <c r="S213" s="359"/>
      <c r="T213" s="359"/>
      <c r="U213" s="359"/>
      <c r="V213" s="36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customHeight="1" x14ac:dyDescent="0.25">
      <c r="A214" s="369" t="s">
        <v>345</v>
      </c>
      <c r="B214" s="367"/>
      <c r="C214" s="367"/>
      <c r="D214" s="367"/>
      <c r="E214" s="367"/>
      <c r="F214" s="367"/>
      <c r="G214" s="367"/>
      <c r="H214" s="367"/>
      <c r="I214" s="367"/>
      <c r="J214" s="367"/>
      <c r="K214" s="367"/>
      <c r="L214" s="367"/>
      <c r="M214" s="367"/>
      <c r="N214" s="367"/>
      <c r="O214" s="367"/>
      <c r="P214" s="367"/>
      <c r="Q214" s="367"/>
      <c r="R214" s="367"/>
      <c r="S214" s="367"/>
      <c r="T214" s="367"/>
      <c r="U214" s="367"/>
      <c r="V214" s="367"/>
      <c r="W214" s="367"/>
      <c r="X214" s="367"/>
      <c r="Y214" s="367"/>
      <c r="Z214" s="367"/>
      <c r="AA214" s="349"/>
      <c r="AB214" s="349"/>
      <c r="AC214" s="349"/>
    </row>
    <row r="215" spans="1:68" ht="14.25" customHeight="1" x14ac:dyDescent="0.25">
      <c r="A215" s="366" t="s">
        <v>64</v>
      </c>
      <c r="B215" s="367"/>
      <c r="C215" s="367"/>
      <c r="D215" s="367"/>
      <c r="E215" s="367"/>
      <c r="F215" s="367"/>
      <c r="G215" s="367"/>
      <c r="H215" s="367"/>
      <c r="I215" s="367"/>
      <c r="J215" s="367"/>
      <c r="K215" s="367"/>
      <c r="L215" s="367"/>
      <c r="M215" s="367"/>
      <c r="N215" s="367"/>
      <c r="O215" s="367"/>
      <c r="P215" s="367"/>
      <c r="Q215" s="367"/>
      <c r="R215" s="367"/>
      <c r="S215" s="367"/>
      <c r="T215" s="367"/>
      <c r="U215" s="367"/>
      <c r="V215" s="367"/>
      <c r="W215" s="367"/>
      <c r="X215" s="367"/>
      <c r="Y215" s="367"/>
      <c r="Z215" s="367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64">
        <v>4607111037022</v>
      </c>
      <c r="E216" s="365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94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62"/>
      <c r="R216" s="362"/>
      <c r="S216" s="362"/>
      <c r="T216" s="363"/>
      <c r="U216" s="34"/>
      <c r="V216" s="34"/>
      <c r="W216" s="35" t="s">
        <v>70</v>
      </c>
      <c r="X216" s="354">
        <v>0</v>
      </c>
      <c r="Y216" s="355">
        <f>IFERROR(IF(X216="","",X216),"")</f>
        <v>0</v>
      </c>
      <c r="Z216" s="36">
        <f>IFERROR(IF(X216="","",X216*0.0155),"")</f>
        <v>0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27" customHeight="1" x14ac:dyDescent="0.25">
      <c r="A217" s="54" t="s">
        <v>349</v>
      </c>
      <c r="B217" s="54" t="s">
        <v>350</v>
      </c>
      <c r="C217" s="31">
        <v>4301070990</v>
      </c>
      <c r="D217" s="364">
        <v>4607111038494</v>
      </c>
      <c r="E217" s="365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75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62"/>
      <c r="R217" s="362"/>
      <c r="S217" s="362"/>
      <c r="T217" s="363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352</v>
      </c>
      <c r="B218" s="54" t="s">
        <v>353</v>
      </c>
      <c r="C218" s="31">
        <v>4301070966</v>
      </c>
      <c r="D218" s="364">
        <v>4607111038135</v>
      </c>
      <c r="E218" s="365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372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62"/>
      <c r="R218" s="362"/>
      <c r="S218" s="362"/>
      <c r="T218" s="363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73"/>
      <c r="B219" s="367"/>
      <c r="C219" s="367"/>
      <c r="D219" s="367"/>
      <c r="E219" s="367"/>
      <c r="F219" s="367"/>
      <c r="G219" s="367"/>
      <c r="H219" s="367"/>
      <c r="I219" s="367"/>
      <c r="J219" s="367"/>
      <c r="K219" s="367"/>
      <c r="L219" s="367"/>
      <c r="M219" s="367"/>
      <c r="N219" s="367"/>
      <c r="O219" s="374"/>
      <c r="P219" s="368" t="s">
        <v>73</v>
      </c>
      <c r="Q219" s="359"/>
      <c r="R219" s="359"/>
      <c r="S219" s="359"/>
      <c r="T219" s="359"/>
      <c r="U219" s="359"/>
      <c r="V219" s="360"/>
      <c r="W219" s="37" t="s">
        <v>70</v>
      </c>
      <c r="X219" s="356">
        <f>IFERROR(SUM(X216:X218),"0")</f>
        <v>0</v>
      </c>
      <c r="Y219" s="356">
        <f>IFERROR(SUM(Y216:Y218),"0")</f>
        <v>0</v>
      </c>
      <c r="Z219" s="356">
        <f>IFERROR(IF(Z216="",0,Z216),"0")+IFERROR(IF(Z217="",0,Z217),"0")+IFERROR(IF(Z218="",0,Z218),"0")</f>
        <v>0</v>
      </c>
      <c r="AA219" s="357"/>
      <c r="AB219" s="357"/>
      <c r="AC219" s="357"/>
    </row>
    <row r="220" spans="1:68" x14ac:dyDescent="0.2">
      <c r="A220" s="367"/>
      <c r="B220" s="367"/>
      <c r="C220" s="367"/>
      <c r="D220" s="367"/>
      <c r="E220" s="367"/>
      <c r="F220" s="367"/>
      <c r="G220" s="367"/>
      <c r="H220" s="367"/>
      <c r="I220" s="367"/>
      <c r="J220" s="367"/>
      <c r="K220" s="367"/>
      <c r="L220" s="367"/>
      <c r="M220" s="367"/>
      <c r="N220" s="367"/>
      <c r="O220" s="374"/>
      <c r="P220" s="368" t="s">
        <v>73</v>
      </c>
      <c r="Q220" s="359"/>
      <c r="R220" s="359"/>
      <c r="S220" s="359"/>
      <c r="T220" s="359"/>
      <c r="U220" s="359"/>
      <c r="V220" s="360"/>
      <c r="W220" s="37" t="s">
        <v>74</v>
      </c>
      <c r="X220" s="356">
        <f>IFERROR(SUMPRODUCT(X216:X218*H216:H218),"0")</f>
        <v>0</v>
      </c>
      <c r="Y220" s="356">
        <f>IFERROR(SUMPRODUCT(Y216:Y218*H216:H218),"0")</f>
        <v>0</v>
      </c>
      <c r="Z220" s="37"/>
      <c r="AA220" s="357"/>
      <c r="AB220" s="357"/>
      <c r="AC220" s="357"/>
    </row>
    <row r="221" spans="1:68" ht="16.5" customHeight="1" x14ac:dyDescent="0.25">
      <c r="A221" s="369" t="s">
        <v>355</v>
      </c>
      <c r="B221" s="367"/>
      <c r="C221" s="367"/>
      <c r="D221" s="367"/>
      <c r="E221" s="367"/>
      <c r="F221" s="367"/>
      <c r="G221" s="367"/>
      <c r="H221" s="367"/>
      <c r="I221" s="367"/>
      <c r="J221" s="367"/>
      <c r="K221" s="367"/>
      <c r="L221" s="367"/>
      <c r="M221" s="367"/>
      <c r="N221" s="367"/>
      <c r="O221" s="367"/>
      <c r="P221" s="367"/>
      <c r="Q221" s="367"/>
      <c r="R221" s="367"/>
      <c r="S221" s="367"/>
      <c r="T221" s="367"/>
      <c r="U221" s="367"/>
      <c r="V221" s="367"/>
      <c r="W221" s="367"/>
      <c r="X221" s="367"/>
      <c r="Y221" s="367"/>
      <c r="Z221" s="367"/>
      <c r="AA221" s="349"/>
      <c r="AB221" s="349"/>
      <c r="AC221" s="349"/>
    </row>
    <row r="222" spans="1:68" ht="14.25" customHeight="1" x14ac:dyDescent="0.25">
      <c r="A222" s="366" t="s">
        <v>64</v>
      </c>
      <c r="B222" s="367"/>
      <c r="C222" s="367"/>
      <c r="D222" s="367"/>
      <c r="E222" s="367"/>
      <c r="F222" s="367"/>
      <c r="G222" s="367"/>
      <c r="H222" s="367"/>
      <c r="I222" s="367"/>
      <c r="J222" s="367"/>
      <c r="K222" s="367"/>
      <c r="L222" s="367"/>
      <c r="M222" s="367"/>
      <c r="N222" s="367"/>
      <c r="O222" s="367"/>
      <c r="P222" s="367"/>
      <c r="Q222" s="367"/>
      <c r="R222" s="367"/>
      <c r="S222" s="367"/>
      <c r="T222" s="367"/>
      <c r="U222" s="367"/>
      <c r="V222" s="367"/>
      <c r="W222" s="367"/>
      <c r="X222" s="367"/>
      <c r="Y222" s="367"/>
      <c r="Z222" s="367"/>
      <c r="AA222" s="350"/>
      <c r="AB222" s="350"/>
      <c r="AC222" s="350"/>
    </row>
    <row r="223" spans="1:68" ht="27" customHeight="1" x14ac:dyDescent="0.25">
      <c r="A223" s="54" t="s">
        <v>356</v>
      </c>
      <c r="B223" s="54" t="s">
        <v>357</v>
      </c>
      <c r="C223" s="31">
        <v>4301070996</v>
      </c>
      <c r="D223" s="364">
        <v>4607111038654</v>
      </c>
      <c r="E223" s="365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545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62"/>
      <c r="R223" s="362"/>
      <c r="S223" s="362"/>
      <c r="T223" s="363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customHeight="1" x14ac:dyDescent="0.25">
      <c r="A224" s="54" t="s">
        <v>359</v>
      </c>
      <c r="B224" s="54" t="s">
        <v>360</v>
      </c>
      <c r="C224" s="31">
        <v>4301070997</v>
      </c>
      <c r="D224" s="364">
        <v>4607111038586</v>
      </c>
      <c r="E224" s="365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7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62"/>
      <c r="R224" s="362"/>
      <c r="S224" s="362"/>
      <c r="T224" s="363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4301070962</v>
      </c>
      <c r="D225" s="364">
        <v>4607111038609</v>
      </c>
      <c r="E225" s="365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444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62"/>
      <c r="R225" s="362"/>
      <c r="S225" s="362"/>
      <c r="T225" s="363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4301070963</v>
      </c>
      <c r="D226" s="364">
        <v>4607111038630</v>
      </c>
      <c r="E226" s="365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451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62"/>
      <c r="R226" s="362"/>
      <c r="S226" s="362"/>
      <c r="T226" s="363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4301070959</v>
      </c>
      <c r="D227" s="364">
        <v>4607111038616</v>
      </c>
      <c r="E227" s="365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447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62"/>
      <c r="R227" s="362"/>
      <c r="S227" s="362"/>
      <c r="T227" s="363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4301070960</v>
      </c>
      <c r="D228" s="364">
        <v>4607111038623</v>
      </c>
      <c r="E228" s="365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399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62"/>
      <c r="R228" s="362"/>
      <c r="S228" s="362"/>
      <c r="T228" s="363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x14ac:dyDescent="0.2">
      <c r="A229" s="373"/>
      <c r="B229" s="367"/>
      <c r="C229" s="367"/>
      <c r="D229" s="367"/>
      <c r="E229" s="367"/>
      <c r="F229" s="367"/>
      <c r="G229" s="367"/>
      <c r="H229" s="367"/>
      <c r="I229" s="367"/>
      <c r="J229" s="367"/>
      <c r="K229" s="367"/>
      <c r="L229" s="367"/>
      <c r="M229" s="367"/>
      <c r="N229" s="367"/>
      <c r="O229" s="374"/>
      <c r="P229" s="368" t="s">
        <v>73</v>
      </c>
      <c r="Q229" s="359"/>
      <c r="R229" s="359"/>
      <c r="S229" s="359"/>
      <c r="T229" s="359"/>
      <c r="U229" s="359"/>
      <c r="V229" s="36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x14ac:dyDescent="0.2">
      <c r="A230" s="367"/>
      <c r="B230" s="367"/>
      <c r="C230" s="367"/>
      <c r="D230" s="367"/>
      <c r="E230" s="367"/>
      <c r="F230" s="367"/>
      <c r="G230" s="367"/>
      <c r="H230" s="367"/>
      <c r="I230" s="367"/>
      <c r="J230" s="367"/>
      <c r="K230" s="367"/>
      <c r="L230" s="367"/>
      <c r="M230" s="367"/>
      <c r="N230" s="367"/>
      <c r="O230" s="374"/>
      <c r="P230" s="368" t="s">
        <v>73</v>
      </c>
      <c r="Q230" s="359"/>
      <c r="R230" s="359"/>
      <c r="S230" s="359"/>
      <c r="T230" s="359"/>
      <c r="U230" s="359"/>
      <c r="V230" s="36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customHeight="1" x14ac:dyDescent="0.25">
      <c r="A231" s="369" t="s">
        <v>370</v>
      </c>
      <c r="B231" s="367"/>
      <c r="C231" s="367"/>
      <c r="D231" s="367"/>
      <c r="E231" s="367"/>
      <c r="F231" s="367"/>
      <c r="G231" s="367"/>
      <c r="H231" s="367"/>
      <c r="I231" s="367"/>
      <c r="J231" s="367"/>
      <c r="K231" s="367"/>
      <c r="L231" s="367"/>
      <c r="M231" s="367"/>
      <c r="N231" s="367"/>
      <c r="O231" s="367"/>
      <c r="P231" s="367"/>
      <c r="Q231" s="367"/>
      <c r="R231" s="367"/>
      <c r="S231" s="367"/>
      <c r="T231" s="367"/>
      <c r="U231" s="367"/>
      <c r="V231" s="367"/>
      <c r="W231" s="367"/>
      <c r="X231" s="367"/>
      <c r="Y231" s="367"/>
      <c r="Z231" s="367"/>
      <c r="AA231" s="349"/>
      <c r="AB231" s="349"/>
      <c r="AC231" s="349"/>
    </row>
    <row r="232" spans="1:68" ht="14.25" customHeight="1" x14ac:dyDescent="0.25">
      <c r="A232" s="366" t="s">
        <v>64</v>
      </c>
      <c r="B232" s="367"/>
      <c r="C232" s="367"/>
      <c r="D232" s="367"/>
      <c r="E232" s="367"/>
      <c r="F232" s="367"/>
      <c r="G232" s="367"/>
      <c r="H232" s="367"/>
      <c r="I232" s="367"/>
      <c r="J232" s="367"/>
      <c r="K232" s="367"/>
      <c r="L232" s="367"/>
      <c r="M232" s="367"/>
      <c r="N232" s="367"/>
      <c r="O232" s="367"/>
      <c r="P232" s="367"/>
      <c r="Q232" s="367"/>
      <c r="R232" s="367"/>
      <c r="S232" s="367"/>
      <c r="T232" s="367"/>
      <c r="U232" s="367"/>
      <c r="V232" s="367"/>
      <c r="W232" s="367"/>
      <c r="X232" s="367"/>
      <c r="Y232" s="367"/>
      <c r="Z232" s="367"/>
      <c r="AA232" s="350"/>
      <c r="AB232" s="350"/>
      <c r="AC232" s="350"/>
    </row>
    <row r="233" spans="1:68" ht="27" customHeight="1" x14ac:dyDescent="0.25">
      <c r="A233" s="54" t="s">
        <v>371</v>
      </c>
      <c r="B233" s="54" t="s">
        <v>372</v>
      </c>
      <c r="C233" s="31">
        <v>4301070917</v>
      </c>
      <c r="D233" s="364">
        <v>4607111035912</v>
      </c>
      <c r="E233" s="365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8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62"/>
      <c r="R233" s="362"/>
      <c r="S233" s="362"/>
      <c r="T233" s="363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64">
        <v>4607111035929</v>
      </c>
      <c r="E234" s="365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570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62"/>
      <c r="R234" s="362"/>
      <c r="S234" s="362"/>
      <c r="T234" s="363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376</v>
      </c>
      <c r="B235" s="54" t="s">
        <v>377</v>
      </c>
      <c r="C235" s="31">
        <v>4301070915</v>
      </c>
      <c r="D235" s="364">
        <v>4607111035882</v>
      </c>
      <c r="E235" s="365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73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62"/>
      <c r="R235" s="362"/>
      <c r="S235" s="362"/>
      <c r="T235" s="363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customHeight="1" x14ac:dyDescent="0.25">
      <c r="A236" s="54" t="s">
        <v>379</v>
      </c>
      <c r="B236" s="54" t="s">
        <v>380</v>
      </c>
      <c r="C236" s="31">
        <v>4301070921</v>
      </c>
      <c r="D236" s="364">
        <v>4607111035905</v>
      </c>
      <c r="E236" s="365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55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62"/>
      <c r="R236" s="362"/>
      <c r="S236" s="362"/>
      <c r="T236" s="363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73"/>
      <c r="B237" s="367"/>
      <c r="C237" s="367"/>
      <c r="D237" s="367"/>
      <c r="E237" s="367"/>
      <c r="F237" s="367"/>
      <c r="G237" s="367"/>
      <c r="H237" s="367"/>
      <c r="I237" s="367"/>
      <c r="J237" s="367"/>
      <c r="K237" s="367"/>
      <c r="L237" s="367"/>
      <c r="M237" s="367"/>
      <c r="N237" s="367"/>
      <c r="O237" s="374"/>
      <c r="P237" s="368" t="s">
        <v>73</v>
      </c>
      <c r="Q237" s="359"/>
      <c r="R237" s="359"/>
      <c r="S237" s="359"/>
      <c r="T237" s="359"/>
      <c r="U237" s="359"/>
      <c r="V237" s="360"/>
      <c r="W237" s="37" t="s">
        <v>70</v>
      </c>
      <c r="X237" s="356">
        <f>IFERROR(SUM(X233:X236),"0")</f>
        <v>0</v>
      </c>
      <c r="Y237" s="356">
        <f>IFERROR(SUM(Y233:Y236),"0")</f>
        <v>0</v>
      </c>
      <c r="Z237" s="356">
        <f>IFERROR(IF(Z233="",0,Z233),"0")+IFERROR(IF(Z234="",0,Z234),"0")+IFERROR(IF(Z235="",0,Z235),"0")+IFERROR(IF(Z236="",0,Z236),"0")</f>
        <v>0</v>
      </c>
      <c r="AA237" s="357"/>
      <c r="AB237" s="357"/>
      <c r="AC237" s="357"/>
    </row>
    <row r="238" spans="1:68" x14ac:dyDescent="0.2">
      <c r="A238" s="367"/>
      <c r="B238" s="367"/>
      <c r="C238" s="367"/>
      <c r="D238" s="367"/>
      <c r="E238" s="367"/>
      <c r="F238" s="367"/>
      <c r="G238" s="367"/>
      <c r="H238" s="367"/>
      <c r="I238" s="367"/>
      <c r="J238" s="367"/>
      <c r="K238" s="367"/>
      <c r="L238" s="367"/>
      <c r="M238" s="367"/>
      <c r="N238" s="367"/>
      <c r="O238" s="374"/>
      <c r="P238" s="368" t="s">
        <v>73</v>
      </c>
      <c r="Q238" s="359"/>
      <c r="R238" s="359"/>
      <c r="S238" s="359"/>
      <c r="T238" s="359"/>
      <c r="U238" s="359"/>
      <c r="V238" s="360"/>
      <c r="W238" s="37" t="s">
        <v>74</v>
      </c>
      <c r="X238" s="356">
        <f>IFERROR(SUMPRODUCT(X233:X236*H233:H236),"0")</f>
        <v>0</v>
      </c>
      <c r="Y238" s="356">
        <f>IFERROR(SUMPRODUCT(Y233:Y236*H233:H236),"0")</f>
        <v>0</v>
      </c>
      <c r="Z238" s="37"/>
      <c r="AA238" s="357"/>
      <c r="AB238" s="357"/>
      <c r="AC238" s="357"/>
    </row>
    <row r="239" spans="1:68" ht="16.5" customHeight="1" x14ac:dyDescent="0.25">
      <c r="A239" s="369" t="s">
        <v>381</v>
      </c>
      <c r="B239" s="367"/>
      <c r="C239" s="367"/>
      <c r="D239" s="367"/>
      <c r="E239" s="367"/>
      <c r="F239" s="367"/>
      <c r="G239" s="367"/>
      <c r="H239" s="367"/>
      <c r="I239" s="367"/>
      <c r="J239" s="367"/>
      <c r="K239" s="367"/>
      <c r="L239" s="367"/>
      <c r="M239" s="367"/>
      <c r="N239" s="367"/>
      <c r="O239" s="367"/>
      <c r="P239" s="367"/>
      <c r="Q239" s="367"/>
      <c r="R239" s="367"/>
      <c r="S239" s="367"/>
      <c r="T239" s="367"/>
      <c r="U239" s="367"/>
      <c r="V239" s="367"/>
      <c r="W239" s="367"/>
      <c r="X239" s="367"/>
      <c r="Y239" s="367"/>
      <c r="Z239" s="367"/>
      <c r="AA239" s="349"/>
      <c r="AB239" s="349"/>
      <c r="AC239" s="349"/>
    </row>
    <row r="240" spans="1:68" ht="14.25" customHeight="1" x14ac:dyDescent="0.25">
      <c r="A240" s="366" t="s">
        <v>64</v>
      </c>
      <c r="B240" s="367"/>
      <c r="C240" s="367"/>
      <c r="D240" s="367"/>
      <c r="E240" s="367"/>
      <c r="F240" s="367"/>
      <c r="G240" s="367"/>
      <c r="H240" s="367"/>
      <c r="I240" s="367"/>
      <c r="J240" s="367"/>
      <c r="K240" s="367"/>
      <c r="L240" s="367"/>
      <c r="M240" s="367"/>
      <c r="N240" s="367"/>
      <c r="O240" s="367"/>
      <c r="P240" s="367"/>
      <c r="Q240" s="367"/>
      <c r="R240" s="367"/>
      <c r="S240" s="367"/>
      <c r="T240" s="367"/>
      <c r="U240" s="367"/>
      <c r="V240" s="367"/>
      <c r="W240" s="367"/>
      <c r="X240" s="367"/>
      <c r="Y240" s="367"/>
      <c r="Z240" s="367"/>
      <c r="AA240" s="350"/>
      <c r="AB240" s="350"/>
      <c r="AC240" s="350"/>
    </row>
    <row r="241" spans="1:68" ht="27" customHeight="1" x14ac:dyDescent="0.25">
      <c r="A241" s="54" t="s">
        <v>382</v>
      </c>
      <c r="B241" s="54" t="s">
        <v>383</v>
      </c>
      <c r="C241" s="31">
        <v>4301071093</v>
      </c>
      <c r="D241" s="364">
        <v>4620207490709</v>
      </c>
      <c r="E241" s="365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438" t="s">
        <v>384</v>
      </c>
      <c r="Q241" s="362"/>
      <c r="R241" s="362"/>
      <c r="S241" s="362"/>
      <c r="T241" s="363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373"/>
      <c r="B242" s="367"/>
      <c r="C242" s="367"/>
      <c r="D242" s="367"/>
      <c r="E242" s="367"/>
      <c r="F242" s="367"/>
      <c r="G242" s="367"/>
      <c r="H242" s="367"/>
      <c r="I242" s="367"/>
      <c r="J242" s="367"/>
      <c r="K242" s="367"/>
      <c r="L242" s="367"/>
      <c r="M242" s="367"/>
      <c r="N242" s="367"/>
      <c r="O242" s="374"/>
      <c r="P242" s="368" t="s">
        <v>73</v>
      </c>
      <c r="Q242" s="359"/>
      <c r="R242" s="359"/>
      <c r="S242" s="359"/>
      <c r="T242" s="359"/>
      <c r="U242" s="359"/>
      <c r="V242" s="36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x14ac:dyDescent="0.2">
      <c r="A243" s="367"/>
      <c r="B243" s="367"/>
      <c r="C243" s="367"/>
      <c r="D243" s="367"/>
      <c r="E243" s="367"/>
      <c r="F243" s="367"/>
      <c r="G243" s="367"/>
      <c r="H243" s="367"/>
      <c r="I243" s="367"/>
      <c r="J243" s="367"/>
      <c r="K243" s="367"/>
      <c r="L243" s="367"/>
      <c r="M243" s="367"/>
      <c r="N243" s="367"/>
      <c r="O243" s="374"/>
      <c r="P243" s="368" t="s">
        <v>73</v>
      </c>
      <c r="Q243" s="359"/>
      <c r="R243" s="359"/>
      <c r="S243" s="359"/>
      <c r="T243" s="359"/>
      <c r="U243" s="359"/>
      <c r="V243" s="36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customHeight="1" x14ac:dyDescent="0.25">
      <c r="A244" s="366" t="s">
        <v>152</v>
      </c>
      <c r="B244" s="367"/>
      <c r="C244" s="367"/>
      <c r="D244" s="367"/>
      <c r="E244" s="367"/>
      <c r="F244" s="367"/>
      <c r="G244" s="367"/>
      <c r="H244" s="367"/>
      <c r="I244" s="367"/>
      <c r="J244" s="367"/>
      <c r="K244" s="367"/>
      <c r="L244" s="367"/>
      <c r="M244" s="367"/>
      <c r="N244" s="367"/>
      <c r="O244" s="367"/>
      <c r="P244" s="367"/>
      <c r="Q244" s="367"/>
      <c r="R244" s="367"/>
      <c r="S244" s="367"/>
      <c r="T244" s="367"/>
      <c r="U244" s="367"/>
      <c r="V244" s="367"/>
      <c r="W244" s="367"/>
      <c r="X244" s="367"/>
      <c r="Y244" s="367"/>
      <c r="Z244" s="367"/>
      <c r="AA244" s="350"/>
      <c r="AB244" s="350"/>
      <c r="AC244" s="350"/>
    </row>
    <row r="245" spans="1:68" ht="27" customHeight="1" x14ac:dyDescent="0.25">
      <c r="A245" s="54" t="s">
        <v>386</v>
      </c>
      <c r="B245" s="54" t="s">
        <v>387</v>
      </c>
      <c r="C245" s="31">
        <v>4301135692</v>
      </c>
      <c r="D245" s="364">
        <v>4620207490570</v>
      </c>
      <c r="E245" s="365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78" t="s">
        <v>388</v>
      </c>
      <c r="Q245" s="362"/>
      <c r="R245" s="362"/>
      <c r="S245" s="362"/>
      <c r="T245" s="363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4301135691</v>
      </c>
      <c r="D246" s="364">
        <v>4620207490549</v>
      </c>
      <c r="E246" s="365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520" t="s">
        <v>392</v>
      </c>
      <c r="Q246" s="362"/>
      <c r="R246" s="362"/>
      <c r="S246" s="362"/>
      <c r="T246" s="363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4301135694</v>
      </c>
      <c r="D247" s="364">
        <v>4620207490501</v>
      </c>
      <c r="E247" s="365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436" t="s">
        <v>395</v>
      </c>
      <c r="Q247" s="362"/>
      <c r="R247" s="362"/>
      <c r="S247" s="362"/>
      <c r="T247" s="363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373"/>
      <c r="B248" s="367"/>
      <c r="C248" s="367"/>
      <c r="D248" s="367"/>
      <c r="E248" s="367"/>
      <c r="F248" s="367"/>
      <c r="G248" s="367"/>
      <c r="H248" s="367"/>
      <c r="I248" s="367"/>
      <c r="J248" s="367"/>
      <c r="K248" s="367"/>
      <c r="L248" s="367"/>
      <c r="M248" s="367"/>
      <c r="N248" s="367"/>
      <c r="O248" s="374"/>
      <c r="P248" s="368" t="s">
        <v>73</v>
      </c>
      <c r="Q248" s="359"/>
      <c r="R248" s="359"/>
      <c r="S248" s="359"/>
      <c r="T248" s="359"/>
      <c r="U248" s="359"/>
      <c r="V248" s="36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x14ac:dyDescent="0.2">
      <c r="A249" s="367"/>
      <c r="B249" s="367"/>
      <c r="C249" s="367"/>
      <c r="D249" s="367"/>
      <c r="E249" s="367"/>
      <c r="F249" s="367"/>
      <c r="G249" s="367"/>
      <c r="H249" s="367"/>
      <c r="I249" s="367"/>
      <c r="J249" s="367"/>
      <c r="K249" s="367"/>
      <c r="L249" s="367"/>
      <c r="M249" s="367"/>
      <c r="N249" s="367"/>
      <c r="O249" s="374"/>
      <c r="P249" s="368" t="s">
        <v>73</v>
      </c>
      <c r="Q249" s="359"/>
      <c r="R249" s="359"/>
      <c r="S249" s="359"/>
      <c r="T249" s="359"/>
      <c r="U249" s="359"/>
      <c r="V249" s="36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customHeight="1" x14ac:dyDescent="0.25">
      <c r="A250" s="369" t="s">
        <v>396</v>
      </c>
      <c r="B250" s="367"/>
      <c r="C250" s="367"/>
      <c r="D250" s="367"/>
      <c r="E250" s="367"/>
      <c r="F250" s="367"/>
      <c r="G250" s="367"/>
      <c r="H250" s="367"/>
      <c r="I250" s="367"/>
      <c r="J250" s="367"/>
      <c r="K250" s="367"/>
      <c r="L250" s="367"/>
      <c r="M250" s="367"/>
      <c r="N250" s="367"/>
      <c r="O250" s="367"/>
      <c r="P250" s="367"/>
      <c r="Q250" s="367"/>
      <c r="R250" s="367"/>
      <c r="S250" s="367"/>
      <c r="T250" s="367"/>
      <c r="U250" s="367"/>
      <c r="V250" s="367"/>
      <c r="W250" s="367"/>
      <c r="X250" s="367"/>
      <c r="Y250" s="367"/>
      <c r="Z250" s="367"/>
      <c r="AA250" s="349"/>
      <c r="AB250" s="349"/>
      <c r="AC250" s="349"/>
    </row>
    <row r="251" spans="1:68" ht="14.25" customHeight="1" x14ac:dyDescent="0.25">
      <c r="A251" s="366" t="s">
        <v>324</v>
      </c>
      <c r="B251" s="367"/>
      <c r="C251" s="367"/>
      <c r="D251" s="367"/>
      <c r="E251" s="367"/>
      <c r="F251" s="367"/>
      <c r="G251" s="367"/>
      <c r="H251" s="367"/>
      <c r="I251" s="367"/>
      <c r="J251" s="367"/>
      <c r="K251" s="367"/>
      <c r="L251" s="367"/>
      <c r="M251" s="367"/>
      <c r="N251" s="367"/>
      <c r="O251" s="367"/>
      <c r="P251" s="367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  <c r="AA251" s="350"/>
      <c r="AB251" s="350"/>
      <c r="AC251" s="350"/>
    </row>
    <row r="252" spans="1:68" ht="27" customHeight="1" x14ac:dyDescent="0.25">
      <c r="A252" s="54" t="s">
        <v>397</v>
      </c>
      <c r="B252" s="54" t="s">
        <v>398</v>
      </c>
      <c r="C252" s="31">
        <v>4301051320</v>
      </c>
      <c r="D252" s="364">
        <v>4680115881334</v>
      </c>
      <c r="E252" s="365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58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62"/>
      <c r="R252" s="362"/>
      <c r="S252" s="362"/>
      <c r="T252" s="363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73"/>
      <c r="B253" s="367"/>
      <c r="C253" s="367"/>
      <c r="D253" s="367"/>
      <c r="E253" s="367"/>
      <c r="F253" s="367"/>
      <c r="G253" s="367"/>
      <c r="H253" s="367"/>
      <c r="I253" s="367"/>
      <c r="J253" s="367"/>
      <c r="K253" s="367"/>
      <c r="L253" s="367"/>
      <c r="M253" s="367"/>
      <c r="N253" s="367"/>
      <c r="O253" s="374"/>
      <c r="P253" s="368" t="s">
        <v>73</v>
      </c>
      <c r="Q253" s="359"/>
      <c r="R253" s="359"/>
      <c r="S253" s="359"/>
      <c r="T253" s="359"/>
      <c r="U253" s="359"/>
      <c r="V253" s="36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x14ac:dyDescent="0.2">
      <c r="A254" s="367"/>
      <c r="B254" s="367"/>
      <c r="C254" s="367"/>
      <c r="D254" s="367"/>
      <c r="E254" s="367"/>
      <c r="F254" s="367"/>
      <c r="G254" s="367"/>
      <c r="H254" s="367"/>
      <c r="I254" s="367"/>
      <c r="J254" s="367"/>
      <c r="K254" s="367"/>
      <c r="L254" s="367"/>
      <c r="M254" s="367"/>
      <c r="N254" s="367"/>
      <c r="O254" s="374"/>
      <c r="P254" s="368" t="s">
        <v>73</v>
      </c>
      <c r="Q254" s="359"/>
      <c r="R254" s="359"/>
      <c r="S254" s="359"/>
      <c r="T254" s="359"/>
      <c r="U254" s="359"/>
      <c r="V254" s="36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customHeight="1" x14ac:dyDescent="0.25">
      <c r="A255" s="369" t="s">
        <v>400</v>
      </c>
      <c r="B255" s="367"/>
      <c r="C255" s="367"/>
      <c r="D255" s="367"/>
      <c r="E255" s="367"/>
      <c r="F255" s="367"/>
      <c r="G255" s="367"/>
      <c r="H255" s="367"/>
      <c r="I255" s="367"/>
      <c r="J255" s="367"/>
      <c r="K255" s="367"/>
      <c r="L255" s="367"/>
      <c r="M255" s="367"/>
      <c r="N255" s="367"/>
      <c r="O255" s="367"/>
      <c r="P255" s="367"/>
      <c r="Q255" s="367"/>
      <c r="R255" s="367"/>
      <c r="S255" s="367"/>
      <c r="T255" s="367"/>
      <c r="U255" s="367"/>
      <c r="V255" s="367"/>
      <c r="W255" s="367"/>
      <c r="X255" s="367"/>
      <c r="Y255" s="367"/>
      <c r="Z255" s="367"/>
      <c r="AA255" s="349"/>
      <c r="AB255" s="349"/>
      <c r="AC255" s="349"/>
    </row>
    <row r="256" spans="1:68" ht="14.25" customHeight="1" x14ac:dyDescent="0.25">
      <c r="A256" s="366" t="s">
        <v>64</v>
      </c>
      <c r="B256" s="367"/>
      <c r="C256" s="367"/>
      <c r="D256" s="367"/>
      <c r="E256" s="367"/>
      <c r="F256" s="367"/>
      <c r="G256" s="367"/>
      <c r="H256" s="367"/>
      <c r="I256" s="367"/>
      <c r="J256" s="367"/>
      <c r="K256" s="367"/>
      <c r="L256" s="367"/>
      <c r="M256" s="367"/>
      <c r="N256" s="367"/>
      <c r="O256" s="367"/>
      <c r="P256" s="367"/>
      <c r="Q256" s="367"/>
      <c r="R256" s="367"/>
      <c r="S256" s="367"/>
      <c r="T256" s="367"/>
      <c r="U256" s="367"/>
      <c r="V256" s="367"/>
      <c r="W256" s="367"/>
      <c r="X256" s="367"/>
      <c r="Y256" s="367"/>
      <c r="Z256" s="367"/>
      <c r="AA256" s="350"/>
      <c r="AB256" s="350"/>
      <c r="AC256" s="350"/>
    </row>
    <row r="257" spans="1:68" ht="16.5" customHeight="1" x14ac:dyDescent="0.25">
      <c r="A257" s="54" t="s">
        <v>401</v>
      </c>
      <c r="B257" s="54" t="s">
        <v>402</v>
      </c>
      <c r="C257" s="31">
        <v>4301071063</v>
      </c>
      <c r="D257" s="364">
        <v>4607111039019</v>
      </c>
      <c r="E257" s="365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464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62"/>
      <c r="R257" s="362"/>
      <c r="S257" s="362"/>
      <c r="T257" s="363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customHeight="1" x14ac:dyDescent="0.25">
      <c r="A258" s="54" t="s">
        <v>404</v>
      </c>
      <c r="B258" s="54" t="s">
        <v>405</v>
      </c>
      <c r="C258" s="31">
        <v>4301071000</v>
      </c>
      <c r="D258" s="364">
        <v>4607111038708</v>
      </c>
      <c r="E258" s="365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544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62"/>
      <c r="R258" s="362"/>
      <c r="S258" s="362"/>
      <c r="T258" s="363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73"/>
      <c r="B259" s="367"/>
      <c r="C259" s="367"/>
      <c r="D259" s="367"/>
      <c r="E259" s="367"/>
      <c r="F259" s="367"/>
      <c r="G259" s="367"/>
      <c r="H259" s="367"/>
      <c r="I259" s="367"/>
      <c r="J259" s="367"/>
      <c r="K259" s="367"/>
      <c r="L259" s="367"/>
      <c r="M259" s="367"/>
      <c r="N259" s="367"/>
      <c r="O259" s="374"/>
      <c r="P259" s="368" t="s">
        <v>73</v>
      </c>
      <c r="Q259" s="359"/>
      <c r="R259" s="359"/>
      <c r="S259" s="359"/>
      <c r="T259" s="359"/>
      <c r="U259" s="359"/>
      <c r="V259" s="36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x14ac:dyDescent="0.2">
      <c r="A260" s="367"/>
      <c r="B260" s="367"/>
      <c r="C260" s="367"/>
      <c r="D260" s="367"/>
      <c r="E260" s="367"/>
      <c r="F260" s="367"/>
      <c r="G260" s="367"/>
      <c r="H260" s="367"/>
      <c r="I260" s="367"/>
      <c r="J260" s="367"/>
      <c r="K260" s="367"/>
      <c r="L260" s="367"/>
      <c r="M260" s="367"/>
      <c r="N260" s="367"/>
      <c r="O260" s="374"/>
      <c r="P260" s="368" t="s">
        <v>73</v>
      </c>
      <c r="Q260" s="359"/>
      <c r="R260" s="359"/>
      <c r="S260" s="359"/>
      <c r="T260" s="359"/>
      <c r="U260" s="359"/>
      <c r="V260" s="36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customHeight="1" x14ac:dyDescent="0.2">
      <c r="A261" s="402" t="s">
        <v>406</v>
      </c>
      <c r="B261" s="403"/>
      <c r="C261" s="403"/>
      <c r="D261" s="403"/>
      <c r="E261" s="403"/>
      <c r="F261" s="403"/>
      <c r="G261" s="403"/>
      <c r="H261" s="403"/>
      <c r="I261" s="403"/>
      <c r="J261" s="403"/>
      <c r="K261" s="403"/>
      <c r="L261" s="403"/>
      <c r="M261" s="403"/>
      <c r="N261" s="403"/>
      <c r="O261" s="403"/>
      <c r="P261" s="403"/>
      <c r="Q261" s="403"/>
      <c r="R261" s="403"/>
      <c r="S261" s="403"/>
      <c r="T261" s="403"/>
      <c r="U261" s="403"/>
      <c r="V261" s="403"/>
      <c r="W261" s="403"/>
      <c r="X261" s="403"/>
      <c r="Y261" s="403"/>
      <c r="Z261" s="403"/>
      <c r="AA261" s="48"/>
      <c r="AB261" s="48"/>
      <c r="AC261" s="48"/>
    </row>
    <row r="262" spans="1:68" ht="16.5" customHeight="1" x14ac:dyDescent="0.25">
      <c r="A262" s="369" t="s">
        <v>407</v>
      </c>
      <c r="B262" s="367"/>
      <c r="C262" s="367"/>
      <c r="D262" s="367"/>
      <c r="E262" s="367"/>
      <c r="F262" s="367"/>
      <c r="G262" s="367"/>
      <c r="H262" s="367"/>
      <c r="I262" s="367"/>
      <c r="J262" s="367"/>
      <c r="K262" s="367"/>
      <c r="L262" s="367"/>
      <c r="M262" s="367"/>
      <c r="N262" s="367"/>
      <c r="O262" s="367"/>
      <c r="P262" s="367"/>
      <c r="Q262" s="367"/>
      <c r="R262" s="367"/>
      <c r="S262" s="367"/>
      <c r="T262" s="367"/>
      <c r="U262" s="367"/>
      <c r="V262" s="367"/>
      <c r="W262" s="367"/>
      <c r="X262" s="367"/>
      <c r="Y262" s="367"/>
      <c r="Z262" s="367"/>
      <c r="AA262" s="349"/>
      <c r="AB262" s="349"/>
      <c r="AC262" s="349"/>
    </row>
    <row r="263" spans="1:68" ht="14.25" customHeight="1" x14ac:dyDescent="0.25">
      <c r="A263" s="366" t="s">
        <v>64</v>
      </c>
      <c r="B263" s="367"/>
      <c r="C263" s="367"/>
      <c r="D263" s="367"/>
      <c r="E263" s="367"/>
      <c r="F263" s="367"/>
      <c r="G263" s="367"/>
      <c r="H263" s="367"/>
      <c r="I263" s="367"/>
      <c r="J263" s="367"/>
      <c r="K263" s="367"/>
      <c r="L263" s="367"/>
      <c r="M263" s="367"/>
      <c r="N263" s="367"/>
      <c r="O263" s="367"/>
      <c r="P263" s="367"/>
      <c r="Q263" s="367"/>
      <c r="R263" s="367"/>
      <c r="S263" s="367"/>
      <c r="T263" s="367"/>
      <c r="U263" s="367"/>
      <c r="V263" s="367"/>
      <c r="W263" s="367"/>
      <c r="X263" s="367"/>
      <c r="Y263" s="367"/>
      <c r="Z263" s="367"/>
      <c r="AA263" s="350"/>
      <c r="AB263" s="350"/>
      <c r="AC263" s="350"/>
    </row>
    <row r="264" spans="1:68" ht="27" customHeight="1" x14ac:dyDescent="0.25">
      <c r="A264" s="54" t="s">
        <v>408</v>
      </c>
      <c r="B264" s="54" t="s">
        <v>409</v>
      </c>
      <c r="C264" s="31">
        <v>4301071036</v>
      </c>
      <c r="D264" s="364">
        <v>4607111036162</v>
      </c>
      <c r="E264" s="365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5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62"/>
      <c r="R264" s="362"/>
      <c r="S264" s="362"/>
      <c r="T264" s="363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73"/>
      <c r="B265" s="367"/>
      <c r="C265" s="367"/>
      <c r="D265" s="367"/>
      <c r="E265" s="367"/>
      <c r="F265" s="367"/>
      <c r="G265" s="367"/>
      <c r="H265" s="367"/>
      <c r="I265" s="367"/>
      <c r="J265" s="367"/>
      <c r="K265" s="367"/>
      <c r="L265" s="367"/>
      <c r="M265" s="367"/>
      <c r="N265" s="367"/>
      <c r="O265" s="374"/>
      <c r="P265" s="368" t="s">
        <v>73</v>
      </c>
      <c r="Q265" s="359"/>
      <c r="R265" s="359"/>
      <c r="S265" s="359"/>
      <c r="T265" s="359"/>
      <c r="U265" s="359"/>
      <c r="V265" s="36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x14ac:dyDescent="0.2">
      <c r="A266" s="367"/>
      <c r="B266" s="367"/>
      <c r="C266" s="367"/>
      <c r="D266" s="367"/>
      <c r="E266" s="367"/>
      <c r="F266" s="367"/>
      <c r="G266" s="367"/>
      <c r="H266" s="367"/>
      <c r="I266" s="367"/>
      <c r="J266" s="367"/>
      <c r="K266" s="367"/>
      <c r="L266" s="367"/>
      <c r="M266" s="367"/>
      <c r="N266" s="367"/>
      <c r="O266" s="374"/>
      <c r="P266" s="368" t="s">
        <v>73</v>
      </c>
      <c r="Q266" s="359"/>
      <c r="R266" s="359"/>
      <c r="S266" s="359"/>
      <c r="T266" s="359"/>
      <c r="U266" s="359"/>
      <c r="V266" s="36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customHeight="1" x14ac:dyDescent="0.2">
      <c r="A267" s="402" t="s">
        <v>411</v>
      </c>
      <c r="B267" s="403"/>
      <c r="C267" s="403"/>
      <c r="D267" s="403"/>
      <c r="E267" s="403"/>
      <c r="F267" s="403"/>
      <c r="G267" s="403"/>
      <c r="H267" s="403"/>
      <c r="I267" s="403"/>
      <c r="J267" s="403"/>
      <c r="K267" s="403"/>
      <c r="L267" s="403"/>
      <c r="M267" s="403"/>
      <c r="N267" s="403"/>
      <c r="O267" s="403"/>
      <c r="P267" s="403"/>
      <c r="Q267" s="403"/>
      <c r="R267" s="403"/>
      <c r="S267" s="403"/>
      <c r="T267" s="403"/>
      <c r="U267" s="403"/>
      <c r="V267" s="403"/>
      <c r="W267" s="403"/>
      <c r="X267" s="403"/>
      <c r="Y267" s="403"/>
      <c r="Z267" s="403"/>
      <c r="AA267" s="48"/>
      <c r="AB267" s="48"/>
      <c r="AC267" s="48"/>
    </row>
    <row r="268" spans="1:68" ht="16.5" customHeight="1" x14ac:dyDescent="0.25">
      <c r="A268" s="369" t="s">
        <v>412</v>
      </c>
      <c r="B268" s="367"/>
      <c r="C268" s="367"/>
      <c r="D268" s="367"/>
      <c r="E268" s="367"/>
      <c r="F268" s="367"/>
      <c r="G268" s="367"/>
      <c r="H268" s="367"/>
      <c r="I268" s="367"/>
      <c r="J268" s="367"/>
      <c r="K268" s="367"/>
      <c r="L268" s="367"/>
      <c r="M268" s="367"/>
      <c r="N268" s="367"/>
      <c r="O268" s="367"/>
      <c r="P268" s="367"/>
      <c r="Q268" s="367"/>
      <c r="R268" s="367"/>
      <c r="S268" s="367"/>
      <c r="T268" s="367"/>
      <c r="U268" s="367"/>
      <c r="V268" s="367"/>
      <c r="W268" s="367"/>
      <c r="X268" s="367"/>
      <c r="Y268" s="367"/>
      <c r="Z268" s="367"/>
      <c r="AA268" s="349"/>
      <c r="AB268" s="349"/>
      <c r="AC268" s="349"/>
    </row>
    <row r="269" spans="1:68" ht="14.25" customHeight="1" x14ac:dyDescent="0.25">
      <c r="A269" s="366" t="s">
        <v>64</v>
      </c>
      <c r="B269" s="367"/>
      <c r="C269" s="367"/>
      <c r="D269" s="367"/>
      <c r="E269" s="367"/>
      <c r="F269" s="367"/>
      <c r="G269" s="367"/>
      <c r="H269" s="367"/>
      <c r="I269" s="367"/>
      <c r="J269" s="367"/>
      <c r="K269" s="367"/>
      <c r="L269" s="367"/>
      <c r="M269" s="367"/>
      <c r="N269" s="367"/>
      <c r="O269" s="367"/>
      <c r="P269" s="367"/>
      <c r="Q269" s="367"/>
      <c r="R269" s="367"/>
      <c r="S269" s="367"/>
      <c r="T269" s="367"/>
      <c r="U269" s="367"/>
      <c r="V269" s="367"/>
      <c r="W269" s="367"/>
      <c r="X269" s="367"/>
      <c r="Y269" s="367"/>
      <c r="Z269" s="367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64">
        <v>4607111035899</v>
      </c>
      <c r="E270" s="365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7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62"/>
      <c r="R270" s="362"/>
      <c r="S270" s="362"/>
      <c r="T270" s="363"/>
      <c r="U270" s="34"/>
      <c r="V270" s="34"/>
      <c r="W270" s="35" t="s">
        <v>70</v>
      </c>
      <c r="X270" s="354">
        <v>84</v>
      </c>
      <c r="Y270" s="355">
        <f>IFERROR(IF(X270="","",X270),"")</f>
        <v>84</v>
      </c>
      <c r="Z270" s="36">
        <f>IFERROR(IF(X270="","",X270*0.0155),"")</f>
        <v>1.302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442.00799999999998</v>
      </c>
      <c r="BN270" s="67">
        <f>IFERROR(Y270*I270,"0")</f>
        <v>442.00799999999998</v>
      </c>
      <c r="BO270" s="67">
        <f>IFERROR(X270/J270,"0")</f>
        <v>1</v>
      </c>
      <c r="BP270" s="67">
        <f>IFERROR(Y270/J270,"0")</f>
        <v>1</v>
      </c>
    </row>
    <row r="271" spans="1:68" ht="27" customHeight="1" x14ac:dyDescent="0.25">
      <c r="A271" s="54" t="s">
        <v>415</v>
      </c>
      <c r="B271" s="54" t="s">
        <v>416</v>
      </c>
      <c r="C271" s="31">
        <v>4301070991</v>
      </c>
      <c r="D271" s="364">
        <v>4607111038180</v>
      </c>
      <c r="E271" s="365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561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62"/>
      <c r="R271" s="362"/>
      <c r="S271" s="362"/>
      <c r="T271" s="363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73"/>
      <c r="B272" s="367"/>
      <c r="C272" s="367"/>
      <c r="D272" s="367"/>
      <c r="E272" s="367"/>
      <c r="F272" s="367"/>
      <c r="G272" s="367"/>
      <c r="H272" s="367"/>
      <c r="I272" s="367"/>
      <c r="J272" s="367"/>
      <c r="K272" s="367"/>
      <c r="L272" s="367"/>
      <c r="M272" s="367"/>
      <c r="N272" s="367"/>
      <c r="O272" s="374"/>
      <c r="P272" s="368" t="s">
        <v>73</v>
      </c>
      <c r="Q272" s="359"/>
      <c r="R272" s="359"/>
      <c r="S272" s="359"/>
      <c r="T272" s="359"/>
      <c r="U272" s="359"/>
      <c r="V272" s="360"/>
      <c r="W272" s="37" t="s">
        <v>70</v>
      </c>
      <c r="X272" s="356">
        <f>IFERROR(SUM(X270:X271),"0")</f>
        <v>84</v>
      </c>
      <c r="Y272" s="356">
        <f>IFERROR(SUM(Y270:Y271),"0")</f>
        <v>84</v>
      </c>
      <c r="Z272" s="356">
        <f>IFERROR(IF(Z270="",0,Z270),"0")+IFERROR(IF(Z271="",0,Z271),"0")</f>
        <v>1.302</v>
      </c>
      <c r="AA272" s="357"/>
      <c r="AB272" s="357"/>
      <c r="AC272" s="357"/>
    </row>
    <row r="273" spans="1:68" x14ac:dyDescent="0.2">
      <c r="A273" s="367"/>
      <c r="B273" s="367"/>
      <c r="C273" s="367"/>
      <c r="D273" s="367"/>
      <c r="E273" s="367"/>
      <c r="F273" s="367"/>
      <c r="G273" s="367"/>
      <c r="H273" s="367"/>
      <c r="I273" s="367"/>
      <c r="J273" s="367"/>
      <c r="K273" s="367"/>
      <c r="L273" s="367"/>
      <c r="M273" s="367"/>
      <c r="N273" s="367"/>
      <c r="O273" s="374"/>
      <c r="P273" s="368" t="s">
        <v>73</v>
      </c>
      <c r="Q273" s="359"/>
      <c r="R273" s="359"/>
      <c r="S273" s="359"/>
      <c r="T273" s="359"/>
      <c r="U273" s="359"/>
      <c r="V273" s="360"/>
      <c r="W273" s="37" t="s">
        <v>74</v>
      </c>
      <c r="X273" s="356">
        <f>IFERROR(SUMPRODUCT(X270:X271*H270:H271),"0")</f>
        <v>420</v>
      </c>
      <c r="Y273" s="356">
        <f>IFERROR(SUMPRODUCT(Y270:Y271*H270:H271),"0")</f>
        <v>420</v>
      </c>
      <c r="Z273" s="37"/>
      <c r="AA273" s="357"/>
      <c r="AB273" s="357"/>
      <c r="AC273" s="357"/>
    </row>
    <row r="274" spans="1:68" ht="27.75" customHeight="1" x14ac:dyDescent="0.2">
      <c r="A274" s="402" t="s">
        <v>418</v>
      </c>
      <c r="B274" s="403"/>
      <c r="C274" s="403"/>
      <c r="D274" s="403"/>
      <c r="E274" s="403"/>
      <c r="F274" s="403"/>
      <c r="G274" s="403"/>
      <c r="H274" s="403"/>
      <c r="I274" s="403"/>
      <c r="J274" s="403"/>
      <c r="K274" s="403"/>
      <c r="L274" s="403"/>
      <c r="M274" s="403"/>
      <c r="N274" s="403"/>
      <c r="O274" s="403"/>
      <c r="P274" s="403"/>
      <c r="Q274" s="403"/>
      <c r="R274" s="403"/>
      <c r="S274" s="403"/>
      <c r="T274" s="403"/>
      <c r="U274" s="403"/>
      <c r="V274" s="403"/>
      <c r="W274" s="403"/>
      <c r="X274" s="403"/>
      <c r="Y274" s="403"/>
      <c r="Z274" s="403"/>
      <c r="AA274" s="48"/>
      <c r="AB274" s="48"/>
      <c r="AC274" s="48"/>
    </row>
    <row r="275" spans="1:68" ht="16.5" customHeight="1" x14ac:dyDescent="0.25">
      <c r="A275" s="369" t="s">
        <v>419</v>
      </c>
      <c r="B275" s="367"/>
      <c r="C275" s="367"/>
      <c r="D275" s="367"/>
      <c r="E275" s="367"/>
      <c r="F275" s="367"/>
      <c r="G275" s="367"/>
      <c r="H275" s="367"/>
      <c r="I275" s="367"/>
      <c r="J275" s="367"/>
      <c r="K275" s="367"/>
      <c r="L275" s="367"/>
      <c r="M275" s="367"/>
      <c r="N275" s="367"/>
      <c r="O275" s="367"/>
      <c r="P275" s="367"/>
      <c r="Q275" s="367"/>
      <c r="R275" s="367"/>
      <c r="S275" s="367"/>
      <c r="T275" s="367"/>
      <c r="U275" s="367"/>
      <c r="V275" s="367"/>
      <c r="W275" s="367"/>
      <c r="X275" s="367"/>
      <c r="Y275" s="367"/>
      <c r="Z275" s="367"/>
      <c r="AA275" s="349"/>
      <c r="AB275" s="349"/>
      <c r="AC275" s="349"/>
    </row>
    <row r="276" spans="1:68" ht="14.25" customHeight="1" x14ac:dyDescent="0.25">
      <c r="A276" s="366" t="s">
        <v>420</v>
      </c>
      <c r="B276" s="367"/>
      <c r="C276" s="367"/>
      <c r="D276" s="367"/>
      <c r="E276" s="367"/>
      <c r="F276" s="367"/>
      <c r="G276" s="367"/>
      <c r="H276" s="367"/>
      <c r="I276" s="367"/>
      <c r="J276" s="367"/>
      <c r="K276" s="367"/>
      <c r="L276" s="367"/>
      <c r="M276" s="367"/>
      <c r="N276" s="367"/>
      <c r="O276" s="367"/>
      <c r="P276" s="367"/>
      <c r="Q276" s="367"/>
      <c r="R276" s="367"/>
      <c r="S276" s="367"/>
      <c r="T276" s="367"/>
      <c r="U276" s="367"/>
      <c r="V276" s="367"/>
      <c r="W276" s="367"/>
      <c r="X276" s="367"/>
      <c r="Y276" s="367"/>
      <c r="Z276" s="367"/>
      <c r="AA276" s="350"/>
      <c r="AB276" s="350"/>
      <c r="AC276" s="350"/>
    </row>
    <row r="277" spans="1:68" ht="27" customHeight="1" x14ac:dyDescent="0.25">
      <c r="A277" s="54" t="s">
        <v>421</v>
      </c>
      <c r="B277" s="54" t="s">
        <v>422</v>
      </c>
      <c r="C277" s="31">
        <v>4301133004</v>
      </c>
      <c r="D277" s="364">
        <v>4607111039774</v>
      </c>
      <c r="E277" s="365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536" t="s">
        <v>423</v>
      </c>
      <c r="Q277" s="362"/>
      <c r="R277" s="362"/>
      <c r="S277" s="362"/>
      <c r="T277" s="363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73"/>
      <c r="B278" s="367"/>
      <c r="C278" s="367"/>
      <c r="D278" s="367"/>
      <c r="E278" s="367"/>
      <c r="F278" s="367"/>
      <c r="G278" s="367"/>
      <c r="H278" s="367"/>
      <c r="I278" s="367"/>
      <c r="J278" s="367"/>
      <c r="K278" s="367"/>
      <c r="L278" s="367"/>
      <c r="M278" s="367"/>
      <c r="N278" s="367"/>
      <c r="O278" s="374"/>
      <c r="P278" s="368" t="s">
        <v>73</v>
      </c>
      <c r="Q278" s="359"/>
      <c r="R278" s="359"/>
      <c r="S278" s="359"/>
      <c r="T278" s="359"/>
      <c r="U278" s="359"/>
      <c r="V278" s="36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x14ac:dyDescent="0.2">
      <c r="A279" s="367"/>
      <c r="B279" s="367"/>
      <c r="C279" s="367"/>
      <c r="D279" s="367"/>
      <c r="E279" s="367"/>
      <c r="F279" s="367"/>
      <c r="G279" s="367"/>
      <c r="H279" s="367"/>
      <c r="I279" s="367"/>
      <c r="J279" s="367"/>
      <c r="K279" s="367"/>
      <c r="L279" s="367"/>
      <c r="M279" s="367"/>
      <c r="N279" s="367"/>
      <c r="O279" s="374"/>
      <c r="P279" s="368" t="s">
        <v>73</v>
      </c>
      <c r="Q279" s="359"/>
      <c r="R279" s="359"/>
      <c r="S279" s="359"/>
      <c r="T279" s="359"/>
      <c r="U279" s="359"/>
      <c r="V279" s="36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customHeight="1" x14ac:dyDescent="0.25">
      <c r="A280" s="366" t="s">
        <v>152</v>
      </c>
      <c r="B280" s="367"/>
      <c r="C280" s="367"/>
      <c r="D280" s="367"/>
      <c r="E280" s="367"/>
      <c r="F280" s="367"/>
      <c r="G280" s="367"/>
      <c r="H280" s="367"/>
      <c r="I280" s="367"/>
      <c r="J280" s="367"/>
      <c r="K280" s="367"/>
      <c r="L280" s="367"/>
      <c r="M280" s="367"/>
      <c r="N280" s="367"/>
      <c r="O280" s="367"/>
      <c r="P280" s="367"/>
      <c r="Q280" s="367"/>
      <c r="R280" s="367"/>
      <c r="S280" s="367"/>
      <c r="T280" s="367"/>
      <c r="U280" s="367"/>
      <c r="V280" s="367"/>
      <c r="W280" s="367"/>
      <c r="X280" s="367"/>
      <c r="Y280" s="367"/>
      <c r="Z280" s="367"/>
      <c r="AA280" s="350"/>
      <c r="AB280" s="350"/>
      <c r="AC280" s="350"/>
    </row>
    <row r="281" spans="1:68" ht="37.5" customHeight="1" x14ac:dyDescent="0.25">
      <c r="A281" s="54" t="s">
        <v>425</v>
      </c>
      <c r="B281" s="54" t="s">
        <v>426</v>
      </c>
      <c r="C281" s="31">
        <v>4301135400</v>
      </c>
      <c r="D281" s="364">
        <v>4607111039361</v>
      </c>
      <c r="E281" s="365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5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62"/>
      <c r="R281" s="362"/>
      <c r="S281" s="362"/>
      <c r="T281" s="363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73"/>
      <c r="B282" s="367"/>
      <c r="C282" s="367"/>
      <c r="D282" s="367"/>
      <c r="E282" s="367"/>
      <c r="F282" s="367"/>
      <c r="G282" s="367"/>
      <c r="H282" s="367"/>
      <c r="I282" s="367"/>
      <c r="J282" s="367"/>
      <c r="K282" s="367"/>
      <c r="L282" s="367"/>
      <c r="M282" s="367"/>
      <c r="N282" s="367"/>
      <c r="O282" s="374"/>
      <c r="P282" s="368" t="s">
        <v>73</v>
      </c>
      <c r="Q282" s="359"/>
      <c r="R282" s="359"/>
      <c r="S282" s="359"/>
      <c r="T282" s="359"/>
      <c r="U282" s="359"/>
      <c r="V282" s="36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x14ac:dyDescent="0.2">
      <c r="A283" s="367"/>
      <c r="B283" s="367"/>
      <c r="C283" s="367"/>
      <c r="D283" s="367"/>
      <c r="E283" s="367"/>
      <c r="F283" s="367"/>
      <c r="G283" s="367"/>
      <c r="H283" s="367"/>
      <c r="I283" s="367"/>
      <c r="J283" s="367"/>
      <c r="K283" s="367"/>
      <c r="L283" s="367"/>
      <c r="M283" s="367"/>
      <c r="N283" s="367"/>
      <c r="O283" s="374"/>
      <c r="P283" s="368" t="s">
        <v>73</v>
      </c>
      <c r="Q283" s="359"/>
      <c r="R283" s="359"/>
      <c r="S283" s="359"/>
      <c r="T283" s="359"/>
      <c r="U283" s="359"/>
      <c r="V283" s="36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customHeight="1" x14ac:dyDescent="0.2">
      <c r="A284" s="402" t="s">
        <v>288</v>
      </c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8"/>
      <c r="AB284" s="48"/>
      <c r="AC284" s="48"/>
    </row>
    <row r="285" spans="1:68" ht="16.5" customHeight="1" x14ac:dyDescent="0.25">
      <c r="A285" s="369" t="s">
        <v>288</v>
      </c>
      <c r="B285" s="367"/>
      <c r="C285" s="367"/>
      <c r="D285" s="367"/>
      <c r="E285" s="367"/>
      <c r="F285" s="367"/>
      <c r="G285" s="367"/>
      <c r="H285" s="367"/>
      <c r="I285" s="367"/>
      <c r="J285" s="367"/>
      <c r="K285" s="367"/>
      <c r="L285" s="367"/>
      <c r="M285" s="367"/>
      <c r="N285" s="367"/>
      <c r="O285" s="367"/>
      <c r="P285" s="367"/>
      <c r="Q285" s="367"/>
      <c r="R285" s="367"/>
      <c r="S285" s="367"/>
      <c r="T285" s="367"/>
      <c r="U285" s="367"/>
      <c r="V285" s="367"/>
      <c r="W285" s="367"/>
      <c r="X285" s="367"/>
      <c r="Y285" s="367"/>
      <c r="Z285" s="367"/>
      <c r="AA285" s="349"/>
      <c r="AB285" s="349"/>
      <c r="AC285" s="349"/>
    </row>
    <row r="286" spans="1:68" ht="14.25" customHeight="1" x14ac:dyDescent="0.25">
      <c r="A286" s="366" t="s">
        <v>64</v>
      </c>
      <c r="B286" s="367"/>
      <c r="C286" s="367"/>
      <c r="D286" s="367"/>
      <c r="E286" s="367"/>
      <c r="F286" s="367"/>
      <c r="G286" s="367"/>
      <c r="H286" s="367"/>
      <c r="I286" s="367"/>
      <c r="J286" s="367"/>
      <c r="K286" s="367"/>
      <c r="L286" s="367"/>
      <c r="M286" s="367"/>
      <c r="N286" s="367"/>
      <c r="O286" s="367"/>
      <c r="P286" s="367"/>
      <c r="Q286" s="367"/>
      <c r="R286" s="367"/>
      <c r="S286" s="367"/>
      <c r="T286" s="367"/>
      <c r="U286" s="367"/>
      <c r="V286" s="367"/>
      <c r="W286" s="367"/>
      <c r="X286" s="367"/>
      <c r="Y286" s="367"/>
      <c r="Z286" s="367"/>
      <c r="AA286" s="350"/>
      <c r="AB286" s="350"/>
      <c r="AC286" s="350"/>
    </row>
    <row r="287" spans="1:68" ht="27" customHeight="1" x14ac:dyDescent="0.25">
      <c r="A287" s="54" t="s">
        <v>427</v>
      </c>
      <c r="B287" s="54" t="s">
        <v>428</v>
      </c>
      <c r="C287" s="31">
        <v>4301071014</v>
      </c>
      <c r="D287" s="364">
        <v>4640242181264</v>
      </c>
      <c r="E287" s="365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530" t="s">
        <v>429</v>
      </c>
      <c r="Q287" s="362"/>
      <c r="R287" s="362"/>
      <c r="S287" s="362"/>
      <c r="T287" s="363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64">
        <v>4640242181325</v>
      </c>
      <c r="E288" s="365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397" t="s">
        <v>433</v>
      </c>
      <c r="Q288" s="362"/>
      <c r="R288" s="362"/>
      <c r="S288" s="362"/>
      <c r="T288" s="363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customHeight="1" x14ac:dyDescent="0.25">
      <c r="A289" s="54" t="s">
        <v>434</v>
      </c>
      <c r="B289" s="54" t="s">
        <v>435</v>
      </c>
      <c r="C289" s="31">
        <v>4301070993</v>
      </c>
      <c r="D289" s="364">
        <v>4640242180670</v>
      </c>
      <c r="E289" s="365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516" t="s">
        <v>436</v>
      </c>
      <c r="Q289" s="362"/>
      <c r="R289" s="362"/>
      <c r="S289" s="362"/>
      <c r="T289" s="363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73"/>
      <c r="B290" s="367"/>
      <c r="C290" s="367"/>
      <c r="D290" s="367"/>
      <c r="E290" s="367"/>
      <c r="F290" s="367"/>
      <c r="G290" s="367"/>
      <c r="H290" s="367"/>
      <c r="I290" s="367"/>
      <c r="J290" s="367"/>
      <c r="K290" s="367"/>
      <c r="L290" s="367"/>
      <c r="M290" s="367"/>
      <c r="N290" s="367"/>
      <c r="O290" s="374"/>
      <c r="P290" s="368" t="s">
        <v>73</v>
      </c>
      <c r="Q290" s="359"/>
      <c r="R290" s="359"/>
      <c r="S290" s="359"/>
      <c r="T290" s="359"/>
      <c r="U290" s="359"/>
      <c r="V290" s="360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x14ac:dyDescent="0.2">
      <c r="A291" s="367"/>
      <c r="B291" s="367"/>
      <c r="C291" s="367"/>
      <c r="D291" s="367"/>
      <c r="E291" s="367"/>
      <c r="F291" s="367"/>
      <c r="G291" s="367"/>
      <c r="H291" s="367"/>
      <c r="I291" s="367"/>
      <c r="J291" s="367"/>
      <c r="K291" s="367"/>
      <c r="L291" s="367"/>
      <c r="M291" s="367"/>
      <c r="N291" s="367"/>
      <c r="O291" s="374"/>
      <c r="P291" s="368" t="s">
        <v>73</v>
      </c>
      <c r="Q291" s="359"/>
      <c r="R291" s="359"/>
      <c r="S291" s="359"/>
      <c r="T291" s="359"/>
      <c r="U291" s="359"/>
      <c r="V291" s="360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customHeight="1" x14ac:dyDescent="0.25">
      <c r="A292" s="366" t="s">
        <v>178</v>
      </c>
      <c r="B292" s="367"/>
      <c r="C292" s="367"/>
      <c r="D292" s="367"/>
      <c r="E292" s="367"/>
      <c r="F292" s="367"/>
      <c r="G292" s="367"/>
      <c r="H292" s="367"/>
      <c r="I292" s="367"/>
      <c r="J292" s="367"/>
      <c r="K292" s="367"/>
      <c r="L292" s="367"/>
      <c r="M292" s="367"/>
      <c r="N292" s="367"/>
      <c r="O292" s="367"/>
      <c r="P292" s="367"/>
      <c r="Q292" s="367"/>
      <c r="R292" s="367"/>
      <c r="S292" s="367"/>
      <c r="T292" s="367"/>
      <c r="U292" s="367"/>
      <c r="V292" s="367"/>
      <c r="W292" s="367"/>
      <c r="X292" s="367"/>
      <c r="Y292" s="367"/>
      <c r="Z292" s="367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64">
        <v>4640242180427</v>
      </c>
      <c r="E293" s="365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400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62"/>
      <c r="R293" s="362"/>
      <c r="S293" s="362"/>
      <c r="T293" s="363"/>
      <c r="U293" s="34"/>
      <c r="V293" s="34"/>
      <c r="W293" s="35" t="s">
        <v>70</v>
      </c>
      <c r="X293" s="354">
        <v>0</v>
      </c>
      <c r="Y293" s="355">
        <f>IFERROR(IF(X293="","",X293),"")</f>
        <v>0</v>
      </c>
      <c r="Z293" s="36">
        <f>IFERROR(IF(X293="","",X293*0.00502),"")</f>
        <v>0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x14ac:dyDescent="0.2">
      <c r="A294" s="373"/>
      <c r="B294" s="367"/>
      <c r="C294" s="367"/>
      <c r="D294" s="367"/>
      <c r="E294" s="367"/>
      <c r="F294" s="367"/>
      <c r="G294" s="367"/>
      <c r="H294" s="367"/>
      <c r="I294" s="367"/>
      <c r="J294" s="367"/>
      <c r="K294" s="367"/>
      <c r="L294" s="367"/>
      <c r="M294" s="367"/>
      <c r="N294" s="367"/>
      <c r="O294" s="374"/>
      <c r="P294" s="368" t="s">
        <v>73</v>
      </c>
      <c r="Q294" s="359"/>
      <c r="R294" s="359"/>
      <c r="S294" s="359"/>
      <c r="T294" s="359"/>
      <c r="U294" s="359"/>
      <c r="V294" s="360"/>
      <c r="W294" s="37" t="s">
        <v>70</v>
      </c>
      <c r="X294" s="356">
        <f>IFERROR(SUM(X293:X293),"0")</f>
        <v>0</v>
      </c>
      <c r="Y294" s="356">
        <f>IFERROR(SUM(Y293:Y293),"0")</f>
        <v>0</v>
      </c>
      <c r="Z294" s="356">
        <f>IFERROR(IF(Z293="",0,Z293),"0")</f>
        <v>0</v>
      </c>
      <c r="AA294" s="357"/>
      <c r="AB294" s="357"/>
      <c r="AC294" s="357"/>
    </row>
    <row r="295" spans="1:68" x14ac:dyDescent="0.2">
      <c r="A295" s="367"/>
      <c r="B295" s="367"/>
      <c r="C295" s="367"/>
      <c r="D295" s="367"/>
      <c r="E295" s="367"/>
      <c r="F295" s="367"/>
      <c r="G295" s="367"/>
      <c r="H295" s="367"/>
      <c r="I295" s="367"/>
      <c r="J295" s="367"/>
      <c r="K295" s="367"/>
      <c r="L295" s="367"/>
      <c r="M295" s="367"/>
      <c r="N295" s="367"/>
      <c r="O295" s="374"/>
      <c r="P295" s="368" t="s">
        <v>73</v>
      </c>
      <c r="Q295" s="359"/>
      <c r="R295" s="359"/>
      <c r="S295" s="359"/>
      <c r="T295" s="359"/>
      <c r="U295" s="359"/>
      <c r="V295" s="360"/>
      <c r="W295" s="37" t="s">
        <v>74</v>
      </c>
      <c r="X295" s="356">
        <f>IFERROR(SUMPRODUCT(X293:X293*H293:H293),"0")</f>
        <v>0</v>
      </c>
      <c r="Y295" s="356">
        <f>IFERROR(SUMPRODUCT(Y293:Y293*H293:H293),"0")</f>
        <v>0</v>
      </c>
      <c r="Z295" s="37"/>
      <c r="AA295" s="357"/>
      <c r="AB295" s="357"/>
      <c r="AC295" s="357"/>
    </row>
    <row r="296" spans="1:68" ht="14.25" customHeight="1" x14ac:dyDescent="0.25">
      <c r="A296" s="366" t="s">
        <v>77</v>
      </c>
      <c r="B296" s="367"/>
      <c r="C296" s="367"/>
      <c r="D296" s="367"/>
      <c r="E296" s="367"/>
      <c r="F296" s="367"/>
      <c r="G296" s="367"/>
      <c r="H296" s="367"/>
      <c r="I296" s="367"/>
      <c r="J296" s="367"/>
      <c r="K296" s="367"/>
      <c r="L296" s="367"/>
      <c r="M296" s="367"/>
      <c r="N296" s="367"/>
      <c r="O296" s="367"/>
      <c r="P296" s="367"/>
      <c r="Q296" s="367"/>
      <c r="R296" s="367"/>
      <c r="S296" s="367"/>
      <c r="T296" s="367"/>
      <c r="U296" s="367"/>
      <c r="V296" s="367"/>
      <c r="W296" s="367"/>
      <c r="X296" s="367"/>
      <c r="Y296" s="367"/>
      <c r="Z296" s="367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64">
        <v>4640242180397</v>
      </c>
      <c r="E297" s="365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3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62"/>
      <c r="R297" s="362"/>
      <c r="S297" s="362"/>
      <c r="T297" s="363"/>
      <c r="U297" s="34"/>
      <c r="V297" s="34"/>
      <c r="W297" s="35" t="s">
        <v>70</v>
      </c>
      <c r="X297" s="354">
        <v>0</v>
      </c>
      <c r="Y297" s="355">
        <f>IFERROR(IF(X297="","",X297),"")</f>
        <v>0</v>
      </c>
      <c r="Z297" s="36">
        <f>IFERROR(IF(X297="","",X297*0.0155),"")</f>
        <v>0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0</v>
      </c>
      <c r="BN297" s="67">
        <f>IFERROR(Y297*I297,"0")</f>
        <v>0</v>
      </c>
      <c r="BO297" s="67">
        <f>IFERROR(X297/J297,"0")</f>
        <v>0</v>
      </c>
      <c r="BP297" s="67">
        <f>IFERROR(Y297/J297,"0")</f>
        <v>0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64">
        <v>4640242181219</v>
      </c>
      <c r="E298" s="365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420" t="s">
        <v>446</v>
      </c>
      <c r="Q298" s="362"/>
      <c r="R298" s="362"/>
      <c r="S298" s="362"/>
      <c r="T298" s="363"/>
      <c r="U298" s="34"/>
      <c r="V298" s="34"/>
      <c r="W298" s="35" t="s">
        <v>70</v>
      </c>
      <c r="X298" s="354">
        <v>36</v>
      </c>
      <c r="Y298" s="355">
        <f>IFERROR(IF(X298="","",X298),"")</f>
        <v>36</v>
      </c>
      <c r="Z298" s="36">
        <f>IFERROR(IF(X298="","",X298*0.00502),"")</f>
        <v>0.18071999999999999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102.42</v>
      </c>
      <c r="BN298" s="67">
        <f>IFERROR(Y298*I298,"0")</f>
        <v>102.42</v>
      </c>
      <c r="BO298" s="67">
        <f>IFERROR(X298/J298,"0")</f>
        <v>0.15384615384615385</v>
      </c>
      <c r="BP298" s="67">
        <f>IFERROR(Y298/J298,"0")</f>
        <v>0.15384615384615385</v>
      </c>
    </row>
    <row r="299" spans="1:68" x14ac:dyDescent="0.2">
      <c r="A299" s="373"/>
      <c r="B299" s="367"/>
      <c r="C299" s="367"/>
      <c r="D299" s="367"/>
      <c r="E299" s="367"/>
      <c r="F299" s="367"/>
      <c r="G299" s="367"/>
      <c r="H299" s="367"/>
      <c r="I299" s="367"/>
      <c r="J299" s="367"/>
      <c r="K299" s="367"/>
      <c r="L299" s="367"/>
      <c r="M299" s="367"/>
      <c r="N299" s="367"/>
      <c r="O299" s="374"/>
      <c r="P299" s="368" t="s">
        <v>73</v>
      </c>
      <c r="Q299" s="359"/>
      <c r="R299" s="359"/>
      <c r="S299" s="359"/>
      <c r="T299" s="359"/>
      <c r="U299" s="359"/>
      <c r="V299" s="360"/>
      <c r="W299" s="37" t="s">
        <v>70</v>
      </c>
      <c r="X299" s="356">
        <f>IFERROR(SUM(X297:X298),"0")</f>
        <v>36</v>
      </c>
      <c r="Y299" s="356">
        <f>IFERROR(SUM(Y297:Y298),"0")</f>
        <v>36</v>
      </c>
      <c r="Z299" s="356">
        <f>IFERROR(IF(Z297="",0,Z297),"0")+IFERROR(IF(Z298="",0,Z298),"0")</f>
        <v>0.18071999999999999</v>
      </c>
      <c r="AA299" s="357"/>
      <c r="AB299" s="357"/>
      <c r="AC299" s="357"/>
    </row>
    <row r="300" spans="1:68" x14ac:dyDescent="0.2">
      <c r="A300" s="367"/>
      <c r="B300" s="367"/>
      <c r="C300" s="367"/>
      <c r="D300" s="367"/>
      <c r="E300" s="367"/>
      <c r="F300" s="367"/>
      <c r="G300" s="367"/>
      <c r="H300" s="367"/>
      <c r="I300" s="367"/>
      <c r="J300" s="367"/>
      <c r="K300" s="367"/>
      <c r="L300" s="367"/>
      <c r="M300" s="367"/>
      <c r="N300" s="367"/>
      <c r="O300" s="374"/>
      <c r="P300" s="368" t="s">
        <v>73</v>
      </c>
      <c r="Q300" s="359"/>
      <c r="R300" s="359"/>
      <c r="S300" s="359"/>
      <c r="T300" s="359"/>
      <c r="U300" s="359"/>
      <c r="V300" s="360"/>
      <c r="W300" s="37" t="s">
        <v>74</v>
      </c>
      <c r="X300" s="356">
        <f>IFERROR(SUMPRODUCT(X297:X298*H297:H298),"0")</f>
        <v>97.2</v>
      </c>
      <c r="Y300" s="356">
        <f>IFERROR(SUMPRODUCT(Y297:Y298*H297:H298),"0")</f>
        <v>97.2</v>
      </c>
      <c r="Z300" s="37"/>
      <c r="AA300" s="357"/>
      <c r="AB300" s="357"/>
      <c r="AC300" s="357"/>
    </row>
    <row r="301" spans="1:68" ht="14.25" customHeight="1" x14ac:dyDescent="0.25">
      <c r="A301" s="366" t="s">
        <v>148</v>
      </c>
      <c r="B301" s="367"/>
      <c r="C301" s="367"/>
      <c r="D301" s="367"/>
      <c r="E301" s="367"/>
      <c r="F301" s="367"/>
      <c r="G301" s="367"/>
      <c r="H301" s="367"/>
      <c r="I301" s="367"/>
      <c r="J301" s="367"/>
      <c r="K301" s="367"/>
      <c r="L301" s="367"/>
      <c r="M301" s="367"/>
      <c r="N301" s="367"/>
      <c r="O301" s="367"/>
      <c r="P301" s="367"/>
      <c r="Q301" s="367"/>
      <c r="R301" s="367"/>
      <c r="S301" s="367"/>
      <c r="T301" s="367"/>
      <c r="U301" s="367"/>
      <c r="V301" s="367"/>
      <c r="W301" s="367"/>
      <c r="X301" s="367"/>
      <c r="Y301" s="367"/>
      <c r="Z301" s="367"/>
      <c r="AA301" s="350"/>
      <c r="AB301" s="350"/>
      <c r="AC301" s="350"/>
    </row>
    <row r="302" spans="1:68" ht="27" customHeight="1" x14ac:dyDescent="0.25">
      <c r="A302" s="54" t="s">
        <v>447</v>
      </c>
      <c r="B302" s="54" t="s">
        <v>448</v>
      </c>
      <c r="C302" s="31">
        <v>4301136028</v>
      </c>
      <c r="D302" s="364">
        <v>4640242180304</v>
      </c>
      <c r="E302" s="365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583" t="s">
        <v>449</v>
      </c>
      <c r="Q302" s="362"/>
      <c r="R302" s="362"/>
      <c r="S302" s="362"/>
      <c r="T302" s="363"/>
      <c r="U302" s="34"/>
      <c r="V302" s="34"/>
      <c r="W302" s="35" t="s">
        <v>70</v>
      </c>
      <c r="X302" s="354">
        <v>0</v>
      </c>
      <c r="Y302" s="355">
        <f>IFERROR(IF(X302="","",X302),"")</f>
        <v>0</v>
      </c>
      <c r="Z302" s="36">
        <f>IFERROR(IF(X302="","",X302*0.00936),"")</f>
        <v>0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0</v>
      </c>
      <c r="BN302" s="67">
        <f>IFERROR(Y302*I302,"0")</f>
        <v>0</v>
      </c>
      <c r="BO302" s="67">
        <f>IFERROR(X302/J302,"0")</f>
        <v>0</v>
      </c>
      <c r="BP302" s="67">
        <f>IFERROR(Y302/J302,"0")</f>
        <v>0</v>
      </c>
    </row>
    <row r="303" spans="1:68" ht="27" customHeight="1" x14ac:dyDescent="0.25">
      <c r="A303" s="54" t="s">
        <v>451</v>
      </c>
      <c r="B303" s="54" t="s">
        <v>452</v>
      </c>
      <c r="C303" s="31">
        <v>4301136026</v>
      </c>
      <c r="D303" s="364">
        <v>4640242180236</v>
      </c>
      <c r="E303" s="365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52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62"/>
      <c r="R303" s="362"/>
      <c r="S303" s="362"/>
      <c r="T303" s="363"/>
      <c r="U303" s="34"/>
      <c r="V303" s="34"/>
      <c r="W303" s="35" t="s">
        <v>70</v>
      </c>
      <c r="X303" s="354">
        <v>0</v>
      </c>
      <c r="Y303" s="355">
        <f>IFERROR(IF(X303="","",X303),"")</f>
        <v>0</v>
      </c>
      <c r="Z303" s="36">
        <f>IFERROR(IF(X303="","",X303*0.0155),"")</f>
        <v>0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0</v>
      </c>
      <c r="BN303" s="67">
        <f>IFERROR(Y303*I303,"0")</f>
        <v>0</v>
      </c>
      <c r="BO303" s="67">
        <f>IFERROR(X303/J303,"0")</f>
        <v>0</v>
      </c>
      <c r="BP303" s="67">
        <f>IFERROR(Y303/J303,"0")</f>
        <v>0</v>
      </c>
    </row>
    <row r="304" spans="1:68" ht="27" customHeight="1" x14ac:dyDescent="0.25">
      <c r="A304" s="54" t="s">
        <v>453</v>
      </c>
      <c r="B304" s="54" t="s">
        <v>454</v>
      </c>
      <c r="C304" s="31">
        <v>4301136029</v>
      </c>
      <c r="D304" s="364">
        <v>4640242180410</v>
      </c>
      <c r="E304" s="365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62"/>
      <c r="R304" s="362"/>
      <c r="S304" s="362"/>
      <c r="T304" s="363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x14ac:dyDescent="0.2">
      <c r="A305" s="373"/>
      <c r="B305" s="367"/>
      <c r="C305" s="367"/>
      <c r="D305" s="367"/>
      <c r="E305" s="367"/>
      <c r="F305" s="367"/>
      <c r="G305" s="367"/>
      <c r="H305" s="367"/>
      <c r="I305" s="367"/>
      <c r="J305" s="367"/>
      <c r="K305" s="367"/>
      <c r="L305" s="367"/>
      <c r="M305" s="367"/>
      <c r="N305" s="367"/>
      <c r="O305" s="374"/>
      <c r="P305" s="368" t="s">
        <v>73</v>
      </c>
      <c r="Q305" s="359"/>
      <c r="R305" s="359"/>
      <c r="S305" s="359"/>
      <c r="T305" s="359"/>
      <c r="U305" s="359"/>
      <c r="V305" s="360"/>
      <c r="W305" s="37" t="s">
        <v>70</v>
      </c>
      <c r="X305" s="356">
        <f>IFERROR(SUM(X302:X304),"0")</f>
        <v>0</v>
      </c>
      <c r="Y305" s="356">
        <f>IFERROR(SUM(Y302:Y304),"0")</f>
        <v>0</v>
      </c>
      <c r="Z305" s="356">
        <f>IFERROR(IF(Z302="",0,Z302),"0")+IFERROR(IF(Z303="",0,Z303),"0")+IFERROR(IF(Z304="",0,Z304),"0")</f>
        <v>0</v>
      </c>
      <c r="AA305" s="357"/>
      <c r="AB305" s="357"/>
      <c r="AC305" s="357"/>
    </row>
    <row r="306" spans="1:68" x14ac:dyDescent="0.2">
      <c r="A306" s="367"/>
      <c r="B306" s="367"/>
      <c r="C306" s="367"/>
      <c r="D306" s="367"/>
      <c r="E306" s="367"/>
      <c r="F306" s="367"/>
      <c r="G306" s="367"/>
      <c r="H306" s="367"/>
      <c r="I306" s="367"/>
      <c r="J306" s="367"/>
      <c r="K306" s="367"/>
      <c r="L306" s="367"/>
      <c r="M306" s="367"/>
      <c r="N306" s="367"/>
      <c r="O306" s="374"/>
      <c r="P306" s="368" t="s">
        <v>73</v>
      </c>
      <c r="Q306" s="359"/>
      <c r="R306" s="359"/>
      <c r="S306" s="359"/>
      <c r="T306" s="359"/>
      <c r="U306" s="359"/>
      <c r="V306" s="360"/>
      <c r="W306" s="37" t="s">
        <v>74</v>
      </c>
      <c r="X306" s="356">
        <f>IFERROR(SUMPRODUCT(X302:X304*H302:H304),"0")</f>
        <v>0</v>
      </c>
      <c r="Y306" s="356">
        <f>IFERROR(SUMPRODUCT(Y302:Y304*H302:H304),"0")</f>
        <v>0</v>
      </c>
      <c r="Z306" s="37"/>
      <c r="AA306" s="357"/>
      <c r="AB306" s="357"/>
      <c r="AC306" s="357"/>
    </row>
    <row r="307" spans="1:68" ht="14.25" customHeight="1" x14ac:dyDescent="0.25">
      <c r="A307" s="366" t="s">
        <v>152</v>
      </c>
      <c r="B307" s="367"/>
      <c r="C307" s="367"/>
      <c r="D307" s="367"/>
      <c r="E307" s="367"/>
      <c r="F307" s="367"/>
      <c r="G307" s="367"/>
      <c r="H307" s="367"/>
      <c r="I307" s="367"/>
      <c r="J307" s="367"/>
      <c r="K307" s="367"/>
      <c r="L307" s="367"/>
      <c r="M307" s="367"/>
      <c r="N307" s="367"/>
      <c r="O307" s="367"/>
      <c r="P307" s="367"/>
      <c r="Q307" s="367"/>
      <c r="R307" s="367"/>
      <c r="S307" s="367"/>
      <c r="T307" s="367"/>
      <c r="U307" s="367"/>
      <c r="V307" s="367"/>
      <c r="W307" s="367"/>
      <c r="X307" s="367"/>
      <c r="Y307" s="367"/>
      <c r="Z307" s="367"/>
      <c r="AA307" s="350"/>
      <c r="AB307" s="350"/>
      <c r="AC307" s="350"/>
    </row>
    <row r="308" spans="1:68" ht="37.5" customHeight="1" x14ac:dyDescent="0.25">
      <c r="A308" s="54" t="s">
        <v>455</v>
      </c>
      <c r="B308" s="54" t="s">
        <v>456</v>
      </c>
      <c r="C308" s="31">
        <v>4301135504</v>
      </c>
      <c r="D308" s="364">
        <v>4640242181554</v>
      </c>
      <c r="E308" s="365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534" t="s">
        <v>457</v>
      </c>
      <c r="Q308" s="362"/>
      <c r="R308" s="362"/>
      <c r="S308" s="362"/>
      <c r="T308" s="363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64">
        <v>4640242181561</v>
      </c>
      <c r="E309" s="365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3" t="s">
        <v>461</v>
      </c>
      <c r="Q309" s="362"/>
      <c r="R309" s="362"/>
      <c r="S309" s="362"/>
      <c r="T309" s="363"/>
      <c r="U309" s="34"/>
      <c r="V309" s="34"/>
      <c r="W309" s="35" t="s">
        <v>70</v>
      </c>
      <c r="X309" s="354">
        <v>0</v>
      </c>
      <c r="Y309" s="355">
        <f t="shared" si="30"/>
        <v>0</v>
      </c>
      <c r="Z309" s="36">
        <f>IFERROR(IF(X309="","",X309*0.00936),"")</f>
        <v>0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0</v>
      </c>
      <c r="BN309" s="67">
        <f t="shared" si="32"/>
        <v>0</v>
      </c>
      <c r="BO309" s="67">
        <f t="shared" si="33"/>
        <v>0</v>
      </c>
      <c r="BP309" s="67">
        <f t="shared" si="34"/>
        <v>0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64">
        <v>4640242181424</v>
      </c>
      <c r="E310" s="365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50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62"/>
      <c r="R310" s="362"/>
      <c r="S310" s="362"/>
      <c r="T310" s="363"/>
      <c r="U310" s="34"/>
      <c r="V310" s="34"/>
      <c r="W310" s="35" t="s">
        <v>70</v>
      </c>
      <c r="X310" s="354">
        <v>0</v>
      </c>
      <c r="Y310" s="355">
        <f t="shared" si="30"/>
        <v>0</v>
      </c>
      <c r="Z310" s="36">
        <f>IFERROR(IF(X310="","",X310*0.0155),"")</f>
        <v>0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0</v>
      </c>
      <c r="BN310" s="67">
        <f t="shared" si="32"/>
        <v>0</v>
      </c>
      <c r="BO310" s="67">
        <f t="shared" si="33"/>
        <v>0</v>
      </c>
      <c r="BP310" s="67">
        <f t="shared" si="34"/>
        <v>0</v>
      </c>
    </row>
    <row r="311" spans="1:68" ht="27" customHeight="1" x14ac:dyDescent="0.25">
      <c r="A311" s="54" t="s">
        <v>465</v>
      </c>
      <c r="B311" s="54" t="s">
        <v>466</v>
      </c>
      <c r="C311" s="31">
        <v>4301135320</v>
      </c>
      <c r="D311" s="364">
        <v>4640242181592</v>
      </c>
      <c r="E311" s="365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89" t="s">
        <v>467</v>
      </c>
      <c r="Q311" s="362"/>
      <c r="R311" s="362"/>
      <c r="S311" s="362"/>
      <c r="T311" s="363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customHeight="1" x14ac:dyDescent="0.25">
      <c r="A312" s="54" t="s">
        <v>469</v>
      </c>
      <c r="B312" s="54" t="s">
        <v>470</v>
      </c>
      <c r="C312" s="31">
        <v>4301135552</v>
      </c>
      <c r="D312" s="364">
        <v>4640242181431</v>
      </c>
      <c r="E312" s="365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523" t="s">
        <v>471</v>
      </c>
      <c r="Q312" s="362"/>
      <c r="R312" s="362"/>
      <c r="S312" s="362"/>
      <c r="T312" s="363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customHeight="1" x14ac:dyDescent="0.25">
      <c r="A313" s="54" t="s">
        <v>473</v>
      </c>
      <c r="B313" s="54" t="s">
        <v>474</v>
      </c>
      <c r="C313" s="31">
        <v>4301135405</v>
      </c>
      <c r="D313" s="364">
        <v>4640242181523</v>
      </c>
      <c r="E313" s="365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39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62"/>
      <c r="R313" s="362"/>
      <c r="S313" s="362"/>
      <c r="T313" s="363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customHeight="1" x14ac:dyDescent="0.25">
      <c r="A314" s="54" t="s">
        <v>475</v>
      </c>
      <c r="B314" s="54" t="s">
        <v>476</v>
      </c>
      <c r="C314" s="31">
        <v>4301135404</v>
      </c>
      <c r="D314" s="364">
        <v>4640242181516</v>
      </c>
      <c r="E314" s="365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462" t="s">
        <v>477</v>
      </c>
      <c r="Q314" s="362"/>
      <c r="R314" s="362"/>
      <c r="S314" s="362"/>
      <c r="T314" s="363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customHeight="1" x14ac:dyDescent="0.25">
      <c r="A315" s="54" t="s">
        <v>478</v>
      </c>
      <c r="B315" s="54" t="s">
        <v>479</v>
      </c>
      <c r="C315" s="31">
        <v>4301135375</v>
      </c>
      <c r="D315" s="364">
        <v>4640242181486</v>
      </c>
      <c r="E315" s="365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58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62"/>
      <c r="R315" s="362"/>
      <c r="S315" s="362"/>
      <c r="T315" s="363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customHeight="1" x14ac:dyDescent="0.25">
      <c r="A316" s="54" t="s">
        <v>480</v>
      </c>
      <c r="B316" s="54" t="s">
        <v>481</v>
      </c>
      <c r="C316" s="31">
        <v>4301135402</v>
      </c>
      <c r="D316" s="364">
        <v>4640242181493</v>
      </c>
      <c r="E316" s="365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586" t="s">
        <v>482</v>
      </c>
      <c r="Q316" s="362"/>
      <c r="R316" s="362"/>
      <c r="S316" s="362"/>
      <c r="T316" s="363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customHeight="1" x14ac:dyDescent="0.25">
      <c r="A317" s="54" t="s">
        <v>483</v>
      </c>
      <c r="B317" s="54" t="s">
        <v>484</v>
      </c>
      <c r="C317" s="31">
        <v>4301135403</v>
      </c>
      <c r="D317" s="364">
        <v>4640242181509</v>
      </c>
      <c r="E317" s="365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41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62"/>
      <c r="R317" s="362"/>
      <c r="S317" s="362"/>
      <c r="T317" s="363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64">
        <v>4640242181240</v>
      </c>
      <c r="E318" s="365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452" t="s">
        <v>487</v>
      </c>
      <c r="Q318" s="362"/>
      <c r="R318" s="362"/>
      <c r="S318" s="362"/>
      <c r="T318" s="363"/>
      <c r="U318" s="34"/>
      <c r="V318" s="34"/>
      <c r="W318" s="35" t="s">
        <v>70</v>
      </c>
      <c r="X318" s="354">
        <v>28</v>
      </c>
      <c r="Y318" s="355">
        <f t="shared" si="30"/>
        <v>28</v>
      </c>
      <c r="Z318" s="36">
        <f t="shared" si="35"/>
        <v>0.26207999999999998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80.64</v>
      </c>
      <c r="BN318" s="67">
        <f t="shared" si="32"/>
        <v>80.64</v>
      </c>
      <c r="BO318" s="67">
        <f t="shared" si="33"/>
        <v>0.22222222222222221</v>
      </c>
      <c r="BP318" s="67">
        <f t="shared" si="34"/>
        <v>0.22222222222222221</v>
      </c>
    </row>
    <row r="319" spans="1:68" ht="27" customHeight="1" x14ac:dyDescent="0.25">
      <c r="A319" s="54" t="s">
        <v>488</v>
      </c>
      <c r="B319" s="54" t="s">
        <v>489</v>
      </c>
      <c r="C319" s="31">
        <v>4301135310</v>
      </c>
      <c r="D319" s="364">
        <v>4640242181318</v>
      </c>
      <c r="E319" s="365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387" t="s">
        <v>490</v>
      </c>
      <c r="Q319" s="362"/>
      <c r="R319" s="362"/>
      <c r="S319" s="362"/>
      <c r="T319" s="363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4301135306</v>
      </c>
      <c r="D320" s="364">
        <v>4640242181387</v>
      </c>
      <c r="E320" s="365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461" t="s">
        <v>493</v>
      </c>
      <c r="Q320" s="362"/>
      <c r="R320" s="362"/>
      <c r="S320" s="362"/>
      <c r="T320" s="363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customHeight="1" x14ac:dyDescent="0.25">
      <c r="A321" s="54" t="s">
        <v>494</v>
      </c>
      <c r="B321" s="54" t="s">
        <v>495</v>
      </c>
      <c r="C321" s="31">
        <v>4301135305</v>
      </c>
      <c r="D321" s="364">
        <v>4640242181394</v>
      </c>
      <c r="E321" s="365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430" t="s">
        <v>496</v>
      </c>
      <c r="Q321" s="362"/>
      <c r="R321" s="362"/>
      <c r="S321" s="362"/>
      <c r="T321" s="363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customHeight="1" x14ac:dyDescent="0.25">
      <c r="A322" s="54" t="s">
        <v>497</v>
      </c>
      <c r="B322" s="54" t="s">
        <v>498</v>
      </c>
      <c r="C322" s="31">
        <v>4301135309</v>
      </c>
      <c r="D322" s="364">
        <v>4640242181332</v>
      </c>
      <c r="E322" s="365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80" t="s">
        <v>499</v>
      </c>
      <c r="Q322" s="362"/>
      <c r="R322" s="362"/>
      <c r="S322" s="362"/>
      <c r="T322" s="363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customHeight="1" x14ac:dyDescent="0.25">
      <c r="A323" s="54" t="s">
        <v>500</v>
      </c>
      <c r="B323" s="54" t="s">
        <v>501</v>
      </c>
      <c r="C323" s="31">
        <v>4301135308</v>
      </c>
      <c r="D323" s="364">
        <v>4640242181349</v>
      </c>
      <c r="E323" s="365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433" t="s">
        <v>502</v>
      </c>
      <c r="Q323" s="362"/>
      <c r="R323" s="362"/>
      <c r="S323" s="362"/>
      <c r="T323" s="363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customHeight="1" x14ac:dyDescent="0.25">
      <c r="A324" s="54" t="s">
        <v>503</v>
      </c>
      <c r="B324" s="54" t="s">
        <v>504</v>
      </c>
      <c r="C324" s="31">
        <v>4301135307</v>
      </c>
      <c r="D324" s="364">
        <v>4640242181370</v>
      </c>
      <c r="E324" s="365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5" t="s">
        <v>505</v>
      </c>
      <c r="Q324" s="362"/>
      <c r="R324" s="362"/>
      <c r="S324" s="362"/>
      <c r="T324" s="363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customHeight="1" x14ac:dyDescent="0.25">
      <c r="A325" s="54" t="s">
        <v>507</v>
      </c>
      <c r="B325" s="54" t="s">
        <v>508</v>
      </c>
      <c r="C325" s="31">
        <v>4301135318</v>
      </c>
      <c r="D325" s="364">
        <v>4607111037480</v>
      </c>
      <c r="E325" s="365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76" t="s">
        <v>509</v>
      </c>
      <c r="Q325" s="362"/>
      <c r="R325" s="362"/>
      <c r="S325" s="362"/>
      <c r="T325" s="363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customHeight="1" x14ac:dyDescent="0.25">
      <c r="A326" s="54" t="s">
        <v>511</v>
      </c>
      <c r="B326" s="54" t="s">
        <v>512</v>
      </c>
      <c r="C326" s="31">
        <v>4301135319</v>
      </c>
      <c r="D326" s="364">
        <v>4607111037473</v>
      </c>
      <c r="E326" s="365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576" t="s">
        <v>513</v>
      </c>
      <c r="Q326" s="362"/>
      <c r="R326" s="362"/>
      <c r="S326" s="362"/>
      <c r="T326" s="363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customHeight="1" x14ac:dyDescent="0.25">
      <c r="A327" s="54" t="s">
        <v>515</v>
      </c>
      <c r="B327" s="54" t="s">
        <v>516</v>
      </c>
      <c r="C327" s="31">
        <v>4301135198</v>
      </c>
      <c r="D327" s="364">
        <v>4640242180663</v>
      </c>
      <c r="E327" s="365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7" t="s">
        <v>517</v>
      </c>
      <c r="Q327" s="362"/>
      <c r="R327" s="362"/>
      <c r="S327" s="362"/>
      <c r="T327" s="363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4301135723</v>
      </c>
      <c r="D328" s="364">
        <v>4640242181783</v>
      </c>
      <c r="E328" s="365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585" t="s">
        <v>521</v>
      </c>
      <c r="Q328" s="362"/>
      <c r="R328" s="362"/>
      <c r="S328" s="362"/>
      <c r="T328" s="363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73"/>
      <c r="B329" s="367"/>
      <c r="C329" s="367"/>
      <c r="D329" s="367"/>
      <c r="E329" s="367"/>
      <c r="F329" s="367"/>
      <c r="G329" s="367"/>
      <c r="H329" s="367"/>
      <c r="I329" s="367"/>
      <c r="J329" s="367"/>
      <c r="K329" s="367"/>
      <c r="L329" s="367"/>
      <c r="M329" s="367"/>
      <c r="N329" s="367"/>
      <c r="O329" s="374"/>
      <c r="P329" s="368" t="s">
        <v>73</v>
      </c>
      <c r="Q329" s="359"/>
      <c r="R329" s="359"/>
      <c r="S329" s="359"/>
      <c r="T329" s="359"/>
      <c r="U329" s="359"/>
      <c r="V329" s="360"/>
      <c r="W329" s="37" t="s">
        <v>70</v>
      </c>
      <c r="X329" s="356">
        <f>IFERROR(SUM(X308:X328),"0")</f>
        <v>28</v>
      </c>
      <c r="Y329" s="356">
        <f>IFERROR(SUM(Y308:Y328),"0")</f>
        <v>28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0.26207999999999998</v>
      </c>
      <c r="AA329" s="357"/>
      <c r="AB329" s="357"/>
      <c r="AC329" s="357"/>
    </row>
    <row r="330" spans="1:68" x14ac:dyDescent="0.2">
      <c r="A330" s="367"/>
      <c r="B330" s="367"/>
      <c r="C330" s="367"/>
      <c r="D330" s="367"/>
      <c r="E330" s="367"/>
      <c r="F330" s="367"/>
      <c r="G330" s="367"/>
      <c r="H330" s="367"/>
      <c r="I330" s="367"/>
      <c r="J330" s="367"/>
      <c r="K330" s="367"/>
      <c r="L330" s="367"/>
      <c r="M330" s="367"/>
      <c r="N330" s="367"/>
      <c r="O330" s="374"/>
      <c r="P330" s="368" t="s">
        <v>73</v>
      </c>
      <c r="Q330" s="359"/>
      <c r="R330" s="359"/>
      <c r="S330" s="359"/>
      <c r="T330" s="359"/>
      <c r="U330" s="359"/>
      <c r="V330" s="360"/>
      <c r="W330" s="37" t="s">
        <v>74</v>
      </c>
      <c r="X330" s="356">
        <f>IFERROR(SUMPRODUCT(X308:X328*H308:H328),"0")</f>
        <v>75.600000000000009</v>
      </c>
      <c r="Y330" s="356">
        <f>IFERROR(SUMPRODUCT(Y308:Y328*H308:H328),"0")</f>
        <v>75.600000000000009</v>
      </c>
      <c r="Z330" s="37"/>
      <c r="AA330" s="357"/>
      <c r="AB330" s="357"/>
      <c r="AC330" s="357"/>
    </row>
    <row r="331" spans="1:68" ht="16.5" customHeight="1" x14ac:dyDescent="0.25">
      <c r="A331" s="369" t="s">
        <v>523</v>
      </c>
      <c r="B331" s="367"/>
      <c r="C331" s="367"/>
      <c r="D331" s="367"/>
      <c r="E331" s="367"/>
      <c r="F331" s="367"/>
      <c r="G331" s="367"/>
      <c r="H331" s="367"/>
      <c r="I331" s="367"/>
      <c r="J331" s="367"/>
      <c r="K331" s="367"/>
      <c r="L331" s="367"/>
      <c r="M331" s="367"/>
      <c r="N331" s="367"/>
      <c r="O331" s="367"/>
      <c r="P331" s="367"/>
      <c r="Q331" s="367"/>
      <c r="R331" s="367"/>
      <c r="S331" s="367"/>
      <c r="T331" s="367"/>
      <c r="U331" s="367"/>
      <c r="V331" s="367"/>
      <c r="W331" s="367"/>
      <c r="X331" s="367"/>
      <c r="Y331" s="367"/>
      <c r="Z331" s="367"/>
      <c r="AA331" s="349"/>
      <c r="AB331" s="349"/>
      <c r="AC331" s="349"/>
    </row>
    <row r="332" spans="1:68" ht="14.25" customHeight="1" x14ac:dyDescent="0.25">
      <c r="A332" s="366" t="s">
        <v>152</v>
      </c>
      <c r="B332" s="367"/>
      <c r="C332" s="367"/>
      <c r="D332" s="367"/>
      <c r="E332" s="367"/>
      <c r="F332" s="367"/>
      <c r="G332" s="367"/>
      <c r="H332" s="367"/>
      <c r="I332" s="367"/>
      <c r="J332" s="367"/>
      <c r="K332" s="367"/>
      <c r="L332" s="367"/>
      <c r="M332" s="367"/>
      <c r="N332" s="367"/>
      <c r="O332" s="367"/>
      <c r="P332" s="367"/>
      <c r="Q332" s="367"/>
      <c r="R332" s="367"/>
      <c r="S332" s="367"/>
      <c r="T332" s="367"/>
      <c r="U332" s="367"/>
      <c r="V332" s="367"/>
      <c r="W332" s="367"/>
      <c r="X332" s="367"/>
      <c r="Y332" s="367"/>
      <c r="Z332" s="367"/>
      <c r="AA332" s="350"/>
      <c r="AB332" s="350"/>
      <c r="AC332" s="350"/>
    </row>
    <row r="333" spans="1:68" ht="27" customHeight="1" x14ac:dyDescent="0.25">
      <c r="A333" s="54" t="s">
        <v>524</v>
      </c>
      <c r="B333" s="54" t="s">
        <v>525</v>
      </c>
      <c r="C333" s="31">
        <v>4301135268</v>
      </c>
      <c r="D333" s="364">
        <v>4640242181134</v>
      </c>
      <c r="E333" s="365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467" t="s">
        <v>526</v>
      </c>
      <c r="Q333" s="362"/>
      <c r="R333" s="362"/>
      <c r="S333" s="362"/>
      <c r="T333" s="363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x14ac:dyDescent="0.2">
      <c r="A334" s="373"/>
      <c r="B334" s="367"/>
      <c r="C334" s="367"/>
      <c r="D334" s="367"/>
      <c r="E334" s="367"/>
      <c r="F334" s="367"/>
      <c r="G334" s="367"/>
      <c r="H334" s="367"/>
      <c r="I334" s="367"/>
      <c r="J334" s="367"/>
      <c r="K334" s="367"/>
      <c r="L334" s="367"/>
      <c r="M334" s="367"/>
      <c r="N334" s="367"/>
      <c r="O334" s="374"/>
      <c r="P334" s="368" t="s">
        <v>73</v>
      </c>
      <c r="Q334" s="359"/>
      <c r="R334" s="359"/>
      <c r="S334" s="359"/>
      <c r="T334" s="359"/>
      <c r="U334" s="359"/>
      <c r="V334" s="36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x14ac:dyDescent="0.2">
      <c r="A335" s="367"/>
      <c r="B335" s="367"/>
      <c r="C335" s="367"/>
      <c r="D335" s="367"/>
      <c r="E335" s="367"/>
      <c r="F335" s="367"/>
      <c r="G335" s="367"/>
      <c r="H335" s="367"/>
      <c r="I335" s="367"/>
      <c r="J335" s="367"/>
      <c r="K335" s="367"/>
      <c r="L335" s="367"/>
      <c r="M335" s="367"/>
      <c r="N335" s="367"/>
      <c r="O335" s="374"/>
      <c r="P335" s="368" t="s">
        <v>73</v>
      </c>
      <c r="Q335" s="359"/>
      <c r="R335" s="359"/>
      <c r="S335" s="359"/>
      <c r="T335" s="359"/>
      <c r="U335" s="359"/>
      <c r="V335" s="36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548"/>
      <c r="B336" s="367"/>
      <c r="C336" s="367"/>
      <c r="D336" s="367"/>
      <c r="E336" s="367"/>
      <c r="F336" s="367"/>
      <c r="G336" s="367"/>
      <c r="H336" s="367"/>
      <c r="I336" s="367"/>
      <c r="J336" s="367"/>
      <c r="K336" s="367"/>
      <c r="L336" s="367"/>
      <c r="M336" s="367"/>
      <c r="N336" s="367"/>
      <c r="O336" s="491"/>
      <c r="P336" s="434" t="s">
        <v>528</v>
      </c>
      <c r="Q336" s="435"/>
      <c r="R336" s="435"/>
      <c r="S336" s="435"/>
      <c r="T336" s="435"/>
      <c r="U336" s="435"/>
      <c r="V336" s="390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3057.9599999999996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3057.9599999999996</v>
      </c>
      <c r="Z336" s="37"/>
      <c r="AA336" s="357"/>
      <c r="AB336" s="357"/>
      <c r="AC336" s="357"/>
    </row>
    <row r="337" spans="1:35" x14ac:dyDescent="0.2">
      <c r="A337" s="367"/>
      <c r="B337" s="367"/>
      <c r="C337" s="367"/>
      <c r="D337" s="367"/>
      <c r="E337" s="367"/>
      <c r="F337" s="367"/>
      <c r="G337" s="367"/>
      <c r="H337" s="367"/>
      <c r="I337" s="367"/>
      <c r="J337" s="367"/>
      <c r="K337" s="367"/>
      <c r="L337" s="367"/>
      <c r="M337" s="367"/>
      <c r="N337" s="367"/>
      <c r="O337" s="491"/>
      <c r="P337" s="434" t="s">
        <v>529</v>
      </c>
      <c r="Q337" s="435"/>
      <c r="R337" s="435"/>
      <c r="S337" s="435"/>
      <c r="T337" s="435"/>
      <c r="U337" s="435"/>
      <c r="V337" s="390"/>
      <c r="W337" s="37" t="s">
        <v>74</v>
      </c>
      <c r="X337" s="356">
        <f>IFERROR(SUM(BM22:BM333),"0")</f>
        <v>3583.4419999999996</v>
      </c>
      <c r="Y337" s="356">
        <f>IFERROR(SUM(BN22:BN333),"0")</f>
        <v>3583.4419999999996</v>
      </c>
      <c r="Z337" s="37"/>
      <c r="AA337" s="357"/>
      <c r="AB337" s="357"/>
      <c r="AC337" s="357"/>
    </row>
    <row r="338" spans="1:35" x14ac:dyDescent="0.2">
      <c r="A338" s="367"/>
      <c r="B338" s="367"/>
      <c r="C338" s="367"/>
      <c r="D338" s="367"/>
      <c r="E338" s="367"/>
      <c r="F338" s="367"/>
      <c r="G338" s="367"/>
      <c r="H338" s="367"/>
      <c r="I338" s="367"/>
      <c r="J338" s="367"/>
      <c r="K338" s="367"/>
      <c r="L338" s="367"/>
      <c r="M338" s="367"/>
      <c r="N338" s="367"/>
      <c r="O338" s="491"/>
      <c r="P338" s="434" t="s">
        <v>530</v>
      </c>
      <c r="Q338" s="435"/>
      <c r="R338" s="435"/>
      <c r="S338" s="435"/>
      <c r="T338" s="435"/>
      <c r="U338" s="435"/>
      <c r="V338" s="390"/>
      <c r="W338" s="37" t="s">
        <v>531</v>
      </c>
      <c r="X338" s="38">
        <f>ROUNDUP(SUM(BO22:BO333),0)</f>
        <v>13</v>
      </c>
      <c r="Y338" s="38">
        <f>ROUNDUP(SUM(BP22:BP333),0)</f>
        <v>13</v>
      </c>
      <c r="Z338" s="37"/>
      <c r="AA338" s="357"/>
      <c r="AB338" s="357"/>
      <c r="AC338" s="357"/>
    </row>
    <row r="339" spans="1:35" x14ac:dyDescent="0.2">
      <c r="A339" s="367"/>
      <c r="B339" s="367"/>
      <c r="C339" s="367"/>
      <c r="D339" s="367"/>
      <c r="E339" s="367"/>
      <c r="F339" s="367"/>
      <c r="G339" s="367"/>
      <c r="H339" s="367"/>
      <c r="I339" s="367"/>
      <c r="J339" s="367"/>
      <c r="K339" s="367"/>
      <c r="L339" s="367"/>
      <c r="M339" s="367"/>
      <c r="N339" s="367"/>
      <c r="O339" s="491"/>
      <c r="P339" s="434" t="s">
        <v>532</v>
      </c>
      <c r="Q339" s="435"/>
      <c r="R339" s="435"/>
      <c r="S339" s="435"/>
      <c r="T339" s="435"/>
      <c r="U339" s="435"/>
      <c r="V339" s="390"/>
      <c r="W339" s="37" t="s">
        <v>74</v>
      </c>
      <c r="X339" s="356">
        <f>GrossWeightTotal+PalletQtyTotal*25</f>
        <v>3908.4419999999996</v>
      </c>
      <c r="Y339" s="356">
        <f>GrossWeightTotalR+PalletQtyTotalR*25</f>
        <v>3908.4419999999996</v>
      </c>
      <c r="Z339" s="37"/>
      <c r="AA339" s="357"/>
      <c r="AB339" s="357"/>
      <c r="AC339" s="357"/>
    </row>
    <row r="340" spans="1:35" x14ac:dyDescent="0.2">
      <c r="A340" s="367"/>
      <c r="B340" s="367"/>
      <c r="C340" s="367"/>
      <c r="D340" s="367"/>
      <c r="E340" s="367"/>
      <c r="F340" s="367"/>
      <c r="G340" s="367"/>
      <c r="H340" s="367"/>
      <c r="I340" s="367"/>
      <c r="J340" s="367"/>
      <c r="K340" s="367"/>
      <c r="L340" s="367"/>
      <c r="M340" s="367"/>
      <c r="N340" s="367"/>
      <c r="O340" s="491"/>
      <c r="P340" s="434" t="s">
        <v>533</v>
      </c>
      <c r="Q340" s="435"/>
      <c r="R340" s="435"/>
      <c r="S340" s="435"/>
      <c r="T340" s="435"/>
      <c r="U340" s="435"/>
      <c r="V340" s="390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1010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1010</v>
      </c>
      <c r="Z340" s="37"/>
      <c r="AA340" s="357"/>
      <c r="AB340" s="357"/>
      <c r="AC340" s="357"/>
    </row>
    <row r="341" spans="1:35" ht="14.25" customHeight="1" x14ac:dyDescent="0.2">
      <c r="A341" s="367"/>
      <c r="B341" s="367"/>
      <c r="C341" s="367"/>
      <c r="D341" s="367"/>
      <c r="E341" s="367"/>
      <c r="F341" s="367"/>
      <c r="G341" s="367"/>
      <c r="H341" s="367"/>
      <c r="I341" s="367"/>
      <c r="J341" s="367"/>
      <c r="K341" s="367"/>
      <c r="L341" s="367"/>
      <c r="M341" s="367"/>
      <c r="N341" s="367"/>
      <c r="O341" s="491"/>
      <c r="P341" s="434" t="s">
        <v>534</v>
      </c>
      <c r="Q341" s="435"/>
      <c r="R341" s="435"/>
      <c r="S341" s="435"/>
      <c r="T341" s="435"/>
      <c r="U341" s="435"/>
      <c r="V341" s="390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15.435819999999998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83" t="s">
        <v>75</v>
      </c>
      <c r="D343" s="532"/>
      <c r="E343" s="532"/>
      <c r="F343" s="532"/>
      <c r="G343" s="532"/>
      <c r="H343" s="532"/>
      <c r="I343" s="532"/>
      <c r="J343" s="532"/>
      <c r="K343" s="532"/>
      <c r="L343" s="532"/>
      <c r="M343" s="532"/>
      <c r="N343" s="532"/>
      <c r="O343" s="532"/>
      <c r="P343" s="532"/>
      <c r="Q343" s="532"/>
      <c r="R343" s="532"/>
      <c r="S343" s="532"/>
      <c r="T343" s="432"/>
      <c r="U343" s="383" t="s">
        <v>287</v>
      </c>
      <c r="V343" s="432"/>
      <c r="W343" s="351" t="s">
        <v>313</v>
      </c>
      <c r="X343" s="383" t="s">
        <v>332</v>
      </c>
      <c r="Y343" s="532"/>
      <c r="Z343" s="532"/>
      <c r="AA343" s="532"/>
      <c r="AB343" s="532"/>
      <c r="AC343" s="532"/>
      <c r="AD343" s="432"/>
      <c r="AE343" s="351" t="s">
        <v>406</v>
      </c>
      <c r="AF343" s="351" t="s">
        <v>411</v>
      </c>
      <c r="AG343" s="351" t="s">
        <v>418</v>
      </c>
      <c r="AH343" s="383" t="s">
        <v>288</v>
      </c>
      <c r="AI343" s="432"/>
    </row>
    <row r="344" spans="1:35" ht="14.25" customHeight="1" thickTop="1" x14ac:dyDescent="0.2">
      <c r="A344" s="417" t="s">
        <v>537</v>
      </c>
      <c r="B344" s="383" t="s">
        <v>63</v>
      </c>
      <c r="C344" s="383" t="s">
        <v>76</v>
      </c>
      <c r="D344" s="383" t="s">
        <v>99</v>
      </c>
      <c r="E344" s="383" t="s">
        <v>112</v>
      </c>
      <c r="F344" s="383" t="s">
        <v>131</v>
      </c>
      <c r="G344" s="383" t="s">
        <v>163</v>
      </c>
      <c r="H344" s="383" t="s">
        <v>170</v>
      </c>
      <c r="I344" s="383" t="s">
        <v>177</v>
      </c>
      <c r="J344" s="383" t="s">
        <v>194</v>
      </c>
      <c r="K344" s="383" t="s">
        <v>213</v>
      </c>
      <c r="L344" s="383" t="s">
        <v>225</v>
      </c>
      <c r="M344" s="383" t="s">
        <v>245</v>
      </c>
      <c r="N344" s="352"/>
      <c r="O344" s="383" t="s">
        <v>251</v>
      </c>
      <c r="P344" s="383" t="s">
        <v>258</v>
      </c>
      <c r="Q344" s="383" t="s">
        <v>264</v>
      </c>
      <c r="R344" s="383" t="s">
        <v>272</v>
      </c>
      <c r="S344" s="383" t="s">
        <v>275</v>
      </c>
      <c r="T344" s="383" t="s">
        <v>283</v>
      </c>
      <c r="U344" s="383" t="s">
        <v>288</v>
      </c>
      <c r="V344" s="383" t="s">
        <v>292</v>
      </c>
      <c r="W344" s="383" t="s">
        <v>314</v>
      </c>
      <c r="X344" s="383" t="s">
        <v>333</v>
      </c>
      <c r="Y344" s="383" t="s">
        <v>345</v>
      </c>
      <c r="Z344" s="383" t="s">
        <v>355</v>
      </c>
      <c r="AA344" s="383" t="s">
        <v>370</v>
      </c>
      <c r="AB344" s="383" t="s">
        <v>381</v>
      </c>
      <c r="AC344" s="383" t="s">
        <v>396</v>
      </c>
      <c r="AD344" s="383" t="s">
        <v>400</v>
      </c>
      <c r="AE344" s="383" t="s">
        <v>407</v>
      </c>
      <c r="AF344" s="383" t="s">
        <v>412</v>
      </c>
      <c r="AG344" s="383" t="s">
        <v>419</v>
      </c>
      <c r="AH344" s="383" t="s">
        <v>288</v>
      </c>
      <c r="AI344" s="383" t="s">
        <v>523</v>
      </c>
    </row>
    <row r="345" spans="1:35" ht="13.5" customHeight="1" thickBot="1" x14ac:dyDescent="0.25">
      <c r="A345" s="418"/>
      <c r="B345" s="384"/>
      <c r="C345" s="384"/>
      <c r="D345" s="384"/>
      <c r="E345" s="384"/>
      <c r="F345" s="384"/>
      <c r="G345" s="384"/>
      <c r="H345" s="384"/>
      <c r="I345" s="384"/>
      <c r="J345" s="384"/>
      <c r="K345" s="384"/>
      <c r="L345" s="384"/>
      <c r="M345" s="384"/>
      <c r="N345" s="352"/>
      <c r="O345" s="384"/>
      <c r="P345" s="384"/>
      <c r="Q345" s="384"/>
      <c r="R345" s="384"/>
      <c r="S345" s="384"/>
      <c r="T345" s="384"/>
      <c r="U345" s="384"/>
      <c r="V345" s="384"/>
      <c r="W345" s="384"/>
      <c r="X345" s="384"/>
      <c r="Y345" s="384"/>
      <c r="Z345" s="384"/>
      <c r="AA345" s="384"/>
      <c r="AB345" s="384"/>
      <c r="AC345" s="384"/>
      <c r="AD345" s="384"/>
      <c r="AE345" s="384"/>
      <c r="AF345" s="384"/>
      <c r="AG345" s="384"/>
      <c r="AH345" s="384"/>
      <c r="AI345" s="384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63</v>
      </c>
      <c r="D346" s="46">
        <f>IFERROR(X39*H39,"0")+IFERROR(X40*H40,"0")+IFERROR(X41*H41,"0")</f>
        <v>0</v>
      </c>
      <c r="E346" s="46">
        <f>IFERROR(X46*H46,"0")+IFERROR(X47*H47,"0")+IFERROR(X48*H48,"0")+IFERROR(X49*H49,"0")+IFERROR(X50*H50,"0")+IFERROR(X51*H51,"0")+IFERROR(X52*H52,"0")+IFERROR(X53*H53,"0")</f>
        <v>0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0</v>
      </c>
      <c r="H346" s="46">
        <f>IFERROR(X88*H88,"0")+IFERROR(X89*H89,"0")</f>
        <v>252</v>
      </c>
      <c r="I346" s="46">
        <f>IFERROR(X94*H94,"0")+IFERROR(X95*H95,"0")+IFERROR(X96*H96,"0")+IFERROR(X97*H97,"0")+IFERROR(X98*H98,"0")</f>
        <v>504</v>
      </c>
      <c r="J346" s="46">
        <f>IFERROR(X103*H103,"0")+IFERROR(X104*H104,"0")+IFERROR(X105*H105,"0")+IFERROR(X106*H106,"0")+IFERROR(X107*H107,"0")+IFERROR(X108*H108,"0")+IFERROR(X109*H109,"0")</f>
        <v>117.60000000000001</v>
      </c>
      <c r="K346" s="46">
        <f>IFERROR(X114*H114,"0")+IFERROR(X115*H115,"0")+IFERROR(X116*H116,"0")+IFERROR(X117*H117,"0")</f>
        <v>36.96</v>
      </c>
      <c r="L346" s="46">
        <f>IFERROR(X122*H122,"0")+IFERROR(X123*H123,"0")+IFERROR(X124*H124,"0")+IFERROR(X125*H125,"0")+IFERROR(X126*H126,"0")+IFERROR(X127*H127,"0")+IFERROR(X131*H131,"0")</f>
        <v>0</v>
      </c>
      <c r="M346" s="46">
        <f>IFERROR(X136*H136,"0")+IFERROR(X137*H137,"0")</f>
        <v>420</v>
      </c>
      <c r="N346" s="352"/>
      <c r="O346" s="46">
        <f>IFERROR(X142*H142,"0")+IFERROR(X143*H143,"0")</f>
        <v>210</v>
      </c>
      <c r="P346" s="46">
        <f>IFERROR(X148*H148,"0")+IFERROR(X149*H149,"0")</f>
        <v>0</v>
      </c>
      <c r="Q346" s="46">
        <f>IFERROR(X154*H154,"0")+IFERROR(X155*H155,"0")</f>
        <v>84</v>
      </c>
      <c r="R346" s="46">
        <f>IFERROR(X160*H160,"0")</f>
        <v>0</v>
      </c>
      <c r="S346" s="46">
        <f>IFERROR(X165*H165,"0")+IFERROR(X166*H166,"0")</f>
        <v>38.400000000000006</v>
      </c>
      <c r="T346" s="46">
        <f>IFERROR(X171*H171,"0")</f>
        <v>235.2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0</v>
      </c>
      <c r="W346" s="46">
        <f>IFERROR(X196*H196,"0")+IFERROR(X197*H197,"0")+IFERROR(X198*H198,"0")+IFERROR(X202*H202,"0")</f>
        <v>504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0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0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420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172.8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420</v>
      </c>
      <c r="B349" s="60">
        <f>SUMPRODUCT(--(BB:BB="ПГП"),--(W:W="кор"),H:H,Y:Y)+SUMPRODUCT(--(BB:BB="ПГП"),--(W:W="кг"),Y:Y)</f>
        <v>2637.9599999999996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1"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38:Z38"/>
    <mergeCell ref="A193:Z193"/>
    <mergeCell ref="D125:E125"/>
    <mergeCell ref="A90:O91"/>
    <mergeCell ref="D127:E127"/>
    <mergeCell ref="P233:T233"/>
    <mergeCell ref="A59:O60"/>
    <mergeCell ref="P79:V79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P318:T318"/>
    <mergeCell ref="V6:W9"/>
    <mergeCell ref="P109:T109"/>
    <mergeCell ref="A299:O300"/>
    <mergeCell ref="D217:E217"/>
    <mergeCell ref="P272:V272"/>
    <mergeCell ref="A231:Z231"/>
    <mergeCell ref="A206:Z206"/>
    <mergeCell ref="A262:Z262"/>
    <mergeCell ref="S344:S345"/>
    <mergeCell ref="P321:T321"/>
    <mergeCell ref="P125:T125"/>
    <mergeCell ref="U344:U345"/>
    <mergeCell ref="D202:E202"/>
    <mergeCell ref="K344:K345"/>
    <mergeCell ref="C344:C345"/>
    <mergeCell ref="E344:E345"/>
    <mergeCell ref="P320:T320"/>
    <mergeCell ref="P314:T314"/>
    <mergeCell ref="P334:V334"/>
    <mergeCell ref="P257:T257"/>
    <mergeCell ref="P173:V173"/>
    <mergeCell ref="A172:O173"/>
    <mergeCell ref="P265:V265"/>
    <mergeCell ref="P237:V237"/>
    <mergeCell ref="M344:M345"/>
    <mergeCell ref="P333:T333"/>
    <mergeCell ref="P341:V341"/>
    <mergeCell ref="A141:Z141"/>
    <mergeCell ref="O17:O18"/>
    <mergeCell ref="P187:V187"/>
    <mergeCell ref="A175:Z175"/>
    <mergeCell ref="P196:T196"/>
    <mergeCell ref="D177:E177"/>
    <mergeCell ref="D33:E33"/>
    <mergeCell ref="D226:E226"/>
    <mergeCell ref="P183:T183"/>
    <mergeCell ref="P62:T62"/>
    <mergeCell ref="D105:E105"/>
    <mergeCell ref="P23:V23"/>
    <mergeCell ref="P22:T22"/>
    <mergeCell ref="P40:T40"/>
    <mergeCell ref="A61:Z61"/>
    <mergeCell ref="P54:V54"/>
    <mergeCell ref="Z17:Z18"/>
    <mergeCell ref="P100:V100"/>
    <mergeCell ref="D39:E39"/>
    <mergeCell ref="A144:O145"/>
    <mergeCell ref="A135:Z135"/>
    <mergeCell ref="P2:W3"/>
    <mergeCell ref="P298:T298"/>
    <mergeCell ref="P127:T127"/>
    <mergeCell ref="D241:E241"/>
    <mergeCell ref="P198:T198"/>
    <mergeCell ref="A170:Z170"/>
    <mergeCell ref="D228:E22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D321:E321"/>
    <mergeCell ref="P107:T107"/>
    <mergeCell ref="P129:V129"/>
    <mergeCell ref="A128:O129"/>
    <mergeCell ref="M17:M18"/>
    <mergeCell ref="Q5:R5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Q6:R6"/>
    <mergeCell ref="A267:Z267"/>
    <mergeCell ref="A118:O119"/>
    <mergeCell ref="D196:E196"/>
    <mergeCell ref="A269:Z269"/>
    <mergeCell ref="P219:V219"/>
    <mergeCell ref="P145:V145"/>
    <mergeCell ref="P167:V167"/>
    <mergeCell ref="D76:E76"/>
    <mergeCell ref="F5:G5"/>
    <mergeCell ref="P55:V55"/>
    <mergeCell ref="AB344:AB345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AD17:AF18"/>
    <mergeCell ref="A8:C8"/>
    <mergeCell ref="P124:T124"/>
    <mergeCell ref="D293:E293"/>
    <mergeCell ref="D32:E32"/>
    <mergeCell ref="A153:Z153"/>
    <mergeCell ref="P138:V138"/>
    <mergeCell ref="D97:E97"/>
    <mergeCell ref="A255:Z255"/>
    <mergeCell ref="A10:C10"/>
    <mergeCell ref="P126:T126"/>
    <mergeCell ref="P218:T21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P58:T58"/>
    <mergeCell ref="X17:X1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2025-04-11T10:14:43Z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