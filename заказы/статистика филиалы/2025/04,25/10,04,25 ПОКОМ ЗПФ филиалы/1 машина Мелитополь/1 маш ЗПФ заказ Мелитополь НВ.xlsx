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763E6A12-9FF3-4434-A6E3-BF7B00B5C1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Y173" i="1" s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Y145" i="1"/>
  <c r="X145" i="1"/>
  <c r="Z144" i="1"/>
  <c r="X144" i="1"/>
  <c r="BO143" i="1"/>
  <c r="BM143" i="1"/>
  <c r="Z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Z138" i="1" s="1"/>
  <c r="Y136" i="1"/>
  <c r="P136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Y68" i="1" l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Y42" i="1"/>
  <c r="BP39" i="1"/>
  <c r="BN39" i="1"/>
  <c r="BP40" i="1"/>
  <c r="BN40" i="1"/>
  <c r="BP41" i="1"/>
  <c r="BN41" i="1"/>
  <c r="H9" i="1"/>
  <c r="Y23" i="1"/>
  <c r="BP22" i="1"/>
  <c r="BN22" i="1"/>
  <c r="X337" i="1"/>
  <c r="X339" i="1" s="1"/>
  <c r="X340" i="1"/>
  <c r="X336" i="1"/>
  <c r="Y43" i="1"/>
  <c r="Y336" i="1" s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A349" i="1" l="1"/>
  <c r="Y338" i="1"/>
  <c r="Y337" i="1"/>
  <c r="Y339" i="1" s="1"/>
  <c r="Y340" i="1"/>
  <c r="B349" i="1" l="1"/>
  <c r="C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<sst xmlns="http://schemas.openxmlformats.org/spreadsheetml/2006/main" count="1706" uniqueCount="557">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</sst>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4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140</v>
      </c>
      <c r="Y30" s="355">
        <f t="shared" si="0"/>
        <v>140</v>
      </c>
      <c r="Z30" s="36">
        <f t="shared" si="1"/>
        <v>1.3173999999999999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140</v>
      </c>
      <c r="Y35" s="356">
        <f>IFERROR(SUM(Y28:Y34),"0")</f>
        <v>140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1.3173999999999999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210</v>
      </c>
      <c r="Y36" s="356">
        <f>IFERROR(SUMPRODUCT(Y28:Y34*H28:H34),"0")</f>
        <v>210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36</v>
      </c>
      <c r="Y39" s="355">
        <f>IFERROR(IF(X39="","",X39),"")</f>
        <v>36</v>
      </c>
      <c r="Z39" s="36">
        <f>IFERROR(IF(X39="","",X39*0.0155),"")</f>
        <v>0.55800000000000005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211.32</v>
      </c>
      <c r="BN39" s="67">
        <f>IFERROR(Y39*I39,"0")</f>
        <v>211.32</v>
      </c>
      <c r="BO39" s="67">
        <f>IFERROR(X39/J39,"0")</f>
        <v>0.42857142857142855</v>
      </c>
      <c r="BP39" s="67">
        <f>IFERROR(Y39/J39,"0")</f>
        <v>0.42857142857142855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24</v>
      </c>
      <c r="Y40" s="355">
        <f>IFERROR(IF(X40="","",X40),"")</f>
        <v>24</v>
      </c>
      <c r="Z40" s="36">
        <f>IFERROR(IF(X40="","",X40*0.0155),"")</f>
        <v>0.372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140.88</v>
      </c>
      <c r="BN40" s="67">
        <f>IFERROR(Y40*I40,"0")</f>
        <v>140.88</v>
      </c>
      <c r="BO40" s="67">
        <f>IFERROR(X40/J40,"0")</f>
        <v>0.2857142857142857</v>
      </c>
      <c r="BP40" s="67">
        <f>IFERROR(Y40/J40,"0")</f>
        <v>0.2857142857142857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36</v>
      </c>
      <c r="Y41" s="355">
        <f>IFERROR(IF(X41="","",X41),"")</f>
        <v>36</v>
      </c>
      <c r="Z41" s="36">
        <f>IFERROR(IF(X41="","",X41*0.0155),"")</f>
        <v>0.55800000000000005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211.32</v>
      </c>
      <c r="BN41" s="67">
        <f>IFERROR(Y41*I41,"0")</f>
        <v>211.32</v>
      </c>
      <c r="BO41" s="67">
        <f>IFERROR(X41/J41,"0")</f>
        <v>0.42857142857142855</v>
      </c>
      <c r="BP41" s="67">
        <f>IFERROR(Y41/J41,"0")</f>
        <v>0.42857142857142855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96</v>
      </c>
      <c r="Y42" s="356">
        <f>IFERROR(SUM(Y39:Y41),"0")</f>
        <v>96</v>
      </c>
      <c r="Z42" s="356">
        <f>IFERROR(IF(Z39="",0,Z39),"0")+IFERROR(IF(Z40="",0,Z40),"0")+IFERROR(IF(Z41="",0,Z41),"0")</f>
        <v>1.488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537.6</v>
      </c>
      <c r="Y43" s="356">
        <f>IFERROR(SUMPRODUCT(Y39:Y41*H39:H41),"0")</f>
        <v>537.6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12</v>
      </c>
      <c r="Y46" s="355">
        <f t="shared" ref="Y46:Y53" si="6">IFERROR(IF(X46="","",X46),"")</f>
        <v>12</v>
      </c>
      <c r="Z46" s="36">
        <f t="shared" ref="Z46:Z53" si="7">IFERROR(IF(X46="","",X46*0.0155),"")</f>
        <v>0.186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80.635199999999998</v>
      </c>
      <c r="BN46" s="67">
        <f t="shared" ref="BN46:BN53" si="9">IFERROR(Y46*I46,"0")</f>
        <v>80.635199999999998</v>
      </c>
      <c r="BO46" s="67">
        <f t="shared" ref="BO46:BO53" si="10">IFERROR(X46/J46,"0")</f>
        <v>0.14285714285714285</v>
      </c>
      <c r="BP46" s="67">
        <f t="shared" ref="BP46:BP53" si="11">IFERROR(Y46/J46,"0")</f>
        <v>0.14285714285714285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48</v>
      </c>
      <c r="Y48" s="355">
        <f t="shared" si="6"/>
        <v>48</v>
      </c>
      <c r="Z48" s="36">
        <f t="shared" si="7"/>
        <v>0.74399999999999999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350.4</v>
      </c>
      <c r="BN48" s="67">
        <f t="shared" si="9"/>
        <v>350.4</v>
      </c>
      <c r="BO48" s="67">
        <f t="shared" si="10"/>
        <v>0.5714285714285714</v>
      </c>
      <c r="BP48" s="67">
        <f t="shared" si="11"/>
        <v>0.5714285714285714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60</v>
      </c>
      <c r="Y50" s="355">
        <f t="shared" si="6"/>
        <v>60</v>
      </c>
      <c r="Z50" s="36">
        <f t="shared" si="7"/>
        <v>0.92999999999999994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437.15999999999997</v>
      </c>
      <c r="BN50" s="67">
        <f t="shared" si="9"/>
        <v>437.15999999999997</v>
      </c>
      <c r="BO50" s="67">
        <f t="shared" si="10"/>
        <v>0.7142857142857143</v>
      </c>
      <c r="BP50" s="67">
        <f t="shared" si="11"/>
        <v>0.7142857142857143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24</v>
      </c>
      <c r="Y53" s="355">
        <f t="shared" si="6"/>
        <v>24</v>
      </c>
      <c r="Z53" s="36">
        <f t="shared" si="7"/>
        <v>0.372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175.2</v>
      </c>
      <c r="BN53" s="67">
        <f t="shared" si="9"/>
        <v>175.2</v>
      </c>
      <c r="BO53" s="67">
        <f t="shared" si="10"/>
        <v>0.2857142857142857</v>
      </c>
      <c r="BP53" s="67">
        <f t="shared" si="11"/>
        <v>0.2857142857142857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144</v>
      </c>
      <c r="Y54" s="356">
        <f>IFERROR(SUM(Y46:Y53),"0")</f>
        <v>144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2.2319999999999998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1000.8</v>
      </c>
      <c r="Y55" s="356">
        <f>IFERROR(SUMPRODUCT(Y46:Y53*H46:H53),"0")</f>
        <v>1000.8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96</v>
      </c>
      <c r="Y83" s="355">
        <f>IFERROR(IF(X83="","",X83),"")</f>
        <v>96</v>
      </c>
      <c r="Z83" s="36">
        <f>IFERROR(IF(X83="","",X83*0.00866),"")</f>
        <v>0.83135999999999988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500.46719999999993</v>
      </c>
      <c r="BN83" s="67">
        <f>IFERROR(Y83*I83,"0")</f>
        <v>500.46719999999993</v>
      </c>
      <c r="BO83" s="67">
        <f>IFERROR(X83/J83,"0")</f>
        <v>0.66666666666666663</v>
      </c>
      <c r="BP83" s="67">
        <f>IFERROR(Y83/J83,"0")</f>
        <v>0.66666666666666663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96</v>
      </c>
      <c r="Y84" s="356">
        <f>IFERROR(SUM(Y82:Y83),"0")</f>
        <v>96</v>
      </c>
      <c r="Z84" s="356">
        <f>IFERROR(IF(Z82="",0,Z82),"0")+IFERROR(IF(Z83="",0,Z83),"0")</f>
        <v>0.83135999999999988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480</v>
      </c>
      <c r="Y85" s="356">
        <f>IFERROR(SUMPRODUCT(Y82:Y83*H82:H83),"0")</f>
        <v>480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70</v>
      </c>
      <c r="Y89" s="355">
        <f>IFERROR(IF(X89="","",X89),"")</f>
        <v>70</v>
      </c>
      <c r="Z89" s="36">
        <f>IFERROR(IF(X89="","",X89*0.01788),"")</f>
        <v>1.2516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301.25200000000001</v>
      </c>
      <c r="BN89" s="67">
        <f>IFERROR(Y89*I89,"0")</f>
        <v>301.25200000000001</v>
      </c>
      <c r="BO89" s="67">
        <f>IFERROR(X89/J89,"0")</f>
        <v>1</v>
      </c>
      <c r="BP89" s="67">
        <f>IFERROR(Y89/J89,"0")</f>
        <v>1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70</v>
      </c>
      <c r="Y90" s="356">
        <f>IFERROR(SUM(Y88:Y89),"0")</f>
        <v>70</v>
      </c>
      <c r="Z90" s="356">
        <f>IFERROR(IF(Z88="",0,Z88),"0")+IFERROR(IF(Z89="",0,Z89),"0")</f>
        <v>1.2516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252</v>
      </c>
      <c r="Y91" s="356">
        <f>IFERROR(SUMPRODUCT(Y88:Y89*H88:H89),"0")</f>
        <v>252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56</v>
      </c>
      <c r="Y96" s="355">
        <f>IFERROR(IF(X96="","",X96),"")</f>
        <v>56</v>
      </c>
      <c r="Z96" s="36">
        <f>IFERROR(IF(X96="","",X96*0.01788),"")</f>
        <v>1.0012799999999999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241.00160000000002</v>
      </c>
      <c r="BN96" s="67">
        <f>IFERROR(Y96*I96,"0")</f>
        <v>241.00160000000002</v>
      </c>
      <c r="BO96" s="67">
        <f>IFERROR(X96/J96,"0")</f>
        <v>0.8</v>
      </c>
      <c r="BP96" s="67">
        <f>IFERROR(Y96/J96,"0")</f>
        <v>0.8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126</v>
      </c>
      <c r="Y99" s="356">
        <f>IFERROR(SUM(Y94:Y98),"0")</f>
        <v>126</v>
      </c>
      <c r="Z99" s="356">
        <f>IFERROR(IF(Z94="",0,Z94),"0")+IFERROR(IF(Z95="",0,Z95),"0")+IFERROR(IF(Z96="",0,Z96),"0")+IFERROR(IF(Z97="",0,Z97),"0")+IFERROR(IF(Z98="",0,Z98),"0")</f>
        <v>2.2528800000000002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453.6</v>
      </c>
      <c r="Y100" s="356">
        <f>IFERROR(SUMPRODUCT(Y94:Y98*H94:H98),"0")</f>
        <v>453.6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84</v>
      </c>
      <c r="Y104" s="355">
        <f t="shared" si="12"/>
        <v>84</v>
      </c>
      <c r="Z104" s="36">
        <f t="shared" si="13"/>
        <v>1.5019199999999999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361.50240000000002</v>
      </c>
      <c r="BN104" s="67">
        <f t="shared" si="15"/>
        <v>361.50240000000002</v>
      </c>
      <c r="BO104" s="67">
        <f t="shared" si="16"/>
        <v>1.2</v>
      </c>
      <c r="BP104" s="67">
        <f t="shared" si="17"/>
        <v>1.2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112</v>
      </c>
      <c r="Y107" s="355">
        <f t="shared" si="12"/>
        <v>112</v>
      </c>
      <c r="Z107" s="36">
        <f t="shared" si="13"/>
        <v>2.0025599999999999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482.00320000000005</v>
      </c>
      <c r="BN107" s="67">
        <f t="shared" si="15"/>
        <v>482.00320000000005</v>
      </c>
      <c r="BO107" s="67">
        <f t="shared" si="16"/>
        <v>1.6</v>
      </c>
      <c r="BP107" s="67">
        <f t="shared" si="17"/>
        <v>1.6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196</v>
      </c>
      <c r="Y110" s="356">
        <f>IFERROR(SUM(Y103:Y109),"0")</f>
        <v>196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3.50448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705.6</v>
      </c>
      <c r="Y111" s="356">
        <f>IFERROR(SUMPRODUCT(Y103:Y109*H103:H109),"0")</f>
        <v>705.6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36</v>
      </c>
      <c r="Y117" s="355">
        <f>IFERROR(IF(X117="","",X117),"")</f>
        <v>36</v>
      </c>
      <c r="Z117" s="36">
        <f>IFERROR(IF(X117="","",X117*0.0155),"")</f>
        <v>0.55800000000000005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124.70399999999999</v>
      </c>
      <c r="BN117" s="67">
        <f>IFERROR(Y117*I117,"0")</f>
        <v>124.70399999999999</v>
      </c>
      <c r="BO117" s="67">
        <f>IFERROR(X117/J117,"0")</f>
        <v>0.42857142857142855</v>
      </c>
      <c r="BP117" s="67">
        <f>IFERROR(Y117/J117,"0")</f>
        <v>0.42857142857142855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36</v>
      </c>
      <c r="Y118" s="356">
        <f>IFERROR(SUM(Y114:Y117),"0")</f>
        <v>36</v>
      </c>
      <c r="Z118" s="356">
        <f>IFERROR(IF(Z114="",0,Z114),"0")+IFERROR(IF(Z115="",0,Z115),"0")+IFERROR(IF(Z116="",0,Z116),"0")+IFERROR(IF(Z117="",0,Z117),"0")</f>
        <v>0.55800000000000005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110.88</v>
      </c>
      <c r="Y119" s="356">
        <f>IFERROR(SUMPRODUCT(Y114:Y117*H114:H117),"0")</f>
        <v>110.88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24</v>
      </c>
      <c r="Y123" s="355">
        <f t="shared" si="18"/>
        <v>24</v>
      </c>
      <c r="Z123" s="36">
        <f t="shared" si="19"/>
        <v>0.372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161.2704</v>
      </c>
      <c r="BN123" s="67">
        <f t="shared" si="21"/>
        <v>161.2704</v>
      </c>
      <c r="BO123" s="67">
        <f t="shared" si="22"/>
        <v>0.2857142857142857</v>
      </c>
      <c r="BP123" s="67">
        <f t="shared" si="23"/>
        <v>0.2857142857142857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108</v>
      </c>
      <c r="Y124" s="355">
        <f t="shared" si="18"/>
        <v>108</v>
      </c>
      <c r="Z124" s="36">
        <f t="shared" si="19"/>
        <v>1.6739999999999999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788.4</v>
      </c>
      <c r="BN124" s="67">
        <f t="shared" si="21"/>
        <v>788.4</v>
      </c>
      <c r="BO124" s="67">
        <f t="shared" si="22"/>
        <v>1.2857142857142858</v>
      </c>
      <c r="BP124" s="67">
        <f t="shared" si="23"/>
        <v>1.2857142857142858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24</v>
      </c>
      <c r="Y126" s="355">
        <f t="shared" si="18"/>
        <v>24</v>
      </c>
      <c r="Z126" s="36">
        <f t="shared" si="19"/>
        <v>0.372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161.2704</v>
      </c>
      <c r="BN126" s="67">
        <f t="shared" si="21"/>
        <v>161.2704</v>
      </c>
      <c r="BO126" s="67">
        <f t="shared" si="22"/>
        <v>0.2857142857142857</v>
      </c>
      <c r="BP126" s="67">
        <f t="shared" si="23"/>
        <v>0.2857142857142857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168</v>
      </c>
      <c r="Y127" s="355">
        <f t="shared" si="18"/>
        <v>168</v>
      </c>
      <c r="Z127" s="36">
        <f t="shared" si="19"/>
        <v>2.6040000000000001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1226.3999999999999</v>
      </c>
      <c r="BN127" s="67">
        <f t="shared" si="21"/>
        <v>1226.3999999999999</v>
      </c>
      <c r="BO127" s="67">
        <f t="shared" si="22"/>
        <v>2</v>
      </c>
      <c r="BP127" s="67">
        <f t="shared" si="23"/>
        <v>2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324</v>
      </c>
      <c r="Y128" s="356">
        <f>IFERROR(SUM(Y122:Y127),"0")</f>
        <v>324</v>
      </c>
      <c r="Z128" s="356">
        <f>IFERROR(IF(Z122="",0,Z122),"0")+IFERROR(IF(Z123="",0,Z123),"0")+IFERROR(IF(Z124="",0,Z124),"0")+IFERROR(IF(Z125="",0,Z125),"0")+IFERROR(IF(Z126="",0,Z126),"0")+IFERROR(IF(Z127="",0,Z127),"0")</f>
        <v>5.0220000000000002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2239.1999999999998</v>
      </c>
      <c r="Y129" s="356">
        <f>IFERROR(SUMPRODUCT(Y122:Y127*H122:H127),"0")</f>
        <v>2239.1999999999998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84</v>
      </c>
      <c r="Y137" s="355">
        <f>IFERROR(IF(X137="","",X137),"")</f>
        <v>84</v>
      </c>
      <c r="Z137" s="36">
        <f>IFERROR(IF(X137="","",X137*0.01788),"")</f>
        <v>1.5019199999999999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311.10239999999999</v>
      </c>
      <c r="BN137" s="67">
        <f>IFERROR(Y137*I137,"0")</f>
        <v>311.10239999999999</v>
      </c>
      <c r="BO137" s="67">
        <f>IFERROR(X137/J137,"0")</f>
        <v>1.2</v>
      </c>
      <c r="BP137" s="67">
        <f>IFERROR(Y137/J137,"0")</f>
        <v>1.2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154</v>
      </c>
      <c r="Y138" s="356">
        <f>IFERROR(SUM(Y136:Y137),"0")</f>
        <v>154</v>
      </c>
      <c r="Z138" s="356">
        <f>IFERROR(IF(Z136="",0,Z136),"0")+IFERROR(IF(Z137="",0,Z137),"0")</f>
        <v>2.75352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462</v>
      </c>
      <c r="Y139" s="356">
        <f>IFERROR(SUMPRODUCT(Y136:Y137*H136:H137),"0")</f>
        <v>462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28</v>
      </c>
      <c r="Y142" s="355">
        <f>IFERROR(IF(X142="","",X142),"")</f>
        <v>28</v>
      </c>
      <c r="Z142" s="36">
        <f>IFERROR(IF(X142="","",X142*0.01788),"")</f>
        <v>0.50063999999999997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104.944</v>
      </c>
      <c r="BN142" s="67">
        <f>IFERROR(Y142*I142,"0")</f>
        <v>104.944</v>
      </c>
      <c r="BO142" s="67">
        <f>IFERROR(X142/J142,"0")</f>
        <v>0.4</v>
      </c>
      <c r="BP142" s="67">
        <f>IFERROR(Y142/J142,"0")</f>
        <v>0.4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56</v>
      </c>
      <c r="Y143" s="355">
        <f>IFERROR(IF(X143="","",X143),"")</f>
        <v>56</v>
      </c>
      <c r="Z143" s="36">
        <f>IFERROR(IF(X143="","",X143*0.01788),"")</f>
        <v>1.0012799999999999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207.40159999999997</v>
      </c>
      <c r="BN143" s="67">
        <f>IFERROR(Y143*I143,"0")</f>
        <v>207.40159999999997</v>
      </c>
      <c r="BO143" s="67">
        <f>IFERROR(X143/J143,"0")</f>
        <v>0.8</v>
      </c>
      <c r="BP143" s="67">
        <f>IFERROR(Y143/J143,"0")</f>
        <v>0.8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84</v>
      </c>
      <c r="Y144" s="356">
        <f>IFERROR(SUM(Y142:Y143),"0")</f>
        <v>84</v>
      </c>
      <c r="Z144" s="356">
        <f>IFERROR(IF(Z142="",0,Z142),"0")+IFERROR(IF(Z143="",0,Z143),"0")</f>
        <v>1.5019199999999999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252</v>
      </c>
      <c r="Y145" s="356">
        <f>IFERROR(SUMPRODUCT(Y142:Y143*H142:H143),"0")</f>
        <v>252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</v>
      </c>
      <c r="Y148" s="355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45.919999999999995</v>
      </c>
      <c r="BN148" s="67">
        <f>IFERROR(Y148*I148,"0")</f>
        <v>45.919999999999995</v>
      </c>
      <c r="BO148" s="67">
        <f>IFERROR(X148/J148,"0")</f>
        <v>0.2</v>
      </c>
      <c r="BP148" s="67">
        <f>IFERROR(Y148/J148,"0")</f>
        <v>0.2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14</v>
      </c>
      <c r="Y150" s="356">
        <f>IFERROR(SUM(Y148:Y149),"0")</f>
        <v>14</v>
      </c>
      <c r="Z150" s="356">
        <f>IFERROR(IF(Z148="",0,Z148),"0")+IFERROR(IF(Z149="",0,Z149),"0")</f>
        <v>0.25031999999999999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42</v>
      </c>
      <c r="Y151" s="356">
        <f>IFERROR(SUMPRODUCT(Y148:Y149*H148:H149),"0")</f>
        <v>42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42</v>
      </c>
      <c r="Y171" s="355">
        <f>IFERROR(IF(X171="","",X171),"")</f>
        <v>42</v>
      </c>
      <c r="Z171" s="36">
        <f>IFERROR(IF(X171="","",X171*0.00941),"")</f>
        <v>0.39522000000000002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88.275599999999997</v>
      </c>
      <c r="BN171" s="67">
        <f>IFERROR(Y171*I171,"0")</f>
        <v>88.275599999999997</v>
      </c>
      <c r="BO171" s="67">
        <f>IFERROR(X171/J171,"0")</f>
        <v>0.3</v>
      </c>
      <c r="BP171" s="67">
        <f>IFERROR(Y171/J171,"0")</f>
        <v>0.3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42</v>
      </c>
      <c r="Y172" s="356">
        <f>IFERROR(SUM(Y171:Y171),"0")</f>
        <v>42</v>
      </c>
      <c r="Z172" s="356">
        <f>IFERROR(IF(Z171="",0,Z171),"0")</f>
        <v>0.39522000000000002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70.56</v>
      </c>
      <c r="Y173" s="356">
        <f>IFERROR(SUMPRODUCT(Y171:Y171*H171:H171),"0")</f>
        <v>70.56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252</v>
      </c>
      <c r="Y184" s="355">
        <f>IFERROR(IF(X184="","",X184),"")</f>
        <v>252</v>
      </c>
      <c r="Z184" s="36">
        <f>IFERROR(IF(X184="","",X184*0.00866),"")</f>
        <v>2.1823199999999998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1313.7264</v>
      </c>
      <c r="BN184" s="67">
        <f>IFERROR(Y184*I184,"0")</f>
        <v>1313.7264</v>
      </c>
      <c r="BO184" s="67">
        <f>IFERROR(X184/J184,"0")</f>
        <v>1.75</v>
      </c>
      <c r="BP184" s="67">
        <f>IFERROR(Y184/J184,"0")</f>
        <v>1.75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252</v>
      </c>
      <c r="Y186" s="356">
        <f>IFERROR(SUM(Y182:Y185),"0")</f>
        <v>252</v>
      </c>
      <c r="Z186" s="356">
        <f>IFERROR(IF(Z182="",0,Z182),"0")+IFERROR(IF(Z183="",0,Z183),"0")+IFERROR(IF(Z184="",0,Z184),"0")+IFERROR(IF(Z185="",0,Z185),"0")</f>
        <v>2.1823199999999998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1260</v>
      </c>
      <c r="Y187" s="356">
        <f>IFERROR(SUMPRODUCT(Y182:Y185*H182:H185),"0")</f>
        <v>1260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98</v>
      </c>
      <c r="Y196" s="355">
        <f>IFERROR(IF(X196="","",X196),"")</f>
        <v>98</v>
      </c>
      <c r="Z196" s="36">
        <f>IFERROR(IF(X196="","",X196*0.01788),"")</f>
        <v>1.75224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332.024</v>
      </c>
      <c r="BN196" s="67">
        <f>IFERROR(Y196*I196,"0")</f>
        <v>332.024</v>
      </c>
      <c r="BO196" s="67">
        <f>IFERROR(X196/J196,"0")</f>
        <v>1.4</v>
      </c>
      <c r="BP196" s="67">
        <f>IFERROR(Y196/J196,"0")</f>
        <v>1.4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112</v>
      </c>
      <c r="Y198" s="355">
        <f>IFERROR(IF(X198="","",X198),"")</f>
        <v>112</v>
      </c>
      <c r="Z198" s="36">
        <f>IFERROR(IF(X198="","",X198*0.01788),"")</f>
        <v>2.0025599999999999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418.43200000000002</v>
      </c>
      <c r="BN198" s="67">
        <f>IFERROR(Y198*I198,"0")</f>
        <v>418.43200000000002</v>
      </c>
      <c r="BO198" s="67">
        <f>IFERROR(X198/J198,"0")</f>
        <v>1.6</v>
      </c>
      <c r="BP198" s="67">
        <f>IFERROR(Y198/J198,"0")</f>
        <v>1.6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210</v>
      </c>
      <c r="Y199" s="356">
        <f>IFERROR(SUM(Y196:Y198),"0")</f>
        <v>210</v>
      </c>
      <c r="Z199" s="356">
        <f>IFERROR(IF(Z196="",0,Z196),"0")+IFERROR(IF(Z197="",0,Z197),"0")+IFERROR(IF(Z198="",0,Z198),"0")</f>
        <v>3.7547999999999999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630</v>
      </c>
      <c r="Y200" s="356">
        <f>IFERROR(SUMPRODUCT(Y196:Y198*H196:H198),"0")</f>
        <v>630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120</v>
      </c>
      <c r="Y216" s="355">
        <f>IFERROR(IF(X216="","",X216),"")</f>
        <v>120</v>
      </c>
      <c r="Z216" s="36">
        <f>IFERROR(IF(X216="","",X216*0.0155),"")</f>
        <v>1.8599999999999999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704.4</v>
      </c>
      <c r="BN216" s="67">
        <f>IFERROR(Y216*I216,"0")</f>
        <v>704.4</v>
      </c>
      <c r="BO216" s="67">
        <f>IFERROR(X216/J216,"0")</f>
        <v>1.4285714285714286</v>
      </c>
      <c r="BP216" s="67">
        <f>IFERROR(Y216/J216,"0")</f>
        <v>1.4285714285714286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120</v>
      </c>
      <c r="Y219" s="356">
        <f>IFERROR(SUM(Y216:Y218),"0")</f>
        <v>120</v>
      </c>
      <c r="Z219" s="356">
        <f>IFERROR(IF(Z216="",0,Z216),"0")+IFERROR(IF(Z217="",0,Z217),"0")+IFERROR(IF(Z218="",0,Z218),"0")</f>
        <v>1.8599999999999999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672</v>
      </c>
      <c r="Y220" s="356">
        <f>IFERROR(SUMPRODUCT(Y216:Y218*H216:H218),"0")</f>
        <v>672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12</v>
      </c>
      <c r="Y234" s="355">
        <f>IFERROR(IF(X234="","",X234),"")</f>
        <v>12</v>
      </c>
      <c r="Z234" s="36">
        <f>IFERROR(IF(X234="","",X234*0.0155),"")</f>
        <v>0.186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89.64</v>
      </c>
      <c r="BN234" s="67">
        <f>IFERROR(Y234*I234,"0")</f>
        <v>89.64</v>
      </c>
      <c r="BO234" s="67">
        <f>IFERROR(X234/J234,"0")</f>
        <v>0.14285714285714285</v>
      </c>
      <c r="BP234" s="67">
        <f>IFERROR(Y234/J234,"0")</f>
        <v>0.14285714285714285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36</v>
      </c>
      <c r="Y236" s="355">
        <f>IFERROR(IF(X236="","",X236),"")</f>
        <v>36</v>
      </c>
      <c r="Z236" s="36">
        <f>IFERROR(IF(X236="","",X236*0.0155),"")</f>
        <v>0.55800000000000005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268.92</v>
      </c>
      <c r="BN236" s="67">
        <f>IFERROR(Y236*I236,"0")</f>
        <v>268.92</v>
      </c>
      <c r="BO236" s="67">
        <f>IFERROR(X236/J236,"0")</f>
        <v>0.42857142857142855</v>
      </c>
      <c r="BP236" s="67">
        <f>IFERROR(Y236/J236,"0")</f>
        <v>0.42857142857142855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48</v>
      </c>
      <c r="Y237" s="356">
        <f>IFERROR(SUM(Y233:Y236),"0")</f>
        <v>48</v>
      </c>
      <c r="Z237" s="356">
        <f>IFERROR(IF(Z233="",0,Z233),"0")+IFERROR(IF(Z234="",0,Z234),"0")+IFERROR(IF(Z235="",0,Z235),"0")+IFERROR(IF(Z236="",0,Z236),"0")</f>
        <v>0.74399999999999999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345.6</v>
      </c>
      <c r="Y238" s="356">
        <f>IFERROR(SUMPRODUCT(Y233:Y236*H233:H236),"0")</f>
        <v>345.6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288</v>
      </c>
      <c r="Y270" s="355">
        <f>IFERROR(IF(X270="","",X270),"")</f>
        <v>288</v>
      </c>
      <c r="Z270" s="36">
        <f>IFERROR(IF(X270="","",X270*0.0155),"")</f>
        <v>4.4640000000000004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1515.4559999999999</v>
      </c>
      <c r="BN270" s="67">
        <f>IFERROR(Y270*I270,"0")</f>
        <v>1515.4559999999999</v>
      </c>
      <c r="BO270" s="67">
        <f>IFERROR(X270/J270,"0")</f>
        <v>3.4285714285714284</v>
      </c>
      <c r="BP270" s="67">
        <f>IFERROR(Y270/J270,"0")</f>
        <v>3.4285714285714284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288</v>
      </c>
      <c r="Y272" s="356">
        <f>IFERROR(SUM(Y270:Y271),"0")</f>
        <v>288</v>
      </c>
      <c r="Z272" s="356">
        <f>IFERROR(IF(Z270="",0,Z270),"0")+IFERROR(IF(Z271="",0,Z271),"0")</f>
        <v>4.4640000000000004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1440</v>
      </c>
      <c r="Y273" s="356">
        <f>IFERROR(SUMPRODUCT(Y270:Y271*H270:H271),"0")</f>
        <v>1440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36</v>
      </c>
      <c r="Y288" s="355">
        <f>IFERROR(IF(X288="","",X288),"")</f>
        <v>36</v>
      </c>
      <c r="Z288" s="36">
        <f>IFERROR(IF(X288="","",X288*0.0155),"")</f>
        <v>0.55800000000000005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262.08</v>
      </c>
      <c r="BN288" s="67">
        <f>IFERROR(Y288*I288,"0")</f>
        <v>262.08</v>
      </c>
      <c r="BO288" s="67">
        <f>IFERROR(X288/J288,"0")</f>
        <v>0.42857142857142855</v>
      </c>
      <c r="BP288" s="67">
        <f>IFERROR(Y288/J288,"0")</f>
        <v>0.42857142857142855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36</v>
      </c>
      <c r="Y290" s="356">
        <f>IFERROR(SUM(Y287:Y289),"0")</f>
        <v>36</v>
      </c>
      <c r="Z290" s="356">
        <f>IFERROR(IF(Z287="",0,Z287),"0")+IFERROR(IF(Z288="",0,Z288),"0")+IFERROR(IF(Z289="",0,Z289),"0")</f>
        <v>0.55800000000000005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252</v>
      </c>
      <c r="Y291" s="356">
        <f>IFERROR(SUMPRODUCT(Y287:Y289*H287:H289),"0")</f>
        <v>252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126</v>
      </c>
      <c r="Y293" s="355">
        <f>IFERROR(IF(X293="","",X293),"")</f>
        <v>126</v>
      </c>
      <c r="Z293" s="36">
        <f>IFERROR(IF(X293="","",X293*0.00502),"")</f>
        <v>0.63251999999999997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241.29</v>
      </c>
      <c r="BN293" s="67">
        <f>IFERROR(Y293*I293,"0")</f>
        <v>241.29</v>
      </c>
      <c r="BO293" s="67">
        <f>IFERROR(X293/J293,"0")</f>
        <v>0.53846153846153844</v>
      </c>
      <c r="BP293" s="67">
        <f>IFERROR(Y293/J293,"0")</f>
        <v>0.53846153846153844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126</v>
      </c>
      <c r="Y294" s="356">
        <f>IFERROR(SUM(Y293:Y293),"0")</f>
        <v>126</v>
      </c>
      <c r="Z294" s="356">
        <f>IFERROR(IF(Z293="",0,Z293),"0")</f>
        <v>0.63251999999999997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226.8</v>
      </c>
      <c r="Y295" s="356">
        <f>IFERROR(SUMPRODUCT(Y293:Y293*H293:H293),"0")</f>
        <v>226.8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72</v>
      </c>
      <c r="Y297" s="355">
        <f>IFERROR(IF(X297="","",X297),"")</f>
        <v>72</v>
      </c>
      <c r="Z297" s="36">
        <f>IFERROR(IF(X297="","",X297*0.0155),"")</f>
        <v>1.1160000000000001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450.71999999999997</v>
      </c>
      <c r="BN297" s="67">
        <f>IFERROR(Y297*I297,"0")</f>
        <v>450.71999999999997</v>
      </c>
      <c r="BO297" s="67">
        <f>IFERROR(X297/J297,"0")</f>
        <v>0.8571428571428571</v>
      </c>
      <c r="BP297" s="67">
        <f>IFERROR(Y297/J297,"0")</f>
        <v>0.8571428571428571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72</v>
      </c>
      <c r="Y299" s="356">
        <f>IFERROR(SUM(Y297:Y298),"0")</f>
        <v>72</v>
      </c>
      <c r="Z299" s="356">
        <f>IFERROR(IF(Z297="",0,Z297),"0")+IFERROR(IF(Z298="",0,Z298),"0")</f>
        <v>1.1160000000000001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432</v>
      </c>
      <c r="Y300" s="356">
        <f>IFERROR(SUMPRODUCT(Y297:Y298*H297:H298),"0")</f>
        <v>432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312</v>
      </c>
      <c r="Y303" s="355">
        <f>IFERROR(IF(X303="","",X303),"")</f>
        <v>312</v>
      </c>
      <c r="Z303" s="36">
        <f>IFERROR(IF(X303="","",X303*0.0155),"")</f>
        <v>4.8360000000000003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1633.3200000000002</v>
      </c>
      <c r="BN303" s="67">
        <f>IFERROR(Y303*I303,"0")</f>
        <v>1633.3200000000002</v>
      </c>
      <c r="BO303" s="67">
        <f>IFERROR(X303/J303,"0")</f>
        <v>3.7142857142857144</v>
      </c>
      <c r="BP303" s="67">
        <f>IFERROR(Y303/J303,"0")</f>
        <v>3.7142857142857144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312</v>
      </c>
      <c r="Y305" s="356">
        <f>IFERROR(SUM(Y302:Y304),"0")</f>
        <v>312</v>
      </c>
      <c r="Z305" s="356">
        <f>IFERROR(IF(Z302="",0,Z302),"0")+IFERROR(IF(Z303="",0,Z303),"0")+IFERROR(IF(Z304="",0,Z304),"0")</f>
        <v>4.8360000000000003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1560</v>
      </c>
      <c r="Y306" s="356">
        <f>IFERROR(SUMPRODUCT(Y302:Y304*H302:H304),"0")</f>
        <v>1560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98</v>
      </c>
      <c r="Y309" s="355">
        <f t="shared" si="30"/>
        <v>98</v>
      </c>
      <c r="Z309" s="36">
        <f>IFERROR(IF(X309="","",X309*0.00936),"")</f>
        <v>0.91727999999999998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381.416</v>
      </c>
      <c r="BN309" s="67">
        <f t="shared" si="32"/>
        <v>381.416</v>
      </c>
      <c r="BO309" s="67">
        <f t="shared" si="33"/>
        <v>0.77777777777777779</v>
      </c>
      <c r="BP309" s="67">
        <f t="shared" si="34"/>
        <v>0.77777777777777779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24</v>
      </c>
      <c r="Y310" s="355">
        <f t="shared" si="30"/>
        <v>24</v>
      </c>
      <c r="Z310" s="36">
        <f>IFERROR(IF(X310="","",X310*0.0155),"")</f>
        <v>0.372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137.64000000000001</v>
      </c>
      <c r="BN310" s="67">
        <f t="shared" si="32"/>
        <v>137.64000000000001</v>
      </c>
      <c r="BO310" s="67">
        <f t="shared" si="33"/>
        <v>0.2857142857142857</v>
      </c>
      <c r="BP310" s="67">
        <f t="shared" si="34"/>
        <v>0.2857142857142857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70</v>
      </c>
      <c r="Y313" s="355">
        <f t="shared" si="30"/>
        <v>70</v>
      </c>
      <c r="Z313" s="36">
        <f t="shared" si="35"/>
        <v>0.6552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223.44</v>
      </c>
      <c r="BN313" s="67">
        <f t="shared" si="32"/>
        <v>223.44</v>
      </c>
      <c r="BO313" s="67">
        <f t="shared" si="33"/>
        <v>0.55555555555555558</v>
      </c>
      <c r="BP313" s="67">
        <f t="shared" si="34"/>
        <v>0.55555555555555558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192</v>
      </c>
      <c r="Y329" s="356">
        <f>IFERROR(SUM(Y308:Y328),"0")</f>
        <v>192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1.94448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704.6</v>
      </c>
      <c r="Y330" s="356">
        <f>IFERROR(SUMPRODUCT(Y308:Y328*H308:H328),"0")</f>
        <v>704.6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14339.240000000002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14339.240000000002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15514.890399999998</v>
      </c>
      <c r="Y337" s="356">
        <f>IFERROR(SUM(BN22:BN333),"0")</f>
        <v>15514.890399999998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36</v>
      </c>
      <c r="Y338" s="38">
        <f>ROUNDUP(SUM(BP22:BP333),0)</f>
        <v>36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16414.890399999997</v>
      </c>
      <c r="Y339" s="356">
        <f>GrossWeightTotalR+PalletQtyTotalR*25</f>
        <v>16414.890399999997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3178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3178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45.450819999999993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210</v>
      </c>
      <c r="D346" s="46">
        <f>IFERROR(X39*H39,"0")+IFERROR(X40*H40,"0")+IFERROR(X41*H41,"0")</f>
        <v>537.6</v>
      </c>
      <c r="E346" s="46">
        <f>IFERROR(X46*H46,"0")+IFERROR(X47*H47,"0")+IFERROR(X48*H48,"0")+IFERROR(X49*H49,"0")+IFERROR(X50*H50,"0")+IFERROR(X51*H51,"0")+IFERROR(X52*H52,"0")+IFERROR(X53*H53,"0")</f>
        <v>1000.8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480</v>
      </c>
      <c r="H346" s="46">
        <f>IFERROR(X88*H88,"0")+IFERROR(X89*H89,"0")</f>
        <v>252</v>
      </c>
      <c r="I346" s="46">
        <f>IFERROR(X94*H94,"0")+IFERROR(X95*H95,"0")+IFERROR(X96*H96,"0")+IFERROR(X97*H97,"0")+IFERROR(X98*H98,"0")</f>
        <v>453.6</v>
      </c>
      <c r="J346" s="46">
        <f>IFERROR(X103*H103,"0")+IFERROR(X104*H104,"0")+IFERROR(X105*H105,"0")+IFERROR(X106*H106,"0")+IFERROR(X107*H107,"0")+IFERROR(X108*H108,"0")+IFERROR(X109*H109,"0")</f>
        <v>705.6</v>
      </c>
      <c r="K346" s="46">
        <f>IFERROR(X114*H114,"0")+IFERROR(X115*H115,"0")+IFERROR(X116*H116,"0")+IFERROR(X117*H117,"0")</f>
        <v>110.88</v>
      </c>
      <c r="L346" s="46">
        <f>IFERROR(X122*H122,"0")+IFERROR(X123*H123,"0")+IFERROR(X124*H124,"0")+IFERROR(X125*H125,"0")+IFERROR(X126*H126,"0")+IFERROR(X127*H127,"0")+IFERROR(X131*H131,"0")</f>
        <v>2239.1999999999998</v>
      </c>
      <c r="M346" s="46">
        <f>IFERROR(X136*H136,"0")+IFERROR(X137*H137,"0")</f>
        <v>462</v>
      </c>
      <c r="N346" s="352"/>
      <c r="O346" s="46">
        <f>IFERROR(X142*H142,"0")+IFERROR(X143*H143,"0")</f>
        <v>252</v>
      </c>
      <c r="P346" s="46">
        <f>IFERROR(X148*H148,"0")+IFERROR(X149*H149,"0")</f>
        <v>42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70.56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1260</v>
      </c>
      <c r="W346" s="46">
        <f>IFERROR(X196*H196,"0")+IFERROR(X197*H197,"0")+IFERROR(X198*H198,"0")+IFERROR(X202*H202,"0")</f>
        <v>630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672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345.6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1440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3175.4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8227.2000000000007</v>
      </c>
      <c r="B349" s="60">
        <f>SUMPRODUCT(--(BB:BB="ПГП"),--(W:W="кор"),H:H,Y:Y)+SUMPRODUCT(--(BB:BB="ПГП"),--(W:W="кг"),Y:Y)</f>
        <v>6112.0400000000009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