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24,04,25 ПОКОМ КИ филиалы\"/>
    </mc:Choice>
  </mc:AlternateContent>
  <xr:revisionPtr revIDLastSave="0" documentId="13_ncr:1_{55E4E79E-CA80-48DE-99E9-81008894761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7" i="1" l="1"/>
  <c r="AG8" i="1"/>
  <c r="AG9" i="1"/>
  <c r="AG10" i="1"/>
  <c r="AG11" i="1"/>
  <c r="AG13" i="1"/>
  <c r="AG14" i="1"/>
  <c r="AG19" i="1"/>
  <c r="AG20" i="1"/>
  <c r="AG23" i="1"/>
  <c r="AG24" i="1"/>
  <c r="AG25" i="1"/>
  <c r="AG28" i="1"/>
  <c r="AG29" i="1"/>
  <c r="AG31" i="1"/>
  <c r="AG32" i="1"/>
  <c r="AG37" i="1"/>
  <c r="AG38" i="1"/>
  <c r="AG40" i="1"/>
  <c r="AG43" i="1"/>
  <c r="AG47" i="1"/>
  <c r="AG48" i="1"/>
  <c r="AG49" i="1"/>
  <c r="AG50" i="1"/>
  <c r="AG52" i="1"/>
  <c r="AG53" i="1"/>
  <c r="AG55" i="1"/>
  <c r="AG57" i="1"/>
  <c r="AG58" i="1"/>
  <c r="AG59" i="1"/>
  <c r="AG60" i="1"/>
  <c r="AG63" i="1"/>
  <c r="AG64" i="1"/>
  <c r="AG65" i="1"/>
  <c r="AG66" i="1"/>
  <c r="AG67" i="1"/>
  <c r="AG68" i="1"/>
  <c r="AG69" i="1"/>
  <c r="AG70" i="1"/>
  <c r="AG71" i="1"/>
  <c r="AG72" i="1"/>
  <c r="AG74" i="1"/>
  <c r="AG75" i="1"/>
  <c r="AG76" i="1"/>
  <c r="AG77" i="1"/>
  <c r="AG79" i="1"/>
  <c r="AG80" i="1"/>
  <c r="AG81" i="1"/>
  <c r="AG82" i="1"/>
  <c r="AG83" i="1"/>
  <c r="AG84" i="1"/>
  <c r="AG85" i="1"/>
  <c r="AG86" i="1"/>
  <c r="AG87" i="1"/>
  <c r="AG90" i="1"/>
  <c r="AG91" i="1"/>
  <c r="AG92" i="1"/>
  <c r="AG96" i="1"/>
  <c r="AG97" i="1"/>
  <c r="AG98" i="1"/>
  <c r="AG6" i="1"/>
  <c r="L7" i="1" l="1"/>
  <c r="P7" i="1" s="1"/>
  <c r="L8" i="1"/>
  <c r="P8" i="1" s="1"/>
  <c r="U8" i="1" s="1"/>
  <c r="L9" i="1"/>
  <c r="P9" i="1" s="1"/>
  <c r="L10" i="1"/>
  <c r="P10" i="1" s="1"/>
  <c r="U10" i="1" s="1"/>
  <c r="L11" i="1"/>
  <c r="P11" i="1" s="1"/>
  <c r="L12" i="1"/>
  <c r="P12" i="1" s="1"/>
  <c r="L13" i="1"/>
  <c r="P13" i="1" s="1"/>
  <c r="L14" i="1"/>
  <c r="P14" i="1" s="1"/>
  <c r="T14" i="1" s="1"/>
  <c r="L15" i="1"/>
  <c r="P15" i="1" s="1"/>
  <c r="L16" i="1"/>
  <c r="P16" i="1" s="1"/>
  <c r="L17" i="1"/>
  <c r="P17" i="1" s="1"/>
  <c r="L18" i="1"/>
  <c r="P18" i="1" s="1"/>
  <c r="L19" i="1"/>
  <c r="P19" i="1" s="1"/>
  <c r="L20" i="1"/>
  <c r="P20" i="1" s="1"/>
  <c r="U20" i="1" s="1"/>
  <c r="L21" i="1"/>
  <c r="P21" i="1" s="1"/>
  <c r="AG21" i="1" s="1"/>
  <c r="L22" i="1"/>
  <c r="P22" i="1" s="1"/>
  <c r="Q22" i="1" s="1"/>
  <c r="AG22" i="1" s="1"/>
  <c r="L23" i="1"/>
  <c r="P23" i="1" s="1"/>
  <c r="L24" i="1"/>
  <c r="P24" i="1" s="1"/>
  <c r="U24" i="1" s="1"/>
  <c r="L25" i="1"/>
  <c r="P25" i="1" s="1"/>
  <c r="L26" i="1"/>
  <c r="P26" i="1" s="1"/>
  <c r="L27" i="1"/>
  <c r="P27" i="1" s="1"/>
  <c r="L28" i="1"/>
  <c r="P28" i="1" s="1"/>
  <c r="U28" i="1" s="1"/>
  <c r="L29" i="1"/>
  <c r="P29" i="1" s="1"/>
  <c r="L30" i="1"/>
  <c r="P30" i="1" s="1"/>
  <c r="Q30" i="1" s="1"/>
  <c r="L31" i="1"/>
  <c r="P31" i="1" s="1"/>
  <c r="L32" i="1"/>
  <c r="P32" i="1" s="1"/>
  <c r="U32" i="1" s="1"/>
  <c r="L33" i="1"/>
  <c r="P33" i="1" s="1"/>
  <c r="L34" i="1"/>
  <c r="P34" i="1" s="1"/>
  <c r="L35" i="1"/>
  <c r="P35" i="1" s="1"/>
  <c r="L36" i="1"/>
  <c r="P36" i="1" s="1"/>
  <c r="L37" i="1"/>
  <c r="P37" i="1" s="1"/>
  <c r="L38" i="1"/>
  <c r="P38" i="1" s="1"/>
  <c r="T38" i="1" s="1"/>
  <c r="L39" i="1"/>
  <c r="P39" i="1" s="1"/>
  <c r="L40" i="1"/>
  <c r="P40" i="1" s="1"/>
  <c r="U40" i="1" s="1"/>
  <c r="L41" i="1"/>
  <c r="P41" i="1" s="1"/>
  <c r="Q41" i="1" s="1"/>
  <c r="AG41" i="1" s="1"/>
  <c r="L42" i="1"/>
  <c r="P42" i="1" s="1"/>
  <c r="L43" i="1"/>
  <c r="P43" i="1" s="1"/>
  <c r="L44" i="1"/>
  <c r="P44" i="1" s="1"/>
  <c r="L45" i="1"/>
  <c r="P45" i="1" s="1"/>
  <c r="L46" i="1"/>
  <c r="P46" i="1" s="1"/>
  <c r="Q46" i="1" s="1"/>
  <c r="L47" i="1"/>
  <c r="P47" i="1" s="1"/>
  <c r="L48" i="1"/>
  <c r="P48" i="1" s="1"/>
  <c r="U48" i="1" s="1"/>
  <c r="L49" i="1"/>
  <c r="P49" i="1" s="1"/>
  <c r="L50" i="1"/>
  <c r="P50" i="1" s="1"/>
  <c r="U50" i="1" s="1"/>
  <c r="L51" i="1"/>
  <c r="P51" i="1" s="1"/>
  <c r="L52" i="1"/>
  <c r="P52" i="1" s="1"/>
  <c r="U52" i="1" s="1"/>
  <c r="L53" i="1"/>
  <c r="P53" i="1" s="1"/>
  <c r="L54" i="1"/>
  <c r="P54" i="1" s="1"/>
  <c r="Q54" i="1" s="1"/>
  <c r="L55" i="1"/>
  <c r="P55" i="1" s="1"/>
  <c r="L56" i="1"/>
  <c r="P56" i="1" s="1"/>
  <c r="L57" i="1"/>
  <c r="P57" i="1" s="1"/>
  <c r="L58" i="1"/>
  <c r="P58" i="1" s="1"/>
  <c r="U58" i="1" s="1"/>
  <c r="L59" i="1"/>
  <c r="P59" i="1" s="1"/>
  <c r="L60" i="1"/>
  <c r="P60" i="1" s="1"/>
  <c r="U60" i="1" s="1"/>
  <c r="L61" i="1"/>
  <c r="P61" i="1" s="1"/>
  <c r="L62" i="1"/>
  <c r="P62" i="1" s="1"/>
  <c r="Q62" i="1" s="1"/>
  <c r="L63" i="1"/>
  <c r="P63" i="1" s="1"/>
  <c r="L64" i="1"/>
  <c r="P64" i="1" s="1"/>
  <c r="U64" i="1" s="1"/>
  <c r="L65" i="1"/>
  <c r="P65" i="1" s="1"/>
  <c r="L66" i="1"/>
  <c r="P66" i="1" s="1"/>
  <c r="U66" i="1" s="1"/>
  <c r="L67" i="1"/>
  <c r="P67" i="1" s="1"/>
  <c r="L68" i="1"/>
  <c r="P68" i="1" s="1"/>
  <c r="U68" i="1" s="1"/>
  <c r="L69" i="1"/>
  <c r="P69" i="1" s="1"/>
  <c r="L70" i="1"/>
  <c r="P70" i="1" s="1"/>
  <c r="T70" i="1" s="1"/>
  <c r="L71" i="1"/>
  <c r="P71" i="1" s="1"/>
  <c r="L72" i="1"/>
  <c r="P72" i="1" s="1"/>
  <c r="U72" i="1" s="1"/>
  <c r="L73" i="1"/>
  <c r="P73" i="1" s="1"/>
  <c r="AG73" i="1" s="1"/>
  <c r="L74" i="1"/>
  <c r="P74" i="1" s="1"/>
  <c r="U74" i="1" s="1"/>
  <c r="L75" i="1"/>
  <c r="P75" i="1" s="1"/>
  <c r="L76" i="1"/>
  <c r="P76" i="1" s="1"/>
  <c r="U76" i="1" s="1"/>
  <c r="L77" i="1"/>
  <c r="P77" i="1" s="1"/>
  <c r="L78" i="1"/>
  <c r="P78" i="1" s="1"/>
  <c r="L79" i="1"/>
  <c r="P79" i="1" s="1"/>
  <c r="L80" i="1"/>
  <c r="P80" i="1" s="1"/>
  <c r="U80" i="1" s="1"/>
  <c r="L81" i="1"/>
  <c r="P81" i="1" s="1"/>
  <c r="L82" i="1"/>
  <c r="P82" i="1" s="1"/>
  <c r="U82" i="1" s="1"/>
  <c r="L83" i="1"/>
  <c r="P83" i="1" s="1"/>
  <c r="L84" i="1"/>
  <c r="P84" i="1" s="1"/>
  <c r="U84" i="1" s="1"/>
  <c r="L85" i="1"/>
  <c r="P85" i="1" s="1"/>
  <c r="U85" i="1" s="1"/>
  <c r="L86" i="1"/>
  <c r="P86" i="1" s="1"/>
  <c r="T86" i="1" s="1"/>
  <c r="L87" i="1"/>
  <c r="P87" i="1" s="1"/>
  <c r="U87" i="1" s="1"/>
  <c r="L88" i="1"/>
  <c r="P88" i="1" s="1"/>
  <c r="L89" i="1"/>
  <c r="P89" i="1" s="1"/>
  <c r="U89" i="1" s="1"/>
  <c r="L90" i="1"/>
  <c r="P90" i="1" s="1"/>
  <c r="L91" i="1"/>
  <c r="P91" i="1" s="1"/>
  <c r="U91" i="1" s="1"/>
  <c r="L92" i="1"/>
  <c r="P92" i="1" s="1"/>
  <c r="U92" i="1" s="1"/>
  <c r="L93" i="1"/>
  <c r="P93" i="1" s="1"/>
  <c r="L94" i="1"/>
  <c r="P94" i="1" s="1"/>
  <c r="Q94" i="1" s="1"/>
  <c r="L95" i="1"/>
  <c r="P95" i="1" s="1"/>
  <c r="U95" i="1" s="1"/>
  <c r="L96" i="1"/>
  <c r="P96" i="1" s="1"/>
  <c r="U96" i="1" s="1"/>
  <c r="L97" i="1"/>
  <c r="P97" i="1" s="1"/>
  <c r="U97" i="1" s="1"/>
  <c r="L98" i="1"/>
  <c r="P98" i="1" s="1"/>
  <c r="L6" i="1"/>
  <c r="P6" i="1" s="1"/>
  <c r="U93" i="1" l="1"/>
  <c r="Q93" i="1"/>
  <c r="Q61" i="1"/>
  <c r="AG61" i="1" s="1"/>
  <c r="Q51" i="1"/>
  <c r="AG51" i="1" s="1"/>
  <c r="Q45" i="1"/>
  <c r="AG45" i="1" s="1"/>
  <c r="Q39" i="1"/>
  <c r="AG39" i="1" s="1"/>
  <c r="Q35" i="1"/>
  <c r="AG35" i="1" s="1"/>
  <c r="Q33" i="1"/>
  <c r="AG33" i="1" s="1"/>
  <c r="Q27" i="1"/>
  <c r="AG27" i="1" s="1"/>
  <c r="Q17" i="1"/>
  <c r="AG17" i="1" s="1"/>
  <c r="Q15" i="1"/>
  <c r="AG15" i="1" s="1"/>
  <c r="U88" i="1"/>
  <c r="Q88" i="1"/>
  <c r="U56" i="1"/>
  <c r="Q56" i="1"/>
  <c r="T56" i="1" s="1"/>
  <c r="U44" i="1"/>
  <c r="Q44" i="1"/>
  <c r="U42" i="1"/>
  <c r="Q42" i="1"/>
  <c r="AG42" i="1" s="1"/>
  <c r="U36" i="1"/>
  <c r="Q36" i="1"/>
  <c r="U34" i="1"/>
  <c r="Q34" i="1"/>
  <c r="AG34" i="1" s="1"/>
  <c r="U26" i="1"/>
  <c r="Q26" i="1"/>
  <c r="AG26" i="1" s="1"/>
  <c r="U18" i="1"/>
  <c r="Q18" i="1"/>
  <c r="T18" i="1" s="1"/>
  <c r="U16" i="1"/>
  <c r="Q16" i="1"/>
  <c r="U12" i="1"/>
  <c r="Q12" i="1"/>
  <c r="T10" i="1"/>
  <c r="T80" i="1"/>
  <c r="T24" i="1"/>
  <c r="T8" i="1"/>
  <c r="AG18" i="1"/>
  <c r="AG56" i="1"/>
  <c r="Q78" i="1"/>
  <c r="Q89" i="1"/>
  <c r="AG89" i="1" s="1"/>
  <c r="Q95" i="1"/>
  <c r="AG95" i="1" s="1"/>
  <c r="T22" i="1"/>
  <c r="T32" i="1"/>
  <c r="T40" i="1"/>
  <c r="T52" i="1"/>
  <c r="T90" i="1"/>
  <c r="T96" i="1"/>
  <c r="T98" i="1"/>
  <c r="T6" i="1"/>
  <c r="T82" i="1"/>
  <c r="T74" i="1"/>
  <c r="T66" i="1"/>
  <c r="T58" i="1"/>
  <c r="T50" i="1"/>
  <c r="T34" i="1"/>
  <c r="U94" i="1"/>
  <c r="U86" i="1"/>
  <c r="U78" i="1"/>
  <c r="U70" i="1"/>
  <c r="U62" i="1"/>
  <c r="U54" i="1"/>
  <c r="U46" i="1"/>
  <c r="U38" i="1"/>
  <c r="U30" i="1"/>
  <c r="U22" i="1"/>
  <c r="U14" i="1"/>
  <c r="U98" i="1"/>
  <c r="U90" i="1"/>
  <c r="U83" i="1"/>
  <c r="T83" i="1"/>
  <c r="U81" i="1"/>
  <c r="T81" i="1"/>
  <c r="U79" i="1"/>
  <c r="T79" i="1"/>
  <c r="U77" i="1"/>
  <c r="T77" i="1"/>
  <c r="U75" i="1"/>
  <c r="T75" i="1"/>
  <c r="U73" i="1"/>
  <c r="T73" i="1"/>
  <c r="U71" i="1"/>
  <c r="T71" i="1"/>
  <c r="U69" i="1"/>
  <c r="T69" i="1"/>
  <c r="U67" i="1"/>
  <c r="T67" i="1"/>
  <c r="U65" i="1"/>
  <c r="T65" i="1"/>
  <c r="U63" i="1"/>
  <c r="T63" i="1"/>
  <c r="U61" i="1"/>
  <c r="T61" i="1"/>
  <c r="U59" i="1"/>
  <c r="T59" i="1"/>
  <c r="U57" i="1"/>
  <c r="T57" i="1"/>
  <c r="U55" i="1"/>
  <c r="T55" i="1"/>
  <c r="U53" i="1"/>
  <c r="T53" i="1"/>
  <c r="U51" i="1"/>
  <c r="T51" i="1"/>
  <c r="U49" i="1"/>
  <c r="T49" i="1"/>
  <c r="U47" i="1"/>
  <c r="T47" i="1"/>
  <c r="U45" i="1"/>
  <c r="T45" i="1"/>
  <c r="U43" i="1"/>
  <c r="T43" i="1"/>
  <c r="U41" i="1"/>
  <c r="T41" i="1"/>
  <c r="U39" i="1"/>
  <c r="T39" i="1"/>
  <c r="U37" i="1"/>
  <c r="T37" i="1"/>
  <c r="U35" i="1"/>
  <c r="T35" i="1"/>
  <c r="U33" i="1"/>
  <c r="T33" i="1"/>
  <c r="U31" i="1"/>
  <c r="T31" i="1"/>
  <c r="U29" i="1"/>
  <c r="T29" i="1"/>
  <c r="U27" i="1"/>
  <c r="T27" i="1"/>
  <c r="U25" i="1"/>
  <c r="T25" i="1"/>
  <c r="U23" i="1"/>
  <c r="T23" i="1"/>
  <c r="U21" i="1"/>
  <c r="T21" i="1"/>
  <c r="U19" i="1"/>
  <c r="T19" i="1"/>
  <c r="U17" i="1"/>
  <c r="T17" i="1"/>
  <c r="U15" i="1"/>
  <c r="T15" i="1"/>
  <c r="U13" i="1"/>
  <c r="T13" i="1"/>
  <c r="U11" i="1"/>
  <c r="T11" i="1"/>
  <c r="U9" i="1"/>
  <c r="T9" i="1"/>
  <c r="U7" i="1"/>
  <c r="T7" i="1"/>
  <c r="U6" i="1"/>
  <c r="T97" i="1"/>
  <c r="T95" i="1"/>
  <c r="T91" i="1"/>
  <c r="T87" i="1"/>
  <c r="T85" i="1"/>
  <c r="T92" i="1"/>
  <c r="T84" i="1"/>
  <c r="T72" i="1"/>
  <c r="T68" i="1"/>
  <c r="T64" i="1"/>
  <c r="T48" i="1"/>
  <c r="T20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E5" i="1"/>
  <c r="AD5" i="1"/>
  <c r="AC5" i="1"/>
  <c r="AB5" i="1"/>
  <c r="AA5" i="1"/>
  <c r="Z5" i="1"/>
  <c r="Y5" i="1"/>
  <c r="X5" i="1"/>
  <c r="W5" i="1"/>
  <c r="V5" i="1"/>
  <c r="R5" i="1"/>
  <c r="P5" i="1"/>
  <c r="O5" i="1"/>
  <c r="N5" i="1"/>
  <c r="M5" i="1"/>
  <c r="L5" i="1"/>
  <c r="J5" i="1"/>
  <c r="F5" i="1"/>
  <c r="E5" i="1"/>
  <c r="T89" i="1" l="1"/>
  <c r="T94" i="1"/>
  <c r="AG94" i="1"/>
  <c r="T88" i="1"/>
  <c r="AG88" i="1"/>
  <c r="T62" i="1"/>
  <c r="AG62" i="1"/>
  <c r="T16" i="1"/>
  <c r="AG16" i="1"/>
  <c r="T44" i="1"/>
  <c r="AG44" i="1"/>
  <c r="T26" i="1"/>
  <c r="T42" i="1"/>
  <c r="T54" i="1"/>
  <c r="AG54" i="1"/>
  <c r="T46" i="1"/>
  <c r="AG46" i="1"/>
  <c r="T30" i="1"/>
  <c r="AG30" i="1"/>
  <c r="T12" i="1"/>
  <c r="AG12" i="1"/>
  <c r="T93" i="1"/>
  <c r="AG93" i="1"/>
  <c r="T78" i="1"/>
  <c r="AG78" i="1"/>
  <c r="T36" i="1"/>
  <c r="AG36" i="1"/>
  <c r="T28" i="1"/>
  <c r="T60" i="1"/>
  <c r="T76" i="1"/>
  <c r="Q5" i="1"/>
  <c r="K5" i="1"/>
  <c r="AG5" i="1" l="1"/>
</calcChain>
</file>

<file path=xl/sharedStrings.xml><?xml version="1.0" encoding="utf-8"?>
<sst xmlns="http://schemas.openxmlformats.org/spreadsheetml/2006/main" count="366" uniqueCount="146">
  <si>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</si>
  <si>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</si>
  <si>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</si>
  <si>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</si>
  <si>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</si>
  <si>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</si>
  <si>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</si>
  <si>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</si>
  <si>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</si>
  <si>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</si>
  <si>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</si>
  <si>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</si>
  <si>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</si>
  <si>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</si>
  <si>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</si>
  <si>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</si>
  <si>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</si>
  <si>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</si>
  <si>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</si>
  <si>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</si>
  <si>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</si>
  <si>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</si>
  <si>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21,04,</t>
  </si>
  <si>
    <t>26,04,</t>
  </si>
  <si>
    <t>24,04,</t>
  </si>
  <si>
    <t>23,04,</t>
  </si>
  <si>
    <t>17,04,</t>
  </si>
  <si>
    <t>16,04,</t>
  </si>
  <si>
    <t>10,04,</t>
  </si>
  <si>
    <t>09,04,</t>
  </si>
  <si>
    <t>03,04,</t>
  </si>
  <si>
    <t>02,04,</t>
  </si>
  <si>
    <t>27,03,</t>
  </si>
  <si>
    <t>26,03,</t>
  </si>
  <si>
    <t>20,03,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</si>
  <si>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</si>
  <si>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</si>
  <si>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</si>
  <si>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</si>
  <si>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</si>
  <si>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</si>
  <si>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</si>
  <si>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с 24,04,25 заказываем / Мера</t>
  </si>
  <si>
    <t xml:space="preserve"> 032  Сосиски Вязанка Сливочные, Вязанка амицел МГС, 0.45кг, ПОКОМ</t>
  </si>
  <si>
    <t>ТМА май / с 24,04,25 заказываем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</si>
  <si>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</si>
  <si>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</si>
  <si>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</si>
  <si>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</si>
  <si>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</si>
  <si>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</si>
  <si>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</si>
  <si>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</si>
  <si>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ТМА май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</si>
  <si>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</si>
  <si>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</si>
  <si>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</si>
  <si>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</si>
  <si>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>ТМА апрель_май</t>
  </si>
  <si>
    <t xml:space="preserve"> 236  Колбаса Рубленая ЗАПЕЧ. Дугушка ТМ Стародворье, вектор, в/к    ПОКОМ</t>
  </si>
  <si>
    <t>ТМА апрель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</si>
  <si>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</si>
  <si>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</si>
  <si>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</si>
  <si>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</si>
  <si>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</si>
  <si>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</si>
  <si>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</si>
  <si>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</si>
  <si>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</si>
  <si>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</si>
  <si>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</si>
  <si>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</si>
  <si>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</si>
  <si>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</si>
  <si>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</si>
  <si>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</si>
  <si>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</si>
  <si>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</si>
  <si>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</si>
  <si>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</si>
  <si>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</si>
  <si>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</si>
  <si>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</si>
  <si>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</si>
  <si>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</si>
  <si>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</si>
  <si>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</si>
  <si>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318  Сосиски Датские ТМ Зареченские, ВЕС 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</si>
  <si>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</si>
  <si>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</si>
  <si>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>заказываем с 06,02,25</t>
  </si>
  <si>
    <t xml:space="preserve"> 327  Сосиски Сочинки с сыром ТМ Стародворье, ВЕС ПОКОМ</t>
  </si>
  <si>
    <t>нет в бланке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</si>
  <si>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</si>
  <si>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</si>
  <si>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</si>
  <si>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</si>
  <si>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</si>
  <si>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</si>
  <si>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</si>
  <si>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</si>
  <si>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</si>
  <si>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</si>
  <si>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</si>
  <si>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</si>
  <si>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</si>
  <si>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</si>
  <si>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</si>
  <si>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</si>
  <si>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</si>
  <si>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</si>
  <si>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</si>
  <si>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</si>
  <si>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</si>
  <si>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</si>
  <si>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>нет в бланке / 12,12,24 в уценку 22шт.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</si>
  <si>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</si>
  <si>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</si>
  <si>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</si>
  <si>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</si>
  <si>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</si>
  <si>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</si>
  <si>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</si>
  <si>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</si>
  <si>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</si>
  <si>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>нужно увеличить продажи!!!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</si>
  <si>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</si>
  <si>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</si>
  <si>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ТМ Особый рецепт в оболочке полиамид. ВЕС.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</si>
  <si>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</si>
  <si>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</si>
  <si>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</si>
  <si>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</si>
  <si>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новинка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</si>
  <si>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</si>
  <si>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</si>
  <si>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</si>
  <si>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</si>
  <si>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</si>
  <si>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</si>
  <si>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</si>
  <si>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</si>
  <si>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</si>
  <si>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заказ</t>
  </si>
  <si>
    <t>28,04,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</si>
</sst>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6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4" fillId="10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8" width="7" customWidth="1"/>
    <col min="19" max="19" width="21" customWidth="1"/>
    <col min="20" max="21" width="5" customWidth="1"/>
    <col min="22" max="31" width="6" customWidth="1"/>
    <col min="32" max="32" width="37.5703125" customWidth="1"/>
    <col min="33" max="33" width="7" customWidth="1"/>
    <col min="34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13</v>
      </c>
      <c r="P3" s="2" t="s">
        <v>14</v>
      </c>
      <c r="Q3" s="3" t="s">
        <v>144</v>
      </c>
      <c r="R3" s="6" t="s">
        <v>15</v>
      </c>
      <c r="S3" s="6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22</v>
      </c>
      <c r="O4" s="1" t="s">
        <v>23</v>
      </c>
      <c r="P4" s="1" t="s">
        <v>24</v>
      </c>
      <c r="Q4" s="1" t="s">
        <v>145</v>
      </c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SUM(E6:E497)</f>
        <v>31929.089</v>
      </c>
      <c r="F5" s="4">
        <f>SUM(F6:F497)</f>
        <v>12656.492</v>
      </c>
      <c r="G5" s="7"/>
      <c r="H5" s="1"/>
      <c r="I5" s="1"/>
      <c r="J5" s="4">
        <f t="shared" ref="J5:R5" si="0">SUM(J6:J497)</f>
        <v>13475.296000000002</v>
      </c>
      <c r="K5" s="4">
        <f t="shared" si="0"/>
        <v>18453.792999999998</v>
      </c>
      <c r="L5" s="4">
        <f t="shared" si="0"/>
        <v>9133.7650000000012</v>
      </c>
      <c r="M5" s="4">
        <f t="shared" si="0"/>
        <v>22795.324000000001</v>
      </c>
      <c r="N5" s="4">
        <f t="shared" si="0"/>
        <v>4227.2056399999983</v>
      </c>
      <c r="O5" s="4">
        <f t="shared" si="0"/>
        <v>4291.6395200000024</v>
      </c>
      <c r="P5" s="4">
        <f t="shared" si="0"/>
        <v>1826.7530000000002</v>
      </c>
      <c r="Q5" s="4">
        <f t="shared" si="0"/>
        <v>2304.5190799999982</v>
      </c>
      <c r="R5" s="4">
        <f t="shared" si="0"/>
        <v>0</v>
      </c>
      <c r="S5" s="1"/>
      <c r="T5" s="1"/>
      <c r="U5" s="1"/>
      <c r="V5" s="4">
        <f t="shared" ref="V5:AE5" si="1">SUM(V6:V497)</f>
        <v>1763.5333999999991</v>
      </c>
      <c r="W5" s="4">
        <f t="shared" si="1"/>
        <v>2172.6003999999984</v>
      </c>
      <c r="X5" s="4">
        <f t="shared" si="1"/>
        <v>2145.3330000000001</v>
      </c>
      <c r="Y5" s="4">
        <f t="shared" si="1"/>
        <v>1991.6190000000001</v>
      </c>
      <c r="Z5" s="4">
        <f t="shared" si="1"/>
        <v>1966.9680000000005</v>
      </c>
      <c r="AA5" s="4">
        <f t="shared" si="1"/>
        <v>1931.269</v>
      </c>
      <c r="AB5" s="4">
        <f t="shared" si="1"/>
        <v>2050.7321999999995</v>
      </c>
      <c r="AC5" s="4">
        <f t="shared" si="1"/>
        <v>1930.0749999999996</v>
      </c>
      <c r="AD5" s="4">
        <f t="shared" si="1"/>
        <v>1876.0503999999999</v>
      </c>
      <c r="AE5" s="4">
        <f t="shared" si="1"/>
        <v>2143.1182000000003</v>
      </c>
      <c r="AF5" s="1"/>
      <c r="AG5" s="4">
        <f>SUM(AG6:AG497)</f>
        <v>1324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10.728</v>
      </c>
      <c r="D6" s="1">
        <v>163.01599999999999</v>
      </c>
      <c r="E6" s="1">
        <v>33.777999999999999</v>
      </c>
      <c r="F6" s="1">
        <v>129.238</v>
      </c>
      <c r="G6" s="7">
        <v>1</v>
      </c>
      <c r="H6" s="1">
        <v>50</v>
      </c>
      <c r="I6" s="1" t="s">
        <v>37</v>
      </c>
      <c r="J6" s="1">
        <v>59.887999999999998</v>
      </c>
      <c r="K6" s="1">
        <f t="shared" ref="K6:K36" si="2">E6-J6</f>
        <v>-26.11</v>
      </c>
      <c r="L6" s="1">
        <f>E6-M6</f>
        <v>33.777999999999999</v>
      </c>
      <c r="M6" s="1"/>
      <c r="N6" s="1">
        <v>49.96459999999999</v>
      </c>
      <c r="O6" s="1">
        <v>0</v>
      </c>
      <c r="P6" s="1">
        <f>L6/5</f>
        <v>6.7555999999999994</v>
      </c>
      <c r="Q6" s="5"/>
      <c r="R6" s="5"/>
      <c r="S6" s="1"/>
      <c r="T6" s="1">
        <f>(F6+N6+O6+Q6)/P6</f>
        <v>26.526526141275387</v>
      </c>
      <c r="U6" s="1">
        <f>(F6+N6+O6)/P6</f>
        <v>26.526526141275387</v>
      </c>
      <c r="V6" s="1">
        <v>6.2695999999999996</v>
      </c>
      <c r="W6" s="1">
        <v>18.073</v>
      </c>
      <c r="X6" s="1">
        <v>19.945799999999998</v>
      </c>
      <c r="Y6" s="1">
        <v>10.6248</v>
      </c>
      <c r="Z6" s="1">
        <v>8.442400000000001</v>
      </c>
      <c r="AA6" s="1">
        <v>10.602600000000001</v>
      </c>
      <c r="AB6" s="1">
        <v>13.852</v>
      </c>
      <c r="AC6" s="1">
        <v>16.499400000000001</v>
      </c>
      <c r="AD6" s="1">
        <v>13.760400000000001</v>
      </c>
      <c r="AE6" s="1">
        <v>7.3159999999999998</v>
      </c>
      <c r="AF6" s="1"/>
      <c r="AG6" s="1">
        <f>ROUND(G6*Q6,0)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36</v>
      </c>
      <c r="C7" s="1">
        <v>248.49199999999999</v>
      </c>
      <c r="D7" s="1">
        <v>24.111999999999998</v>
      </c>
      <c r="E7" s="1">
        <v>102.93</v>
      </c>
      <c r="F7" s="1">
        <v>128.684</v>
      </c>
      <c r="G7" s="7">
        <v>1</v>
      </c>
      <c r="H7" s="1">
        <v>45</v>
      </c>
      <c r="I7" s="1" t="s">
        <v>37</v>
      </c>
      <c r="J7" s="1">
        <v>102.22</v>
      </c>
      <c r="K7" s="1">
        <f t="shared" si="2"/>
        <v>0.71000000000000796</v>
      </c>
      <c r="L7" s="1">
        <f t="shared" ref="L7:L68" si="3">E7-M7</f>
        <v>102.93</v>
      </c>
      <c r="M7" s="1"/>
      <c r="N7" s="1">
        <v>56.164359999999931</v>
      </c>
      <c r="O7" s="1">
        <v>77.268840000000083</v>
      </c>
      <c r="P7" s="1">
        <f t="shared" ref="P7:P68" si="4">L7/5</f>
        <v>20.586000000000002</v>
      </c>
      <c r="Q7" s="5"/>
      <c r="R7" s="5"/>
      <c r="S7" s="1"/>
      <c r="T7" s="1">
        <f t="shared" ref="T7:T70" si="5">(F7+N7+O7+Q7)/P7</f>
        <v>12.732789274264062</v>
      </c>
      <c r="U7" s="1">
        <f t="shared" ref="U7:U70" si="6">(F7+N7+O7)/P7</f>
        <v>12.732789274264062</v>
      </c>
      <c r="V7" s="1">
        <v>23.5456</v>
      </c>
      <c r="W7" s="1">
        <v>25.588799999999999</v>
      </c>
      <c r="X7" s="1">
        <v>23.236999999999998</v>
      </c>
      <c r="Y7" s="1">
        <v>30.258600000000001</v>
      </c>
      <c r="Z7" s="1">
        <v>29.371200000000002</v>
      </c>
      <c r="AA7" s="1">
        <v>21.048400000000001</v>
      </c>
      <c r="AB7" s="1">
        <v>23.136800000000001</v>
      </c>
      <c r="AC7" s="1">
        <v>24.018999999999998</v>
      </c>
      <c r="AD7" s="1">
        <v>26.470199999999998</v>
      </c>
      <c r="AE7" s="1">
        <v>25.143000000000001</v>
      </c>
      <c r="AF7" s="1"/>
      <c r="AG7" s="1">
        <f t="shared" ref="AG7:AG70" si="7">ROUND(G7*Q7,0)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36</v>
      </c>
      <c r="C8" s="1">
        <v>228.90199999999999</v>
      </c>
      <c r="D8" s="1">
        <v>241.952</v>
      </c>
      <c r="E8" s="1">
        <v>170.69399999999999</v>
      </c>
      <c r="F8" s="1">
        <v>246.83</v>
      </c>
      <c r="G8" s="7">
        <v>1</v>
      </c>
      <c r="H8" s="1">
        <v>45</v>
      </c>
      <c r="I8" s="1" t="s">
        <v>37</v>
      </c>
      <c r="J8" s="1">
        <v>174.6</v>
      </c>
      <c r="K8" s="1">
        <f t="shared" si="2"/>
        <v>-3.9060000000000059</v>
      </c>
      <c r="L8" s="1">
        <f t="shared" si="3"/>
        <v>170.69399999999999</v>
      </c>
      <c r="M8" s="1"/>
      <c r="N8" s="1">
        <v>124.08159999999999</v>
      </c>
      <c r="O8" s="1">
        <v>75.631200000000007</v>
      </c>
      <c r="P8" s="1">
        <f t="shared" si="4"/>
        <v>34.138799999999996</v>
      </c>
      <c r="Q8" s="5"/>
      <c r="R8" s="5"/>
      <c r="S8" s="1"/>
      <c r="T8" s="1">
        <f t="shared" si="5"/>
        <v>13.080213715772086</v>
      </c>
      <c r="U8" s="1">
        <f t="shared" si="6"/>
        <v>13.080213715772086</v>
      </c>
      <c r="V8" s="1">
        <v>37.815600000000003</v>
      </c>
      <c r="W8" s="1">
        <v>48.457599999999999</v>
      </c>
      <c r="X8" s="1">
        <v>45.633600000000001</v>
      </c>
      <c r="Y8" s="1">
        <v>37.817799999999998</v>
      </c>
      <c r="Z8" s="1">
        <v>37.164200000000001</v>
      </c>
      <c r="AA8" s="1">
        <v>37.416800000000002</v>
      </c>
      <c r="AB8" s="1">
        <v>41.343200000000003</v>
      </c>
      <c r="AC8" s="1">
        <v>36.344799999999999</v>
      </c>
      <c r="AD8" s="1">
        <v>36.992800000000003</v>
      </c>
      <c r="AE8" s="1">
        <v>40.160800000000002</v>
      </c>
      <c r="AF8" s="1"/>
      <c r="AG8" s="1">
        <f t="shared" si="7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8" t="s">
        <v>40</v>
      </c>
      <c r="B9" s="1" t="s">
        <v>41</v>
      </c>
      <c r="C9" s="1"/>
      <c r="D9" s="1"/>
      <c r="E9" s="1"/>
      <c r="F9" s="1"/>
      <c r="G9" s="7">
        <v>0.45</v>
      </c>
      <c r="H9" s="1">
        <v>45</v>
      </c>
      <c r="I9" s="1" t="s">
        <v>37</v>
      </c>
      <c r="J9" s="1"/>
      <c r="K9" s="1">
        <f t="shared" si="2"/>
        <v>0</v>
      </c>
      <c r="L9" s="1">
        <f t="shared" si="3"/>
        <v>0</v>
      </c>
      <c r="M9" s="1"/>
      <c r="N9" s="1"/>
      <c r="O9" s="1">
        <v>108</v>
      </c>
      <c r="P9" s="1">
        <f t="shared" si="4"/>
        <v>0</v>
      </c>
      <c r="Q9" s="5"/>
      <c r="R9" s="5"/>
      <c r="S9" s="1"/>
      <c r="T9" s="1" t="e">
        <f t="shared" si="5"/>
        <v>#DIV/0!</v>
      </c>
      <c r="U9" s="1" t="e">
        <f t="shared" si="6"/>
        <v>#DIV/0!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 t="s">
        <v>42</v>
      </c>
      <c r="AG9" s="1">
        <f t="shared" si="7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9" t="s">
        <v>43</v>
      </c>
      <c r="B10" s="19" t="s">
        <v>41</v>
      </c>
      <c r="C10" s="19"/>
      <c r="D10" s="19"/>
      <c r="E10" s="19"/>
      <c r="F10" s="19"/>
      <c r="G10" s="20">
        <v>0.45</v>
      </c>
      <c r="H10" s="19">
        <v>45</v>
      </c>
      <c r="I10" s="19" t="s">
        <v>37</v>
      </c>
      <c r="J10" s="19"/>
      <c r="K10" s="19">
        <f t="shared" si="2"/>
        <v>0</v>
      </c>
      <c r="L10" s="19">
        <f t="shared" si="3"/>
        <v>0</v>
      </c>
      <c r="M10" s="19"/>
      <c r="N10" s="19"/>
      <c r="O10" s="19">
        <v>216</v>
      </c>
      <c r="P10" s="19">
        <f t="shared" si="4"/>
        <v>0</v>
      </c>
      <c r="Q10" s="21"/>
      <c r="R10" s="21"/>
      <c r="S10" s="19"/>
      <c r="T10" s="19" t="e">
        <f t="shared" si="5"/>
        <v>#DIV/0!</v>
      </c>
      <c r="U10" s="19" t="e">
        <f t="shared" si="6"/>
        <v>#DIV/0!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 t="s">
        <v>44</v>
      </c>
      <c r="AG10" s="1">
        <f t="shared" si="7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3" t="s">
        <v>45</v>
      </c>
      <c r="B11" s="13" t="s">
        <v>41</v>
      </c>
      <c r="C11" s="13"/>
      <c r="D11" s="13"/>
      <c r="E11" s="13"/>
      <c r="F11" s="13"/>
      <c r="G11" s="14">
        <v>0</v>
      </c>
      <c r="H11" s="13">
        <v>180</v>
      </c>
      <c r="I11" s="13" t="s">
        <v>37</v>
      </c>
      <c r="J11" s="13"/>
      <c r="K11" s="13">
        <f t="shared" si="2"/>
        <v>0</v>
      </c>
      <c r="L11" s="13">
        <f t="shared" si="3"/>
        <v>0</v>
      </c>
      <c r="M11" s="13"/>
      <c r="N11" s="13"/>
      <c r="O11" s="13">
        <v>0</v>
      </c>
      <c r="P11" s="13">
        <f t="shared" si="4"/>
        <v>0</v>
      </c>
      <c r="Q11" s="15"/>
      <c r="R11" s="15"/>
      <c r="S11" s="13"/>
      <c r="T11" s="13" t="e">
        <f t="shared" si="5"/>
        <v>#DIV/0!</v>
      </c>
      <c r="U11" s="13" t="e">
        <f t="shared" si="6"/>
        <v>#DIV/0!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 t="s">
        <v>46</v>
      </c>
      <c r="AG11" s="1">
        <f t="shared" si="7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47</v>
      </c>
      <c r="B12" s="1" t="s">
        <v>41</v>
      </c>
      <c r="C12" s="1">
        <v>12</v>
      </c>
      <c r="D12" s="1">
        <v>14</v>
      </c>
      <c r="E12" s="1">
        <v>19</v>
      </c>
      <c r="F12" s="1"/>
      <c r="G12" s="7">
        <v>0.3</v>
      </c>
      <c r="H12" s="1">
        <v>40</v>
      </c>
      <c r="I12" s="1" t="s">
        <v>37</v>
      </c>
      <c r="J12" s="1">
        <v>26</v>
      </c>
      <c r="K12" s="1">
        <f t="shared" si="2"/>
        <v>-7</v>
      </c>
      <c r="L12" s="1">
        <f t="shared" si="3"/>
        <v>19</v>
      </c>
      <c r="M12" s="1"/>
      <c r="N12" s="1"/>
      <c r="O12" s="1">
        <v>25.4</v>
      </c>
      <c r="P12" s="1">
        <f t="shared" si="4"/>
        <v>3.8</v>
      </c>
      <c r="Q12" s="5">
        <f>11*P12-O12-N12-F12-0.3*P12</f>
        <v>15.259999999999998</v>
      </c>
      <c r="R12" s="5"/>
      <c r="S12" s="1"/>
      <c r="T12" s="1">
        <f t="shared" si="5"/>
        <v>10.7</v>
      </c>
      <c r="U12" s="1">
        <f t="shared" si="6"/>
        <v>6.6842105263157894</v>
      </c>
      <c r="V12" s="1">
        <v>4.2</v>
      </c>
      <c r="W12" s="1">
        <v>1</v>
      </c>
      <c r="X12" s="1">
        <v>1.8</v>
      </c>
      <c r="Y12" s="1">
        <v>2</v>
      </c>
      <c r="Z12" s="1">
        <v>1.6</v>
      </c>
      <c r="AA12" s="1">
        <v>1</v>
      </c>
      <c r="AB12" s="1">
        <v>1.6</v>
      </c>
      <c r="AC12" s="1">
        <v>2</v>
      </c>
      <c r="AD12" s="1">
        <v>1.6</v>
      </c>
      <c r="AE12" s="1">
        <v>-0.2</v>
      </c>
      <c r="AF12" s="1"/>
      <c r="AG12" s="1">
        <f t="shared" si="7"/>
        <v>5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48</v>
      </c>
      <c r="B13" s="1" t="s">
        <v>41</v>
      </c>
      <c r="C13" s="1">
        <v>15</v>
      </c>
      <c r="D13" s="1">
        <v>45</v>
      </c>
      <c r="E13" s="1">
        <v>6</v>
      </c>
      <c r="F13" s="1">
        <v>45</v>
      </c>
      <c r="G13" s="7">
        <v>0.17</v>
      </c>
      <c r="H13" s="1">
        <v>180</v>
      </c>
      <c r="I13" s="1" t="s">
        <v>37</v>
      </c>
      <c r="J13" s="1">
        <v>10</v>
      </c>
      <c r="K13" s="1">
        <f t="shared" si="2"/>
        <v>-4</v>
      </c>
      <c r="L13" s="1">
        <f t="shared" si="3"/>
        <v>6</v>
      </c>
      <c r="M13" s="1"/>
      <c r="N13" s="1">
        <v>26.2</v>
      </c>
      <c r="O13" s="1">
        <v>0</v>
      </c>
      <c r="P13" s="1">
        <f t="shared" si="4"/>
        <v>1.2</v>
      </c>
      <c r="Q13" s="5"/>
      <c r="R13" s="5"/>
      <c r="S13" s="1"/>
      <c r="T13" s="1">
        <f t="shared" si="5"/>
        <v>59.333333333333336</v>
      </c>
      <c r="U13" s="1">
        <f t="shared" si="6"/>
        <v>59.333333333333336</v>
      </c>
      <c r="V13" s="1">
        <v>2.4</v>
      </c>
      <c r="W13" s="1">
        <v>6.4</v>
      </c>
      <c r="X13" s="1">
        <v>6.4</v>
      </c>
      <c r="Y13" s="1">
        <v>-0.6</v>
      </c>
      <c r="Z13" s="1">
        <v>-0.6</v>
      </c>
      <c r="AA13" s="1">
        <v>4.4000000000000004</v>
      </c>
      <c r="AB13" s="1">
        <v>3.8</v>
      </c>
      <c r="AC13" s="1">
        <v>4.8</v>
      </c>
      <c r="AD13" s="1">
        <v>5.2</v>
      </c>
      <c r="AE13" s="1">
        <v>1.6</v>
      </c>
      <c r="AF13" s="1"/>
      <c r="AG13" s="1">
        <f t="shared" si="7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3" t="s">
        <v>49</v>
      </c>
      <c r="B14" s="13" t="s">
        <v>41</v>
      </c>
      <c r="C14" s="13"/>
      <c r="D14" s="13"/>
      <c r="E14" s="13"/>
      <c r="F14" s="13"/>
      <c r="G14" s="14">
        <v>0</v>
      </c>
      <c r="H14" s="13">
        <v>50</v>
      </c>
      <c r="I14" s="13" t="s">
        <v>37</v>
      </c>
      <c r="J14" s="13"/>
      <c r="K14" s="13">
        <f t="shared" si="2"/>
        <v>0</v>
      </c>
      <c r="L14" s="13">
        <f t="shared" si="3"/>
        <v>0</v>
      </c>
      <c r="M14" s="13"/>
      <c r="N14" s="13"/>
      <c r="O14" s="13">
        <v>0</v>
      </c>
      <c r="P14" s="13">
        <f t="shared" si="4"/>
        <v>0</v>
      </c>
      <c r="Q14" s="15"/>
      <c r="R14" s="15"/>
      <c r="S14" s="13"/>
      <c r="T14" s="13" t="e">
        <f t="shared" si="5"/>
        <v>#DIV/0!</v>
      </c>
      <c r="U14" s="13" t="e">
        <f t="shared" si="6"/>
        <v>#DIV/0!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 t="s">
        <v>46</v>
      </c>
      <c r="AG14" s="1">
        <f t="shared" si="7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50</v>
      </c>
      <c r="B15" s="1" t="s">
        <v>41</v>
      </c>
      <c r="C15" s="1">
        <v>67</v>
      </c>
      <c r="D15" s="1">
        <v>66</v>
      </c>
      <c r="E15" s="1">
        <v>74</v>
      </c>
      <c r="F15" s="1">
        <v>48</v>
      </c>
      <c r="G15" s="7">
        <v>0.35</v>
      </c>
      <c r="H15" s="1">
        <v>50</v>
      </c>
      <c r="I15" s="1" t="s">
        <v>37</v>
      </c>
      <c r="J15" s="1">
        <v>87</v>
      </c>
      <c r="K15" s="1">
        <f t="shared" si="2"/>
        <v>-13</v>
      </c>
      <c r="L15" s="1">
        <f t="shared" si="3"/>
        <v>74</v>
      </c>
      <c r="M15" s="1"/>
      <c r="N15" s="1"/>
      <c r="O15" s="1">
        <v>25</v>
      </c>
      <c r="P15" s="1">
        <f t="shared" si="4"/>
        <v>14.8</v>
      </c>
      <c r="Q15" s="5">
        <f t="shared" ref="Q15:Q16" si="8">11*P15-O15-N15-F15-0.3*P15</f>
        <v>85.360000000000014</v>
      </c>
      <c r="R15" s="5"/>
      <c r="S15" s="1"/>
      <c r="T15" s="1">
        <f t="shared" si="5"/>
        <v>10.700000000000001</v>
      </c>
      <c r="U15" s="1">
        <f t="shared" si="6"/>
        <v>4.9324324324324325</v>
      </c>
      <c r="V15" s="1">
        <v>10.199999999999999</v>
      </c>
      <c r="W15" s="1">
        <v>6.8</v>
      </c>
      <c r="X15" s="1">
        <v>10</v>
      </c>
      <c r="Y15" s="1">
        <v>14.4</v>
      </c>
      <c r="Z15" s="1">
        <v>11</v>
      </c>
      <c r="AA15" s="1">
        <v>8.8000000000000007</v>
      </c>
      <c r="AB15" s="1">
        <v>11</v>
      </c>
      <c r="AC15" s="1">
        <v>8.1999999999999993</v>
      </c>
      <c r="AD15" s="1">
        <v>6.2</v>
      </c>
      <c r="AE15" s="1">
        <v>10.0504</v>
      </c>
      <c r="AF15" s="1"/>
      <c r="AG15" s="1">
        <f t="shared" si="7"/>
        <v>30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51</v>
      </c>
      <c r="B16" s="1" t="s">
        <v>36</v>
      </c>
      <c r="C16" s="1">
        <v>233.482</v>
      </c>
      <c r="D16" s="1">
        <v>300.85700000000003</v>
      </c>
      <c r="E16" s="1">
        <v>331.262</v>
      </c>
      <c r="F16" s="1">
        <v>183.61500000000001</v>
      </c>
      <c r="G16" s="7">
        <v>1</v>
      </c>
      <c r="H16" s="1">
        <v>55</v>
      </c>
      <c r="I16" s="1" t="s">
        <v>37</v>
      </c>
      <c r="J16" s="1">
        <v>126.52</v>
      </c>
      <c r="K16" s="1">
        <f t="shared" si="2"/>
        <v>204.74200000000002</v>
      </c>
      <c r="L16" s="1">
        <f t="shared" si="3"/>
        <v>131.672</v>
      </c>
      <c r="M16" s="1">
        <v>199.59</v>
      </c>
      <c r="N16" s="1"/>
      <c r="O16" s="1">
        <v>66.26959999999994</v>
      </c>
      <c r="P16" s="1">
        <f t="shared" si="4"/>
        <v>26.334399999999999</v>
      </c>
      <c r="Q16" s="5">
        <f t="shared" si="8"/>
        <v>31.893480000000061</v>
      </c>
      <c r="R16" s="5"/>
      <c r="S16" s="1"/>
      <c r="T16" s="1">
        <f t="shared" si="5"/>
        <v>10.7</v>
      </c>
      <c r="U16" s="1">
        <f t="shared" si="6"/>
        <v>9.4889042469165794</v>
      </c>
      <c r="V16" s="1">
        <v>23.514800000000001</v>
      </c>
      <c r="W16" s="1">
        <v>20.704799999999999</v>
      </c>
      <c r="X16" s="1">
        <v>20.523599999999998</v>
      </c>
      <c r="Y16" s="1">
        <v>27.377600000000001</v>
      </c>
      <c r="Z16" s="1">
        <v>28.0824</v>
      </c>
      <c r="AA16" s="1">
        <v>23.853400000000001</v>
      </c>
      <c r="AB16" s="1">
        <v>27.210999999999999</v>
      </c>
      <c r="AC16" s="1">
        <v>35.673000000000002</v>
      </c>
      <c r="AD16" s="1">
        <v>34.213000000000001</v>
      </c>
      <c r="AE16" s="1">
        <v>39.498399999999997</v>
      </c>
      <c r="AF16" s="1"/>
      <c r="AG16" s="1">
        <f t="shared" si="7"/>
        <v>32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9" t="s">
        <v>52</v>
      </c>
      <c r="B17" s="19" t="s">
        <v>36</v>
      </c>
      <c r="C17" s="19">
        <v>723.58900000000006</v>
      </c>
      <c r="D17" s="19">
        <v>5017.95</v>
      </c>
      <c r="E17" s="19">
        <v>4726.6279999999997</v>
      </c>
      <c r="F17" s="19">
        <v>841.75900000000001</v>
      </c>
      <c r="G17" s="20">
        <v>1</v>
      </c>
      <c r="H17" s="19">
        <v>50</v>
      </c>
      <c r="I17" s="19" t="s">
        <v>37</v>
      </c>
      <c r="J17" s="19">
        <v>760.5</v>
      </c>
      <c r="K17" s="19">
        <f t="shared" si="2"/>
        <v>3966.1279999999997</v>
      </c>
      <c r="L17" s="19">
        <f t="shared" si="3"/>
        <v>734.38799999999992</v>
      </c>
      <c r="M17" s="19">
        <v>3992.24</v>
      </c>
      <c r="N17" s="19">
        <v>118.9682599999999</v>
      </c>
      <c r="O17" s="19">
        <v>712.43974000000208</v>
      </c>
      <c r="P17" s="19">
        <f t="shared" si="4"/>
        <v>146.87759999999997</v>
      </c>
      <c r="Q17" s="21">
        <f>12*P17-O17-N17-F17</f>
        <v>89.364199999997709</v>
      </c>
      <c r="R17" s="21"/>
      <c r="S17" s="19"/>
      <c r="T17" s="19">
        <f t="shared" si="5"/>
        <v>12</v>
      </c>
      <c r="U17" s="19">
        <f t="shared" si="6"/>
        <v>11.391573664057708</v>
      </c>
      <c r="V17" s="19">
        <v>127.5676000000001</v>
      </c>
      <c r="W17" s="19">
        <v>144.27780000000001</v>
      </c>
      <c r="X17" s="19">
        <v>137.3356</v>
      </c>
      <c r="Y17" s="19">
        <v>111.2396</v>
      </c>
      <c r="Z17" s="19">
        <v>118.2226</v>
      </c>
      <c r="AA17" s="19">
        <v>143.06479999999999</v>
      </c>
      <c r="AB17" s="19">
        <v>169.25779999999989</v>
      </c>
      <c r="AC17" s="19">
        <v>197.65639999999999</v>
      </c>
      <c r="AD17" s="19">
        <v>193.98480000000001</v>
      </c>
      <c r="AE17" s="19">
        <v>185.29060000000001</v>
      </c>
      <c r="AF17" s="19" t="s">
        <v>53</v>
      </c>
      <c r="AG17" s="1">
        <f t="shared" si="7"/>
        <v>89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54</v>
      </c>
      <c r="B18" s="1" t="s">
        <v>36</v>
      </c>
      <c r="C18" s="1">
        <v>155.953</v>
      </c>
      <c r="D18" s="1">
        <v>78.191000000000003</v>
      </c>
      <c r="E18" s="1">
        <v>129.75800000000001</v>
      </c>
      <c r="F18" s="1">
        <v>102.622</v>
      </c>
      <c r="G18" s="7">
        <v>1</v>
      </c>
      <c r="H18" s="1">
        <v>60</v>
      </c>
      <c r="I18" s="1" t="s">
        <v>37</v>
      </c>
      <c r="J18" s="1">
        <v>127.69</v>
      </c>
      <c r="K18" s="1">
        <f t="shared" si="2"/>
        <v>2.0680000000000121</v>
      </c>
      <c r="L18" s="1">
        <f t="shared" si="3"/>
        <v>129.75800000000001</v>
      </c>
      <c r="M18" s="1"/>
      <c r="N18" s="1">
        <v>11.023799999999991</v>
      </c>
      <c r="O18" s="1">
        <v>70.175000000000011</v>
      </c>
      <c r="P18" s="1">
        <f t="shared" si="4"/>
        <v>25.951600000000003</v>
      </c>
      <c r="Q18" s="5">
        <f>11*P18-O18-N18-F18-0.3*P18</f>
        <v>93.861319999999992</v>
      </c>
      <c r="R18" s="5"/>
      <c r="S18" s="1"/>
      <c r="T18" s="1">
        <f t="shared" si="5"/>
        <v>10.7</v>
      </c>
      <c r="U18" s="1">
        <f t="shared" si="6"/>
        <v>7.0832164490821379</v>
      </c>
      <c r="V18" s="1">
        <v>18.026399999999999</v>
      </c>
      <c r="W18" s="1">
        <v>21.639800000000001</v>
      </c>
      <c r="X18" s="1">
        <v>22.7014</v>
      </c>
      <c r="Y18" s="1">
        <v>21.450199999999999</v>
      </c>
      <c r="Z18" s="1">
        <v>22.3262</v>
      </c>
      <c r="AA18" s="1">
        <v>18.9512</v>
      </c>
      <c r="AB18" s="1">
        <v>20.688199999999998</v>
      </c>
      <c r="AC18" s="1">
        <v>21.5806</v>
      </c>
      <c r="AD18" s="1">
        <v>21.942</v>
      </c>
      <c r="AE18" s="1">
        <v>28.7774</v>
      </c>
      <c r="AF18" s="1"/>
      <c r="AG18" s="1">
        <f t="shared" si="7"/>
        <v>94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55</v>
      </c>
      <c r="B19" s="1" t="s">
        <v>36</v>
      </c>
      <c r="C19" s="1">
        <v>255.761</v>
      </c>
      <c r="D19" s="1">
        <v>525.20600000000002</v>
      </c>
      <c r="E19" s="1">
        <v>239.232</v>
      </c>
      <c r="F19" s="1">
        <v>426.9</v>
      </c>
      <c r="G19" s="7">
        <v>1</v>
      </c>
      <c r="H19" s="1">
        <v>60</v>
      </c>
      <c r="I19" s="1" t="s">
        <v>37</v>
      </c>
      <c r="J19" s="1">
        <v>278.38</v>
      </c>
      <c r="K19" s="1">
        <f t="shared" si="2"/>
        <v>-39.147999999999996</v>
      </c>
      <c r="L19" s="1">
        <f t="shared" si="3"/>
        <v>239.232</v>
      </c>
      <c r="M19" s="1"/>
      <c r="N19" s="1">
        <v>285.03799999999978</v>
      </c>
      <c r="O19" s="1">
        <v>0</v>
      </c>
      <c r="P19" s="1">
        <f t="shared" si="4"/>
        <v>47.846400000000003</v>
      </c>
      <c r="Q19" s="5"/>
      <c r="R19" s="5"/>
      <c r="S19" s="1"/>
      <c r="T19" s="1">
        <f t="shared" si="5"/>
        <v>14.879656567683247</v>
      </c>
      <c r="U19" s="1">
        <f t="shared" si="6"/>
        <v>14.879656567683247</v>
      </c>
      <c r="V19" s="1">
        <v>51.842200000000012</v>
      </c>
      <c r="W19" s="1">
        <v>85.450999999999993</v>
      </c>
      <c r="X19" s="1">
        <v>76.975800000000007</v>
      </c>
      <c r="Y19" s="1">
        <v>53.392399999999988</v>
      </c>
      <c r="Z19" s="1">
        <v>53.883399999999988</v>
      </c>
      <c r="AA19" s="1">
        <v>44.385599999999997</v>
      </c>
      <c r="AB19" s="1">
        <v>56.7136</v>
      </c>
      <c r="AC19" s="1">
        <v>90.140999999999991</v>
      </c>
      <c r="AD19" s="1">
        <v>84.33959999999999</v>
      </c>
      <c r="AE19" s="1">
        <v>69.875199999999992</v>
      </c>
      <c r="AF19" s="1"/>
      <c r="AG19" s="1">
        <f t="shared" si="7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3" t="s">
        <v>56</v>
      </c>
      <c r="B20" s="13" t="s">
        <v>36</v>
      </c>
      <c r="C20" s="13"/>
      <c r="D20" s="13"/>
      <c r="E20" s="13"/>
      <c r="F20" s="13"/>
      <c r="G20" s="14">
        <v>0</v>
      </c>
      <c r="H20" s="13">
        <v>60</v>
      </c>
      <c r="I20" s="13" t="s">
        <v>37</v>
      </c>
      <c r="J20" s="13"/>
      <c r="K20" s="13">
        <f t="shared" si="2"/>
        <v>0</v>
      </c>
      <c r="L20" s="13">
        <f t="shared" si="3"/>
        <v>0</v>
      </c>
      <c r="M20" s="13"/>
      <c r="N20" s="13"/>
      <c r="O20" s="13">
        <v>0</v>
      </c>
      <c r="P20" s="13">
        <f t="shared" si="4"/>
        <v>0</v>
      </c>
      <c r="Q20" s="15"/>
      <c r="R20" s="15"/>
      <c r="S20" s="13"/>
      <c r="T20" s="13" t="e">
        <f t="shared" si="5"/>
        <v>#DIV/0!</v>
      </c>
      <c r="U20" s="13" t="e">
        <f t="shared" si="6"/>
        <v>#DIV/0!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 t="s">
        <v>46</v>
      </c>
      <c r="AG20" s="1">
        <f t="shared" si="7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9" t="s">
        <v>57</v>
      </c>
      <c r="B21" s="19" t="s">
        <v>36</v>
      </c>
      <c r="C21" s="19">
        <v>417.77800000000002</v>
      </c>
      <c r="D21" s="19">
        <v>611.61</v>
      </c>
      <c r="E21" s="19">
        <v>616.11099999999999</v>
      </c>
      <c r="F21" s="19">
        <v>338.22500000000002</v>
      </c>
      <c r="G21" s="20">
        <v>1</v>
      </c>
      <c r="H21" s="19">
        <v>60</v>
      </c>
      <c r="I21" s="19" t="s">
        <v>37</v>
      </c>
      <c r="J21" s="19">
        <v>306.11399999999998</v>
      </c>
      <c r="K21" s="19">
        <f t="shared" si="2"/>
        <v>309.99700000000001</v>
      </c>
      <c r="L21" s="19">
        <f t="shared" si="3"/>
        <v>311.471</v>
      </c>
      <c r="M21" s="19">
        <v>304.64</v>
      </c>
      <c r="N21" s="19">
        <v>75.328399999999874</v>
      </c>
      <c r="O21" s="19">
        <v>344.56140000000022</v>
      </c>
      <c r="P21" s="19">
        <f t="shared" si="4"/>
        <v>62.294200000000004</v>
      </c>
      <c r="Q21" s="21"/>
      <c r="R21" s="21"/>
      <c r="S21" s="19"/>
      <c r="T21" s="19">
        <f t="shared" si="5"/>
        <v>12.169909879250396</v>
      </c>
      <c r="U21" s="19">
        <f t="shared" si="6"/>
        <v>12.169909879250396</v>
      </c>
      <c r="V21" s="19">
        <v>59.791200000000003</v>
      </c>
      <c r="W21" s="19">
        <v>65.555399999999992</v>
      </c>
      <c r="X21" s="19">
        <v>62.2316</v>
      </c>
      <c r="Y21" s="19">
        <v>58.0364</v>
      </c>
      <c r="Z21" s="19">
        <v>55.635000000000012</v>
      </c>
      <c r="AA21" s="19">
        <v>58.847400000000007</v>
      </c>
      <c r="AB21" s="19">
        <v>60.057200000000002</v>
      </c>
      <c r="AC21" s="19">
        <v>51.211399999999998</v>
      </c>
      <c r="AD21" s="19">
        <v>52.312800000000003</v>
      </c>
      <c r="AE21" s="19">
        <v>62.009</v>
      </c>
      <c r="AF21" s="19" t="s">
        <v>58</v>
      </c>
      <c r="AG21" s="1">
        <f t="shared" si="7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22" t="s">
        <v>59</v>
      </c>
      <c r="B22" s="22" t="s">
        <v>36</v>
      </c>
      <c r="C22" s="22">
        <v>256.92399999999998</v>
      </c>
      <c r="D22" s="22">
        <v>258.77999999999997</v>
      </c>
      <c r="E22" s="22">
        <v>309.30099999999999</v>
      </c>
      <c r="F22" s="22">
        <v>189.869</v>
      </c>
      <c r="G22" s="23">
        <v>1</v>
      </c>
      <c r="H22" s="22">
        <v>60</v>
      </c>
      <c r="I22" s="22" t="s">
        <v>37</v>
      </c>
      <c r="J22" s="22">
        <v>146.17400000000001</v>
      </c>
      <c r="K22" s="22">
        <f t="shared" si="2"/>
        <v>163.12699999999998</v>
      </c>
      <c r="L22" s="22">
        <f t="shared" si="3"/>
        <v>151.821</v>
      </c>
      <c r="M22" s="22">
        <v>157.47999999999999</v>
      </c>
      <c r="N22" s="22"/>
      <c r="O22" s="22">
        <v>0</v>
      </c>
      <c r="P22" s="22">
        <f t="shared" si="4"/>
        <v>30.3642</v>
      </c>
      <c r="Q22" s="24">
        <f>8*P22-O22-N22-F22</f>
        <v>53.044600000000003</v>
      </c>
      <c r="R22" s="24"/>
      <c r="S22" s="22"/>
      <c r="T22" s="22">
        <f t="shared" si="5"/>
        <v>8</v>
      </c>
      <c r="U22" s="22">
        <f t="shared" si="6"/>
        <v>6.253054584016704</v>
      </c>
      <c r="V22" s="22">
        <v>27.183399999999999</v>
      </c>
      <c r="W22" s="22">
        <v>26.4664</v>
      </c>
      <c r="X22" s="22">
        <v>29.1312</v>
      </c>
      <c r="Y22" s="22">
        <v>31.158000000000001</v>
      </c>
      <c r="Z22" s="22">
        <v>30.2804</v>
      </c>
      <c r="AA22" s="22">
        <v>22.4512</v>
      </c>
      <c r="AB22" s="22">
        <v>22.6172</v>
      </c>
      <c r="AC22" s="22">
        <v>21.19959999999999</v>
      </c>
      <c r="AD22" s="22">
        <v>18.571999999999999</v>
      </c>
      <c r="AE22" s="22">
        <v>13.6744</v>
      </c>
      <c r="AF22" s="22" t="s">
        <v>60</v>
      </c>
      <c r="AG22" s="1">
        <f t="shared" si="7"/>
        <v>53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22" t="s">
        <v>61</v>
      </c>
      <c r="B23" s="22" t="s">
        <v>36</v>
      </c>
      <c r="C23" s="22">
        <v>229.35</v>
      </c>
      <c r="D23" s="22">
        <v>110.366</v>
      </c>
      <c r="E23" s="22">
        <v>140.09200000000001</v>
      </c>
      <c r="F23" s="22">
        <v>162.709</v>
      </c>
      <c r="G23" s="23">
        <v>1</v>
      </c>
      <c r="H23" s="22">
        <v>60</v>
      </c>
      <c r="I23" s="22" t="s">
        <v>37</v>
      </c>
      <c r="J23" s="22">
        <v>88.096000000000004</v>
      </c>
      <c r="K23" s="22">
        <f t="shared" si="2"/>
        <v>51.996000000000009</v>
      </c>
      <c r="L23" s="22">
        <f t="shared" si="3"/>
        <v>86.986000000000018</v>
      </c>
      <c r="M23" s="22">
        <v>53.106000000000002</v>
      </c>
      <c r="N23" s="22">
        <v>35.620800000000003</v>
      </c>
      <c r="O23" s="22">
        <v>0</v>
      </c>
      <c r="P23" s="22">
        <f t="shared" si="4"/>
        <v>17.397200000000005</v>
      </c>
      <c r="Q23" s="24"/>
      <c r="R23" s="24"/>
      <c r="S23" s="22"/>
      <c r="T23" s="22">
        <f t="shared" si="5"/>
        <v>11.400098866484258</v>
      </c>
      <c r="U23" s="22">
        <f t="shared" si="6"/>
        <v>11.400098866484258</v>
      </c>
      <c r="V23" s="22">
        <v>19.8598</v>
      </c>
      <c r="W23" s="22">
        <v>25.677800000000001</v>
      </c>
      <c r="X23" s="22">
        <v>23.561599999999999</v>
      </c>
      <c r="Y23" s="22">
        <v>29.7136</v>
      </c>
      <c r="Z23" s="22">
        <v>28.997800000000002</v>
      </c>
      <c r="AA23" s="22">
        <v>20.728200000000001</v>
      </c>
      <c r="AB23" s="22">
        <v>18.111999999999998</v>
      </c>
      <c r="AC23" s="22">
        <v>8.2843999999999998</v>
      </c>
      <c r="AD23" s="22">
        <v>10.2158</v>
      </c>
      <c r="AE23" s="22">
        <v>14.058999999999999</v>
      </c>
      <c r="AF23" s="22" t="s">
        <v>60</v>
      </c>
      <c r="AG23" s="1">
        <f t="shared" si="7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9" t="s">
        <v>62</v>
      </c>
      <c r="B24" s="19" t="s">
        <v>36</v>
      </c>
      <c r="C24" s="19">
        <v>137.16300000000001</v>
      </c>
      <c r="D24" s="19">
        <v>253.67099999999999</v>
      </c>
      <c r="E24" s="19">
        <v>230.81</v>
      </c>
      <c r="F24" s="19">
        <v>135.50200000000001</v>
      </c>
      <c r="G24" s="20">
        <v>1</v>
      </c>
      <c r="H24" s="19">
        <v>60</v>
      </c>
      <c r="I24" s="19" t="s">
        <v>37</v>
      </c>
      <c r="J24" s="19">
        <v>75.53</v>
      </c>
      <c r="K24" s="19">
        <f t="shared" si="2"/>
        <v>155.28</v>
      </c>
      <c r="L24" s="19">
        <f t="shared" si="3"/>
        <v>77.47399999999999</v>
      </c>
      <c r="M24" s="19">
        <v>153.33600000000001</v>
      </c>
      <c r="N24" s="19">
        <v>29.782199999999989</v>
      </c>
      <c r="O24" s="19">
        <v>50</v>
      </c>
      <c r="P24" s="19">
        <f t="shared" si="4"/>
        <v>15.494799999999998</v>
      </c>
      <c r="Q24" s="21"/>
      <c r="R24" s="21"/>
      <c r="S24" s="19"/>
      <c r="T24" s="19">
        <f t="shared" si="5"/>
        <v>13.893964426775437</v>
      </c>
      <c r="U24" s="19">
        <f t="shared" si="6"/>
        <v>13.893964426775437</v>
      </c>
      <c r="V24" s="19">
        <v>15.994999999999999</v>
      </c>
      <c r="W24" s="19">
        <v>22.1112</v>
      </c>
      <c r="X24" s="19">
        <v>19.817</v>
      </c>
      <c r="Y24" s="19">
        <v>19.906199999999998</v>
      </c>
      <c r="Z24" s="19">
        <v>20.2546</v>
      </c>
      <c r="AA24" s="19">
        <v>21.3262</v>
      </c>
      <c r="AB24" s="19">
        <v>24.6358</v>
      </c>
      <c r="AC24" s="19">
        <v>25.784400000000002</v>
      </c>
      <c r="AD24" s="19">
        <v>19.324200000000001</v>
      </c>
      <c r="AE24" s="19">
        <v>11.0724</v>
      </c>
      <c r="AF24" s="19" t="s">
        <v>53</v>
      </c>
      <c r="AG24" s="1">
        <f t="shared" si="7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0" t="s">
        <v>63</v>
      </c>
      <c r="B25" s="10" t="s">
        <v>36</v>
      </c>
      <c r="C25" s="10"/>
      <c r="D25" s="10">
        <v>53.805</v>
      </c>
      <c r="E25" s="10">
        <v>53.805</v>
      </c>
      <c r="F25" s="10"/>
      <c r="G25" s="11">
        <v>0</v>
      </c>
      <c r="H25" s="10" t="e">
        <v>#N/A</v>
      </c>
      <c r="I25" s="10" t="s">
        <v>64</v>
      </c>
      <c r="J25" s="10"/>
      <c r="K25" s="10">
        <f t="shared" si="2"/>
        <v>53.805</v>
      </c>
      <c r="L25" s="10">
        <f t="shared" si="3"/>
        <v>0</v>
      </c>
      <c r="M25" s="10">
        <v>53.805</v>
      </c>
      <c r="N25" s="10"/>
      <c r="O25" s="10">
        <v>0</v>
      </c>
      <c r="P25" s="10">
        <f t="shared" si="4"/>
        <v>0</v>
      </c>
      <c r="Q25" s="12"/>
      <c r="R25" s="12"/>
      <c r="S25" s="10"/>
      <c r="T25" s="10" t="e">
        <f t="shared" si="5"/>
        <v>#DIV/0!</v>
      </c>
      <c r="U25" s="10" t="e">
        <f t="shared" si="6"/>
        <v>#DIV/0!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/>
      <c r="AG25" s="1">
        <f t="shared" si="7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65</v>
      </c>
      <c r="B26" s="1" t="s">
        <v>36</v>
      </c>
      <c r="C26" s="1">
        <v>97.241</v>
      </c>
      <c r="D26" s="1">
        <v>176.774</v>
      </c>
      <c r="E26" s="1">
        <v>178.571</v>
      </c>
      <c r="F26" s="1">
        <v>73.566000000000003</v>
      </c>
      <c r="G26" s="7">
        <v>1</v>
      </c>
      <c r="H26" s="1">
        <v>30</v>
      </c>
      <c r="I26" s="1" t="s">
        <v>37</v>
      </c>
      <c r="J26" s="1">
        <v>56.1</v>
      </c>
      <c r="K26" s="1">
        <f t="shared" si="2"/>
        <v>122.471</v>
      </c>
      <c r="L26" s="1">
        <f t="shared" si="3"/>
        <v>52.09</v>
      </c>
      <c r="M26" s="1">
        <v>126.48099999999999</v>
      </c>
      <c r="N26" s="1"/>
      <c r="O26" s="1">
        <v>0</v>
      </c>
      <c r="P26" s="1">
        <f t="shared" si="4"/>
        <v>10.418000000000001</v>
      </c>
      <c r="Q26" s="5">
        <f t="shared" ref="Q26:Q27" si="9">11*P26-O26-N26-F26-0.3*P26</f>
        <v>37.906600000000012</v>
      </c>
      <c r="R26" s="5"/>
      <c r="S26" s="1"/>
      <c r="T26" s="1">
        <f t="shared" si="5"/>
        <v>10.700000000000001</v>
      </c>
      <c r="U26" s="1">
        <f t="shared" si="6"/>
        <v>7.0614321366865038</v>
      </c>
      <c r="V26" s="1">
        <v>9.4394000000000009</v>
      </c>
      <c r="W26" s="1">
        <v>7.7906000000000004</v>
      </c>
      <c r="X26" s="1">
        <v>8.1988000000000003</v>
      </c>
      <c r="Y26" s="1">
        <v>15.8752</v>
      </c>
      <c r="Z26" s="1">
        <v>14.0024</v>
      </c>
      <c r="AA26" s="1">
        <v>10.587199999999999</v>
      </c>
      <c r="AB26" s="1">
        <v>12.8216</v>
      </c>
      <c r="AC26" s="1">
        <v>13.0162</v>
      </c>
      <c r="AD26" s="1">
        <v>11.597799999999999</v>
      </c>
      <c r="AE26" s="1">
        <v>7.944799999999999</v>
      </c>
      <c r="AF26" s="1"/>
      <c r="AG26" s="1">
        <f t="shared" si="7"/>
        <v>38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66</v>
      </c>
      <c r="B27" s="1" t="s">
        <v>36</v>
      </c>
      <c r="C27" s="1">
        <v>212.92099999999999</v>
      </c>
      <c r="D27" s="1">
        <v>719.70799999999997</v>
      </c>
      <c r="E27" s="1">
        <v>801.01599999999996</v>
      </c>
      <c r="F27" s="1">
        <v>105.629</v>
      </c>
      <c r="G27" s="7">
        <v>1</v>
      </c>
      <c r="H27" s="1">
        <v>30</v>
      </c>
      <c r="I27" s="1" t="s">
        <v>37</v>
      </c>
      <c r="J27" s="1">
        <v>186.9</v>
      </c>
      <c r="K27" s="1">
        <f t="shared" si="2"/>
        <v>614.11599999999999</v>
      </c>
      <c r="L27" s="1">
        <f t="shared" si="3"/>
        <v>199.46100000000001</v>
      </c>
      <c r="M27" s="1">
        <v>601.55499999999995</v>
      </c>
      <c r="N27" s="1"/>
      <c r="O27" s="1">
        <v>172.27010000000021</v>
      </c>
      <c r="P27" s="1">
        <f t="shared" si="4"/>
        <v>39.892200000000003</v>
      </c>
      <c r="Q27" s="5">
        <f t="shared" si="9"/>
        <v>148.94743999999983</v>
      </c>
      <c r="R27" s="5"/>
      <c r="S27" s="1"/>
      <c r="T27" s="1">
        <f t="shared" si="5"/>
        <v>10.7</v>
      </c>
      <c r="U27" s="1">
        <f t="shared" si="6"/>
        <v>6.9662515479216536</v>
      </c>
      <c r="V27" s="1">
        <v>32.479200000000013</v>
      </c>
      <c r="W27" s="1">
        <v>33.558999999999997</v>
      </c>
      <c r="X27" s="1">
        <v>43.534799999999997</v>
      </c>
      <c r="Y27" s="1">
        <v>50.634</v>
      </c>
      <c r="Z27" s="1">
        <v>42.933800000000012</v>
      </c>
      <c r="AA27" s="1">
        <v>39.672800000000002</v>
      </c>
      <c r="AB27" s="1">
        <v>45.011600000000001</v>
      </c>
      <c r="AC27" s="1">
        <v>38.329799999999999</v>
      </c>
      <c r="AD27" s="1">
        <v>35.508600000000001</v>
      </c>
      <c r="AE27" s="1">
        <v>36.6614</v>
      </c>
      <c r="AF27" s="1"/>
      <c r="AG27" s="1">
        <f t="shared" si="7"/>
        <v>149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67</v>
      </c>
      <c r="B28" s="1" t="s">
        <v>36</v>
      </c>
      <c r="C28" s="1">
        <v>0.55200000000000005</v>
      </c>
      <c r="D28" s="1">
        <v>284.05399999999997</v>
      </c>
      <c r="E28" s="1">
        <v>120.629</v>
      </c>
      <c r="F28" s="1">
        <v>156.71100000000001</v>
      </c>
      <c r="G28" s="7">
        <v>1</v>
      </c>
      <c r="H28" s="1">
        <v>30</v>
      </c>
      <c r="I28" s="1" t="s">
        <v>37</v>
      </c>
      <c r="J28" s="1">
        <v>47.35</v>
      </c>
      <c r="K28" s="1">
        <f t="shared" si="2"/>
        <v>73.278999999999996</v>
      </c>
      <c r="L28" s="1">
        <f t="shared" si="3"/>
        <v>34.524000000000001</v>
      </c>
      <c r="M28" s="1">
        <v>86.105000000000004</v>
      </c>
      <c r="N28" s="1"/>
      <c r="O28" s="1">
        <v>0</v>
      </c>
      <c r="P28" s="1">
        <f t="shared" si="4"/>
        <v>6.9047999999999998</v>
      </c>
      <c r="Q28" s="5"/>
      <c r="R28" s="5"/>
      <c r="S28" s="1"/>
      <c r="T28" s="1">
        <f t="shared" si="5"/>
        <v>22.695950643030937</v>
      </c>
      <c r="U28" s="1">
        <f t="shared" si="6"/>
        <v>22.695950643030937</v>
      </c>
      <c r="V28" s="1">
        <v>6.9090000000000007</v>
      </c>
      <c r="W28" s="1">
        <v>13.593400000000001</v>
      </c>
      <c r="X28" s="1">
        <v>20.477599999999999</v>
      </c>
      <c r="Y28" s="1">
        <v>8.9616000000000007</v>
      </c>
      <c r="Z28" s="1">
        <v>1.5456000000000001</v>
      </c>
      <c r="AA28" s="1">
        <v>10.601800000000001</v>
      </c>
      <c r="AB28" s="1">
        <v>9.3957999999999995</v>
      </c>
      <c r="AC28" s="1">
        <v>4.4927999999999999</v>
      </c>
      <c r="AD28" s="1">
        <v>5.9495999999999976</v>
      </c>
      <c r="AE28" s="1">
        <v>12.202999999999999</v>
      </c>
      <c r="AF28" s="1"/>
      <c r="AG28" s="1">
        <f t="shared" si="7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3" t="s">
        <v>68</v>
      </c>
      <c r="B29" s="13" t="s">
        <v>36</v>
      </c>
      <c r="C29" s="13"/>
      <c r="D29" s="13"/>
      <c r="E29" s="13"/>
      <c r="F29" s="13"/>
      <c r="G29" s="14">
        <v>0</v>
      </c>
      <c r="H29" s="13">
        <v>45</v>
      </c>
      <c r="I29" s="13" t="s">
        <v>37</v>
      </c>
      <c r="J29" s="13"/>
      <c r="K29" s="13">
        <f t="shared" si="2"/>
        <v>0</v>
      </c>
      <c r="L29" s="13">
        <f t="shared" si="3"/>
        <v>0</v>
      </c>
      <c r="M29" s="13"/>
      <c r="N29" s="13"/>
      <c r="O29" s="13">
        <v>0</v>
      </c>
      <c r="P29" s="13">
        <f t="shared" si="4"/>
        <v>0</v>
      </c>
      <c r="Q29" s="15"/>
      <c r="R29" s="15"/>
      <c r="S29" s="13"/>
      <c r="T29" s="13" t="e">
        <f t="shared" si="5"/>
        <v>#DIV/0!</v>
      </c>
      <c r="U29" s="13" t="e">
        <f t="shared" si="6"/>
        <v>#DIV/0!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 t="s">
        <v>46</v>
      </c>
      <c r="AG29" s="1">
        <f t="shared" si="7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69</v>
      </c>
      <c r="B30" s="1" t="s">
        <v>36</v>
      </c>
      <c r="C30" s="1">
        <v>68.504000000000005</v>
      </c>
      <c r="D30" s="1">
        <v>271.637</v>
      </c>
      <c r="E30" s="1">
        <v>221.49700000000001</v>
      </c>
      <c r="F30" s="1">
        <v>99.313999999999993</v>
      </c>
      <c r="G30" s="7">
        <v>1</v>
      </c>
      <c r="H30" s="1">
        <v>40</v>
      </c>
      <c r="I30" s="1" t="s">
        <v>37</v>
      </c>
      <c r="J30" s="1">
        <v>74.3</v>
      </c>
      <c r="K30" s="1">
        <f t="shared" si="2"/>
        <v>147.197</v>
      </c>
      <c r="L30" s="1">
        <f t="shared" si="3"/>
        <v>82.611000000000018</v>
      </c>
      <c r="M30" s="1">
        <v>138.886</v>
      </c>
      <c r="N30" s="1">
        <v>22.796600000000019</v>
      </c>
      <c r="O30" s="1">
        <v>0</v>
      </c>
      <c r="P30" s="1">
        <f t="shared" si="4"/>
        <v>16.522200000000005</v>
      </c>
      <c r="Q30" s="5">
        <f>11*P30-O30-N30-F30-0.3*P30</f>
        <v>54.676940000000059</v>
      </c>
      <c r="R30" s="5"/>
      <c r="S30" s="1"/>
      <c r="T30" s="1">
        <f t="shared" si="5"/>
        <v>10.700000000000001</v>
      </c>
      <c r="U30" s="1">
        <f t="shared" si="6"/>
        <v>7.3906985752502674</v>
      </c>
      <c r="V30" s="1">
        <v>13.344799999999999</v>
      </c>
      <c r="W30" s="1">
        <v>17.7606</v>
      </c>
      <c r="X30" s="1">
        <v>18.887599999999999</v>
      </c>
      <c r="Y30" s="1">
        <v>17.5852</v>
      </c>
      <c r="Z30" s="1">
        <v>16.373200000000001</v>
      </c>
      <c r="AA30" s="1">
        <v>16.145199999999999</v>
      </c>
      <c r="AB30" s="1">
        <v>14.74</v>
      </c>
      <c r="AC30" s="1">
        <v>16.864799999999999</v>
      </c>
      <c r="AD30" s="1">
        <v>17.6496</v>
      </c>
      <c r="AE30" s="1">
        <v>22.284199999999998</v>
      </c>
      <c r="AF30" s="1"/>
      <c r="AG30" s="1">
        <f t="shared" si="7"/>
        <v>55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70</v>
      </c>
      <c r="B31" s="1" t="s">
        <v>36</v>
      </c>
      <c r="C31" s="1">
        <v>15.493</v>
      </c>
      <c r="D31" s="1">
        <v>76.888999999999996</v>
      </c>
      <c r="E31" s="1">
        <v>29.323</v>
      </c>
      <c r="F31" s="1">
        <v>58.136000000000003</v>
      </c>
      <c r="G31" s="7">
        <v>1</v>
      </c>
      <c r="H31" s="1">
        <v>30</v>
      </c>
      <c r="I31" s="1" t="s">
        <v>37</v>
      </c>
      <c r="J31" s="1">
        <v>31.4</v>
      </c>
      <c r="K31" s="1">
        <f t="shared" si="2"/>
        <v>-2.0769999999999982</v>
      </c>
      <c r="L31" s="1">
        <f t="shared" si="3"/>
        <v>29.323</v>
      </c>
      <c r="M31" s="1"/>
      <c r="N31" s="1">
        <v>9.0555999999999912</v>
      </c>
      <c r="O31" s="1">
        <v>0</v>
      </c>
      <c r="P31" s="1">
        <f t="shared" si="4"/>
        <v>5.8646000000000003</v>
      </c>
      <c r="Q31" s="5"/>
      <c r="R31" s="5"/>
      <c r="S31" s="1"/>
      <c r="T31" s="1">
        <f t="shared" si="5"/>
        <v>11.457149677727379</v>
      </c>
      <c r="U31" s="1">
        <f t="shared" si="6"/>
        <v>11.457149677727379</v>
      </c>
      <c r="V31" s="1">
        <v>5.8574000000000002</v>
      </c>
      <c r="W31" s="1">
        <v>8.5648</v>
      </c>
      <c r="X31" s="1">
        <v>9.6168000000000013</v>
      </c>
      <c r="Y31" s="1">
        <v>6.5536000000000003</v>
      </c>
      <c r="Z31" s="1">
        <v>6.0312000000000001</v>
      </c>
      <c r="AA31" s="1">
        <v>5.8178000000000001</v>
      </c>
      <c r="AB31" s="1">
        <v>7.7673999999999994</v>
      </c>
      <c r="AC31" s="1">
        <v>7.5290000000000008</v>
      </c>
      <c r="AD31" s="1">
        <v>6.2405999999999997</v>
      </c>
      <c r="AE31" s="1">
        <v>7.3506</v>
      </c>
      <c r="AF31" s="1"/>
      <c r="AG31" s="1">
        <f t="shared" si="7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71</v>
      </c>
      <c r="B32" s="1" t="s">
        <v>36</v>
      </c>
      <c r="C32" s="1">
        <v>78.656000000000006</v>
      </c>
      <c r="D32" s="1">
        <v>164.38300000000001</v>
      </c>
      <c r="E32" s="1">
        <v>86.665999999999997</v>
      </c>
      <c r="F32" s="1">
        <v>128.36600000000001</v>
      </c>
      <c r="G32" s="7">
        <v>1</v>
      </c>
      <c r="H32" s="1">
        <v>50</v>
      </c>
      <c r="I32" s="1" t="s">
        <v>37</v>
      </c>
      <c r="J32" s="1">
        <v>89.1</v>
      </c>
      <c r="K32" s="1">
        <f t="shared" si="2"/>
        <v>-2.4339999999999975</v>
      </c>
      <c r="L32" s="1">
        <f t="shared" si="3"/>
        <v>86.665999999999997</v>
      </c>
      <c r="M32" s="1"/>
      <c r="N32" s="1">
        <v>32.633400000000059</v>
      </c>
      <c r="O32" s="1">
        <v>68.994399999999928</v>
      </c>
      <c r="P32" s="1">
        <f t="shared" si="4"/>
        <v>17.333199999999998</v>
      </c>
      <c r="Q32" s="5"/>
      <c r="R32" s="5"/>
      <c r="S32" s="1"/>
      <c r="T32" s="1">
        <f t="shared" si="5"/>
        <v>13.268975145962662</v>
      </c>
      <c r="U32" s="1">
        <f t="shared" si="6"/>
        <v>13.268975145962662</v>
      </c>
      <c r="V32" s="1">
        <v>19.162800000000001</v>
      </c>
      <c r="W32" s="1">
        <v>22.482399999999998</v>
      </c>
      <c r="X32" s="1">
        <v>23.469000000000001</v>
      </c>
      <c r="Y32" s="1">
        <v>19.657</v>
      </c>
      <c r="Z32" s="1">
        <v>19.0456</v>
      </c>
      <c r="AA32" s="1">
        <v>18.465599999999998</v>
      </c>
      <c r="AB32" s="1">
        <v>20.812999999999999</v>
      </c>
      <c r="AC32" s="1">
        <v>18.360800000000001</v>
      </c>
      <c r="AD32" s="1">
        <v>17.7944</v>
      </c>
      <c r="AE32" s="1">
        <v>23.770199999999999</v>
      </c>
      <c r="AF32" s="1"/>
      <c r="AG32" s="1">
        <f t="shared" si="7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72</v>
      </c>
      <c r="B33" s="1" t="s">
        <v>36</v>
      </c>
      <c r="C33" s="1">
        <v>70.015000000000001</v>
      </c>
      <c r="D33" s="1">
        <v>43.94</v>
      </c>
      <c r="E33" s="1">
        <v>65.691999999999993</v>
      </c>
      <c r="F33" s="1">
        <v>20.969000000000001</v>
      </c>
      <c r="G33" s="7">
        <v>1</v>
      </c>
      <c r="H33" s="1">
        <v>50</v>
      </c>
      <c r="I33" s="1" t="s">
        <v>37</v>
      </c>
      <c r="J33" s="1">
        <v>65.900000000000006</v>
      </c>
      <c r="K33" s="1">
        <f t="shared" si="2"/>
        <v>-0.20800000000001262</v>
      </c>
      <c r="L33" s="1">
        <f t="shared" si="3"/>
        <v>65.691999999999993</v>
      </c>
      <c r="M33" s="1"/>
      <c r="N33" s="1"/>
      <c r="O33" s="1">
        <v>112.271</v>
      </c>
      <c r="P33" s="1">
        <f t="shared" si="4"/>
        <v>13.138399999999999</v>
      </c>
      <c r="Q33" s="5">
        <f>11*P33-O33-N33-F33-0.3*P33</f>
        <v>7.3408799999999745</v>
      </c>
      <c r="R33" s="5"/>
      <c r="S33" s="1"/>
      <c r="T33" s="1">
        <f t="shared" si="5"/>
        <v>10.7</v>
      </c>
      <c r="U33" s="1">
        <f t="shared" si="6"/>
        <v>10.141265298666506</v>
      </c>
      <c r="V33" s="1">
        <v>13.702</v>
      </c>
      <c r="W33" s="1">
        <v>5.7347999999999999</v>
      </c>
      <c r="X33" s="1">
        <v>4.9811999999999994</v>
      </c>
      <c r="Y33" s="1">
        <v>11.177199999999999</v>
      </c>
      <c r="Z33" s="1">
        <v>9.5363999999999987</v>
      </c>
      <c r="AA33" s="1">
        <v>8.7118000000000002</v>
      </c>
      <c r="AB33" s="1">
        <v>8.3475999999999999</v>
      </c>
      <c r="AC33" s="1">
        <v>14.7492</v>
      </c>
      <c r="AD33" s="1">
        <v>15.816000000000001</v>
      </c>
      <c r="AE33" s="1">
        <v>12.845800000000001</v>
      </c>
      <c r="AF33" s="1"/>
      <c r="AG33" s="1">
        <f t="shared" si="7"/>
        <v>7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9" t="s">
        <v>73</v>
      </c>
      <c r="B34" s="19" t="s">
        <v>41</v>
      </c>
      <c r="C34" s="19">
        <v>514</v>
      </c>
      <c r="D34" s="19">
        <v>870</v>
      </c>
      <c r="E34" s="19">
        <v>859</v>
      </c>
      <c r="F34" s="19">
        <v>469</v>
      </c>
      <c r="G34" s="20">
        <v>0.4</v>
      </c>
      <c r="H34" s="19">
        <v>45</v>
      </c>
      <c r="I34" s="19" t="s">
        <v>37</v>
      </c>
      <c r="J34" s="19">
        <v>259</v>
      </c>
      <c r="K34" s="19">
        <f t="shared" si="2"/>
        <v>600</v>
      </c>
      <c r="L34" s="19">
        <f t="shared" si="3"/>
        <v>259</v>
      </c>
      <c r="M34" s="19">
        <v>600</v>
      </c>
      <c r="N34" s="19"/>
      <c r="O34" s="19">
        <v>50</v>
      </c>
      <c r="P34" s="19">
        <f t="shared" si="4"/>
        <v>51.8</v>
      </c>
      <c r="Q34" s="21">
        <f>12*P34-O34-N34-F34</f>
        <v>102.59999999999991</v>
      </c>
      <c r="R34" s="21"/>
      <c r="S34" s="19"/>
      <c r="T34" s="19">
        <f t="shared" si="5"/>
        <v>11.999999999999998</v>
      </c>
      <c r="U34" s="19">
        <f t="shared" si="6"/>
        <v>10.019305019305019</v>
      </c>
      <c r="V34" s="19">
        <v>45.2</v>
      </c>
      <c r="W34" s="19">
        <v>25.2</v>
      </c>
      <c r="X34" s="19">
        <v>33.200000000000003</v>
      </c>
      <c r="Y34" s="19">
        <v>77.400000000000006</v>
      </c>
      <c r="Z34" s="19">
        <v>68</v>
      </c>
      <c r="AA34" s="19">
        <v>41.4</v>
      </c>
      <c r="AB34" s="19">
        <v>49.4</v>
      </c>
      <c r="AC34" s="19">
        <v>61.8</v>
      </c>
      <c r="AD34" s="19">
        <v>53.2</v>
      </c>
      <c r="AE34" s="19">
        <v>41</v>
      </c>
      <c r="AF34" s="19" t="s">
        <v>53</v>
      </c>
      <c r="AG34" s="1">
        <f t="shared" si="7"/>
        <v>41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74</v>
      </c>
      <c r="B35" s="1" t="s">
        <v>41</v>
      </c>
      <c r="C35" s="1">
        <v>129</v>
      </c>
      <c r="D35" s="1">
        <v>180</v>
      </c>
      <c r="E35" s="1">
        <v>128</v>
      </c>
      <c r="F35" s="1">
        <v>157</v>
      </c>
      <c r="G35" s="7">
        <v>0.45</v>
      </c>
      <c r="H35" s="1">
        <v>50</v>
      </c>
      <c r="I35" s="1" t="s">
        <v>37</v>
      </c>
      <c r="J35" s="1">
        <v>126</v>
      </c>
      <c r="K35" s="1">
        <f t="shared" si="2"/>
        <v>2</v>
      </c>
      <c r="L35" s="1">
        <f t="shared" si="3"/>
        <v>128</v>
      </c>
      <c r="M35" s="1"/>
      <c r="N35" s="1">
        <v>47.799999999999947</v>
      </c>
      <c r="O35" s="1">
        <v>0</v>
      </c>
      <c r="P35" s="1">
        <f t="shared" si="4"/>
        <v>25.6</v>
      </c>
      <c r="Q35" s="5">
        <f>11*P35-O35-N35-F35-0.3*P35</f>
        <v>69.120000000000061</v>
      </c>
      <c r="R35" s="5"/>
      <c r="S35" s="1"/>
      <c r="T35" s="1">
        <f t="shared" si="5"/>
        <v>10.7</v>
      </c>
      <c r="U35" s="1">
        <f t="shared" si="6"/>
        <v>7.9999999999999982</v>
      </c>
      <c r="V35" s="1">
        <v>23.8</v>
      </c>
      <c r="W35" s="1">
        <v>29.8</v>
      </c>
      <c r="X35" s="1">
        <v>30.4</v>
      </c>
      <c r="Y35" s="1">
        <v>24.8</v>
      </c>
      <c r="Z35" s="1">
        <v>25.2</v>
      </c>
      <c r="AA35" s="1">
        <v>28.2</v>
      </c>
      <c r="AB35" s="1">
        <v>24.6</v>
      </c>
      <c r="AC35" s="1">
        <v>18.600000000000001</v>
      </c>
      <c r="AD35" s="1">
        <v>16.399999999999999</v>
      </c>
      <c r="AE35" s="1">
        <v>17</v>
      </c>
      <c r="AF35" s="1"/>
      <c r="AG35" s="1">
        <f t="shared" si="7"/>
        <v>31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9" t="s">
        <v>75</v>
      </c>
      <c r="B36" s="19" t="s">
        <v>41</v>
      </c>
      <c r="C36" s="19">
        <v>427</v>
      </c>
      <c r="D36" s="19">
        <v>764</v>
      </c>
      <c r="E36" s="19">
        <v>866</v>
      </c>
      <c r="F36" s="19">
        <v>252</v>
      </c>
      <c r="G36" s="20">
        <v>0.4</v>
      </c>
      <c r="H36" s="19">
        <v>45</v>
      </c>
      <c r="I36" s="19" t="s">
        <v>37</v>
      </c>
      <c r="J36" s="19">
        <v>271</v>
      </c>
      <c r="K36" s="19">
        <f t="shared" si="2"/>
        <v>595</v>
      </c>
      <c r="L36" s="19">
        <f t="shared" si="3"/>
        <v>266</v>
      </c>
      <c r="M36" s="19">
        <v>600</v>
      </c>
      <c r="N36" s="19">
        <v>89.400000000000205</v>
      </c>
      <c r="O36" s="19">
        <v>185.99999999999969</v>
      </c>
      <c r="P36" s="19">
        <f t="shared" si="4"/>
        <v>53.2</v>
      </c>
      <c r="Q36" s="21">
        <f>11.5*P36-O36-N36-F36</f>
        <v>84.400000000000205</v>
      </c>
      <c r="R36" s="21"/>
      <c r="S36" s="19"/>
      <c r="T36" s="19">
        <f t="shared" si="5"/>
        <v>11.5</v>
      </c>
      <c r="U36" s="19">
        <f t="shared" si="6"/>
        <v>9.9135338345864632</v>
      </c>
      <c r="V36" s="19">
        <v>47.8</v>
      </c>
      <c r="W36" s="19">
        <v>55.4</v>
      </c>
      <c r="X36" s="19">
        <v>58.8</v>
      </c>
      <c r="Y36" s="19">
        <v>80.599999999999994</v>
      </c>
      <c r="Z36" s="19">
        <v>77.2</v>
      </c>
      <c r="AA36" s="19">
        <v>64.2</v>
      </c>
      <c r="AB36" s="19">
        <v>68</v>
      </c>
      <c r="AC36" s="19">
        <v>67.599999999999994</v>
      </c>
      <c r="AD36" s="19">
        <v>69.2</v>
      </c>
      <c r="AE36" s="19">
        <v>82.2</v>
      </c>
      <c r="AF36" s="19" t="s">
        <v>53</v>
      </c>
      <c r="AG36" s="1">
        <f t="shared" si="7"/>
        <v>34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3" t="s">
        <v>76</v>
      </c>
      <c r="B37" s="13" t="s">
        <v>36</v>
      </c>
      <c r="C37" s="13"/>
      <c r="D37" s="13">
        <v>133.845</v>
      </c>
      <c r="E37" s="13">
        <v>133.845</v>
      </c>
      <c r="F37" s="13"/>
      <c r="G37" s="14">
        <v>0</v>
      </c>
      <c r="H37" s="13">
        <v>45</v>
      </c>
      <c r="I37" s="13" t="s">
        <v>37</v>
      </c>
      <c r="J37" s="13"/>
      <c r="K37" s="13">
        <f t="shared" ref="K37:K67" si="10">E37-J37</f>
        <v>133.845</v>
      </c>
      <c r="L37" s="13">
        <f t="shared" si="3"/>
        <v>0</v>
      </c>
      <c r="M37" s="13">
        <v>133.845</v>
      </c>
      <c r="N37" s="13"/>
      <c r="O37" s="13">
        <v>0</v>
      </c>
      <c r="P37" s="13">
        <f t="shared" si="4"/>
        <v>0</v>
      </c>
      <c r="Q37" s="15"/>
      <c r="R37" s="15"/>
      <c r="S37" s="13"/>
      <c r="T37" s="13" t="e">
        <f t="shared" si="5"/>
        <v>#DIV/0!</v>
      </c>
      <c r="U37" s="13" t="e">
        <f t="shared" si="6"/>
        <v>#DIV/0!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 t="s">
        <v>46</v>
      </c>
      <c r="AG37" s="1">
        <f t="shared" si="7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3" t="s">
        <v>77</v>
      </c>
      <c r="B38" s="13" t="s">
        <v>41</v>
      </c>
      <c r="C38" s="13"/>
      <c r="D38" s="13"/>
      <c r="E38" s="13"/>
      <c r="F38" s="13"/>
      <c r="G38" s="14">
        <v>0</v>
      </c>
      <c r="H38" s="13">
        <v>45</v>
      </c>
      <c r="I38" s="13" t="s">
        <v>37</v>
      </c>
      <c r="J38" s="13"/>
      <c r="K38" s="13">
        <f t="shared" si="10"/>
        <v>0</v>
      </c>
      <c r="L38" s="13">
        <f t="shared" si="3"/>
        <v>0</v>
      </c>
      <c r="M38" s="13"/>
      <c r="N38" s="13"/>
      <c r="O38" s="13">
        <v>0</v>
      </c>
      <c r="P38" s="13">
        <f t="shared" si="4"/>
        <v>0</v>
      </c>
      <c r="Q38" s="15"/>
      <c r="R38" s="15"/>
      <c r="S38" s="13"/>
      <c r="T38" s="13" t="e">
        <f t="shared" si="5"/>
        <v>#DIV/0!</v>
      </c>
      <c r="U38" s="13" t="e">
        <f t="shared" si="6"/>
        <v>#DIV/0!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 t="s">
        <v>46</v>
      </c>
      <c r="AG38" s="1">
        <f t="shared" si="7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9" t="s">
        <v>78</v>
      </c>
      <c r="B39" s="19" t="s">
        <v>41</v>
      </c>
      <c r="C39" s="19">
        <v>409</v>
      </c>
      <c r="D39" s="19"/>
      <c r="E39" s="19">
        <v>180</v>
      </c>
      <c r="F39" s="19">
        <v>224</v>
      </c>
      <c r="G39" s="20">
        <v>0.35</v>
      </c>
      <c r="H39" s="19">
        <v>40</v>
      </c>
      <c r="I39" s="19" t="s">
        <v>37</v>
      </c>
      <c r="J39" s="19">
        <v>198.5</v>
      </c>
      <c r="K39" s="19">
        <f t="shared" si="10"/>
        <v>-18.5</v>
      </c>
      <c r="L39" s="19">
        <f t="shared" si="3"/>
        <v>180</v>
      </c>
      <c r="M39" s="19"/>
      <c r="N39" s="19"/>
      <c r="O39" s="19">
        <v>90</v>
      </c>
      <c r="P39" s="19">
        <f t="shared" si="4"/>
        <v>36</v>
      </c>
      <c r="Q39" s="21">
        <f>12*P39-O39-N39-F39</f>
        <v>118</v>
      </c>
      <c r="R39" s="21"/>
      <c r="S39" s="19"/>
      <c r="T39" s="19">
        <f t="shared" si="5"/>
        <v>12</v>
      </c>
      <c r="U39" s="19">
        <f t="shared" si="6"/>
        <v>8.7222222222222214</v>
      </c>
      <c r="V39" s="19">
        <v>25.4</v>
      </c>
      <c r="W39" s="19">
        <v>25.4</v>
      </c>
      <c r="X39" s="19">
        <v>35</v>
      </c>
      <c r="Y39" s="19">
        <v>39.200000000000003</v>
      </c>
      <c r="Z39" s="19">
        <v>39.799999999999997</v>
      </c>
      <c r="AA39" s="19">
        <v>28.2</v>
      </c>
      <c r="AB39" s="19">
        <v>24.8</v>
      </c>
      <c r="AC39" s="19">
        <v>22.6</v>
      </c>
      <c r="AD39" s="19">
        <v>23.6</v>
      </c>
      <c r="AE39" s="19">
        <v>25.4</v>
      </c>
      <c r="AF39" s="19" t="s">
        <v>58</v>
      </c>
      <c r="AG39" s="1">
        <f t="shared" si="7"/>
        <v>41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79</v>
      </c>
      <c r="B40" s="1" t="s">
        <v>36</v>
      </c>
      <c r="C40" s="1">
        <v>54.686</v>
      </c>
      <c r="D40" s="1">
        <v>214.83600000000001</v>
      </c>
      <c r="E40" s="1">
        <v>79.352000000000004</v>
      </c>
      <c r="F40" s="1">
        <v>147.92599999999999</v>
      </c>
      <c r="G40" s="7">
        <v>1</v>
      </c>
      <c r="H40" s="1">
        <v>40</v>
      </c>
      <c r="I40" s="1" t="s">
        <v>37</v>
      </c>
      <c r="J40" s="1">
        <v>83.43</v>
      </c>
      <c r="K40" s="1">
        <f t="shared" si="10"/>
        <v>-4.078000000000003</v>
      </c>
      <c r="L40" s="1">
        <f t="shared" si="3"/>
        <v>27.616000000000007</v>
      </c>
      <c r="M40" s="1">
        <v>51.735999999999997</v>
      </c>
      <c r="N40" s="1">
        <v>111.3976</v>
      </c>
      <c r="O40" s="1">
        <v>0</v>
      </c>
      <c r="P40" s="1">
        <f t="shared" si="4"/>
        <v>5.523200000000001</v>
      </c>
      <c r="Q40" s="5"/>
      <c r="R40" s="5"/>
      <c r="S40" s="1"/>
      <c r="T40" s="1">
        <f t="shared" si="5"/>
        <v>46.951694669756655</v>
      </c>
      <c r="U40" s="1">
        <f t="shared" si="6"/>
        <v>46.951694669756655</v>
      </c>
      <c r="V40" s="1">
        <v>12.268800000000001</v>
      </c>
      <c r="W40" s="1">
        <v>26.019200000000001</v>
      </c>
      <c r="X40" s="1">
        <v>23.1724</v>
      </c>
      <c r="Y40" s="1">
        <v>15.159800000000001</v>
      </c>
      <c r="Z40" s="1">
        <v>14.131399999999999</v>
      </c>
      <c r="AA40" s="1">
        <v>22.5626</v>
      </c>
      <c r="AB40" s="1">
        <v>23.469799999999999</v>
      </c>
      <c r="AC40" s="1">
        <v>16.040400000000002</v>
      </c>
      <c r="AD40" s="1">
        <v>11.831799999999999</v>
      </c>
      <c r="AE40" s="1">
        <v>13.8506</v>
      </c>
      <c r="AF40" s="1"/>
      <c r="AG40" s="1">
        <f t="shared" si="7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80</v>
      </c>
      <c r="B41" s="1" t="s">
        <v>41</v>
      </c>
      <c r="C41" s="1">
        <v>138</v>
      </c>
      <c r="D41" s="1">
        <v>126</v>
      </c>
      <c r="E41" s="1">
        <v>89</v>
      </c>
      <c r="F41" s="1">
        <v>131</v>
      </c>
      <c r="G41" s="7">
        <v>0.4</v>
      </c>
      <c r="H41" s="1">
        <v>40</v>
      </c>
      <c r="I41" s="1" t="s">
        <v>37</v>
      </c>
      <c r="J41" s="1">
        <v>115</v>
      </c>
      <c r="K41" s="1">
        <f t="shared" si="10"/>
        <v>-26</v>
      </c>
      <c r="L41" s="1">
        <f t="shared" si="3"/>
        <v>89</v>
      </c>
      <c r="M41" s="1"/>
      <c r="N41" s="1">
        <v>5.1999999999999886</v>
      </c>
      <c r="O41" s="1">
        <v>53.10000000000003</v>
      </c>
      <c r="P41" s="1">
        <f t="shared" si="4"/>
        <v>17.8</v>
      </c>
      <c r="Q41" s="5">
        <f t="shared" ref="Q41" si="11">11*P41-O41-N41-F41</f>
        <v>6.5</v>
      </c>
      <c r="R41" s="5"/>
      <c r="S41" s="1"/>
      <c r="T41" s="1">
        <f t="shared" si="5"/>
        <v>11</v>
      </c>
      <c r="U41" s="1">
        <f t="shared" si="6"/>
        <v>10.634831460674157</v>
      </c>
      <c r="V41" s="1">
        <v>18.600000000000001</v>
      </c>
      <c r="W41" s="1">
        <v>22.2</v>
      </c>
      <c r="X41" s="1">
        <v>26</v>
      </c>
      <c r="Y41" s="1">
        <v>28</v>
      </c>
      <c r="Z41" s="1">
        <v>26.6</v>
      </c>
      <c r="AA41" s="1">
        <v>22.4</v>
      </c>
      <c r="AB41" s="1">
        <v>24.8</v>
      </c>
      <c r="AC41" s="1">
        <v>14</v>
      </c>
      <c r="AD41" s="1">
        <v>17.399999999999999</v>
      </c>
      <c r="AE41" s="1">
        <v>31.2</v>
      </c>
      <c r="AF41" s="1"/>
      <c r="AG41" s="1">
        <f t="shared" si="7"/>
        <v>3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81</v>
      </c>
      <c r="B42" s="1" t="s">
        <v>41</v>
      </c>
      <c r="C42" s="1">
        <v>122</v>
      </c>
      <c r="D42" s="1">
        <v>324</v>
      </c>
      <c r="E42" s="1">
        <v>140</v>
      </c>
      <c r="F42" s="1">
        <v>266</v>
      </c>
      <c r="G42" s="7">
        <v>0.4</v>
      </c>
      <c r="H42" s="1">
        <v>45</v>
      </c>
      <c r="I42" s="1" t="s">
        <v>37</v>
      </c>
      <c r="J42" s="1">
        <v>150</v>
      </c>
      <c r="K42" s="1">
        <f t="shared" si="10"/>
        <v>-10</v>
      </c>
      <c r="L42" s="1">
        <f t="shared" si="3"/>
        <v>140</v>
      </c>
      <c r="M42" s="1"/>
      <c r="N42" s="1">
        <v>23.799999999999901</v>
      </c>
      <c r="O42" s="1">
        <v>0</v>
      </c>
      <c r="P42" s="1">
        <f t="shared" si="4"/>
        <v>28</v>
      </c>
      <c r="Q42" s="5">
        <f>11*P42-O42-N42-F42-0.3*P42</f>
        <v>9.800000000000102</v>
      </c>
      <c r="R42" s="5"/>
      <c r="S42" s="1"/>
      <c r="T42" s="1">
        <f t="shared" si="5"/>
        <v>10.700000000000001</v>
      </c>
      <c r="U42" s="1">
        <f t="shared" si="6"/>
        <v>10.349999999999996</v>
      </c>
      <c r="V42" s="1">
        <v>26.2</v>
      </c>
      <c r="W42" s="1">
        <v>39.799999999999997</v>
      </c>
      <c r="X42" s="1">
        <v>44.2</v>
      </c>
      <c r="Y42" s="1">
        <v>35.6</v>
      </c>
      <c r="Z42" s="1">
        <v>32.799999999999997</v>
      </c>
      <c r="AA42" s="1">
        <v>32</v>
      </c>
      <c r="AB42" s="1">
        <v>26.8</v>
      </c>
      <c r="AC42" s="1">
        <v>24.6</v>
      </c>
      <c r="AD42" s="1">
        <v>27.8</v>
      </c>
      <c r="AE42" s="1">
        <v>31.4</v>
      </c>
      <c r="AF42" s="1"/>
      <c r="AG42" s="1">
        <f t="shared" si="7"/>
        <v>4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82</v>
      </c>
      <c r="B43" s="1" t="s">
        <v>36</v>
      </c>
      <c r="C43" s="1">
        <v>57.02</v>
      </c>
      <c r="D43" s="1">
        <v>252.298</v>
      </c>
      <c r="E43" s="1">
        <v>125.623</v>
      </c>
      <c r="F43" s="1">
        <v>150.93700000000001</v>
      </c>
      <c r="G43" s="7">
        <v>1</v>
      </c>
      <c r="H43" s="1">
        <v>40</v>
      </c>
      <c r="I43" s="1" t="s">
        <v>37</v>
      </c>
      <c r="J43" s="1">
        <v>86.42</v>
      </c>
      <c r="K43" s="1">
        <f t="shared" si="10"/>
        <v>39.203000000000003</v>
      </c>
      <c r="L43" s="1">
        <f t="shared" si="3"/>
        <v>73.533000000000001</v>
      </c>
      <c r="M43" s="1">
        <v>52.09</v>
      </c>
      <c r="N43" s="1"/>
      <c r="O43" s="1">
        <v>67.331400000000016</v>
      </c>
      <c r="P43" s="1">
        <f t="shared" si="4"/>
        <v>14.7066</v>
      </c>
      <c r="Q43" s="5"/>
      <c r="R43" s="5"/>
      <c r="S43" s="1"/>
      <c r="T43" s="1">
        <f t="shared" si="5"/>
        <v>14.84152693348565</v>
      </c>
      <c r="U43" s="1">
        <f t="shared" si="6"/>
        <v>14.84152693348565</v>
      </c>
      <c r="V43" s="1">
        <v>19.757400000000001</v>
      </c>
      <c r="W43" s="1">
        <v>19.309799999999999</v>
      </c>
      <c r="X43" s="1">
        <v>19.009599999999999</v>
      </c>
      <c r="Y43" s="1">
        <v>15.4658</v>
      </c>
      <c r="Z43" s="1">
        <v>13.827400000000001</v>
      </c>
      <c r="AA43" s="1">
        <v>16.1736</v>
      </c>
      <c r="AB43" s="1">
        <v>16.498999999999999</v>
      </c>
      <c r="AC43" s="1">
        <v>9.9161999999999999</v>
      </c>
      <c r="AD43" s="1">
        <v>8.2042000000000002</v>
      </c>
      <c r="AE43" s="1">
        <v>11.2258</v>
      </c>
      <c r="AF43" s="1"/>
      <c r="AG43" s="1">
        <f t="shared" si="7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9" t="s">
        <v>83</v>
      </c>
      <c r="B44" s="19" t="s">
        <v>41</v>
      </c>
      <c r="C44" s="19">
        <v>408</v>
      </c>
      <c r="D44" s="19"/>
      <c r="E44" s="19">
        <v>183</v>
      </c>
      <c r="F44" s="19">
        <v>214</v>
      </c>
      <c r="G44" s="20">
        <v>0.35</v>
      </c>
      <c r="H44" s="19">
        <v>40</v>
      </c>
      <c r="I44" s="19" t="s">
        <v>37</v>
      </c>
      <c r="J44" s="19">
        <v>187</v>
      </c>
      <c r="K44" s="19">
        <f t="shared" si="10"/>
        <v>-4</v>
      </c>
      <c r="L44" s="19">
        <f t="shared" si="3"/>
        <v>183</v>
      </c>
      <c r="M44" s="19"/>
      <c r="N44" s="19"/>
      <c r="O44" s="19">
        <v>152</v>
      </c>
      <c r="P44" s="19">
        <f t="shared" si="4"/>
        <v>36.6</v>
      </c>
      <c r="Q44" s="21">
        <f>12*P44-O44-N44-F44</f>
        <v>73.200000000000045</v>
      </c>
      <c r="R44" s="21"/>
      <c r="S44" s="19"/>
      <c r="T44" s="19">
        <f t="shared" si="5"/>
        <v>12</v>
      </c>
      <c r="U44" s="19">
        <f t="shared" si="6"/>
        <v>10</v>
      </c>
      <c r="V44" s="19">
        <v>31</v>
      </c>
      <c r="W44" s="19">
        <v>16.2</v>
      </c>
      <c r="X44" s="19">
        <v>20.2</v>
      </c>
      <c r="Y44" s="19">
        <v>31.8</v>
      </c>
      <c r="Z44" s="19">
        <v>34.799999999999997</v>
      </c>
      <c r="AA44" s="19">
        <v>20.8</v>
      </c>
      <c r="AB44" s="19">
        <v>13.8</v>
      </c>
      <c r="AC44" s="19">
        <v>10.6</v>
      </c>
      <c r="AD44" s="19">
        <v>11.4</v>
      </c>
      <c r="AE44" s="19">
        <v>19.600000000000001</v>
      </c>
      <c r="AF44" s="19" t="s">
        <v>58</v>
      </c>
      <c r="AG44" s="1">
        <f t="shared" si="7"/>
        <v>26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84</v>
      </c>
      <c r="B45" s="1" t="s">
        <v>41</v>
      </c>
      <c r="C45" s="1">
        <v>402</v>
      </c>
      <c r="D45" s="1">
        <v>540</v>
      </c>
      <c r="E45" s="1">
        <v>848</v>
      </c>
      <c r="F45" s="1">
        <v>15</v>
      </c>
      <c r="G45" s="7">
        <v>0.4</v>
      </c>
      <c r="H45" s="1">
        <v>40</v>
      </c>
      <c r="I45" s="1" t="s">
        <v>37</v>
      </c>
      <c r="J45" s="1">
        <v>310</v>
      </c>
      <c r="K45" s="1">
        <f t="shared" si="10"/>
        <v>538</v>
      </c>
      <c r="L45" s="1">
        <f t="shared" si="3"/>
        <v>308</v>
      </c>
      <c r="M45" s="1">
        <v>540</v>
      </c>
      <c r="N45" s="1"/>
      <c r="O45" s="1">
        <v>150</v>
      </c>
      <c r="P45" s="1">
        <f t="shared" si="4"/>
        <v>61.6</v>
      </c>
      <c r="Q45" s="5">
        <f>11*P45-O45-N45-F45-0.5*P45</f>
        <v>481.8</v>
      </c>
      <c r="R45" s="5"/>
      <c r="S45" s="1"/>
      <c r="T45" s="1">
        <f t="shared" si="5"/>
        <v>10.499999999999998</v>
      </c>
      <c r="U45" s="1">
        <f t="shared" si="6"/>
        <v>2.6785714285714284</v>
      </c>
      <c r="V45" s="1">
        <v>52.8</v>
      </c>
      <c r="W45" s="1">
        <v>14</v>
      </c>
      <c r="X45" s="1">
        <v>-0.4</v>
      </c>
      <c r="Y45" s="1">
        <v>-0.2</v>
      </c>
      <c r="Z45" s="1">
        <v>-0.4</v>
      </c>
      <c r="AA45" s="1">
        <v>-0.4</v>
      </c>
      <c r="AB45" s="1">
        <v>11.6</v>
      </c>
      <c r="AC45" s="1">
        <v>57</v>
      </c>
      <c r="AD45" s="1">
        <v>60.6</v>
      </c>
      <c r="AE45" s="1">
        <v>71.8</v>
      </c>
      <c r="AF45" s="1"/>
      <c r="AG45" s="1">
        <f t="shared" si="7"/>
        <v>193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85</v>
      </c>
      <c r="B46" s="1" t="s">
        <v>36</v>
      </c>
      <c r="C46" s="1">
        <v>86.394999999999996</v>
      </c>
      <c r="D46" s="1">
        <v>43.472999999999999</v>
      </c>
      <c r="E46" s="1">
        <v>54.154000000000003</v>
      </c>
      <c r="F46" s="1">
        <v>73.034000000000006</v>
      </c>
      <c r="G46" s="7">
        <v>1</v>
      </c>
      <c r="H46" s="1">
        <v>50</v>
      </c>
      <c r="I46" s="1" t="s">
        <v>37</v>
      </c>
      <c r="J46" s="1">
        <v>56.9</v>
      </c>
      <c r="K46" s="1">
        <f t="shared" si="10"/>
        <v>-2.7459999999999951</v>
      </c>
      <c r="L46" s="1">
        <f t="shared" si="3"/>
        <v>54.154000000000003</v>
      </c>
      <c r="M46" s="1"/>
      <c r="N46" s="1"/>
      <c r="O46" s="1">
        <v>0</v>
      </c>
      <c r="P46" s="1">
        <f t="shared" si="4"/>
        <v>10.8308</v>
      </c>
      <c r="Q46" s="5">
        <f t="shared" ref="Q46" si="12">11*P46-O46-N46-F46-0.3*P46</f>
        <v>42.855559999999997</v>
      </c>
      <c r="R46" s="5"/>
      <c r="S46" s="1"/>
      <c r="T46" s="1">
        <f t="shared" si="5"/>
        <v>10.700000000000001</v>
      </c>
      <c r="U46" s="1">
        <f t="shared" si="6"/>
        <v>6.7431768659748128</v>
      </c>
      <c r="V46" s="1">
        <v>6.4859999999999998</v>
      </c>
      <c r="W46" s="1">
        <v>3.5144000000000002</v>
      </c>
      <c r="X46" s="1">
        <v>4.5888</v>
      </c>
      <c r="Y46" s="1">
        <v>11.3004</v>
      </c>
      <c r="Z46" s="1">
        <v>11.0304</v>
      </c>
      <c r="AA46" s="1">
        <v>6.5736000000000008</v>
      </c>
      <c r="AB46" s="1">
        <v>7.6543999999999999</v>
      </c>
      <c r="AC46" s="1">
        <v>9.9605999999999995</v>
      </c>
      <c r="AD46" s="1">
        <v>8.8882000000000012</v>
      </c>
      <c r="AE46" s="1">
        <v>7.2403999999999993</v>
      </c>
      <c r="AF46" s="1"/>
      <c r="AG46" s="1">
        <f t="shared" si="7"/>
        <v>43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86</v>
      </c>
      <c r="B47" s="1" t="s">
        <v>36</v>
      </c>
      <c r="C47" s="1">
        <v>113.285</v>
      </c>
      <c r="D47" s="1">
        <v>182.63800000000001</v>
      </c>
      <c r="E47" s="1">
        <v>104.277</v>
      </c>
      <c r="F47" s="1">
        <v>151.24</v>
      </c>
      <c r="G47" s="7">
        <v>1</v>
      </c>
      <c r="H47" s="1">
        <v>50</v>
      </c>
      <c r="I47" s="1" t="s">
        <v>37</v>
      </c>
      <c r="J47" s="1">
        <v>130.30000000000001</v>
      </c>
      <c r="K47" s="1">
        <f t="shared" si="10"/>
        <v>-26.02300000000001</v>
      </c>
      <c r="L47" s="1">
        <f t="shared" si="3"/>
        <v>104.277</v>
      </c>
      <c r="M47" s="1"/>
      <c r="N47" s="1">
        <v>105.87260000000011</v>
      </c>
      <c r="O47" s="1">
        <v>89.314840000000032</v>
      </c>
      <c r="P47" s="1">
        <f t="shared" si="4"/>
        <v>20.855399999999999</v>
      </c>
      <c r="Q47" s="5"/>
      <c r="R47" s="5"/>
      <c r="S47" s="1"/>
      <c r="T47" s="1">
        <f t="shared" si="5"/>
        <v>16.610922830537902</v>
      </c>
      <c r="U47" s="1">
        <f t="shared" si="6"/>
        <v>16.610922830537902</v>
      </c>
      <c r="V47" s="1">
        <v>28.765799999999999</v>
      </c>
      <c r="W47" s="1">
        <v>32.6066</v>
      </c>
      <c r="X47" s="1">
        <v>29.235199999999999</v>
      </c>
      <c r="Y47" s="1">
        <v>23.5608</v>
      </c>
      <c r="Z47" s="1">
        <v>21.472200000000001</v>
      </c>
      <c r="AA47" s="1">
        <v>23.67</v>
      </c>
      <c r="AB47" s="1">
        <v>27.073599999999999</v>
      </c>
      <c r="AC47" s="1">
        <v>29.471800000000002</v>
      </c>
      <c r="AD47" s="1">
        <v>27.1082</v>
      </c>
      <c r="AE47" s="1">
        <v>25.283200000000001</v>
      </c>
      <c r="AF47" s="1"/>
      <c r="AG47" s="1">
        <f t="shared" si="7"/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0" t="s">
        <v>87</v>
      </c>
      <c r="B48" s="10" t="s">
        <v>36</v>
      </c>
      <c r="C48" s="10"/>
      <c r="D48" s="10">
        <v>51.052</v>
      </c>
      <c r="E48" s="10">
        <v>51.052</v>
      </c>
      <c r="F48" s="10"/>
      <c r="G48" s="11">
        <v>0</v>
      </c>
      <c r="H48" s="10" t="e">
        <v>#N/A</v>
      </c>
      <c r="I48" s="10" t="s">
        <v>64</v>
      </c>
      <c r="J48" s="10"/>
      <c r="K48" s="10">
        <f t="shared" si="10"/>
        <v>51.052</v>
      </c>
      <c r="L48" s="10">
        <f t="shared" si="3"/>
        <v>0</v>
      </c>
      <c r="M48" s="10">
        <v>51.052</v>
      </c>
      <c r="N48" s="10"/>
      <c r="O48" s="10">
        <v>0</v>
      </c>
      <c r="P48" s="10">
        <f t="shared" si="4"/>
        <v>0</v>
      </c>
      <c r="Q48" s="12"/>
      <c r="R48" s="12"/>
      <c r="S48" s="10"/>
      <c r="T48" s="10" t="e">
        <f t="shared" si="5"/>
        <v>#DIV/0!</v>
      </c>
      <c r="U48" s="10" t="e">
        <f t="shared" si="6"/>
        <v>#DIV/0!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/>
      <c r="AG48" s="1">
        <f t="shared" si="7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88</v>
      </c>
      <c r="B49" s="1" t="s">
        <v>36</v>
      </c>
      <c r="C49" s="1">
        <v>197.49799999999999</v>
      </c>
      <c r="D49" s="1">
        <v>89.671999999999997</v>
      </c>
      <c r="E49" s="1">
        <v>106.538</v>
      </c>
      <c r="F49" s="1">
        <v>154.04400000000001</v>
      </c>
      <c r="G49" s="7">
        <v>1</v>
      </c>
      <c r="H49" s="1">
        <v>40</v>
      </c>
      <c r="I49" s="1" t="s">
        <v>37</v>
      </c>
      <c r="J49" s="1">
        <v>98.1</v>
      </c>
      <c r="K49" s="1">
        <f t="shared" si="10"/>
        <v>8.4380000000000024</v>
      </c>
      <c r="L49" s="1">
        <f t="shared" si="3"/>
        <v>106.538</v>
      </c>
      <c r="M49" s="1"/>
      <c r="N49" s="1">
        <v>89.764199999999931</v>
      </c>
      <c r="O49" s="1">
        <v>0</v>
      </c>
      <c r="P49" s="1">
        <f t="shared" si="4"/>
        <v>21.307600000000001</v>
      </c>
      <c r="Q49" s="5"/>
      <c r="R49" s="5"/>
      <c r="S49" s="1"/>
      <c r="T49" s="1">
        <f t="shared" si="5"/>
        <v>11.442311663444027</v>
      </c>
      <c r="U49" s="1">
        <f t="shared" si="6"/>
        <v>11.442311663444027</v>
      </c>
      <c r="V49" s="1">
        <v>24.596</v>
      </c>
      <c r="W49" s="1">
        <v>31.2242</v>
      </c>
      <c r="X49" s="1">
        <v>27.917000000000002</v>
      </c>
      <c r="Y49" s="1">
        <v>33.6098</v>
      </c>
      <c r="Z49" s="1">
        <v>32.120600000000003</v>
      </c>
      <c r="AA49" s="1">
        <v>17.7072</v>
      </c>
      <c r="AB49" s="1">
        <v>19.322399999999991</v>
      </c>
      <c r="AC49" s="1">
        <v>40.346200000000003</v>
      </c>
      <c r="AD49" s="1">
        <v>39.517399999999988</v>
      </c>
      <c r="AE49" s="1">
        <v>22.1068</v>
      </c>
      <c r="AF49" s="1"/>
      <c r="AG49" s="1">
        <f t="shared" si="7"/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0" t="s">
        <v>89</v>
      </c>
      <c r="B50" s="10" t="s">
        <v>36</v>
      </c>
      <c r="C50" s="10"/>
      <c r="D50" s="10">
        <v>51.616</v>
      </c>
      <c r="E50" s="10">
        <v>51.616</v>
      </c>
      <c r="F50" s="10"/>
      <c r="G50" s="11">
        <v>0</v>
      </c>
      <c r="H50" s="10" t="e">
        <v>#N/A</v>
      </c>
      <c r="I50" s="10" t="s">
        <v>64</v>
      </c>
      <c r="J50" s="10"/>
      <c r="K50" s="10">
        <f t="shared" si="10"/>
        <v>51.616</v>
      </c>
      <c r="L50" s="10">
        <f t="shared" si="3"/>
        <v>0</v>
      </c>
      <c r="M50" s="10">
        <v>51.616</v>
      </c>
      <c r="N50" s="10"/>
      <c r="O50" s="10">
        <v>0</v>
      </c>
      <c r="P50" s="10">
        <f t="shared" si="4"/>
        <v>0</v>
      </c>
      <c r="Q50" s="12"/>
      <c r="R50" s="12"/>
      <c r="S50" s="10"/>
      <c r="T50" s="10" t="e">
        <f t="shared" si="5"/>
        <v>#DIV/0!</v>
      </c>
      <c r="U50" s="10" t="e">
        <f t="shared" si="6"/>
        <v>#DIV/0!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/>
      <c r="AG50" s="1">
        <f t="shared" si="7"/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90</v>
      </c>
      <c r="B51" s="1" t="s">
        <v>41</v>
      </c>
      <c r="C51" s="1">
        <v>98</v>
      </c>
      <c r="D51" s="1">
        <v>310</v>
      </c>
      <c r="E51" s="1">
        <v>162</v>
      </c>
      <c r="F51" s="1">
        <v>224</v>
      </c>
      <c r="G51" s="7">
        <v>0.45</v>
      </c>
      <c r="H51" s="1">
        <v>50</v>
      </c>
      <c r="I51" s="1" t="s">
        <v>37</v>
      </c>
      <c r="J51" s="1">
        <v>160</v>
      </c>
      <c r="K51" s="1">
        <f t="shared" si="10"/>
        <v>2</v>
      </c>
      <c r="L51" s="1">
        <f t="shared" si="3"/>
        <v>162</v>
      </c>
      <c r="M51" s="1"/>
      <c r="N51" s="1">
        <v>4.7999999999999403</v>
      </c>
      <c r="O51" s="1">
        <v>0</v>
      </c>
      <c r="P51" s="1">
        <f t="shared" si="4"/>
        <v>32.4</v>
      </c>
      <c r="Q51" s="5">
        <f>11*P51-O51-N51-F51-0.3*P51</f>
        <v>117.88000000000002</v>
      </c>
      <c r="R51" s="5"/>
      <c r="S51" s="1"/>
      <c r="T51" s="1">
        <f t="shared" si="5"/>
        <v>10.7</v>
      </c>
      <c r="U51" s="1">
        <f t="shared" si="6"/>
        <v>7.0617283950617269</v>
      </c>
      <c r="V51" s="1">
        <v>24.4</v>
      </c>
      <c r="W51" s="1">
        <v>34.799999999999997</v>
      </c>
      <c r="X51" s="1">
        <v>40</v>
      </c>
      <c r="Y51" s="1">
        <v>31.4</v>
      </c>
      <c r="Z51" s="1">
        <v>27.8</v>
      </c>
      <c r="AA51" s="1">
        <v>29</v>
      </c>
      <c r="AB51" s="1">
        <v>33</v>
      </c>
      <c r="AC51" s="1">
        <v>27.4</v>
      </c>
      <c r="AD51" s="1">
        <v>17.399999999999999</v>
      </c>
      <c r="AE51" s="1">
        <v>15.2</v>
      </c>
      <c r="AF51" s="1" t="s">
        <v>91</v>
      </c>
      <c r="AG51" s="1">
        <f t="shared" si="7"/>
        <v>53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6" t="s">
        <v>92</v>
      </c>
      <c r="B52" s="1" t="s">
        <v>36</v>
      </c>
      <c r="C52" s="1"/>
      <c r="D52" s="1"/>
      <c r="E52" s="1">
        <v>-0.76</v>
      </c>
      <c r="F52" s="1"/>
      <c r="G52" s="7">
        <v>1</v>
      </c>
      <c r="H52" s="1">
        <v>40</v>
      </c>
      <c r="I52" s="1" t="s">
        <v>37</v>
      </c>
      <c r="J52" s="1"/>
      <c r="K52" s="1">
        <f t="shared" si="10"/>
        <v>-0.76</v>
      </c>
      <c r="L52" s="1">
        <f t="shared" si="3"/>
        <v>-0.76</v>
      </c>
      <c r="M52" s="1"/>
      <c r="N52" s="1"/>
      <c r="O52" s="16"/>
      <c r="P52" s="1">
        <f t="shared" si="4"/>
        <v>-0.152</v>
      </c>
      <c r="Q52" s="17">
        <v>4</v>
      </c>
      <c r="R52" s="5"/>
      <c r="S52" s="1"/>
      <c r="T52" s="1">
        <f t="shared" si="5"/>
        <v>-26.315789473684212</v>
      </c>
      <c r="U52" s="1">
        <f t="shared" si="6"/>
        <v>0</v>
      </c>
      <c r="V52" s="1">
        <v>-0.152</v>
      </c>
      <c r="W52" s="1">
        <v>0</v>
      </c>
      <c r="X52" s="1">
        <v>0</v>
      </c>
      <c r="Y52" s="1">
        <v>0</v>
      </c>
      <c r="Z52" s="1">
        <v>0</v>
      </c>
      <c r="AA52" s="1">
        <v>-6.4000000000000001E-2</v>
      </c>
      <c r="AB52" s="1">
        <v>-0.28560000000000002</v>
      </c>
      <c r="AC52" s="1">
        <v>0.78079999999999994</v>
      </c>
      <c r="AD52" s="1">
        <v>3.1112000000000002</v>
      </c>
      <c r="AE52" s="1">
        <v>11.587199999999999</v>
      </c>
      <c r="AF52" s="16" t="s">
        <v>93</v>
      </c>
      <c r="AG52" s="1">
        <f t="shared" si="7"/>
        <v>4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94</v>
      </c>
      <c r="B53" s="1" t="s">
        <v>41</v>
      </c>
      <c r="C53" s="1">
        <v>1</v>
      </c>
      <c r="D53" s="1">
        <v>208</v>
      </c>
      <c r="E53" s="1">
        <v>31</v>
      </c>
      <c r="F53" s="1">
        <v>160</v>
      </c>
      <c r="G53" s="7">
        <v>0.4</v>
      </c>
      <c r="H53" s="1">
        <v>40</v>
      </c>
      <c r="I53" s="1" t="s">
        <v>37</v>
      </c>
      <c r="J53" s="1">
        <v>19</v>
      </c>
      <c r="K53" s="1">
        <f t="shared" si="10"/>
        <v>12</v>
      </c>
      <c r="L53" s="1">
        <f t="shared" si="3"/>
        <v>-17</v>
      </c>
      <c r="M53" s="1">
        <v>48</v>
      </c>
      <c r="N53" s="1">
        <v>97.4</v>
      </c>
      <c r="O53" s="1">
        <v>0</v>
      </c>
      <c r="P53" s="1">
        <f t="shared" si="4"/>
        <v>-3.4</v>
      </c>
      <c r="Q53" s="5"/>
      <c r="R53" s="5"/>
      <c r="S53" s="1"/>
      <c r="T53" s="1">
        <f t="shared" si="5"/>
        <v>-75.705882352941174</v>
      </c>
      <c r="U53" s="1">
        <f t="shared" si="6"/>
        <v>-75.705882352941174</v>
      </c>
      <c r="V53" s="1">
        <v>-5.8</v>
      </c>
      <c r="W53" s="1">
        <v>32</v>
      </c>
      <c r="X53" s="1">
        <v>42.6</v>
      </c>
      <c r="Y53" s="1">
        <v>11.2</v>
      </c>
      <c r="Z53" s="1">
        <v>16.600000000000001</v>
      </c>
      <c r="AA53" s="1">
        <v>28.2</v>
      </c>
      <c r="AB53" s="1">
        <v>28.6</v>
      </c>
      <c r="AC53" s="1">
        <v>24.6</v>
      </c>
      <c r="AD53" s="1">
        <v>28.4</v>
      </c>
      <c r="AE53" s="1">
        <v>32.6</v>
      </c>
      <c r="AF53" s="1"/>
      <c r="AG53" s="1">
        <f t="shared" si="7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95</v>
      </c>
      <c r="B54" s="1" t="s">
        <v>41</v>
      </c>
      <c r="C54" s="1">
        <v>168</v>
      </c>
      <c r="D54" s="1">
        <v>332</v>
      </c>
      <c r="E54" s="1">
        <v>203</v>
      </c>
      <c r="F54" s="1">
        <v>261</v>
      </c>
      <c r="G54" s="7">
        <v>0.4</v>
      </c>
      <c r="H54" s="1">
        <v>40</v>
      </c>
      <c r="I54" s="1" t="s">
        <v>37</v>
      </c>
      <c r="J54" s="1">
        <v>164</v>
      </c>
      <c r="K54" s="1">
        <f t="shared" si="10"/>
        <v>39</v>
      </c>
      <c r="L54" s="1">
        <f t="shared" si="3"/>
        <v>155</v>
      </c>
      <c r="M54" s="1">
        <v>48</v>
      </c>
      <c r="N54" s="1">
        <v>42.400000000000013</v>
      </c>
      <c r="O54" s="1">
        <v>0</v>
      </c>
      <c r="P54" s="1">
        <f t="shared" si="4"/>
        <v>31</v>
      </c>
      <c r="Q54" s="5">
        <f>11*P54-O54-N54-F54-0.3*P54</f>
        <v>28.299999999999969</v>
      </c>
      <c r="R54" s="5"/>
      <c r="S54" s="1"/>
      <c r="T54" s="1">
        <f t="shared" si="5"/>
        <v>10.7</v>
      </c>
      <c r="U54" s="1">
        <f t="shared" si="6"/>
        <v>9.7870967741935502</v>
      </c>
      <c r="V54" s="1">
        <v>29</v>
      </c>
      <c r="W54" s="1">
        <v>42.4</v>
      </c>
      <c r="X54" s="1">
        <v>45</v>
      </c>
      <c r="Y54" s="1">
        <v>35.6</v>
      </c>
      <c r="Z54" s="1">
        <v>36.4</v>
      </c>
      <c r="AA54" s="1">
        <v>32.799999999999997</v>
      </c>
      <c r="AB54" s="1">
        <v>32.200000000000003</v>
      </c>
      <c r="AC54" s="1">
        <v>26</v>
      </c>
      <c r="AD54" s="1">
        <v>16.600000000000001</v>
      </c>
      <c r="AE54" s="1">
        <v>26</v>
      </c>
      <c r="AF54" s="1"/>
      <c r="AG54" s="1">
        <f t="shared" si="7"/>
        <v>11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3" t="s">
        <v>96</v>
      </c>
      <c r="B55" s="13" t="s">
        <v>36</v>
      </c>
      <c r="C55" s="13"/>
      <c r="D55" s="13"/>
      <c r="E55" s="13"/>
      <c r="F55" s="13"/>
      <c r="G55" s="14">
        <v>0</v>
      </c>
      <c r="H55" s="13">
        <v>50</v>
      </c>
      <c r="I55" s="13" t="s">
        <v>37</v>
      </c>
      <c r="J55" s="13">
        <v>44.8</v>
      </c>
      <c r="K55" s="13">
        <f t="shared" si="10"/>
        <v>-44.8</v>
      </c>
      <c r="L55" s="13">
        <f t="shared" si="3"/>
        <v>0</v>
      </c>
      <c r="M55" s="13"/>
      <c r="N55" s="13"/>
      <c r="O55" s="13">
        <v>0</v>
      </c>
      <c r="P55" s="13">
        <f t="shared" si="4"/>
        <v>0</v>
      </c>
      <c r="Q55" s="15"/>
      <c r="R55" s="15"/>
      <c r="S55" s="13"/>
      <c r="T55" s="13" t="e">
        <f t="shared" si="5"/>
        <v>#DIV/0!</v>
      </c>
      <c r="U55" s="13" t="e">
        <f t="shared" si="6"/>
        <v>#DIV/0!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 t="s">
        <v>46</v>
      </c>
      <c r="AG55" s="1">
        <f t="shared" si="7"/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97</v>
      </c>
      <c r="B56" s="1" t="s">
        <v>36</v>
      </c>
      <c r="C56" s="1">
        <v>118.4</v>
      </c>
      <c r="D56" s="1">
        <v>129.21100000000001</v>
      </c>
      <c r="E56" s="1">
        <v>94.483999999999995</v>
      </c>
      <c r="F56" s="1">
        <v>153.12700000000001</v>
      </c>
      <c r="G56" s="7">
        <v>1</v>
      </c>
      <c r="H56" s="1">
        <v>50</v>
      </c>
      <c r="I56" s="1" t="s">
        <v>37</v>
      </c>
      <c r="J56" s="1">
        <v>94.25</v>
      </c>
      <c r="K56" s="1">
        <f t="shared" si="10"/>
        <v>0.23399999999999466</v>
      </c>
      <c r="L56" s="1">
        <f t="shared" si="3"/>
        <v>94.483999999999995</v>
      </c>
      <c r="M56" s="1"/>
      <c r="N56" s="1"/>
      <c r="O56" s="1">
        <v>0</v>
      </c>
      <c r="P56" s="1">
        <f t="shared" si="4"/>
        <v>18.896799999999999</v>
      </c>
      <c r="Q56" s="5">
        <f>11*P56-O56-N56-F56-0.3*P56</f>
        <v>49.06875999999999</v>
      </c>
      <c r="R56" s="5"/>
      <c r="S56" s="1"/>
      <c r="T56" s="1">
        <f t="shared" si="5"/>
        <v>10.700000000000001</v>
      </c>
      <c r="U56" s="1">
        <f t="shared" si="6"/>
        <v>8.1033296642817838</v>
      </c>
      <c r="V56" s="1">
        <v>12.9572</v>
      </c>
      <c r="W56" s="1">
        <v>19.0718</v>
      </c>
      <c r="X56" s="1">
        <v>24.066400000000002</v>
      </c>
      <c r="Y56" s="1">
        <v>23.108599999999999</v>
      </c>
      <c r="Z56" s="1">
        <v>19.7484</v>
      </c>
      <c r="AA56" s="1">
        <v>18.621600000000001</v>
      </c>
      <c r="AB56" s="1">
        <v>21.119199999999999</v>
      </c>
      <c r="AC56" s="1">
        <v>22.1738</v>
      </c>
      <c r="AD56" s="1">
        <v>19.947399999999998</v>
      </c>
      <c r="AE56" s="1">
        <v>18.0672</v>
      </c>
      <c r="AF56" s="1"/>
      <c r="AG56" s="1">
        <f t="shared" si="7"/>
        <v>49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98</v>
      </c>
      <c r="B57" s="1" t="s">
        <v>36</v>
      </c>
      <c r="C57" s="1">
        <v>32.883000000000003</v>
      </c>
      <c r="D57" s="1">
        <v>43.533999999999999</v>
      </c>
      <c r="E57" s="1">
        <v>17.53</v>
      </c>
      <c r="F57" s="1">
        <v>58.887</v>
      </c>
      <c r="G57" s="7">
        <v>1</v>
      </c>
      <c r="H57" s="1">
        <v>50</v>
      </c>
      <c r="I57" s="1" t="s">
        <v>37</v>
      </c>
      <c r="J57" s="1">
        <v>30.65</v>
      </c>
      <c r="K57" s="1">
        <f t="shared" si="10"/>
        <v>-13.119999999999997</v>
      </c>
      <c r="L57" s="1">
        <f t="shared" si="3"/>
        <v>17.53</v>
      </c>
      <c r="M57" s="1"/>
      <c r="N57" s="1"/>
      <c r="O57" s="1">
        <v>0</v>
      </c>
      <c r="P57" s="1">
        <f t="shared" si="4"/>
        <v>3.5060000000000002</v>
      </c>
      <c r="Q57" s="5"/>
      <c r="R57" s="5"/>
      <c r="S57" s="1"/>
      <c r="T57" s="1">
        <f t="shared" si="5"/>
        <v>16.796063890473473</v>
      </c>
      <c r="U57" s="1">
        <f t="shared" si="6"/>
        <v>16.796063890473473</v>
      </c>
      <c r="V57" s="1">
        <v>2.1419999999999999</v>
      </c>
      <c r="W57" s="1">
        <v>5.8984000000000014</v>
      </c>
      <c r="X57" s="1">
        <v>7.2511999999999999</v>
      </c>
      <c r="Y57" s="1">
        <v>5.6619999999999999</v>
      </c>
      <c r="Z57" s="1">
        <v>5.66</v>
      </c>
      <c r="AA57" s="1">
        <v>4.12</v>
      </c>
      <c r="AB57" s="1">
        <v>6.1229999999999993</v>
      </c>
      <c r="AC57" s="1">
        <v>7.6596000000000002</v>
      </c>
      <c r="AD57" s="1">
        <v>4.5785999999999998</v>
      </c>
      <c r="AE57" s="1">
        <v>2.5920000000000001</v>
      </c>
      <c r="AF57" s="1"/>
      <c r="AG57" s="1">
        <f t="shared" si="7"/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3" t="s">
        <v>99</v>
      </c>
      <c r="B58" s="13" t="s">
        <v>41</v>
      </c>
      <c r="C58" s="13"/>
      <c r="D58" s="13"/>
      <c r="E58" s="13"/>
      <c r="F58" s="13"/>
      <c r="G58" s="14">
        <v>0</v>
      </c>
      <c r="H58" s="13">
        <v>50</v>
      </c>
      <c r="I58" s="13" t="s">
        <v>37</v>
      </c>
      <c r="J58" s="13"/>
      <c r="K58" s="13">
        <f t="shared" si="10"/>
        <v>0</v>
      </c>
      <c r="L58" s="13">
        <f t="shared" si="3"/>
        <v>0</v>
      </c>
      <c r="M58" s="13"/>
      <c r="N58" s="13"/>
      <c r="O58" s="13">
        <v>0</v>
      </c>
      <c r="P58" s="13">
        <f t="shared" si="4"/>
        <v>0</v>
      </c>
      <c r="Q58" s="15"/>
      <c r="R58" s="15"/>
      <c r="S58" s="13"/>
      <c r="T58" s="13" t="e">
        <f t="shared" si="5"/>
        <v>#DIV/0!</v>
      </c>
      <c r="U58" s="13" t="e">
        <f t="shared" si="6"/>
        <v>#DIV/0!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 t="s">
        <v>46</v>
      </c>
      <c r="AG58" s="1">
        <f t="shared" si="7"/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0" t="s">
        <v>100</v>
      </c>
      <c r="B59" s="10" t="s">
        <v>36</v>
      </c>
      <c r="C59" s="10"/>
      <c r="D59" s="10">
        <v>119.327</v>
      </c>
      <c r="E59" s="10">
        <v>119.327</v>
      </c>
      <c r="F59" s="10"/>
      <c r="G59" s="11">
        <v>0</v>
      </c>
      <c r="H59" s="10" t="e">
        <v>#N/A</v>
      </c>
      <c r="I59" s="10" t="s">
        <v>64</v>
      </c>
      <c r="J59" s="10"/>
      <c r="K59" s="10">
        <f t="shared" si="10"/>
        <v>119.327</v>
      </c>
      <c r="L59" s="10">
        <f t="shared" si="3"/>
        <v>0</v>
      </c>
      <c r="M59" s="10">
        <v>119.327</v>
      </c>
      <c r="N59" s="10"/>
      <c r="O59" s="10">
        <v>0</v>
      </c>
      <c r="P59" s="10">
        <f t="shared" si="4"/>
        <v>0</v>
      </c>
      <c r="Q59" s="12"/>
      <c r="R59" s="12"/>
      <c r="S59" s="10"/>
      <c r="T59" s="10" t="e">
        <f t="shared" si="5"/>
        <v>#DIV/0!</v>
      </c>
      <c r="U59" s="10" t="e">
        <f t="shared" si="6"/>
        <v>#DIV/0!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/>
      <c r="AG59" s="1">
        <f t="shared" si="7"/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101</v>
      </c>
      <c r="B60" s="1" t="s">
        <v>41</v>
      </c>
      <c r="C60" s="1">
        <v>354</v>
      </c>
      <c r="D60" s="1">
        <v>1508</v>
      </c>
      <c r="E60" s="1">
        <v>1064</v>
      </c>
      <c r="F60" s="1">
        <v>691</v>
      </c>
      <c r="G60" s="7">
        <v>0.4</v>
      </c>
      <c r="H60" s="1">
        <v>40</v>
      </c>
      <c r="I60" s="1" t="s">
        <v>37</v>
      </c>
      <c r="J60" s="1">
        <v>354</v>
      </c>
      <c r="K60" s="1">
        <f t="shared" si="10"/>
        <v>710</v>
      </c>
      <c r="L60" s="1">
        <f t="shared" si="3"/>
        <v>344</v>
      </c>
      <c r="M60" s="1">
        <v>720</v>
      </c>
      <c r="N60" s="1">
        <v>134.40000000000009</v>
      </c>
      <c r="O60" s="1">
        <v>0</v>
      </c>
      <c r="P60" s="1">
        <f t="shared" si="4"/>
        <v>68.8</v>
      </c>
      <c r="Q60" s="5"/>
      <c r="R60" s="5"/>
      <c r="S60" s="1"/>
      <c r="T60" s="1">
        <f t="shared" si="5"/>
        <v>11.997093023255816</v>
      </c>
      <c r="U60" s="1">
        <f t="shared" si="6"/>
        <v>11.997093023255816</v>
      </c>
      <c r="V60" s="1">
        <v>68.8</v>
      </c>
      <c r="W60" s="1">
        <v>106.4</v>
      </c>
      <c r="X60" s="1">
        <v>113.6</v>
      </c>
      <c r="Y60" s="1">
        <v>97.2</v>
      </c>
      <c r="Z60" s="1">
        <v>88.2</v>
      </c>
      <c r="AA60" s="1">
        <v>84.6</v>
      </c>
      <c r="AB60" s="1">
        <v>90.6</v>
      </c>
      <c r="AC60" s="1">
        <v>94.6</v>
      </c>
      <c r="AD60" s="1">
        <v>91.2</v>
      </c>
      <c r="AE60" s="1">
        <v>99.2</v>
      </c>
      <c r="AF60" s="1"/>
      <c r="AG60" s="1">
        <f t="shared" si="7"/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102</v>
      </c>
      <c r="B61" s="1" t="s">
        <v>41</v>
      </c>
      <c r="C61" s="1">
        <v>540</v>
      </c>
      <c r="D61" s="1">
        <v>675</v>
      </c>
      <c r="E61" s="1">
        <v>885</v>
      </c>
      <c r="F61" s="1">
        <v>219</v>
      </c>
      <c r="G61" s="7">
        <v>0.4</v>
      </c>
      <c r="H61" s="1">
        <v>40</v>
      </c>
      <c r="I61" s="1" t="s">
        <v>37</v>
      </c>
      <c r="J61" s="1">
        <v>294</v>
      </c>
      <c r="K61" s="1">
        <f t="shared" si="10"/>
        <v>591</v>
      </c>
      <c r="L61" s="1">
        <f t="shared" si="3"/>
        <v>285</v>
      </c>
      <c r="M61" s="1">
        <v>600</v>
      </c>
      <c r="N61" s="1"/>
      <c r="O61" s="1">
        <v>150</v>
      </c>
      <c r="P61" s="1">
        <f t="shared" si="4"/>
        <v>57</v>
      </c>
      <c r="Q61" s="5">
        <f>11*P61-O61-N61-F61-0.5*P61</f>
        <v>229.5</v>
      </c>
      <c r="R61" s="5"/>
      <c r="S61" s="1"/>
      <c r="T61" s="1">
        <f t="shared" si="5"/>
        <v>10.5</v>
      </c>
      <c r="U61" s="1">
        <f t="shared" si="6"/>
        <v>6.4736842105263159</v>
      </c>
      <c r="V61" s="1">
        <v>60.6</v>
      </c>
      <c r="W61" s="1">
        <v>42.6</v>
      </c>
      <c r="X61" s="1">
        <v>22.8</v>
      </c>
      <c r="Y61" s="1">
        <v>64.8</v>
      </c>
      <c r="Z61" s="1">
        <v>79.400000000000006</v>
      </c>
      <c r="AA61" s="1">
        <v>70.599999999999994</v>
      </c>
      <c r="AB61" s="1">
        <v>73.2</v>
      </c>
      <c r="AC61" s="1">
        <v>67.2</v>
      </c>
      <c r="AD61" s="1">
        <v>67.8</v>
      </c>
      <c r="AE61" s="1">
        <v>75.2</v>
      </c>
      <c r="AF61" s="1"/>
      <c r="AG61" s="1">
        <f t="shared" si="7"/>
        <v>92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103</v>
      </c>
      <c r="B62" s="1" t="s">
        <v>36</v>
      </c>
      <c r="C62" s="1">
        <v>193.23599999999999</v>
      </c>
      <c r="D62" s="1">
        <v>240.25</v>
      </c>
      <c r="E62" s="1">
        <v>263.53100000000001</v>
      </c>
      <c r="F62" s="1">
        <v>161.001</v>
      </c>
      <c r="G62" s="7">
        <v>1</v>
      </c>
      <c r="H62" s="1">
        <v>40</v>
      </c>
      <c r="I62" s="1" t="s">
        <v>37</v>
      </c>
      <c r="J62" s="1">
        <v>160.80000000000001</v>
      </c>
      <c r="K62" s="1">
        <f t="shared" si="10"/>
        <v>102.73099999999999</v>
      </c>
      <c r="L62" s="1">
        <f t="shared" si="3"/>
        <v>160.875</v>
      </c>
      <c r="M62" s="1">
        <v>102.65600000000001</v>
      </c>
      <c r="N62" s="1"/>
      <c r="O62" s="1">
        <v>91.097199999999987</v>
      </c>
      <c r="P62" s="1">
        <f t="shared" si="4"/>
        <v>32.174999999999997</v>
      </c>
      <c r="Q62" s="5">
        <f t="shared" ref="Q62" si="13">11*P62-O62-N62-F62-0.3*P62</f>
        <v>92.17429999999996</v>
      </c>
      <c r="R62" s="5"/>
      <c r="S62" s="1"/>
      <c r="T62" s="1">
        <f t="shared" si="5"/>
        <v>10.7</v>
      </c>
      <c r="U62" s="1">
        <f t="shared" si="6"/>
        <v>7.835219891219892</v>
      </c>
      <c r="V62" s="1">
        <v>26.134399999999999</v>
      </c>
      <c r="W62" s="1">
        <v>25.425000000000001</v>
      </c>
      <c r="X62" s="1">
        <v>32.386600000000001</v>
      </c>
      <c r="Y62" s="1">
        <v>36.328200000000002</v>
      </c>
      <c r="Z62" s="1">
        <v>33.758800000000001</v>
      </c>
      <c r="AA62" s="1">
        <v>27.561</v>
      </c>
      <c r="AB62" s="1">
        <v>27.990400000000001</v>
      </c>
      <c r="AC62" s="1">
        <v>29.95</v>
      </c>
      <c r="AD62" s="1">
        <v>26.289000000000001</v>
      </c>
      <c r="AE62" s="1">
        <v>26.0928</v>
      </c>
      <c r="AF62" s="1"/>
      <c r="AG62" s="1">
        <f t="shared" si="7"/>
        <v>92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104</v>
      </c>
      <c r="B63" s="1" t="s">
        <v>36</v>
      </c>
      <c r="C63" s="1">
        <v>141.828</v>
      </c>
      <c r="D63" s="1">
        <v>266.33</v>
      </c>
      <c r="E63" s="1">
        <v>207.40199999999999</v>
      </c>
      <c r="F63" s="1">
        <v>133.92099999999999</v>
      </c>
      <c r="G63" s="7">
        <v>1</v>
      </c>
      <c r="H63" s="1">
        <v>40</v>
      </c>
      <c r="I63" s="1" t="s">
        <v>37</v>
      </c>
      <c r="J63" s="1">
        <v>152.68</v>
      </c>
      <c r="K63" s="1">
        <f t="shared" si="10"/>
        <v>54.72199999999998</v>
      </c>
      <c r="L63" s="1">
        <f t="shared" si="3"/>
        <v>139.52499999999998</v>
      </c>
      <c r="M63" s="1">
        <v>67.876999999999995</v>
      </c>
      <c r="N63" s="1">
        <v>114.6374</v>
      </c>
      <c r="O63" s="1">
        <v>85.791799999999853</v>
      </c>
      <c r="P63" s="1">
        <f t="shared" si="4"/>
        <v>27.904999999999994</v>
      </c>
      <c r="Q63" s="5"/>
      <c r="R63" s="5"/>
      <c r="S63" s="1"/>
      <c r="T63" s="1">
        <f t="shared" si="5"/>
        <v>11.981730872603473</v>
      </c>
      <c r="U63" s="1">
        <f t="shared" si="6"/>
        <v>11.981730872603473</v>
      </c>
      <c r="V63" s="1">
        <v>32.424599999999998</v>
      </c>
      <c r="W63" s="1">
        <v>35.490400000000001</v>
      </c>
      <c r="X63" s="1">
        <v>32.466000000000001</v>
      </c>
      <c r="Y63" s="1">
        <v>30.425599999999999</v>
      </c>
      <c r="Z63" s="1">
        <v>28.853999999999999</v>
      </c>
      <c r="AA63" s="1">
        <v>34.020800000000001</v>
      </c>
      <c r="AB63" s="1">
        <v>36.320599999999999</v>
      </c>
      <c r="AC63" s="1">
        <v>21.042999999999999</v>
      </c>
      <c r="AD63" s="1">
        <v>20.996600000000001</v>
      </c>
      <c r="AE63" s="1">
        <v>34.194800000000001</v>
      </c>
      <c r="AF63" s="1"/>
      <c r="AG63" s="1">
        <f t="shared" si="7"/>
        <v>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0" t="s">
        <v>105</v>
      </c>
      <c r="B64" s="10" t="s">
        <v>36</v>
      </c>
      <c r="C64" s="10"/>
      <c r="D64" s="10">
        <v>67.39</v>
      </c>
      <c r="E64" s="10">
        <v>67.39</v>
      </c>
      <c r="F64" s="10"/>
      <c r="G64" s="11">
        <v>0</v>
      </c>
      <c r="H64" s="10" t="e">
        <v>#N/A</v>
      </c>
      <c r="I64" s="10" t="s">
        <v>64</v>
      </c>
      <c r="J64" s="10"/>
      <c r="K64" s="10">
        <f t="shared" si="10"/>
        <v>67.39</v>
      </c>
      <c r="L64" s="10">
        <f t="shared" si="3"/>
        <v>0</v>
      </c>
      <c r="M64" s="10">
        <v>67.39</v>
      </c>
      <c r="N64" s="10"/>
      <c r="O64" s="10">
        <v>0</v>
      </c>
      <c r="P64" s="10">
        <f t="shared" si="4"/>
        <v>0</v>
      </c>
      <c r="Q64" s="12"/>
      <c r="R64" s="12"/>
      <c r="S64" s="10"/>
      <c r="T64" s="10" t="e">
        <f t="shared" si="5"/>
        <v>#DIV/0!</v>
      </c>
      <c r="U64" s="10" t="e">
        <f t="shared" si="6"/>
        <v>#DIV/0!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/>
      <c r="AG64" s="1">
        <f t="shared" si="7"/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3" t="s">
        <v>106</v>
      </c>
      <c r="B65" s="13" t="s">
        <v>36</v>
      </c>
      <c r="C65" s="13"/>
      <c r="D65" s="13">
        <v>68.778999999999996</v>
      </c>
      <c r="E65" s="13">
        <v>68.778999999999996</v>
      </c>
      <c r="F65" s="13"/>
      <c r="G65" s="14">
        <v>0</v>
      </c>
      <c r="H65" s="13">
        <v>40</v>
      </c>
      <c r="I65" s="13" t="s">
        <v>37</v>
      </c>
      <c r="J65" s="13"/>
      <c r="K65" s="13">
        <f t="shared" si="10"/>
        <v>68.778999999999996</v>
      </c>
      <c r="L65" s="13">
        <f t="shared" si="3"/>
        <v>0</v>
      </c>
      <c r="M65" s="13">
        <v>68.778999999999996</v>
      </c>
      <c r="N65" s="13"/>
      <c r="O65" s="13">
        <v>0</v>
      </c>
      <c r="P65" s="13">
        <f t="shared" si="4"/>
        <v>0</v>
      </c>
      <c r="Q65" s="15"/>
      <c r="R65" s="15"/>
      <c r="S65" s="13"/>
      <c r="T65" s="13" t="e">
        <f t="shared" si="5"/>
        <v>#DIV/0!</v>
      </c>
      <c r="U65" s="13" t="e">
        <f t="shared" si="6"/>
        <v>#DIV/0!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 t="s">
        <v>46</v>
      </c>
      <c r="AG65" s="1">
        <f t="shared" si="7"/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107</v>
      </c>
      <c r="B66" s="1" t="s">
        <v>36</v>
      </c>
      <c r="C66" s="1">
        <v>71.704999999999998</v>
      </c>
      <c r="D66" s="1">
        <v>71.813999999999993</v>
      </c>
      <c r="E66" s="1">
        <v>41.232999999999997</v>
      </c>
      <c r="F66" s="1">
        <v>77.563000000000002</v>
      </c>
      <c r="G66" s="7">
        <v>1</v>
      </c>
      <c r="H66" s="1">
        <v>30</v>
      </c>
      <c r="I66" s="1" t="s">
        <v>37</v>
      </c>
      <c r="J66" s="1">
        <v>41.9</v>
      </c>
      <c r="K66" s="1">
        <f t="shared" si="10"/>
        <v>-0.66700000000000159</v>
      </c>
      <c r="L66" s="1">
        <f t="shared" si="3"/>
        <v>41.232999999999997</v>
      </c>
      <c r="M66" s="1"/>
      <c r="N66" s="1">
        <v>52.160000000000032</v>
      </c>
      <c r="O66" s="1">
        <v>0</v>
      </c>
      <c r="P66" s="1">
        <f t="shared" si="4"/>
        <v>8.246599999999999</v>
      </c>
      <c r="Q66" s="5"/>
      <c r="R66" s="5"/>
      <c r="S66" s="1"/>
      <c r="T66" s="1">
        <f t="shared" si="5"/>
        <v>15.730482865665858</v>
      </c>
      <c r="U66" s="1">
        <f t="shared" si="6"/>
        <v>15.730482865665858</v>
      </c>
      <c r="V66" s="1">
        <v>10.232200000000001</v>
      </c>
      <c r="W66" s="1">
        <v>13.94</v>
      </c>
      <c r="X66" s="1">
        <v>12.2704</v>
      </c>
      <c r="Y66" s="1">
        <v>13.053599999999999</v>
      </c>
      <c r="Z66" s="1">
        <v>12.4528</v>
      </c>
      <c r="AA66" s="1">
        <v>3.0316000000000001</v>
      </c>
      <c r="AB66" s="1">
        <v>4.1151999999999997</v>
      </c>
      <c r="AC66" s="1">
        <v>13.747400000000001</v>
      </c>
      <c r="AD66" s="1">
        <v>14.255800000000001</v>
      </c>
      <c r="AE66" s="1">
        <v>7.8226000000000004</v>
      </c>
      <c r="AF66" s="1"/>
      <c r="AG66" s="1">
        <f t="shared" si="7"/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3" t="s">
        <v>108</v>
      </c>
      <c r="B67" s="13" t="s">
        <v>41</v>
      </c>
      <c r="C67" s="13"/>
      <c r="D67" s="13"/>
      <c r="E67" s="13"/>
      <c r="F67" s="13"/>
      <c r="G67" s="14">
        <v>0</v>
      </c>
      <c r="H67" s="13">
        <v>60</v>
      </c>
      <c r="I67" s="13" t="s">
        <v>37</v>
      </c>
      <c r="J67" s="13"/>
      <c r="K67" s="13">
        <f t="shared" si="10"/>
        <v>0</v>
      </c>
      <c r="L67" s="13">
        <f t="shared" si="3"/>
        <v>0</v>
      </c>
      <c r="M67" s="13"/>
      <c r="N67" s="13"/>
      <c r="O67" s="13">
        <v>0</v>
      </c>
      <c r="P67" s="13">
        <f t="shared" si="4"/>
        <v>0</v>
      </c>
      <c r="Q67" s="15"/>
      <c r="R67" s="15"/>
      <c r="S67" s="13"/>
      <c r="T67" s="13" t="e">
        <f t="shared" si="5"/>
        <v>#DIV/0!</v>
      </c>
      <c r="U67" s="13" t="e">
        <f t="shared" si="6"/>
        <v>#DIV/0!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0.2</v>
      </c>
      <c r="AB67" s="13">
        <v>0.2</v>
      </c>
      <c r="AC67" s="13">
        <v>2.6</v>
      </c>
      <c r="AD67" s="13">
        <v>4.5999999999999996</v>
      </c>
      <c r="AE67" s="13">
        <v>11.4</v>
      </c>
      <c r="AF67" s="13" t="s">
        <v>46</v>
      </c>
      <c r="AG67" s="1">
        <f t="shared" si="7"/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3" t="s">
        <v>109</v>
      </c>
      <c r="B68" s="13" t="s">
        <v>41</v>
      </c>
      <c r="C68" s="13"/>
      <c r="D68" s="13"/>
      <c r="E68" s="13"/>
      <c r="F68" s="13"/>
      <c r="G68" s="14">
        <v>0</v>
      </c>
      <c r="H68" s="13">
        <v>50</v>
      </c>
      <c r="I68" s="13" t="s">
        <v>37</v>
      </c>
      <c r="J68" s="13"/>
      <c r="K68" s="13">
        <f t="shared" ref="K68:K98" si="14">E68-J68</f>
        <v>0</v>
      </c>
      <c r="L68" s="13">
        <f t="shared" si="3"/>
        <v>0</v>
      </c>
      <c r="M68" s="13"/>
      <c r="N68" s="13"/>
      <c r="O68" s="13">
        <v>0</v>
      </c>
      <c r="P68" s="13">
        <f t="shared" si="4"/>
        <v>0</v>
      </c>
      <c r="Q68" s="15"/>
      <c r="R68" s="15"/>
      <c r="S68" s="13"/>
      <c r="T68" s="13" t="e">
        <f t="shared" si="5"/>
        <v>#DIV/0!</v>
      </c>
      <c r="U68" s="13" t="e">
        <f t="shared" si="6"/>
        <v>#DIV/0!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 t="s">
        <v>46</v>
      </c>
      <c r="AG68" s="1">
        <f t="shared" si="7"/>
        <v>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3" t="s">
        <v>110</v>
      </c>
      <c r="B69" s="13" t="s">
        <v>41</v>
      </c>
      <c r="C69" s="13"/>
      <c r="D69" s="13"/>
      <c r="E69" s="13"/>
      <c r="F69" s="13"/>
      <c r="G69" s="14">
        <v>0</v>
      </c>
      <c r="H69" s="13">
        <v>50</v>
      </c>
      <c r="I69" s="13" t="s">
        <v>37</v>
      </c>
      <c r="J69" s="13"/>
      <c r="K69" s="13">
        <f t="shared" si="14"/>
        <v>0</v>
      </c>
      <c r="L69" s="13">
        <f t="shared" ref="L69:L98" si="15">E69-M69</f>
        <v>0</v>
      </c>
      <c r="M69" s="13"/>
      <c r="N69" s="13"/>
      <c r="O69" s="13">
        <v>0</v>
      </c>
      <c r="P69" s="13">
        <f t="shared" ref="P69:P98" si="16">L69/5</f>
        <v>0</v>
      </c>
      <c r="Q69" s="15"/>
      <c r="R69" s="15"/>
      <c r="S69" s="13"/>
      <c r="T69" s="13" t="e">
        <f t="shared" si="5"/>
        <v>#DIV/0!</v>
      </c>
      <c r="U69" s="13" t="e">
        <f t="shared" si="6"/>
        <v>#DIV/0!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 t="s">
        <v>46</v>
      </c>
      <c r="AG69" s="1">
        <f t="shared" si="7"/>
        <v>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3" t="s">
        <v>111</v>
      </c>
      <c r="B70" s="13" t="s">
        <v>41</v>
      </c>
      <c r="C70" s="13"/>
      <c r="D70" s="13"/>
      <c r="E70" s="13"/>
      <c r="F70" s="13"/>
      <c r="G70" s="14">
        <v>0</v>
      </c>
      <c r="H70" s="13">
        <v>30</v>
      </c>
      <c r="I70" s="13" t="s">
        <v>37</v>
      </c>
      <c r="J70" s="13"/>
      <c r="K70" s="13">
        <f t="shared" si="14"/>
        <v>0</v>
      </c>
      <c r="L70" s="13">
        <f t="shared" si="15"/>
        <v>0</v>
      </c>
      <c r="M70" s="13"/>
      <c r="N70" s="13"/>
      <c r="O70" s="13">
        <v>0</v>
      </c>
      <c r="P70" s="13">
        <f t="shared" si="16"/>
        <v>0</v>
      </c>
      <c r="Q70" s="15"/>
      <c r="R70" s="15"/>
      <c r="S70" s="13"/>
      <c r="T70" s="13" t="e">
        <f t="shared" si="5"/>
        <v>#DIV/0!</v>
      </c>
      <c r="U70" s="13" t="e">
        <f t="shared" si="6"/>
        <v>#DIV/0!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 t="s">
        <v>46</v>
      </c>
      <c r="AG70" s="1">
        <f t="shared" si="7"/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3" t="s">
        <v>112</v>
      </c>
      <c r="B71" s="13" t="s">
        <v>41</v>
      </c>
      <c r="C71" s="13"/>
      <c r="D71" s="13"/>
      <c r="E71" s="13"/>
      <c r="F71" s="13"/>
      <c r="G71" s="14">
        <v>0</v>
      </c>
      <c r="H71" s="13">
        <v>55</v>
      </c>
      <c r="I71" s="13" t="s">
        <v>37</v>
      </c>
      <c r="J71" s="13"/>
      <c r="K71" s="13">
        <f t="shared" si="14"/>
        <v>0</v>
      </c>
      <c r="L71" s="13">
        <f t="shared" si="15"/>
        <v>0</v>
      </c>
      <c r="M71" s="13"/>
      <c r="N71" s="13"/>
      <c r="O71" s="13">
        <v>0</v>
      </c>
      <c r="P71" s="13">
        <f t="shared" si="16"/>
        <v>0</v>
      </c>
      <c r="Q71" s="15"/>
      <c r="R71" s="15"/>
      <c r="S71" s="13"/>
      <c r="T71" s="13" t="e">
        <f t="shared" ref="T71:T98" si="17">(F71+N71+O71+Q71)/P71</f>
        <v>#DIV/0!</v>
      </c>
      <c r="U71" s="13" t="e">
        <f t="shared" ref="U71:U98" si="18">(F71+N71+O71)/P71</f>
        <v>#DIV/0!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 t="s">
        <v>46</v>
      </c>
      <c r="AG71" s="1">
        <f t="shared" ref="AG71:AG98" si="19">ROUND(G71*Q71,0)</f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3" t="s">
        <v>113</v>
      </c>
      <c r="B72" s="13" t="s">
        <v>41</v>
      </c>
      <c r="C72" s="13"/>
      <c r="D72" s="13"/>
      <c r="E72" s="13"/>
      <c r="F72" s="13"/>
      <c r="G72" s="14">
        <v>0</v>
      </c>
      <c r="H72" s="13">
        <v>40</v>
      </c>
      <c r="I72" s="13" t="s">
        <v>37</v>
      </c>
      <c r="J72" s="13"/>
      <c r="K72" s="13">
        <f t="shared" si="14"/>
        <v>0</v>
      </c>
      <c r="L72" s="13">
        <f t="shared" si="15"/>
        <v>0</v>
      </c>
      <c r="M72" s="13"/>
      <c r="N72" s="13"/>
      <c r="O72" s="13">
        <v>0</v>
      </c>
      <c r="P72" s="13">
        <f t="shared" si="16"/>
        <v>0</v>
      </c>
      <c r="Q72" s="15"/>
      <c r="R72" s="15"/>
      <c r="S72" s="13"/>
      <c r="T72" s="13" t="e">
        <f t="shared" si="17"/>
        <v>#DIV/0!</v>
      </c>
      <c r="U72" s="13" t="e">
        <f t="shared" si="18"/>
        <v>#DIV/0!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 t="s">
        <v>46</v>
      </c>
      <c r="AG72" s="1">
        <f t="shared" si="19"/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114</v>
      </c>
      <c r="B73" s="1" t="s">
        <v>41</v>
      </c>
      <c r="C73" s="1">
        <v>111</v>
      </c>
      <c r="D73" s="1">
        <v>144</v>
      </c>
      <c r="E73" s="1">
        <v>112</v>
      </c>
      <c r="F73" s="1">
        <v>129</v>
      </c>
      <c r="G73" s="7">
        <v>0.4</v>
      </c>
      <c r="H73" s="1">
        <v>50</v>
      </c>
      <c r="I73" s="1" t="s">
        <v>37</v>
      </c>
      <c r="J73" s="1">
        <v>113</v>
      </c>
      <c r="K73" s="1">
        <f t="shared" si="14"/>
        <v>-1</v>
      </c>
      <c r="L73" s="1">
        <f t="shared" si="15"/>
        <v>112</v>
      </c>
      <c r="M73" s="1"/>
      <c r="N73" s="1">
        <v>13.80000000000001</v>
      </c>
      <c r="O73" s="1">
        <v>93.69999999999996</v>
      </c>
      <c r="P73" s="1">
        <f t="shared" si="16"/>
        <v>22.4</v>
      </c>
      <c r="Q73" s="5"/>
      <c r="R73" s="5"/>
      <c r="S73" s="1"/>
      <c r="T73" s="1">
        <f t="shared" si="17"/>
        <v>10.558035714285714</v>
      </c>
      <c r="U73" s="1">
        <f t="shared" si="18"/>
        <v>10.558035714285714</v>
      </c>
      <c r="V73" s="1">
        <v>21</v>
      </c>
      <c r="W73" s="1">
        <v>22.8</v>
      </c>
      <c r="X73" s="1">
        <v>25</v>
      </c>
      <c r="Y73" s="1">
        <v>24.4</v>
      </c>
      <c r="Z73" s="1">
        <v>21.8</v>
      </c>
      <c r="AA73" s="1">
        <v>21.2</v>
      </c>
      <c r="AB73" s="1">
        <v>24.6</v>
      </c>
      <c r="AC73" s="1">
        <v>17.600000000000001</v>
      </c>
      <c r="AD73" s="1">
        <v>12</v>
      </c>
      <c r="AE73" s="1">
        <v>16.399999999999999</v>
      </c>
      <c r="AF73" s="1"/>
      <c r="AG73" s="1">
        <f t="shared" si="19"/>
        <v>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6" t="s">
        <v>115</v>
      </c>
      <c r="B74" s="1" t="s">
        <v>41</v>
      </c>
      <c r="C74" s="1"/>
      <c r="D74" s="1"/>
      <c r="E74" s="1"/>
      <c r="F74" s="1"/>
      <c r="G74" s="7">
        <v>0.06</v>
      </c>
      <c r="H74" s="1">
        <v>60</v>
      </c>
      <c r="I74" s="1" t="s">
        <v>37</v>
      </c>
      <c r="J74" s="1"/>
      <c r="K74" s="1">
        <f t="shared" si="14"/>
        <v>0</v>
      </c>
      <c r="L74" s="1">
        <f t="shared" si="15"/>
        <v>0</v>
      </c>
      <c r="M74" s="1"/>
      <c r="N74" s="1"/>
      <c r="O74" s="16"/>
      <c r="P74" s="1">
        <f t="shared" si="16"/>
        <v>0</v>
      </c>
      <c r="Q74" s="17">
        <v>10</v>
      </c>
      <c r="R74" s="5"/>
      <c r="S74" s="1"/>
      <c r="T74" s="1" t="e">
        <f t="shared" si="17"/>
        <v>#DIV/0!</v>
      </c>
      <c r="U74" s="1" t="e">
        <f t="shared" si="18"/>
        <v>#DIV/0!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6" t="s">
        <v>116</v>
      </c>
      <c r="AG74" s="1">
        <f t="shared" si="19"/>
        <v>1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117</v>
      </c>
      <c r="B75" s="1" t="s">
        <v>41</v>
      </c>
      <c r="C75" s="1">
        <v>73</v>
      </c>
      <c r="D75" s="1">
        <v>200</v>
      </c>
      <c r="E75" s="1">
        <v>73</v>
      </c>
      <c r="F75" s="1">
        <v>187</v>
      </c>
      <c r="G75" s="7">
        <v>0.4</v>
      </c>
      <c r="H75" s="1">
        <v>55</v>
      </c>
      <c r="I75" s="1" t="s">
        <v>37</v>
      </c>
      <c r="J75" s="1">
        <v>76</v>
      </c>
      <c r="K75" s="1">
        <f t="shared" si="14"/>
        <v>-3</v>
      </c>
      <c r="L75" s="1">
        <f t="shared" si="15"/>
        <v>73</v>
      </c>
      <c r="M75" s="1"/>
      <c r="N75" s="1">
        <v>13</v>
      </c>
      <c r="O75" s="1">
        <v>0</v>
      </c>
      <c r="P75" s="1">
        <f t="shared" si="16"/>
        <v>14.6</v>
      </c>
      <c r="Q75" s="5"/>
      <c r="R75" s="5"/>
      <c r="S75" s="1"/>
      <c r="T75" s="1">
        <f t="shared" si="17"/>
        <v>13.698630136986301</v>
      </c>
      <c r="U75" s="1">
        <f t="shared" si="18"/>
        <v>13.698630136986301</v>
      </c>
      <c r="V75" s="1">
        <v>12.6</v>
      </c>
      <c r="W75" s="1">
        <v>24</v>
      </c>
      <c r="X75" s="1">
        <v>26.4</v>
      </c>
      <c r="Y75" s="1">
        <v>20.2</v>
      </c>
      <c r="Z75" s="1">
        <v>18.2</v>
      </c>
      <c r="AA75" s="1">
        <v>19.600000000000001</v>
      </c>
      <c r="AB75" s="1">
        <v>22.6</v>
      </c>
      <c r="AC75" s="1">
        <v>13.2</v>
      </c>
      <c r="AD75" s="1">
        <v>13</v>
      </c>
      <c r="AE75" s="1">
        <v>28.8</v>
      </c>
      <c r="AF75" s="1"/>
      <c r="AG75" s="1">
        <f t="shared" si="19"/>
        <v>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118</v>
      </c>
      <c r="B76" s="1" t="s">
        <v>36</v>
      </c>
      <c r="C76" s="1">
        <v>7.4080000000000004</v>
      </c>
      <c r="D76" s="1">
        <v>46.018000000000001</v>
      </c>
      <c r="E76" s="1">
        <v>2.8820000000000001</v>
      </c>
      <c r="F76" s="1">
        <v>40.235999999999997</v>
      </c>
      <c r="G76" s="7">
        <v>1</v>
      </c>
      <c r="H76" s="1">
        <v>55</v>
      </c>
      <c r="I76" s="1" t="s">
        <v>37</v>
      </c>
      <c r="J76" s="1">
        <v>4.3</v>
      </c>
      <c r="K76" s="1">
        <f t="shared" si="14"/>
        <v>-1.4179999999999997</v>
      </c>
      <c r="L76" s="1">
        <f t="shared" si="15"/>
        <v>2.8820000000000001</v>
      </c>
      <c r="M76" s="1"/>
      <c r="N76" s="1">
        <v>22.129200000000001</v>
      </c>
      <c r="O76" s="1">
        <v>0</v>
      </c>
      <c r="P76" s="1">
        <f t="shared" si="16"/>
        <v>0.57640000000000002</v>
      </c>
      <c r="Q76" s="5"/>
      <c r="R76" s="5"/>
      <c r="S76" s="1"/>
      <c r="T76" s="1">
        <f t="shared" si="17"/>
        <v>108.19777931991672</v>
      </c>
      <c r="U76" s="1">
        <f t="shared" si="18"/>
        <v>108.19777931991672</v>
      </c>
      <c r="V76" s="1">
        <v>1.4408000000000001</v>
      </c>
      <c r="W76" s="1">
        <v>4.8688000000000002</v>
      </c>
      <c r="X76" s="1">
        <v>4.2923999999999998</v>
      </c>
      <c r="Y76" s="1">
        <v>2.4611999999999998</v>
      </c>
      <c r="Z76" s="1">
        <v>1.5968</v>
      </c>
      <c r="AA76" s="1">
        <v>1.4368000000000001</v>
      </c>
      <c r="AB76" s="1">
        <v>1.7216</v>
      </c>
      <c r="AC76" s="1">
        <v>0.85839999999999994</v>
      </c>
      <c r="AD76" s="1">
        <v>2.0084</v>
      </c>
      <c r="AE76" s="1">
        <v>3.6928000000000001</v>
      </c>
      <c r="AF76" s="1"/>
      <c r="AG76" s="1">
        <f t="shared" si="19"/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119</v>
      </c>
      <c r="B77" s="1" t="s">
        <v>41</v>
      </c>
      <c r="C77" s="1">
        <v>18</v>
      </c>
      <c r="D77" s="1">
        <v>12</v>
      </c>
      <c r="E77" s="1">
        <v>4</v>
      </c>
      <c r="F77" s="1">
        <v>17</v>
      </c>
      <c r="G77" s="7">
        <v>0.2</v>
      </c>
      <c r="H77" s="1">
        <v>40</v>
      </c>
      <c r="I77" s="1" t="s">
        <v>37</v>
      </c>
      <c r="J77" s="1">
        <v>7</v>
      </c>
      <c r="K77" s="1">
        <f t="shared" si="14"/>
        <v>-3</v>
      </c>
      <c r="L77" s="1">
        <f t="shared" si="15"/>
        <v>4</v>
      </c>
      <c r="M77" s="1"/>
      <c r="N77" s="1"/>
      <c r="O77" s="1">
        <v>0</v>
      </c>
      <c r="P77" s="1">
        <f t="shared" si="16"/>
        <v>0.8</v>
      </c>
      <c r="Q77" s="5"/>
      <c r="R77" s="5"/>
      <c r="S77" s="1"/>
      <c r="T77" s="1">
        <f t="shared" si="17"/>
        <v>21.25</v>
      </c>
      <c r="U77" s="1">
        <f t="shared" si="18"/>
        <v>21.25</v>
      </c>
      <c r="V77" s="1">
        <v>-0.4</v>
      </c>
      <c r="W77" s="1">
        <v>-0.4</v>
      </c>
      <c r="X77" s="1">
        <v>0</v>
      </c>
      <c r="Y77" s="1">
        <v>2.4</v>
      </c>
      <c r="Z77" s="1">
        <v>2.4</v>
      </c>
      <c r="AA77" s="1">
        <v>0</v>
      </c>
      <c r="AB77" s="1">
        <v>1.2</v>
      </c>
      <c r="AC77" s="1">
        <v>1.4</v>
      </c>
      <c r="AD77" s="1">
        <v>0.4</v>
      </c>
      <c r="AE77" s="1">
        <v>0.8</v>
      </c>
      <c r="AF77" s="1"/>
      <c r="AG77" s="1">
        <f t="shared" si="19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120</v>
      </c>
      <c r="B78" s="1" t="s">
        <v>41</v>
      </c>
      <c r="C78" s="1">
        <v>24</v>
      </c>
      <c r="D78" s="1">
        <v>36</v>
      </c>
      <c r="E78" s="1">
        <v>15</v>
      </c>
      <c r="F78" s="1">
        <v>19</v>
      </c>
      <c r="G78" s="7">
        <v>0.2</v>
      </c>
      <c r="H78" s="1">
        <v>35</v>
      </c>
      <c r="I78" s="1" t="s">
        <v>37</v>
      </c>
      <c r="J78" s="1">
        <v>28</v>
      </c>
      <c r="K78" s="1">
        <f t="shared" si="14"/>
        <v>-13</v>
      </c>
      <c r="L78" s="1">
        <f t="shared" si="15"/>
        <v>15</v>
      </c>
      <c r="M78" s="1"/>
      <c r="N78" s="1"/>
      <c r="O78" s="1">
        <v>0</v>
      </c>
      <c r="P78" s="1">
        <f t="shared" si="16"/>
        <v>3</v>
      </c>
      <c r="Q78" s="5">
        <f t="shared" ref="Q78" si="20">11*P78-O78-N78-F78</f>
        <v>14</v>
      </c>
      <c r="R78" s="5"/>
      <c r="S78" s="1"/>
      <c r="T78" s="1">
        <f t="shared" si="17"/>
        <v>11</v>
      </c>
      <c r="U78" s="1">
        <f t="shared" si="18"/>
        <v>6.333333333333333</v>
      </c>
      <c r="V78" s="1">
        <v>0.8</v>
      </c>
      <c r="W78" s="1">
        <v>4</v>
      </c>
      <c r="X78" s="1">
        <v>5.6</v>
      </c>
      <c r="Y78" s="1">
        <v>7.6</v>
      </c>
      <c r="Z78" s="1">
        <v>4.8</v>
      </c>
      <c r="AA78" s="1">
        <v>6.6</v>
      </c>
      <c r="AB78" s="1">
        <v>7.8</v>
      </c>
      <c r="AC78" s="1">
        <v>5.6</v>
      </c>
      <c r="AD78" s="1">
        <v>8.1999999999999993</v>
      </c>
      <c r="AE78" s="1">
        <v>13.2</v>
      </c>
      <c r="AF78" s="1"/>
      <c r="AG78" s="1">
        <f t="shared" si="19"/>
        <v>3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22" t="s">
        <v>121</v>
      </c>
      <c r="B79" s="22" t="s">
        <v>36</v>
      </c>
      <c r="C79" s="22">
        <v>181.18199999999999</v>
      </c>
      <c r="D79" s="22">
        <v>89.17</v>
      </c>
      <c r="E79" s="22">
        <v>66.742000000000004</v>
      </c>
      <c r="F79" s="22">
        <v>163.61000000000001</v>
      </c>
      <c r="G79" s="23">
        <v>1</v>
      </c>
      <c r="H79" s="22">
        <v>60</v>
      </c>
      <c r="I79" s="22" t="s">
        <v>37</v>
      </c>
      <c r="J79" s="22">
        <v>87.54</v>
      </c>
      <c r="K79" s="22">
        <f t="shared" si="14"/>
        <v>-20.798000000000002</v>
      </c>
      <c r="L79" s="22">
        <f t="shared" si="15"/>
        <v>66.742000000000004</v>
      </c>
      <c r="M79" s="22"/>
      <c r="N79" s="22">
        <v>39.424799999999998</v>
      </c>
      <c r="O79" s="22">
        <v>0</v>
      </c>
      <c r="P79" s="22">
        <f t="shared" si="16"/>
        <v>13.348400000000002</v>
      </c>
      <c r="Q79" s="24"/>
      <c r="R79" s="24"/>
      <c r="S79" s="22"/>
      <c r="T79" s="22">
        <f t="shared" si="17"/>
        <v>15.210422222888136</v>
      </c>
      <c r="U79" s="22">
        <f t="shared" si="18"/>
        <v>15.210422222888136</v>
      </c>
      <c r="V79" s="22">
        <v>12.81</v>
      </c>
      <c r="W79" s="22">
        <v>25.884799999999998</v>
      </c>
      <c r="X79" s="22">
        <v>26.3948</v>
      </c>
      <c r="Y79" s="22">
        <v>19.678000000000001</v>
      </c>
      <c r="Z79" s="22">
        <v>20.38</v>
      </c>
      <c r="AA79" s="22">
        <v>22.0044</v>
      </c>
      <c r="AB79" s="22">
        <v>20.813600000000001</v>
      </c>
      <c r="AC79" s="22">
        <v>16.369599999999998</v>
      </c>
      <c r="AD79" s="22">
        <v>16.526800000000001</v>
      </c>
      <c r="AE79" s="22">
        <v>22.016200000000001</v>
      </c>
      <c r="AF79" s="22" t="s">
        <v>60</v>
      </c>
      <c r="AG79" s="1">
        <f t="shared" si="19"/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22" t="s">
        <v>122</v>
      </c>
      <c r="B80" s="22" t="s">
        <v>36</v>
      </c>
      <c r="C80" s="22">
        <v>1005.18</v>
      </c>
      <c r="D80" s="22">
        <v>3056.21</v>
      </c>
      <c r="E80" s="22">
        <v>3005.8440000000001</v>
      </c>
      <c r="F80" s="22">
        <v>888.97799999999995</v>
      </c>
      <c r="G80" s="23">
        <v>1</v>
      </c>
      <c r="H80" s="22">
        <v>60</v>
      </c>
      <c r="I80" s="22" t="s">
        <v>37</v>
      </c>
      <c r="J80" s="22">
        <v>529.29999999999995</v>
      </c>
      <c r="K80" s="22">
        <f t="shared" si="14"/>
        <v>2476.5439999999999</v>
      </c>
      <c r="L80" s="22">
        <f t="shared" si="15"/>
        <v>489.85899999999992</v>
      </c>
      <c r="M80" s="22">
        <v>2515.9850000000001</v>
      </c>
      <c r="N80" s="22">
        <v>262.2335999999998</v>
      </c>
      <c r="O80" s="22">
        <v>0</v>
      </c>
      <c r="P80" s="22">
        <f t="shared" si="16"/>
        <v>97.971799999999988</v>
      </c>
      <c r="Q80" s="24"/>
      <c r="R80" s="24"/>
      <c r="S80" s="22"/>
      <c r="T80" s="22">
        <f t="shared" si="17"/>
        <v>11.750438391455498</v>
      </c>
      <c r="U80" s="22">
        <f t="shared" si="18"/>
        <v>11.750438391455498</v>
      </c>
      <c r="V80" s="22">
        <v>88.295799999999957</v>
      </c>
      <c r="W80" s="22">
        <v>139.74799999999999</v>
      </c>
      <c r="X80" s="22">
        <v>132.58260000000001</v>
      </c>
      <c r="Y80" s="22">
        <v>109.7308</v>
      </c>
      <c r="Z80" s="22">
        <v>130.8528</v>
      </c>
      <c r="AA80" s="22">
        <v>142.36859999999999</v>
      </c>
      <c r="AB80" s="22">
        <v>135.04740000000001</v>
      </c>
      <c r="AC80" s="22">
        <v>85.824600000000004</v>
      </c>
      <c r="AD80" s="22">
        <v>97.194799999999987</v>
      </c>
      <c r="AE80" s="22">
        <v>135.3152</v>
      </c>
      <c r="AF80" s="22" t="s">
        <v>60</v>
      </c>
      <c r="AG80" s="1">
        <f t="shared" si="19"/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22" t="s">
        <v>123</v>
      </c>
      <c r="B81" s="22" t="s">
        <v>36</v>
      </c>
      <c r="C81" s="22">
        <v>1289.6669999999999</v>
      </c>
      <c r="D81" s="22">
        <v>5213.7950000000001</v>
      </c>
      <c r="E81" s="22">
        <v>5213.2380000000003</v>
      </c>
      <c r="F81" s="22">
        <v>972.98099999999999</v>
      </c>
      <c r="G81" s="23">
        <v>1</v>
      </c>
      <c r="H81" s="22">
        <v>60</v>
      </c>
      <c r="I81" s="22" t="s">
        <v>37</v>
      </c>
      <c r="J81" s="22">
        <v>771.8</v>
      </c>
      <c r="K81" s="22">
        <f t="shared" si="14"/>
        <v>4441.4380000000001</v>
      </c>
      <c r="L81" s="22">
        <f t="shared" si="15"/>
        <v>721.26400000000012</v>
      </c>
      <c r="M81" s="22">
        <v>4491.9740000000002</v>
      </c>
      <c r="N81" s="22">
        <v>965.46863999999971</v>
      </c>
      <c r="O81" s="22">
        <v>0</v>
      </c>
      <c r="P81" s="22">
        <f t="shared" si="16"/>
        <v>144.25280000000004</v>
      </c>
      <c r="Q81" s="24"/>
      <c r="R81" s="24"/>
      <c r="S81" s="22"/>
      <c r="T81" s="22">
        <f t="shared" si="17"/>
        <v>13.437864914927124</v>
      </c>
      <c r="U81" s="22">
        <f t="shared" si="18"/>
        <v>13.437864914927124</v>
      </c>
      <c r="V81" s="22">
        <v>177.75759999999991</v>
      </c>
      <c r="W81" s="22">
        <v>225.54920000000001</v>
      </c>
      <c r="X81" s="22">
        <v>196.98820000000001</v>
      </c>
      <c r="Y81" s="22">
        <v>165.34299999999999</v>
      </c>
      <c r="Z81" s="22">
        <v>175.4006</v>
      </c>
      <c r="AA81" s="22">
        <v>176.75800000000001</v>
      </c>
      <c r="AB81" s="22">
        <v>152.20660000000001</v>
      </c>
      <c r="AC81" s="22">
        <v>66.561400000000049</v>
      </c>
      <c r="AD81" s="22">
        <v>81.697999999999951</v>
      </c>
      <c r="AE81" s="22">
        <v>136.50839999999999</v>
      </c>
      <c r="AF81" s="22" t="s">
        <v>60</v>
      </c>
      <c r="AG81" s="1">
        <f t="shared" si="19"/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9" t="s">
        <v>124</v>
      </c>
      <c r="B82" s="19" t="s">
        <v>36</v>
      </c>
      <c r="C82" s="19">
        <v>780.50199999999995</v>
      </c>
      <c r="D82" s="19">
        <v>7014.5559999999996</v>
      </c>
      <c r="E82" s="19">
        <v>6742.0050000000001</v>
      </c>
      <c r="F82" s="19">
        <v>752.49099999999999</v>
      </c>
      <c r="G82" s="20">
        <v>1</v>
      </c>
      <c r="H82" s="19">
        <v>60</v>
      </c>
      <c r="I82" s="19" t="s">
        <v>37</v>
      </c>
      <c r="J82" s="19">
        <v>4482.4040000000005</v>
      </c>
      <c r="K82" s="19">
        <f t="shared" si="14"/>
        <v>2259.6009999999997</v>
      </c>
      <c r="L82" s="19">
        <f t="shared" si="15"/>
        <v>744.23199999999997</v>
      </c>
      <c r="M82" s="19">
        <v>5997.7730000000001</v>
      </c>
      <c r="N82" s="19">
        <v>955.32457999999974</v>
      </c>
      <c r="O82" s="19">
        <v>471.03720000000021</v>
      </c>
      <c r="P82" s="19">
        <f t="shared" si="16"/>
        <v>148.84639999999999</v>
      </c>
      <c r="Q82" s="21"/>
      <c r="R82" s="21"/>
      <c r="S82" s="19"/>
      <c r="T82" s="19">
        <f t="shared" si="17"/>
        <v>14.638263202872224</v>
      </c>
      <c r="U82" s="19">
        <f t="shared" si="18"/>
        <v>14.638263202872224</v>
      </c>
      <c r="V82" s="19">
        <v>157.0124000000001</v>
      </c>
      <c r="W82" s="19">
        <v>209.07740000000001</v>
      </c>
      <c r="X82" s="19">
        <v>179.10059999999999</v>
      </c>
      <c r="Y82" s="19">
        <v>130.999</v>
      </c>
      <c r="Z82" s="19">
        <v>138.583</v>
      </c>
      <c r="AA82" s="19">
        <v>181.70840000000001</v>
      </c>
      <c r="AB82" s="19">
        <v>218.50319999999999</v>
      </c>
      <c r="AC82" s="19">
        <v>215.1208</v>
      </c>
      <c r="AD82" s="19">
        <v>188.14119999999991</v>
      </c>
      <c r="AE82" s="19">
        <v>222.36240000000001</v>
      </c>
      <c r="AF82" s="19" t="s">
        <v>53</v>
      </c>
      <c r="AG82" s="1">
        <f t="shared" si="19"/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125</v>
      </c>
      <c r="B83" s="1" t="s">
        <v>36</v>
      </c>
      <c r="C83" s="1">
        <v>43.584000000000003</v>
      </c>
      <c r="D83" s="1"/>
      <c r="E83" s="1">
        <v>4.0839999999999996</v>
      </c>
      <c r="F83" s="1">
        <v>30.193999999999999</v>
      </c>
      <c r="G83" s="7">
        <v>1</v>
      </c>
      <c r="H83" s="1">
        <v>55</v>
      </c>
      <c r="I83" s="1" t="s">
        <v>37</v>
      </c>
      <c r="J83" s="1">
        <v>5.43</v>
      </c>
      <c r="K83" s="1">
        <f t="shared" si="14"/>
        <v>-1.3460000000000001</v>
      </c>
      <c r="L83" s="1">
        <f t="shared" si="15"/>
        <v>4.0839999999999996</v>
      </c>
      <c r="M83" s="1"/>
      <c r="N83" s="1"/>
      <c r="O83" s="1">
        <v>0</v>
      </c>
      <c r="P83" s="1">
        <f t="shared" si="16"/>
        <v>0.81679999999999997</v>
      </c>
      <c r="Q83" s="5"/>
      <c r="R83" s="5"/>
      <c r="S83" s="1"/>
      <c r="T83" s="1">
        <f t="shared" si="17"/>
        <v>36.966209598432911</v>
      </c>
      <c r="U83" s="1">
        <f t="shared" si="18"/>
        <v>36.966209598432911</v>
      </c>
      <c r="V83" s="1">
        <v>1.3328</v>
      </c>
      <c r="W83" s="1">
        <v>2.1347999999999998</v>
      </c>
      <c r="X83" s="1">
        <v>0.8044</v>
      </c>
      <c r="Y83" s="1">
        <v>0.80800000000000005</v>
      </c>
      <c r="Z83" s="1">
        <v>0.80800000000000005</v>
      </c>
      <c r="AA83" s="1">
        <v>-9.7000000000000003E-2</v>
      </c>
      <c r="AB83" s="1">
        <v>0.97739999999999994</v>
      </c>
      <c r="AC83" s="1">
        <v>5.0944000000000003</v>
      </c>
      <c r="AD83" s="1">
        <v>0</v>
      </c>
      <c r="AE83" s="1">
        <v>1.0851999999999999</v>
      </c>
      <c r="AF83" s="25" t="s">
        <v>126</v>
      </c>
      <c r="AG83" s="1">
        <f t="shared" si="19"/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127</v>
      </c>
      <c r="B84" s="1" t="s">
        <v>36</v>
      </c>
      <c r="C84" s="1">
        <v>6.69</v>
      </c>
      <c r="D84" s="1"/>
      <c r="E84" s="1">
        <v>0.105</v>
      </c>
      <c r="F84" s="1">
        <v>1.198</v>
      </c>
      <c r="G84" s="7">
        <v>1</v>
      </c>
      <c r="H84" s="1">
        <v>55</v>
      </c>
      <c r="I84" s="1" t="s">
        <v>37</v>
      </c>
      <c r="J84" s="1">
        <v>6.9</v>
      </c>
      <c r="K84" s="1">
        <f t="shared" si="14"/>
        <v>-6.7949999999999999</v>
      </c>
      <c r="L84" s="1">
        <f t="shared" si="15"/>
        <v>0.105</v>
      </c>
      <c r="M84" s="1"/>
      <c r="N84" s="1">
        <v>11.8352</v>
      </c>
      <c r="O84" s="1">
        <v>0</v>
      </c>
      <c r="P84" s="1">
        <f t="shared" si="16"/>
        <v>2.0999999999999998E-2</v>
      </c>
      <c r="Q84" s="5"/>
      <c r="R84" s="5"/>
      <c r="S84" s="1"/>
      <c r="T84" s="1">
        <f t="shared" si="17"/>
        <v>620.62857142857149</v>
      </c>
      <c r="U84" s="1">
        <f t="shared" si="18"/>
        <v>620.62857142857149</v>
      </c>
      <c r="V84" s="1">
        <v>0.26879999999999998</v>
      </c>
      <c r="W84" s="1">
        <v>1.6108</v>
      </c>
      <c r="X84" s="1">
        <v>0.53780000000000006</v>
      </c>
      <c r="Y84" s="1">
        <v>0.26939999999999997</v>
      </c>
      <c r="Z84" s="1">
        <v>0.53680000000000005</v>
      </c>
      <c r="AA84" s="1">
        <v>0.53639999999999999</v>
      </c>
      <c r="AB84" s="1">
        <v>1.6128</v>
      </c>
      <c r="AC84" s="1">
        <v>1.3444</v>
      </c>
      <c r="AD84" s="1">
        <v>0.26800000000000002</v>
      </c>
      <c r="AE84" s="1">
        <v>0.53600000000000003</v>
      </c>
      <c r="AF84" s="1"/>
      <c r="AG84" s="1">
        <f t="shared" si="19"/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128</v>
      </c>
      <c r="B85" s="1" t="s">
        <v>36</v>
      </c>
      <c r="C85" s="1">
        <v>1.4079999999999999</v>
      </c>
      <c r="D85" s="1">
        <v>10.904999999999999</v>
      </c>
      <c r="E85" s="1"/>
      <c r="F85" s="1">
        <v>10.904999999999999</v>
      </c>
      <c r="G85" s="7">
        <v>1</v>
      </c>
      <c r="H85" s="1">
        <v>55</v>
      </c>
      <c r="I85" s="1" t="s">
        <v>37</v>
      </c>
      <c r="J85" s="1"/>
      <c r="K85" s="1">
        <f t="shared" si="14"/>
        <v>0</v>
      </c>
      <c r="L85" s="1">
        <f t="shared" si="15"/>
        <v>0</v>
      </c>
      <c r="M85" s="1"/>
      <c r="N85" s="1"/>
      <c r="O85" s="1">
        <v>0</v>
      </c>
      <c r="P85" s="1">
        <f t="shared" si="16"/>
        <v>0</v>
      </c>
      <c r="Q85" s="5"/>
      <c r="R85" s="5"/>
      <c r="S85" s="1"/>
      <c r="T85" s="1" t="e">
        <f t="shared" si="17"/>
        <v>#DIV/0!</v>
      </c>
      <c r="U85" s="1" t="e">
        <f t="shared" si="18"/>
        <v>#DIV/0!</v>
      </c>
      <c r="V85" s="1">
        <v>0</v>
      </c>
      <c r="W85" s="1">
        <v>0.5444</v>
      </c>
      <c r="X85" s="1">
        <v>0.5444</v>
      </c>
      <c r="Y85" s="1">
        <v>0.27400000000000002</v>
      </c>
      <c r="Z85" s="1">
        <v>0.27400000000000002</v>
      </c>
      <c r="AA85" s="1">
        <v>0.26479999999999998</v>
      </c>
      <c r="AB85" s="1">
        <v>0.26479999999999998</v>
      </c>
      <c r="AC85" s="1">
        <v>0.27760000000000001</v>
      </c>
      <c r="AD85" s="1">
        <v>0.54400000000000004</v>
      </c>
      <c r="AE85" s="1">
        <v>0.26640000000000003</v>
      </c>
      <c r="AF85" s="1"/>
      <c r="AG85" s="1">
        <f t="shared" si="19"/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3" t="s">
        <v>129</v>
      </c>
      <c r="B86" s="13" t="s">
        <v>36</v>
      </c>
      <c r="C86" s="13"/>
      <c r="D86" s="13"/>
      <c r="E86" s="13"/>
      <c r="F86" s="13"/>
      <c r="G86" s="14">
        <v>0</v>
      </c>
      <c r="H86" s="13">
        <v>60</v>
      </c>
      <c r="I86" s="13" t="s">
        <v>37</v>
      </c>
      <c r="J86" s="13"/>
      <c r="K86" s="13">
        <f t="shared" si="14"/>
        <v>0</v>
      </c>
      <c r="L86" s="13">
        <f t="shared" si="15"/>
        <v>0</v>
      </c>
      <c r="M86" s="13"/>
      <c r="N86" s="13"/>
      <c r="O86" s="13">
        <v>0</v>
      </c>
      <c r="P86" s="13">
        <f t="shared" si="16"/>
        <v>0</v>
      </c>
      <c r="Q86" s="15"/>
      <c r="R86" s="15"/>
      <c r="S86" s="13"/>
      <c r="T86" s="13" t="e">
        <f t="shared" si="17"/>
        <v>#DIV/0!</v>
      </c>
      <c r="U86" s="13" t="e">
        <f t="shared" si="18"/>
        <v>#DIV/0!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 t="s">
        <v>46</v>
      </c>
      <c r="AG86" s="1">
        <f t="shared" si="19"/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130</v>
      </c>
      <c r="B87" s="1" t="s">
        <v>41</v>
      </c>
      <c r="C87" s="1">
        <v>28</v>
      </c>
      <c r="D87" s="1">
        <v>126</v>
      </c>
      <c r="E87" s="1">
        <v>31</v>
      </c>
      <c r="F87" s="1">
        <v>101</v>
      </c>
      <c r="G87" s="7">
        <v>0.3</v>
      </c>
      <c r="H87" s="1">
        <v>40</v>
      </c>
      <c r="I87" s="1" t="s">
        <v>37</v>
      </c>
      <c r="J87" s="1">
        <v>40</v>
      </c>
      <c r="K87" s="1">
        <f t="shared" si="14"/>
        <v>-9</v>
      </c>
      <c r="L87" s="1">
        <f t="shared" si="15"/>
        <v>31</v>
      </c>
      <c r="M87" s="1"/>
      <c r="N87" s="1">
        <v>28</v>
      </c>
      <c r="O87" s="1">
        <v>0</v>
      </c>
      <c r="P87" s="1">
        <f t="shared" si="16"/>
        <v>6.2</v>
      </c>
      <c r="Q87" s="5"/>
      <c r="R87" s="5"/>
      <c r="S87" s="1"/>
      <c r="T87" s="1">
        <f t="shared" si="17"/>
        <v>20.806451612903224</v>
      </c>
      <c r="U87" s="1">
        <f t="shared" si="18"/>
        <v>20.806451612903224</v>
      </c>
      <c r="V87" s="1">
        <v>4.8</v>
      </c>
      <c r="W87" s="1">
        <v>14</v>
      </c>
      <c r="X87" s="1">
        <v>14.4</v>
      </c>
      <c r="Y87" s="1">
        <v>12.4</v>
      </c>
      <c r="Z87" s="1">
        <v>10.199999999999999</v>
      </c>
      <c r="AA87" s="1">
        <v>13.6</v>
      </c>
      <c r="AB87" s="1">
        <v>13.4</v>
      </c>
      <c r="AC87" s="1">
        <v>2.8</v>
      </c>
      <c r="AD87" s="1">
        <v>2.8</v>
      </c>
      <c r="AE87" s="1">
        <v>17.2</v>
      </c>
      <c r="AF87" s="1"/>
      <c r="AG87" s="1">
        <f t="shared" si="19"/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131</v>
      </c>
      <c r="B88" s="1" t="s">
        <v>41</v>
      </c>
      <c r="C88" s="1">
        <v>93</v>
      </c>
      <c r="D88" s="1"/>
      <c r="E88" s="1">
        <v>77</v>
      </c>
      <c r="F88" s="1">
        <v>4</v>
      </c>
      <c r="G88" s="7">
        <v>0.3</v>
      </c>
      <c r="H88" s="1">
        <v>40</v>
      </c>
      <c r="I88" s="1" t="s">
        <v>37</v>
      </c>
      <c r="J88" s="1">
        <v>87</v>
      </c>
      <c r="K88" s="1">
        <f t="shared" si="14"/>
        <v>-10</v>
      </c>
      <c r="L88" s="1">
        <f t="shared" si="15"/>
        <v>77</v>
      </c>
      <c r="M88" s="1"/>
      <c r="N88" s="1">
        <v>7.1999999999999886</v>
      </c>
      <c r="O88" s="1">
        <v>94.800000000000011</v>
      </c>
      <c r="P88" s="1">
        <f t="shared" si="16"/>
        <v>15.4</v>
      </c>
      <c r="Q88" s="5">
        <f t="shared" ref="Q88" si="21">11*P88-O88-N88-F88-0.3*P88</f>
        <v>58.780000000000008</v>
      </c>
      <c r="R88" s="5"/>
      <c r="S88" s="1"/>
      <c r="T88" s="1">
        <f t="shared" si="17"/>
        <v>10.7</v>
      </c>
      <c r="U88" s="1">
        <f t="shared" si="18"/>
        <v>6.883116883116883</v>
      </c>
      <c r="V88" s="1">
        <v>12.8</v>
      </c>
      <c r="W88" s="1">
        <v>8.1999999999999993</v>
      </c>
      <c r="X88" s="1">
        <v>7.6</v>
      </c>
      <c r="Y88" s="1">
        <v>11.8</v>
      </c>
      <c r="Z88" s="1">
        <v>13.6</v>
      </c>
      <c r="AA88" s="1">
        <v>10.199999999999999</v>
      </c>
      <c r="AB88" s="1">
        <v>9.1999999999999993</v>
      </c>
      <c r="AC88" s="1">
        <v>3.6</v>
      </c>
      <c r="AD88" s="1">
        <v>3.8</v>
      </c>
      <c r="AE88" s="1">
        <v>6.4</v>
      </c>
      <c r="AF88" s="1"/>
      <c r="AG88" s="1">
        <f t="shared" si="19"/>
        <v>18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132</v>
      </c>
      <c r="B89" s="1" t="s">
        <v>41</v>
      </c>
      <c r="C89" s="1">
        <v>16</v>
      </c>
      <c r="D89" s="1">
        <v>98</v>
      </c>
      <c r="E89" s="1">
        <v>46</v>
      </c>
      <c r="F89" s="1">
        <v>53</v>
      </c>
      <c r="G89" s="7">
        <v>0.3</v>
      </c>
      <c r="H89" s="1">
        <v>40</v>
      </c>
      <c r="I89" s="1" t="s">
        <v>37</v>
      </c>
      <c r="J89" s="1">
        <v>58</v>
      </c>
      <c r="K89" s="1">
        <f t="shared" si="14"/>
        <v>-12</v>
      </c>
      <c r="L89" s="1">
        <f t="shared" si="15"/>
        <v>46</v>
      </c>
      <c r="M89" s="1"/>
      <c r="N89" s="1">
        <v>6.8000000000000114</v>
      </c>
      <c r="O89" s="1">
        <v>26.099999999999991</v>
      </c>
      <c r="P89" s="1">
        <f t="shared" si="16"/>
        <v>9.1999999999999993</v>
      </c>
      <c r="Q89" s="5">
        <f t="shared" ref="Q89:Q95" si="22">11*P89-O89-N89-F89</f>
        <v>15.299999999999983</v>
      </c>
      <c r="R89" s="5"/>
      <c r="S89" s="1"/>
      <c r="T89" s="1">
        <f t="shared" si="17"/>
        <v>11</v>
      </c>
      <c r="U89" s="1">
        <f t="shared" si="18"/>
        <v>9.3369565217391326</v>
      </c>
      <c r="V89" s="1">
        <v>8.6</v>
      </c>
      <c r="W89" s="1">
        <v>8.8000000000000007</v>
      </c>
      <c r="X89" s="1">
        <v>10.199999999999999</v>
      </c>
      <c r="Y89" s="1">
        <v>8.4</v>
      </c>
      <c r="Z89" s="1">
        <v>6.2</v>
      </c>
      <c r="AA89" s="1">
        <v>7.4</v>
      </c>
      <c r="AB89" s="1">
        <v>8.6</v>
      </c>
      <c r="AC89" s="1">
        <v>6.4</v>
      </c>
      <c r="AD89" s="1">
        <v>5.4</v>
      </c>
      <c r="AE89" s="1">
        <v>3.4</v>
      </c>
      <c r="AF89" s="1"/>
      <c r="AG89" s="1">
        <f t="shared" si="19"/>
        <v>5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133</v>
      </c>
      <c r="B90" s="1" t="s">
        <v>36</v>
      </c>
      <c r="C90" s="1">
        <v>9.6110000000000007</v>
      </c>
      <c r="D90" s="1">
        <v>21.917999999999999</v>
      </c>
      <c r="E90" s="1">
        <v>4.1260000000000003</v>
      </c>
      <c r="F90" s="1">
        <v>21.917999999999999</v>
      </c>
      <c r="G90" s="7">
        <v>1</v>
      </c>
      <c r="H90" s="1">
        <v>50</v>
      </c>
      <c r="I90" s="1" t="s">
        <v>37</v>
      </c>
      <c r="J90" s="1">
        <v>12.15</v>
      </c>
      <c r="K90" s="1">
        <f t="shared" si="14"/>
        <v>-8.0240000000000009</v>
      </c>
      <c r="L90" s="1">
        <f t="shared" si="15"/>
        <v>4.1260000000000003</v>
      </c>
      <c r="M90" s="1"/>
      <c r="N90" s="1">
        <v>11.367599999999999</v>
      </c>
      <c r="O90" s="1">
        <v>0</v>
      </c>
      <c r="P90" s="1">
        <f t="shared" si="16"/>
        <v>0.82520000000000004</v>
      </c>
      <c r="Q90" s="5"/>
      <c r="R90" s="5"/>
      <c r="S90" s="1"/>
      <c r="T90" s="1">
        <f t="shared" si="17"/>
        <v>40.336403296170623</v>
      </c>
      <c r="U90" s="1">
        <f t="shared" si="18"/>
        <v>40.336403296170623</v>
      </c>
      <c r="V90" s="1">
        <v>1.38</v>
      </c>
      <c r="W90" s="1">
        <v>3.0455999999999999</v>
      </c>
      <c r="X90" s="1">
        <v>2.4908000000000001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 t="s">
        <v>134</v>
      </c>
      <c r="AG90" s="1">
        <f t="shared" si="19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135</v>
      </c>
      <c r="B91" s="1" t="s">
        <v>41</v>
      </c>
      <c r="C91" s="1">
        <v>22</v>
      </c>
      <c r="D91" s="1">
        <v>48</v>
      </c>
      <c r="E91" s="1">
        <v>18</v>
      </c>
      <c r="F91" s="1">
        <v>48</v>
      </c>
      <c r="G91" s="7">
        <v>0.05</v>
      </c>
      <c r="H91" s="1">
        <v>120</v>
      </c>
      <c r="I91" s="1" t="s">
        <v>37</v>
      </c>
      <c r="J91" s="1">
        <v>24</v>
      </c>
      <c r="K91" s="1">
        <f t="shared" si="14"/>
        <v>-6</v>
      </c>
      <c r="L91" s="1">
        <f t="shared" si="15"/>
        <v>18</v>
      </c>
      <c r="M91" s="1"/>
      <c r="N91" s="1">
        <v>14.8</v>
      </c>
      <c r="O91" s="1">
        <v>0</v>
      </c>
      <c r="P91" s="1">
        <f t="shared" si="16"/>
        <v>3.6</v>
      </c>
      <c r="Q91" s="5"/>
      <c r="R91" s="5"/>
      <c r="S91" s="1"/>
      <c r="T91" s="1">
        <f t="shared" si="17"/>
        <v>17.444444444444443</v>
      </c>
      <c r="U91" s="1">
        <f t="shared" si="18"/>
        <v>17.444444444444443</v>
      </c>
      <c r="V91" s="1">
        <v>4.2</v>
      </c>
      <c r="W91" s="1">
        <v>5.8</v>
      </c>
      <c r="X91" s="1">
        <v>5.2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 t="s">
        <v>134</v>
      </c>
      <c r="AG91" s="1">
        <f t="shared" si="19"/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9" t="s">
        <v>136</v>
      </c>
      <c r="B92" s="19" t="s">
        <v>36</v>
      </c>
      <c r="C92" s="19">
        <v>670.41800000000001</v>
      </c>
      <c r="D92" s="19">
        <v>602.52200000000005</v>
      </c>
      <c r="E92" s="19">
        <v>396.221</v>
      </c>
      <c r="F92" s="19">
        <v>779.86199999999997</v>
      </c>
      <c r="G92" s="20">
        <v>1</v>
      </c>
      <c r="H92" s="19">
        <v>40</v>
      </c>
      <c r="I92" s="19" t="s">
        <v>37</v>
      </c>
      <c r="J92" s="19">
        <v>379.23</v>
      </c>
      <c r="K92" s="19">
        <f t="shared" si="14"/>
        <v>16.990999999999985</v>
      </c>
      <c r="L92" s="19">
        <f t="shared" si="15"/>
        <v>396.221</v>
      </c>
      <c r="M92" s="19"/>
      <c r="N92" s="19">
        <v>48.589800000000082</v>
      </c>
      <c r="O92" s="19">
        <v>240.6858</v>
      </c>
      <c r="P92" s="19">
        <f t="shared" si="16"/>
        <v>79.244200000000006</v>
      </c>
      <c r="Q92" s="21"/>
      <c r="R92" s="21"/>
      <c r="S92" s="19"/>
      <c r="T92" s="19">
        <f t="shared" si="17"/>
        <v>13.491682672044137</v>
      </c>
      <c r="U92" s="19">
        <f t="shared" si="18"/>
        <v>13.491682672044137</v>
      </c>
      <c r="V92" s="19">
        <v>80.2286</v>
      </c>
      <c r="W92" s="19">
        <v>111.3188</v>
      </c>
      <c r="X92" s="19">
        <v>108.1478</v>
      </c>
      <c r="Y92" s="19">
        <v>97.566800000000001</v>
      </c>
      <c r="Z92" s="19">
        <v>98.78</v>
      </c>
      <c r="AA92" s="19">
        <v>98.010599999999997</v>
      </c>
      <c r="AB92" s="19">
        <v>95.502199999999988</v>
      </c>
      <c r="AC92" s="19">
        <v>82.845800000000011</v>
      </c>
      <c r="AD92" s="19">
        <v>89.296999999999997</v>
      </c>
      <c r="AE92" s="19">
        <v>115.07559999999999</v>
      </c>
      <c r="AF92" s="19" t="s">
        <v>58</v>
      </c>
      <c r="AG92" s="1">
        <f t="shared" si="19"/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137</v>
      </c>
      <c r="B93" s="1" t="s">
        <v>41</v>
      </c>
      <c r="C93" s="1">
        <v>-12</v>
      </c>
      <c r="D93" s="1">
        <v>192</v>
      </c>
      <c r="E93" s="1">
        <v>64</v>
      </c>
      <c r="F93" s="1">
        <v>102</v>
      </c>
      <c r="G93" s="7">
        <v>0.3</v>
      </c>
      <c r="H93" s="1">
        <v>40</v>
      </c>
      <c r="I93" s="1" t="s">
        <v>37</v>
      </c>
      <c r="J93" s="1">
        <v>91</v>
      </c>
      <c r="K93" s="1">
        <f t="shared" si="14"/>
        <v>-27</v>
      </c>
      <c r="L93" s="1">
        <f t="shared" si="15"/>
        <v>64</v>
      </c>
      <c r="M93" s="1"/>
      <c r="N93" s="1"/>
      <c r="O93" s="1">
        <v>0</v>
      </c>
      <c r="P93" s="1">
        <f t="shared" si="16"/>
        <v>12.8</v>
      </c>
      <c r="Q93" s="5">
        <f t="shared" ref="Q93:Q94" si="23">11*P93-O93-N93-F93-0.3*P93</f>
        <v>34.960000000000008</v>
      </c>
      <c r="R93" s="5"/>
      <c r="S93" s="1"/>
      <c r="T93" s="1">
        <f t="shared" si="17"/>
        <v>10.7</v>
      </c>
      <c r="U93" s="1">
        <f t="shared" si="18"/>
        <v>7.96875</v>
      </c>
      <c r="V93" s="1">
        <v>5.8</v>
      </c>
      <c r="W93" s="1">
        <v>12</v>
      </c>
      <c r="X93" s="1">
        <v>16.2</v>
      </c>
      <c r="Y93" s="1">
        <v>11.4</v>
      </c>
      <c r="Z93" s="1">
        <v>5.6</v>
      </c>
      <c r="AA93" s="1">
        <v>10</v>
      </c>
      <c r="AB93" s="1">
        <v>15</v>
      </c>
      <c r="AC93" s="1">
        <v>17.2</v>
      </c>
      <c r="AD93" s="1">
        <v>18.600000000000001</v>
      </c>
      <c r="AE93" s="1">
        <v>16.2</v>
      </c>
      <c r="AF93" s="1"/>
      <c r="AG93" s="1">
        <f t="shared" si="19"/>
        <v>10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138</v>
      </c>
      <c r="B94" s="1" t="s">
        <v>41</v>
      </c>
      <c r="C94" s="1">
        <v>27</v>
      </c>
      <c r="D94" s="1">
        <v>87</v>
      </c>
      <c r="E94" s="1">
        <v>62</v>
      </c>
      <c r="F94" s="1">
        <v>24</v>
      </c>
      <c r="G94" s="7">
        <v>0.3</v>
      </c>
      <c r="H94" s="1">
        <v>40</v>
      </c>
      <c r="I94" s="1" t="s">
        <v>37</v>
      </c>
      <c r="J94" s="1">
        <v>65</v>
      </c>
      <c r="K94" s="1">
        <f t="shared" si="14"/>
        <v>-3</v>
      </c>
      <c r="L94" s="1">
        <f t="shared" si="15"/>
        <v>62</v>
      </c>
      <c r="M94" s="1"/>
      <c r="N94" s="1">
        <v>23.599999999999991</v>
      </c>
      <c r="O94" s="1">
        <v>46.399999999999977</v>
      </c>
      <c r="P94" s="1">
        <f t="shared" si="16"/>
        <v>12.4</v>
      </c>
      <c r="Q94" s="5">
        <f t="shared" si="23"/>
        <v>38.680000000000035</v>
      </c>
      <c r="R94" s="5"/>
      <c r="S94" s="1"/>
      <c r="T94" s="1">
        <f t="shared" si="17"/>
        <v>10.700000000000001</v>
      </c>
      <c r="U94" s="1">
        <f t="shared" si="18"/>
        <v>7.5806451612903203</v>
      </c>
      <c r="V94" s="1">
        <v>10.4</v>
      </c>
      <c r="W94" s="1">
        <v>8.6</v>
      </c>
      <c r="X94" s="1">
        <v>9.8000000000000007</v>
      </c>
      <c r="Y94" s="1">
        <v>9.1999999999999993</v>
      </c>
      <c r="Z94" s="1">
        <v>7.2</v>
      </c>
      <c r="AA94" s="1">
        <v>7.6</v>
      </c>
      <c r="AB94" s="1">
        <v>7.2</v>
      </c>
      <c r="AC94" s="1">
        <v>2.2000000000000002</v>
      </c>
      <c r="AD94" s="1">
        <v>3.8</v>
      </c>
      <c r="AE94" s="1">
        <v>9</v>
      </c>
      <c r="AF94" s="1" t="s">
        <v>139</v>
      </c>
      <c r="AG94" s="1">
        <f t="shared" si="19"/>
        <v>12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140</v>
      </c>
      <c r="B95" s="1" t="s">
        <v>36</v>
      </c>
      <c r="C95" s="1">
        <v>11.7</v>
      </c>
      <c r="D95" s="1">
        <v>32.402999999999999</v>
      </c>
      <c r="E95" s="1">
        <v>16.673999999999999</v>
      </c>
      <c r="F95" s="1">
        <v>22.795000000000002</v>
      </c>
      <c r="G95" s="7">
        <v>1</v>
      </c>
      <c r="H95" s="1">
        <v>45</v>
      </c>
      <c r="I95" s="1" t="s">
        <v>37</v>
      </c>
      <c r="J95" s="1">
        <v>20.75</v>
      </c>
      <c r="K95" s="1">
        <f t="shared" si="14"/>
        <v>-4.0760000000000005</v>
      </c>
      <c r="L95" s="1">
        <f t="shared" si="15"/>
        <v>16.673999999999999</v>
      </c>
      <c r="M95" s="1"/>
      <c r="N95" s="1">
        <v>7.9427999999999974</v>
      </c>
      <c r="O95" s="1">
        <v>0</v>
      </c>
      <c r="P95" s="1">
        <f t="shared" si="16"/>
        <v>3.3348</v>
      </c>
      <c r="Q95" s="5">
        <f t="shared" si="22"/>
        <v>5.9450000000000003</v>
      </c>
      <c r="R95" s="5"/>
      <c r="S95" s="1"/>
      <c r="T95" s="1">
        <f t="shared" si="17"/>
        <v>11</v>
      </c>
      <c r="U95" s="1">
        <f t="shared" si="18"/>
        <v>9.2172843948662582</v>
      </c>
      <c r="V95" s="1">
        <v>3.0884</v>
      </c>
      <c r="W95" s="1">
        <v>3.8288000000000002</v>
      </c>
      <c r="X95" s="1">
        <v>3.8256000000000001</v>
      </c>
      <c r="Y95" s="1">
        <v>3.7951999999999999</v>
      </c>
      <c r="Z95" s="1">
        <v>2.9716</v>
      </c>
      <c r="AA95" s="1">
        <v>0.82200000000000006</v>
      </c>
      <c r="AB95" s="1">
        <v>1.3588</v>
      </c>
      <c r="AC95" s="1">
        <v>3.5516000000000001</v>
      </c>
      <c r="AD95" s="1">
        <v>4.1595999999999993</v>
      </c>
      <c r="AE95" s="1">
        <v>4.21</v>
      </c>
      <c r="AF95" s="1"/>
      <c r="AG95" s="1">
        <f t="shared" si="19"/>
        <v>6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141</v>
      </c>
      <c r="B96" s="1" t="s">
        <v>41</v>
      </c>
      <c r="C96" s="1">
        <v>1</v>
      </c>
      <c r="D96" s="1">
        <v>96</v>
      </c>
      <c r="E96" s="1">
        <v>29</v>
      </c>
      <c r="F96" s="1">
        <v>61</v>
      </c>
      <c r="G96" s="7">
        <v>0.33</v>
      </c>
      <c r="H96" s="1">
        <v>40</v>
      </c>
      <c r="I96" s="1" t="s">
        <v>37</v>
      </c>
      <c r="J96" s="1">
        <v>38</v>
      </c>
      <c r="K96" s="1">
        <f t="shared" si="14"/>
        <v>-9</v>
      </c>
      <c r="L96" s="1">
        <f t="shared" si="15"/>
        <v>29</v>
      </c>
      <c r="M96" s="1"/>
      <c r="N96" s="1"/>
      <c r="O96" s="1">
        <v>0</v>
      </c>
      <c r="P96" s="1">
        <f t="shared" si="16"/>
        <v>5.8</v>
      </c>
      <c r="Q96" s="5"/>
      <c r="R96" s="5"/>
      <c r="S96" s="1"/>
      <c r="T96" s="1">
        <f t="shared" si="17"/>
        <v>10.517241379310345</v>
      </c>
      <c r="U96" s="1">
        <f t="shared" si="18"/>
        <v>10.517241379310345</v>
      </c>
      <c r="V96" s="1">
        <v>1.6</v>
      </c>
      <c r="W96" s="1">
        <v>6.2</v>
      </c>
      <c r="X96" s="1">
        <v>10.199999999999999</v>
      </c>
      <c r="Y96" s="1">
        <v>5.6</v>
      </c>
      <c r="Z96" s="1">
        <v>4</v>
      </c>
      <c r="AA96" s="1">
        <v>5</v>
      </c>
      <c r="AB96" s="1">
        <v>4.5999999999999996</v>
      </c>
      <c r="AC96" s="1">
        <v>3.4</v>
      </c>
      <c r="AD96" s="1">
        <v>2.2000000000000002</v>
      </c>
      <c r="AE96" s="1">
        <v>0</v>
      </c>
      <c r="AF96" s="1"/>
      <c r="AG96" s="1">
        <f t="shared" si="19"/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142</v>
      </c>
      <c r="B97" s="1" t="s">
        <v>41</v>
      </c>
      <c r="C97" s="1"/>
      <c r="D97" s="1">
        <v>78</v>
      </c>
      <c r="E97" s="1">
        <v>24</v>
      </c>
      <c r="F97" s="1">
        <v>54</v>
      </c>
      <c r="G97" s="7">
        <v>0.3</v>
      </c>
      <c r="H97" s="1">
        <v>40</v>
      </c>
      <c r="I97" s="1" t="s">
        <v>37</v>
      </c>
      <c r="J97" s="1">
        <v>29</v>
      </c>
      <c r="K97" s="1">
        <f t="shared" si="14"/>
        <v>-5</v>
      </c>
      <c r="L97" s="1">
        <f t="shared" si="15"/>
        <v>24</v>
      </c>
      <c r="M97" s="1"/>
      <c r="N97" s="1"/>
      <c r="O97" s="1">
        <v>0</v>
      </c>
      <c r="P97" s="1">
        <f t="shared" si="16"/>
        <v>4.8</v>
      </c>
      <c r="Q97" s="5"/>
      <c r="R97" s="5"/>
      <c r="S97" s="1"/>
      <c r="T97" s="1">
        <f t="shared" si="17"/>
        <v>11.25</v>
      </c>
      <c r="U97" s="1">
        <f t="shared" si="18"/>
        <v>11.25</v>
      </c>
      <c r="V97" s="1">
        <v>3.6</v>
      </c>
      <c r="W97" s="1">
        <v>4.5999999999999996</v>
      </c>
      <c r="X97" s="1">
        <v>6.8</v>
      </c>
      <c r="Y97" s="1">
        <v>5</v>
      </c>
      <c r="Z97" s="1">
        <v>3.2</v>
      </c>
      <c r="AA97" s="1">
        <v>3.2</v>
      </c>
      <c r="AB97" s="1">
        <v>4.5999999999999996</v>
      </c>
      <c r="AC97" s="1">
        <v>1.8</v>
      </c>
      <c r="AD97" s="1">
        <v>0</v>
      </c>
      <c r="AE97" s="1">
        <v>0</v>
      </c>
      <c r="AF97" s="1"/>
      <c r="AG97" s="1">
        <f t="shared" si="19"/>
        <v>0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 t="s">
        <v>143</v>
      </c>
      <c r="B98" s="1" t="s">
        <v>41</v>
      </c>
      <c r="C98" s="1"/>
      <c r="D98" s="1">
        <v>18</v>
      </c>
      <c r="E98" s="1">
        <v>12</v>
      </c>
      <c r="F98" s="1">
        <v>6</v>
      </c>
      <c r="G98" s="7">
        <v>0.12</v>
      </c>
      <c r="H98" s="1">
        <v>45</v>
      </c>
      <c r="I98" s="1" t="s">
        <v>37</v>
      </c>
      <c r="J98" s="1">
        <v>12</v>
      </c>
      <c r="K98" s="1">
        <f t="shared" si="14"/>
        <v>0</v>
      </c>
      <c r="L98" s="1">
        <f t="shared" si="15"/>
        <v>12</v>
      </c>
      <c r="M98" s="1"/>
      <c r="N98" s="1"/>
      <c r="O98" s="1">
        <v>30</v>
      </c>
      <c r="P98" s="1">
        <f t="shared" si="16"/>
        <v>2.4</v>
      </c>
      <c r="Q98" s="5"/>
      <c r="R98" s="5"/>
      <c r="S98" s="1"/>
      <c r="T98" s="1">
        <f t="shared" si="17"/>
        <v>15</v>
      </c>
      <c r="U98" s="1">
        <f t="shared" si="18"/>
        <v>15</v>
      </c>
      <c r="V98" s="1">
        <v>1.6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 t="s">
        <v>134</v>
      </c>
      <c r="AG98" s="1">
        <f t="shared" si="19"/>
        <v>0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</sheetData>
  <autoFilter ref="A3:AG98" xr:uid="{FEA1E006-C95D-4134-9E23-2174DAFEA6FC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2025-04-24T12:51:27Z</dcterms:created>
  <dcterms:modified xsi:type="dcterms:W3CDTF">2025-04-25T07:20:30Z</dcterms:modified>
</cp:coreProperties>
</file>