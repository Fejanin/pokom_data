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"/>
    </mc:Choice>
  </mc:AlternateContent>
  <xr:revisionPtr revIDLastSave="0" documentId="13_ncr:1_{3E882386-ECBE-41B4-9AB0-B4BB437F8E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5" i="1" l="1"/>
  <c r="O95" i="1"/>
  <c r="S95" i="1" s="1"/>
  <c r="T95" i="1" l="1"/>
  <c r="L7" i="1" l="1"/>
  <c r="O7" i="1" s="1"/>
  <c r="P7" i="1" s="1"/>
  <c r="AF7" i="1" s="1"/>
  <c r="L8" i="1"/>
  <c r="L9" i="1"/>
  <c r="O9" i="1" s="1"/>
  <c r="L10" i="1"/>
  <c r="O10" i="1" s="1"/>
  <c r="L11" i="1"/>
  <c r="O11" i="1" s="1"/>
  <c r="AF11" i="1" s="1"/>
  <c r="L12" i="1"/>
  <c r="O12" i="1" s="1"/>
  <c r="L13" i="1"/>
  <c r="O13" i="1" s="1"/>
  <c r="L14" i="1"/>
  <c r="O14" i="1" s="1"/>
  <c r="L15" i="1"/>
  <c r="O15" i="1" s="1"/>
  <c r="P15" i="1" s="1"/>
  <c r="AF15" i="1" s="1"/>
  <c r="L16" i="1"/>
  <c r="O16" i="1" s="1"/>
  <c r="L17" i="1"/>
  <c r="O17" i="1" s="1"/>
  <c r="L18" i="1"/>
  <c r="O18" i="1" s="1"/>
  <c r="L19" i="1"/>
  <c r="O19" i="1" s="1"/>
  <c r="AF19" i="1" s="1"/>
  <c r="L20" i="1"/>
  <c r="O20" i="1" s="1"/>
  <c r="S20" i="1" s="1"/>
  <c r="L21" i="1"/>
  <c r="O21" i="1" s="1"/>
  <c r="P21" i="1" s="1"/>
  <c r="L22" i="1"/>
  <c r="O22" i="1" s="1"/>
  <c r="L23" i="1"/>
  <c r="O23" i="1" s="1"/>
  <c r="P23" i="1" s="1"/>
  <c r="L24" i="1"/>
  <c r="O24" i="1" s="1"/>
  <c r="P24" i="1" s="1"/>
  <c r="AF24" i="1" s="1"/>
  <c r="L25" i="1"/>
  <c r="O25" i="1" s="1"/>
  <c r="S25" i="1" s="1"/>
  <c r="L26" i="1"/>
  <c r="O26" i="1" s="1"/>
  <c r="S26" i="1" s="1"/>
  <c r="L27" i="1"/>
  <c r="O27" i="1" s="1"/>
  <c r="L28" i="1"/>
  <c r="O28" i="1" s="1"/>
  <c r="S28" i="1" s="1"/>
  <c r="L29" i="1"/>
  <c r="O29" i="1" s="1"/>
  <c r="S29" i="1" s="1"/>
  <c r="L30" i="1"/>
  <c r="O30" i="1" s="1"/>
  <c r="S30" i="1" s="1"/>
  <c r="L31" i="1"/>
  <c r="O31" i="1" s="1"/>
  <c r="S31" i="1" s="1"/>
  <c r="L32" i="1"/>
  <c r="O32" i="1" s="1"/>
  <c r="AF32" i="1" s="1"/>
  <c r="L33" i="1"/>
  <c r="O33" i="1" s="1"/>
  <c r="L34" i="1"/>
  <c r="O34" i="1" s="1"/>
  <c r="P34" i="1" s="1"/>
  <c r="AF34" i="1" s="1"/>
  <c r="L35" i="1"/>
  <c r="O35" i="1" s="1"/>
  <c r="P35" i="1" s="1"/>
  <c r="L36" i="1"/>
  <c r="O36" i="1" s="1"/>
  <c r="P36" i="1" s="1"/>
  <c r="AF36" i="1" s="1"/>
  <c r="L37" i="1"/>
  <c r="O37" i="1" s="1"/>
  <c r="S37" i="1" s="1"/>
  <c r="L38" i="1"/>
  <c r="O38" i="1" s="1"/>
  <c r="L39" i="1"/>
  <c r="O39" i="1" s="1"/>
  <c r="AF39" i="1" s="1"/>
  <c r="L40" i="1"/>
  <c r="O40" i="1" s="1"/>
  <c r="L41" i="1"/>
  <c r="O41" i="1" s="1"/>
  <c r="L42" i="1"/>
  <c r="O42" i="1" s="1"/>
  <c r="L43" i="1"/>
  <c r="O43" i="1" s="1"/>
  <c r="P43" i="1" s="1"/>
  <c r="AF43" i="1" s="1"/>
  <c r="L44" i="1"/>
  <c r="O44" i="1" s="1"/>
  <c r="L45" i="1"/>
  <c r="O45" i="1" s="1"/>
  <c r="L46" i="1"/>
  <c r="O46" i="1" s="1"/>
  <c r="L47" i="1"/>
  <c r="O47" i="1" s="1"/>
  <c r="S47" i="1" s="1"/>
  <c r="L48" i="1"/>
  <c r="O48" i="1" s="1"/>
  <c r="AF48" i="1" s="1"/>
  <c r="L49" i="1"/>
  <c r="O49" i="1" s="1"/>
  <c r="S49" i="1" s="1"/>
  <c r="L50" i="1"/>
  <c r="O50" i="1" s="1"/>
  <c r="L51" i="1"/>
  <c r="O51" i="1" s="1"/>
  <c r="L52" i="1"/>
  <c r="O52" i="1" s="1"/>
  <c r="L53" i="1"/>
  <c r="O53" i="1" s="1"/>
  <c r="P53" i="1" s="1"/>
  <c r="AF53" i="1" s="1"/>
  <c r="L54" i="1"/>
  <c r="O54" i="1" s="1"/>
  <c r="L55" i="1"/>
  <c r="O55" i="1" s="1"/>
  <c r="P55" i="1" s="1"/>
  <c r="L56" i="1"/>
  <c r="O56" i="1" s="1"/>
  <c r="L57" i="1"/>
  <c r="O57" i="1" s="1"/>
  <c r="P57" i="1" s="1"/>
  <c r="AF57" i="1" s="1"/>
  <c r="L58" i="1"/>
  <c r="O58" i="1" s="1"/>
  <c r="L59" i="1"/>
  <c r="O59" i="1" s="1"/>
  <c r="L60" i="1"/>
  <c r="O60" i="1" s="1"/>
  <c r="L61" i="1"/>
  <c r="O61" i="1" s="1"/>
  <c r="AF61" i="1" s="1"/>
  <c r="L62" i="1"/>
  <c r="O62" i="1" s="1"/>
  <c r="L63" i="1"/>
  <c r="O63" i="1" s="1"/>
  <c r="S63" i="1" s="1"/>
  <c r="L64" i="1"/>
  <c r="O64" i="1" s="1"/>
  <c r="S64" i="1" s="1"/>
  <c r="L65" i="1"/>
  <c r="O65" i="1" s="1"/>
  <c r="S65" i="1" s="1"/>
  <c r="L66" i="1"/>
  <c r="O66" i="1" s="1"/>
  <c r="AF66" i="1" s="1"/>
  <c r="L67" i="1"/>
  <c r="O67" i="1" s="1"/>
  <c r="S67" i="1" s="1"/>
  <c r="L68" i="1"/>
  <c r="O68" i="1" s="1"/>
  <c r="L69" i="1"/>
  <c r="O69" i="1" s="1"/>
  <c r="AF69" i="1" s="1"/>
  <c r="L70" i="1"/>
  <c r="O70" i="1" s="1"/>
  <c r="L71" i="1"/>
  <c r="O71" i="1" s="1"/>
  <c r="S71" i="1" s="1"/>
  <c r="L72" i="1"/>
  <c r="O72" i="1" s="1"/>
  <c r="S72" i="1" s="1"/>
  <c r="L73" i="1"/>
  <c r="O73" i="1" s="1"/>
  <c r="L74" i="1"/>
  <c r="O74" i="1" s="1"/>
  <c r="L75" i="1"/>
  <c r="O75" i="1" s="1"/>
  <c r="P75" i="1" s="1"/>
  <c r="L76" i="1"/>
  <c r="O76" i="1" s="1"/>
  <c r="P76" i="1" s="1"/>
  <c r="L77" i="1"/>
  <c r="O77" i="1" s="1"/>
  <c r="P77" i="1" s="1"/>
  <c r="L78" i="1"/>
  <c r="O78" i="1" s="1"/>
  <c r="L79" i="1"/>
  <c r="O79" i="1" s="1"/>
  <c r="L80" i="1"/>
  <c r="O80" i="1" s="1"/>
  <c r="S80" i="1" s="1"/>
  <c r="L81" i="1"/>
  <c r="O81" i="1" s="1"/>
  <c r="L82" i="1"/>
  <c r="O82" i="1" s="1"/>
  <c r="L83" i="1"/>
  <c r="O83" i="1" s="1"/>
  <c r="L84" i="1"/>
  <c r="O84" i="1" s="1"/>
  <c r="AF84" i="1" s="1"/>
  <c r="L85" i="1"/>
  <c r="O85" i="1" s="1"/>
  <c r="L86" i="1"/>
  <c r="O86" i="1" s="1"/>
  <c r="AF86" i="1" s="1"/>
  <c r="L87" i="1"/>
  <c r="O87" i="1" s="1"/>
  <c r="P87" i="1" s="1"/>
  <c r="L88" i="1"/>
  <c r="O88" i="1" s="1"/>
  <c r="P88" i="1" s="1"/>
  <c r="AF88" i="1" s="1"/>
  <c r="L89" i="1"/>
  <c r="O89" i="1" s="1"/>
  <c r="L90" i="1"/>
  <c r="O90" i="1" s="1"/>
  <c r="L91" i="1"/>
  <c r="O91" i="1" s="1"/>
  <c r="L92" i="1"/>
  <c r="O92" i="1" s="1"/>
  <c r="T92" i="1" s="1"/>
  <c r="L93" i="1"/>
  <c r="O93" i="1" s="1"/>
  <c r="T93" i="1" s="1"/>
  <c r="L94" i="1"/>
  <c r="O94" i="1" s="1"/>
  <c r="T94" i="1" s="1"/>
  <c r="L6" i="1"/>
  <c r="O6" i="1" s="1"/>
  <c r="P6" i="1" s="1"/>
  <c r="AF6" i="1" s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J5" i="1"/>
  <c r="F5" i="1"/>
  <c r="E5" i="1"/>
  <c r="P82" i="1" l="1"/>
  <c r="AF82" i="1" s="1"/>
  <c r="T90" i="1"/>
  <c r="P90" i="1"/>
  <c r="P22" i="1"/>
  <c r="AF22" i="1" s="1"/>
  <c r="AF90" i="1"/>
  <c r="P92" i="1"/>
  <c r="AF92" i="1" s="1"/>
  <c r="T91" i="1"/>
  <c r="AF91" i="1"/>
  <c r="T89" i="1"/>
  <c r="AF89" i="1"/>
  <c r="AF87" i="1"/>
  <c r="AF85" i="1"/>
  <c r="AF83" i="1"/>
  <c r="P81" i="1"/>
  <c r="AF81" i="1" s="1"/>
  <c r="AF79" i="1"/>
  <c r="AF77" i="1"/>
  <c r="AF75" i="1"/>
  <c r="S69" i="1"/>
  <c r="S61" i="1"/>
  <c r="S57" i="1"/>
  <c r="S53" i="1"/>
  <c r="S43" i="1"/>
  <c r="S39" i="1"/>
  <c r="AF35" i="1"/>
  <c r="AF33" i="1"/>
  <c r="P27" i="1"/>
  <c r="AF27" i="1" s="1"/>
  <c r="AF23" i="1"/>
  <c r="AF21" i="1"/>
  <c r="S19" i="1"/>
  <c r="S15" i="1"/>
  <c r="S11" i="1"/>
  <c r="S7" i="1"/>
  <c r="P9" i="1"/>
  <c r="AF9" i="1" s="1"/>
  <c r="AF13" i="1"/>
  <c r="AF17" i="1"/>
  <c r="P41" i="1"/>
  <c r="AF41" i="1" s="1"/>
  <c r="AF45" i="1"/>
  <c r="P51" i="1"/>
  <c r="AF51" i="1" s="1"/>
  <c r="AF55" i="1"/>
  <c r="P59" i="1"/>
  <c r="AF59" i="1" s="1"/>
  <c r="AF73" i="1"/>
  <c r="S10" i="1"/>
  <c r="AF10" i="1"/>
  <c r="AF12" i="1"/>
  <c r="AF14" i="1"/>
  <c r="P16" i="1"/>
  <c r="AF16" i="1" s="1"/>
  <c r="P18" i="1"/>
  <c r="AF18" i="1" s="1"/>
  <c r="AF38" i="1"/>
  <c r="P40" i="1"/>
  <c r="AF40" i="1" s="1"/>
  <c r="AF42" i="1"/>
  <c r="AF44" i="1"/>
  <c r="P46" i="1"/>
  <c r="AF46" i="1" s="1"/>
  <c r="AF50" i="1"/>
  <c r="P52" i="1"/>
  <c r="AF52" i="1" s="1"/>
  <c r="P54" i="1"/>
  <c r="AF54" i="1" s="1"/>
  <c r="P56" i="1"/>
  <c r="AF56" i="1" s="1"/>
  <c r="AF58" i="1"/>
  <c r="P60" i="1"/>
  <c r="AF60" i="1" s="1"/>
  <c r="AF62" i="1"/>
  <c r="AF68" i="1"/>
  <c r="AF70" i="1"/>
  <c r="AF74" i="1"/>
  <c r="AF76" i="1"/>
  <c r="AF78" i="1"/>
  <c r="AF94" i="1"/>
  <c r="S88" i="1"/>
  <c r="S86" i="1"/>
  <c r="S84" i="1"/>
  <c r="S82" i="1"/>
  <c r="S66" i="1"/>
  <c r="S48" i="1"/>
  <c r="S36" i="1"/>
  <c r="S34" i="1"/>
  <c r="S32" i="1"/>
  <c r="S24" i="1"/>
  <c r="S22" i="1"/>
  <c r="S6" i="1"/>
  <c r="T85" i="1"/>
  <c r="T70" i="1"/>
  <c r="T55" i="1"/>
  <c r="T39" i="1"/>
  <c r="T23" i="1"/>
  <c r="S93" i="1"/>
  <c r="T77" i="1"/>
  <c r="T63" i="1"/>
  <c r="T47" i="1"/>
  <c r="T31" i="1"/>
  <c r="T15" i="1"/>
  <c r="T81" i="1"/>
  <c r="T74" i="1"/>
  <c r="T67" i="1"/>
  <c r="T59" i="1"/>
  <c r="T51" i="1"/>
  <c r="T43" i="1"/>
  <c r="T35" i="1"/>
  <c r="T27" i="1"/>
  <c r="T19" i="1"/>
  <c r="T12" i="1"/>
  <c r="T6" i="1"/>
  <c r="T87" i="1"/>
  <c r="T83" i="1"/>
  <c r="T79" i="1"/>
  <c r="T72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10" i="1"/>
  <c r="S94" i="1"/>
  <c r="K5" i="1"/>
  <c r="T88" i="1"/>
  <c r="T86" i="1"/>
  <c r="T84" i="1"/>
  <c r="T82" i="1"/>
  <c r="T80" i="1"/>
  <c r="T78" i="1"/>
  <c r="T76" i="1"/>
  <c r="T75" i="1"/>
  <c r="T73" i="1"/>
  <c r="T71" i="1"/>
  <c r="T69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8" i="1"/>
  <c r="T16" i="1"/>
  <c r="T14" i="1"/>
  <c r="T11" i="1"/>
  <c r="T9" i="1"/>
  <c r="T7" i="1"/>
  <c r="L5" i="1"/>
  <c r="O8" i="1"/>
  <c r="P8" i="1" s="1"/>
  <c r="AF8" i="1" s="1"/>
  <c r="S91" i="1" l="1"/>
  <c r="S89" i="1"/>
  <c r="S90" i="1"/>
  <c r="S59" i="1"/>
  <c r="S14" i="1"/>
  <c r="S40" i="1"/>
  <c r="S50" i="1"/>
  <c r="S58" i="1"/>
  <c r="S70" i="1"/>
  <c r="S92" i="1"/>
  <c r="S18" i="1"/>
  <c r="S44" i="1"/>
  <c r="S54" i="1"/>
  <c r="S62" i="1"/>
  <c r="S76" i="1"/>
  <c r="S13" i="1"/>
  <c r="S51" i="1"/>
  <c r="AF5" i="1"/>
  <c r="S9" i="1"/>
  <c r="S17" i="1"/>
  <c r="S55" i="1"/>
  <c r="P5" i="1"/>
  <c r="S12" i="1"/>
  <c r="S16" i="1"/>
  <c r="S38" i="1"/>
  <c r="S42" i="1"/>
  <c r="S46" i="1"/>
  <c r="S52" i="1"/>
  <c r="S56" i="1"/>
  <c r="S60" i="1"/>
  <c r="S68" i="1"/>
  <c r="S74" i="1"/>
  <c r="S78" i="1"/>
  <c r="S21" i="1"/>
  <c r="S23" i="1"/>
  <c r="S27" i="1"/>
  <c r="S33" i="1"/>
  <c r="S35" i="1"/>
  <c r="S41" i="1"/>
  <c r="S45" i="1"/>
  <c r="S73" i="1"/>
  <c r="S75" i="1"/>
  <c r="S77" i="1"/>
  <c r="S79" i="1"/>
  <c r="S81" i="1"/>
  <c r="S83" i="1"/>
  <c r="S85" i="1"/>
  <c r="S87" i="1"/>
  <c r="O5" i="1"/>
  <c r="S8" i="1"/>
  <c r="T8" i="1"/>
</calcChain>
</file>

<file path=xl/sharedStrings.xml><?xml version="1.0" encoding="utf-8"?>
<sst xmlns="http://schemas.openxmlformats.org/spreadsheetml/2006/main" count="375" uniqueCount="159">
  <si>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</si>
  <si>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</si>
  <si>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</si>
  <si>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</si>
  <si>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</si>
  <si>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</si>
  <si>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</si>
  <si>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</si>
  <si>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</si>
  <si>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</si>
  <si>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</si>
  <si>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</si>
  <si>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</si>
  <si>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</si>
  <si>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</si>
  <si>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</si>
  <si>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</si>
  <si>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</si>
  <si>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</si>
  <si>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</si>
  <si>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</si>
  <si>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</si>
  <si>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</si>
  <si>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28,04,</t>
  </si>
  <si>
    <t>30,04,</t>
  </si>
  <si>
    <t>24,04,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</si>
  <si>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</si>
  <si>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</si>
  <si>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</si>
  <si>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</si>
  <si>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</si>
  <si>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</si>
  <si>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</si>
  <si>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</si>
  <si>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</si>
  <si>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</si>
  <si>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</si>
  <si>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</si>
  <si>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</si>
  <si>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</si>
  <si>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</si>
  <si>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</si>
  <si>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</si>
  <si>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</si>
  <si>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</si>
  <si>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</si>
  <si>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>ТС Обжора / ТМА май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</si>
  <si>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</si>
  <si>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</si>
  <si>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 в матрице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</si>
  <si>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</si>
  <si>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</si>
  <si>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</si>
  <si>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</si>
  <si>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</si>
  <si>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ТМА май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</si>
  <si>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</si>
  <si>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</si>
  <si>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продажи!!!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</si>
  <si>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</si>
  <si>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</si>
  <si>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</si>
  <si>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</si>
  <si>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</si>
  <si>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</si>
  <si>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</si>
  <si>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</si>
  <si>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</si>
  <si>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</si>
  <si>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</si>
  <si>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</si>
  <si>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</si>
  <si>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</si>
  <si>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</si>
  <si>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</si>
  <si>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22,04,25 в уценку 34 кг / 25,01,25 в уценку 108кг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</si>
  <si>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</si>
  <si>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</si>
  <si>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</si>
  <si>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</si>
  <si>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</si>
  <si>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</si>
  <si>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</si>
  <si>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</si>
  <si>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</si>
  <si>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</si>
  <si>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</si>
  <si>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</si>
  <si>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апрель_май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</si>
  <si>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</si>
  <si>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</si>
  <si>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</si>
  <si>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</si>
  <si>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</si>
  <si>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</si>
  <si>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</si>
  <si>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</si>
  <si>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</si>
  <si>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</si>
  <si>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</si>
  <si>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</si>
  <si>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</si>
  <si>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</si>
  <si>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</si>
  <si>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</si>
  <si>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</si>
  <si>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</si>
  <si>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</si>
  <si>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</si>
  <si>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</si>
  <si>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</si>
  <si>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</si>
  <si>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</si>
  <si>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</si>
  <si>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</si>
  <si>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</si>
  <si>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</si>
  <si>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</si>
  <si>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 / 09,12,24 в уценку 498кг</t>
  </si>
  <si>
    <t xml:space="preserve"> 440  Колбаса Любительская ТМ Вязанка в оболочке полиамид.ВЕС ПОКОМ </t>
  </si>
  <si>
    <t>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</si>
  <si>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</si>
  <si>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</si>
  <si>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</si>
  <si>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>06,01,25 в уценку 13шт.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</si>
  <si>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</si>
  <si>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</si>
  <si>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</si>
  <si>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</si>
  <si>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</si>
  <si>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</si>
  <si>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</si>
  <si>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</si>
  <si>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>нет потребности / 14,04,25 в уценку 7кг / 20,12,24 в уценку 121кг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</si>
  <si>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</si>
  <si>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</si>
  <si>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</si>
  <si>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06,01,25 в уценку 26шт.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</si>
  <si>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</si>
  <si>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</si>
  <si>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</si>
  <si>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</si>
  <si>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</si>
  <si>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</si>
  <si>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</si>
  <si>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</si>
  <si>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</si>
  <si>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</si>
  <si>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</si>
  <si>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</si>
  <si>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</si>
  <si>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</si>
  <si>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t>519  Грудинка 0,12 кг нарезка ТМ Стародворье  ПОКОМ</t>
  </si>
  <si>
    <t>С/к колбасы «Гвардейская» Весовой б/о ТМ «Стародворье»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</si>
  <si>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02,04,25 заказываем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</si>
  <si>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ТС Обжора / 16,04,25 филиал обнулил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</si>
  <si>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11,03,25 списание 7кг (недостача) / 22,01,25 списание 10кг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</si>
  <si>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20,12,24 в уценку 51кг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</si>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</sst>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164" fontId="5" fillId="11" borderId="1" xfId="1" applyNumberFormat="1" applyFont="1" applyFill="1"/>
    <xf numFmtId="164" fontId="4" fillId="11" borderId="1" xfId="1" applyNumberFormat="1" applyFont="1" applyFill="1"/>
    <xf numFmtId="164" fontId="4" fillId="0" borderId="1" xfId="1" applyNumberFormat="1" applyFont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7" sqref="R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7" width="7" customWidth="1"/>
    <col min="18" max="18" width="21" customWidth="1"/>
    <col min="19" max="20" width="5" customWidth="1"/>
    <col min="21" max="30" width="6" customWidth="1"/>
    <col min="31" max="31" width="39.5703125" customWidth="1"/>
    <col min="32" max="32" width="7" customWidth="1"/>
    <col min="33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SUM(E6:E497)</f>
        <v>33502.647000000004</v>
      </c>
      <c r="F5" s="4">
        <f>SUM(F6:F497)</f>
        <v>48550.663999999997</v>
      </c>
      <c r="G5" s="7"/>
      <c r="H5" s="1"/>
      <c r="I5" s="1"/>
      <c r="J5" s="4">
        <f t="shared" ref="J5:Q5" si="0">SUM(J6:J497)</f>
        <v>34927.074000000001</v>
      </c>
      <c r="K5" s="4">
        <f t="shared" si="0"/>
        <v>-1424.4270000000006</v>
      </c>
      <c r="L5" s="4">
        <f t="shared" si="0"/>
        <v>30679.912</v>
      </c>
      <c r="M5" s="4">
        <f t="shared" si="0"/>
        <v>2822.7350000000001</v>
      </c>
      <c r="N5" s="4">
        <f t="shared" si="0"/>
        <v>4005.1761399999991</v>
      </c>
      <c r="O5" s="4">
        <f t="shared" si="0"/>
        <v>6135.9824000000008</v>
      </c>
      <c r="P5" s="4">
        <f t="shared" si="0"/>
        <v>13488.596660000001</v>
      </c>
      <c r="Q5" s="4">
        <f t="shared" si="0"/>
        <v>0</v>
      </c>
      <c r="R5" s="1"/>
      <c r="S5" s="1"/>
      <c r="T5" s="1"/>
      <c r="U5" s="4">
        <f t="shared" ref="U5:AD5" si="1">SUM(U6:U497)</f>
        <v>5492.8413999999984</v>
      </c>
      <c r="V5" s="4">
        <f t="shared" si="1"/>
        <v>6361.2321999999995</v>
      </c>
      <c r="W5" s="4">
        <f t="shared" si="1"/>
        <v>8536.4221999999991</v>
      </c>
      <c r="X5" s="4">
        <f t="shared" si="1"/>
        <v>8706.1725999999981</v>
      </c>
      <c r="Y5" s="4">
        <f t="shared" si="1"/>
        <v>6338.3150000000023</v>
      </c>
      <c r="Z5" s="4">
        <f t="shared" si="1"/>
        <v>6262.349000000002</v>
      </c>
      <c r="AA5" s="4">
        <f t="shared" si="1"/>
        <v>6601.3975999999984</v>
      </c>
      <c r="AB5" s="4">
        <f t="shared" si="1"/>
        <v>6738.2428</v>
      </c>
      <c r="AC5" s="4">
        <f t="shared" si="1"/>
        <v>8099.4839999999976</v>
      </c>
      <c r="AD5" s="4">
        <f t="shared" si="1"/>
        <v>7788.2935999999972</v>
      </c>
      <c r="AE5" s="1"/>
      <c r="AF5" s="4">
        <f>SUM(AF6:AF497)</f>
        <v>11979.12666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35</v>
      </c>
      <c r="B6" s="1" t="s">
        <v>36</v>
      </c>
      <c r="C6" s="1">
        <v>109.94199999999999</v>
      </c>
      <c r="D6" s="1">
        <v>666.67499999999995</v>
      </c>
      <c r="E6" s="1">
        <v>383.608</v>
      </c>
      <c r="F6" s="1">
        <v>311.77100000000002</v>
      </c>
      <c r="G6" s="7">
        <v>1</v>
      </c>
      <c r="H6" s="1">
        <v>50</v>
      </c>
      <c r="I6" s="1" t="s">
        <v>37</v>
      </c>
      <c r="J6" s="1">
        <v>476.21499999999997</v>
      </c>
      <c r="K6" s="1">
        <f t="shared" ref="K6:K36" si="2">E6-J6</f>
        <v>-92.606999999999971</v>
      </c>
      <c r="L6" s="1">
        <f>E6-M6</f>
        <v>319.14499999999998</v>
      </c>
      <c r="M6" s="1">
        <v>64.462999999999994</v>
      </c>
      <c r="N6" s="1">
        <v>108.3317799999999</v>
      </c>
      <c r="O6" s="1">
        <f>L6/5</f>
        <v>63.828999999999994</v>
      </c>
      <c r="P6" s="5">
        <f>10*O6-N6-F6</f>
        <v>218.18722000000008</v>
      </c>
      <c r="Q6" s="5"/>
      <c r="R6" s="1"/>
      <c r="S6" s="1">
        <f>(F6+N6+P6)/O6</f>
        <v>10</v>
      </c>
      <c r="T6" s="1">
        <f>(F6+N6)/O6</f>
        <v>6.5816913941938617</v>
      </c>
      <c r="U6" s="1">
        <v>66.383400000000009</v>
      </c>
      <c r="V6" s="1">
        <v>57.266800000000003</v>
      </c>
      <c r="W6" s="1">
        <v>66.631200000000007</v>
      </c>
      <c r="X6" s="1">
        <v>61.940800000000003</v>
      </c>
      <c r="Y6" s="1">
        <v>60.128399999999999</v>
      </c>
      <c r="Z6" s="1">
        <v>58.212000000000003</v>
      </c>
      <c r="AA6" s="1">
        <v>45.116999999999997</v>
      </c>
      <c r="AB6" s="1">
        <v>68.706600000000009</v>
      </c>
      <c r="AC6" s="1">
        <v>96.895799999999994</v>
      </c>
      <c r="AD6" s="1">
        <v>71.089200000000005</v>
      </c>
      <c r="AE6" s="1"/>
      <c r="AF6" s="1">
        <f t="shared" ref="AF6:AF19" si="3">G6*P6</f>
        <v>218.18722000000008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38</v>
      </c>
      <c r="B7" s="1" t="s">
        <v>36</v>
      </c>
      <c r="C7" s="1">
        <v>366.07400000000001</v>
      </c>
      <c r="D7" s="1">
        <v>210.596</v>
      </c>
      <c r="E7" s="1">
        <v>186.25399999999999</v>
      </c>
      <c r="F7" s="1">
        <v>300.714</v>
      </c>
      <c r="G7" s="7">
        <v>1</v>
      </c>
      <c r="H7" s="1">
        <v>45</v>
      </c>
      <c r="I7" s="1" t="s">
        <v>37</v>
      </c>
      <c r="J7" s="1">
        <v>186.1</v>
      </c>
      <c r="K7" s="1">
        <f t="shared" si="2"/>
        <v>0.15399999999999636</v>
      </c>
      <c r="L7" s="1">
        <f t="shared" ref="L7:L68" si="4">E7-M7</f>
        <v>186.25399999999999</v>
      </c>
      <c r="M7" s="1"/>
      <c r="N7" s="1">
        <v>52.979779999999877</v>
      </c>
      <c r="O7" s="1">
        <f t="shared" ref="O7:O68" si="5">L7/5</f>
        <v>37.250799999999998</v>
      </c>
      <c r="P7" s="5">
        <f t="shared" ref="P7:P18" si="6">10*O7-N7-F7</f>
        <v>18.814220000000091</v>
      </c>
      <c r="Q7" s="5"/>
      <c r="R7" s="1"/>
      <c r="S7" s="1">
        <f t="shared" ref="S7:S68" si="7">(F7+N7+P7)/O7</f>
        <v>10</v>
      </c>
      <c r="T7" s="1">
        <f t="shared" ref="T7:T68" si="8">(F7+N7)/O7</f>
        <v>9.4949311155733547</v>
      </c>
      <c r="U7" s="1">
        <v>43.577399999999997</v>
      </c>
      <c r="V7" s="1">
        <v>27.5974</v>
      </c>
      <c r="W7" s="1">
        <v>59.238799999999998</v>
      </c>
      <c r="X7" s="1">
        <v>56.888199999999998</v>
      </c>
      <c r="Y7" s="1">
        <v>63.382199999999997</v>
      </c>
      <c r="Z7" s="1">
        <v>57.285400000000003</v>
      </c>
      <c r="AA7" s="1">
        <v>34.498199999999997</v>
      </c>
      <c r="AB7" s="1">
        <v>32.542400000000001</v>
      </c>
      <c r="AC7" s="1">
        <v>57.383600000000001</v>
      </c>
      <c r="AD7" s="1">
        <v>49.0274</v>
      </c>
      <c r="AE7" s="1"/>
      <c r="AF7" s="1">
        <f t="shared" si="3"/>
        <v>18.814220000000091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40</v>
      </c>
      <c r="B8" s="1" t="s">
        <v>36</v>
      </c>
      <c r="C8" s="1">
        <v>356.298</v>
      </c>
      <c r="D8" s="1">
        <v>1548.5360000000001</v>
      </c>
      <c r="E8" s="1">
        <v>977.43899999999996</v>
      </c>
      <c r="F8" s="1">
        <v>736.82799999999997</v>
      </c>
      <c r="G8" s="7">
        <v>1</v>
      </c>
      <c r="H8" s="1">
        <v>45</v>
      </c>
      <c r="I8" s="1" t="s">
        <v>37</v>
      </c>
      <c r="J8" s="1">
        <v>1064.356</v>
      </c>
      <c r="K8" s="1">
        <f t="shared" si="2"/>
        <v>-86.91700000000003</v>
      </c>
      <c r="L8" s="1">
        <f t="shared" si="4"/>
        <v>977.43899999999996</v>
      </c>
      <c r="M8" s="1"/>
      <c r="N8" s="1">
        <v>108.35675999999999</v>
      </c>
      <c r="O8" s="1">
        <f t="shared" si="5"/>
        <v>195.48779999999999</v>
      </c>
      <c r="P8" s="5">
        <f t="shared" si="6"/>
        <v>1109.6932400000001</v>
      </c>
      <c r="Q8" s="5"/>
      <c r="R8" s="1"/>
      <c r="S8" s="1">
        <f t="shared" si="7"/>
        <v>10.000000000000002</v>
      </c>
      <c r="T8" s="1">
        <f t="shared" si="8"/>
        <v>4.3234655052642674</v>
      </c>
      <c r="U8" s="1">
        <v>152.99680000000001</v>
      </c>
      <c r="V8" s="1">
        <v>138.26400000000001</v>
      </c>
      <c r="W8" s="1">
        <v>166.60939999999999</v>
      </c>
      <c r="X8" s="1">
        <v>164.27279999999999</v>
      </c>
      <c r="Y8" s="1">
        <v>143.53819999999999</v>
      </c>
      <c r="Z8" s="1">
        <v>127.19280000000001</v>
      </c>
      <c r="AA8" s="1">
        <v>89.702200000000005</v>
      </c>
      <c r="AB8" s="1">
        <v>109.47539999999999</v>
      </c>
      <c r="AC8" s="1">
        <v>129.8152</v>
      </c>
      <c r="AD8" s="1">
        <v>119.22799999999999</v>
      </c>
      <c r="AE8" s="1"/>
      <c r="AF8" s="1">
        <f t="shared" si="3"/>
        <v>1109.6932400000001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41</v>
      </c>
      <c r="B9" s="1" t="s">
        <v>42</v>
      </c>
      <c r="C9" s="1">
        <v>12</v>
      </c>
      <c r="D9" s="1">
        <v>1297</v>
      </c>
      <c r="E9" s="1">
        <v>551</v>
      </c>
      <c r="F9" s="1">
        <v>707</v>
      </c>
      <c r="G9" s="7">
        <v>0.45</v>
      </c>
      <c r="H9" s="1">
        <v>45</v>
      </c>
      <c r="I9" s="10" t="s">
        <v>43</v>
      </c>
      <c r="J9" s="1">
        <v>659</v>
      </c>
      <c r="K9" s="1">
        <f t="shared" si="2"/>
        <v>-108</v>
      </c>
      <c r="L9" s="1">
        <f t="shared" si="4"/>
        <v>551</v>
      </c>
      <c r="M9" s="1"/>
      <c r="N9" s="1">
        <v>0</v>
      </c>
      <c r="O9" s="1">
        <f t="shared" si="5"/>
        <v>110.2</v>
      </c>
      <c r="P9" s="5">
        <f t="shared" si="6"/>
        <v>395</v>
      </c>
      <c r="Q9" s="5"/>
      <c r="R9" s="1"/>
      <c r="S9" s="1">
        <f t="shared" si="7"/>
        <v>10</v>
      </c>
      <c r="T9" s="1">
        <f t="shared" si="8"/>
        <v>6.4156079854809436</v>
      </c>
      <c r="U9" s="1">
        <v>114.2</v>
      </c>
      <c r="V9" s="1">
        <v>140.80000000000001</v>
      </c>
      <c r="W9" s="1">
        <v>162</v>
      </c>
      <c r="X9" s="1">
        <v>262.39999999999998</v>
      </c>
      <c r="Y9" s="1">
        <v>315.2</v>
      </c>
      <c r="Z9" s="1">
        <v>353.4</v>
      </c>
      <c r="AA9" s="1">
        <v>280.2</v>
      </c>
      <c r="AB9" s="1">
        <v>187.2</v>
      </c>
      <c r="AC9" s="1">
        <v>126</v>
      </c>
      <c r="AD9" s="1">
        <v>110</v>
      </c>
      <c r="AE9" s="1" t="s">
        <v>44</v>
      </c>
      <c r="AF9" s="1">
        <f t="shared" si="3"/>
        <v>177.75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7" t="s">
        <v>45</v>
      </c>
      <c r="B10" s="17" t="s">
        <v>42</v>
      </c>
      <c r="C10" s="17">
        <v>1385</v>
      </c>
      <c r="D10" s="17">
        <v>2010</v>
      </c>
      <c r="E10" s="17">
        <v>973</v>
      </c>
      <c r="F10" s="17">
        <v>2025</v>
      </c>
      <c r="G10" s="18">
        <v>0.45</v>
      </c>
      <c r="H10" s="17">
        <v>45</v>
      </c>
      <c r="I10" s="17" t="s">
        <v>37</v>
      </c>
      <c r="J10" s="17">
        <v>1108</v>
      </c>
      <c r="K10" s="17">
        <f t="shared" si="2"/>
        <v>-135</v>
      </c>
      <c r="L10" s="17">
        <f t="shared" si="4"/>
        <v>943</v>
      </c>
      <c r="M10" s="17">
        <v>30</v>
      </c>
      <c r="N10" s="17">
        <v>400</v>
      </c>
      <c r="O10" s="17">
        <f t="shared" si="5"/>
        <v>188.6</v>
      </c>
      <c r="P10" s="19"/>
      <c r="Q10" s="19"/>
      <c r="R10" s="17"/>
      <c r="S10" s="17">
        <f t="shared" si="7"/>
        <v>12.857900318133616</v>
      </c>
      <c r="T10" s="17">
        <f t="shared" si="8"/>
        <v>12.857900318133616</v>
      </c>
      <c r="U10" s="17">
        <v>197.2</v>
      </c>
      <c r="V10" s="17">
        <v>213</v>
      </c>
      <c r="W10" s="17">
        <v>238.4</v>
      </c>
      <c r="X10" s="17">
        <v>268.8</v>
      </c>
      <c r="Y10" s="17">
        <v>255.2</v>
      </c>
      <c r="Z10" s="17">
        <v>258.2</v>
      </c>
      <c r="AA10" s="17">
        <v>260.39999999999998</v>
      </c>
      <c r="AB10" s="17">
        <v>263.2174</v>
      </c>
      <c r="AC10" s="17">
        <v>249.81739999999999</v>
      </c>
      <c r="AD10" s="17">
        <v>228.09</v>
      </c>
      <c r="AE10" s="17" t="s">
        <v>46</v>
      </c>
      <c r="AF10" s="17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47</v>
      </c>
      <c r="B11" s="1" t="s">
        <v>42</v>
      </c>
      <c r="C11" s="1">
        <v>63</v>
      </c>
      <c r="D11" s="1">
        <v>150</v>
      </c>
      <c r="E11" s="1">
        <v>62</v>
      </c>
      <c r="F11" s="1">
        <v>129</v>
      </c>
      <c r="G11" s="7">
        <v>0.17</v>
      </c>
      <c r="H11" s="1">
        <v>180</v>
      </c>
      <c r="I11" s="1" t="s">
        <v>37</v>
      </c>
      <c r="J11" s="1">
        <v>95</v>
      </c>
      <c r="K11" s="1">
        <f t="shared" si="2"/>
        <v>-33</v>
      </c>
      <c r="L11" s="1">
        <f t="shared" si="4"/>
        <v>62</v>
      </c>
      <c r="M11" s="1"/>
      <c r="N11" s="1">
        <v>28.460000000000012</v>
      </c>
      <c r="O11" s="1">
        <f t="shared" si="5"/>
        <v>12.4</v>
      </c>
      <c r="P11" s="5"/>
      <c r="Q11" s="5"/>
      <c r="R11" s="1"/>
      <c r="S11" s="1">
        <f t="shared" si="7"/>
        <v>12.698387096774194</v>
      </c>
      <c r="T11" s="1">
        <f t="shared" si="8"/>
        <v>12.698387096774194</v>
      </c>
      <c r="U11" s="1">
        <v>17.8</v>
      </c>
      <c r="V11" s="1">
        <v>17.600000000000001</v>
      </c>
      <c r="W11" s="1">
        <v>17</v>
      </c>
      <c r="X11" s="1">
        <v>18.600000000000001</v>
      </c>
      <c r="Y11" s="1">
        <v>20.2</v>
      </c>
      <c r="Z11" s="1">
        <v>16.399999999999999</v>
      </c>
      <c r="AA11" s="1">
        <v>24.6</v>
      </c>
      <c r="AB11" s="1">
        <v>29.8</v>
      </c>
      <c r="AC11" s="1">
        <v>24.6</v>
      </c>
      <c r="AD11" s="1">
        <v>17.8</v>
      </c>
      <c r="AE11" s="1" t="s">
        <v>44</v>
      </c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48</v>
      </c>
      <c r="B12" s="1" t="s">
        <v>42</v>
      </c>
      <c r="C12" s="1">
        <v>15</v>
      </c>
      <c r="D12" s="1">
        <v>18</v>
      </c>
      <c r="E12" s="1">
        <v>3</v>
      </c>
      <c r="F12" s="1">
        <v>28</v>
      </c>
      <c r="G12" s="7">
        <v>0.3</v>
      </c>
      <c r="H12" s="1">
        <v>40</v>
      </c>
      <c r="I12" s="1" t="s">
        <v>37</v>
      </c>
      <c r="J12" s="1">
        <v>5</v>
      </c>
      <c r="K12" s="1">
        <f t="shared" si="2"/>
        <v>-2</v>
      </c>
      <c r="L12" s="1">
        <f t="shared" si="4"/>
        <v>3</v>
      </c>
      <c r="M12" s="1"/>
      <c r="N12" s="1">
        <v>0</v>
      </c>
      <c r="O12" s="1">
        <f t="shared" si="5"/>
        <v>0.6</v>
      </c>
      <c r="P12" s="5"/>
      <c r="Q12" s="5"/>
      <c r="R12" s="1"/>
      <c r="S12" s="1">
        <f t="shared" si="7"/>
        <v>46.666666666666671</v>
      </c>
      <c r="T12" s="1">
        <f t="shared" si="8"/>
        <v>46.666666666666671</v>
      </c>
      <c r="U12" s="1">
        <v>2.4</v>
      </c>
      <c r="V12" s="1">
        <v>2.8</v>
      </c>
      <c r="W12" s="1">
        <v>1.2</v>
      </c>
      <c r="X12" s="1">
        <v>1</v>
      </c>
      <c r="Y12" s="1">
        <v>2.6</v>
      </c>
      <c r="Z12" s="1">
        <v>2.8</v>
      </c>
      <c r="AA12" s="1">
        <v>0.2</v>
      </c>
      <c r="AB12" s="1">
        <v>0</v>
      </c>
      <c r="AC12" s="1">
        <v>1</v>
      </c>
      <c r="AD12" s="1">
        <v>0.6</v>
      </c>
      <c r="AE12" s="27" t="s">
        <v>58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50</v>
      </c>
      <c r="B13" s="1" t="s">
        <v>42</v>
      </c>
      <c r="C13" s="1">
        <v>31</v>
      </c>
      <c r="D13" s="1">
        <v>480</v>
      </c>
      <c r="E13" s="1">
        <v>162</v>
      </c>
      <c r="F13" s="1">
        <v>344</v>
      </c>
      <c r="G13" s="7">
        <v>0.17</v>
      </c>
      <c r="H13" s="1">
        <v>180</v>
      </c>
      <c r="I13" s="1" t="s">
        <v>37</v>
      </c>
      <c r="J13" s="1">
        <v>166</v>
      </c>
      <c r="K13" s="1">
        <f t="shared" si="2"/>
        <v>-4</v>
      </c>
      <c r="L13" s="1">
        <f t="shared" si="4"/>
        <v>132</v>
      </c>
      <c r="M13" s="1">
        <v>30</v>
      </c>
      <c r="N13" s="1">
        <v>0</v>
      </c>
      <c r="O13" s="1">
        <f t="shared" si="5"/>
        <v>26.4</v>
      </c>
      <c r="P13" s="5"/>
      <c r="Q13" s="5"/>
      <c r="R13" s="1"/>
      <c r="S13" s="1">
        <f t="shared" si="7"/>
        <v>13.030303030303031</v>
      </c>
      <c r="T13" s="1">
        <f t="shared" si="8"/>
        <v>13.030303030303031</v>
      </c>
      <c r="U13" s="1">
        <v>7.2</v>
      </c>
      <c r="V13" s="1">
        <v>28.6</v>
      </c>
      <c r="W13" s="1">
        <v>50</v>
      </c>
      <c r="X13" s="1">
        <v>42.8</v>
      </c>
      <c r="Y13" s="1">
        <v>18.8</v>
      </c>
      <c r="Z13" s="1">
        <v>18.399999999999999</v>
      </c>
      <c r="AA13" s="1">
        <v>8.8000000000000007</v>
      </c>
      <c r="AB13" s="1">
        <v>21.4</v>
      </c>
      <c r="AC13" s="1">
        <v>27.4</v>
      </c>
      <c r="AD13" s="1">
        <v>31.2</v>
      </c>
      <c r="AE13" s="1"/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51</v>
      </c>
      <c r="B14" s="1" t="s">
        <v>42</v>
      </c>
      <c r="C14" s="1">
        <v>41</v>
      </c>
      <c r="D14" s="1"/>
      <c r="E14" s="1">
        <v>5</v>
      </c>
      <c r="F14" s="1">
        <v>35</v>
      </c>
      <c r="G14" s="7">
        <v>0.35</v>
      </c>
      <c r="H14" s="1">
        <v>50</v>
      </c>
      <c r="I14" s="1" t="s">
        <v>37</v>
      </c>
      <c r="J14" s="1">
        <v>5</v>
      </c>
      <c r="K14" s="1">
        <f t="shared" si="2"/>
        <v>0</v>
      </c>
      <c r="L14" s="1">
        <f t="shared" si="4"/>
        <v>5</v>
      </c>
      <c r="M14" s="1"/>
      <c r="N14" s="1">
        <v>0</v>
      </c>
      <c r="O14" s="1">
        <f t="shared" si="5"/>
        <v>1</v>
      </c>
      <c r="P14" s="5"/>
      <c r="Q14" s="5"/>
      <c r="R14" s="1"/>
      <c r="S14" s="1">
        <f t="shared" si="7"/>
        <v>35</v>
      </c>
      <c r="T14" s="1">
        <f t="shared" si="8"/>
        <v>35</v>
      </c>
      <c r="U14" s="1">
        <v>1.2</v>
      </c>
      <c r="V14" s="1">
        <v>1.2</v>
      </c>
      <c r="W14" s="1">
        <v>1.2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28" t="s">
        <v>154</v>
      </c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52</v>
      </c>
      <c r="B15" s="1" t="s">
        <v>42</v>
      </c>
      <c r="C15" s="1">
        <v>150</v>
      </c>
      <c r="D15" s="1"/>
      <c r="E15" s="1">
        <v>64</v>
      </c>
      <c r="F15" s="1">
        <v>67</v>
      </c>
      <c r="G15" s="7">
        <v>0.35</v>
      </c>
      <c r="H15" s="1">
        <v>50</v>
      </c>
      <c r="I15" s="1" t="s">
        <v>37</v>
      </c>
      <c r="J15" s="1">
        <v>84</v>
      </c>
      <c r="K15" s="1">
        <f t="shared" si="2"/>
        <v>-20</v>
      </c>
      <c r="L15" s="1">
        <f t="shared" si="4"/>
        <v>64</v>
      </c>
      <c r="M15" s="1"/>
      <c r="N15" s="1">
        <v>40.38000000000001</v>
      </c>
      <c r="O15" s="1">
        <f t="shared" si="5"/>
        <v>12.8</v>
      </c>
      <c r="P15" s="5">
        <f t="shared" si="6"/>
        <v>20.61999999999999</v>
      </c>
      <c r="Q15" s="5"/>
      <c r="R15" s="1"/>
      <c r="S15" s="1">
        <f t="shared" si="7"/>
        <v>10</v>
      </c>
      <c r="T15" s="1">
        <f t="shared" si="8"/>
        <v>8.3890624999999996</v>
      </c>
      <c r="U15" s="1">
        <v>13.4</v>
      </c>
      <c r="V15" s="1">
        <v>8.1999999999999993</v>
      </c>
      <c r="W15" s="1">
        <v>9.1999999999999993</v>
      </c>
      <c r="X15" s="1">
        <v>17</v>
      </c>
      <c r="Y15" s="1">
        <v>19.8</v>
      </c>
      <c r="Z15" s="1">
        <v>15.2</v>
      </c>
      <c r="AA15" s="1">
        <v>19.2</v>
      </c>
      <c r="AB15" s="1">
        <v>18</v>
      </c>
      <c r="AC15" s="1">
        <v>11.4</v>
      </c>
      <c r="AD15" s="1">
        <v>11.4</v>
      </c>
      <c r="AE15" s="29" t="s">
        <v>44</v>
      </c>
      <c r="AF15" s="1">
        <f t="shared" si="3"/>
        <v>7.2169999999999961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53</v>
      </c>
      <c r="B16" s="1" t="s">
        <v>36</v>
      </c>
      <c r="C16" s="1">
        <v>824.95100000000002</v>
      </c>
      <c r="D16" s="1">
        <v>2321.4609999999998</v>
      </c>
      <c r="E16" s="1">
        <v>946.44799999999998</v>
      </c>
      <c r="F16" s="1">
        <v>1837.5250000000001</v>
      </c>
      <c r="G16" s="7">
        <v>1</v>
      </c>
      <c r="H16" s="1">
        <v>55</v>
      </c>
      <c r="I16" s="1" t="s">
        <v>37</v>
      </c>
      <c r="J16" s="1">
        <v>921.26</v>
      </c>
      <c r="K16" s="1">
        <f t="shared" si="2"/>
        <v>25.187999999999988</v>
      </c>
      <c r="L16" s="1">
        <f t="shared" si="4"/>
        <v>946.44799999999998</v>
      </c>
      <c r="M16" s="1"/>
      <c r="N16" s="1"/>
      <c r="O16" s="1">
        <f t="shared" si="5"/>
        <v>189.28960000000001</v>
      </c>
      <c r="P16" s="5">
        <f t="shared" si="6"/>
        <v>55.371000000000095</v>
      </c>
      <c r="Q16" s="5"/>
      <c r="R16" s="1"/>
      <c r="S16" s="1">
        <f t="shared" si="7"/>
        <v>10</v>
      </c>
      <c r="T16" s="1">
        <f t="shared" si="8"/>
        <v>9.7074799672036924</v>
      </c>
      <c r="U16" s="1">
        <v>240.2998</v>
      </c>
      <c r="V16" s="1">
        <v>226.59880000000001</v>
      </c>
      <c r="W16" s="1">
        <v>298.38760000000002</v>
      </c>
      <c r="X16" s="1">
        <v>274.70600000000002</v>
      </c>
      <c r="Y16" s="1">
        <v>206.38939999999999</v>
      </c>
      <c r="Z16" s="1">
        <v>193.7028</v>
      </c>
      <c r="AA16" s="1">
        <v>201.4074</v>
      </c>
      <c r="AB16" s="1">
        <v>310.33399999999989</v>
      </c>
      <c r="AC16" s="1">
        <v>398.28039999999999</v>
      </c>
      <c r="AD16" s="1">
        <v>324.76940000000002</v>
      </c>
      <c r="AE16" s="1"/>
      <c r="AF16" s="1">
        <f t="shared" si="3"/>
        <v>55.371000000000095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7" t="s">
        <v>54</v>
      </c>
      <c r="B17" s="17" t="s">
        <v>36</v>
      </c>
      <c r="C17" s="17">
        <v>1576.106</v>
      </c>
      <c r="D17" s="17">
        <v>4603.6559999999999</v>
      </c>
      <c r="E17" s="17">
        <v>1957.0540000000001</v>
      </c>
      <c r="F17" s="17">
        <v>3878.4929999999999</v>
      </c>
      <c r="G17" s="18">
        <v>1</v>
      </c>
      <c r="H17" s="17">
        <v>50</v>
      </c>
      <c r="I17" s="17" t="s">
        <v>37</v>
      </c>
      <c r="J17" s="17">
        <v>1959.9</v>
      </c>
      <c r="K17" s="17">
        <f t="shared" si="2"/>
        <v>-2.8460000000000036</v>
      </c>
      <c r="L17" s="17">
        <f t="shared" si="4"/>
        <v>1476.874</v>
      </c>
      <c r="M17" s="17">
        <v>480.18</v>
      </c>
      <c r="N17" s="17">
        <v>200</v>
      </c>
      <c r="O17" s="17">
        <f t="shared" si="5"/>
        <v>295.37479999999999</v>
      </c>
      <c r="P17" s="19"/>
      <c r="Q17" s="19"/>
      <c r="R17" s="17"/>
      <c r="S17" s="17">
        <f t="shared" si="7"/>
        <v>13.807857000664917</v>
      </c>
      <c r="T17" s="17">
        <f t="shared" si="8"/>
        <v>13.807857000664917</v>
      </c>
      <c r="U17" s="17">
        <v>259.1234</v>
      </c>
      <c r="V17" s="17">
        <v>411.70480000000009</v>
      </c>
      <c r="W17" s="17">
        <v>546.6848</v>
      </c>
      <c r="X17" s="17">
        <v>527.30619999999999</v>
      </c>
      <c r="Y17" s="17">
        <v>267.09339999999997</v>
      </c>
      <c r="Z17" s="17">
        <v>251.4836</v>
      </c>
      <c r="AA17" s="17">
        <v>292.53859999999997</v>
      </c>
      <c r="AB17" s="17">
        <v>235.83619999999999</v>
      </c>
      <c r="AC17" s="17">
        <v>536.05899999999997</v>
      </c>
      <c r="AD17" s="17">
        <v>581.779</v>
      </c>
      <c r="AE17" s="17" t="s">
        <v>55</v>
      </c>
      <c r="AF17" s="17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56</v>
      </c>
      <c r="B18" s="1" t="s">
        <v>36</v>
      </c>
      <c r="C18" s="1">
        <v>143.125</v>
      </c>
      <c r="D18" s="1">
        <v>264.37400000000002</v>
      </c>
      <c r="E18" s="1">
        <v>166.559</v>
      </c>
      <c r="F18" s="1">
        <v>185.97399999999999</v>
      </c>
      <c r="G18" s="7">
        <v>1</v>
      </c>
      <c r="H18" s="1">
        <v>60</v>
      </c>
      <c r="I18" s="1" t="s">
        <v>37</v>
      </c>
      <c r="J18" s="1">
        <v>156.88</v>
      </c>
      <c r="K18" s="1">
        <f t="shared" si="2"/>
        <v>9.679000000000002</v>
      </c>
      <c r="L18" s="1">
        <f t="shared" si="4"/>
        <v>166.559</v>
      </c>
      <c r="M18" s="1"/>
      <c r="N18" s="1">
        <v>0</v>
      </c>
      <c r="O18" s="1">
        <f t="shared" si="5"/>
        <v>33.311799999999998</v>
      </c>
      <c r="P18" s="5">
        <f t="shared" si="6"/>
        <v>147.14400000000001</v>
      </c>
      <c r="Q18" s="5"/>
      <c r="R18" s="1"/>
      <c r="S18" s="1">
        <f t="shared" si="7"/>
        <v>10</v>
      </c>
      <c r="T18" s="1">
        <f t="shared" si="8"/>
        <v>5.5828265059228261</v>
      </c>
      <c r="U18" s="1">
        <v>28.842400000000001</v>
      </c>
      <c r="V18" s="1">
        <v>28.842600000000001</v>
      </c>
      <c r="W18" s="1">
        <v>27.014800000000001</v>
      </c>
      <c r="X18" s="1">
        <v>22.9268</v>
      </c>
      <c r="Y18" s="1">
        <v>29.660399999999999</v>
      </c>
      <c r="Z18" s="1">
        <v>26.854800000000001</v>
      </c>
      <c r="AA18" s="1">
        <v>21.146599999999999</v>
      </c>
      <c r="AB18" s="1">
        <v>24.0246</v>
      </c>
      <c r="AC18" s="1">
        <v>29.0502</v>
      </c>
      <c r="AD18" s="1">
        <v>27.303000000000001</v>
      </c>
      <c r="AE18" s="1"/>
      <c r="AF18" s="1">
        <f t="shared" si="3"/>
        <v>147.14400000000001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57</v>
      </c>
      <c r="B19" s="1" t="s">
        <v>36</v>
      </c>
      <c r="C19" s="1">
        <v>2301.1689999999999</v>
      </c>
      <c r="D19" s="1">
        <v>2121.7420000000002</v>
      </c>
      <c r="E19" s="1">
        <v>1181.925</v>
      </c>
      <c r="F19" s="1">
        <v>3163.308</v>
      </c>
      <c r="G19" s="7">
        <v>1</v>
      </c>
      <c r="H19" s="1">
        <v>60</v>
      </c>
      <c r="I19" s="1" t="s">
        <v>37</v>
      </c>
      <c r="J19" s="1">
        <v>1207.896</v>
      </c>
      <c r="K19" s="1">
        <f t="shared" si="2"/>
        <v>-25.971000000000004</v>
      </c>
      <c r="L19" s="1">
        <f t="shared" si="4"/>
        <v>821.88799999999992</v>
      </c>
      <c r="M19" s="1">
        <v>360.03699999999998</v>
      </c>
      <c r="N19" s="1">
        <v>0</v>
      </c>
      <c r="O19" s="1">
        <f t="shared" si="5"/>
        <v>164.37759999999997</v>
      </c>
      <c r="P19" s="5"/>
      <c r="Q19" s="5"/>
      <c r="R19" s="1"/>
      <c r="S19" s="1">
        <f t="shared" si="7"/>
        <v>19.244154921351818</v>
      </c>
      <c r="T19" s="1">
        <f t="shared" si="8"/>
        <v>19.244154921351818</v>
      </c>
      <c r="U19" s="1">
        <v>40.188400000000001</v>
      </c>
      <c r="V19" s="1">
        <v>327.24380000000002</v>
      </c>
      <c r="W19" s="1">
        <v>418.85660000000001</v>
      </c>
      <c r="X19" s="1">
        <v>404.33440000000002</v>
      </c>
      <c r="Y19" s="1">
        <v>160.50620000000001</v>
      </c>
      <c r="Z19" s="1">
        <v>167.1514</v>
      </c>
      <c r="AA19" s="1">
        <v>272.83499999999998</v>
      </c>
      <c r="AB19" s="1">
        <v>336.50259999999997</v>
      </c>
      <c r="AC19" s="1">
        <v>275.95479999999998</v>
      </c>
      <c r="AD19" s="1">
        <v>196.05439999999999</v>
      </c>
      <c r="AE19" s="27" t="s">
        <v>58</v>
      </c>
      <c r="AF19" s="1">
        <f t="shared" si="3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4" t="s">
        <v>59</v>
      </c>
      <c r="B20" s="14" t="s">
        <v>36</v>
      </c>
      <c r="C20" s="14"/>
      <c r="D20" s="14"/>
      <c r="E20" s="14"/>
      <c r="F20" s="14"/>
      <c r="G20" s="15">
        <v>0</v>
      </c>
      <c r="H20" s="14">
        <v>60</v>
      </c>
      <c r="I20" s="14" t="s">
        <v>37</v>
      </c>
      <c r="J20" s="14"/>
      <c r="K20" s="14">
        <f t="shared" si="2"/>
        <v>0</v>
      </c>
      <c r="L20" s="14">
        <f t="shared" si="4"/>
        <v>0</v>
      </c>
      <c r="M20" s="14"/>
      <c r="N20" s="14">
        <v>0</v>
      </c>
      <c r="O20" s="14">
        <f t="shared" si="5"/>
        <v>0</v>
      </c>
      <c r="P20" s="16"/>
      <c r="Q20" s="16"/>
      <c r="R20" s="14"/>
      <c r="S20" s="14" t="e">
        <f t="shared" si="7"/>
        <v>#DIV/0!</v>
      </c>
      <c r="T20" s="14" t="e">
        <f t="shared" si="8"/>
        <v>#DIV/0!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 t="s">
        <v>60</v>
      </c>
      <c r="AF20" s="14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7" t="s">
        <v>61</v>
      </c>
      <c r="B21" s="17" t="s">
        <v>36</v>
      </c>
      <c r="C21" s="17">
        <v>2780.1419999999998</v>
      </c>
      <c r="D21" s="17">
        <v>5497.4030000000002</v>
      </c>
      <c r="E21" s="17">
        <v>2390.4989999999998</v>
      </c>
      <c r="F21" s="17">
        <v>5084.9260000000004</v>
      </c>
      <c r="G21" s="18">
        <v>1</v>
      </c>
      <c r="H21" s="17">
        <v>60</v>
      </c>
      <c r="I21" s="17" t="s">
        <v>37</v>
      </c>
      <c r="J21" s="17">
        <v>2301.11</v>
      </c>
      <c r="K21" s="17">
        <f t="shared" si="2"/>
        <v>89.388999999999669</v>
      </c>
      <c r="L21" s="17">
        <f t="shared" si="4"/>
        <v>2390.4989999999998</v>
      </c>
      <c r="M21" s="17"/>
      <c r="N21" s="17">
        <v>40</v>
      </c>
      <c r="O21" s="17">
        <f t="shared" si="5"/>
        <v>478.09979999999996</v>
      </c>
      <c r="P21" s="19">
        <f>11*O21-N21-F21</f>
        <v>134.17179999999917</v>
      </c>
      <c r="Q21" s="19"/>
      <c r="R21" s="17"/>
      <c r="S21" s="17">
        <f t="shared" si="7"/>
        <v>11</v>
      </c>
      <c r="T21" s="17">
        <f t="shared" si="8"/>
        <v>10.719364450685822</v>
      </c>
      <c r="U21" s="17">
        <v>531.83100000000002</v>
      </c>
      <c r="V21" s="17">
        <v>522.14959999999996</v>
      </c>
      <c r="W21" s="17">
        <v>640.09120000000007</v>
      </c>
      <c r="X21" s="17">
        <v>606.77560000000005</v>
      </c>
      <c r="Y21" s="17">
        <v>537.21879999999999</v>
      </c>
      <c r="Z21" s="17">
        <v>516.37740000000008</v>
      </c>
      <c r="AA21" s="17">
        <v>434.51839999999999</v>
      </c>
      <c r="AB21" s="17">
        <v>439.80700000000007</v>
      </c>
      <c r="AC21" s="17">
        <v>668.41700000000003</v>
      </c>
      <c r="AD21" s="17">
        <v>686.20619999999997</v>
      </c>
      <c r="AE21" s="17" t="s">
        <v>62</v>
      </c>
      <c r="AF21" s="17">
        <f>G21*P21</f>
        <v>134.17179999999917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20" t="s">
        <v>63</v>
      </c>
      <c r="B22" s="20" t="s">
        <v>36</v>
      </c>
      <c r="C22" s="20">
        <v>493.51600000000002</v>
      </c>
      <c r="D22" s="20">
        <v>1212.26</v>
      </c>
      <c r="E22" s="20">
        <v>614.91899999999998</v>
      </c>
      <c r="F22" s="20">
        <v>960.755</v>
      </c>
      <c r="G22" s="21">
        <v>1</v>
      </c>
      <c r="H22" s="20">
        <v>60</v>
      </c>
      <c r="I22" s="20" t="s">
        <v>37</v>
      </c>
      <c r="J22" s="20">
        <v>600.08000000000004</v>
      </c>
      <c r="K22" s="20">
        <f t="shared" si="2"/>
        <v>14.838999999999942</v>
      </c>
      <c r="L22" s="20">
        <f t="shared" si="4"/>
        <v>614.91899999999998</v>
      </c>
      <c r="M22" s="20"/>
      <c r="N22" s="20">
        <v>0</v>
      </c>
      <c r="O22" s="20">
        <f t="shared" si="5"/>
        <v>122.9838</v>
      </c>
      <c r="P22" s="22">
        <f>8*O22-N22-F22</f>
        <v>23.115400000000022</v>
      </c>
      <c r="Q22" s="22"/>
      <c r="R22" s="20"/>
      <c r="S22" s="20">
        <f t="shared" si="7"/>
        <v>8</v>
      </c>
      <c r="T22" s="20">
        <f t="shared" si="8"/>
        <v>7.8120451636719634</v>
      </c>
      <c r="U22" s="20">
        <v>110.8472</v>
      </c>
      <c r="V22" s="20">
        <v>104.1044</v>
      </c>
      <c r="W22" s="20">
        <v>180.18639999999999</v>
      </c>
      <c r="X22" s="20">
        <v>161.7552</v>
      </c>
      <c r="Y22" s="20">
        <v>140.8828</v>
      </c>
      <c r="Z22" s="20">
        <v>154.36920000000001</v>
      </c>
      <c r="AA22" s="20">
        <v>112.0834</v>
      </c>
      <c r="AB22" s="20">
        <v>125.7568</v>
      </c>
      <c r="AC22" s="20">
        <v>132.44640000000001</v>
      </c>
      <c r="AD22" s="20">
        <v>97.144800000000004</v>
      </c>
      <c r="AE22" s="20" t="s">
        <v>64</v>
      </c>
      <c r="AF22" s="20">
        <f>G22*P22</f>
        <v>23.115400000000022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20" t="s">
        <v>65</v>
      </c>
      <c r="B23" s="20" t="s">
        <v>36</v>
      </c>
      <c r="C23" s="20">
        <v>759.53099999999995</v>
      </c>
      <c r="D23" s="20">
        <v>1291.796</v>
      </c>
      <c r="E23" s="20">
        <v>802.06100000000004</v>
      </c>
      <c r="F23" s="20">
        <v>1030.567</v>
      </c>
      <c r="G23" s="21">
        <v>1</v>
      </c>
      <c r="H23" s="20">
        <v>60</v>
      </c>
      <c r="I23" s="20" t="s">
        <v>37</v>
      </c>
      <c r="J23" s="20">
        <v>774.6</v>
      </c>
      <c r="K23" s="20">
        <f t="shared" si="2"/>
        <v>27.461000000000013</v>
      </c>
      <c r="L23" s="20">
        <f t="shared" si="4"/>
        <v>802.06100000000004</v>
      </c>
      <c r="M23" s="20"/>
      <c r="N23" s="20">
        <v>0</v>
      </c>
      <c r="O23" s="20">
        <f t="shared" si="5"/>
        <v>160.41220000000001</v>
      </c>
      <c r="P23" s="22">
        <f>8*O23-N23-F23</f>
        <v>252.73060000000009</v>
      </c>
      <c r="Q23" s="22"/>
      <c r="R23" s="20"/>
      <c r="S23" s="20">
        <f t="shared" si="7"/>
        <v>8</v>
      </c>
      <c r="T23" s="20">
        <f t="shared" si="8"/>
        <v>6.4244926508083546</v>
      </c>
      <c r="U23" s="20">
        <v>157.11940000000001</v>
      </c>
      <c r="V23" s="20">
        <v>146.6626</v>
      </c>
      <c r="W23" s="20">
        <v>220.55019999999999</v>
      </c>
      <c r="X23" s="20">
        <v>204.3252</v>
      </c>
      <c r="Y23" s="20">
        <v>181.23599999999999</v>
      </c>
      <c r="Z23" s="20">
        <v>207.1456</v>
      </c>
      <c r="AA23" s="20">
        <v>153.3486</v>
      </c>
      <c r="AB23" s="20">
        <v>169.1464</v>
      </c>
      <c r="AC23" s="20">
        <v>177.07560000000001</v>
      </c>
      <c r="AD23" s="20">
        <v>111.5564</v>
      </c>
      <c r="AE23" s="20" t="s">
        <v>64</v>
      </c>
      <c r="AF23" s="20">
        <f>G23*P23</f>
        <v>252.73060000000009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7" t="s">
        <v>66</v>
      </c>
      <c r="B24" s="17" t="s">
        <v>36</v>
      </c>
      <c r="C24" s="17">
        <v>138.828</v>
      </c>
      <c r="D24" s="17">
        <v>2120.6149999999998</v>
      </c>
      <c r="E24" s="17">
        <v>830.38400000000001</v>
      </c>
      <c r="F24" s="17">
        <v>1322.1949999999999</v>
      </c>
      <c r="G24" s="18">
        <v>1</v>
      </c>
      <c r="H24" s="17">
        <v>60</v>
      </c>
      <c r="I24" s="17" t="s">
        <v>37</v>
      </c>
      <c r="J24" s="17">
        <v>836.62</v>
      </c>
      <c r="K24" s="17">
        <f t="shared" si="2"/>
        <v>-6.23599999999999</v>
      </c>
      <c r="L24" s="17">
        <f t="shared" si="4"/>
        <v>830.38400000000001</v>
      </c>
      <c r="M24" s="17"/>
      <c r="N24" s="17">
        <v>0</v>
      </c>
      <c r="O24" s="17">
        <f t="shared" si="5"/>
        <v>166.07679999999999</v>
      </c>
      <c r="P24" s="19">
        <f>11*O24-N24-F24</f>
        <v>504.64979999999991</v>
      </c>
      <c r="Q24" s="19"/>
      <c r="R24" s="17"/>
      <c r="S24" s="17">
        <f t="shared" si="7"/>
        <v>11</v>
      </c>
      <c r="T24" s="17">
        <f t="shared" si="8"/>
        <v>7.9613467985895685</v>
      </c>
      <c r="U24" s="17">
        <v>117.92919999999999</v>
      </c>
      <c r="V24" s="17">
        <v>106.3882</v>
      </c>
      <c r="W24" s="17">
        <v>235.61680000000001</v>
      </c>
      <c r="X24" s="17">
        <v>203.40199999999999</v>
      </c>
      <c r="Y24" s="17">
        <v>136.2996</v>
      </c>
      <c r="Z24" s="17">
        <v>134.27719999999999</v>
      </c>
      <c r="AA24" s="17">
        <v>169.32679999999999</v>
      </c>
      <c r="AB24" s="17">
        <v>268.72460000000001</v>
      </c>
      <c r="AC24" s="17">
        <v>363.09100000000001</v>
      </c>
      <c r="AD24" s="17">
        <v>276.38380000000001</v>
      </c>
      <c r="AE24" s="30" t="s">
        <v>55</v>
      </c>
      <c r="AF24" s="17">
        <f>G24*P24</f>
        <v>504.64979999999991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4" t="s">
        <v>67</v>
      </c>
      <c r="B25" s="14" t="s">
        <v>36</v>
      </c>
      <c r="C25" s="14"/>
      <c r="D25" s="14"/>
      <c r="E25" s="14"/>
      <c r="F25" s="14"/>
      <c r="G25" s="15">
        <v>0</v>
      </c>
      <c r="H25" s="14">
        <v>30</v>
      </c>
      <c r="I25" s="14" t="s">
        <v>37</v>
      </c>
      <c r="J25" s="14"/>
      <c r="K25" s="14">
        <f t="shared" si="2"/>
        <v>0</v>
      </c>
      <c r="L25" s="14">
        <f t="shared" si="4"/>
        <v>0</v>
      </c>
      <c r="M25" s="14"/>
      <c r="N25" s="14">
        <v>0</v>
      </c>
      <c r="O25" s="14">
        <f t="shared" si="5"/>
        <v>0</v>
      </c>
      <c r="P25" s="16"/>
      <c r="Q25" s="16"/>
      <c r="R25" s="14"/>
      <c r="S25" s="14" t="e">
        <f t="shared" si="7"/>
        <v>#DIV/0!</v>
      </c>
      <c r="T25" s="14" t="e">
        <f t="shared" si="8"/>
        <v>#DIV/0!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 t="s">
        <v>60</v>
      </c>
      <c r="AF25" s="14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4" t="s">
        <v>68</v>
      </c>
      <c r="B26" s="14" t="s">
        <v>36</v>
      </c>
      <c r="C26" s="14"/>
      <c r="D26" s="14"/>
      <c r="E26" s="14"/>
      <c r="F26" s="14"/>
      <c r="G26" s="15">
        <v>0</v>
      </c>
      <c r="H26" s="14">
        <v>30</v>
      </c>
      <c r="I26" s="14" t="s">
        <v>37</v>
      </c>
      <c r="J26" s="14">
        <v>1.5</v>
      </c>
      <c r="K26" s="14">
        <f t="shared" si="2"/>
        <v>-1.5</v>
      </c>
      <c r="L26" s="14">
        <f t="shared" si="4"/>
        <v>0</v>
      </c>
      <c r="M26" s="14"/>
      <c r="N26" s="14">
        <v>0</v>
      </c>
      <c r="O26" s="14">
        <f t="shared" si="5"/>
        <v>0</v>
      </c>
      <c r="P26" s="16"/>
      <c r="Q26" s="16"/>
      <c r="R26" s="14"/>
      <c r="S26" s="14" t="e">
        <f t="shared" si="7"/>
        <v>#DIV/0!</v>
      </c>
      <c r="T26" s="14" t="e">
        <f t="shared" si="8"/>
        <v>#DIV/0!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 t="s">
        <v>60</v>
      </c>
      <c r="AF26" s="14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69</v>
      </c>
      <c r="B27" s="1" t="s">
        <v>36</v>
      </c>
      <c r="C27" s="1">
        <v>581.77</v>
      </c>
      <c r="D27" s="1">
        <v>1309.18</v>
      </c>
      <c r="E27" s="1">
        <v>755.77099999999996</v>
      </c>
      <c r="F27" s="1">
        <v>908.78700000000003</v>
      </c>
      <c r="G27" s="7">
        <v>1</v>
      </c>
      <c r="H27" s="1">
        <v>30</v>
      </c>
      <c r="I27" s="1" t="s">
        <v>37</v>
      </c>
      <c r="J27" s="1">
        <v>799.1</v>
      </c>
      <c r="K27" s="1">
        <f t="shared" si="2"/>
        <v>-43.329000000000065</v>
      </c>
      <c r="L27" s="1">
        <f t="shared" si="4"/>
        <v>693.15299999999991</v>
      </c>
      <c r="M27" s="1">
        <v>62.618000000000002</v>
      </c>
      <c r="N27" s="1">
        <v>0</v>
      </c>
      <c r="O27" s="1">
        <f t="shared" si="5"/>
        <v>138.63059999999999</v>
      </c>
      <c r="P27" s="5">
        <f>10*O27-N27-F27</f>
        <v>477.51899999999978</v>
      </c>
      <c r="Q27" s="5"/>
      <c r="R27" s="1"/>
      <c r="S27" s="1">
        <f t="shared" si="7"/>
        <v>10</v>
      </c>
      <c r="T27" s="1">
        <f t="shared" si="8"/>
        <v>6.5554574531164125</v>
      </c>
      <c r="U27" s="1">
        <v>125.477</v>
      </c>
      <c r="V27" s="1">
        <v>164.65979999999999</v>
      </c>
      <c r="W27" s="1">
        <v>198.98699999999999</v>
      </c>
      <c r="X27" s="1">
        <v>201.74520000000001</v>
      </c>
      <c r="Y27" s="1">
        <v>138.4486</v>
      </c>
      <c r="Z27" s="1">
        <v>139.56200000000001</v>
      </c>
      <c r="AA27" s="1">
        <v>107.913</v>
      </c>
      <c r="AB27" s="1">
        <v>127.68940000000001</v>
      </c>
      <c r="AC27" s="1">
        <v>172.2902</v>
      </c>
      <c r="AD27" s="1">
        <v>142.6968</v>
      </c>
      <c r="AE27" s="1"/>
      <c r="AF27" s="1">
        <f>G27*P27</f>
        <v>477.51899999999978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4" t="s">
        <v>70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>
        <f t="shared" si="2"/>
        <v>0</v>
      </c>
      <c r="L28" s="14">
        <f t="shared" si="4"/>
        <v>0</v>
      </c>
      <c r="M28" s="14"/>
      <c r="N28" s="14">
        <v>0</v>
      </c>
      <c r="O28" s="14">
        <f t="shared" si="5"/>
        <v>0</v>
      </c>
      <c r="P28" s="16"/>
      <c r="Q28" s="16"/>
      <c r="R28" s="14"/>
      <c r="S28" s="14" t="e">
        <f t="shared" si="7"/>
        <v>#DIV/0!</v>
      </c>
      <c r="T28" s="14" t="e">
        <f t="shared" si="8"/>
        <v>#DIV/0!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 t="s">
        <v>60</v>
      </c>
      <c r="AF28" s="1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4" t="s">
        <v>71</v>
      </c>
      <c r="B29" s="14" t="s">
        <v>36</v>
      </c>
      <c r="C29" s="14"/>
      <c r="D29" s="14"/>
      <c r="E29" s="14"/>
      <c r="F29" s="14"/>
      <c r="G29" s="15">
        <v>0</v>
      </c>
      <c r="H29" s="14">
        <v>40</v>
      </c>
      <c r="I29" s="14" t="s">
        <v>37</v>
      </c>
      <c r="J29" s="14"/>
      <c r="K29" s="14">
        <f t="shared" si="2"/>
        <v>0</v>
      </c>
      <c r="L29" s="14">
        <f t="shared" si="4"/>
        <v>0</v>
      </c>
      <c r="M29" s="14"/>
      <c r="N29" s="14">
        <v>0</v>
      </c>
      <c r="O29" s="14">
        <f t="shared" si="5"/>
        <v>0</v>
      </c>
      <c r="P29" s="16"/>
      <c r="Q29" s="16"/>
      <c r="R29" s="14"/>
      <c r="S29" s="14" t="e">
        <f t="shared" si="7"/>
        <v>#DIV/0!</v>
      </c>
      <c r="T29" s="14" t="e">
        <f t="shared" si="8"/>
        <v>#DIV/0!</v>
      </c>
      <c r="U29" s="14">
        <v>0</v>
      </c>
      <c r="V29" s="14">
        <v>0</v>
      </c>
      <c r="W29" s="14">
        <v>17.963799999999999</v>
      </c>
      <c r="X29" s="14">
        <v>169.2766</v>
      </c>
      <c r="Y29" s="14">
        <v>24.254799999999999</v>
      </c>
      <c r="Z29" s="14">
        <v>24.254799999999999</v>
      </c>
      <c r="AA29" s="14">
        <v>0</v>
      </c>
      <c r="AB29" s="14">
        <v>0</v>
      </c>
      <c r="AC29" s="14">
        <v>0</v>
      </c>
      <c r="AD29" s="14">
        <v>0</v>
      </c>
      <c r="AE29" s="14" t="s">
        <v>60</v>
      </c>
      <c r="AF29" s="14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4" t="s">
        <v>72</v>
      </c>
      <c r="B30" s="14" t="s">
        <v>36</v>
      </c>
      <c r="C30" s="14"/>
      <c r="D30" s="14"/>
      <c r="E30" s="14"/>
      <c r="F30" s="14"/>
      <c r="G30" s="15">
        <v>0</v>
      </c>
      <c r="H30" s="14">
        <v>30</v>
      </c>
      <c r="I30" s="14" t="s">
        <v>37</v>
      </c>
      <c r="J30" s="14"/>
      <c r="K30" s="14">
        <f t="shared" si="2"/>
        <v>0</v>
      </c>
      <c r="L30" s="14">
        <f t="shared" si="4"/>
        <v>0</v>
      </c>
      <c r="M30" s="14"/>
      <c r="N30" s="14">
        <v>0</v>
      </c>
      <c r="O30" s="14">
        <f t="shared" si="5"/>
        <v>0</v>
      </c>
      <c r="P30" s="16"/>
      <c r="Q30" s="16"/>
      <c r="R30" s="14"/>
      <c r="S30" s="14" t="e">
        <f t="shared" si="7"/>
        <v>#DIV/0!</v>
      </c>
      <c r="T30" s="14" t="e">
        <f t="shared" si="8"/>
        <v>#DIV/0!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 t="s">
        <v>60</v>
      </c>
      <c r="AF30" s="14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4" t="s">
        <v>73</v>
      </c>
      <c r="B31" s="14" t="s">
        <v>36</v>
      </c>
      <c r="C31" s="14"/>
      <c r="D31" s="14"/>
      <c r="E31" s="14"/>
      <c r="F31" s="14"/>
      <c r="G31" s="15">
        <v>0</v>
      </c>
      <c r="H31" s="14">
        <v>50</v>
      </c>
      <c r="I31" s="14" t="s">
        <v>37</v>
      </c>
      <c r="J31" s="14"/>
      <c r="K31" s="14">
        <f t="shared" si="2"/>
        <v>0</v>
      </c>
      <c r="L31" s="14">
        <f t="shared" si="4"/>
        <v>0</v>
      </c>
      <c r="M31" s="14"/>
      <c r="N31" s="14">
        <v>0</v>
      </c>
      <c r="O31" s="14">
        <f t="shared" si="5"/>
        <v>0</v>
      </c>
      <c r="P31" s="16"/>
      <c r="Q31" s="16"/>
      <c r="R31" s="14"/>
      <c r="S31" s="14" t="e">
        <f t="shared" si="7"/>
        <v>#DIV/0!</v>
      </c>
      <c r="T31" s="14" t="e">
        <f t="shared" si="8"/>
        <v>#DIV/0!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 t="s">
        <v>60</v>
      </c>
      <c r="AF31" s="14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74</v>
      </c>
      <c r="B32" s="1" t="s">
        <v>36</v>
      </c>
      <c r="C32" s="1">
        <v>3.6339999999999999</v>
      </c>
      <c r="D32" s="1">
        <v>16.381</v>
      </c>
      <c r="E32" s="1">
        <v>-0.94</v>
      </c>
      <c r="F32" s="1">
        <v>16.381</v>
      </c>
      <c r="G32" s="7">
        <v>1</v>
      </c>
      <c r="H32" s="1">
        <v>50</v>
      </c>
      <c r="I32" s="1" t="s">
        <v>37</v>
      </c>
      <c r="J32" s="1"/>
      <c r="K32" s="1">
        <f t="shared" si="2"/>
        <v>-0.94</v>
      </c>
      <c r="L32" s="1">
        <f t="shared" si="4"/>
        <v>-0.94</v>
      </c>
      <c r="M32" s="1"/>
      <c r="N32" s="1">
        <v>5.0302000000000007</v>
      </c>
      <c r="O32" s="1">
        <f t="shared" si="5"/>
        <v>-0.188</v>
      </c>
      <c r="P32" s="5"/>
      <c r="Q32" s="5"/>
      <c r="R32" s="1"/>
      <c r="S32" s="1">
        <f t="shared" si="7"/>
        <v>-113.88936170212766</v>
      </c>
      <c r="T32" s="1">
        <f t="shared" si="8"/>
        <v>-113.88936170212766</v>
      </c>
      <c r="U32" s="1">
        <v>1.8448</v>
      </c>
      <c r="V32" s="1">
        <v>2.5668000000000002</v>
      </c>
      <c r="W32" s="1">
        <v>3.4731999999999998</v>
      </c>
      <c r="X32" s="1">
        <v>3.1503999999999999</v>
      </c>
      <c r="Y32" s="1">
        <v>1.6772</v>
      </c>
      <c r="Z32" s="1">
        <v>1.8615999999999999</v>
      </c>
      <c r="AA32" s="1">
        <v>2.0434000000000001</v>
      </c>
      <c r="AB32" s="1">
        <v>7.6715999999999998</v>
      </c>
      <c r="AC32" s="1">
        <v>6.3672000000000004</v>
      </c>
      <c r="AD32" s="1">
        <v>0.55359999999999998</v>
      </c>
      <c r="AE32" s="1" t="s">
        <v>75</v>
      </c>
      <c r="AF32" s="1">
        <f>G32*P32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7" t="s">
        <v>76</v>
      </c>
      <c r="B33" s="17" t="s">
        <v>42</v>
      </c>
      <c r="C33" s="17">
        <v>1533</v>
      </c>
      <c r="D33" s="17">
        <v>1104</v>
      </c>
      <c r="E33" s="17">
        <v>845</v>
      </c>
      <c r="F33" s="17">
        <v>1477</v>
      </c>
      <c r="G33" s="18">
        <v>0.4</v>
      </c>
      <c r="H33" s="17">
        <v>45</v>
      </c>
      <c r="I33" s="17" t="s">
        <v>37</v>
      </c>
      <c r="J33" s="17">
        <v>951</v>
      </c>
      <c r="K33" s="17">
        <f t="shared" si="2"/>
        <v>-106</v>
      </c>
      <c r="L33" s="17">
        <f t="shared" si="4"/>
        <v>845</v>
      </c>
      <c r="M33" s="17"/>
      <c r="N33" s="17">
        <v>450</v>
      </c>
      <c r="O33" s="17">
        <f t="shared" si="5"/>
        <v>169</v>
      </c>
      <c r="P33" s="19"/>
      <c r="Q33" s="19"/>
      <c r="R33" s="17"/>
      <c r="S33" s="17">
        <f t="shared" si="7"/>
        <v>11.402366863905325</v>
      </c>
      <c r="T33" s="17">
        <f t="shared" si="8"/>
        <v>11.402366863905325</v>
      </c>
      <c r="U33" s="17">
        <v>179</v>
      </c>
      <c r="V33" s="17">
        <v>165.6</v>
      </c>
      <c r="W33" s="17">
        <v>252.2</v>
      </c>
      <c r="X33" s="17">
        <v>273.8</v>
      </c>
      <c r="Y33" s="17">
        <v>246.2</v>
      </c>
      <c r="Z33" s="17">
        <v>241.6</v>
      </c>
      <c r="AA33" s="17">
        <v>218.2</v>
      </c>
      <c r="AB33" s="17">
        <v>230.2</v>
      </c>
      <c r="AC33" s="17">
        <v>246.2</v>
      </c>
      <c r="AD33" s="17">
        <v>213.6</v>
      </c>
      <c r="AE33" s="17" t="s">
        <v>46</v>
      </c>
      <c r="AF33" s="17">
        <f>G33*P33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77</v>
      </c>
      <c r="B34" s="1" t="s">
        <v>42</v>
      </c>
      <c r="C34" s="1">
        <v>267</v>
      </c>
      <c r="D34" s="1">
        <v>480</v>
      </c>
      <c r="E34" s="1">
        <v>305</v>
      </c>
      <c r="F34" s="1">
        <v>326</v>
      </c>
      <c r="G34" s="7">
        <v>0.45</v>
      </c>
      <c r="H34" s="1">
        <v>50</v>
      </c>
      <c r="I34" s="1" t="s">
        <v>37</v>
      </c>
      <c r="J34" s="1">
        <v>700</v>
      </c>
      <c r="K34" s="1">
        <f t="shared" si="2"/>
        <v>-395</v>
      </c>
      <c r="L34" s="1">
        <f t="shared" si="4"/>
        <v>305</v>
      </c>
      <c r="M34" s="1"/>
      <c r="N34" s="1">
        <v>104.1999999999999</v>
      </c>
      <c r="O34" s="1">
        <f t="shared" si="5"/>
        <v>61</v>
      </c>
      <c r="P34" s="5">
        <f t="shared" ref="P34:P36" si="9">10*O34-N34-F34</f>
        <v>179.80000000000007</v>
      </c>
      <c r="Q34" s="5"/>
      <c r="R34" s="1"/>
      <c r="S34" s="1">
        <f t="shared" si="7"/>
        <v>10</v>
      </c>
      <c r="T34" s="1">
        <f t="shared" si="8"/>
        <v>7.0524590163934411</v>
      </c>
      <c r="U34" s="1">
        <v>59.6</v>
      </c>
      <c r="V34" s="1">
        <v>52.2</v>
      </c>
      <c r="W34" s="1">
        <v>46</v>
      </c>
      <c r="X34" s="1">
        <v>58</v>
      </c>
      <c r="Y34" s="1">
        <v>49.2</v>
      </c>
      <c r="Z34" s="1">
        <v>61.2</v>
      </c>
      <c r="AA34" s="1">
        <v>83.2</v>
      </c>
      <c r="AB34" s="1">
        <v>70.400000000000006</v>
      </c>
      <c r="AC34" s="1">
        <v>17.399999999999999</v>
      </c>
      <c r="AD34" s="1">
        <v>37.200000000000003</v>
      </c>
      <c r="AE34" s="1" t="s">
        <v>78</v>
      </c>
      <c r="AF34" s="1">
        <f>G34*P34</f>
        <v>80.910000000000039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7" t="s">
        <v>79</v>
      </c>
      <c r="B35" s="17" t="s">
        <v>42</v>
      </c>
      <c r="C35" s="17">
        <v>798</v>
      </c>
      <c r="D35" s="17">
        <v>1212</v>
      </c>
      <c r="E35" s="17">
        <v>721</v>
      </c>
      <c r="F35" s="17">
        <v>1115</v>
      </c>
      <c r="G35" s="18">
        <v>0.4</v>
      </c>
      <c r="H35" s="17">
        <v>45</v>
      </c>
      <c r="I35" s="17" t="s">
        <v>37</v>
      </c>
      <c r="J35" s="17">
        <v>752</v>
      </c>
      <c r="K35" s="17">
        <f t="shared" si="2"/>
        <v>-31</v>
      </c>
      <c r="L35" s="17">
        <f t="shared" si="4"/>
        <v>721</v>
      </c>
      <c r="M35" s="17"/>
      <c r="N35" s="17">
        <v>400</v>
      </c>
      <c r="O35" s="17">
        <f t="shared" si="5"/>
        <v>144.19999999999999</v>
      </c>
      <c r="P35" s="19">
        <f>11*O35-N35-F35</f>
        <v>71.199999999999818</v>
      </c>
      <c r="Q35" s="19"/>
      <c r="R35" s="17"/>
      <c r="S35" s="17">
        <f t="shared" si="7"/>
        <v>11</v>
      </c>
      <c r="T35" s="17">
        <f t="shared" si="8"/>
        <v>10.50624133148405</v>
      </c>
      <c r="U35" s="17">
        <v>111.8</v>
      </c>
      <c r="V35" s="17">
        <v>123.2</v>
      </c>
      <c r="W35" s="17">
        <v>208.8</v>
      </c>
      <c r="X35" s="17">
        <v>201.2</v>
      </c>
      <c r="Y35" s="17">
        <v>186.8</v>
      </c>
      <c r="Z35" s="17">
        <v>186.2</v>
      </c>
      <c r="AA35" s="17">
        <v>149</v>
      </c>
      <c r="AB35" s="17">
        <v>139.19999999999999</v>
      </c>
      <c r="AC35" s="17">
        <v>165.4</v>
      </c>
      <c r="AD35" s="17">
        <v>172</v>
      </c>
      <c r="AE35" s="17" t="s">
        <v>55</v>
      </c>
      <c r="AF35" s="17">
        <f>G35*P35</f>
        <v>28.479999999999929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80</v>
      </c>
      <c r="B36" s="1" t="s">
        <v>36</v>
      </c>
      <c r="C36" s="1">
        <v>454.27300000000002</v>
      </c>
      <c r="D36" s="1">
        <v>278.82299999999998</v>
      </c>
      <c r="E36" s="1">
        <v>259.214</v>
      </c>
      <c r="F36" s="1">
        <v>344.61700000000002</v>
      </c>
      <c r="G36" s="7">
        <v>1</v>
      </c>
      <c r="H36" s="1">
        <v>45</v>
      </c>
      <c r="I36" s="1" t="s">
        <v>37</v>
      </c>
      <c r="J36" s="1">
        <v>243.1</v>
      </c>
      <c r="K36" s="1">
        <f t="shared" si="2"/>
        <v>16.114000000000004</v>
      </c>
      <c r="L36" s="1">
        <f t="shared" si="4"/>
        <v>233.28200000000001</v>
      </c>
      <c r="M36" s="1">
        <v>25.931999999999999</v>
      </c>
      <c r="N36" s="1">
        <v>4.5027999999999793</v>
      </c>
      <c r="O36" s="1">
        <f t="shared" si="5"/>
        <v>46.656400000000005</v>
      </c>
      <c r="P36" s="5">
        <f t="shared" si="9"/>
        <v>117.44420000000008</v>
      </c>
      <c r="Q36" s="5"/>
      <c r="R36" s="1"/>
      <c r="S36" s="1">
        <f t="shared" si="7"/>
        <v>10</v>
      </c>
      <c r="T36" s="1">
        <f t="shared" si="8"/>
        <v>7.4827847840810682</v>
      </c>
      <c r="U36" s="1">
        <v>53.281799999999997</v>
      </c>
      <c r="V36" s="1">
        <v>43.068199999999997</v>
      </c>
      <c r="W36" s="1">
        <v>60.004199999999997</v>
      </c>
      <c r="X36" s="1">
        <v>85.956800000000001</v>
      </c>
      <c r="Y36" s="1">
        <v>70.850600000000014</v>
      </c>
      <c r="Z36" s="1">
        <v>61.820800000000013</v>
      </c>
      <c r="AA36" s="1">
        <v>70.298199999999994</v>
      </c>
      <c r="AB36" s="1">
        <v>81.474199999999996</v>
      </c>
      <c r="AC36" s="1">
        <v>74.7346</v>
      </c>
      <c r="AD36" s="1">
        <v>41.038200000000003</v>
      </c>
      <c r="AE36" s="1"/>
      <c r="AF36" s="1">
        <f>G36*P36</f>
        <v>117.44420000000008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4" t="s">
        <v>81</v>
      </c>
      <c r="B37" s="14" t="s">
        <v>42</v>
      </c>
      <c r="C37" s="14"/>
      <c r="D37" s="14"/>
      <c r="E37" s="14"/>
      <c r="F37" s="14"/>
      <c r="G37" s="15">
        <v>0</v>
      </c>
      <c r="H37" s="14">
        <v>45</v>
      </c>
      <c r="I37" s="14" t="s">
        <v>37</v>
      </c>
      <c r="J37" s="14"/>
      <c r="K37" s="14">
        <f t="shared" ref="K37:K68" si="10">E37-J37</f>
        <v>0</v>
      </c>
      <c r="L37" s="14">
        <f t="shared" si="4"/>
        <v>0</v>
      </c>
      <c r="M37" s="14"/>
      <c r="N37" s="14">
        <v>0</v>
      </c>
      <c r="O37" s="14">
        <f t="shared" si="5"/>
        <v>0</v>
      </c>
      <c r="P37" s="16"/>
      <c r="Q37" s="16"/>
      <c r="R37" s="14"/>
      <c r="S37" s="14" t="e">
        <f t="shared" si="7"/>
        <v>#DIV/0!</v>
      </c>
      <c r="T37" s="14" t="e">
        <f t="shared" si="8"/>
        <v>#DIV/0!</v>
      </c>
      <c r="U37" s="14">
        <v>0</v>
      </c>
      <c r="V37" s="14">
        <v>0</v>
      </c>
      <c r="W37" s="14">
        <v>0.2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0.2</v>
      </c>
      <c r="AD37" s="14">
        <v>0.2</v>
      </c>
      <c r="AE37" s="14" t="s">
        <v>60</v>
      </c>
      <c r="AF37" s="14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7" t="s">
        <v>82</v>
      </c>
      <c r="B38" s="17" t="s">
        <v>42</v>
      </c>
      <c r="C38" s="17"/>
      <c r="D38" s="17">
        <v>1009</v>
      </c>
      <c r="E38" s="17">
        <v>286</v>
      </c>
      <c r="F38" s="17">
        <v>714</v>
      </c>
      <c r="G38" s="18">
        <v>0.35</v>
      </c>
      <c r="H38" s="17">
        <v>40</v>
      </c>
      <c r="I38" s="17" t="s">
        <v>37</v>
      </c>
      <c r="J38" s="17">
        <v>299</v>
      </c>
      <c r="K38" s="17">
        <f t="shared" si="10"/>
        <v>-13</v>
      </c>
      <c r="L38" s="17">
        <f t="shared" si="4"/>
        <v>268</v>
      </c>
      <c r="M38" s="17">
        <v>18</v>
      </c>
      <c r="N38" s="17">
        <v>0</v>
      </c>
      <c r="O38" s="17">
        <f t="shared" si="5"/>
        <v>53.6</v>
      </c>
      <c r="P38" s="19"/>
      <c r="Q38" s="19"/>
      <c r="R38" s="17"/>
      <c r="S38" s="17">
        <f t="shared" si="7"/>
        <v>13.32089552238806</v>
      </c>
      <c r="T38" s="17">
        <f t="shared" si="8"/>
        <v>13.32089552238806</v>
      </c>
      <c r="U38" s="17">
        <v>3.6</v>
      </c>
      <c r="V38" s="17">
        <v>21</v>
      </c>
      <c r="W38" s="17">
        <v>101.4</v>
      </c>
      <c r="X38" s="17">
        <v>104</v>
      </c>
      <c r="Y38" s="17">
        <v>36.6</v>
      </c>
      <c r="Z38" s="17">
        <v>34</v>
      </c>
      <c r="AA38" s="17">
        <v>59.2</v>
      </c>
      <c r="AB38" s="17">
        <v>47.8</v>
      </c>
      <c r="AC38" s="17">
        <v>27</v>
      </c>
      <c r="AD38" s="17">
        <v>29</v>
      </c>
      <c r="AE38" s="30" t="s">
        <v>62</v>
      </c>
      <c r="AF38" s="17">
        <f t="shared" ref="AF38:AF46" si="11">G38*P38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83</v>
      </c>
      <c r="B39" s="1" t="s">
        <v>36</v>
      </c>
      <c r="C39" s="1">
        <v>0.71099999999999997</v>
      </c>
      <c r="D39" s="1">
        <v>42.984000000000002</v>
      </c>
      <c r="E39" s="1">
        <v>12.975</v>
      </c>
      <c r="F39" s="1">
        <v>25.678000000000001</v>
      </c>
      <c r="G39" s="7">
        <v>1</v>
      </c>
      <c r="H39" s="1">
        <v>40</v>
      </c>
      <c r="I39" s="1" t="s">
        <v>37</v>
      </c>
      <c r="J39" s="1">
        <v>29.5</v>
      </c>
      <c r="K39" s="1">
        <f t="shared" si="10"/>
        <v>-16.524999999999999</v>
      </c>
      <c r="L39" s="1">
        <f t="shared" si="4"/>
        <v>12.975</v>
      </c>
      <c r="M39" s="1"/>
      <c r="N39" s="1">
        <v>0</v>
      </c>
      <c r="O39" s="1">
        <f t="shared" si="5"/>
        <v>2.5949999999999998</v>
      </c>
      <c r="P39" s="5"/>
      <c r="Q39" s="5"/>
      <c r="R39" s="1"/>
      <c r="S39" s="1">
        <f t="shared" si="7"/>
        <v>9.8951830443159938</v>
      </c>
      <c r="T39" s="1">
        <f t="shared" si="8"/>
        <v>9.8951830443159938</v>
      </c>
      <c r="U39" s="1">
        <v>-0.2356</v>
      </c>
      <c r="V39" s="1">
        <v>1.6168</v>
      </c>
      <c r="W39" s="1">
        <v>10.706200000000001</v>
      </c>
      <c r="X39" s="1">
        <v>11.1776</v>
      </c>
      <c r="Y39" s="1">
        <v>8.0286000000000008</v>
      </c>
      <c r="Z39" s="1">
        <v>7.0257999999999994</v>
      </c>
      <c r="AA39" s="1">
        <v>10.194000000000001</v>
      </c>
      <c r="AB39" s="1">
        <v>14.821</v>
      </c>
      <c r="AC39" s="1">
        <v>15.6356</v>
      </c>
      <c r="AD39" s="1">
        <v>10.5738</v>
      </c>
      <c r="AE39" s="1"/>
      <c r="AF39" s="1">
        <f t="shared" si="11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84</v>
      </c>
      <c r="B40" s="1" t="s">
        <v>42</v>
      </c>
      <c r="C40" s="1">
        <v>452</v>
      </c>
      <c r="D40" s="1">
        <v>282</v>
      </c>
      <c r="E40" s="1">
        <v>249</v>
      </c>
      <c r="F40" s="1">
        <v>347</v>
      </c>
      <c r="G40" s="7">
        <v>0.4</v>
      </c>
      <c r="H40" s="1">
        <v>40</v>
      </c>
      <c r="I40" s="1" t="s">
        <v>37</v>
      </c>
      <c r="J40" s="1">
        <v>267</v>
      </c>
      <c r="K40" s="1">
        <f t="shared" si="10"/>
        <v>-18</v>
      </c>
      <c r="L40" s="1">
        <f t="shared" si="4"/>
        <v>249</v>
      </c>
      <c r="M40" s="1"/>
      <c r="N40" s="1">
        <v>68.92</v>
      </c>
      <c r="O40" s="1">
        <f t="shared" si="5"/>
        <v>49.8</v>
      </c>
      <c r="P40" s="5">
        <f t="shared" ref="P40:P46" si="12">10*O40-N40-F40</f>
        <v>82.079999999999984</v>
      </c>
      <c r="Q40" s="5"/>
      <c r="R40" s="1"/>
      <c r="S40" s="1">
        <f t="shared" si="7"/>
        <v>10</v>
      </c>
      <c r="T40" s="1">
        <f t="shared" si="8"/>
        <v>8.3518072289156642</v>
      </c>
      <c r="U40" s="1">
        <v>58.6</v>
      </c>
      <c r="V40" s="1">
        <v>55.4</v>
      </c>
      <c r="W40" s="1">
        <v>72.2</v>
      </c>
      <c r="X40" s="1">
        <v>59</v>
      </c>
      <c r="Y40" s="1">
        <v>67</v>
      </c>
      <c r="Z40" s="1">
        <v>65.8</v>
      </c>
      <c r="AA40" s="1">
        <v>39.4</v>
      </c>
      <c r="AB40" s="1">
        <v>39.200000000000003</v>
      </c>
      <c r="AC40" s="1">
        <v>47.8</v>
      </c>
      <c r="AD40" s="1">
        <v>49</v>
      </c>
      <c r="AE40" s="1"/>
      <c r="AF40" s="1">
        <f t="shared" si="11"/>
        <v>32.831999999999994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85</v>
      </c>
      <c r="B41" s="1" t="s">
        <v>42</v>
      </c>
      <c r="C41" s="1">
        <v>610</v>
      </c>
      <c r="D41" s="1">
        <v>468</v>
      </c>
      <c r="E41" s="1">
        <v>393</v>
      </c>
      <c r="F41" s="1">
        <v>488</v>
      </c>
      <c r="G41" s="7">
        <v>0.4</v>
      </c>
      <c r="H41" s="1">
        <v>45</v>
      </c>
      <c r="I41" s="1" t="s">
        <v>37</v>
      </c>
      <c r="J41" s="1">
        <v>435</v>
      </c>
      <c r="K41" s="1">
        <f t="shared" si="10"/>
        <v>-42</v>
      </c>
      <c r="L41" s="1">
        <f t="shared" si="4"/>
        <v>393</v>
      </c>
      <c r="M41" s="1"/>
      <c r="N41" s="1">
        <v>207.25999999999991</v>
      </c>
      <c r="O41" s="1">
        <f t="shared" si="5"/>
        <v>78.599999999999994</v>
      </c>
      <c r="P41" s="5">
        <f t="shared" si="12"/>
        <v>90.740000000000123</v>
      </c>
      <c r="Q41" s="5"/>
      <c r="R41" s="1"/>
      <c r="S41" s="1">
        <f t="shared" si="7"/>
        <v>10</v>
      </c>
      <c r="T41" s="1">
        <f t="shared" si="8"/>
        <v>8.845547073791348</v>
      </c>
      <c r="U41" s="1">
        <v>92.8</v>
      </c>
      <c r="V41" s="1">
        <v>80.400000000000006</v>
      </c>
      <c r="W41" s="1">
        <v>107.4</v>
      </c>
      <c r="X41" s="1">
        <v>94.6</v>
      </c>
      <c r="Y41" s="1">
        <v>101</v>
      </c>
      <c r="Z41" s="1">
        <v>109.2</v>
      </c>
      <c r="AA41" s="1">
        <v>90.8</v>
      </c>
      <c r="AB41" s="1">
        <v>81.2</v>
      </c>
      <c r="AC41" s="1">
        <v>89.8</v>
      </c>
      <c r="AD41" s="1">
        <v>89.8</v>
      </c>
      <c r="AE41" s="1" t="s">
        <v>44</v>
      </c>
      <c r="AF41" s="1">
        <f t="shared" si="11"/>
        <v>36.296000000000049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86</v>
      </c>
      <c r="B42" s="1" t="s">
        <v>36</v>
      </c>
      <c r="C42" s="1">
        <v>57.274999999999999</v>
      </c>
      <c r="D42" s="1">
        <v>151.89099999999999</v>
      </c>
      <c r="E42" s="1">
        <v>64.843999999999994</v>
      </c>
      <c r="F42" s="1">
        <v>129.256</v>
      </c>
      <c r="G42" s="7">
        <v>1</v>
      </c>
      <c r="H42" s="1">
        <v>40</v>
      </c>
      <c r="I42" s="1" t="s">
        <v>37</v>
      </c>
      <c r="J42" s="1">
        <v>70.2</v>
      </c>
      <c r="K42" s="1">
        <f t="shared" si="10"/>
        <v>-5.3560000000000088</v>
      </c>
      <c r="L42" s="1">
        <f t="shared" si="4"/>
        <v>64.843999999999994</v>
      </c>
      <c r="M42" s="1"/>
      <c r="N42" s="1">
        <v>5.0895999999999901</v>
      </c>
      <c r="O42" s="1">
        <f t="shared" si="5"/>
        <v>12.968799999999998</v>
      </c>
      <c r="P42" s="5"/>
      <c r="Q42" s="5"/>
      <c r="R42" s="1"/>
      <c r="S42" s="1">
        <f t="shared" si="7"/>
        <v>10.359138856332121</v>
      </c>
      <c r="T42" s="1">
        <f t="shared" si="8"/>
        <v>10.359138856332121</v>
      </c>
      <c r="U42" s="1">
        <v>16.801600000000001</v>
      </c>
      <c r="V42" s="1">
        <v>17.5168</v>
      </c>
      <c r="W42" s="1">
        <v>12.3604</v>
      </c>
      <c r="X42" s="1">
        <v>11.5212</v>
      </c>
      <c r="Y42" s="1">
        <v>15.338200000000001</v>
      </c>
      <c r="Z42" s="1">
        <v>11.880800000000001</v>
      </c>
      <c r="AA42" s="1">
        <v>10.1258</v>
      </c>
      <c r="AB42" s="1">
        <v>11.2706</v>
      </c>
      <c r="AC42" s="1">
        <v>10.634399999999999</v>
      </c>
      <c r="AD42" s="1">
        <v>10.061199999999999</v>
      </c>
      <c r="AE42" s="1"/>
      <c r="AF42" s="1">
        <f t="shared" si="11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7" t="s">
        <v>87</v>
      </c>
      <c r="B43" s="17" t="s">
        <v>42</v>
      </c>
      <c r="C43" s="17">
        <v>500</v>
      </c>
      <c r="D43" s="17">
        <v>1116</v>
      </c>
      <c r="E43" s="17">
        <v>592</v>
      </c>
      <c r="F43" s="17">
        <v>908</v>
      </c>
      <c r="G43" s="18">
        <v>0.35</v>
      </c>
      <c r="H43" s="17">
        <v>40</v>
      </c>
      <c r="I43" s="17" t="s">
        <v>37</v>
      </c>
      <c r="J43" s="17">
        <v>655</v>
      </c>
      <c r="K43" s="17">
        <f t="shared" si="10"/>
        <v>-63</v>
      </c>
      <c r="L43" s="17">
        <f t="shared" si="4"/>
        <v>550</v>
      </c>
      <c r="M43" s="17">
        <v>42</v>
      </c>
      <c r="N43" s="17">
        <v>134.89999999999989</v>
      </c>
      <c r="O43" s="17">
        <f t="shared" si="5"/>
        <v>110</v>
      </c>
      <c r="P43" s="19">
        <f>11*O43-N43-F43</f>
        <v>167.10000000000014</v>
      </c>
      <c r="Q43" s="19"/>
      <c r="R43" s="17"/>
      <c r="S43" s="17">
        <f t="shared" si="7"/>
        <v>11</v>
      </c>
      <c r="T43" s="17">
        <f t="shared" si="8"/>
        <v>9.4809090909090905</v>
      </c>
      <c r="U43" s="17">
        <v>120.6</v>
      </c>
      <c r="V43" s="17">
        <v>115.2</v>
      </c>
      <c r="W43" s="17">
        <v>110.6</v>
      </c>
      <c r="X43" s="17">
        <v>145.19999999999999</v>
      </c>
      <c r="Y43" s="17">
        <v>124.6</v>
      </c>
      <c r="Z43" s="17">
        <v>122.6</v>
      </c>
      <c r="AA43" s="17">
        <v>97.2</v>
      </c>
      <c r="AB43" s="17">
        <v>93.4</v>
      </c>
      <c r="AC43" s="17">
        <v>93.4</v>
      </c>
      <c r="AD43" s="17">
        <v>87.4</v>
      </c>
      <c r="AE43" s="17" t="s">
        <v>88</v>
      </c>
      <c r="AF43" s="17">
        <f t="shared" si="11"/>
        <v>58.485000000000042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89</v>
      </c>
      <c r="B44" s="1" t="s">
        <v>42</v>
      </c>
      <c r="C44" s="1">
        <v>70</v>
      </c>
      <c r="D44" s="1">
        <v>98</v>
      </c>
      <c r="E44" s="1">
        <v>41</v>
      </c>
      <c r="F44" s="1">
        <v>-6</v>
      </c>
      <c r="G44" s="7">
        <v>0.4</v>
      </c>
      <c r="H44" s="1">
        <v>40</v>
      </c>
      <c r="I44" s="1" t="s">
        <v>37</v>
      </c>
      <c r="J44" s="1">
        <v>107</v>
      </c>
      <c r="K44" s="1">
        <f t="shared" si="10"/>
        <v>-66</v>
      </c>
      <c r="L44" s="1">
        <f t="shared" si="4"/>
        <v>41</v>
      </c>
      <c r="M44" s="1"/>
      <c r="N44" s="1">
        <v>404.42</v>
      </c>
      <c r="O44" s="1">
        <f t="shared" si="5"/>
        <v>8.1999999999999993</v>
      </c>
      <c r="P44" s="5"/>
      <c r="Q44" s="5"/>
      <c r="R44" s="1"/>
      <c r="S44" s="1">
        <f t="shared" si="7"/>
        <v>48.587804878048786</v>
      </c>
      <c r="T44" s="1">
        <f t="shared" si="8"/>
        <v>48.587804878048786</v>
      </c>
      <c r="U44" s="1">
        <v>60.6</v>
      </c>
      <c r="V44" s="1">
        <v>52.6</v>
      </c>
      <c r="W44" s="1">
        <v>12.2</v>
      </c>
      <c r="X44" s="1">
        <v>4.4000000000000004</v>
      </c>
      <c r="Y44" s="1">
        <v>4.2</v>
      </c>
      <c r="Z44" s="1">
        <v>5</v>
      </c>
      <c r="AA44" s="1">
        <v>1</v>
      </c>
      <c r="AB44" s="1">
        <v>3.2</v>
      </c>
      <c r="AC44" s="1">
        <v>48.2</v>
      </c>
      <c r="AD44" s="1">
        <v>57.6</v>
      </c>
      <c r="AE44" s="1" t="s">
        <v>44</v>
      </c>
      <c r="AF44" s="1">
        <f t="shared" si="11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90</v>
      </c>
      <c r="B45" s="1" t="s">
        <v>36</v>
      </c>
      <c r="C45" s="1">
        <v>34.207999999999998</v>
      </c>
      <c r="D45" s="1">
        <v>330.46600000000001</v>
      </c>
      <c r="E45" s="1">
        <v>87.85</v>
      </c>
      <c r="F45" s="1">
        <v>216.089</v>
      </c>
      <c r="G45" s="7">
        <v>1</v>
      </c>
      <c r="H45" s="1">
        <v>50</v>
      </c>
      <c r="I45" s="1" t="s">
        <v>37</v>
      </c>
      <c r="J45" s="1">
        <v>88.2</v>
      </c>
      <c r="K45" s="1">
        <f t="shared" si="10"/>
        <v>-0.35000000000000853</v>
      </c>
      <c r="L45" s="1">
        <f t="shared" si="4"/>
        <v>87.85</v>
      </c>
      <c r="M45" s="1"/>
      <c r="N45" s="1">
        <v>0</v>
      </c>
      <c r="O45" s="1">
        <f t="shared" si="5"/>
        <v>17.57</v>
      </c>
      <c r="P45" s="5"/>
      <c r="Q45" s="5"/>
      <c r="R45" s="1"/>
      <c r="S45" s="1">
        <f t="shared" si="7"/>
        <v>12.298747865680136</v>
      </c>
      <c r="T45" s="1">
        <f t="shared" si="8"/>
        <v>12.298747865680136</v>
      </c>
      <c r="U45" s="1">
        <v>25.666399999999999</v>
      </c>
      <c r="V45" s="1">
        <v>24.833200000000001</v>
      </c>
      <c r="W45" s="1">
        <v>27.833600000000001</v>
      </c>
      <c r="X45" s="1">
        <v>27.299600000000002</v>
      </c>
      <c r="Y45" s="1">
        <v>22.294799999999999</v>
      </c>
      <c r="Z45" s="1">
        <v>25.2546</v>
      </c>
      <c r="AA45" s="1">
        <v>29.015999999999998</v>
      </c>
      <c r="AB45" s="1">
        <v>28.9726</v>
      </c>
      <c r="AC45" s="1">
        <v>27.550599999999999</v>
      </c>
      <c r="AD45" s="1">
        <v>24.900600000000001</v>
      </c>
      <c r="AE45" s="1"/>
      <c r="AF45" s="1">
        <f t="shared" si="11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91</v>
      </c>
      <c r="B46" s="1" t="s">
        <v>36</v>
      </c>
      <c r="C46" s="1">
        <v>195.22900000000001</v>
      </c>
      <c r="D46" s="1">
        <v>1308.3699999999999</v>
      </c>
      <c r="E46" s="1">
        <v>638.25099999999998</v>
      </c>
      <c r="F46" s="1">
        <v>717.97799999999995</v>
      </c>
      <c r="G46" s="7">
        <v>1</v>
      </c>
      <c r="H46" s="1">
        <v>50</v>
      </c>
      <c r="I46" s="1" t="s">
        <v>37</v>
      </c>
      <c r="J46" s="1">
        <v>638.1</v>
      </c>
      <c r="K46" s="1">
        <f t="shared" si="10"/>
        <v>0.15099999999995362</v>
      </c>
      <c r="L46" s="1">
        <f t="shared" si="4"/>
        <v>541.79099999999994</v>
      </c>
      <c r="M46" s="1">
        <v>96.46</v>
      </c>
      <c r="N46" s="1">
        <v>65.282019999999719</v>
      </c>
      <c r="O46" s="1">
        <f t="shared" si="5"/>
        <v>108.35819999999998</v>
      </c>
      <c r="P46" s="5">
        <f t="shared" si="12"/>
        <v>300.32198000000017</v>
      </c>
      <c r="Q46" s="5"/>
      <c r="R46" s="1"/>
      <c r="S46" s="1">
        <f t="shared" si="7"/>
        <v>10</v>
      </c>
      <c r="T46" s="1">
        <f t="shared" si="8"/>
        <v>7.2284332888512344</v>
      </c>
      <c r="U46" s="1">
        <v>119.6906</v>
      </c>
      <c r="V46" s="1">
        <v>111.6532</v>
      </c>
      <c r="W46" s="1">
        <v>116.15519999999999</v>
      </c>
      <c r="X46" s="1">
        <v>101.9816</v>
      </c>
      <c r="Y46" s="1">
        <v>88.563199999999995</v>
      </c>
      <c r="Z46" s="1">
        <v>91.916399999999996</v>
      </c>
      <c r="AA46" s="1">
        <v>104.374</v>
      </c>
      <c r="AB46" s="1">
        <v>112.3566</v>
      </c>
      <c r="AC46" s="1">
        <v>212.51599999999999</v>
      </c>
      <c r="AD46" s="1">
        <v>203.15559999999999</v>
      </c>
      <c r="AE46" s="1"/>
      <c r="AF46" s="1">
        <f t="shared" si="11"/>
        <v>300.32198000000017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4" t="s">
        <v>92</v>
      </c>
      <c r="B47" s="14" t="s">
        <v>36</v>
      </c>
      <c r="C47" s="14"/>
      <c r="D47" s="14"/>
      <c r="E47" s="14"/>
      <c r="F47" s="14"/>
      <c r="G47" s="15">
        <v>0</v>
      </c>
      <c r="H47" s="14">
        <v>40</v>
      </c>
      <c r="I47" s="14" t="s">
        <v>37</v>
      </c>
      <c r="J47" s="14"/>
      <c r="K47" s="14">
        <f t="shared" si="10"/>
        <v>0</v>
      </c>
      <c r="L47" s="14">
        <f t="shared" si="4"/>
        <v>0</v>
      </c>
      <c r="M47" s="14"/>
      <c r="N47" s="14">
        <v>0</v>
      </c>
      <c r="O47" s="14">
        <f t="shared" si="5"/>
        <v>0</v>
      </c>
      <c r="P47" s="16"/>
      <c r="Q47" s="16"/>
      <c r="R47" s="14"/>
      <c r="S47" s="14" t="e">
        <f t="shared" si="7"/>
        <v>#DIV/0!</v>
      </c>
      <c r="T47" s="14" t="e">
        <f t="shared" si="8"/>
        <v>#DIV/0!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 t="s">
        <v>60</v>
      </c>
      <c r="AF47" s="14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93</v>
      </c>
      <c r="B48" s="1" t="s">
        <v>42</v>
      </c>
      <c r="C48" s="1">
        <v>177</v>
      </c>
      <c r="D48" s="1">
        <v>160</v>
      </c>
      <c r="E48" s="1">
        <v>111</v>
      </c>
      <c r="F48" s="1">
        <v>186</v>
      </c>
      <c r="G48" s="7">
        <v>0.45</v>
      </c>
      <c r="H48" s="1">
        <v>50</v>
      </c>
      <c r="I48" s="1" t="s">
        <v>37</v>
      </c>
      <c r="J48" s="1">
        <v>116</v>
      </c>
      <c r="K48" s="1">
        <f t="shared" si="10"/>
        <v>-5</v>
      </c>
      <c r="L48" s="1">
        <f t="shared" si="4"/>
        <v>111</v>
      </c>
      <c r="M48" s="1"/>
      <c r="N48" s="1">
        <v>35</v>
      </c>
      <c r="O48" s="1">
        <f t="shared" si="5"/>
        <v>22.2</v>
      </c>
      <c r="P48" s="5"/>
      <c r="Q48" s="5"/>
      <c r="R48" s="1"/>
      <c r="S48" s="1">
        <f t="shared" si="7"/>
        <v>9.954954954954955</v>
      </c>
      <c r="T48" s="1">
        <f t="shared" si="8"/>
        <v>9.954954954954955</v>
      </c>
      <c r="U48" s="1">
        <v>28</v>
      </c>
      <c r="V48" s="1">
        <v>29.6</v>
      </c>
      <c r="W48" s="1">
        <v>20.6</v>
      </c>
      <c r="X48" s="1">
        <v>23</v>
      </c>
      <c r="Y48" s="1">
        <v>31.4</v>
      </c>
      <c r="Z48" s="1">
        <v>25.6</v>
      </c>
      <c r="AA48" s="1">
        <v>31.2</v>
      </c>
      <c r="AB48" s="1">
        <v>34.200000000000003</v>
      </c>
      <c r="AC48" s="1">
        <v>34.4</v>
      </c>
      <c r="AD48" s="1">
        <v>35.799999999999997</v>
      </c>
      <c r="AE48" s="1" t="s">
        <v>44</v>
      </c>
      <c r="AF48" s="1">
        <f>G48*P48</f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4" t="s">
        <v>94</v>
      </c>
      <c r="B49" s="14" t="s">
        <v>36</v>
      </c>
      <c r="C49" s="14"/>
      <c r="D49" s="14"/>
      <c r="E49" s="14"/>
      <c r="F49" s="14"/>
      <c r="G49" s="15">
        <v>0</v>
      </c>
      <c r="H49" s="14">
        <v>40</v>
      </c>
      <c r="I49" s="14" t="s">
        <v>37</v>
      </c>
      <c r="J49" s="14"/>
      <c r="K49" s="14">
        <f t="shared" si="10"/>
        <v>0</v>
      </c>
      <c r="L49" s="14">
        <f t="shared" si="4"/>
        <v>0</v>
      </c>
      <c r="M49" s="14"/>
      <c r="N49" s="14">
        <v>0</v>
      </c>
      <c r="O49" s="14">
        <f t="shared" si="5"/>
        <v>0</v>
      </c>
      <c r="P49" s="16"/>
      <c r="Q49" s="16"/>
      <c r="R49" s="14"/>
      <c r="S49" s="14" t="e">
        <f t="shared" si="7"/>
        <v>#DIV/0!</v>
      </c>
      <c r="T49" s="14" t="e">
        <f t="shared" si="8"/>
        <v>#DIV/0!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 t="s">
        <v>95</v>
      </c>
      <c r="AF49" s="14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96</v>
      </c>
      <c r="B50" s="1" t="s">
        <v>42</v>
      </c>
      <c r="C50" s="1">
        <v>54</v>
      </c>
      <c r="D50" s="1">
        <v>150</v>
      </c>
      <c r="E50" s="1">
        <v>36</v>
      </c>
      <c r="F50" s="1">
        <v>132</v>
      </c>
      <c r="G50" s="7">
        <v>0.4</v>
      </c>
      <c r="H50" s="1">
        <v>40</v>
      </c>
      <c r="I50" s="1" t="s">
        <v>37</v>
      </c>
      <c r="J50" s="1">
        <v>81</v>
      </c>
      <c r="K50" s="1">
        <f t="shared" si="10"/>
        <v>-45</v>
      </c>
      <c r="L50" s="1">
        <f t="shared" si="4"/>
        <v>36</v>
      </c>
      <c r="M50" s="1"/>
      <c r="N50" s="1">
        <v>0</v>
      </c>
      <c r="O50" s="1">
        <f t="shared" si="5"/>
        <v>7.2</v>
      </c>
      <c r="P50" s="5"/>
      <c r="Q50" s="5"/>
      <c r="R50" s="1"/>
      <c r="S50" s="1">
        <f t="shared" si="7"/>
        <v>18.333333333333332</v>
      </c>
      <c r="T50" s="1">
        <f t="shared" si="8"/>
        <v>18.333333333333332</v>
      </c>
      <c r="U50" s="1">
        <v>13.6</v>
      </c>
      <c r="V50" s="1">
        <v>17</v>
      </c>
      <c r="W50" s="1">
        <v>15.6</v>
      </c>
      <c r="X50" s="1">
        <v>15.8</v>
      </c>
      <c r="Y50" s="1">
        <v>12.6</v>
      </c>
      <c r="Z50" s="1">
        <v>11.8</v>
      </c>
      <c r="AA50" s="1">
        <v>10.4</v>
      </c>
      <c r="AB50" s="1">
        <v>8.6</v>
      </c>
      <c r="AC50" s="1">
        <v>9.6</v>
      </c>
      <c r="AD50" s="1">
        <v>9.1999999999999993</v>
      </c>
      <c r="AE50" s="1"/>
      <c r="AF50" s="1">
        <f t="shared" ref="AF50:AF62" si="13">G50*P50</f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97</v>
      </c>
      <c r="B51" s="1" t="s">
        <v>42</v>
      </c>
      <c r="C51" s="1">
        <v>47</v>
      </c>
      <c r="D51" s="1">
        <v>108</v>
      </c>
      <c r="E51" s="1">
        <v>67</v>
      </c>
      <c r="F51" s="1">
        <v>74</v>
      </c>
      <c r="G51" s="7">
        <v>0.4</v>
      </c>
      <c r="H51" s="1">
        <v>40</v>
      </c>
      <c r="I51" s="1" t="s">
        <v>37</v>
      </c>
      <c r="J51" s="1">
        <v>74</v>
      </c>
      <c r="K51" s="1">
        <f t="shared" si="10"/>
        <v>-7</v>
      </c>
      <c r="L51" s="1">
        <f t="shared" si="4"/>
        <v>67</v>
      </c>
      <c r="M51" s="1"/>
      <c r="N51" s="1">
        <v>45.599999999999987</v>
      </c>
      <c r="O51" s="1">
        <f t="shared" si="5"/>
        <v>13.4</v>
      </c>
      <c r="P51" s="5">
        <f t="shared" ref="P51:P60" si="14">10*O51-N51-F51</f>
        <v>14.400000000000006</v>
      </c>
      <c r="Q51" s="5"/>
      <c r="R51" s="1"/>
      <c r="S51" s="1">
        <f t="shared" si="7"/>
        <v>10</v>
      </c>
      <c r="T51" s="1">
        <f t="shared" si="8"/>
        <v>8.9253731343283569</v>
      </c>
      <c r="U51" s="1">
        <v>14.6</v>
      </c>
      <c r="V51" s="1">
        <v>13.4</v>
      </c>
      <c r="W51" s="1">
        <v>15.4</v>
      </c>
      <c r="X51" s="1">
        <v>15.4</v>
      </c>
      <c r="Y51" s="1">
        <v>13.2</v>
      </c>
      <c r="Z51" s="1">
        <v>9.4</v>
      </c>
      <c r="AA51" s="1">
        <v>1.4</v>
      </c>
      <c r="AB51" s="1">
        <v>2.8</v>
      </c>
      <c r="AC51" s="1">
        <v>8.6</v>
      </c>
      <c r="AD51" s="1">
        <v>10.4</v>
      </c>
      <c r="AE51" s="1" t="s">
        <v>98</v>
      </c>
      <c r="AF51" s="1">
        <f t="shared" si="13"/>
        <v>5.7600000000000025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99</v>
      </c>
      <c r="B52" s="1" t="s">
        <v>36</v>
      </c>
      <c r="C52" s="1">
        <v>10.702</v>
      </c>
      <c r="D52" s="1">
        <v>326.03100000000001</v>
      </c>
      <c r="E52" s="1">
        <v>145.23699999999999</v>
      </c>
      <c r="F52" s="1">
        <v>178.37100000000001</v>
      </c>
      <c r="G52" s="7">
        <v>1</v>
      </c>
      <c r="H52" s="1">
        <v>50</v>
      </c>
      <c r="I52" s="1" t="s">
        <v>37</v>
      </c>
      <c r="J52" s="1">
        <v>151.25</v>
      </c>
      <c r="K52" s="1">
        <f t="shared" si="10"/>
        <v>-6.0130000000000052</v>
      </c>
      <c r="L52" s="1">
        <f t="shared" si="4"/>
        <v>145.23699999999999</v>
      </c>
      <c r="M52" s="1"/>
      <c r="N52" s="1">
        <v>0</v>
      </c>
      <c r="O52" s="1">
        <f t="shared" si="5"/>
        <v>29.0474</v>
      </c>
      <c r="P52" s="5">
        <f t="shared" si="14"/>
        <v>112.10299999999998</v>
      </c>
      <c r="Q52" s="5"/>
      <c r="R52" s="1"/>
      <c r="S52" s="1">
        <f t="shared" si="7"/>
        <v>10</v>
      </c>
      <c r="T52" s="1">
        <f t="shared" si="8"/>
        <v>6.1406872904287475</v>
      </c>
      <c r="U52" s="1">
        <v>22.492000000000001</v>
      </c>
      <c r="V52" s="1">
        <v>25.769200000000001</v>
      </c>
      <c r="W52" s="1">
        <v>28.898800000000001</v>
      </c>
      <c r="X52" s="1">
        <v>23.081199999999999</v>
      </c>
      <c r="Y52" s="1">
        <v>20.8338</v>
      </c>
      <c r="Z52" s="1">
        <v>23.843399999999999</v>
      </c>
      <c r="AA52" s="1">
        <v>18.227599999999999</v>
      </c>
      <c r="AB52" s="1">
        <v>14.6684</v>
      </c>
      <c r="AC52" s="1">
        <v>20.7562</v>
      </c>
      <c r="AD52" s="1">
        <v>22.980799999999999</v>
      </c>
      <c r="AE52" s="1"/>
      <c r="AF52" s="1">
        <f t="shared" si="13"/>
        <v>112.10299999999998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100</v>
      </c>
      <c r="B53" s="1" t="s">
        <v>36</v>
      </c>
      <c r="C53" s="1">
        <v>238.37100000000001</v>
      </c>
      <c r="D53" s="1">
        <v>1024.567</v>
      </c>
      <c r="E53" s="1">
        <v>472.76600000000002</v>
      </c>
      <c r="F53" s="1">
        <v>714.23900000000003</v>
      </c>
      <c r="G53" s="7">
        <v>1</v>
      </c>
      <c r="H53" s="1">
        <v>50</v>
      </c>
      <c r="I53" s="1" t="s">
        <v>37</v>
      </c>
      <c r="J53" s="1">
        <v>476.3</v>
      </c>
      <c r="K53" s="1">
        <f t="shared" si="10"/>
        <v>-3.5339999999999918</v>
      </c>
      <c r="L53" s="1">
        <f t="shared" si="4"/>
        <v>408.07000000000005</v>
      </c>
      <c r="M53" s="1">
        <v>64.695999999999998</v>
      </c>
      <c r="N53" s="1">
        <v>0</v>
      </c>
      <c r="O53" s="1">
        <f t="shared" si="5"/>
        <v>81.614000000000004</v>
      </c>
      <c r="P53" s="5">
        <f t="shared" si="14"/>
        <v>101.90100000000007</v>
      </c>
      <c r="Q53" s="5"/>
      <c r="R53" s="1"/>
      <c r="S53" s="1">
        <f t="shared" si="7"/>
        <v>10</v>
      </c>
      <c r="T53" s="1">
        <f t="shared" si="8"/>
        <v>8.7514274511725922</v>
      </c>
      <c r="U53" s="1">
        <v>79.397400000000005</v>
      </c>
      <c r="V53" s="1">
        <v>97.461399999999998</v>
      </c>
      <c r="W53" s="1">
        <v>105.70659999999999</v>
      </c>
      <c r="X53" s="1">
        <v>93.241399999999999</v>
      </c>
      <c r="Y53" s="1">
        <v>83.374200000000002</v>
      </c>
      <c r="Z53" s="1">
        <v>76.477000000000004</v>
      </c>
      <c r="AA53" s="1">
        <v>68.045199999999994</v>
      </c>
      <c r="AB53" s="1">
        <v>106.3288</v>
      </c>
      <c r="AC53" s="1">
        <v>105.8222</v>
      </c>
      <c r="AD53" s="1">
        <v>83.827200000000005</v>
      </c>
      <c r="AE53" s="1"/>
      <c r="AF53" s="1">
        <f t="shared" si="13"/>
        <v>101.90100000000007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101</v>
      </c>
      <c r="B54" s="1" t="s">
        <v>36</v>
      </c>
      <c r="C54" s="1">
        <v>197.32599999999999</v>
      </c>
      <c r="D54" s="1"/>
      <c r="E54" s="1">
        <v>81.433999999999997</v>
      </c>
      <c r="F54" s="1">
        <v>68.269000000000005</v>
      </c>
      <c r="G54" s="7">
        <v>1</v>
      </c>
      <c r="H54" s="1">
        <v>50</v>
      </c>
      <c r="I54" s="1" t="s">
        <v>37</v>
      </c>
      <c r="J54" s="1">
        <v>91</v>
      </c>
      <c r="K54" s="1">
        <f t="shared" si="10"/>
        <v>-9.5660000000000025</v>
      </c>
      <c r="L54" s="1">
        <f t="shared" si="4"/>
        <v>81.433999999999997</v>
      </c>
      <c r="M54" s="1"/>
      <c r="N54" s="1">
        <v>43.547999999999988</v>
      </c>
      <c r="O54" s="1">
        <f t="shared" si="5"/>
        <v>16.286799999999999</v>
      </c>
      <c r="P54" s="5">
        <f t="shared" si="14"/>
        <v>51.051000000000002</v>
      </c>
      <c r="Q54" s="5"/>
      <c r="R54" s="1"/>
      <c r="S54" s="1">
        <f t="shared" si="7"/>
        <v>10</v>
      </c>
      <c r="T54" s="1">
        <f t="shared" si="8"/>
        <v>6.8654984404548465</v>
      </c>
      <c r="U54" s="1">
        <v>15.757</v>
      </c>
      <c r="V54" s="1">
        <v>14.133800000000001</v>
      </c>
      <c r="W54" s="1">
        <v>10.619199999999999</v>
      </c>
      <c r="X54" s="1">
        <v>30.541599999999999</v>
      </c>
      <c r="Y54" s="1">
        <v>5.1849999999999969</v>
      </c>
      <c r="Z54" s="1">
        <v>5.4548000000000014</v>
      </c>
      <c r="AA54" s="1">
        <v>29.638200000000001</v>
      </c>
      <c r="AB54" s="1">
        <v>28.748999999999999</v>
      </c>
      <c r="AC54" s="1">
        <v>25.186800000000002</v>
      </c>
      <c r="AD54" s="1">
        <v>25.7958</v>
      </c>
      <c r="AE54" s="1"/>
      <c r="AF54" s="1">
        <f t="shared" si="13"/>
        <v>51.051000000000002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102</v>
      </c>
      <c r="B55" s="1" t="s">
        <v>42</v>
      </c>
      <c r="C55" s="1">
        <v>96</v>
      </c>
      <c r="D55" s="1">
        <v>190</v>
      </c>
      <c r="E55" s="1">
        <v>203</v>
      </c>
      <c r="F55" s="1">
        <v>62</v>
      </c>
      <c r="G55" s="7">
        <v>0.4</v>
      </c>
      <c r="H55" s="1">
        <v>50</v>
      </c>
      <c r="I55" s="1" t="s">
        <v>37</v>
      </c>
      <c r="J55" s="1">
        <v>204</v>
      </c>
      <c r="K55" s="1">
        <f t="shared" si="10"/>
        <v>-1</v>
      </c>
      <c r="L55" s="1">
        <f t="shared" si="4"/>
        <v>173</v>
      </c>
      <c r="M55" s="1">
        <v>30</v>
      </c>
      <c r="N55" s="1">
        <v>53.800000000000011</v>
      </c>
      <c r="O55" s="1">
        <f t="shared" si="5"/>
        <v>34.6</v>
      </c>
      <c r="P55" s="5">
        <f>9*O55-N55-F55</f>
        <v>195.60000000000002</v>
      </c>
      <c r="Q55" s="5"/>
      <c r="R55" s="1"/>
      <c r="S55" s="1">
        <f t="shared" si="7"/>
        <v>9</v>
      </c>
      <c r="T55" s="1">
        <f t="shared" si="8"/>
        <v>3.346820809248555</v>
      </c>
      <c r="U55" s="1">
        <v>23.2</v>
      </c>
      <c r="V55" s="1">
        <v>21.6</v>
      </c>
      <c r="W55" s="1">
        <v>32.799999999999997</v>
      </c>
      <c r="X55" s="1">
        <v>29.2</v>
      </c>
      <c r="Y55" s="1">
        <v>28.8</v>
      </c>
      <c r="Z55" s="1">
        <v>30.4</v>
      </c>
      <c r="AA55" s="1">
        <v>28.8</v>
      </c>
      <c r="AB55" s="1">
        <v>34.6</v>
      </c>
      <c r="AC55" s="1">
        <v>53</v>
      </c>
      <c r="AD55" s="1">
        <v>46.2</v>
      </c>
      <c r="AE55" s="1"/>
      <c r="AF55" s="1">
        <f t="shared" si="13"/>
        <v>78.240000000000009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103</v>
      </c>
      <c r="B56" s="1" t="s">
        <v>42</v>
      </c>
      <c r="C56" s="1">
        <v>118</v>
      </c>
      <c r="D56" s="1">
        <v>1296</v>
      </c>
      <c r="E56" s="1">
        <v>729</v>
      </c>
      <c r="F56" s="1">
        <v>572</v>
      </c>
      <c r="G56" s="7">
        <v>0.4</v>
      </c>
      <c r="H56" s="1">
        <v>40</v>
      </c>
      <c r="I56" s="1" t="s">
        <v>37</v>
      </c>
      <c r="J56" s="1">
        <v>751</v>
      </c>
      <c r="K56" s="1">
        <f t="shared" si="10"/>
        <v>-22</v>
      </c>
      <c r="L56" s="1">
        <f t="shared" si="4"/>
        <v>693</v>
      </c>
      <c r="M56" s="1">
        <v>36</v>
      </c>
      <c r="N56" s="1">
        <v>0</v>
      </c>
      <c r="O56" s="1">
        <f t="shared" si="5"/>
        <v>138.6</v>
      </c>
      <c r="P56" s="5">
        <f t="shared" si="14"/>
        <v>814</v>
      </c>
      <c r="Q56" s="5"/>
      <c r="R56" s="1"/>
      <c r="S56" s="1">
        <f t="shared" si="7"/>
        <v>10</v>
      </c>
      <c r="T56" s="1">
        <f t="shared" si="8"/>
        <v>4.1269841269841274</v>
      </c>
      <c r="U56" s="1">
        <v>86.8</v>
      </c>
      <c r="V56" s="1">
        <v>109.2</v>
      </c>
      <c r="W56" s="1">
        <v>165.286</v>
      </c>
      <c r="X56" s="1">
        <v>168.48599999999999</v>
      </c>
      <c r="Y56" s="1">
        <v>92.6</v>
      </c>
      <c r="Z56" s="1">
        <v>92.8</v>
      </c>
      <c r="AA56" s="1">
        <v>153.19999999999999</v>
      </c>
      <c r="AB56" s="1">
        <v>153.4</v>
      </c>
      <c r="AC56" s="1">
        <v>112.2</v>
      </c>
      <c r="AD56" s="1">
        <v>108.4</v>
      </c>
      <c r="AE56" s="1"/>
      <c r="AF56" s="1">
        <f t="shared" si="13"/>
        <v>325.60000000000002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104</v>
      </c>
      <c r="B57" s="1" t="s">
        <v>42</v>
      </c>
      <c r="C57" s="1">
        <v>76</v>
      </c>
      <c r="D57" s="1">
        <v>1081</v>
      </c>
      <c r="E57" s="1">
        <v>533</v>
      </c>
      <c r="F57" s="1">
        <v>551</v>
      </c>
      <c r="G57" s="7">
        <v>0.4</v>
      </c>
      <c r="H57" s="1">
        <v>40</v>
      </c>
      <c r="I57" s="1" t="s">
        <v>37</v>
      </c>
      <c r="J57" s="1">
        <v>545</v>
      </c>
      <c r="K57" s="1">
        <f t="shared" si="10"/>
        <v>-12</v>
      </c>
      <c r="L57" s="1">
        <f t="shared" si="4"/>
        <v>497</v>
      </c>
      <c r="M57" s="1">
        <v>36</v>
      </c>
      <c r="N57" s="1">
        <v>0</v>
      </c>
      <c r="O57" s="1">
        <f t="shared" si="5"/>
        <v>99.4</v>
      </c>
      <c r="P57" s="5">
        <f t="shared" si="14"/>
        <v>443</v>
      </c>
      <c r="Q57" s="5"/>
      <c r="R57" s="1"/>
      <c r="S57" s="1">
        <f t="shared" si="7"/>
        <v>10</v>
      </c>
      <c r="T57" s="1">
        <f t="shared" si="8"/>
        <v>5.5432595573440642</v>
      </c>
      <c r="U57" s="1">
        <v>64.2</v>
      </c>
      <c r="V57" s="1">
        <v>91.2</v>
      </c>
      <c r="W57" s="1">
        <v>104.4</v>
      </c>
      <c r="X57" s="1">
        <v>64.2</v>
      </c>
      <c r="Y57" s="1">
        <v>51.4</v>
      </c>
      <c r="Z57" s="1">
        <v>69.8</v>
      </c>
      <c r="AA57" s="1">
        <v>114.6</v>
      </c>
      <c r="AB57" s="1">
        <v>105.8</v>
      </c>
      <c r="AC57" s="1">
        <v>71.400000000000006</v>
      </c>
      <c r="AD57" s="1">
        <v>74</v>
      </c>
      <c r="AE57" s="1"/>
      <c r="AF57" s="1">
        <f t="shared" si="13"/>
        <v>177.20000000000002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105</v>
      </c>
      <c r="B58" s="1" t="s">
        <v>36</v>
      </c>
      <c r="C58" s="1">
        <v>191.10300000000001</v>
      </c>
      <c r="D58" s="1">
        <v>578.86500000000001</v>
      </c>
      <c r="E58" s="1">
        <v>177.53299999999999</v>
      </c>
      <c r="F58" s="1">
        <v>526.68200000000002</v>
      </c>
      <c r="G58" s="7">
        <v>1</v>
      </c>
      <c r="H58" s="1">
        <v>40</v>
      </c>
      <c r="I58" s="1" t="s">
        <v>37</v>
      </c>
      <c r="J58" s="1">
        <v>205.1</v>
      </c>
      <c r="K58" s="1">
        <f t="shared" si="10"/>
        <v>-27.567000000000007</v>
      </c>
      <c r="L58" s="1">
        <f t="shared" si="4"/>
        <v>177.53299999999999</v>
      </c>
      <c r="M58" s="1"/>
      <c r="N58" s="1">
        <v>0</v>
      </c>
      <c r="O58" s="1">
        <f t="shared" si="5"/>
        <v>35.506599999999999</v>
      </c>
      <c r="P58" s="5"/>
      <c r="Q58" s="5"/>
      <c r="R58" s="1"/>
      <c r="S58" s="1">
        <f t="shared" si="7"/>
        <v>14.833354925563135</v>
      </c>
      <c r="T58" s="1">
        <f t="shared" si="8"/>
        <v>14.833354925563135</v>
      </c>
      <c r="U58" s="1">
        <v>46.8294</v>
      </c>
      <c r="V58" s="1">
        <v>57.864999999999988</v>
      </c>
      <c r="W58" s="1">
        <v>45.7532</v>
      </c>
      <c r="X58" s="1">
        <v>45.354599999999998</v>
      </c>
      <c r="Y58" s="1">
        <v>45.513399999999997</v>
      </c>
      <c r="Z58" s="1">
        <v>33.489400000000003</v>
      </c>
      <c r="AA58" s="1">
        <v>8.1622000000000003</v>
      </c>
      <c r="AB58" s="1">
        <v>5.0213999999999999</v>
      </c>
      <c r="AC58" s="1">
        <v>53.783200000000001</v>
      </c>
      <c r="AD58" s="1">
        <v>50.0608</v>
      </c>
      <c r="AE58" s="1"/>
      <c r="AF58" s="1">
        <f t="shared" si="13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106</v>
      </c>
      <c r="B59" s="1" t="s">
        <v>36</v>
      </c>
      <c r="C59" s="1">
        <v>34.177</v>
      </c>
      <c r="D59" s="1">
        <v>404.95400000000001</v>
      </c>
      <c r="E59" s="1">
        <v>156.14599999999999</v>
      </c>
      <c r="F59" s="1">
        <v>269.214</v>
      </c>
      <c r="G59" s="7">
        <v>1</v>
      </c>
      <c r="H59" s="1">
        <v>40</v>
      </c>
      <c r="I59" s="1" t="s">
        <v>37</v>
      </c>
      <c r="J59" s="1">
        <v>157.80000000000001</v>
      </c>
      <c r="K59" s="1">
        <f t="shared" si="10"/>
        <v>-1.6540000000000248</v>
      </c>
      <c r="L59" s="1">
        <f t="shared" si="4"/>
        <v>156.14599999999999</v>
      </c>
      <c r="M59" s="1"/>
      <c r="N59" s="1">
        <v>0</v>
      </c>
      <c r="O59" s="1">
        <f t="shared" si="5"/>
        <v>31.229199999999999</v>
      </c>
      <c r="P59" s="5">
        <f t="shared" si="14"/>
        <v>43.077999999999975</v>
      </c>
      <c r="Q59" s="5"/>
      <c r="R59" s="1"/>
      <c r="S59" s="1">
        <f t="shared" si="7"/>
        <v>10</v>
      </c>
      <c r="T59" s="1">
        <f t="shared" si="8"/>
        <v>8.6205858619497135</v>
      </c>
      <c r="U59" s="1">
        <v>24.597200000000001</v>
      </c>
      <c r="V59" s="1">
        <v>41.460999999999999</v>
      </c>
      <c r="W59" s="1">
        <v>50.3324</v>
      </c>
      <c r="X59" s="1">
        <v>33.1736</v>
      </c>
      <c r="Y59" s="1">
        <v>28.763400000000001</v>
      </c>
      <c r="Z59" s="1">
        <v>24.647200000000002</v>
      </c>
      <c r="AA59" s="1">
        <v>23.712199999999999</v>
      </c>
      <c r="AB59" s="1">
        <v>28.724799999999998</v>
      </c>
      <c r="AC59" s="1">
        <v>40.096800000000002</v>
      </c>
      <c r="AD59" s="1">
        <v>33.127600000000001</v>
      </c>
      <c r="AE59" s="1"/>
      <c r="AF59" s="1">
        <f t="shared" si="13"/>
        <v>43.077999999999975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107</v>
      </c>
      <c r="B60" s="1" t="s">
        <v>36</v>
      </c>
      <c r="C60" s="1">
        <v>8.1349999999999998</v>
      </c>
      <c r="D60" s="1">
        <v>374.06599999999997</v>
      </c>
      <c r="E60" s="1">
        <v>159.28899999999999</v>
      </c>
      <c r="F60" s="1">
        <v>213.93600000000001</v>
      </c>
      <c r="G60" s="7">
        <v>1</v>
      </c>
      <c r="H60" s="1">
        <v>40</v>
      </c>
      <c r="I60" s="1" t="s">
        <v>37</v>
      </c>
      <c r="J60" s="1">
        <v>164.6</v>
      </c>
      <c r="K60" s="1">
        <f t="shared" si="10"/>
        <v>-5.311000000000007</v>
      </c>
      <c r="L60" s="1">
        <f t="shared" si="4"/>
        <v>159.28899999999999</v>
      </c>
      <c r="M60" s="1"/>
      <c r="N60" s="1">
        <v>0</v>
      </c>
      <c r="O60" s="1">
        <f t="shared" si="5"/>
        <v>31.857799999999997</v>
      </c>
      <c r="P60" s="5">
        <f t="shared" si="14"/>
        <v>104.64199999999997</v>
      </c>
      <c r="Q60" s="5"/>
      <c r="R60" s="1"/>
      <c r="S60" s="1">
        <f t="shared" si="7"/>
        <v>10</v>
      </c>
      <c r="T60" s="1">
        <f t="shared" si="8"/>
        <v>6.7153412978925102</v>
      </c>
      <c r="U60" s="1">
        <v>29.901</v>
      </c>
      <c r="V60" s="1">
        <v>30.859200000000001</v>
      </c>
      <c r="W60" s="1">
        <v>33.629199999999997</v>
      </c>
      <c r="X60" s="1">
        <v>37.529800000000002</v>
      </c>
      <c r="Y60" s="1">
        <v>26.715399999999999</v>
      </c>
      <c r="Z60" s="1">
        <v>22.999600000000001</v>
      </c>
      <c r="AA60" s="1">
        <v>31.666599999999999</v>
      </c>
      <c r="AB60" s="1">
        <v>35.583000000000013</v>
      </c>
      <c r="AC60" s="1">
        <v>50.459200000000003</v>
      </c>
      <c r="AD60" s="1">
        <v>43.281599999999997</v>
      </c>
      <c r="AE60" s="1"/>
      <c r="AF60" s="1">
        <f t="shared" si="13"/>
        <v>104.64199999999997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108</v>
      </c>
      <c r="B61" s="1" t="s">
        <v>36</v>
      </c>
      <c r="C61" s="1">
        <v>23.100999999999999</v>
      </c>
      <c r="D61" s="1">
        <v>127.959</v>
      </c>
      <c r="E61" s="1">
        <v>42.957000000000001</v>
      </c>
      <c r="F61" s="1">
        <v>83.289000000000001</v>
      </c>
      <c r="G61" s="7">
        <v>1</v>
      </c>
      <c r="H61" s="1">
        <v>30</v>
      </c>
      <c r="I61" s="1" t="s">
        <v>37</v>
      </c>
      <c r="J61" s="1">
        <v>58.4</v>
      </c>
      <c r="K61" s="1">
        <f t="shared" si="10"/>
        <v>-15.442999999999998</v>
      </c>
      <c r="L61" s="1">
        <f t="shared" si="4"/>
        <v>42.957000000000001</v>
      </c>
      <c r="M61" s="1"/>
      <c r="N61" s="1">
        <v>13.94259999999996</v>
      </c>
      <c r="O61" s="1">
        <f t="shared" si="5"/>
        <v>8.5914000000000001</v>
      </c>
      <c r="P61" s="5"/>
      <c r="Q61" s="5"/>
      <c r="R61" s="1"/>
      <c r="S61" s="1">
        <f t="shared" si="7"/>
        <v>11.317317317317313</v>
      </c>
      <c r="T61" s="1">
        <f t="shared" si="8"/>
        <v>11.317317317317313</v>
      </c>
      <c r="U61" s="1">
        <v>11.477600000000001</v>
      </c>
      <c r="V61" s="1">
        <v>10.693</v>
      </c>
      <c r="W61" s="1">
        <v>8.6018000000000008</v>
      </c>
      <c r="X61" s="1">
        <v>7.6099999999999994</v>
      </c>
      <c r="Y61" s="1">
        <v>8.7211999999999996</v>
      </c>
      <c r="Z61" s="1">
        <v>10.027799999999999</v>
      </c>
      <c r="AA61" s="1">
        <v>11.640599999999999</v>
      </c>
      <c r="AB61" s="1">
        <v>10.793799999999999</v>
      </c>
      <c r="AC61" s="1">
        <v>11.015000000000001</v>
      </c>
      <c r="AD61" s="1">
        <v>10.7562</v>
      </c>
      <c r="AE61" s="1"/>
      <c r="AF61" s="1">
        <f t="shared" si="13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109</v>
      </c>
      <c r="B62" s="1" t="s">
        <v>42</v>
      </c>
      <c r="C62" s="1">
        <v>134</v>
      </c>
      <c r="D62" s="1">
        <v>336</v>
      </c>
      <c r="E62" s="1">
        <v>42</v>
      </c>
      <c r="F62" s="1">
        <v>362</v>
      </c>
      <c r="G62" s="7">
        <v>0.6</v>
      </c>
      <c r="H62" s="1">
        <v>60</v>
      </c>
      <c r="I62" s="10" t="s">
        <v>43</v>
      </c>
      <c r="J62" s="1">
        <v>192</v>
      </c>
      <c r="K62" s="1">
        <f t="shared" si="10"/>
        <v>-150</v>
      </c>
      <c r="L62" s="1">
        <f t="shared" si="4"/>
        <v>42</v>
      </c>
      <c r="M62" s="1"/>
      <c r="N62" s="1">
        <v>107.6</v>
      </c>
      <c r="O62" s="1">
        <f t="shared" si="5"/>
        <v>8.4</v>
      </c>
      <c r="P62" s="5"/>
      <c r="Q62" s="5"/>
      <c r="R62" s="1"/>
      <c r="S62" s="1">
        <f t="shared" si="7"/>
        <v>55.904761904761905</v>
      </c>
      <c r="T62" s="1">
        <f t="shared" si="8"/>
        <v>55.904761904761905</v>
      </c>
      <c r="U62" s="1">
        <v>50.4</v>
      </c>
      <c r="V62" s="1">
        <v>50.8</v>
      </c>
      <c r="W62" s="1">
        <v>79.2</v>
      </c>
      <c r="X62" s="1">
        <v>175</v>
      </c>
      <c r="Y62" s="1">
        <v>200.8</v>
      </c>
      <c r="Z62" s="1">
        <v>245.2</v>
      </c>
      <c r="AA62" s="1">
        <v>191.2</v>
      </c>
      <c r="AB62" s="1">
        <v>88.6</v>
      </c>
      <c r="AC62" s="1">
        <v>48.4</v>
      </c>
      <c r="AD62" s="1">
        <v>26.2</v>
      </c>
      <c r="AE62" s="28" t="s">
        <v>155</v>
      </c>
      <c r="AF62" s="1">
        <f t="shared" si="13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4" t="s">
        <v>110</v>
      </c>
      <c r="B63" s="14" t="s">
        <v>42</v>
      </c>
      <c r="C63" s="14"/>
      <c r="D63" s="14"/>
      <c r="E63" s="14"/>
      <c r="F63" s="14"/>
      <c r="G63" s="15">
        <v>0</v>
      </c>
      <c r="H63" s="14">
        <v>50</v>
      </c>
      <c r="I63" s="14" t="s">
        <v>37</v>
      </c>
      <c r="J63" s="14"/>
      <c r="K63" s="14">
        <f t="shared" si="10"/>
        <v>0</v>
      </c>
      <c r="L63" s="14">
        <f t="shared" si="4"/>
        <v>0</v>
      </c>
      <c r="M63" s="14"/>
      <c r="N63" s="14">
        <v>0</v>
      </c>
      <c r="O63" s="14">
        <f t="shared" si="5"/>
        <v>0</v>
      </c>
      <c r="P63" s="16"/>
      <c r="Q63" s="16"/>
      <c r="R63" s="14"/>
      <c r="S63" s="14" t="e">
        <f t="shared" si="7"/>
        <v>#DIV/0!</v>
      </c>
      <c r="T63" s="14" t="e">
        <f t="shared" si="8"/>
        <v>#DIV/0!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 t="s">
        <v>60</v>
      </c>
      <c r="AF63" s="14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4" t="s">
        <v>111</v>
      </c>
      <c r="B64" s="14" t="s">
        <v>42</v>
      </c>
      <c r="C64" s="14"/>
      <c r="D64" s="14"/>
      <c r="E64" s="14"/>
      <c r="F64" s="14"/>
      <c r="G64" s="15">
        <v>0</v>
      </c>
      <c r="H64" s="14">
        <v>50</v>
      </c>
      <c r="I64" s="14" t="s">
        <v>37</v>
      </c>
      <c r="J64" s="14"/>
      <c r="K64" s="14">
        <f t="shared" si="10"/>
        <v>0</v>
      </c>
      <c r="L64" s="14">
        <f t="shared" si="4"/>
        <v>0</v>
      </c>
      <c r="M64" s="14"/>
      <c r="N64" s="14">
        <v>0</v>
      </c>
      <c r="O64" s="14">
        <f t="shared" si="5"/>
        <v>0</v>
      </c>
      <c r="P64" s="16"/>
      <c r="Q64" s="16"/>
      <c r="R64" s="14"/>
      <c r="S64" s="14" t="e">
        <f t="shared" si="7"/>
        <v>#DIV/0!</v>
      </c>
      <c r="T64" s="14" t="e">
        <f t="shared" si="8"/>
        <v>#DIV/0!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 t="s">
        <v>60</v>
      </c>
      <c r="AF64" s="14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4" t="s">
        <v>112</v>
      </c>
      <c r="B65" s="14" t="s">
        <v>42</v>
      </c>
      <c r="C65" s="14"/>
      <c r="D65" s="14"/>
      <c r="E65" s="14"/>
      <c r="F65" s="14"/>
      <c r="G65" s="15">
        <v>0</v>
      </c>
      <c r="H65" s="14">
        <v>30</v>
      </c>
      <c r="I65" s="14" t="s">
        <v>37</v>
      </c>
      <c r="J65" s="14"/>
      <c r="K65" s="14">
        <f t="shared" si="10"/>
        <v>0</v>
      </c>
      <c r="L65" s="14">
        <f t="shared" si="4"/>
        <v>0</v>
      </c>
      <c r="M65" s="14"/>
      <c r="N65" s="14">
        <v>0</v>
      </c>
      <c r="O65" s="14">
        <f t="shared" si="5"/>
        <v>0</v>
      </c>
      <c r="P65" s="16"/>
      <c r="Q65" s="16"/>
      <c r="R65" s="14"/>
      <c r="S65" s="14" t="e">
        <f t="shared" si="7"/>
        <v>#DIV/0!</v>
      </c>
      <c r="T65" s="14" t="e">
        <f t="shared" si="8"/>
        <v>#DIV/0!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 t="s">
        <v>60</v>
      </c>
      <c r="AF65" s="14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113</v>
      </c>
      <c r="B66" s="1" t="s">
        <v>42</v>
      </c>
      <c r="C66" s="1">
        <v>102</v>
      </c>
      <c r="D66" s="1">
        <v>112</v>
      </c>
      <c r="E66" s="1">
        <v>59</v>
      </c>
      <c r="F66" s="1">
        <v>117</v>
      </c>
      <c r="G66" s="7">
        <v>0.6</v>
      </c>
      <c r="H66" s="1">
        <v>55</v>
      </c>
      <c r="I66" s="1" t="s">
        <v>37</v>
      </c>
      <c r="J66" s="1">
        <v>88</v>
      </c>
      <c r="K66" s="1">
        <f t="shared" si="10"/>
        <v>-29</v>
      </c>
      <c r="L66" s="1">
        <f t="shared" si="4"/>
        <v>59</v>
      </c>
      <c r="M66" s="1"/>
      <c r="N66" s="1">
        <v>20.800000000000011</v>
      </c>
      <c r="O66" s="1">
        <f t="shared" si="5"/>
        <v>11.8</v>
      </c>
      <c r="P66" s="5"/>
      <c r="Q66" s="5"/>
      <c r="R66" s="1"/>
      <c r="S66" s="1">
        <f t="shared" si="7"/>
        <v>11.677966101694915</v>
      </c>
      <c r="T66" s="1">
        <f t="shared" si="8"/>
        <v>11.677966101694915</v>
      </c>
      <c r="U66" s="1">
        <v>15.8</v>
      </c>
      <c r="V66" s="1">
        <v>11.8</v>
      </c>
      <c r="W66" s="1">
        <v>14.2</v>
      </c>
      <c r="X66" s="1">
        <v>23.6</v>
      </c>
      <c r="Y66" s="1">
        <v>15.8</v>
      </c>
      <c r="Z66" s="1">
        <v>19.399999999999999</v>
      </c>
      <c r="AA66" s="1">
        <v>33.6</v>
      </c>
      <c r="AB66" s="1">
        <v>26.4</v>
      </c>
      <c r="AC66" s="1">
        <v>19.8</v>
      </c>
      <c r="AD66" s="1">
        <v>19.399999999999999</v>
      </c>
      <c r="AE66" s="1" t="s">
        <v>44</v>
      </c>
      <c r="AF66" s="1">
        <f>G66*P66</f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4" t="s">
        <v>114</v>
      </c>
      <c r="B67" s="14" t="s">
        <v>42</v>
      </c>
      <c r="C67" s="14"/>
      <c r="D67" s="14"/>
      <c r="E67" s="14"/>
      <c r="F67" s="14"/>
      <c r="G67" s="15">
        <v>0</v>
      </c>
      <c r="H67" s="14">
        <v>40</v>
      </c>
      <c r="I67" s="14" t="s">
        <v>37</v>
      </c>
      <c r="J67" s="14"/>
      <c r="K67" s="14">
        <f t="shared" si="10"/>
        <v>0</v>
      </c>
      <c r="L67" s="14">
        <f t="shared" si="4"/>
        <v>0</v>
      </c>
      <c r="M67" s="14"/>
      <c r="N67" s="14">
        <v>0</v>
      </c>
      <c r="O67" s="14">
        <f t="shared" si="5"/>
        <v>0</v>
      </c>
      <c r="P67" s="16"/>
      <c r="Q67" s="16"/>
      <c r="R67" s="14"/>
      <c r="S67" s="14" t="e">
        <f t="shared" si="7"/>
        <v>#DIV/0!</v>
      </c>
      <c r="T67" s="14" t="e">
        <f t="shared" si="8"/>
        <v>#DIV/0!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 t="s">
        <v>60</v>
      </c>
      <c r="AF67" s="14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115</v>
      </c>
      <c r="B68" s="1" t="s">
        <v>42</v>
      </c>
      <c r="C68" s="1">
        <v>31</v>
      </c>
      <c r="D68" s="1">
        <v>136</v>
      </c>
      <c r="E68" s="1">
        <v>32</v>
      </c>
      <c r="F68" s="1">
        <v>109</v>
      </c>
      <c r="G68" s="7">
        <v>0.4</v>
      </c>
      <c r="H68" s="1">
        <v>50</v>
      </c>
      <c r="I68" s="1" t="s">
        <v>37</v>
      </c>
      <c r="J68" s="1">
        <v>37</v>
      </c>
      <c r="K68" s="1">
        <f t="shared" si="10"/>
        <v>-5</v>
      </c>
      <c r="L68" s="1">
        <f t="shared" si="4"/>
        <v>32</v>
      </c>
      <c r="M68" s="1"/>
      <c r="N68" s="1">
        <v>0</v>
      </c>
      <c r="O68" s="1">
        <f t="shared" si="5"/>
        <v>6.4</v>
      </c>
      <c r="P68" s="5"/>
      <c r="Q68" s="5"/>
      <c r="R68" s="1"/>
      <c r="S68" s="1">
        <f t="shared" si="7"/>
        <v>17.03125</v>
      </c>
      <c r="T68" s="1">
        <f t="shared" si="8"/>
        <v>17.03125</v>
      </c>
      <c r="U68" s="1">
        <v>10.199999999999999</v>
      </c>
      <c r="V68" s="1">
        <v>12.4</v>
      </c>
      <c r="W68" s="1">
        <v>17.399999999999999</v>
      </c>
      <c r="X68" s="1">
        <v>18.8</v>
      </c>
      <c r="Y68" s="1">
        <v>13.2</v>
      </c>
      <c r="Z68" s="1">
        <v>11.8</v>
      </c>
      <c r="AA68" s="1">
        <v>16</v>
      </c>
      <c r="AB68" s="1">
        <v>17.2</v>
      </c>
      <c r="AC68" s="1">
        <v>13.2</v>
      </c>
      <c r="AD68" s="1">
        <v>13</v>
      </c>
      <c r="AE68" s="1" t="s">
        <v>44</v>
      </c>
      <c r="AF68" s="1">
        <f>G68*P68</f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116</v>
      </c>
      <c r="B69" s="1" t="s">
        <v>42</v>
      </c>
      <c r="C69" s="1">
        <v>22</v>
      </c>
      <c r="D69" s="1"/>
      <c r="E69" s="1">
        <v>5</v>
      </c>
      <c r="F69" s="1">
        <v>17</v>
      </c>
      <c r="G69" s="7">
        <v>0.4</v>
      </c>
      <c r="H69" s="1">
        <v>55</v>
      </c>
      <c r="I69" s="1" t="s">
        <v>37</v>
      </c>
      <c r="J69" s="1">
        <v>5</v>
      </c>
      <c r="K69" s="1">
        <f t="shared" ref="K69:K94" si="15">E69-J69</f>
        <v>0</v>
      </c>
      <c r="L69" s="1">
        <f t="shared" ref="L69:L94" si="16">E69-M69</f>
        <v>5</v>
      </c>
      <c r="M69" s="1"/>
      <c r="N69" s="1">
        <v>0</v>
      </c>
      <c r="O69" s="1">
        <f t="shared" ref="O69:O94" si="17">L69/5</f>
        <v>1</v>
      </c>
      <c r="P69" s="5"/>
      <c r="Q69" s="5"/>
      <c r="R69" s="1"/>
      <c r="S69" s="1">
        <f t="shared" ref="S69:S95" si="18">(F69+N69+P69)/O69</f>
        <v>17</v>
      </c>
      <c r="T69" s="1">
        <f t="shared" ref="T69:T95" si="19">(F69+N69)/O69</f>
        <v>17</v>
      </c>
      <c r="U69" s="1">
        <v>-0.2</v>
      </c>
      <c r="V69" s="1">
        <v>0.2</v>
      </c>
      <c r="W69" s="1">
        <v>0.4</v>
      </c>
      <c r="X69" s="1">
        <v>0.2</v>
      </c>
      <c r="Y69" s="1">
        <v>0</v>
      </c>
      <c r="Z69" s="1">
        <v>0</v>
      </c>
      <c r="AA69" s="1">
        <v>0.2</v>
      </c>
      <c r="AB69" s="1">
        <v>0.2</v>
      </c>
      <c r="AC69" s="1">
        <v>1</v>
      </c>
      <c r="AD69" s="1">
        <v>1.2</v>
      </c>
      <c r="AE69" s="27" t="s">
        <v>58</v>
      </c>
      <c r="AF69" s="1">
        <f>G69*P69</f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117</v>
      </c>
      <c r="B70" s="1" t="s">
        <v>36</v>
      </c>
      <c r="C70" s="1">
        <v>10.085000000000001</v>
      </c>
      <c r="D70" s="1">
        <v>13.231999999999999</v>
      </c>
      <c r="E70" s="1">
        <v>4.4969999999999999</v>
      </c>
      <c r="F70" s="1">
        <v>17.375</v>
      </c>
      <c r="G70" s="7">
        <v>1</v>
      </c>
      <c r="H70" s="1">
        <v>55</v>
      </c>
      <c r="I70" s="1" t="s">
        <v>37</v>
      </c>
      <c r="J70" s="1">
        <v>4.5</v>
      </c>
      <c r="K70" s="1">
        <f t="shared" si="15"/>
        <v>-3.0000000000001137E-3</v>
      </c>
      <c r="L70" s="1">
        <f t="shared" si="16"/>
        <v>4.4969999999999999</v>
      </c>
      <c r="M70" s="1"/>
      <c r="N70" s="1">
        <v>0</v>
      </c>
      <c r="O70" s="1">
        <f t="shared" si="17"/>
        <v>0.89939999999999998</v>
      </c>
      <c r="P70" s="5"/>
      <c r="Q70" s="5"/>
      <c r="R70" s="1"/>
      <c r="S70" s="1">
        <f t="shared" si="18"/>
        <v>19.318434511896822</v>
      </c>
      <c r="T70" s="1">
        <f t="shared" si="19"/>
        <v>19.318434511896822</v>
      </c>
      <c r="U70" s="1">
        <v>1.7365999999999999</v>
      </c>
      <c r="V70" s="1">
        <v>1.7365999999999999</v>
      </c>
      <c r="W70" s="1">
        <v>0.28799999999999998</v>
      </c>
      <c r="X70" s="1">
        <v>0.28799999999999998</v>
      </c>
      <c r="Y70" s="1">
        <v>1.6706000000000001</v>
      </c>
      <c r="Z70" s="1">
        <v>1.6706000000000001</v>
      </c>
      <c r="AA70" s="1">
        <v>0</v>
      </c>
      <c r="AB70" s="1">
        <v>0</v>
      </c>
      <c r="AC70" s="1">
        <v>1.4498</v>
      </c>
      <c r="AD70" s="1">
        <v>1.4498</v>
      </c>
      <c r="AE70" s="26" t="s">
        <v>118</v>
      </c>
      <c r="AF70" s="1">
        <f>G70*P70</f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1" t="s">
        <v>119</v>
      </c>
      <c r="B71" s="11" t="s">
        <v>36</v>
      </c>
      <c r="C71" s="11">
        <v>1.371</v>
      </c>
      <c r="D71" s="11">
        <v>1.4039999999999999</v>
      </c>
      <c r="E71" s="11">
        <v>-4.0449999999999999</v>
      </c>
      <c r="F71" s="11"/>
      <c r="G71" s="12">
        <v>0</v>
      </c>
      <c r="H71" s="11">
        <v>50</v>
      </c>
      <c r="I71" s="11" t="s">
        <v>49</v>
      </c>
      <c r="J71" s="11">
        <v>18.399999999999999</v>
      </c>
      <c r="K71" s="11">
        <f t="shared" si="15"/>
        <v>-22.445</v>
      </c>
      <c r="L71" s="11">
        <f t="shared" si="16"/>
        <v>-4.0449999999999999</v>
      </c>
      <c r="M71" s="11"/>
      <c r="N71" s="11">
        <v>0</v>
      </c>
      <c r="O71" s="11">
        <f t="shared" si="17"/>
        <v>-0.80899999999999994</v>
      </c>
      <c r="P71" s="13"/>
      <c r="Q71" s="13"/>
      <c r="R71" s="11"/>
      <c r="S71" s="11">
        <f t="shared" si="18"/>
        <v>0</v>
      </c>
      <c r="T71" s="11">
        <f t="shared" si="19"/>
        <v>0</v>
      </c>
      <c r="U71" s="11">
        <v>3.7711999999999999</v>
      </c>
      <c r="V71" s="11">
        <v>6.9260000000000002</v>
      </c>
      <c r="W71" s="11">
        <v>12.0786</v>
      </c>
      <c r="X71" s="11">
        <v>11.2844</v>
      </c>
      <c r="Y71" s="11">
        <v>13.769</v>
      </c>
      <c r="Z71" s="11">
        <v>12.1906</v>
      </c>
      <c r="AA71" s="11">
        <v>17.401</v>
      </c>
      <c r="AB71" s="11">
        <v>20.459199999999999</v>
      </c>
      <c r="AC71" s="11">
        <v>19.576000000000001</v>
      </c>
      <c r="AD71" s="11">
        <v>22.449000000000002</v>
      </c>
      <c r="AE71" s="11" t="s">
        <v>120</v>
      </c>
      <c r="AF71" s="1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4" t="s">
        <v>121</v>
      </c>
      <c r="B72" s="14" t="s">
        <v>42</v>
      </c>
      <c r="C72" s="14"/>
      <c r="D72" s="14"/>
      <c r="E72" s="14"/>
      <c r="F72" s="14"/>
      <c r="G72" s="15">
        <v>0</v>
      </c>
      <c r="H72" s="14">
        <v>40</v>
      </c>
      <c r="I72" s="14" t="s">
        <v>37</v>
      </c>
      <c r="J72" s="14"/>
      <c r="K72" s="14">
        <f t="shared" si="15"/>
        <v>0</v>
      </c>
      <c r="L72" s="14">
        <f t="shared" si="16"/>
        <v>0</v>
      </c>
      <c r="M72" s="14"/>
      <c r="N72" s="14">
        <v>0</v>
      </c>
      <c r="O72" s="14">
        <f t="shared" si="17"/>
        <v>0</v>
      </c>
      <c r="P72" s="16"/>
      <c r="Q72" s="16"/>
      <c r="R72" s="14"/>
      <c r="S72" s="14" t="e">
        <f t="shared" si="18"/>
        <v>#DIV/0!</v>
      </c>
      <c r="T72" s="14" t="e">
        <f t="shared" si="19"/>
        <v>#DIV/0!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 t="s">
        <v>122</v>
      </c>
      <c r="AF72" s="14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123</v>
      </c>
      <c r="B73" s="1" t="s">
        <v>42</v>
      </c>
      <c r="C73" s="1">
        <v>17</v>
      </c>
      <c r="D73" s="1">
        <v>18</v>
      </c>
      <c r="E73" s="1"/>
      <c r="F73" s="1">
        <v>34</v>
      </c>
      <c r="G73" s="7">
        <v>0.2</v>
      </c>
      <c r="H73" s="1">
        <v>35</v>
      </c>
      <c r="I73" s="1" t="s">
        <v>37</v>
      </c>
      <c r="J73" s="1"/>
      <c r="K73" s="1">
        <f t="shared" si="15"/>
        <v>0</v>
      </c>
      <c r="L73" s="1">
        <f t="shared" si="16"/>
        <v>0</v>
      </c>
      <c r="M73" s="1"/>
      <c r="N73" s="1">
        <v>0</v>
      </c>
      <c r="O73" s="1">
        <f t="shared" si="17"/>
        <v>0</v>
      </c>
      <c r="P73" s="5"/>
      <c r="Q73" s="5"/>
      <c r="R73" s="1"/>
      <c r="S73" s="1" t="e">
        <f t="shared" si="18"/>
        <v>#DIV/0!</v>
      </c>
      <c r="T73" s="1" t="e">
        <f t="shared" si="19"/>
        <v>#DIV/0!</v>
      </c>
      <c r="U73" s="1">
        <v>3.2</v>
      </c>
      <c r="V73" s="1">
        <v>3.2</v>
      </c>
      <c r="W73" s="1">
        <v>1.4</v>
      </c>
      <c r="X73" s="1">
        <v>0</v>
      </c>
      <c r="Y73" s="1">
        <v>2.6</v>
      </c>
      <c r="Z73" s="1">
        <v>2.6</v>
      </c>
      <c r="AA73" s="1">
        <v>0.4</v>
      </c>
      <c r="AB73" s="1">
        <v>0.4</v>
      </c>
      <c r="AC73" s="1">
        <v>0</v>
      </c>
      <c r="AD73" s="1">
        <v>0</v>
      </c>
      <c r="AE73" s="1" t="s">
        <v>124</v>
      </c>
      <c r="AF73" s="1">
        <f t="shared" ref="AF73:AF79" si="20">G73*P73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20" t="s">
        <v>125</v>
      </c>
      <c r="B74" s="20" t="s">
        <v>36</v>
      </c>
      <c r="C74" s="20">
        <v>1072.885</v>
      </c>
      <c r="D74" s="20">
        <v>4562.1819999999998</v>
      </c>
      <c r="E74" s="20">
        <v>2202.4549999999999</v>
      </c>
      <c r="F74" s="20">
        <v>3100.5709999999999</v>
      </c>
      <c r="G74" s="21">
        <v>1</v>
      </c>
      <c r="H74" s="20">
        <v>60</v>
      </c>
      <c r="I74" s="20" t="s">
        <v>37</v>
      </c>
      <c r="J74" s="20">
        <v>2195.9</v>
      </c>
      <c r="K74" s="20">
        <f t="shared" si="15"/>
        <v>6.5549999999998363</v>
      </c>
      <c r="L74" s="20">
        <f t="shared" si="16"/>
        <v>1899.194</v>
      </c>
      <c r="M74" s="20">
        <v>303.26100000000002</v>
      </c>
      <c r="N74" s="20">
        <v>0</v>
      </c>
      <c r="O74" s="20">
        <f t="shared" si="17"/>
        <v>379.83879999999999</v>
      </c>
      <c r="P74" s="22"/>
      <c r="Q74" s="22"/>
      <c r="R74" s="20"/>
      <c r="S74" s="20">
        <f t="shared" si="18"/>
        <v>8.1628601396171216</v>
      </c>
      <c r="T74" s="20">
        <f t="shared" si="19"/>
        <v>8.1628601396171216</v>
      </c>
      <c r="U74" s="20">
        <v>350.21220000000011</v>
      </c>
      <c r="V74" s="20">
        <v>480.40100000000001</v>
      </c>
      <c r="W74" s="20">
        <v>606.80460000000005</v>
      </c>
      <c r="X74" s="20">
        <v>541.07579999999996</v>
      </c>
      <c r="Y74" s="20">
        <v>395.20519999999999</v>
      </c>
      <c r="Z74" s="20">
        <v>385.33859999999999</v>
      </c>
      <c r="AA74" s="20">
        <v>527.70839999999998</v>
      </c>
      <c r="AB74" s="20">
        <v>533.19940000000008</v>
      </c>
      <c r="AC74" s="20">
        <v>391.99459999999999</v>
      </c>
      <c r="AD74" s="20">
        <v>409.6884</v>
      </c>
      <c r="AE74" s="20" t="s">
        <v>64</v>
      </c>
      <c r="AF74" s="20">
        <f t="shared" si="20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20" t="s">
        <v>126</v>
      </c>
      <c r="B75" s="20" t="s">
        <v>36</v>
      </c>
      <c r="C75" s="20">
        <v>992.39700000000005</v>
      </c>
      <c r="D75" s="20">
        <v>1518.2349999999999</v>
      </c>
      <c r="E75" s="20">
        <v>1012.239</v>
      </c>
      <c r="F75" s="20">
        <v>1286.826</v>
      </c>
      <c r="G75" s="21">
        <v>1</v>
      </c>
      <c r="H75" s="20">
        <v>60</v>
      </c>
      <c r="I75" s="20" t="s">
        <v>37</v>
      </c>
      <c r="J75" s="20">
        <v>1020.1</v>
      </c>
      <c r="K75" s="20">
        <f t="shared" si="15"/>
        <v>-7.86099999999999</v>
      </c>
      <c r="L75" s="20">
        <f t="shared" si="16"/>
        <v>861.49900000000002</v>
      </c>
      <c r="M75" s="20">
        <v>150.74</v>
      </c>
      <c r="N75" s="20">
        <v>0</v>
      </c>
      <c r="O75" s="20">
        <f t="shared" si="17"/>
        <v>172.2998</v>
      </c>
      <c r="P75" s="22">
        <f t="shared" ref="P75:P76" si="21">8*O75-N75-F75</f>
        <v>91.572400000000016</v>
      </c>
      <c r="Q75" s="22"/>
      <c r="R75" s="20"/>
      <c r="S75" s="20">
        <f t="shared" si="18"/>
        <v>8</v>
      </c>
      <c r="T75" s="20">
        <f t="shared" si="19"/>
        <v>7.4685286924302874</v>
      </c>
      <c r="U75" s="20">
        <v>149.52459999999999</v>
      </c>
      <c r="V75" s="20">
        <v>249.58840000000001</v>
      </c>
      <c r="W75" s="20">
        <v>251.4068</v>
      </c>
      <c r="X75" s="20">
        <v>251.52459999999999</v>
      </c>
      <c r="Y75" s="20">
        <v>167.60140000000001</v>
      </c>
      <c r="Z75" s="20">
        <v>175.3792</v>
      </c>
      <c r="AA75" s="20">
        <v>233.99199999999999</v>
      </c>
      <c r="AB75" s="20">
        <v>239.4606</v>
      </c>
      <c r="AC75" s="20">
        <v>231.31639999999999</v>
      </c>
      <c r="AD75" s="20">
        <v>176.95740000000001</v>
      </c>
      <c r="AE75" s="20" t="s">
        <v>64</v>
      </c>
      <c r="AF75" s="20">
        <f t="shared" si="20"/>
        <v>91.572400000000016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20" t="s">
        <v>127</v>
      </c>
      <c r="B76" s="20" t="s">
        <v>36</v>
      </c>
      <c r="C76" s="20">
        <v>1122.019</v>
      </c>
      <c r="D76" s="20">
        <v>3492.5390000000002</v>
      </c>
      <c r="E76" s="20">
        <v>2260.127</v>
      </c>
      <c r="F76" s="20">
        <v>1960.605</v>
      </c>
      <c r="G76" s="21">
        <v>1</v>
      </c>
      <c r="H76" s="20">
        <v>60</v>
      </c>
      <c r="I76" s="20" t="s">
        <v>37</v>
      </c>
      <c r="J76" s="20">
        <v>2268.6</v>
      </c>
      <c r="K76" s="20">
        <f t="shared" si="15"/>
        <v>-8.4729999999999563</v>
      </c>
      <c r="L76" s="20">
        <f t="shared" si="16"/>
        <v>1959.2860000000001</v>
      </c>
      <c r="M76" s="20">
        <v>300.84100000000001</v>
      </c>
      <c r="N76" s="20">
        <v>0</v>
      </c>
      <c r="O76" s="20">
        <f t="shared" si="17"/>
        <v>391.85720000000003</v>
      </c>
      <c r="P76" s="22">
        <f t="shared" si="21"/>
        <v>1174.2526000000003</v>
      </c>
      <c r="Q76" s="22"/>
      <c r="R76" s="20"/>
      <c r="S76" s="20">
        <f t="shared" si="18"/>
        <v>8</v>
      </c>
      <c r="T76" s="20">
        <f t="shared" si="19"/>
        <v>5.0033660221121368</v>
      </c>
      <c r="U76" s="20">
        <v>325.07040000000001</v>
      </c>
      <c r="V76" s="20">
        <v>325.6268</v>
      </c>
      <c r="W76" s="20">
        <v>477.57700000000011</v>
      </c>
      <c r="X76" s="20">
        <v>455.36860000000001</v>
      </c>
      <c r="Y76" s="20">
        <v>290.72300000000001</v>
      </c>
      <c r="Z76" s="20">
        <v>297.3904</v>
      </c>
      <c r="AA76" s="20">
        <v>298.51600000000002</v>
      </c>
      <c r="AB76" s="20">
        <v>258.31079999999997</v>
      </c>
      <c r="AC76" s="20">
        <v>164.2698</v>
      </c>
      <c r="AD76" s="20">
        <v>181.83359999999999</v>
      </c>
      <c r="AE76" s="20" t="s">
        <v>128</v>
      </c>
      <c r="AF76" s="20">
        <f t="shared" si="20"/>
        <v>1174.2526000000003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7" t="s">
        <v>129</v>
      </c>
      <c r="B77" s="17" t="s">
        <v>36</v>
      </c>
      <c r="C77" s="17">
        <v>2464.5729999999999</v>
      </c>
      <c r="D77" s="17">
        <v>3482.5459999999998</v>
      </c>
      <c r="E77" s="17">
        <v>2594.665</v>
      </c>
      <c r="F77" s="17">
        <v>2290.5129999999999</v>
      </c>
      <c r="G77" s="18">
        <v>1</v>
      </c>
      <c r="H77" s="17">
        <v>60</v>
      </c>
      <c r="I77" s="17" t="s">
        <v>37</v>
      </c>
      <c r="J77" s="17">
        <v>2686.3890000000001</v>
      </c>
      <c r="K77" s="17">
        <f t="shared" si="15"/>
        <v>-91.72400000000016</v>
      </c>
      <c r="L77" s="17">
        <f t="shared" si="16"/>
        <v>2174.7579999999998</v>
      </c>
      <c r="M77" s="17">
        <v>419.90699999999998</v>
      </c>
      <c r="N77" s="17">
        <v>800</v>
      </c>
      <c r="O77" s="17">
        <f t="shared" si="17"/>
        <v>434.95159999999998</v>
      </c>
      <c r="P77" s="19">
        <f>11*O77-N77-F77</f>
        <v>1693.9546</v>
      </c>
      <c r="Q77" s="19"/>
      <c r="R77" s="17"/>
      <c r="S77" s="17">
        <f t="shared" si="18"/>
        <v>11</v>
      </c>
      <c r="T77" s="17">
        <f t="shared" si="19"/>
        <v>7.1054181660672127</v>
      </c>
      <c r="U77" s="17">
        <v>275.80959999999999</v>
      </c>
      <c r="V77" s="17">
        <v>375.82139999999998</v>
      </c>
      <c r="W77" s="17">
        <v>544.85159999999996</v>
      </c>
      <c r="X77" s="17">
        <v>645.95100000000002</v>
      </c>
      <c r="Y77" s="17">
        <v>176.8768</v>
      </c>
      <c r="Z77" s="17">
        <v>131.86940000000001</v>
      </c>
      <c r="AA77" s="17">
        <v>350.85899999999998</v>
      </c>
      <c r="AB77" s="17">
        <v>321.74360000000001</v>
      </c>
      <c r="AC77" s="17">
        <v>675.32060000000001</v>
      </c>
      <c r="AD77" s="17">
        <v>735.18680000000006</v>
      </c>
      <c r="AE77" s="17" t="s">
        <v>55</v>
      </c>
      <c r="AF77" s="17">
        <f t="shared" si="20"/>
        <v>1693.9546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130</v>
      </c>
      <c r="B78" s="1" t="s">
        <v>36</v>
      </c>
      <c r="C78" s="1">
        <v>25.545000000000002</v>
      </c>
      <c r="D78" s="1"/>
      <c r="E78" s="1">
        <v>5.38</v>
      </c>
      <c r="F78" s="1">
        <v>20.164999999999999</v>
      </c>
      <c r="G78" s="7">
        <v>1</v>
      </c>
      <c r="H78" s="1">
        <v>55</v>
      </c>
      <c r="I78" s="1" t="s">
        <v>37</v>
      </c>
      <c r="J78" s="1">
        <v>5.2</v>
      </c>
      <c r="K78" s="1">
        <f t="shared" si="15"/>
        <v>0.17999999999999972</v>
      </c>
      <c r="L78" s="1">
        <f t="shared" si="16"/>
        <v>5.38</v>
      </c>
      <c r="M78" s="1"/>
      <c r="N78" s="1">
        <v>0</v>
      </c>
      <c r="O78" s="1">
        <f t="shared" si="17"/>
        <v>1.0760000000000001</v>
      </c>
      <c r="P78" s="5"/>
      <c r="Q78" s="5"/>
      <c r="R78" s="1"/>
      <c r="S78" s="1">
        <f t="shared" si="18"/>
        <v>18.7407063197026</v>
      </c>
      <c r="T78" s="1">
        <f t="shared" si="19"/>
        <v>18.7407063197026</v>
      </c>
      <c r="U78" s="1">
        <v>0.27100000000000002</v>
      </c>
      <c r="V78" s="1">
        <v>0</v>
      </c>
      <c r="W78" s="1">
        <v>0.26700000000000002</v>
      </c>
      <c r="X78" s="1">
        <v>0.26700000000000002</v>
      </c>
      <c r="Y78" s="1">
        <v>1.0716000000000001</v>
      </c>
      <c r="Z78" s="1">
        <v>1.0716000000000001</v>
      </c>
      <c r="AA78" s="1">
        <v>1.0642</v>
      </c>
      <c r="AB78" s="1">
        <v>1.6112</v>
      </c>
      <c r="AC78" s="1">
        <v>0.8146000000000001</v>
      </c>
      <c r="AD78" s="1">
        <v>0.8103999999999999</v>
      </c>
      <c r="AE78" s="28" t="s">
        <v>156</v>
      </c>
      <c r="AF78" s="1">
        <f t="shared" si="20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131</v>
      </c>
      <c r="B79" s="1" t="s">
        <v>36</v>
      </c>
      <c r="C79" s="1">
        <v>29.613</v>
      </c>
      <c r="D79" s="1"/>
      <c r="E79" s="1">
        <v>5.3860000000000001</v>
      </c>
      <c r="F79" s="1">
        <v>24.227</v>
      </c>
      <c r="G79" s="7">
        <v>1</v>
      </c>
      <c r="H79" s="1">
        <v>55</v>
      </c>
      <c r="I79" s="1" t="s">
        <v>37</v>
      </c>
      <c r="J79" s="1">
        <v>5.2</v>
      </c>
      <c r="K79" s="1">
        <f t="shared" si="15"/>
        <v>0.18599999999999994</v>
      </c>
      <c r="L79" s="1">
        <f t="shared" si="16"/>
        <v>5.3860000000000001</v>
      </c>
      <c r="M79" s="1"/>
      <c r="N79" s="1">
        <v>0</v>
      </c>
      <c r="O79" s="1">
        <f t="shared" si="17"/>
        <v>1.0771999999999999</v>
      </c>
      <c r="P79" s="5"/>
      <c r="Q79" s="5"/>
      <c r="R79" s="1"/>
      <c r="S79" s="1">
        <f t="shared" si="18"/>
        <v>22.490716672855552</v>
      </c>
      <c r="T79" s="1">
        <f t="shared" si="19"/>
        <v>22.490716672855552</v>
      </c>
      <c r="U79" s="1">
        <v>0.80999999999999994</v>
      </c>
      <c r="V79" s="1">
        <v>1.3544</v>
      </c>
      <c r="W79" s="1">
        <v>1.5212000000000001</v>
      </c>
      <c r="X79" s="1">
        <v>0.98180000000000001</v>
      </c>
      <c r="Y79" s="1">
        <v>1.0815999999999999</v>
      </c>
      <c r="Z79" s="1">
        <v>1.0786</v>
      </c>
      <c r="AA79" s="1">
        <v>1.6180000000000001</v>
      </c>
      <c r="AB79" s="1">
        <v>3.4996</v>
      </c>
      <c r="AC79" s="1">
        <v>4.0282</v>
      </c>
      <c r="AD79" s="1">
        <v>2.1478000000000002</v>
      </c>
      <c r="AE79" s="28" t="s">
        <v>157</v>
      </c>
      <c r="AF79" s="1">
        <f t="shared" si="20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4" t="s">
        <v>132</v>
      </c>
      <c r="B80" s="14" t="s">
        <v>36</v>
      </c>
      <c r="C80" s="14"/>
      <c r="D80" s="14"/>
      <c r="E80" s="14"/>
      <c r="F80" s="14"/>
      <c r="G80" s="15">
        <v>0</v>
      </c>
      <c r="H80" s="14">
        <v>55</v>
      </c>
      <c r="I80" s="14" t="s">
        <v>37</v>
      </c>
      <c r="J80" s="14"/>
      <c r="K80" s="14">
        <f t="shared" si="15"/>
        <v>0</v>
      </c>
      <c r="L80" s="14">
        <f t="shared" si="16"/>
        <v>0</v>
      </c>
      <c r="M80" s="14"/>
      <c r="N80" s="14">
        <v>0</v>
      </c>
      <c r="O80" s="14">
        <f t="shared" si="17"/>
        <v>0</v>
      </c>
      <c r="P80" s="16"/>
      <c r="Q80" s="16"/>
      <c r="R80" s="14"/>
      <c r="S80" s="14" t="e">
        <f t="shared" si="18"/>
        <v>#DIV/0!</v>
      </c>
      <c r="T80" s="14" t="e">
        <f t="shared" si="19"/>
        <v>#DIV/0!</v>
      </c>
      <c r="U80" s="14">
        <v>0</v>
      </c>
      <c r="V80" s="14">
        <v>0</v>
      </c>
      <c r="W80" s="14">
        <v>0</v>
      </c>
      <c r="X80" s="14">
        <v>0</v>
      </c>
      <c r="Y80" s="14">
        <v>0.27200000000000002</v>
      </c>
      <c r="Z80" s="14">
        <v>0.54200000000000004</v>
      </c>
      <c r="AA80" s="14">
        <v>0.8076000000000001</v>
      </c>
      <c r="AB80" s="14">
        <v>0.53760000000000008</v>
      </c>
      <c r="AC80" s="14">
        <v>0.187</v>
      </c>
      <c r="AD80" s="14">
        <v>0.45600000000000002</v>
      </c>
      <c r="AE80" s="14" t="s">
        <v>133</v>
      </c>
      <c r="AF80" s="14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134</v>
      </c>
      <c r="B81" s="1" t="s">
        <v>36</v>
      </c>
      <c r="C81" s="1">
        <v>107.348</v>
      </c>
      <c r="D81" s="1"/>
      <c r="E81" s="1">
        <v>52.93</v>
      </c>
      <c r="F81" s="1">
        <v>54.417999999999999</v>
      </c>
      <c r="G81" s="7">
        <v>1</v>
      </c>
      <c r="H81" s="1">
        <v>60</v>
      </c>
      <c r="I81" s="1" t="s">
        <v>37</v>
      </c>
      <c r="J81" s="1">
        <v>64</v>
      </c>
      <c r="K81" s="1">
        <f t="shared" si="15"/>
        <v>-11.07</v>
      </c>
      <c r="L81" s="1">
        <f t="shared" si="16"/>
        <v>52.93</v>
      </c>
      <c r="M81" s="1"/>
      <c r="N81" s="1">
        <v>0</v>
      </c>
      <c r="O81" s="1">
        <f t="shared" si="17"/>
        <v>10.586</v>
      </c>
      <c r="P81" s="5">
        <f t="shared" ref="P81:P92" si="22">10*O81-N81-F81</f>
        <v>51.442</v>
      </c>
      <c r="Q81" s="5"/>
      <c r="R81" s="1"/>
      <c r="S81" s="1">
        <f t="shared" si="18"/>
        <v>10</v>
      </c>
      <c r="T81" s="1">
        <f t="shared" si="19"/>
        <v>5.1405630077460795</v>
      </c>
      <c r="U81" s="1">
        <v>5.7896000000000001</v>
      </c>
      <c r="V81" s="1">
        <v>5.9470000000000001</v>
      </c>
      <c r="W81" s="1">
        <v>1.276</v>
      </c>
      <c r="X81" s="1">
        <v>0.95600000000000007</v>
      </c>
      <c r="Y81" s="1">
        <v>0</v>
      </c>
      <c r="Z81" s="1">
        <v>0.1588</v>
      </c>
      <c r="AA81" s="1">
        <v>12.1892</v>
      </c>
      <c r="AB81" s="1">
        <v>12.1904</v>
      </c>
      <c r="AC81" s="1">
        <v>8.9773999999999994</v>
      </c>
      <c r="AD81" s="1">
        <v>8.817400000000001</v>
      </c>
      <c r="AE81" s="28" t="s">
        <v>39</v>
      </c>
      <c r="AF81" s="1">
        <f t="shared" ref="AF81:AF92" si="23">G81*P81</f>
        <v>51.442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135</v>
      </c>
      <c r="B82" s="1" t="s">
        <v>42</v>
      </c>
      <c r="C82" s="1">
        <v>29</v>
      </c>
      <c r="D82" s="1">
        <v>1</v>
      </c>
      <c r="E82" s="1">
        <v>11</v>
      </c>
      <c r="F82" s="1">
        <v>-1</v>
      </c>
      <c r="G82" s="7">
        <v>0.3</v>
      </c>
      <c r="H82" s="1">
        <v>40</v>
      </c>
      <c r="I82" s="1" t="s">
        <v>37</v>
      </c>
      <c r="J82" s="1">
        <v>18</v>
      </c>
      <c r="K82" s="1">
        <f t="shared" si="15"/>
        <v>-7</v>
      </c>
      <c r="L82" s="1">
        <f t="shared" si="16"/>
        <v>11</v>
      </c>
      <c r="M82" s="1"/>
      <c r="N82" s="1">
        <v>5.3999999999999986</v>
      </c>
      <c r="O82" s="1">
        <f t="shared" si="17"/>
        <v>2.2000000000000002</v>
      </c>
      <c r="P82" s="5">
        <f>8*O82-N82-F82</f>
        <v>13.200000000000003</v>
      </c>
      <c r="Q82" s="5"/>
      <c r="R82" s="1"/>
      <c r="S82" s="1">
        <f t="shared" si="18"/>
        <v>8</v>
      </c>
      <c r="T82" s="1">
        <f t="shared" si="19"/>
        <v>1.9999999999999991</v>
      </c>
      <c r="U82" s="1">
        <v>2.4</v>
      </c>
      <c r="V82" s="1">
        <v>2.8</v>
      </c>
      <c r="W82" s="1">
        <v>1.4</v>
      </c>
      <c r="X82" s="1">
        <v>0.8</v>
      </c>
      <c r="Y82" s="1">
        <v>2.8</v>
      </c>
      <c r="Z82" s="1">
        <v>3</v>
      </c>
      <c r="AA82" s="1">
        <v>2.2000000000000002</v>
      </c>
      <c r="AB82" s="1">
        <v>2.2000000000000002</v>
      </c>
      <c r="AC82" s="1">
        <v>2.8</v>
      </c>
      <c r="AD82" s="1">
        <v>3.2</v>
      </c>
      <c r="AE82" s="1"/>
      <c r="AF82" s="1">
        <f t="shared" si="23"/>
        <v>3.9600000000000009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136</v>
      </c>
      <c r="B83" s="1" t="s">
        <v>42</v>
      </c>
      <c r="C83" s="1">
        <v>7</v>
      </c>
      <c r="D83" s="1">
        <v>48</v>
      </c>
      <c r="E83" s="1">
        <v>13</v>
      </c>
      <c r="F83" s="1">
        <v>39</v>
      </c>
      <c r="G83" s="7">
        <v>0.3</v>
      </c>
      <c r="H83" s="1">
        <v>40</v>
      </c>
      <c r="I83" s="1" t="s">
        <v>37</v>
      </c>
      <c r="J83" s="1">
        <v>17</v>
      </c>
      <c r="K83" s="1">
        <f t="shared" si="15"/>
        <v>-4</v>
      </c>
      <c r="L83" s="1">
        <f t="shared" si="16"/>
        <v>13</v>
      </c>
      <c r="M83" s="1"/>
      <c r="N83" s="1">
        <v>0</v>
      </c>
      <c r="O83" s="1">
        <f t="shared" si="17"/>
        <v>2.6</v>
      </c>
      <c r="P83" s="5"/>
      <c r="Q83" s="5"/>
      <c r="R83" s="1"/>
      <c r="S83" s="1">
        <f t="shared" si="18"/>
        <v>15</v>
      </c>
      <c r="T83" s="1">
        <f t="shared" si="19"/>
        <v>15</v>
      </c>
      <c r="U83" s="1">
        <v>2</v>
      </c>
      <c r="V83" s="1">
        <v>3</v>
      </c>
      <c r="W83" s="1">
        <v>2.8</v>
      </c>
      <c r="X83" s="1">
        <v>1</v>
      </c>
      <c r="Y83" s="1">
        <v>2.4</v>
      </c>
      <c r="Z83" s="1">
        <v>2.4</v>
      </c>
      <c r="AA83" s="1">
        <v>1.4</v>
      </c>
      <c r="AB83" s="1">
        <v>1.6</v>
      </c>
      <c r="AC83" s="1">
        <v>1.6</v>
      </c>
      <c r="AD83" s="1">
        <v>2</v>
      </c>
      <c r="AE83" s="1" t="s">
        <v>137</v>
      </c>
      <c r="AF83" s="1">
        <f t="shared" si="23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138</v>
      </c>
      <c r="B84" s="1" t="s">
        <v>42</v>
      </c>
      <c r="C84" s="1">
        <v>12</v>
      </c>
      <c r="D84" s="1">
        <v>200</v>
      </c>
      <c r="E84" s="1">
        <v>33</v>
      </c>
      <c r="F84" s="1">
        <v>163</v>
      </c>
      <c r="G84" s="7">
        <v>0.3</v>
      </c>
      <c r="H84" s="1">
        <v>40</v>
      </c>
      <c r="I84" s="1" t="s">
        <v>37</v>
      </c>
      <c r="J84" s="1">
        <v>54</v>
      </c>
      <c r="K84" s="1">
        <f t="shared" si="15"/>
        <v>-21</v>
      </c>
      <c r="L84" s="1">
        <f t="shared" si="16"/>
        <v>33</v>
      </c>
      <c r="M84" s="1"/>
      <c r="N84" s="1">
        <v>0</v>
      </c>
      <c r="O84" s="1">
        <f t="shared" si="17"/>
        <v>6.6</v>
      </c>
      <c r="P84" s="5"/>
      <c r="Q84" s="5"/>
      <c r="R84" s="1"/>
      <c r="S84" s="1">
        <f t="shared" si="18"/>
        <v>24.696969696969699</v>
      </c>
      <c r="T84" s="1">
        <f t="shared" si="19"/>
        <v>24.696969696969699</v>
      </c>
      <c r="U84" s="1">
        <v>17.2</v>
      </c>
      <c r="V84" s="1">
        <v>21.2</v>
      </c>
      <c r="W84" s="1">
        <v>15.4</v>
      </c>
      <c r="X84" s="1">
        <v>12.8</v>
      </c>
      <c r="Y84" s="1">
        <v>15</v>
      </c>
      <c r="Z84" s="1">
        <v>15</v>
      </c>
      <c r="AA84" s="1">
        <v>9</v>
      </c>
      <c r="AB84" s="1">
        <v>9.1999999999999993</v>
      </c>
      <c r="AC84" s="1">
        <v>13.4</v>
      </c>
      <c r="AD84" s="1">
        <v>12.4</v>
      </c>
      <c r="AE84" s="1"/>
      <c r="AF84" s="1">
        <f t="shared" si="23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139</v>
      </c>
      <c r="B85" s="1" t="s">
        <v>36</v>
      </c>
      <c r="C85" s="1">
        <v>9.4550000000000001</v>
      </c>
      <c r="D85" s="1">
        <v>12.199</v>
      </c>
      <c r="E85" s="1">
        <v>8.218</v>
      </c>
      <c r="F85" s="1">
        <v>10.76</v>
      </c>
      <c r="G85" s="7">
        <v>1</v>
      </c>
      <c r="H85" s="1">
        <v>50</v>
      </c>
      <c r="I85" s="1" t="s">
        <v>37</v>
      </c>
      <c r="J85" s="1">
        <v>15.6</v>
      </c>
      <c r="K85" s="1">
        <f t="shared" si="15"/>
        <v>-7.3819999999999997</v>
      </c>
      <c r="L85" s="1">
        <f t="shared" si="16"/>
        <v>8.218</v>
      </c>
      <c r="M85" s="1"/>
      <c r="N85" s="1">
        <v>9.9725999999999999</v>
      </c>
      <c r="O85" s="1">
        <f t="shared" si="17"/>
        <v>1.6435999999999999</v>
      </c>
      <c r="P85" s="5"/>
      <c r="Q85" s="5"/>
      <c r="R85" s="1"/>
      <c r="S85" s="1">
        <f t="shared" si="18"/>
        <v>12.614139693356046</v>
      </c>
      <c r="T85" s="1">
        <f t="shared" si="19"/>
        <v>12.614139693356046</v>
      </c>
      <c r="U85" s="1">
        <v>1.8875999999999999</v>
      </c>
      <c r="V85" s="1">
        <v>1.3486</v>
      </c>
      <c r="W85" s="1">
        <v>1.0804</v>
      </c>
      <c r="X85" s="1">
        <v>1.0804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140</v>
      </c>
      <c r="AF85" s="1">
        <f t="shared" si="23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141</v>
      </c>
      <c r="B86" s="1" t="s">
        <v>42</v>
      </c>
      <c r="C86" s="1"/>
      <c r="D86" s="1">
        <v>48</v>
      </c>
      <c r="E86" s="1">
        <v>6</v>
      </c>
      <c r="F86" s="1">
        <v>34</v>
      </c>
      <c r="G86" s="7">
        <v>0.05</v>
      </c>
      <c r="H86" s="1">
        <v>120</v>
      </c>
      <c r="I86" s="1" t="s">
        <v>37</v>
      </c>
      <c r="J86" s="1">
        <v>6</v>
      </c>
      <c r="K86" s="1">
        <f t="shared" si="15"/>
        <v>0</v>
      </c>
      <c r="L86" s="1">
        <f t="shared" si="16"/>
        <v>6</v>
      </c>
      <c r="M86" s="1"/>
      <c r="N86" s="1">
        <v>0</v>
      </c>
      <c r="O86" s="1">
        <f t="shared" si="17"/>
        <v>1.2</v>
      </c>
      <c r="P86" s="5"/>
      <c r="Q86" s="5"/>
      <c r="R86" s="1"/>
      <c r="S86" s="1">
        <f t="shared" si="18"/>
        <v>28.333333333333336</v>
      </c>
      <c r="T86" s="1">
        <f t="shared" si="19"/>
        <v>28.333333333333336</v>
      </c>
      <c r="U86" s="1">
        <v>0</v>
      </c>
      <c r="V86" s="1">
        <v>0.2</v>
      </c>
      <c r="W86" s="1">
        <v>6.6</v>
      </c>
      <c r="X86" s="1">
        <v>9.1999999999999993</v>
      </c>
      <c r="Y86" s="1">
        <v>3.8</v>
      </c>
      <c r="Z86" s="1">
        <v>0.8</v>
      </c>
      <c r="AA86" s="1">
        <v>0</v>
      </c>
      <c r="AB86" s="1">
        <v>0</v>
      </c>
      <c r="AC86" s="1">
        <v>0</v>
      </c>
      <c r="AD86" s="1">
        <v>0</v>
      </c>
      <c r="AE86" s="1" t="s">
        <v>140</v>
      </c>
      <c r="AF86" s="1">
        <f t="shared" si="23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7" t="s">
        <v>142</v>
      </c>
      <c r="B87" s="17" t="s">
        <v>36</v>
      </c>
      <c r="C87" s="17">
        <v>3501.0129999999999</v>
      </c>
      <c r="D87" s="17">
        <v>6423.05</v>
      </c>
      <c r="E87" s="17">
        <v>4357.6679999999997</v>
      </c>
      <c r="F87" s="17">
        <v>4858.1109999999999</v>
      </c>
      <c r="G87" s="18">
        <v>1</v>
      </c>
      <c r="H87" s="17">
        <v>40</v>
      </c>
      <c r="I87" s="17" t="s">
        <v>37</v>
      </c>
      <c r="J87" s="17">
        <v>4107.4179999999997</v>
      </c>
      <c r="K87" s="17">
        <f t="shared" si="15"/>
        <v>250.25</v>
      </c>
      <c r="L87" s="17">
        <f t="shared" si="16"/>
        <v>4086.0679999999998</v>
      </c>
      <c r="M87" s="17">
        <v>271.60000000000002</v>
      </c>
      <c r="N87" s="17">
        <v>0</v>
      </c>
      <c r="O87" s="17">
        <f t="shared" si="17"/>
        <v>817.21359999999993</v>
      </c>
      <c r="P87" s="19">
        <f>11*O87-N87-F87</f>
        <v>4131.2385999999997</v>
      </c>
      <c r="Q87" s="19"/>
      <c r="R87" s="17"/>
      <c r="S87" s="17">
        <f t="shared" si="18"/>
        <v>11</v>
      </c>
      <c r="T87" s="17">
        <f t="shared" si="19"/>
        <v>5.9447260789590386</v>
      </c>
      <c r="U87" s="17">
        <v>627.58180000000004</v>
      </c>
      <c r="V87" s="17">
        <v>656.36519999999996</v>
      </c>
      <c r="W87" s="17">
        <v>1055.3234</v>
      </c>
      <c r="X87" s="17">
        <v>984.75660000000005</v>
      </c>
      <c r="Y87" s="17">
        <v>746.59719999999993</v>
      </c>
      <c r="Z87" s="17">
        <v>732.85320000000002</v>
      </c>
      <c r="AA87" s="17">
        <v>833.77319999999997</v>
      </c>
      <c r="AB87" s="17">
        <v>852.93179999999995</v>
      </c>
      <c r="AC87" s="17">
        <v>1290.4069999999999</v>
      </c>
      <c r="AD87" s="17">
        <v>1456.4558</v>
      </c>
      <c r="AE87" s="17" t="s">
        <v>62</v>
      </c>
      <c r="AF87" s="17">
        <f t="shared" si="23"/>
        <v>4131.2385999999997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143</v>
      </c>
      <c r="B88" s="1" t="s">
        <v>42</v>
      </c>
      <c r="C88" s="1"/>
      <c r="D88" s="1">
        <v>312</v>
      </c>
      <c r="E88" s="1">
        <v>115</v>
      </c>
      <c r="F88" s="1">
        <v>192</v>
      </c>
      <c r="G88" s="7">
        <v>0.3</v>
      </c>
      <c r="H88" s="1">
        <v>40</v>
      </c>
      <c r="I88" s="1" t="s">
        <v>37</v>
      </c>
      <c r="J88" s="1">
        <v>123</v>
      </c>
      <c r="K88" s="1">
        <f t="shared" si="15"/>
        <v>-8</v>
      </c>
      <c r="L88" s="1">
        <f t="shared" si="16"/>
        <v>115</v>
      </c>
      <c r="M88" s="1"/>
      <c r="N88" s="1">
        <v>0</v>
      </c>
      <c r="O88" s="1">
        <f t="shared" si="17"/>
        <v>23</v>
      </c>
      <c r="P88" s="5">
        <f t="shared" si="22"/>
        <v>38</v>
      </c>
      <c r="Q88" s="5"/>
      <c r="R88" s="1"/>
      <c r="S88" s="1">
        <f t="shared" si="18"/>
        <v>10</v>
      </c>
      <c r="T88" s="1">
        <f t="shared" si="19"/>
        <v>8.3478260869565215</v>
      </c>
      <c r="U88" s="1">
        <v>0.2</v>
      </c>
      <c r="V88" s="1">
        <v>0.6</v>
      </c>
      <c r="W88" s="1">
        <v>32.6</v>
      </c>
      <c r="X88" s="1">
        <v>37.6</v>
      </c>
      <c r="Y88" s="1">
        <v>5.6</v>
      </c>
      <c r="Z88" s="1">
        <v>2.8</v>
      </c>
      <c r="AA88" s="1">
        <v>21.8</v>
      </c>
      <c r="AB88" s="1">
        <v>25.2</v>
      </c>
      <c r="AC88" s="1">
        <v>26.6</v>
      </c>
      <c r="AD88" s="1">
        <v>25.2</v>
      </c>
      <c r="AE88" s="1"/>
      <c r="AF88" s="1">
        <f t="shared" si="23"/>
        <v>11.4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144</v>
      </c>
      <c r="B89" s="1" t="s">
        <v>42</v>
      </c>
      <c r="C89" s="1">
        <v>49</v>
      </c>
      <c r="D89" s="1">
        <v>294</v>
      </c>
      <c r="E89" s="1">
        <v>102</v>
      </c>
      <c r="F89" s="1">
        <v>214</v>
      </c>
      <c r="G89" s="7">
        <v>0.3</v>
      </c>
      <c r="H89" s="1">
        <v>40</v>
      </c>
      <c r="I89" s="1" t="s">
        <v>37</v>
      </c>
      <c r="J89" s="1">
        <v>109</v>
      </c>
      <c r="K89" s="1">
        <f t="shared" si="15"/>
        <v>-7</v>
      </c>
      <c r="L89" s="1">
        <f t="shared" si="16"/>
        <v>102</v>
      </c>
      <c r="M89" s="1"/>
      <c r="N89" s="1">
        <v>41.399999999999977</v>
      </c>
      <c r="O89" s="1">
        <f t="shared" si="17"/>
        <v>20.399999999999999</v>
      </c>
      <c r="P89" s="5"/>
      <c r="Q89" s="5"/>
      <c r="R89" s="1"/>
      <c r="S89" s="1">
        <f t="shared" si="18"/>
        <v>12.519607843137255</v>
      </c>
      <c r="T89" s="1">
        <f t="shared" si="19"/>
        <v>12.519607843137255</v>
      </c>
      <c r="U89" s="1">
        <v>29.2</v>
      </c>
      <c r="V89" s="1">
        <v>28.8</v>
      </c>
      <c r="W89" s="1">
        <v>21.4</v>
      </c>
      <c r="X89" s="1">
        <v>17.600000000000001</v>
      </c>
      <c r="Y89" s="1">
        <v>23.8</v>
      </c>
      <c r="Z89" s="1">
        <v>25</v>
      </c>
      <c r="AA89" s="1">
        <v>16.8</v>
      </c>
      <c r="AB89" s="1">
        <v>17</v>
      </c>
      <c r="AC89" s="1">
        <v>21</v>
      </c>
      <c r="AD89" s="1">
        <v>21</v>
      </c>
      <c r="AE89" s="1" t="s">
        <v>145</v>
      </c>
      <c r="AF89" s="1">
        <f t="shared" si="23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146</v>
      </c>
      <c r="B90" s="1" t="s">
        <v>36</v>
      </c>
      <c r="C90" s="1">
        <v>31.946999999999999</v>
      </c>
      <c r="D90" s="1">
        <v>1.4259999999999999</v>
      </c>
      <c r="E90" s="1">
        <v>22.65</v>
      </c>
      <c r="F90" s="1">
        <v>5.2510000000000003</v>
      </c>
      <c r="G90" s="7">
        <v>1</v>
      </c>
      <c r="H90" s="1">
        <v>45</v>
      </c>
      <c r="I90" s="1" t="s">
        <v>37</v>
      </c>
      <c r="J90" s="1">
        <v>20.6</v>
      </c>
      <c r="K90" s="1">
        <f t="shared" si="15"/>
        <v>2.0499999999999972</v>
      </c>
      <c r="L90" s="1">
        <f t="shared" si="16"/>
        <v>22.65</v>
      </c>
      <c r="M90" s="1"/>
      <c r="N90" s="1">
        <v>0</v>
      </c>
      <c r="O90" s="1">
        <f t="shared" si="17"/>
        <v>4.5299999999999994</v>
      </c>
      <c r="P90" s="5">
        <f>7*O90-N90-F90</f>
        <v>26.458999999999993</v>
      </c>
      <c r="Q90" s="5"/>
      <c r="R90" s="1"/>
      <c r="S90" s="1">
        <f t="shared" si="18"/>
        <v>7</v>
      </c>
      <c r="T90" s="1">
        <f t="shared" si="19"/>
        <v>1.1591611479028701</v>
      </c>
      <c r="U90" s="1">
        <v>3.0602</v>
      </c>
      <c r="V90" s="1">
        <v>3.3363999999999998</v>
      </c>
      <c r="W90" s="1">
        <v>3.3690000000000002</v>
      </c>
      <c r="X90" s="1">
        <v>3.8780000000000001</v>
      </c>
      <c r="Y90" s="1">
        <v>4.3487999999999998</v>
      </c>
      <c r="Z90" s="1">
        <v>4.0377999999999998</v>
      </c>
      <c r="AA90" s="1">
        <v>4.2898000000000014</v>
      </c>
      <c r="AB90" s="1">
        <v>3.4994000000000001</v>
      </c>
      <c r="AC90" s="1">
        <v>4.0082000000000004</v>
      </c>
      <c r="AD90" s="1">
        <v>3.9998</v>
      </c>
      <c r="AE90" s="1" t="s">
        <v>147</v>
      </c>
      <c r="AF90" s="1">
        <f t="shared" si="23"/>
        <v>26.458999999999993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148</v>
      </c>
      <c r="B91" s="1" t="s">
        <v>42</v>
      </c>
      <c r="C91" s="1"/>
      <c r="D91" s="1">
        <v>42</v>
      </c>
      <c r="E91" s="1">
        <v>9</v>
      </c>
      <c r="F91" s="1">
        <v>15</v>
      </c>
      <c r="G91" s="7">
        <v>0.33</v>
      </c>
      <c r="H91" s="1">
        <v>40</v>
      </c>
      <c r="I91" s="1" t="s">
        <v>37</v>
      </c>
      <c r="J91" s="1">
        <v>9</v>
      </c>
      <c r="K91" s="1">
        <f t="shared" si="15"/>
        <v>0</v>
      </c>
      <c r="L91" s="1">
        <f t="shared" si="16"/>
        <v>9</v>
      </c>
      <c r="M91" s="1"/>
      <c r="N91" s="1">
        <v>0</v>
      </c>
      <c r="O91" s="1">
        <f t="shared" si="17"/>
        <v>1.8</v>
      </c>
      <c r="P91" s="5">
        <v>8</v>
      </c>
      <c r="Q91" s="5"/>
      <c r="R91" s="1"/>
      <c r="S91" s="1">
        <f t="shared" si="18"/>
        <v>12.777777777777777</v>
      </c>
      <c r="T91" s="1">
        <f t="shared" si="19"/>
        <v>8.3333333333333339</v>
      </c>
      <c r="U91" s="1">
        <v>2</v>
      </c>
      <c r="V91" s="1">
        <v>2.6</v>
      </c>
      <c r="W91" s="1">
        <v>3.6</v>
      </c>
      <c r="X91" s="1">
        <v>2.2000000000000002</v>
      </c>
      <c r="Y91" s="1">
        <v>1.6</v>
      </c>
      <c r="Z91" s="1">
        <v>1.6</v>
      </c>
      <c r="AA91" s="1">
        <v>1</v>
      </c>
      <c r="AB91" s="1">
        <v>1</v>
      </c>
      <c r="AC91" s="1">
        <v>2</v>
      </c>
      <c r="AD91" s="1">
        <v>2.2000000000000002</v>
      </c>
      <c r="AE91" s="1"/>
      <c r="AF91" s="1">
        <f t="shared" si="23"/>
        <v>2.64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149</v>
      </c>
      <c r="B92" s="1" t="s">
        <v>42</v>
      </c>
      <c r="C92" s="1">
        <v>5</v>
      </c>
      <c r="D92" s="1">
        <v>48</v>
      </c>
      <c r="E92" s="1">
        <v>18</v>
      </c>
      <c r="F92" s="1">
        <v>31</v>
      </c>
      <c r="G92" s="7">
        <v>0.3</v>
      </c>
      <c r="H92" s="1">
        <v>40</v>
      </c>
      <c r="I92" s="1" t="s">
        <v>37</v>
      </c>
      <c r="J92" s="1">
        <v>18</v>
      </c>
      <c r="K92" s="1">
        <f t="shared" si="15"/>
        <v>0</v>
      </c>
      <c r="L92" s="1">
        <f t="shared" si="16"/>
        <v>18</v>
      </c>
      <c r="M92" s="1"/>
      <c r="N92" s="1">
        <v>0</v>
      </c>
      <c r="O92" s="1">
        <f t="shared" si="17"/>
        <v>3.6</v>
      </c>
      <c r="P92" s="5">
        <f t="shared" si="22"/>
        <v>5</v>
      </c>
      <c r="Q92" s="5"/>
      <c r="R92" s="1"/>
      <c r="S92" s="1">
        <f t="shared" si="18"/>
        <v>10</v>
      </c>
      <c r="T92" s="1">
        <f t="shared" si="19"/>
        <v>8.6111111111111107</v>
      </c>
      <c r="U92" s="1">
        <v>4.8</v>
      </c>
      <c r="V92" s="1">
        <v>5.2</v>
      </c>
      <c r="W92" s="1">
        <v>2.6</v>
      </c>
      <c r="X92" s="1">
        <v>1.8</v>
      </c>
      <c r="Y92" s="1">
        <v>1.4</v>
      </c>
      <c r="Z92" s="1">
        <v>2</v>
      </c>
      <c r="AA92" s="1">
        <v>3</v>
      </c>
      <c r="AB92" s="1">
        <v>3.2</v>
      </c>
      <c r="AC92" s="1">
        <v>1.2</v>
      </c>
      <c r="AD92" s="1">
        <v>0</v>
      </c>
      <c r="AE92" s="29"/>
      <c r="AF92" s="1">
        <f t="shared" si="23"/>
        <v>1.5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1" t="s">
        <v>150</v>
      </c>
      <c r="B93" s="11" t="s">
        <v>42</v>
      </c>
      <c r="C93" s="11">
        <v>117</v>
      </c>
      <c r="D93" s="11">
        <v>5.99</v>
      </c>
      <c r="E93" s="11">
        <v>84</v>
      </c>
      <c r="F93" s="11"/>
      <c r="G93" s="12">
        <v>0</v>
      </c>
      <c r="H93" s="11" t="e">
        <v>#N/A</v>
      </c>
      <c r="I93" s="11" t="s">
        <v>49</v>
      </c>
      <c r="J93" s="11">
        <v>91</v>
      </c>
      <c r="K93" s="11">
        <f t="shared" si="15"/>
        <v>-7</v>
      </c>
      <c r="L93" s="11">
        <f t="shared" si="16"/>
        <v>84</v>
      </c>
      <c r="M93" s="11"/>
      <c r="N93" s="11">
        <v>0</v>
      </c>
      <c r="O93" s="11">
        <f t="shared" si="17"/>
        <v>16.8</v>
      </c>
      <c r="P93" s="13"/>
      <c r="Q93" s="13"/>
      <c r="R93" s="11"/>
      <c r="S93" s="11">
        <f t="shared" si="18"/>
        <v>0</v>
      </c>
      <c r="T93" s="11">
        <f t="shared" si="19"/>
        <v>0</v>
      </c>
      <c r="U93" s="11">
        <v>15.8</v>
      </c>
      <c r="V93" s="11">
        <v>7.8</v>
      </c>
      <c r="W93" s="11">
        <v>46.6</v>
      </c>
      <c r="X93" s="11">
        <v>69</v>
      </c>
      <c r="Y93" s="11">
        <v>58</v>
      </c>
      <c r="Z93" s="11">
        <v>2.8</v>
      </c>
      <c r="AA93" s="11">
        <v>0</v>
      </c>
      <c r="AB93" s="11">
        <v>0</v>
      </c>
      <c r="AC93" s="11">
        <v>0</v>
      </c>
      <c r="AD93" s="11">
        <v>0</v>
      </c>
      <c r="AE93" s="11" t="s">
        <v>151</v>
      </c>
      <c r="AF93" s="1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152</v>
      </c>
      <c r="B94" s="1" t="s">
        <v>42</v>
      </c>
      <c r="C94" s="1">
        <v>123</v>
      </c>
      <c r="D94" s="1"/>
      <c r="E94" s="1">
        <v>30</v>
      </c>
      <c r="F94" s="1">
        <v>89</v>
      </c>
      <c r="G94" s="7">
        <v>0.12</v>
      </c>
      <c r="H94" s="1">
        <v>45</v>
      </c>
      <c r="I94" s="1" t="s">
        <v>37</v>
      </c>
      <c r="J94" s="1">
        <v>30</v>
      </c>
      <c r="K94" s="1">
        <f t="shared" si="15"/>
        <v>0</v>
      </c>
      <c r="L94" s="1">
        <f t="shared" si="16"/>
        <v>30</v>
      </c>
      <c r="M94" s="1"/>
      <c r="N94" s="1">
        <v>0</v>
      </c>
      <c r="O94" s="1">
        <f t="shared" si="17"/>
        <v>6</v>
      </c>
      <c r="P94" s="5"/>
      <c r="Q94" s="5"/>
      <c r="R94" s="1"/>
      <c r="S94" s="1">
        <f t="shared" si="18"/>
        <v>14.833333333333334</v>
      </c>
      <c r="T94" s="1">
        <f t="shared" si="19"/>
        <v>14.833333333333334</v>
      </c>
      <c r="U94" s="1">
        <v>1.8</v>
      </c>
      <c r="V94" s="1">
        <v>1.4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28" t="s">
        <v>158</v>
      </c>
      <c r="AF94" s="1">
        <f>G94*P94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23" t="s">
        <v>153</v>
      </c>
      <c r="B95" s="23" t="s">
        <v>36</v>
      </c>
      <c r="C95" s="23"/>
      <c r="D95" s="23"/>
      <c r="E95" s="23"/>
      <c r="F95" s="23"/>
      <c r="G95" s="24">
        <v>1</v>
      </c>
      <c r="H95" s="23">
        <v>180</v>
      </c>
      <c r="I95" s="23" t="s">
        <v>37</v>
      </c>
      <c r="J95" s="23"/>
      <c r="K95" s="23"/>
      <c r="L95" s="23"/>
      <c r="M95" s="23"/>
      <c r="N95" s="23"/>
      <c r="O95" s="23">
        <f t="shared" ref="O95" si="24">E95/5</f>
        <v>0</v>
      </c>
      <c r="P95" s="25">
        <v>10</v>
      </c>
      <c r="Q95" s="25"/>
      <c r="R95" s="23"/>
      <c r="S95" s="23" t="e">
        <f t="shared" si="18"/>
        <v>#DIV/0!</v>
      </c>
      <c r="T95" s="23" t="e">
        <f t="shared" si="19"/>
        <v>#DIV/0!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 t="s">
        <v>140</v>
      </c>
      <c r="AF95" s="23">
        <f>G95*P95</f>
        <v>10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</sheetData>
  <autoFilter ref="A3:AF95" xr:uid="{EF5207B2-E76B-46C3-BD16-E9D66AAC4C8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2025-04-30T07:35:40Z</dcterms:created>
  <dcterms:modified xsi:type="dcterms:W3CDTF">2025-04-30T09:00:51Z</dcterms:modified>
</cp:coreProperties>
</file>