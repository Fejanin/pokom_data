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7E5BB72A-141A-42DC-9A00-DFBE3E66D67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Y310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Y243" i="1"/>
  <c r="X243" i="1"/>
  <c r="BP242" i="1"/>
  <c r="BO242" i="1"/>
  <c r="BN242" i="1"/>
  <c r="BM242" i="1"/>
  <c r="Z242" i="1"/>
  <c r="Y242" i="1"/>
  <c r="P242" i="1"/>
  <c r="BO241" i="1"/>
  <c r="BM241" i="1"/>
  <c r="Y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BO123" i="1"/>
  <c r="BM123" i="1"/>
  <c r="Y123" i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P120" i="1"/>
  <c r="BP119" i="1"/>
  <c r="BO119" i="1"/>
  <c r="BN119" i="1"/>
  <c r="BM119" i="1"/>
  <c r="Z119" i="1"/>
  <c r="Y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591" i="1" s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Z413" i="1" l="1"/>
  <c r="Z144" i="1"/>
  <c r="F9" i="1"/>
  <c r="J9" i="1"/>
  <c r="F10" i="1"/>
  <c r="Y29" i="1"/>
  <c r="Y33" i="1"/>
  <c r="Y41" i="1"/>
  <c r="Y56" i="1"/>
  <c r="Y63" i="1"/>
  <c r="Y68" i="1"/>
  <c r="BP65" i="1"/>
  <c r="BN65" i="1"/>
  <c r="Z65" i="1"/>
  <c r="BP73" i="1"/>
  <c r="BN73" i="1"/>
  <c r="Z73" i="1"/>
  <c r="Y77" i="1"/>
  <c r="BP81" i="1"/>
  <c r="BN81" i="1"/>
  <c r="Z81" i="1"/>
  <c r="Z83" i="1" s="1"/>
  <c r="Y103" i="1"/>
  <c r="BP93" i="1"/>
  <c r="BN93" i="1"/>
  <c r="Z93" i="1"/>
  <c r="BP96" i="1"/>
  <c r="BN96" i="1"/>
  <c r="Z96" i="1"/>
  <c r="BP98" i="1"/>
  <c r="BN98" i="1"/>
  <c r="Z98" i="1"/>
  <c r="Y102" i="1"/>
  <c r="BP107" i="1"/>
  <c r="BN107" i="1"/>
  <c r="Z107" i="1"/>
  <c r="Z110" i="1" s="1"/>
  <c r="BP115" i="1"/>
  <c r="BN115" i="1"/>
  <c r="Z115" i="1"/>
  <c r="Y117" i="1"/>
  <c r="BP120" i="1"/>
  <c r="BN120" i="1"/>
  <c r="Z120" i="1"/>
  <c r="Z128" i="1" s="1"/>
  <c r="BP124" i="1"/>
  <c r="BN124" i="1"/>
  <c r="Z124" i="1"/>
  <c r="Y128" i="1"/>
  <c r="BP132" i="1"/>
  <c r="BN132" i="1"/>
  <c r="Z132" i="1"/>
  <c r="Z133" i="1" s="1"/>
  <c r="Y134" i="1"/>
  <c r="Y140" i="1"/>
  <c r="BP137" i="1"/>
  <c r="BN137" i="1"/>
  <c r="Z137" i="1"/>
  <c r="Z139" i="1" s="1"/>
  <c r="BP158" i="1"/>
  <c r="BN158" i="1"/>
  <c r="Z158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BP203" i="1"/>
  <c r="BN203" i="1"/>
  <c r="Z203" i="1"/>
  <c r="BP207" i="1"/>
  <c r="BN207" i="1"/>
  <c r="Z207" i="1"/>
  <c r="BP215" i="1"/>
  <c r="BN215" i="1"/>
  <c r="Z215" i="1"/>
  <c r="BP219" i="1"/>
  <c r="BN219" i="1"/>
  <c r="Z219" i="1"/>
  <c r="BP232" i="1"/>
  <c r="BN232" i="1"/>
  <c r="Z232" i="1"/>
  <c r="BP236" i="1"/>
  <c r="BN236" i="1"/>
  <c r="Z236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BP279" i="1"/>
  <c r="BN279" i="1"/>
  <c r="Z279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BP350" i="1"/>
  <c r="BN350" i="1"/>
  <c r="Z350" i="1"/>
  <c r="BP358" i="1"/>
  <c r="BN358" i="1"/>
  <c r="Z358" i="1"/>
  <c r="Y360" i="1"/>
  <c r="V601" i="1"/>
  <c r="Y365" i="1"/>
  <c r="Y364" i="1"/>
  <c r="BP363" i="1"/>
  <c r="BN363" i="1"/>
  <c r="Z363" i="1"/>
  <c r="Z364" i="1" s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35" i="1"/>
  <c r="BN435" i="1"/>
  <c r="Z435" i="1"/>
  <c r="BP440" i="1"/>
  <c r="BN440" i="1"/>
  <c r="Z440" i="1"/>
  <c r="Z447" i="1"/>
  <c r="H9" i="1"/>
  <c r="B601" i="1"/>
  <c r="X592" i="1"/>
  <c r="X593" i="1"/>
  <c r="Z23" i="1"/>
  <c r="Z28" i="1" s="1"/>
  <c r="BN23" i="1"/>
  <c r="Y592" i="1" s="1"/>
  <c r="Z24" i="1"/>
  <c r="BN24" i="1"/>
  <c r="Z25" i="1"/>
  <c r="BN25" i="1"/>
  <c r="Z27" i="1"/>
  <c r="BN27" i="1"/>
  <c r="Y28" i="1"/>
  <c r="Z31" i="1"/>
  <c r="Z32" i="1" s="1"/>
  <c r="BN31" i="1"/>
  <c r="BP31" i="1"/>
  <c r="Y593" i="1" s="1"/>
  <c r="Z37" i="1"/>
  <c r="BN37" i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BP67" i="1"/>
  <c r="BN67" i="1"/>
  <c r="Z67" i="1"/>
  <c r="Y69" i="1"/>
  <c r="Y78" i="1"/>
  <c r="BP71" i="1"/>
  <c r="BN71" i="1"/>
  <c r="Z71" i="1"/>
  <c r="BP75" i="1"/>
  <c r="BN75" i="1"/>
  <c r="Z75" i="1"/>
  <c r="Y84" i="1"/>
  <c r="Y83" i="1"/>
  <c r="BP88" i="1"/>
  <c r="BN88" i="1"/>
  <c r="Z88" i="1"/>
  <c r="Z90" i="1" s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Y129" i="1"/>
  <c r="BP123" i="1"/>
  <c r="BN123" i="1"/>
  <c r="Z123" i="1"/>
  <c r="BP126" i="1"/>
  <c r="BN126" i="1"/>
  <c r="Z126" i="1"/>
  <c r="Y133" i="1"/>
  <c r="Y139" i="1"/>
  <c r="BP143" i="1"/>
  <c r="BN143" i="1"/>
  <c r="Z143" i="1"/>
  <c r="Y145" i="1"/>
  <c r="Y150" i="1"/>
  <c r="BP147" i="1"/>
  <c r="BN147" i="1"/>
  <c r="Z147" i="1"/>
  <c r="Z149" i="1" s="1"/>
  <c r="Y161" i="1"/>
  <c r="BP160" i="1"/>
  <c r="BN160" i="1"/>
  <c r="Z160" i="1"/>
  <c r="Z161" i="1" s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Y193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Z221" i="1" s="1"/>
  <c r="Y221" i="1"/>
  <c r="BP225" i="1"/>
  <c r="BN225" i="1"/>
  <c r="Z225" i="1"/>
  <c r="Z226" i="1" s="1"/>
  <c r="Y227" i="1"/>
  <c r="K601" i="1"/>
  <c r="Y239" i="1"/>
  <c r="BP230" i="1"/>
  <c r="BN230" i="1"/>
  <c r="Z230" i="1"/>
  <c r="Z238" i="1" s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Y282" i="1"/>
  <c r="BP277" i="1"/>
  <c r="BN277" i="1"/>
  <c r="Z277" i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46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94" i="1"/>
  <c r="BN394" i="1"/>
  <c r="Z394" i="1"/>
  <c r="Y396" i="1"/>
  <c r="Z408" i="1"/>
  <c r="BP404" i="1"/>
  <c r="BN404" i="1"/>
  <c r="Z404" i="1"/>
  <c r="Y408" i="1"/>
  <c r="BP412" i="1"/>
  <c r="BN412" i="1"/>
  <c r="Z412" i="1"/>
  <c r="Y414" i="1"/>
  <c r="Y422" i="1"/>
  <c r="BP416" i="1"/>
  <c r="BN416" i="1"/>
  <c r="Z416" i="1"/>
  <c r="Y421" i="1"/>
  <c r="BP419" i="1"/>
  <c r="BN419" i="1"/>
  <c r="Z419" i="1"/>
  <c r="Y460" i="1"/>
  <c r="BP456" i="1"/>
  <c r="BN456" i="1"/>
  <c r="Z456" i="1"/>
  <c r="Y461" i="1"/>
  <c r="BP465" i="1"/>
  <c r="BN465" i="1"/>
  <c r="Z465" i="1"/>
  <c r="Y467" i="1"/>
  <c r="Y471" i="1"/>
  <c r="BP470" i="1"/>
  <c r="BN470" i="1"/>
  <c r="Z470" i="1"/>
  <c r="Z471" i="1" s="1"/>
  <c r="AB601" i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Y503" i="1"/>
  <c r="BP500" i="1"/>
  <c r="BN500" i="1"/>
  <c r="Z500" i="1"/>
  <c r="BP512" i="1"/>
  <c r="BN512" i="1"/>
  <c r="Z512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G601" i="1"/>
  <c r="X601" i="1"/>
  <c r="E601" i="1"/>
  <c r="Y91" i="1"/>
  <c r="F601" i="1"/>
  <c r="Y110" i="1"/>
  <c r="H601" i="1"/>
  <c r="Y155" i="1"/>
  <c r="L601" i="1"/>
  <c r="Y261" i="1"/>
  <c r="Y316" i="1"/>
  <c r="U601" i="1"/>
  <c r="Y325" i="1"/>
  <c r="Z370" i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Y409" i="1"/>
  <c r="BP406" i="1"/>
  <c r="BN406" i="1"/>
  <c r="Z406" i="1"/>
  <c r="Y413" i="1"/>
  <c r="BP417" i="1"/>
  <c r="BN417" i="1"/>
  <c r="Z417" i="1"/>
  <c r="Y425" i="1"/>
  <c r="BP424" i="1"/>
  <c r="BN424" i="1"/>
  <c r="Z424" i="1"/>
  <c r="Z425" i="1" s="1"/>
  <c r="Y426" i="1"/>
  <c r="BP434" i="1"/>
  <c r="BN434" i="1"/>
  <c r="Z434" i="1"/>
  <c r="Z442" i="1" s="1"/>
  <c r="BP437" i="1"/>
  <c r="BN437" i="1"/>
  <c r="Z437" i="1"/>
  <c r="Y442" i="1"/>
  <c r="BP446" i="1"/>
  <c r="BN446" i="1"/>
  <c r="Z446" i="1"/>
  <c r="Y448" i="1"/>
  <c r="Z601" i="1"/>
  <c r="Y454" i="1"/>
  <c r="BP451" i="1"/>
  <c r="BN451" i="1"/>
  <c r="Z451" i="1"/>
  <c r="Z453" i="1" s="1"/>
  <c r="BP459" i="1"/>
  <c r="BN459" i="1"/>
  <c r="Z459" i="1"/>
  <c r="AA601" i="1"/>
  <c r="Y466" i="1"/>
  <c r="BP464" i="1"/>
  <c r="BN464" i="1"/>
  <c r="Z464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Y594" i="1" l="1"/>
  <c r="Z565" i="1"/>
  <c r="Z547" i="1"/>
  <c r="Z460" i="1"/>
  <c r="Z421" i="1"/>
  <c r="Z183" i="1"/>
  <c r="Z102" i="1"/>
  <c r="Z68" i="1"/>
  <c r="Y591" i="1"/>
  <c r="Z517" i="1"/>
  <c r="Z466" i="1"/>
  <c r="Z395" i="1"/>
  <c r="Z523" i="1"/>
  <c r="Z502" i="1"/>
  <c r="Z495" i="1"/>
  <c r="Z353" i="1"/>
  <c r="Z282" i="1"/>
  <c r="Z209" i="1"/>
  <c r="Z77" i="1"/>
  <c r="Z62" i="1"/>
  <c r="Z41" i="1"/>
  <c r="Z596" i="1" s="1"/>
  <c r="Y595" i="1"/>
  <c r="X594" i="1"/>
  <c r="Z332" i="1"/>
  <c r="Z273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<sst xmlns="http://schemas.openxmlformats.org/spreadsheetml/2006/main" count="2720" uniqueCount="975">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</sst>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0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21</v>
      </c>
      <c r="Y37" s="664">
        <f>IFERROR(IF(X37="",0,CEILING((X37/$H37),1)*$H37),"")</f>
        <v>21.6</v>
      </c>
      <c r="Z37" s="36">
        <f>IFERROR(IF(Y37=0,"",ROUNDUP(Y37/H37,0)*0.01898),"")</f>
        <v>3.7960000000000001E-2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21.845833333333331</v>
      </c>
      <c r="BN37" s="64">
        <f>IFERROR(Y37*I37/H37,"0")</f>
        <v>22.47</v>
      </c>
      <c r="BO37" s="64">
        <f>IFERROR(1/J37*(X37/H37),"0")</f>
        <v>3.0381944444444444E-2</v>
      </c>
      <c r="BP37" s="64">
        <f>IFERROR(1/J37*(Y37/H37),"0")</f>
        <v>3.125E-2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1.9444444444444444</v>
      </c>
      <c r="Y41" s="665">
        <f>IFERROR(Y37/H37,"0")+IFERROR(Y38/H38,"0")+IFERROR(Y39/H39,"0")+IFERROR(Y40/H40,"0")</f>
        <v>2</v>
      </c>
      <c r="Z41" s="665">
        <f>IFERROR(IF(Z37="",0,Z37),"0")+IFERROR(IF(Z38="",0,Z38),"0")+IFERROR(IF(Z39="",0,Z39),"0")+IFERROR(IF(Z40="",0,Z40),"0")</f>
        <v>3.7960000000000001E-2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21</v>
      </c>
      <c r="Y42" s="665">
        <f>IFERROR(SUM(Y37:Y40),"0")</f>
        <v>21.6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18</v>
      </c>
      <c r="Y87" s="664">
        <f>IFERROR(IF(X87="",0,CEILING((X87/$H87),1)*$H87),"")</f>
        <v>21.6</v>
      </c>
      <c r="Z87" s="36">
        <f>IFERROR(IF(Y87=0,"",ROUNDUP(Y87/H87,0)*0.01898),"")</f>
        <v>3.7960000000000001E-2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18.724999999999998</v>
      </c>
      <c r="BN87" s="64">
        <f>IFERROR(Y87*I87/H87,"0")</f>
        <v>22.47</v>
      </c>
      <c r="BO87" s="64">
        <f>IFERROR(1/J87*(X87/H87),"0")</f>
        <v>2.6041666666666664E-2</v>
      </c>
      <c r="BP87" s="64">
        <f>IFERROR(1/J87*(Y87/H87),"0")</f>
        <v>3.125E-2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1.6666666666666665</v>
      </c>
      <c r="Y90" s="665">
        <f>IFERROR(Y87/H87,"0")+IFERROR(Y88/H88,"0")+IFERROR(Y89/H89,"0")</f>
        <v>2</v>
      </c>
      <c r="Z90" s="665">
        <f>IFERROR(IF(Z87="",0,Z87),"0")+IFERROR(IF(Z88="",0,Z88),"0")+IFERROR(IF(Z89="",0,Z89),"0")</f>
        <v>3.7960000000000001E-2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18</v>
      </c>
      <c r="Y91" s="665">
        <f>IFERROR(SUM(Y87:Y89),"0")</f>
        <v>21.6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80</v>
      </c>
      <c r="Y95" s="664">
        <f t="shared" si="16"/>
        <v>81</v>
      </c>
      <c r="Z95" s="36">
        <f>IFERROR(IF(Y95=0,"",ROUNDUP(Y95/H95,0)*0.01898),"")</f>
        <v>0.1898</v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85.125925925925927</v>
      </c>
      <c r="BN95" s="64">
        <f t="shared" si="18"/>
        <v>86.190000000000012</v>
      </c>
      <c r="BO95" s="64">
        <f t="shared" si="19"/>
        <v>0.15432098765432101</v>
      </c>
      <c r="BP95" s="64">
        <f t="shared" si="20"/>
        <v>0.15625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9.8765432098765444</v>
      </c>
      <c r="Y102" s="665">
        <f>IFERROR(Y93/H93,"0")+IFERROR(Y94/H94,"0")+IFERROR(Y95/H95,"0")+IFERROR(Y96/H96,"0")+IFERROR(Y97/H97,"0")+IFERROR(Y98/H98,"0")+IFERROR(Y99/H99,"0")+IFERROR(Y100/H100,"0")+IFERROR(Y101/H101,"0")</f>
        <v>10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0.1898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80</v>
      </c>
      <c r="Y103" s="665">
        <f>IFERROR(SUM(Y93:Y101),"0")</f>
        <v>81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78</v>
      </c>
      <c r="Y121" s="664">
        <f t="shared" si="21"/>
        <v>81</v>
      </c>
      <c r="Z121" s="36">
        <f>IFERROR(IF(Y121=0,"",ROUNDUP(Y121/H121,0)*0.01898),"")</f>
        <v>0.1898</v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82.94</v>
      </c>
      <c r="BN121" s="64">
        <f t="shared" si="23"/>
        <v>86.13000000000001</v>
      </c>
      <c r="BO121" s="64">
        <f t="shared" si="24"/>
        <v>0.15046296296296297</v>
      </c>
      <c r="BP121" s="64">
        <f t="shared" si="25"/>
        <v>0.15625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9.6296296296296298</v>
      </c>
      <c r="Y128" s="665">
        <f>IFERROR(Y119/H119,"0")+IFERROR(Y120/H120,"0")+IFERROR(Y121/H121,"0")+IFERROR(Y122/H122,"0")+IFERROR(Y123/H123,"0")+IFERROR(Y124/H124,"0")+IFERROR(Y125/H125,"0")+IFERROR(Y126/H126,"0")+IFERROR(Y127/H127,"0")</f>
        <v>10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0.1898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78</v>
      </c>
      <c r="Y129" s="665">
        <f>IFERROR(SUM(Y119:Y127),"0")</f>
        <v>81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32</v>
      </c>
      <c r="Y214" s="664">
        <f t="shared" si="37"/>
        <v>34.799999999999997</v>
      </c>
      <c r="Z214" s="36">
        <f>IFERROR(IF(Y214=0,"",ROUNDUP(Y214/H214,0)*0.01898),"")</f>
        <v>7.5920000000000001E-2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33.908965517241377</v>
      </c>
      <c r="BN214" s="64">
        <f t="shared" si="39"/>
        <v>36.875999999999998</v>
      </c>
      <c r="BO214" s="64">
        <f t="shared" si="40"/>
        <v>5.7471264367816098E-2</v>
      </c>
      <c r="BP214" s="64">
        <f t="shared" si="41"/>
        <v>6.25E-2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97</v>
      </c>
      <c r="Y217" s="664">
        <f t="shared" si="37"/>
        <v>98.399999999999991</v>
      </c>
      <c r="Z217" s="36">
        <f t="shared" si="42"/>
        <v>0.26690999999999998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107.18500000000002</v>
      </c>
      <c r="BN217" s="64">
        <f t="shared" si="39"/>
        <v>108.732</v>
      </c>
      <c r="BO217" s="64">
        <f t="shared" si="40"/>
        <v>0.22206959706959711</v>
      </c>
      <c r="BP217" s="64">
        <f t="shared" si="41"/>
        <v>0.22527472527472528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68</v>
      </c>
      <c r="Y218" s="664">
        <f t="shared" si="37"/>
        <v>69.599999999999994</v>
      </c>
      <c r="Z218" s="36">
        <f t="shared" si="42"/>
        <v>0.18879000000000001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75.140000000000015</v>
      </c>
      <c r="BN218" s="64">
        <f t="shared" si="39"/>
        <v>76.908000000000001</v>
      </c>
      <c r="BO218" s="64">
        <f t="shared" si="40"/>
        <v>0.15567765567765571</v>
      </c>
      <c r="BP218" s="64">
        <f t="shared" si="41"/>
        <v>0.15934065934065936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7</v>
      </c>
      <c r="Y219" s="664">
        <f t="shared" si="37"/>
        <v>7.1999999999999993</v>
      </c>
      <c r="Z219" s="36">
        <f t="shared" si="42"/>
        <v>1.9529999999999999E-2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7.7350000000000003</v>
      </c>
      <c r="BN219" s="64">
        <f t="shared" si="39"/>
        <v>7.9560000000000004</v>
      </c>
      <c r="BO219" s="64">
        <f t="shared" si="40"/>
        <v>1.6025641025641028E-2</v>
      </c>
      <c r="BP219" s="64">
        <f t="shared" si="41"/>
        <v>1.6483516483516484E-2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75.344827586206904</v>
      </c>
      <c r="Y221" s="665">
        <f>IFERROR(Y212/H212,"0")+IFERROR(Y213/H213,"0")+IFERROR(Y214/H214,"0")+IFERROR(Y215/H215,"0")+IFERROR(Y216/H216,"0")+IFERROR(Y217/H217,"0")+IFERROR(Y218/H218,"0")+IFERROR(Y219/H219,"0")+IFERROR(Y220/H220,"0")</f>
        <v>77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0.55115000000000003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204</v>
      </c>
      <c r="Y222" s="665">
        <f>IFERROR(SUM(Y212:Y220),"0")</f>
        <v>209.99999999999997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53</v>
      </c>
      <c r="Y279" s="664">
        <f>IFERROR(IF(X279="",0,CEILING((X279/$H279),1)*$H279),"")</f>
        <v>55.199999999999996</v>
      </c>
      <c r="Z279" s="36">
        <f>IFERROR(IF(Y279=0,"",ROUNDUP(Y279/H279,0)*0.00651),"")</f>
        <v>0.14973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58.565000000000005</v>
      </c>
      <c r="BN279" s="64">
        <f>IFERROR(Y279*I279/H279,"0")</f>
        <v>60.996000000000002</v>
      </c>
      <c r="BO279" s="64">
        <f>IFERROR(1/J279*(X279/H279),"0")</f>
        <v>0.12133699633699636</v>
      </c>
      <c r="BP279" s="64">
        <f>IFERROR(1/J279*(Y279/H279),"0")</f>
        <v>0.1263736263736264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53</v>
      </c>
      <c r="Y280" s="664">
        <f>IFERROR(IF(X280="",0,CEILING((X280/$H280),1)*$H280),"")</f>
        <v>55.199999999999996</v>
      </c>
      <c r="Z280" s="36">
        <f>IFERROR(IF(Y280=0,"",ROUNDUP(Y280/H280,0)*0.00651),"")</f>
        <v>0.14973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56.975000000000009</v>
      </c>
      <c r="BN280" s="64">
        <f>IFERROR(Y280*I280/H280,"0")</f>
        <v>59.34</v>
      </c>
      <c r="BO280" s="64">
        <f>IFERROR(1/J280*(X280/H280),"0")</f>
        <v>0.12133699633699636</v>
      </c>
      <c r="BP280" s="64">
        <f>IFERROR(1/J280*(Y280/H280),"0")</f>
        <v>0.1263736263736264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44.166666666666671</v>
      </c>
      <c r="Y282" s="665">
        <f>IFERROR(Y277/H277,"0")+IFERROR(Y278/H278,"0")+IFERROR(Y279/H279,"0")+IFERROR(Y280/H280,"0")+IFERROR(Y281/H281,"0")</f>
        <v>46</v>
      </c>
      <c r="Z282" s="665">
        <f>IFERROR(IF(Z277="",0,Z277),"0")+IFERROR(IF(Z278="",0,Z278),"0")+IFERROR(IF(Z279="",0,Z279),"0")+IFERROR(IF(Z280="",0,Z280),"0")+IFERROR(IF(Z281="",0,Z281),"0")</f>
        <v>0.29946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106</v>
      </c>
      <c r="Y283" s="665">
        <f>IFERROR(SUM(Y277:Y281),"0")</f>
        <v>110.39999999999999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100</v>
      </c>
      <c r="Y344" s="664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106.65384615384617</v>
      </c>
      <c r="BN344" s="64">
        <f>IFERROR(Y344*I344/H344,"0")</f>
        <v>108.14700000000001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12.820512820512821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0.24674000000000001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100</v>
      </c>
      <c r="Y347" s="665">
        <f>IFERROR(SUM(Y343:Y345),"0")</f>
        <v>101.39999999999999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119</v>
      </c>
      <c r="Y376" s="664">
        <f t="shared" si="58"/>
        <v>120</v>
      </c>
      <c r="Z376" s="36">
        <f>IFERROR(IF(Y376=0,"",ROUNDUP(Y376/H376,0)*0.02039),"")</f>
        <v>0.16311999999999999</v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122.80800000000001</v>
      </c>
      <c r="BN376" s="64">
        <f t="shared" si="60"/>
        <v>123.84</v>
      </c>
      <c r="BO376" s="64">
        <f t="shared" si="61"/>
        <v>0.16527777777777777</v>
      </c>
      <c r="BP376" s="64">
        <f t="shared" si="62"/>
        <v>0.16666666666666666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90</v>
      </c>
      <c r="Y380" s="664">
        <f t="shared" si="58"/>
        <v>90</v>
      </c>
      <c r="Z380" s="36">
        <f>IFERROR(IF(Y380=0,"",ROUNDUP(Y380/H380,0)*0.02175),"")</f>
        <v>0.1305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92.88000000000001</v>
      </c>
      <c r="BN380" s="64">
        <f t="shared" si="60"/>
        <v>92.88000000000001</v>
      </c>
      <c r="BO380" s="64">
        <f t="shared" si="61"/>
        <v>0.125</v>
      </c>
      <c r="BP380" s="64">
        <f t="shared" si="62"/>
        <v>0.125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12</v>
      </c>
      <c r="Y381" s="664">
        <f t="shared" si="58"/>
        <v>15</v>
      </c>
      <c r="Z381" s="36">
        <f>IFERROR(IF(Y381=0,"",ROUNDUP(Y381/H381,0)*0.02039),"")</f>
        <v>2.0389999999999998E-2</v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12.383999999999999</v>
      </c>
      <c r="BN381" s="64">
        <f t="shared" si="60"/>
        <v>15.48</v>
      </c>
      <c r="BO381" s="64">
        <f t="shared" si="61"/>
        <v>1.6666666666666666E-2</v>
      </c>
      <c r="BP381" s="64">
        <f t="shared" si="62"/>
        <v>2.0833333333333332E-2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14.733333333333334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0.31401000000000001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221</v>
      </c>
      <c r="Y386" s="665">
        <f>IFERROR(SUM(Y375:Y384),"0")</f>
        <v>225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108</v>
      </c>
      <c r="Y388" s="664">
        <f>IFERROR(IF(X388="",0,CEILING((X388/$H388),1)*$H388),"")</f>
        <v>120</v>
      </c>
      <c r="Z388" s="36">
        <f>IFERROR(IF(Y388=0,"",ROUNDUP(Y388/H388,0)*0.02175),"")</f>
        <v>0.17399999999999999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111.456</v>
      </c>
      <c r="BN388" s="64">
        <f>IFERROR(Y388*I388/H388,"0")</f>
        <v>123.84</v>
      </c>
      <c r="BO388" s="64">
        <f>IFERROR(1/J388*(X388/H388),"0")</f>
        <v>0.15</v>
      </c>
      <c r="BP388" s="64">
        <f>IFERROR(1/J388*(Y388/H388),"0")</f>
        <v>0.16666666666666666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7.2</v>
      </c>
      <c r="Y390" s="665">
        <f>IFERROR(Y388/H388,"0")+IFERROR(Y389/H389,"0")</f>
        <v>8</v>
      </c>
      <c r="Z390" s="665">
        <f>IFERROR(IF(Z388="",0,Z388),"0")+IFERROR(IF(Z389="",0,Z389),"0")</f>
        <v>0.17399999999999999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108</v>
      </c>
      <c r="Y391" s="665">
        <f>IFERROR(SUM(Y388:Y389),"0")</f>
        <v>120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82</v>
      </c>
      <c r="Y394" s="664">
        <f>IFERROR(IF(X394="",0,CEILING((X394/$H394),1)*$H394),"")</f>
        <v>90</v>
      </c>
      <c r="Z394" s="36">
        <f>IFERROR(IF(Y394=0,"",ROUNDUP(Y394/H394,0)*0.01898),"")</f>
        <v>0.1898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86.728666666666669</v>
      </c>
      <c r="BN394" s="64">
        <f>IFERROR(Y394*I394/H394,"0")</f>
        <v>95.19</v>
      </c>
      <c r="BO394" s="64">
        <f>IFERROR(1/J394*(X394/H394),"0")</f>
        <v>0.1423611111111111</v>
      </c>
      <c r="BP394" s="64">
        <f>IFERROR(1/J394*(Y394/H394),"0")</f>
        <v>0.15625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9.1111111111111107</v>
      </c>
      <c r="Y395" s="665">
        <f>IFERROR(Y393/H393,"0")+IFERROR(Y394/H394,"0")</f>
        <v>10</v>
      </c>
      <c r="Z395" s="665">
        <f>IFERROR(IF(Z393="",0,Z393),"0")+IFERROR(IF(Z394="",0,Z394),"0")</f>
        <v>0.1898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82</v>
      </c>
      <c r="Y396" s="665">
        <f>IFERROR(SUM(Y393:Y394),"0")</f>
        <v>90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235</v>
      </c>
      <c r="Y483" s="664">
        <f t="shared" si="69"/>
        <v>237.60000000000002</v>
      </c>
      <c r="Z483" s="36">
        <f>IFERROR(IF(Y483=0,"",ROUNDUP(Y483/H483,0)*0.01196),"")</f>
        <v>0.53820000000000001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251.02272727272722</v>
      </c>
      <c r="BN483" s="64">
        <f t="shared" si="71"/>
        <v>253.8</v>
      </c>
      <c r="BO483" s="64">
        <f t="shared" si="72"/>
        <v>0.42795745920745926</v>
      </c>
      <c r="BP483" s="64">
        <f t="shared" si="73"/>
        <v>0.43269230769230771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44.507575757575758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45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0.53820000000000001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235</v>
      </c>
      <c r="Y496" s="665">
        <f>IFERROR(SUM(Y480:Y494),"0")</f>
        <v>237.60000000000002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110</v>
      </c>
      <c r="Y498" s="664">
        <f>IFERROR(IF(X498="",0,CEILING((X498/$H498),1)*$H498),"")</f>
        <v>110.88000000000001</v>
      </c>
      <c r="Z498" s="36">
        <f>IFERROR(IF(Y498=0,"",ROUNDUP(Y498/H498,0)*0.01196),"")</f>
        <v>0.25115999999999999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117.49999999999999</v>
      </c>
      <c r="BN498" s="64">
        <f>IFERROR(Y498*I498/H498,"0")</f>
        <v>118.44</v>
      </c>
      <c r="BO498" s="64">
        <f>IFERROR(1/J498*(X498/H498),"0")</f>
        <v>0.20032051282051283</v>
      </c>
      <c r="BP498" s="64">
        <f>IFERROR(1/J498*(Y498/H498),"0")</f>
        <v>0.20192307692307693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20.833333333333332</v>
      </c>
      <c r="Y502" s="665">
        <f>IFERROR(Y498/H498,"0")+IFERROR(Y499/H499,"0")+IFERROR(Y500/H500,"0")+IFERROR(Y501/H501,"0")</f>
        <v>21</v>
      </c>
      <c r="Z502" s="665">
        <f>IFERROR(IF(Z498="",0,Z498),"0")+IFERROR(IF(Z499="",0,Z499),"0")+IFERROR(IF(Z500="",0,Z500),"0")+IFERROR(IF(Z501="",0,Z501),"0")</f>
        <v>0.25115999999999999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110</v>
      </c>
      <c r="Y503" s="665">
        <f>IFERROR(SUM(Y498:Y501),"0")</f>
        <v>110.88000000000001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62</v>
      </c>
      <c r="Y505" s="664">
        <f t="shared" ref="Y505:Y516" si="74">IFERROR(IF(X505="",0,CEILING((X505/$H505),1)*$H505),"")</f>
        <v>63.36</v>
      </c>
      <c r="Z505" s="36">
        <f>IFERROR(IF(Y505=0,"",ROUNDUP(Y505/H505,0)*0.01196),"")</f>
        <v>0.14352000000000001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66.22727272727272</v>
      </c>
      <c r="BN505" s="64">
        <f t="shared" ref="BN505:BN516" si="76">IFERROR(Y505*I505/H505,"0")</f>
        <v>67.679999999999993</v>
      </c>
      <c r="BO505" s="64">
        <f t="shared" ref="BO505:BO516" si="77">IFERROR(1/J505*(X505/H505),"0")</f>
        <v>0.11290792540792541</v>
      </c>
      <c r="BP505" s="64">
        <f t="shared" ref="BP505:BP516" si="78">IFERROR(1/J505*(Y505/H505),"0")</f>
        <v>0.11538461538461539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77</v>
      </c>
      <c r="Y506" s="664">
        <f t="shared" si="74"/>
        <v>79.2</v>
      </c>
      <c r="Z506" s="36">
        <f>IFERROR(IF(Y506=0,"",ROUNDUP(Y506/H506,0)*0.01196),"")</f>
        <v>0.1794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82.249999999999986</v>
      </c>
      <c r="BN506" s="64">
        <f t="shared" si="76"/>
        <v>84.6</v>
      </c>
      <c r="BO506" s="64">
        <f t="shared" si="77"/>
        <v>0.14022435897435898</v>
      </c>
      <c r="BP506" s="64">
        <f t="shared" si="78"/>
        <v>0.14423076923076925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106</v>
      </c>
      <c r="Y507" s="664">
        <f t="shared" si="74"/>
        <v>110.88000000000001</v>
      </c>
      <c r="Z507" s="36">
        <f>IFERROR(IF(Y507=0,"",ROUNDUP(Y507/H507,0)*0.01196),"")</f>
        <v>0.25115999999999999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113.22727272727271</v>
      </c>
      <c r="BN507" s="64">
        <f t="shared" si="76"/>
        <v>118.44</v>
      </c>
      <c r="BO507" s="64">
        <f t="shared" si="77"/>
        <v>0.19303613053613053</v>
      </c>
      <c r="BP507" s="64">
        <f t="shared" si="78"/>
        <v>0.20192307692307693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46.401515151515149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48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0.57407999999999992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245</v>
      </c>
      <c r="Y518" s="665">
        <f>IFERROR(SUM(Y505:Y516),"0")</f>
        <v>253.44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1608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1663.92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1711.2835103242862</v>
      </c>
      <c r="Y592" s="665">
        <f>IFERROR(SUM(BN22:BN588),"0")</f>
        <v>1770.4050000000002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3</v>
      </c>
      <c r="Y593" s="38">
        <f>ROUNDUP(SUM(BP22:BP588),0)</f>
        <v>4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1786.2835103242862</v>
      </c>
      <c r="Y594" s="665">
        <f>GrossWeightTotalR+PalletQtyTotalR*25</f>
        <v>1870.4050000000002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298.23615971087236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307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3.5941200000000002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21.6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102.6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81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209.99999999999997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110.39999999999999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101.39999999999999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435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601.92000000000007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2025-04-10T07:20:41Z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