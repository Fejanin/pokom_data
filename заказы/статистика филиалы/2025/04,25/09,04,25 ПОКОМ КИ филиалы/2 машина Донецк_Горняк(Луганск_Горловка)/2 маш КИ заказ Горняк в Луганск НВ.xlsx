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2 машина Донецк_Горняк(Луганск_Горловка)\"/>
    </mc:Choice>
  </mc:AlternateContent>
  <xr:revisionPtr revIDLastSave="0" documentId="13_ncr:1_{8503AA61-325F-49BB-AED3-934886E4C9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1" i="1" l="1"/>
  <c r="X590" i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Y315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1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K601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Y42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X593" i="1" s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56" i="1" l="1"/>
  <c r="Y68" i="1"/>
  <c r="Y84" i="1"/>
  <c r="Y91" i="1"/>
  <c r="Y103" i="1"/>
  <c r="Y110" i="1"/>
  <c r="Y116" i="1"/>
  <c r="Y129" i="1"/>
  <c r="Y140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U601" i="1"/>
  <c r="Y326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59" i="1"/>
  <c r="BP357" i="1"/>
  <c r="BN357" i="1"/>
  <c r="Z357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Y518" i="1"/>
  <c r="BP515" i="1"/>
  <c r="BN515" i="1"/>
  <c r="Z515" i="1"/>
  <c r="C601" i="1"/>
  <c r="T601" i="1"/>
  <c r="Y29" i="1"/>
  <c r="Y33" i="1"/>
  <c r="Y41" i="1"/>
  <c r="Y62" i="1"/>
  <c r="Y78" i="1"/>
  <c r="Y133" i="1"/>
  <c r="Y144" i="1"/>
  <c r="Y150" i="1"/>
  <c r="Y155" i="1"/>
  <c r="Y161" i="1"/>
  <c r="H9" i="1"/>
  <c r="B601" i="1"/>
  <c r="X592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I601" i="1"/>
  <c r="Y172" i="1"/>
  <c r="Z175" i="1"/>
  <c r="Z183" i="1" s="1"/>
  <c r="BN175" i="1"/>
  <c r="Z177" i="1"/>
  <c r="BN177" i="1"/>
  <c r="Z180" i="1"/>
  <c r="BN180" i="1"/>
  <c r="Z182" i="1"/>
  <c r="BN182" i="1"/>
  <c r="J601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Z261" i="1" s="1"/>
  <c r="BN255" i="1"/>
  <c r="BP255" i="1"/>
  <c r="Z257" i="1"/>
  <c r="BN257" i="1"/>
  <c r="Z259" i="1"/>
  <c r="BN259" i="1"/>
  <c r="Y262" i="1"/>
  <c r="Y267" i="1"/>
  <c r="O601" i="1"/>
  <c r="Z271" i="1"/>
  <c r="Z273" i="1" s="1"/>
  <c r="BN271" i="1"/>
  <c r="Y274" i="1"/>
  <c r="P601" i="1"/>
  <c r="Z278" i="1"/>
  <c r="Z282" i="1" s="1"/>
  <c r="BN278" i="1"/>
  <c r="Z280" i="1"/>
  <c r="BN280" i="1"/>
  <c r="Y283" i="1"/>
  <c r="Y288" i="1"/>
  <c r="Y301" i="1"/>
  <c r="S601" i="1"/>
  <c r="Y306" i="1"/>
  <c r="Z309" i="1"/>
  <c r="Z310" i="1" s="1"/>
  <c r="BN309" i="1"/>
  <c r="Z314" i="1"/>
  <c r="Z315" i="1" s="1"/>
  <c r="BN314" i="1"/>
  <c r="BP314" i="1"/>
  <c r="Z319" i="1"/>
  <c r="Z325" i="1" s="1"/>
  <c r="BN319" i="1"/>
  <c r="BP319" i="1"/>
  <c r="Z321" i="1"/>
  <c r="BN321" i="1"/>
  <c r="Z323" i="1"/>
  <c r="BN323" i="1"/>
  <c r="Y325" i="1"/>
  <c r="BP329" i="1"/>
  <c r="BN329" i="1"/>
  <c r="Z329" i="1"/>
  <c r="Z332" i="1" s="1"/>
  <c r="BP337" i="1"/>
  <c r="BN337" i="1"/>
  <c r="Z337" i="1"/>
  <c r="BP345" i="1"/>
  <c r="BN345" i="1"/>
  <c r="Z345" i="1"/>
  <c r="Y347" i="1"/>
  <c r="Z353" i="1"/>
  <c r="BP351" i="1"/>
  <c r="BN351" i="1"/>
  <c r="Z351" i="1"/>
  <c r="Y360" i="1"/>
  <c r="Y359" i="1"/>
  <c r="Z370" i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V601" i="1"/>
  <c r="Y365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565" i="1"/>
  <c r="Z547" i="1"/>
  <c r="Y591" i="1"/>
  <c r="Z466" i="1"/>
  <c r="Z395" i="1"/>
  <c r="Z346" i="1"/>
  <c r="Z340" i="1"/>
  <c r="Z523" i="1"/>
  <c r="Z502" i="1"/>
  <c r="Z495" i="1"/>
  <c r="Z421" i="1"/>
  <c r="Z128" i="1"/>
  <c r="Z110" i="1"/>
  <c r="Z90" i="1"/>
  <c r="Z62" i="1"/>
  <c r="Z596" i="1" s="1"/>
  <c r="Y595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<sst xmlns="http://schemas.openxmlformats.org/spreadsheetml/2006/main" count="2720" uniqueCount="975">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</sst>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5" zoomScaleNormal="100" zoomScaleSheetLayoutView="100" workbookViewId="0">
      <selection activeCell="Z597" sqref="Z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79" t="s">
        <v>0</v>
      </c>
      <c r="E1" s="695"/>
      <c r="F1" s="695"/>
      <c r="G1" s="12" t="s">
        <v>1</v>
      </c>
      <c r="H1" s="979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6"/>
      <c r="E5" s="798"/>
      <c r="F5" s="742" t="s">
        <v>9</v>
      </c>
      <c r="G5" s="675"/>
      <c r="H5" s="796"/>
      <c r="I5" s="797"/>
      <c r="J5" s="797"/>
      <c r="K5" s="797"/>
      <c r="L5" s="797"/>
      <c r="M5" s="798"/>
      <c r="N5" s="58"/>
      <c r="P5" s="24" t="s">
        <v>10</v>
      </c>
      <c r="Q5" s="714">
        <v>45759</v>
      </c>
      <c r="R5" s="715"/>
      <c r="T5" s="889" t="s">
        <v>11</v>
      </c>
      <c r="U5" s="883"/>
      <c r="V5" s="891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824" t="str">
        <f>IF(Q5=0," ",CHOOSE(WEEKDAY(Q5,2),"Понедельник","Вторник","Среда","Четверг","Пятница","Суббота","Воскресенье"))</f>
        <v>Суббота</v>
      </c>
      <c r="R6" s="677"/>
      <c r="T6" s="896" t="s">
        <v>16</v>
      </c>
      <c r="U6" s="883"/>
      <c r="V6" s="808" t="s">
        <v>17</v>
      </c>
      <c r="W6" s="809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998" t="str">
        <f>IFERROR(VLOOKUP(DeliveryAddress,Table,3,0),1)</f>
        <v>4</v>
      </c>
      <c r="E7" s="999"/>
      <c r="F7" s="999"/>
      <c r="G7" s="999"/>
      <c r="H7" s="999"/>
      <c r="I7" s="999"/>
      <c r="J7" s="999"/>
      <c r="K7" s="999"/>
      <c r="L7" s="999"/>
      <c r="M7" s="894"/>
      <c r="N7" s="60"/>
      <c r="P7" s="24"/>
      <c r="Q7" s="42"/>
      <c r="R7" s="42"/>
      <c r="T7" s="671"/>
      <c r="U7" s="883"/>
      <c r="V7" s="810"/>
      <c r="W7" s="811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1010"/>
      <c r="E8" s="1011"/>
      <c r="F8" s="1011"/>
      <c r="G8" s="1011"/>
      <c r="H8" s="1011"/>
      <c r="I8" s="1011"/>
      <c r="J8" s="1011"/>
      <c r="K8" s="1011"/>
      <c r="L8" s="1011"/>
      <c r="M8" s="1012"/>
      <c r="N8" s="61"/>
      <c r="P8" s="24" t="s">
        <v>19</v>
      </c>
      <c r="Q8" s="893">
        <v>0.41666666666666669</v>
      </c>
      <c r="R8" s="894"/>
      <c r="T8" s="671"/>
      <c r="U8" s="883"/>
      <c r="V8" s="810"/>
      <c r="W8" s="811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50"/>
      <c r="R9" s="724"/>
      <c r="T9" s="671"/>
      <c r="U9" s="883"/>
      <c r="V9" s="812"/>
      <c r="W9" s="813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30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7"/>
      <c r="R10" s="898"/>
      <c r="U10" s="24" t="s">
        <v>22</v>
      </c>
      <c r="V10" s="1046" t="s">
        <v>23</v>
      </c>
      <c r="W10" s="809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53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2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3"/>
      <c r="R12" s="894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2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2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4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56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7"/>
      <c r="Q16" s="957"/>
      <c r="R16" s="957"/>
      <c r="S16" s="957"/>
      <c r="T16" s="9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9"/>
      <c r="R17" s="959"/>
      <c r="S17" s="959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37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60"/>
      <c r="R18" s="960"/>
      <c r="S18" s="960"/>
      <c r="T18" s="694"/>
      <c r="U18" s="67" t="s">
        <v>60</v>
      </c>
      <c r="V18" s="67" t="s">
        <v>61</v>
      </c>
      <c r="W18" s="713"/>
      <c r="X18" s="713"/>
      <c r="Y18" s="706"/>
      <c r="Z18" s="838"/>
      <c r="AA18" s="795"/>
      <c r="AB18" s="795"/>
      <c r="AC18" s="795"/>
      <c r="AD18" s="739"/>
      <c r="AE18" s="740"/>
      <c r="AF18" s="741"/>
      <c r="AG18" s="66"/>
      <c r="BD18" s="65"/>
    </row>
    <row r="19" spans="1:68" ht="27.75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0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1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691.2</v>
      </c>
      <c r="Y37" s="664">
        <f>IFERROR(IF(X37="",0,CEILING((X37/$H37),1)*$H37),"")</f>
        <v>691.2</v>
      </c>
      <c r="Z37" s="36">
        <f>IFERROR(IF(Y37=0,"",ROUNDUP(Y37/H37,0)*0.01898),"")</f>
        <v>1.21472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719.04</v>
      </c>
      <c r="BN37" s="64">
        <f>IFERROR(Y37*I37/H37,"0")</f>
        <v>719.04</v>
      </c>
      <c r="BO37" s="64">
        <f>IFERROR(1/J37*(X37/H37),"0")</f>
        <v>1</v>
      </c>
      <c r="BP37" s="64">
        <f>IFERROR(1/J37*(Y37/H37),"0")</f>
        <v>1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8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64</v>
      </c>
      <c r="Y41" s="665">
        <f>IFERROR(Y37/H37,"0")+IFERROR(Y38/H38,"0")+IFERROR(Y39/H39,"0")+IFERROR(Y40/H40,"0")</f>
        <v>64</v>
      </c>
      <c r="Z41" s="665">
        <f>IFERROR(IF(Z37="",0,Z37),"0")+IFERROR(IF(Z38="",0,Z38),"0")+IFERROR(IF(Z39="",0,Z39),"0")+IFERROR(IF(Z40="",0,Z40),"0")</f>
        <v>1.21472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691.2</v>
      </c>
      <c r="Y42" s="665">
        <f>IFERROR(SUM(Y37:Y40),"0")</f>
        <v>691.2</v>
      </c>
      <c r="Z42" s="37"/>
      <c r="AA42" s="666"/>
      <c r="AB42" s="666"/>
      <c r="AC42" s="666"/>
    </row>
    <row r="43" spans="1:68" ht="14.25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1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268.8</v>
      </c>
      <c r="Y49" s="664">
        <f t="shared" ref="Y49:Y54" si="6">IFERROR(IF(X49="",0,CEILING((X49/$H49),1)*$H49),"")</f>
        <v>268.79999999999995</v>
      </c>
      <c r="Z49" s="36">
        <f>IFERROR(IF(Y49=0,"",ROUNDUP(Y49/H49,0)*0.01898),"")</f>
        <v>0.45552000000000004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279.24000000000007</v>
      </c>
      <c r="BN49" s="64">
        <f t="shared" ref="BN49:BN54" si="8">IFERROR(Y49*I49/H49,"0")</f>
        <v>279.23999999999995</v>
      </c>
      <c r="BO49" s="64">
        <f t="shared" ref="BO49:BO54" si="9">IFERROR(1/J49*(X49/H49),"0")</f>
        <v>0.37500000000000006</v>
      </c>
      <c r="BP49" s="64">
        <f t="shared" ref="BP49:BP54" si="10">IFERROR(1/J49*(Y49/H49),"0")</f>
        <v>0.37499999999999994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777.6</v>
      </c>
      <c r="Y50" s="664">
        <f t="shared" si="6"/>
        <v>777.6</v>
      </c>
      <c r="Z50" s="36">
        <f>IFERROR(IF(Y50=0,"",ROUNDUP(Y50/H50,0)*0.01898),"")</f>
        <v>1.36656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808.91999999999985</v>
      </c>
      <c r="BN50" s="64">
        <f t="shared" si="8"/>
        <v>808.91999999999985</v>
      </c>
      <c r="BO50" s="64">
        <f t="shared" si="9"/>
        <v>1.125</v>
      </c>
      <c r="BP50" s="64">
        <f t="shared" si="10"/>
        <v>1.125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96</v>
      </c>
      <c r="Y55" s="665">
        <f>IFERROR(Y49/H49,"0")+IFERROR(Y50/H50,"0")+IFERROR(Y51/H51,"0")+IFERROR(Y52/H52,"0")+IFERROR(Y53/H53,"0")+IFERROR(Y54/H54,"0")</f>
        <v>96</v>
      </c>
      <c r="Z55" s="665">
        <f>IFERROR(IF(Z49="",0,Z49),"0")+IFERROR(IF(Z50="",0,Z50),"0")+IFERROR(IF(Z51="",0,Z51),"0")+IFERROR(IF(Z52="",0,Z52),"0")+IFERROR(IF(Z53="",0,Z53),"0")+IFERROR(IF(Z54="",0,Z54),"0")</f>
        <v>1.8220800000000001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1046.4000000000001</v>
      </c>
      <c r="Y56" s="665">
        <f>IFERROR(SUM(Y49:Y54),"0")</f>
        <v>1046.4000000000001</v>
      </c>
      <c r="Z56" s="37"/>
      <c r="AA56" s="666"/>
      <c r="AB56" s="666"/>
      <c r="AC56" s="666"/>
    </row>
    <row r="57" spans="1:68" ht="14.25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518.4</v>
      </c>
      <c r="Y58" s="664">
        <f>IFERROR(IF(X58="",0,CEILING((X58/$H58),1)*$H58),"")</f>
        <v>518.40000000000009</v>
      </c>
      <c r="Z58" s="36">
        <f>IFERROR(IF(Y58=0,"",ROUNDUP(Y58/H58,0)*0.01898),"")</f>
        <v>0.91104000000000007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539.27999999999986</v>
      </c>
      <c r="BN58" s="64">
        <f>IFERROR(Y58*I58/H58,"0")</f>
        <v>539.28000000000009</v>
      </c>
      <c r="BO58" s="64">
        <f>IFERROR(1/J58*(X58/H58),"0")</f>
        <v>0.74999999999999989</v>
      </c>
      <c r="BP58" s="64">
        <f>IFERROR(1/J58*(Y58/H58),"0")</f>
        <v>0.75000000000000011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47.999999999999993</v>
      </c>
      <c r="Y62" s="665">
        <f>IFERROR(Y58/H58,"0")+IFERROR(Y59/H59,"0")+IFERROR(Y60/H60,"0")+IFERROR(Y61/H61,"0")</f>
        <v>48.000000000000007</v>
      </c>
      <c r="Z62" s="665">
        <f>IFERROR(IF(Z58="",0,Z58),"0")+IFERROR(IF(Z59="",0,Z59),"0")+IFERROR(IF(Z60="",0,Z60),"0")+IFERROR(IF(Z61="",0,Z61),"0")</f>
        <v>0.91104000000000007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518.4</v>
      </c>
      <c r="Y63" s="665">
        <f>IFERROR(SUM(Y58:Y61),"0")</f>
        <v>518.40000000000009</v>
      </c>
      <c r="Z63" s="37"/>
      <c r="AA63" s="666"/>
      <c r="AB63" s="666"/>
      <c r="AC63" s="666"/>
    </row>
    <row r="64" spans="1:68" ht="14.25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67.2</v>
      </c>
      <c r="Y73" s="664">
        <f t="shared" si="11"/>
        <v>67.2</v>
      </c>
      <c r="Z73" s="36">
        <f>IFERROR(IF(Y73=0,"",ROUNDUP(Y73/H73,0)*0.01898),"")</f>
        <v>0.15184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71.256</v>
      </c>
      <c r="BN73" s="64">
        <f t="shared" si="13"/>
        <v>71.256</v>
      </c>
      <c r="BO73" s="64">
        <f t="shared" si="14"/>
        <v>0.125</v>
      </c>
      <c r="BP73" s="64">
        <f t="shared" si="15"/>
        <v>0.125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8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67.2</v>
      </c>
      <c r="Y78" s="665">
        <f>IFERROR(SUM(Y71:Y76),"0")</f>
        <v>67.2</v>
      </c>
      <c r="Z78" s="37"/>
      <c r="AA78" s="666"/>
      <c r="AB78" s="666"/>
      <c r="AC78" s="666"/>
    </row>
    <row r="79" spans="1:68" ht="14.25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0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2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324</v>
      </c>
      <c r="Y95" s="664">
        <f t="shared" si="16"/>
        <v>324</v>
      </c>
      <c r="Z95" s="36">
        <f>IFERROR(IF(Y95=0,"",ROUNDUP(Y95/H95,0)*0.01898),"")</f>
        <v>0.75919999999999999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344.76000000000005</v>
      </c>
      <c r="BN95" s="64">
        <f t="shared" si="18"/>
        <v>344.76000000000005</v>
      </c>
      <c r="BO95" s="64">
        <f t="shared" si="19"/>
        <v>0.625</v>
      </c>
      <c r="BP95" s="64">
        <f t="shared" si="20"/>
        <v>0.625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26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8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799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37.799999999999997</v>
      </c>
      <c r="Y98" s="664">
        <f t="shared" si="16"/>
        <v>37.800000000000004</v>
      </c>
      <c r="Z98" s="36">
        <f>IFERROR(IF(Y98=0,"",ROUNDUP(Y98/H98,0)*0.00651),"")</f>
        <v>9.1139999999999999E-2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41.327999999999989</v>
      </c>
      <c r="BN98" s="64">
        <f t="shared" si="18"/>
        <v>41.328000000000003</v>
      </c>
      <c r="BO98" s="64">
        <f t="shared" si="19"/>
        <v>7.6923076923076913E-2</v>
      </c>
      <c r="BP98" s="64">
        <f t="shared" si="20"/>
        <v>7.6923076923076927E-2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0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54</v>
      </c>
      <c r="Y102" s="665">
        <f>IFERROR(Y93/H93,"0")+IFERROR(Y94/H94,"0")+IFERROR(Y95/H95,"0")+IFERROR(Y96/H96,"0")+IFERROR(Y97/H97,"0")+IFERROR(Y98/H98,"0")+IFERROR(Y99/H99,"0")+IFERROR(Y100/H100,"0")+IFERROR(Y101/H101,"0")</f>
        <v>54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0.85033999999999998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361.8</v>
      </c>
      <c r="Y103" s="665">
        <f>IFERROR(SUM(Y93:Y101),"0")</f>
        <v>361.8</v>
      </c>
      <c r="Z103" s="37"/>
      <c r="AA103" s="666"/>
      <c r="AB103" s="666"/>
      <c r="AC103" s="666"/>
    </row>
    <row r="104" spans="1:68" ht="16.5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691.2</v>
      </c>
      <c r="Y106" s="664">
        <f>IFERROR(IF(X106="",0,CEILING((X106/$H106),1)*$H106),"")</f>
        <v>691.2</v>
      </c>
      <c r="Z106" s="36">
        <f>IFERROR(IF(Y106=0,"",ROUNDUP(Y106/H106,0)*0.01898),"")</f>
        <v>1.21472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719.04</v>
      </c>
      <c r="BN106" s="64">
        <f>IFERROR(Y106*I106/H106,"0")</f>
        <v>719.04</v>
      </c>
      <c r="BO106" s="64">
        <f>IFERROR(1/J106*(X106/H106),"0")</f>
        <v>1</v>
      </c>
      <c r="BP106" s="64">
        <f>IFERROR(1/J106*(Y106/H106),"0")</f>
        <v>1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64</v>
      </c>
      <c r="Y110" s="665">
        <f>IFERROR(Y106/H106,"0")+IFERROR(Y107/H107,"0")+IFERROR(Y108/H108,"0")+IFERROR(Y109/H109,"0")</f>
        <v>64</v>
      </c>
      <c r="Z110" s="665">
        <f>IFERROR(IF(Z106="",0,Z106),"0")+IFERROR(IF(Z107="",0,Z107),"0")+IFERROR(IF(Z108="",0,Z108),"0")+IFERROR(IF(Z109="",0,Z109),"0")</f>
        <v>1.21472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691.2</v>
      </c>
      <c r="Y111" s="665">
        <f>IFERROR(SUM(Y106:Y109),"0")</f>
        <v>691.2</v>
      </c>
      <c r="Z111" s="37"/>
      <c r="AA111" s="666"/>
      <c r="AB111" s="666"/>
      <c r="AC111" s="666"/>
    </row>
    <row r="112" spans="1:68" ht="14.25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45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9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453.6</v>
      </c>
      <c r="Y121" s="664">
        <f t="shared" si="21"/>
        <v>453.59999999999997</v>
      </c>
      <c r="Z121" s="36">
        <f>IFERROR(IF(Y121=0,"",ROUNDUP(Y121/H121,0)*0.01898),"")</f>
        <v>1.06288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482.32800000000003</v>
      </c>
      <c r="BN121" s="64">
        <f t="shared" si="23"/>
        <v>482.32799999999997</v>
      </c>
      <c r="BO121" s="64">
        <f t="shared" si="24"/>
        <v>0.87500000000000011</v>
      </c>
      <c r="BP121" s="64">
        <f t="shared" si="25"/>
        <v>0.875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4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97.2</v>
      </c>
      <c r="Y125" s="664">
        <f t="shared" si="21"/>
        <v>97.2</v>
      </c>
      <c r="Z125" s="36">
        <f t="shared" si="26"/>
        <v>0.23436000000000001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106.27199999999999</v>
      </c>
      <c r="BN125" s="64">
        <f t="shared" si="23"/>
        <v>106.27199999999999</v>
      </c>
      <c r="BO125" s="64">
        <f t="shared" si="24"/>
        <v>0.19780219780219782</v>
      </c>
      <c r="BP125" s="64">
        <f t="shared" si="25"/>
        <v>0.19780219780219782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92</v>
      </c>
      <c r="Y128" s="665">
        <f>IFERROR(Y119/H119,"0")+IFERROR(Y120/H120,"0")+IFERROR(Y121/H121,"0")+IFERROR(Y122/H122,"0")+IFERROR(Y123/H123,"0")+IFERROR(Y124/H124,"0")+IFERROR(Y125/H125,"0")+IFERROR(Y126/H126,"0")+IFERROR(Y127/H127,"0")</f>
        <v>92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1.2972399999999999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550.80000000000007</v>
      </c>
      <c r="Y129" s="665">
        <f>IFERROR(SUM(Y119:Y127),"0")</f>
        <v>550.79999999999995</v>
      </c>
      <c r="Z129" s="37"/>
      <c r="AA129" s="666"/>
      <c r="AB129" s="666"/>
      <c r="AC129" s="666"/>
    </row>
    <row r="130" spans="1:68" ht="14.25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6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9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504</v>
      </c>
      <c r="Y176" s="664">
        <f t="shared" si="27"/>
        <v>504</v>
      </c>
      <c r="Z176" s="36">
        <f>IFERROR(IF(Y176=0,"",ROUNDUP(Y176/H176,0)*0.00902),"")</f>
        <v>1.0824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529.19999999999993</v>
      </c>
      <c r="BN176" s="64">
        <f t="shared" si="29"/>
        <v>529.19999999999993</v>
      </c>
      <c r="BO176" s="64">
        <f t="shared" si="30"/>
        <v>0.90909090909090917</v>
      </c>
      <c r="BP176" s="64">
        <f t="shared" si="31"/>
        <v>0.90909090909090917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189</v>
      </c>
      <c r="Y177" s="664">
        <f t="shared" si="27"/>
        <v>189</v>
      </c>
      <c r="Z177" s="36">
        <f>IFERROR(IF(Y177=0,"",ROUNDUP(Y177/H177,0)*0.00502),"")</f>
        <v>0.45180000000000003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200.7</v>
      </c>
      <c r="BN177" s="64">
        <f t="shared" si="29"/>
        <v>200.7</v>
      </c>
      <c r="BO177" s="64">
        <f t="shared" si="30"/>
        <v>0.38461538461538464</v>
      </c>
      <c r="BP177" s="64">
        <f t="shared" si="31"/>
        <v>0.38461538461538464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68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340.2</v>
      </c>
      <c r="Y180" s="664">
        <f t="shared" si="27"/>
        <v>340.2</v>
      </c>
      <c r="Z180" s="36">
        <f>IFERROR(IF(Y180=0,"",ROUNDUP(Y180/H180,0)*0.00502),"")</f>
        <v>0.81324000000000007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356.40000000000003</v>
      </c>
      <c r="BN180" s="64">
        <f t="shared" si="29"/>
        <v>356.40000000000003</v>
      </c>
      <c r="BO180" s="64">
        <f t="shared" si="30"/>
        <v>0.6923076923076924</v>
      </c>
      <c r="BP180" s="64">
        <f t="shared" si="31"/>
        <v>0.6923076923076924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372</v>
      </c>
      <c r="Y183" s="665">
        <f>IFERROR(Y174/H174,"0")+IFERROR(Y175/H175,"0")+IFERROR(Y176/H176,"0")+IFERROR(Y177/H177,"0")+IFERROR(Y178/H178,"0")+IFERROR(Y179/H179,"0")+IFERROR(Y180/H180,"0")+IFERROR(Y181/H181,"0")+IFERROR(Y182/H182,"0")</f>
        <v>372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2.3474400000000002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1033.2</v>
      </c>
      <c r="Y184" s="665">
        <f>IFERROR(SUM(Y174:Y182),"0")</f>
        <v>1033.2</v>
      </c>
      <c r="Z184" s="37"/>
      <c r="AA184" s="666"/>
      <c r="AB184" s="666"/>
      <c r="AC184" s="666"/>
    </row>
    <row r="185" spans="1:68" ht="14.25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518.4</v>
      </c>
      <c r="Y201" s="664">
        <f t="shared" ref="Y201:Y208" si="32">IFERROR(IF(X201="",0,CEILING((X201/$H201),1)*$H201),"")</f>
        <v>518.40000000000009</v>
      </c>
      <c r="Z201" s="36">
        <f>IFERROR(IF(Y201=0,"",ROUNDUP(Y201/H201,0)*0.00902),"")</f>
        <v>0.86592000000000002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538.55999999999995</v>
      </c>
      <c r="BN201" s="64">
        <f t="shared" ref="BN201:BN208" si="34">IFERROR(Y201*I201/H201,"0")</f>
        <v>538.56000000000006</v>
      </c>
      <c r="BO201" s="64">
        <f t="shared" ref="BO201:BO208" si="35">IFERROR(1/J201*(X201/H201),"0")</f>
        <v>0.72727272727272718</v>
      </c>
      <c r="BP201" s="64">
        <f t="shared" ref="BP201:BP208" si="36">IFERROR(1/J201*(Y201/H201),"0")</f>
        <v>0.7272727272727274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95.999999999999986</v>
      </c>
      <c r="Y209" s="665">
        <f>IFERROR(Y201/H201,"0")+IFERROR(Y202/H202,"0")+IFERROR(Y203/H203,"0")+IFERROR(Y204/H204,"0")+IFERROR(Y205/H205,"0")+IFERROR(Y206/H206,"0")+IFERROR(Y207/H207,"0")+IFERROR(Y208/H208,"0")</f>
        <v>96.000000000000014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0.86592000000000002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518.4</v>
      </c>
      <c r="Y210" s="665">
        <f>IFERROR(SUM(Y201:Y208),"0")</f>
        <v>518.40000000000009</v>
      </c>
      <c r="Z210" s="37"/>
      <c r="AA210" s="666"/>
      <c r="AB210" s="666"/>
      <c r="AC210" s="666"/>
    </row>
    <row r="211" spans="1:68" ht="14.25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765.6</v>
      </c>
      <c r="Y214" s="664">
        <f t="shared" si="37"/>
        <v>765.59999999999991</v>
      </c>
      <c r="Z214" s="36">
        <f>IFERROR(IF(Y214=0,"",ROUNDUP(Y214/H214,0)*0.01898),"")</f>
        <v>1.6702399999999999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811.27200000000005</v>
      </c>
      <c r="BN214" s="64">
        <f t="shared" si="39"/>
        <v>811.27199999999993</v>
      </c>
      <c r="BO214" s="64">
        <f t="shared" si="40"/>
        <v>1.3750000000000002</v>
      </c>
      <c r="BP214" s="64">
        <f t="shared" si="41"/>
        <v>1.375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28.8</v>
      </c>
      <c r="Y215" s="664">
        <f t="shared" si="37"/>
        <v>28.799999999999997</v>
      </c>
      <c r="Z215" s="36">
        <f t="shared" ref="Z215:Z220" si="42">IFERROR(IF(Y215=0,"",ROUNDUP(Y215/H215,0)*0.00651),"")</f>
        <v>7.8119999999999995E-2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32.04</v>
      </c>
      <c r="BN215" s="64">
        <f t="shared" si="39"/>
        <v>32.039999999999992</v>
      </c>
      <c r="BO215" s="64">
        <f t="shared" si="40"/>
        <v>6.5934065934065936E-2</v>
      </c>
      <c r="BP215" s="64">
        <f t="shared" si="41"/>
        <v>6.5934065934065936E-2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144</v>
      </c>
      <c r="Y217" s="664">
        <f t="shared" si="37"/>
        <v>144</v>
      </c>
      <c r="Z217" s="36">
        <f t="shared" si="42"/>
        <v>0.3906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159.12000000000003</v>
      </c>
      <c r="BN217" s="64">
        <f t="shared" si="39"/>
        <v>159.12000000000003</v>
      </c>
      <c r="BO217" s="64">
        <f t="shared" si="40"/>
        <v>0.32967032967032972</v>
      </c>
      <c r="BP217" s="64">
        <f t="shared" si="41"/>
        <v>0.32967032967032972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172.8</v>
      </c>
      <c r="Y218" s="664">
        <f t="shared" si="37"/>
        <v>172.79999999999998</v>
      </c>
      <c r="Z218" s="36">
        <f t="shared" si="42"/>
        <v>0.46872000000000003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190.94400000000005</v>
      </c>
      <c r="BN218" s="64">
        <f t="shared" si="39"/>
        <v>190.94400000000002</v>
      </c>
      <c r="BO218" s="64">
        <f t="shared" si="40"/>
        <v>0.3956043956043957</v>
      </c>
      <c r="BP218" s="64">
        <f t="shared" si="41"/>
        <v>0.39560439560439564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57.6</v>
      </c>
      <c r="Y220" s="664">
        <f t="shared" si="37"/>
        <v>57.599999999999994</v>
      </c>
      <c r="Z220" s="36">
        <f t="shared" si="42"/>
        <v>0.15623999999999999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63.792000000000002</v>
      </c>
      <c r="BN220" s="64">
        <f t="shared" si="39"/>
        <v>63.792000000000002</v>
      </c>
      <c r="BO220" s="64">
        <f t="shared" si="40"/>
        <v>0.13186813186813187</v>
      </c>
      <c r="BP220" s="64">
        <f t="shared" si="41"/>
        <v>0.13186813186813187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256</v>
      </c>
      <c r="Y221" s="665">
        <f>IFERROR(Y212/H212,"0")+IFERROR(Y213/H213,"0")+IFERROR(Y214/H214,"0")+IFERROR(Y215/H215,"0")+IFERROR(Y216/H216,"0")+IFERROR(Y217/H217,"0")+IFERROR(Y218/H218,"0")+IFERROR(Y219/H219,"0")+IFERROR(Y220/H220,"0")</f>
        <v>256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2.7639200000000002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1168.8</v>
      </c>
      <c r="Y222" s="665">
        <f>IFERROR(SUM(Y212:Y220),"0")</f>
        <v>1168.7999999999997</v>
      </c>
      <c r="Z222" s="37"/>
      <c r="AA222" s="666"/>
      <c r="AB222" s="666"/>
      <c r="AC222" s="666"/>
    </row>
    <row r="223" spans="1:68" ht="14.25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28.8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31.824000000000002</v>
      </c>
      <c r="BN224" s="64">
        <f>IFERROR(Y224*I224/H224,"0")</f>
        <v>31.824000000000002</v>
      </c>
      <c r="BO224" s="64">
        <f>IFERROR(1/J224*(X224/H224),"0")</f>
        <v>6.5934065934065936E-2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24</v>
      </c>
      <c r="Y226" s="665">
        <f>IFERROR(Y224/H224,"0")+IFERROR(Y225/H225,"0")</f>
        <v>24</v>
      </c>
      <c r="Z226" s="665">
        <f>IFERROR(IF(Z224="",0,Z224),"0")+IFERROR(IF(Z225="",0,Z225),"0")</f>
        <v>0.15623999999999999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57.6</v>
      </c>
      <c r="Y227" s="665">
        <f>IFERROR(SUM(Y224:Y225),"0")</f>
        <v>57.599999999999994</v>
      </c>
      <c r="Z227" s="37"/>
      <c r="AA227" s="666"/>
      <c r="AB227" s="666"/>
      <c r="AC227" s="666"/>
    </row>
    <row r="228" spans="1:68" ht="16.5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9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46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61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2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0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0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172.8</v>
      </c>
      <c r="Y279" s="664">
        <f>IFERROR(IF(X279="",0,CEILING((X279/$H279),1)*$H279),"")</f>
        <v>172.79999999999998</v>
      </c>
      <c r="Z279" s="36">
        <f>IFERROR(IF(Y279=0,"",ROUNDUP(Y279/H279,0)*0.00651),"")</f>
        <v>0.46872000000000003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190.94400000000005</v>
      </c>
      <c r="BN279" s="64">
        <f>IFERROR(Y279*I279/H279,"0")</f>
        <v>190.94400000000002</v>
      </c>
      <c r="BO279" s="64">
        <f>IFERROR(1/J279*(X279/H279),"0")</f>
        <v>0.3956043956043957</v>
      </c>
      <c r="BP279" s="64">
        <f>IFERROR(1/J279*(Y279/H279),"0")</f>
        <v>0.39560439560439564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316.8</v>
      </c>
      <c r="Y280" s="664">
        <f>IFERROR(IF(X280="",0,CEILING((X280/$H280),1)*$H280),"")</f>
        <v>316.8</v>
      </c>
      <c r="Z280" s="36">
        <f>IFERROR(IF(Y280=0,"",ROUNDUP(Y280/H280,0)*0.00651),"")</f>
        <v>0.85931999999999997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340.56000000000006</v>
      </c>
      <c r="BN280" s="64">
        <f>IFERROR(Y280*I280/H280,"0")</f>
        <v>340.56000000000006</v>
      </c>
      <c r="BO280" s="64">
        <f>IFERROR(1/J280*(X280/H280),"0")</f>
        <v>0.72527472527472536</v>
      </c>
      <c r="BP280" s="64">
        <f>IFERROR(1/J280*(Y280/H280),"0")</f>
        <v>0.72527472527472536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4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204</v>
      </c>
      <c r="Y282" s="665">
        <f>IFERROR(Y277/H277,"0")+IFERROR(Y278/H278,"0")+IFERROR(Y279/H279,"0")+IFERROR(Y280/H280,"0")+IFERROR(Y281/H281,"0")</f>
        <v>204</v>
      </c>
      <c r="Z282" s="665">
        <f>IFERROR(IF(Z277="",0,Z277),"0")+IFERROR(IF(Z278="",0,Z278),"0")+IFERROR(IF(Z279="",0,Z279),"0")+IFERROR(IF(Z280="",0,Z280),"0")+IFERROR(IF(Z281="",0,Z281),"0")</f>
        <v>1.3280400000000001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489.6</v>
      </c>
      <c r="Y283" s="665">
        <f>IFERROR(SUM(Y277:Y281),"0")</f>
        <v>489.6</v>
      </c>
      <c r="Z283" s="37"/>
      <c r="AA283" s="666"/>
      <c r="AB283" s="666"/>
      <c r="AC283" s="666"/>
    </row>
    <row r="284" spans="1:68" ht="16.5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67.2</v>
      </c>
      <c r="Y343" s="664">
        <f>IFERROR(IF(X343="",0,CEILING((X343/$H343),1)*$H343),"")</f>
        <v>67.2</v>
      </c>
      <c r="Z343" s="36">
        <f>IFERROR(IF(Y343=0,"",ROUNDUP(Y343/H343,0)*0.01898),"")</f>
        <v>0.15184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71.352000000000004</v>
      </c>
      <c r="BN343" s="64">
        <f>IFERROR(Y343*I343/H343,"0")</f>
        <v>71.352000000000004</v>
      </c>
      <c r="BO343" s="64">
        <f>IFERROR(1/J343*(X343/H343),"0")</f>
        <v>0.125</v>
      </c>
      <c r="BP343" s="64">
        <f>IFERROR(1/J343*(Y343/H343),"0")</f>
        <v>0.125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62.4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66.552000000000007</v>
      </c>
      <c r="BN344" s="64">
        <f>IFERROR(Y344*I344/H344,"0")</f>
        <v>66.552000000000007</v>
      </c>
      <c r="BO344" s="64">
        <f>IFERROR(1/J344*(X344/H344),"0")</f>
        <v>0.125</v>
      </c>
      <c r="BP344" s="64">
        <f>IFERROR(1/J344*(Y344/H344),"0")</f>
        <v>0.125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67.2</v>
      </c>
      <c r="Y345" s="664">
        <f>IFERROR(IF(X345="",0,CEILING((X345/$H345),1)*$H345),"")</f>
        <v>67.2</v>
      </c>
      <c r="Z345" s="36">
        <f>IFERROR(IF(Y345=0,"",ROUNDUP(Y345/H345,0)*0.01898),"")</f>
        <v>0.15184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71.352000000000004</v>
      </c>
      <c r="BN345" s="64">
        <f>IFERROR(Y345*I345/H345,"0")</f>
        <v>71.352000000000004</v>
      </c>
      <c r="BO345" s="64">
        <f>IFERROR(1/J345*(X345/H345),"0")</f>
        <v>0.125</v>
      </c>
      <c r="BP345" s="64">
        <f>IFERROR(1/J345*(Y345/H345),"0")</f>
        <v>0.125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24</v>
      </c>
      <c r="Y346" s="665">
        <f>IFERROR(Y343/H343,"0")+IFERROR(Y344/H344,"0")+IFERROR(Y345/H345,"0")</f>
        <v>24</v>
      </c>
      <c r="Z346" s="665">
        <f>IFERROR(IF(Z343="",0,Z343),"0")+IFERROR(IF(Z344="",0,Z344),"0")+IFERROR(IF(Z345="",0,Z345),"0")</f>
        <v>0.45552000000000004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196.8</v>
      </c>
      <c r="Y347" s="665">
        <f>IFERROR(SUM(Y343:Y345),"0")</f>
        <v>196.8</v>
      </c>
      <c r="Z347" s="37"/>
      <c r="AA347" s="666"/>
      <c r="AB347" s="666"/>
      <c r="AC347" s="666"/>
    </row>
    <row r="348" spans="1:68" ht="14.25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71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5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129.6</v>
      </c>
      <c r="Y367" s="664">
        <f>IFERROR(IF(X367="",0,CEILING((X367/$H367),1)*$H367),"")</f>
        <v>129.6</v>
      </c>
      <c r="Z367" s="36">
        <f>IFERROR(IF(Y367=0,"",ROUNDUP(Y367/H367,0)*0.01898),"")</f>
        <v>0.30368000000000001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137.904</v>
      </c>
      <c r="BN367" s="64">
        <f>IFERROR(Y367*I367/H367,"0")</f>
        <v>137.904</v>
      </c>
      <c r="BO367" s="64">
        <f>IFERROR(1/J367*(X367/H367),"0")</f>
        <v>0.25</v>
      </c>
      <c r="BP367" s="64">
        <f>IFERROR(1/J367*(Y367/H367),"0")</f>
        <v>0.25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16</v>
      </c>
      <c r="Y370" s="665">
        <f>IFERROR(Y367/H367,"0")+IFERROR(Y368/H368,"0")+IFERROR(Y369/H369,"0")</f>
        <v>16</v>
      </c>
      <c r="Z370" s="665">
        <f>IFERROR(IF(Z367="",0,Z367),"0")+IFERROR(IF(Z368="",0,Z368),"0")+IFERROR(IF(Z369="",0,Z369),"0")</f>
        <v>0.30368000000000001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129.6</v>
      </c>
      <c r="Y371" s="665">
        <f>IFERROR(SUM(Y367:Y369),"0")</f>
        <v>129.6</v>
      </c>
      <c r="Z371" s="37"/>
      <c r="AA371" s="666"/>
      <c r="AB371" s="666"/>
      <c r="AC371" s="666"/>
    </row>
    <row r="372" spans="1:68" ht="27.75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480</v>
      </c>
      <c r="Y375" s="664">
        <f t="shared" ref="Y375:Y384" si="58">IFERROR(IF(X375="",0,CEILING((X375/$H375),1)*$H375),"")</f>
        <v>480</v>
      </c>
      <c r="Z375" s="36">
        <f>IFERROR(IF(Y375=0,"",ROUNDUP(Y375/H375,0)*0.02175),"")</f>
        <v>0.69599999999999995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495.36</v>
      </c>
      <c r="BN375" s="64">
        <f t="shared" ref="BN375:BN384" si="60">IFERROR(Y375*I375/H375,"0")</f>
        <v>495.36</v>
      </c>
      <c r="BO375" s="64">
        <f t="shared" ref="BO375:BO384" si="61">IFERROR(1/J375*(X375/H375),"0")</f>
        <v>0.66666666666666663</v>
      </c>
      <c r="BP375" s="64">
        <f t="shared" ref="BP375:BP384" si="62">IFERROR(1/J375*(Y375/H375),"0")</f>
        <v>0.66666666666666663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5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240</v>
      </c>
      <c r="Y377" s="664">
        <f t="shared" si="58"/>
        <v>240</v>
      </c>
      <c r="Z377" s="36">
        <f>IFERROR(IF(Y377=0,"",ROUNDUP(Y377/H377,0)*0.02175),"")</f>
        <v>0.34799999999999998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247.68</v>
      </c>
      <c r="BN377" s="64">
        <f t="shared" si="60"/>
        <v>247.68</v>
      </c>
      <c r="BO377" s="64">
        <f t="shared" si="61"/>
        <v>0.33333333333333331</v>
      </c>
      <c r="BP377" s="64">
        <f t="shared" si="62"/>
        <v>0.33333333333333331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405</v>
      </c>
      <c r="Y379" s="664">
        <f t="shared" si="58"/>
        <v>405</v>
      </c>
      <c r="Z379" s="36">
        <f>IFERROR(IF(Y379=0,"",ROUNDUP(Y379/H379,0)*0.02175),"")</f>
        <v>0.58724999999999994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417.96000000000004</v>
      </c>
      <c r="BN379" s="64">
        <f t="shared" si="60"/>
        <v>417.96000000000004</v>
      </c>
      <c r="BO379" s="64">
        <f t="shared" si="61"/>
        <v>0.5625</v>
      </c>
      <c r="BP379" s="64">
        <f t="shared" si="62"/>
        <v>0.5625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75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1.6312500000000001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1125</v>
      </c>
      <c r="Y386" s="665">
        <f>IFERROR(SUM(Y375:Y384),"0")</f>
        <v>1125</v>
      </c>
      <c r="Z386" s="37"/>
      <c r="AA386" s="666"/>
      <c r="AB386" s="666"/>
      <c r="AC386" s="666"/>
    </row>
    <row r="387" spans="1:68" ht="14.25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240</v>
      </c>
      <c r="Y388" s="664">
        <f>IFERROR(IF(X388="",0,CEILING((X388/$H388),1)*$H388),"")</f>
        <v>240</v>
      </c>
      <c r="Z388" s="36">
        <f>IFERROR(IF(Y388=0,"",ROUNDUP(Y388/H388,0)*0.02175),"")</f>
        <v>0.34799999999999998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247.68</v>
      </c>
      <c r="BN388" s="64">
        <f>IFERROR(Y388*I388/H388,"0")</f>
        <v>247.68</v>
      </c>
      <c r="BO388" s="64">
        <f>IFERROR(1/J388*(X388/H388),"0")</f>
        <v>0.33333333333333331</v>
      </c>
      <c r="BP388" s="64">
        <f>IFERROR(1/J388*(Y388/H388),"0")</f>
        <v>0.33333333333333331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16</v>
      </c>
      <c r="Y390" s="665">
        <f>IFERROR(Y388/H388,"0")+IFERROR(Y389/H389,"0")</f>
        <v>16</v>
      </c>
      <c r="Z390" s="665">
        <f>IFERROR(IF(Z388="",0,Z388),"0")+IFERROR(IF(Z389="",0,Z389),"0")</f>
        <v>0.34799999999999998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240</v>
      </c>
      <c r="Y391" s="665">
        <f>IFERROR(SUM(Y388:Y389),"0")</f>
        <v>240</v>
      </c>
      <c r="Z391" s="37"/>
      <c r="AA391" s="666"/>
      <c r="AB391" s="666"/>
      <c r="AC391" s="666"/>
    </row>
    <row r="392" spans="1:68" ht="14.25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5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01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05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72</v>
      </c>
      <c r="Y398" s="664">
        <f>IFERROR(IF(X398="",0,CEILING((X398/$H398),1)*$H398),"")</f>
        <v>72</v>
      </c>
      <c r="Z398" s="36">
        <f>IFERROR(IF(Y398=0,"",ROUNDUP(Y398/H398,0)*0.01898),"")</f>
        <v>0.15184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76.152000000000001</v>
      </c>
      <c r="BN398" s="64">
        <f>IFERROR(Y398*I398/H398,"0")</f>
        <v>76.152000000000001</v>
      </c>
      <c r="BO398" s="64">
        <f>IFERROR(1/J398*(X398/H398),"0")</f>
        <v>0.125</v>
      </c>
      <c r="BP398" s="64">
        <f>IFERROR(1/J398*(Y398/H398),"0")</f>
        <v>0.125</v>
      </c>
    </row>
    <row r="399" spans="1:68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8</v>
      </c>
      <c r="Y399" s="665">
        <f>IFERROR(Y398/H398,"0")</f>
        <v>8</v>
      </c>
      <c r="Z399" s="665">
        <f>IFERROR(IF(Z398="",0,Z398),"0")</f>
        <v>0.15184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72</v>
      </c>
      <c r="Y400" s="665">
        <f>IFERROR(SUM(Y398:Y398),"0")</f>
        <v>72</v>
      </c>
      <c r="Z400" s="37"/>
      <c r="AA400" s="666"/>
      <c r="AB400" s="666"/>
      <c r="AC400" s="666"/>
    </row>
    <row r="401" spans="1:68" ht="16.5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259.2</v>
      </c>
      <c r="Y405" s="664">
        <f>IFERROR(IF(X405="",0,CEILING((X405/$H405),1)*$H405),"")</f>
        <v>259.20000000000005</v>
      </c>
      <c r="Z405" s="36">
        <f>IFERROR(IF(Y405=0,"",ROUNDUP(Y405/H405,0)*0.01898),"")</f>
        <v>0.45552000000000004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269.63999999999993</v>
      </c>
      <c r="BN405" s="64">
        <f>IFERROR(Y405*I405/H405,"0")</f>
        <v>269.64000000000004</v>
      </c>
      <c r="BO405" s="64">
        <f>IFERROR(1/J405*(X405/H405),"0")</f>
        <v>0.37499999999999994</v>
      </c>
      <c r="BP405" s="64">
        <f>IFERROR(1/J405*(Y405/H405),"0")</f>
        <v>0.37500000000000006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23.999999999999996</v>
      </c>
      <c r="Y408" s="665">
        <f>IFERROR(Y403/H403,"0")+IFERROR(Y404/H404,"0")+IFERROR(Y405/H405,"0")+IFERROR(Y406/H406,"0")+IFERROR(Y407/H407,"0")</f>
        <v>24.000000000000004</v>
      </c>
      <c r="Z408" s="665">
        <f>IFERROR(IF(Z403="",0,Z403),"0")+IFERROR(IF(Z404="",0,Z404),"0")+IFERROR(IF(Z405="",0,Z405),"0")+IFERROR(IF(Z406="",0,Z406),"0")+IFERROR(IF(Z407="",0,Z407),"0")</f>
        <v>0.45552000000000004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259.2</v>
      </c>
      <c r="Y409" s="665">
        <f>IFERROR(SUM(Y403:Y407),"0")</f>
        <v>259.20000000000005</v>
      </c>
      <c r="Z409" s="37"/>
      <c r="AA409" s="666"/>
      <c r="AB409" s="666"/>
      <c r="AC409" s="666"/>
    </row>
    <row r="410" spans="1:68" ht="14.25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288</v>
      </c>
      <c r="Y416" s="664">
        <f>IFERROR(IF(X416="",0,CEILING((X416/$H416),1)*$H416),"")</f>
        <v>288</v>
      </c>
      <c r="Z416" s="36">
        <f>IFERROR(IF(Y416=0,"",ROUNDUP(Y416/H416,0)*0.01898),"")</f>
        <v>0.60736000000000001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304.608</v>
      </c>
      <c r="BN416" s="64">
        <f>IFERROR(Y416*I416/H416,"0")</f>
        <v>304.608</v>
      </c>
      <c r="BO416" s="64">
        <f>IFERROR(1/J416*(X416/H416),"0")</f>
        <v>0.5</v>
      </c>
      <c r="BP416" s="64">
        <f>IFERROR(1/J416*(Y416/H416),"0")</f>
        <v>0.5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57.6</v>
      </c>
      <c r="Y418" s="664">
        <f>IFERROR(IF(X418="",0,CEILING((X418/$H418),1)*$H418),"")</f>
        <v>57.599999999999994</v>
      </c>
      <c r="Z418" s="36">
        <f>IFERROR(IF(Y418=0,"",ROUNDUP(Y418/H418,0)*0.00651),"")</f>
        <v>0.15623999999999999</v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63.936000000000007</v>
      </c>
      <c r="BN418" s="64">
        <f>IFERROR(Y418*I418/H418,"0")</f>
        <v>63.935999999999993</v>
      </c>
      <c r="BO418" s="64">
        <f>IFERROR(1/J418*(X418/H418),"0")</f>
        <v>0.13186813186813187</v>
      </c>
      <c r="BP418" s="64">
        <f>IFERROR(1/J418*(Y418/H418),"0")</f>
        <v>0.13186813186813187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56</v>
      </c>
      <c r="Y421" s="665">
        <f>IFERROR(Y416/H416,"0")+IFERROR(Y417/H417,"0")+IFERROR(Y418/H418,"0")+IFERROR(Y419/H419,"0")+IFERROR(Y420/H420,"0")</f>
        <v>56</v>
      </c>
      <c r="Z421" s="665">
        <f>IFERROR(IF(Z416="",0,Z416),"0")+IFERROR(IF(Z417="",0,Z417),"0")+IFERROR(IF(Z418="",0,Z418),"0")+IFERROR(IF(Z419="",0,Z419),"0")+IFERROR(IF(Z420="",0,Z420),"0")</f>
        <v>0.76360000000000006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345.6</v>
      </c>
      <c r="Y422" s="665">
        <f>IFERROR(SUM(Y416:Y420),"0")</f>
        <v>345.6</v>
      </c>
      <c r="Z422" s="37"/>
      <c r="AA422" s="666"/>
      <c r="AB422" s="666"/>
      <c r="AC422" s="666"/>
    </row>
    <row r="423" spans="1:68" ht="14.25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1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4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07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9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9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295.68</v>
      </c>
      <c r="Y482" s="664">
        <f t="shared" si="69"/>
        <v>295.68</v>
      </c>
      <c r="Z482" s="36">
        <f>IFERROR(IF(Y482=0,"",ROUNDUP(Y482/H482,0)*0.01196),"")</f>
        <v>0.66976000000000002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315.83999999999997</v>
      </c>
      <c r="BN482" s="64">
        <f t="shared" si="71"/>
        <v>315.83999999999997</v>
      </c>
      <c r="BO482" s="64">
        <f t="shared" si="72"/>
        <v>0.53846153846153855</v>
      </c>
      <c r="BP482" s="64">
        <f t="shared" si="73"/>
        <v>0.53846153846153855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506.88</v>
      </c>
      <c r="Y483" s="664">
        <f t="shared" si="69"/>
        <v>506.88</v>
      </c>
      <c r="Z483" s="36">
        <f>IFERROR(IF(Y483=0,"",ROUNDUP(Y483/H483,0)*0.01196),"")</f>
        <v>1.1481600000000001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541.43999999999994</v>
      </c>
      <c r="BN483" s="64">
        <f t="shared" si="71"/>
        <v>541.43999999999994</v>
      </c>
      <c r="BO483" s="64">
        <f t="shared" si="72"/>
        <v>0.92307692307692313</v>
      </c>
      <c r="BP483" s="64">
        <f t="shared" si="73"/>
        <v>0.92307692307692313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29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5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25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6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1.81792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802.56</v>
      </c>
      <c r="Y496" s="665">
        <f>IFERROR(SUM(Y480:Y494),"0")</f>
        <v>802.56</v>
      </c>
      <c r="Z496" s="37"/>
      <c r="AA496" s="666"/>
      <c r="AB496" s="666"/>
      <c r="AC496" s="666"/>
    </row>
    <row r="497" spans="1:68" ht="14.25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26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5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380.16</v>
      </c>
      <c r="Y505" s="664">
        <f t="shared" ref="Y505:Y516" si="74">IFERROR(IF(X505="",0,CEILING((X505/$H505),1)*$H505),"")</f>
        <v>380.16</v>
      </c>
      <c r="Z505" s="36">
        <f>IFERROR(IF(Y505=0,"",ROUNDUP(Y505/H505,0)*0.01196),"")</f>
        <v>0.86112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406.08000000000004</v>
      </c>
      <c r="BN505" s="64">
        <f t="shared" ref="BN505:BN516" si="76">IFERROR(Y505*I505/H505,"0")</f>
        <v>406.08000000000004</v>
      </c>
      <c r="BO505" s="64">
        <f t="shared" ref="BO505:BO516" si="77">IFERROR(1/J505*(X505/H505),"0")</f>
        <v>0.69230769230769229</v>
      </c>
      <c r="BP505" s="64">
        <f t="shared" ref="BP505:BP516" si="78">IFERROR(1/J505*(Y505/H505),"0")</f>
        <v>0.69230769230769229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7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337.92</v>
      </c>
      <c r="Y506" s="664">
        <f t="shared" si="74"/>
        <v>337.92</v>
      </c>
      <c r="Z506" s="36">
        <f>IFERROR(IF(Y506=0,"",ROUNDUP(Y506/H506,0)*0.01196),"")</f>
        <v>0.76544000000000001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360.96</v>
      </c>
      <c r="BN506" s="64">
        <f t="shared" si="76"/>
        <v>360.96</v>
      </c>
      <c r="BO506" s="64">
        <f t="shared" si="77"/>
        <v>0.61538461538461542</v>
      </c>
      <c r="BP506" s="64">
        <f t="shared" si="78"/>
        <v>0.61538461538461542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253.44</v>
      </c>
      <c r="Y507" s="664">
        <f t="shared" si="74"/>
        <v>253.44</v>
      </c>
      <c r="Z507" s="36">
        <f>IFERROR(IF(Y507=0,"",ROUNDUP(Y507/H507,0)*0.01196),"")</f>
        <v>0.57408000000000003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270.71999999999997</v>
      </c>
      <c r="BN507" s="64">
        <f t="shared" si="76"/>
        <v>270.71999999999997</v>
      </c>
      <c r="BO507" s="64">
        <f t="shared" si="77"/>
        <v>0.46153846153846156</v>
      </c>
      <c r="BP507" s="64">
        <f t="shared" si="78"/>
        <v>0.46153846153846156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89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825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1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33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19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4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184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184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2.2006399999999999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971.52</v>
      </c>
      <c r="Y518" s="665">
        <f>IFERROR(SUM(Y505:Y516),"0")</f>
        <v>971.52</v>
      </c>
      <c r="Z518" s="37"/>
      <c r="AA518" s="666"/>
      <c r="AB518" s="666"/>
      <c r="AC518" s="666"/>
    </row>
    <row r="519" spans="1:68" ht="14.25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0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22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58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27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88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48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985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23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2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5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970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1013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50.4</v>
      </c>
      <c r="Y550" s="664">
        <f t="shared" ref="Y550:Y556" si="84">IFERROR(IF(X550="",0,CEILING((X550/$H550),1)*$H550),"")</f>
        <v>50.400000000000006</v>
      </c>
      <c r="Z550" s="36">
        <f>IFERROR(IF(Y550=0,"",ROUNDUP(Y550/H550,0)*0.00902),"")</f>
        <v>0.10824</v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53.639999999999993</v>
      </c>
      <c r="BN550" s="64">
        <f t="shared" ref="BN550:BN556" si="86">IFERROR(Y550*I550/H550,"0")</f>
        <v>53.64</v>
      </c>
      <c r="BO550" s="64">
        <f t="shared" ref="BO550:BO556" si="87">IFERROR(1/J550*(X550/H550),"0")</f>
        <v>9.0909090909090912E-2</v>
      </c>
      <c r="BP550" s="64">
        <f t="shared" ref="BP550:BP556" si="88">IFERROR(1/J550*(Y550/H550),"0")</f>
        <v>9.0909090909090912E-2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50.4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53.639999999999993</v>
      </c>
      <c r="BN551" s="64">
        <f t="shared" si="86"/>
        <v>53.64</v>
      </c>
      <c r="BO551" s="64">
        <f t="shared" si="87"/>
        <v>9.0909090909090912E-2</v>
      </c>
      <c r="BP551" s="64">
        <f t="shared" si="88"/>
        <v>9.0909090909090912E-2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94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4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68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24</v>
      </c>
      <c r="Y557" s="665">
        <f>IFERROR(Y550/H550,"0")+IFERROR(Y551/H551,"0")+IFERROR(Y552/H552,"0")+IFERROR(Y553/H553,"0")+IFERROR(Y554/H554,"0")+IFERROR(Y555/H555,"0")+IFERROR(Y556/H556,"0")</f>
        <v>24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0.21648000000000001</v>
      </c>
      <c r="AA557" s="666"/>
      <c r="AB557" s="666"/>
      <c r="AC557" s="666"/>
    </row>
    <row r="558" spans="1:68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100.8</v>
      </c>
      <c r="Y558" s="665">
        <f>IFERROR(SUM(Y550:Y556),"0")</f>
        <v>100.80000000000001</v>
      </c>
      <c r="Z558" s="37"/>
      <c r="AA558" s="666"/>
      <c r="AB558" s="666"/>
      <c r="AC558" s="666"/>
    </row>
    <row r="559" spans="1:68" ht="14.25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1008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4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4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02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986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65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2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3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11500.080000000002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11500.080000000002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3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12127.019999999999</v>
      </c>
      <c r="Y592" s="665">
        <f>IFERROR(SUM(BN22:BN588),"0")</f>
        <v>12127.019999999999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3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20</v>
      </c>
      <c r="Y593" s="38">
        <f>ROUNDUP(SUM(BP22:BP588),0)</f>
        <v>20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3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12627.019999999999</v>
      </c>
      <c r="Y594" s="665">
        <f>GrossWeightTotalR+PalletQtyTotalR*25</f>
        <v>12627.019999999999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3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1965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1965</v>
      </c>
      <c r="Z595" s="37"/>
      <c r="AA595" s="666"/>
      <c r="AB595" s="666"/>
      <c r="AC595" s="666"/>
    </row>
    <row r="596" spans="1:32" ht="14.25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3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23.419830000000005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16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17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691.2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1694.4000000000003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361.8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1242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1033.2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1744.7999999999997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489.6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196.8</v>
      </c>
      <c r="V601" s="46">
        <f>IFERROR(Y363*1,"0")+IFERROR(Y367*1,"0")+IFERROR(Y368*1,"0")+IFERROR(Y369*1,"0")</f>
        <v>129.6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1437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604.80000000000007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1774.0800000000002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100.80000000000001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A402:Z402"/>
    <mergeCell ref="D158:E158"/>
    <mergeCell ref="P131:T131"/>
    <mergeCell ref="D108:E108"/>
    <mergeCell ref="D375:E375"/>
    <mergeCell ref="P258:T258"/>
    <mergeCell ref="D369:E369"/>
    <mergeCell ref="A353:O354"/>
    <mergeCell ref="P494:T494"/>
    <mergeCell ref="P546:T546"/>
    <mergeCell ref="P350:T350"/>
    <mergeCell ref="A168:Z168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2025-04-10T09:20:48Z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