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7893787B-D3D7-4162-B052-B9C06760022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Z314" i="1"/>
  <c r="Z315" i="1" s="1"/>
  <c r="Y314" i="1"/>
  <c r="P314" i="1"/>
  <c r="X311" i="1"/>
  <c r="X310" i="1"/>
  <c r="BO309" i="1"/>
  <c r="BM309" i="1"/>
  <c r="Y309" i="1"/>
  <c r="P309" i="1"/>
  <c r="BO308" i="1"/>
  <c r="BM308" i="1"/>
  <c r="Y308" i="1"/>
  <c r="BP308" i="1" s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J9" i="1"/>
  <c r="F9" i="1"/>
  <c r="A9" i="1"/>
  <c r="A10" i="1" s="1"/>
  <c r="D7" i="1"/>
  <c r="Q6" i="1"/>
  <c r="P2" i="1"/>
  <c r="BP147" i="1" l="1"/>
  <c r="BN147" i="1"/>
  <c r="Z147" i="1"/>
  <c r="BP181" i="1"/>
  <c r="BN181" i="1"/>
  <c r="Z181" i="1"/>
  <c r="BP207" i="1"/>
  <c r="BN207" i="1"/>
  <c r="Z207" i="1"/>
  <c r="BP236" i="1"/>
  <c r="BN236" i="1"/>
  <c r="Z236" i="1"/>
  <c r="Y248" i="1"/>
  <c r="Y247" i="1"/>
  <c r="BP246" i="1"/>
  <c r="BN246" i="1"/>
  <c r="Z246" i="1"/>
  <c r="Z247" i="1" s="1"/>
  <c r="M601" i="1"/>
  <c r="Y266" i="1"/>
  <c r="BP265" i="1"/>
  <c r="BN265" i="1"/>
  <c r="Z265" i="1"/>
  <c r="Z266" i="1" s="1"/>
  <c r="BP270" i="1"/>
  <c r="BN270" i="1"/>
  <c r="Z27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Z22" i="1"/>
  <c r="BN22" i="1"/>
  <c r="Z44" i="1"/>
  <c r="Z45" i="1" s="1"/>
  <c r="BN44" i="1"/>
  <c r="BP44" i="1"/>
  <c r="Y45" i="1"/>
  <c r="Z49" i="1"/>
  <c r="BN49" i="1"/>
  <c r="Z61" i="1"/>
  <c r="BN61" i="1"/>
  <c r="Z73" i="1"/>
  <c r="BN73" i="1"/>
  <c r="Y102" i="1"/>
  <c r="Z107" i="1"/>
  <c r="BN107" i="1"/>
  <c r="Y128" i="1"/>
  <c r="BP126" i="1"/>
  <c r="BN126" i="1"/>
  <c r="Z126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9" i="1"/>
  <c r="BN219" i="1"/>
  <c r="Z219" i="1"/>
  <c r="BP241" i="1"/>
  <c r="BN241" i="1"/>
  <c r="Z241" i="1"/>
  <c r="BP281" i="1"/>
  <c r="BN281" i="1"/>
  <c r="Z281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X592" i="1"/>
  <c r="Z26" i="1"/>
  <c r="BN26" i="1"/>
  <c r="C601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Z93" i="1"/>
  <c r="BN93" i="1"/>
  <c r="BP93" i="1"/>
  <c r="Z100" i="1"/>
  <c r="BN100" i="1"/>
  <c r="F601" i="1"/>
  <c r="Z109" i="1"/>
  <c r="BN109" i="1"/>
  <c r="Y117" i="1"/>
  <c r="Z115" i="1"/>
  <c r="BN115" i="1"/>
  <c r="Z120" i="1"/>
  <c r="BN120" i="1"/>
  <c r="Z123" i="1"/>
  <c r="BN123" i="1"/>
  <c r="Z124" i="1"/>
  <c r="BN124" i="1"/>
  <c r="Z132" i="1"/>
  <c r="BN132" i="1"/>
  <c r="Z143" i="1"/>
  <c r="BN143" i="1"/>
  <c r="Z158" i="1"/>
  <c r="BN158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Z178" i="1"/>
  <c r="BN178" i="1"/>
  <c r="Z179" i="1"/>
  <c r="BN179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Y243" i="1"/>
  <c r="Z256" i="1"/>
  <c r="BN256" i="1"/>
  <c r="Y261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N308" i="1"/>
  <c r="T601" i="1"/>
  <c r="Y315" i="1"/>
  <c r="BP314" i="1"/>
  <c r="BN314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78" i="1"/>
  <c r="Y91" i="1"/>
  <c r="Y110" i="1"/>
  <c r="Y116" i="1"/>
  <c r="Y129" i="1"/>
  <c r="BP148" i="1"/>
  <c r="BN148" i="1"/>
  <c r="Z148" i="1"/>
  <c r="Z149" i="1" s="1"/>
  <c r="Y150" i="1"/>
  <c r="Y162" i="1"/>
  <c r="BP157" i="1"/>
  <c r="BN157" i="1"/>
  <c r="Z157" i="1"/>
  <c r="BP175" i="1"/>
  <c r="BN175" i="1"/>
  <c r="Z175" i="1"/>
  <c r="BP180" i="1"/>
  <c r="BN180" i="1"/>
  <c r="Z18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71" i="1"/>
  <c r="BN271" i="1"/>
  <c r="Z271" i="1"/>
  <c r="Z273" i="1" s="1"/>
  <c r="V601" i="1"/>
  <c r="Y364" i="1"/>
  <c r="BP363" i="1"/>
  <c r="BN363" i="1"/>
  <c r="Z363" i="1"/>
  <c r="Z364" i="1" s="1"/>
  <c r="Y29" i="1"/>
  <c r="Y33" i="1"/>
  <c r="Y41" i="1"/>
  <c r="Y56" i="1"/>
  <c r="Y62" i="1"/>
  <c r="Y68" i="1"/>
  <c r="Y84" i="1"/>
  <c r="Y103" i="1"/>
  <c r="Y133" i="1"/>
  <c r="Y140" i="1"/>
  <c r="Y144" i="1"/>
  <c r="H601" i="1"/>
  <c r="Y154" i="1"/>
  <c r="BP153" i="1"/>
  <c r="BN153" i="1"/>
  <c r="Z153" i="1"/>
  <c r="Z154" i="1" s="1"/>
  <c r="Y155" i="1"/>
  <c r="Y161" i="1"/>
  <c r="BP202" i="1"/>
  <c r="BN202" i="1"/>
  <c r="Z202" i="1"/>
  <c r="BP235" i="1"/>
  <c r="BN235" i="1"/>
  <c r="Z235" i="1"/>
  <c r="BP257" i="1"/>
  <c r="BN257" i="1"/>
  <c r="Z257" i="1"/>
  <c r="BP280" i="1"/>
  <c r="BN280" i="1"/>
  <c r="Z280" i="1"/>
  <c r="BP350" i="1"/>
  <c r="BN350" i="1"/>
  <c r="Z350" i="1"/>
  <c r="BP358" i="1"/>
  <c r="BN358" i="1"/>
  <c r="Z358" i="1"/>
  <c r="Y360" i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BP278" i="1"/>
  <c r="BN278" i="1"/>
  <c r="Z278" i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282" i="1" l="1"/>
  <c r="Z226" i="1"/>
  <c r="Z133" i="1"/>
  <c r="Z68" i="1"/>
  <c r="Z466" i="1"/>
  <c r="Z395" i="1"/>
  <c r="Z502" i="1"/>
  <c r="Z77" i="1"/>
  <c r="Z55" i="1"/>
  <c r="Y593" i="1"/>
  <c r="Z28" i="1"/>
  <c r="Z238" i="1"/>
  <c r="Z523" i="1"/>
  <c r="Z528" i="1"/>
  <c r="Z359" i="1"/>
  <c r="Z353" i="1"/>
  <c r="Z495" i="1"/>
  <c r="Z340" i="1"/>
  <c r="Z325" i="1"/>
  <c r="Z261" i="1"/>
  <c r="Z128" i="1"/>
  <c r="Z110" i="1"/>
  <c r="Z102" i="1"/>
  <c r="Z90" i="1"/>
  <c r="Z62" i="1"/>
  <c r="Z41" i="1"/>
  <c r="Y592" i="1"/>
  <c r="Z390" i="1"/>
  <c r="Z209" i="1"/>
  <c r="Z183" i="1"/>
  <c r="Z547" i="1"/>
  <c r="Z517" i="1"/>
  <c r="Z442" i="1"/>
  <c r="Z332" i="1"/>
  <c r="Z83" i="1"/>
  <c r="Y595" i="1"/>
  <c r="Z408" i="1"/>
  <c r="Z370" i="1"/>
  <c r="Z565" i="1"/>
  <c r="Z385" i="1"/>
  <c r="Z221" i="1"/>
  <c r="Y591" i="1"/>
  <c r="Z161" i="1"/>
  <c r="Y594" i="1" l="1"/>
  <c r="Z596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<sst xmlns="http://schemas.openxmlformats.org/spreadsheetml/2006/main" count="2720" uniqueCount="975">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</sst>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4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40</v>
      </c>
      <c r="Y174" s="664">
        <f t="shared" ref="Y174:Y182" si="27">IFERROR(IF(X174="",0,CEILING((X174/$H174),1)*$H174),"")</f>
        <v>42</v>
      </c>
      <c r="Z174" s="36">
        <f>IFERROR(IF(Y174=0,"",ROUNDUP(Y174/H174,0)*0.00902),"")</f>
        <v>9.0200000000000002E-2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42.571428571428562</v>
      </c>
      <c r="BN174" s="64">
        <f t="shared" ref="BN174:BN182" si="29">IFERROR(Y174*I174/H174,"0")</f>
        <v>44.699999999999996</v>
      </c>
      <c r="BO174" s="64">
        <f t="shared" ref="BO174:BO182" si="30">IFERROR(1/J174*(X174/H174),"0")</f>
        <v>7.2150072150072145E-2</v>
      </c>
      <c r="BP174" s="64">
        <f t="shared" ref="BP174:BP182" si="31">IFERROR(1/J174*(Y174/H174),"0")</f>
        <v>7.575757575757576E-2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20</v>
      </c>
      <c r="Y176" s="664">
        <f t="shared" si="27"/>
        <v>21</v>
      </c>
      <c r="Z176" s="36">
        <f>IFERROR(IF(Y176=0,"",ROUNDUP(Y176/H176,0)*0.00902),"")</f>
        <v>4.5100000000000001E-2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21</v>
      </c>
      <c r="BN176" s="64">
        <f t="shared" si="29"/>
        <v>22.049999999999997</v>
      </c>
      <c r="BO176" s="64">
        <f t="shared" si="30"/>
        <v>3.6075036075036072E-2</v>
      </c>
      <c r="BP176" s="64">
        <f t="shared" si="31"/>
        <v>3.787878787878788E-2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8.3999999999999986</v>
      </c>
      <c r="Y180" s="664">
        <f t="shared" si="27"/>
        <v>8.4</v>
      </c>
      <c r="Z180" s="36">
        <f>IFERROR(IF(Y180=0,"",ROUNDUP(Y180/H180,0)*0.00502),"")</f>
        <v>2.0080000000000001E-2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8.7999999999999989</v>
      </c>
      <c r="BN180" s="64">
        <f t="shared" si="29"/>
        <v>8.8000000000000007</v>
      </c>
      <c r="BO180" s="64">
        <f t="shared" si="30"/>
        <v>1.7094017094017092E-2</v>
      </c>
      <c r="BP180" s="64">
        <f t="shared" si="31"/>
        <v>1.7094017094017096E-2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18.285714285714285</v>
      </c>
      <c r="Y183" s="665">
        <f>IFERROR(Y174/H174,"0")+IFERROR(Y175/H175,"0")+IFERROR(Y176/H176,"0")+IFERROR(Y177/H177,"0")+IFERROR(Y178/H178,"0")+IFERROR(Y179/H179,"0")+IFERROR(Y180/H180,"0")+IFERROR(Y181/H181,"0")+IFERROR(Y182/H182,"0")</f>
        <v>19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0.15538000000000002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68.400000000000006</v>
      </c>
      <c r="Y184" s="665">
        <f>IFERROR(SUM(Y174:Y182),"0")</f>
        <v>71.400000000000006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150</v>
      </c>
      <c r="Y201" s="664">
        <f t="shared" ref="Y201:Y208" si="32">IFERROR(IF(X201="",0,CEILING((X201/$H201),1)*$H201),"")</f>
        <v>151.20000000000002</v>
      </c>
      <c r="Z201" s="36">
        <f>IFERROR(IF(Y201=0,"",ROUNDUP(Y201/H201,0)*0.00902),"")</f>
        <v>0.25256000000000001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155.83333333333331</v>
      </c>
      <c r="BN201" s="64">
        <f t="shared" ref="BN201:BN208" si="34">IFERROR(Y201*I201/H201,"0")</f>
        <v>157.08000000000001</v>
      </c>
      <c r="BO201" s="64">
        <f t="shared" ref="BO201:BO208" si="35">IFERROR(1/J201*(X201/H201),"0")</f>
        <v>0.21043771043771042</v>
      </c>
      <c r="BP201" s="64">
        <f t="shared" ref="BP201:BP208" si="36">IFERROR(1/J201*(Y201/H201),"0")</f>
        <v>0.21212121212121213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50</v>
      </c>
      <c r="Y202" s="664">
        <f t="shared" si="32"/>
        <v>54</v>
      </c>
      <c r="Z202" s="36">
        <f>IFERROR(IF(Y202=0,"",ROUNDUP(Y202/H202,0)*0.00902),"")</f>
        <v>9.0200000000000002E-2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51.944444444444443</v>
      </c>
      <c r="BN202" s="64">
        <f t="shared" si="34"/>
        <v>56.099999999999994</v>
      </c>
      <c r="BO202" s="64">
        <f t="shared" si="35"/>
        <v>7.0145903479236812E-2</v>
      </c>
      <c r="BP202" s="64">
        <f t="shared" si="36"/>
        <v>7.575757575757576E-2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200</v>
      </c>
      <c r="Y203" s="664">
        <f t="shared" si="32"/>
        <v>205.20000000000002</v>
      </c>
      <c r="Z203" s="36">
        <f>IFERROR(IF(Y203=0,"",ROUNDUP(Y203/H203,0)*0.00902),"")</f>
        <v>0.34276000000000001</v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207.77777777777777</v>
      </c>
      <c r="BN203" s="64">
        <f t="shared" si="34"/>
        <v>213.18000000000004</v>
      </c>
      <c r="BO203" s="64">
        <f t="shared" si="35"/>
        <v>0.28058361391694725</v>
      </c>
      <c r="BP203" s="64">
        <f t="shared" si="36"/>
        <v>0.2878787878787879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100</v>
      </c>
      <c r="Y204" s="664">
        <f t="shared" si="32"/>
        <v>102.60000000000001</v>
      </c>
      <c r="Z204" s="36">
        <f>IFERROR(IF(Y204=0,"",ROUNDUP(Y204/H204,0)*0.00902),"")</f>
        <v>0.17138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103.88888888888889</v>
      </c>
      <c r="BN204" s="64">
        <f t="shared" si="34"/>
        <v>106.59000000000002</v>
      </c>
      <c r="BO204" s="64">
        <f t="shared" si="35"/>
        <v>0.14029180695847362</v>
      </c>
      <c r="BP204" s="64">
        <f t="shared" si="36"/>
        <v>0.14393939393939395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92.592592592592595</v>
      </c>
      <c r="Y209" s="665">
        <f>IFERROR(Y201/H201,"0")+IFERROR(Y202/H202,"0")+IFERROR(Y203/H203,"0")+IFERROR(Y204/H204,"0")+IFERROR(Y205/H205,"0")+IFERROR(Y206/H206,"0")+IFERROR(Y207/H207,"0")+IFERROR(Y208/H208,"0")</f>
        <v>95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0.8569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500</v>
      </c>
      <c r="Y210" s="665">
        <f>IFERROR(SUM(Y201:Y208),"0")</f>
        <v>513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50</v>
      </c>
      <c r="Y212" s="664">
        <f t="shared" ref="Y212:Y220" si="37">IFERROR(IF(X212="",0,CEILING((X212/$H212),1)*$H212),"")</f>
        <v>56.699999999999996</v>
      </c>
      <c r="Z212" s="36">
        <f>IFERROR(IF(Y212=0,"",ROUNDUP(Y212/H212,0)*0.01898),"")</f>
        <v>0.13286000000000001</v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53.203703703703702</v>
      </c>
      <c r="BN212" s="64">
        <f t="shared" ref="BN212:BN220" si="39">IFERROR(Y212*I212/H212,"0")</f>
        <v>60.332999999999991</v>
      </c>
      <c r="BO212" s="64">
        <f t="shared" ref="BO212:BO220" si="40">IFERROR(1/J212*(X212/H212),"0")</f>
        <v>9.6450617283950615E-2</v>
      </c>
      <c r="BP212" s="64">
        <f t="shared" ref="BP212:BP220" si="41">IFERROR(1/J212*(Y212/H212),"0")</f>
        <v>0.109375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80</v>
      </c>
      <c r="Y214" s="664">
        <f t="shared" si="37"/>
        <v>87</v>
      </c>
      <c r="Z214" s="36">
        <f>IFERROR(IF(Y214=0,"",ROUNDUP(Y214/H214,0)*0.01898),"")</f>
        <v>0.1898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84.772413793103453</v>
      </c>
      <c r="BN214" s="64">
        <f t="shared" si="39"/>
        <v>92.190000000000012</v>
      </c>
      <c r="BO214" s="64">
        <f t="shared" si="40"/>
        <v>0.14367816091954025</v>
      </c>
      <c r="BP214" s="64">
        <f t="shared" si="41"/>
        <v>0.15625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192</v>
      </c>
      <c r="Y215" s="664">
        <f t="shared" si="37"/>
        <v>192</v>
      </c>
      <c r="Z215" s="36">
        <f t="shared" ref="Z215:Z220" si="42">IFERROR(IF(Y215=0,"",ROUNDUP(Y215/H215,0)*0.00651),"")</f>
        <v>0.52080000000000004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213.6</v>
      </c>
      <c r="BN215" s="64">
        <f t="shared" si="39"/>
        <v>213.6</v>
      </c>
      <c r="BO215" s="64">
        <f t="shared" si="40"/>
        <v>0.43956043956043961</v>
      </c>
      <c r="BP215" s="64">
        <f t="shared" si="41"/>
        <v>0.43956043956043961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96</v>
      </c>
      <c r="Y217" s="664">
        <f t="shared" si="37"/>
        <v>96</v>
      </c>
      <c r="Z217" s="36">
        <f t="shared" si="42"/>
        <v>0.26040000000000002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106.08000000000001</v>
      </c>
      <c r="BN217" s="64">
        <f t="shared" si="39"/>
        <v>106.08000000000001</v>
      </c>
      <c r="BO217" s="64">
        <f t="shared" si="40"/>
        <v>0.2197802197802198</v>
      </c>
      <c r="BP217" s="64">
        <f t="shared" si="41"/>
        <v>0.2197802197802198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72</v>
      </c>
      <c r="Y218" s="664">
        <f t="shared" si="37"/>
        <v>72</v>
      </c>
      <c r="Z218" s="36">
        <f t="shared" si="42"/>
        <v>0.1953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79.560000000000016</v>
      </c>
      <c r="BN218" s="64">
        <f t="shared" si="39"/>
        <v>79.560000000000016</v>
      </c>
      <c r="BO218" s="64">
        <f t="shared" si="40"/>
        <v>0.16483516483516486</v>
      </c>
      <c r="BP218" s="64">
        <f t="shared" si="41"/>
        <v>0.16483516483516486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168</v>
      </c>
      <c r="Y219" s="664">
        <f t="shared" si="37"/>
        <v>168</v>
      </c>
      <c r="Z219" s="36">
        <f t="shared" si="42"/>
        <v>0.45569999999999999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185.64000000000001</v>
      </c>
      <c r="BN219" s="64">
        <f t="shared" si="39"/>
        <v>185.64000000000001</v>
      </c>
      <c r="BO219" s="64">
        <f t="shared" si="40"/>
        <v>0.38461538461538464</v>
      </c>
      <c r="BP219" s="64">
        <f t="shared" si="41"/>
        <v>0.38461538461538464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168</v>
      </c>
      <c r="Y220" s="664">
        <f t="shared" si="37"/>
        <v>168</v>
      </c>
      <c r="Z220" s="36">
        <f t="shared" si="42"/>
        <v>0.45569999999999999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186.06</v>
      </c>
      <c r="BN220" s="64">
        <f t="shared" si="39"/>
        <v>186.06</v>
      </c>
      <c r="BO220" s="64">
        <f t="shared" si="40"/>
        <v>0.38461538461538464</v>
      </c>
      <c r="BP220" s="64">
        <f t="shared" si="41"/>
        <v>0.38461538461538464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305.36824180502344</v>
      </c>
      <c r="Y221" s="665">
        <f>IFERROR(Y212/H212,"0")+IFERROR(Y213/H213,"0")+IFERROR(Y214/H214,"0")+IFERROR(Y215/H215,"0")+IFERROR(Y216/H216,"0")+IFERROR(Y217/H217,"0")+IFERROR(Y218/H218,"0")+IFERROR(Y219/H219,"0")+IFERROR(Y220/H220,"0")</f>
        <v>307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2.2105600000000001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826</v>
      </c>
      <c r="Y222" s="665">
        <f>IFERROR(SUM(Y212:Y220),"0")</f>
        <v>839.7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9.6000000000000014</v>
      </c>
      <c r="Y224" s="664">
        <f>IFERROR(IF(X224="",0,CEILING((X224/$H224),1)*$H224),"")</f>
        <v>9.6</v>
      </c>
      <c r="Z224" s="36">
        <f>IFERROR(IF(Y224=0,"",ROUNDUP(Y224/H224,0)*0.00651),"")</f>
        <v>2.6040000000000001E-2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10.608000000000002</v>
      </c>
      <c r="BN224" s="64">
        <f>IFERROR(Y224*I224/H224,"0")</f>
        <v>10.608000000000001</v>
      </c>
      <c r="BO224" s="64">
        <f>IFERROR(1/J224*(X224/H224),"0")</f>
        <v>2.1978021978021983E-2</v>
      </c>
      <c r="BP224" s="64">
        <f>IFERROR(1/J224*(Y224/H224),"0")</f>
        <v>2.197802197802198E-2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28.8</v>
      </c>
      <c r="Y225" s="664">
        <f>IFERROR(IF(X225="",0,CEILING((X225/$H225),1)*$H225),"")</f>
        <v>28.799999999999997</v>
      </c>
      <c r="Z225" s="36">
        <f>IFERROR(IF(Y225=0,"",ROUNDUP(Y225/H225,0)*0.00651),"")</f>
        <v>7.8119999999999995E-2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31.824000000000002</v>
      </c>
      <c r="BN225" s="64">
        <f>IFERROR(Y225*I225/H225,"0")</f>
        <v>31.824000000000002</v>
      </c>
      <c r="BO225" s="64">
        <f>IFERROR(1/J225*(X225/H225),"0")</f>
        <v>6.5934065934065936E-2</v>
      </c>
      <c r="BP225" s="64">
        <f>IFERROR(1/J225*(Y225/H225),"0")</f>
        <v>6.5934065934065936E-2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16</v>
      </c>
      <c r="Y226" s="665">
        <f>IFERROR(Y224/H224,"0")+IFERROR(Y225/H225,"0")</f>
        <v>16</v>
      </c>
      <c r="Z226" s="665">
        <f>IFERROR(IF(Z224="",0,Z224),"0")+IFERROR(IF(Z225="",0,Z225),"0")</f>
        <v>0.10416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38.400000000000006</v>
      </c>
      <c r="Y227" s="665">
        <f>IFERROR(SUM(Y224:Y225),"0")</f>
        <v>38.4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30</v>
      </c>
      <c r="Y328" s="664">
        <f>IFERROR(IF(X328="",0,CEILING((X328/$H328),1)*$H328),"")</f>
        <v>33.6</v>
      </c>
      <c r="Z328" s="36">
        <f>IFERROR(IF(Y328=0,"",ROUNDUP(Y328/H328,0)*0.00902),"")</f>
        <v>7.2160000000000002E-2</v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31.928571428571427</v>
      </c>
      <c r="BN328" s="64">
        <f>IFERROR(Y328*I328/H328,"0")</f>
        <v>35.76</v>
      </c>
      <c r="BO328" s="64">
        <f>IFERROR(1/J328*(X328/H328),"0")</f>
        <v>5.4112554112554112E-2</v>
      </c>
      <c r="BP328" s="64">
        <f>IFERROR(1/J328*(Y328/H328),"0")</f>
        <v>6.0606060606060608E-2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7.1428571428571423</v>
      </c>
      <c r="Y332" s="665">
        <f>IFERROR(Y328/H328,"0")+IFERROR(Y329/H329,"0")+IFERROR(Y330/H330,"0")+IFERROR(Y331/H331,"0")</f>
        <v>8</v>
      </c>
      <c r="Z332" s="665">
        <f>IFERROR(IF(Z328="",0,Z328),"0")+IFERROR(IF(Z329="",0,Z329),"0")+IFERROR(IF(Z330="",0,Z330),"0")+IFERROR(IF(Z331="",0,Z331),"0")</f>
        <v>7.2160000000000002E-2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30</v>
      </c>
      <c r="Y333" s="665">
        <f>IFERROR(SUM(Y328:Y331),"0")</f>
        <v>33.6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120</v>
      </c>
      <c r="Y343" s="664">
        <f>IFERROR(IF(X343="",0,CEILING((X343/$H343),1)*$H343),"")</f>
        <v>126</v>
      </c>
      <c r="Z343" s="36">
        <f>IFERROR(IF(Y343=0,"",ROUNDUP(Y343/H343,0)*0.01898),"")</f>
        <v>0.28470000000000001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127.41428571428571</v>
      </c>
      <c r="BN343" s="64">
        <f>IFERROR(Y343*I343/H343,"0")</f>
        <v>133.785</v>
      </c>
      <c r="BO343" s="64">
        <f>IFERROR(1/J343*(X343/H343),"0")</f>
        <v>0.2232142857142857</v>
      </c>
      <c r="BP343" s="64">
        <f>IFERROR(1/J343*(Y343/H343),"0")</f>
        <v>0.234375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100</v>
      </c>
      <c r="Y344" s="664">
        <f>IFERROR(IF(X344="",0,CEILING((X344/$H344),1)*$H344),"")</f>
        <v>101.39999999999999</v>
      </c>
      <c r="Z344" s="36">
        <f>IFERROR(IF(Y344=0,"",ROUNDUP(Y344/H344,0)*0.01898),"")</f>
        <v>0.24674000000000001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106.65384615384617</v>
      </c>
      <c r="BN344" s="64">
        <f>IFERROR(Y344*I344/H344,"0")</f>
        <v>108.14700000000001</v>
      </c>
      <c r="BO344" s="64">
        <f>IFERROR(1/J344*(X344/H344),"0")</f>
        <v>0.20032051282051283</v>
      </c>
      <c r="BP344" s="64">
        <f>IFERROR(1/J344*(Y344/H344),"0")</f>
        <v>0.203125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15</v>
      </c>
      <c r="Y345" s="664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15.926785714285714</v>
      </c>
      <c r="BN345" s="64">
        <f>IFERROR(Y345*I345/H345,"0")</f>
        <v>17.838000000000001</v>
      </c>
      <c r="BO345" s="64">
        <f>IFERROR(1/J345*(X345/H345),"0")</f>
        <v>2.7901785714285712E-2</v>
      </c>
      <c r="BP345" s="64">
        <f>IFERROR(1/J345*(Y345/H345),"0")</f>
        <v>3.125E-2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28.891941391941391</v>
      </c>
      <c r="Y346" s="665">
        <f>IFERROR(Y343/H343,"0")+IFERROR(Y344/H344,"0")+IFERROR(Y345/H345,"0")</f>
        <v>30</v>
      </c>
      <c r="Z346" s="665">
        <f>IFERROR(IF(Z343="",0,Z343),"0")+IFERROR(IF(Z344="",0,Z344),"0")+IFERROR(IF(Z345="",0,Z345),"0")</f>
        <v>0.56940000000000002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235</v>
      </c>
      <c r="Y347" s="665">
        <f>IFERROR(SUM(Y343:Y345),"0")</f>
        <v>244.2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3500</v>
      </c>
      <c r="Y375" s="664">
        <f t="shared" ref="Y375:Y384" si="58">IFERROR(IF(X375="",0,CEILING((X375/$H375),1)*$H375),"")</f>
        <v>3510</v>
      </c>
      <c r="Z375" s="36">
        <f>IFERROR(IF(Y375=0,"",ROUNDUP(Y375/H375,0)*0.02175),"")</f>
        <v>5.0894999999999992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3612</v>
      </c>
      <c r="BN375" s="64">
        <f t="shared" ref="BN375:BN384" si="60">IFERROR(Y375*I375/H375,"0")</f>
        <v>3622.32</v>
      </c>
      <c r="BO375" s="64">
        <f t="shared" ref="BO375:BO384" si="61">IFERROR(1/J375*(X375/H375),"0")</f>
        <v>4.8611111111111107</v>
      </c>
      <c r="BP375" s="64">
        <f t="shared" ref="BP375:BP384" si="62">IFERROR(1/J375*(Y375/H375),"0")</f>
        <v>4.875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2000</v>
      </c>
      <c r="Y379" s="664">
        <f t="shared" si="58"/>
        <v>2010</v>
      </c>
      <c r="Z379" s="36">
        <f>IFERROR(IF(Y379=0,"",ROUNDUP(Y379/H379,0)*0.02175),"")</f>
        <v>2.9144999999999999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2064</v>
      </c>
      <c r="BN379" s="64">
        <f t="shared" si="60"/>
        <v>2074.3200000000002</v>
      </c>
      <c r="BO379" s="64">
        <f t="shared" si="61"/>
        <v>2.7777777777777777</v>
      </c>
      <c r="BP379" s="64">
        <f t="shared" si="62"/>
        <v>2.7916666666666665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366.66666666666669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368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8.0039999999999996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5500</v>
      </c>
      <c r="Y386" s="665">
        <f>IFERROR(SUM(Y375:Y384),"0")</f>
        <v>5520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1500</v>
      </c>
      <c r="Y388" s="664">
        <f>IFERROR(IF(X388="",0,CEILING((X388/$H388),1)*$H388),"")</f>
        <v>1500</v>
      </c>
      <c r="Z388" s="36">
        <f>IFERROR(IF(Y388=0,"",ROUNDUP(Y388/H388,0)*0.02175),"")</f>
        <v>2.1749999999999998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1548</v>
      </c>
      <c r="BN388" s="64">
        <f>IFERROR(Y388*I388/H388,"0")</f>
        <v>1548</v>
      </c>
      <c r="BO388" s="64">
        <f>IFERROR(1/J388*(X388/H388),"0")</f>
        <v>2.083333333333333</v>
      </c>
      <c r="BP388" s="64">
        <f>IFERROR(1/J388*(Y388/H388),"0")</f>
        <v>2.083333333333333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100</v>
      </c>
      <c r="Y390" s="665">
        <f>IFERROR(Y388/H388,"0")+IFERROR(Y389/H389,"0")</f>
        <v>100</v>
      </c>
      <c r="Z390" s="665">
        <f>IFERROR(IF(Z388="",0,Z388),"0")+IFERROR(IF(Z389="",0,Z389),"0")</f>
        <v>2.1749999999999998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1500</v>
      </c>
      <c r="Y391" s="665">
        <f>IFERROR(SUM(Y388:Y389),"0")</f>
        <v>1500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120</v>
      </c>
      <c r="Y394" s="664">
        <f>IFERROR(IF(X394="",0,CEILING((X394/$H394),1)*$H394),"")</f>
        <v>126</v>
      </c>
      <c r="Z394" s="36">
        <f>IFERROR(IF(Y394=0,"",ROUNDUP(Y394/H394,0)*0.01898),"")</f>
        <v>0.26572000000000001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126.92</v>
      </c>
      <c r="BN394" s="64">
        <f>IFERROR(Y394*I394/H394,"0")</f>
        <v>133.26599999999999</v>
      </c>
      <c r="BO394" s="64">
        <f>IFERROR(1/J394*(X394/H394),"0")</f>
        <v>0.20833333333333334</v>
      </c>
      <c r="BP394" s="64">
        <f>IFERROR(1/J394*(Y394/H394),"0")</f>
        <v>0.21875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13.333333333333334</v>
      </c>
      <c r="Y395" s="665">
        <f>IFERROR(Y393/H393,"0")+IFERROR(Y394/H394,"0")</f>
        <v>14</v>
      </c>
      <c r="Z395" s="665">
        <f>IFERROR(IF(Z393="",0,Z393),"0")+IFERROR(IF(Z394="",0,Z394),"0")</f>
        <v>0.26572000000000001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120</v>
      </c>
      <c r="Y396" s="665">
        <f>IFERROR(SUM(Y393:Y394),"0")</f>
        <v>126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300</v>
      </c>
      <c r="Y398" s="664">
        <f>IFERROR(IF(X398="",0,CEILING((X398/$H398),1)*$H398),"")</f>
        <v>306</v>
      </c>
      <c r="Z398" s="36">
        <f>IFERROR(IF(Y398=0,"",ROUNDUP(Y398/H398,0)*0.01898),"")</f>
        <v>0.64532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317.29999999999995</v>
      </c>
      <c r="BN398" s="64">
        <f>IFERROR(Y398*I398/H398,"0")</f>
        <v>323.64599999999996</v>
      </c>
      <c r="BO398" s="64">
        <f>IFERROR(1/J398*(X398/H398),"0")</f>
        <v>0.52083333333333337</v>
      </c>
      <c r="BP398" s="64">
        <f>IFERROR(1/J398*(Y398/H398),"0")</f>
        <v>0.53125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33.333333333333336</v>
      </c>
      <c r="Y399" s="665">
        <f>IFERROR(Y398/H398,"0")</f>
        <v>34</v>
      </c>
      <c r="Z399" s="665">
        <f>IFERROR(IF(Z398="",0,Z398),"0")</f>
        <v>0.64532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300</v>
      </c>
      <c r="Y400" s="665">
        <f>IFERROR(SUM(Y398:Y398),"0")</f>
        <v>306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130</v>
      </c>
      <c r="Y416" s="664">
        <f>IFERROR(IF(X416="",0,CEILING((X416/$H416),1)*$H416),"")</f>
        <v>135</v>
      </c>
      <c r="Z416" s="36">
        <f>IFERROR(IF(Y416=0,"",ROUNDUP(Y416/H416,0)*0.01898),"")</f>
        <v>0.28470000000000001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137.49666666666667</v>
      </c>
      <c r="BN416" s="64">
        <f>IFERROR(Y416*I416/H416,"0")</f>
        <v>142.785</v>
      </c>
      <c r="BO416" s="64">
        <f>IFERROR(1/J416*(X416/H416),"0")</f>
        <v>0.22569444444444445</v>
      </c>
      <c r="BP416" s="64">
        <f>IFERROR(1/J416*(Y416/H416),"0")</f>
        <v>0.234375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14.444444444444445</v>
      </c>
      <c r="Y421" s="665">
        <f>IFERROR(Y416/H416,"0")+IFERROR(Y417/H417,"0")+IFERROR(Y418/H418,"0")+IFERROR(Y419/H419,"0")+IFERROR(Y420/H420,"0")</f>
        <v>15</v>
      </c>
      <c r="Z421" s="665">
        <f>IFERROR(IF(Z416="",0,Z416),"0")+IFERROR(IF(Z417="",0,Z417),"0")+IFERROR(IF(Z418="",0,Z418),"0")+IFERROR(IF(Z419="",0,Z419),"0")+IFERROR(IF(Z420="",0,Z420),"0")</f>
        <v>0.28470000000000001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130</v>
      </c>
      <c r="Y422" s="665">
        <f>IFERROR(SUM(Y416:Y420),"0")</f>
        <v>135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8.3999999999999986</v>
      </c>
      <c r="Y457" s="664">
        <f>IFERROR(IF(X457="",0,CEILING((X457/$H457),1)*$H457),"")</f>
        <v>8.4</v>
      </c>
      <c r="Z457" s="36">
        <f>IFERROR(IF(Y457=0,"",ROUNDUP(Y457/H457,0)*0.00502),"")</f>
        <v>2.0080000000000001E-2</v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8.9199999999999982</v>
      </c>
      <c r="BN457" s="64">
        <f>IFERROR(Y457*I457/H457,"0")</f>
        <v>8.92</v>
      </c>
      <c r="BO457" s="64">
        <f>IFERROR(1/J457*(X457/H457),"0")</f>
        <v>1.7094017094017092E-2</v>
      </c>
      <c r="BP457" s="64">
        <f>IFERROR(1/J457*(Y457/H457),"0")</f>
        <v>1.7094017094017096E-2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3.9999999999999991</v>
      </c>
      <c r="Y460" s="665">
        <f>IFERROR(Y456/H456,"0")+IFERROR(Y457/H457,"0")+IFERROR(Y458/H458,"0")+IFERROR(Y459/H459,"0")</f>
        <v>4</v>
      </c>
      <c r="Z460" s="665">
        <f>IFERROR(IF(Z456="",0,Z456),"0")+IFERROR(IF(Z457="",0,Z457),"0")+IFERROR(IF(Z458="",0,Z458),"0")+IFERROR(IF(Z459="",0,Z459),"0")</f>
        <v>2.0080000000000001E-2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8.3999999999999986</v>
      </c>
      <c r="Y461" s="665">
        <f>IFERROR(SUM(Y456:Y459),"0")</f>
        <v>8.4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300</v>
      </c>
      <c r="Y482" s="664">
        <f t="shared" si="69"/>
        <v>300.96000000000004</v>
      </c>
      <c r="Z482" s="36">
        <f>IFERROR(IF(Y482=0,"",ROUNDUP(Y482/H482,0)*0.01196),"")</f>
        <v>0.68171999999999999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320.45454545454544</v>
      </c>
      <c r="BN482" s="64">
        <f t="shared" si="71"/>
        <v>321.48</v>
      </c>
      <c r="BO482" s="64">
        <f t="shared" si="72"/>
        <v>0.54632867132867136</v>
      </c>
      <c r="BP482" s="64">
        <f t="shared" si="73"/>
        <v>0.54807692307692313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300</v>
      </c>
      <c r="Y483" s="664">
        <f t="shared" si="69"/>
        <v>300.96000000000004</v>
      </c>
      <c r="Z483" s="36">
        <f>IFERROR(IF(Y483=0,"",ROUNDUP(Y483/H483,0)*0.01196),"")</f>
        <v>0.68171999999999999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320.45454545454544</v>
      </c>
      <c r="BN483" s="64">
        <f t="shared" si="71"/>
        <v>321.48</v>
      </c>
      <c r="BO483" s="64">
        <f t="shared" si="72"/>
        <v>0.54632867132867136</v>
      </c>
      <c r="BP483" s="64">
        <f t="shared" si="73"/>
        <v>0.54807692307692313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113.63636363636363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114.00000000000001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1.36344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600</v>
      </c>
      <c r="Y496" s="665">
        <f>IFERROR(SUM(Y480:Y494),"0")</f>
        <v>601.92000000000007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100</v>
      </c>
      <c r="Y498" s="664">
        <f>IFERROR(IF(X498="",0,CEILING((X498/$H498),1)*$H498),"")</f>
        <v>100.32000000000001</v>
      </c>
      <c r="Z498" s="36">
        <f>IFERROR(IF(Y498=0,"",ROUNDUP(Y498/H498,0)*0.01196),"")</f>
        <v>0.22724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106.81818181818181</v>
      </c>
      <c r="BN498" s="64">
        <f>IFERROR(Y498*I498/H498,"0")</f>
        <v>107.16</v>
      </c>
      <c r="BO498" s="64">
        <f>IFERROR(1/J498*(X498/H498),"0")</f>
        <v>0.18210955710955709</v>
      </c>
      <c r="BP498" s="64">
        <f>IFERROR(1/J498*(Y498/H498),"0")</f>
        <v>0.18269230769230771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18.939393939393938</v>
      </c>
      <c r="Y502" s="665">
        <f>IFERROR(Y498/H498,"0")+IFERROR(Y499/H499,"0")+IFERROR(Y500/H500,"0")+IFERROR(Y501/H501,"0")</f>
        <v>19</v>
      </c>
      <c r="Z502" s="665">
        <f>IFERROR(IF(Z498="",0,Z498),"0")+IFERROR(IF(Z499="",0,Z499),"0")+IFERROR(IF(Z500="",0,Z500),"0")+IFERROR(IF(Z501="",0,Z501),"0")</f>
        <v>0.22724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100</v>
      </c>
      <c r="Y503" s="665">
        <f>IFERROR(SUM(Y498:Y501),"0")</f>
        <v>100.32000000000001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200</v>
      </c>
      <c r="Y505" s="664">
        <f t="shared" ref="Y505:Y516" si="74">IFERROR(IF(X505="",0,CEILING((X505/$H505),1)*$H505),"")</f>
        <v>200.64000000000001</v>
      </c>
      <c r="Z505" s="36">
        <f>IFERROR(IF(Y505=0,"",ROUNDUP(Y505/H505,0)*0.01196),"")</f>
        <v>0.45448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213.63636363636363</v>
      </c>
      <c r="BN505" s="64">
        <f t="shared" ref="BN505:BN516" si="76">IFERROR(Y505*I505/H505,"0")</f>
        <v>214.32</v>
      </c>
      <c r="BO505" s="64">
        <f t="shared" ref="BO505:BO516" si="77">IFERROR(1/J505*(X505/H505),"0")</f>
        <v>0.36421911421911418</v>
      </c>
      <c r="BP505" s="64">
        <f t="shared" ref="BP505:BP516" si="78">IFERROR(1/J505*(Y505/H505),"0")</f>
        <v>0.36538461538461542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100</v>
      </c>
      <c r="Y506" s="664">
        <f t="shared" si="74"/>
        <v>100.32000000000001</v>
      </c>
      <c r="Z506" s="36">
        <f>IFERROR(IF(Y506=0,"",ROUNDUP(Y506/H506,0)*0.01196),"")</f>
        <v>0.22724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106.81818181818181</v>
      </c>
      <c r="BN506" s="64">
        <f t="shared" si="76"/>
        <v>107.16</v>
      </c>
      <c r="BO506" s="64">
        <f t="shared" si="77"/>
        <v>0.18210955710955709</v>
      </c>
      <c r="BP506" s="64">
        <f t="shared" si="78"/>
        <v>0.18269230769230771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50</v>
      </c>
      <c r="Y507" s="664">
        <f t="shared" si="74"/>
        <v>52.800000000000004</v>
      </c>
      <c r="Z507" s="36">
        <f>IFERROR(IF(Y507=0,"",ROUNDUP(Y507/H507,0)*0.01196),"")</f>
        <v>0.1196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53.409090909090907</v>
      </c>
      <c r="BN507" s="64">
        <f t="shared" si="76"/>
        <v>56.400000000000006</v>
      </c>
      <c r="BO507" s="64">
        <f t="shared" si="77"/>
        <v>9.1054778554778545E-2</v>
      </c>
      <c r="BP507" s="64">
        <f t="shared" si="78"/>
        <v>9.6153846153846159E-2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66.287878787878782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67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0.80132000000000003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350</v>
      </c>
      <c r="Y518" s="665">
        <f>IFERROR(SUM(Y505:Y516),"0")</f>
        <v>353.76000000000005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50</v>
      </c>
      <c r="Y551" s="664">
        <f t="shared" si="84"/>
        <v>50.400000000000006</v>
      </c>
      <c r="Z551" s="36">
        <f>IFERROR(IF(Y551=0,"",ROUNDUP(Y551/H551,0)*0.00902),"")</f>
        <v>0.10824</v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53.214285714285715</v>
      </c>
      <c r="BN551" s="64">
        <f t="shared" si="86"/>
        <v>53.64</v>
      </c>
      <c r="BO551" s="64">
        <f t="shared" si="87"/>
        <v>9.0187590187590191E-2</v>
      </c>
      <c r="BP551" s="64">
        <f t="shared" si="88"/>
        <v>9.0909090909090912E-2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11.904761904761905</v>
      </c>
      <c r="Y557" s="665">
        <f>IFERROR(Y550/H550,"0")+IFERROR(Y551/H551,"0")+IFERROR(Y552/H552,"0")+IFERROR(Y553/H553,"0")+IFERROR(Y554/H554,"0")+IFERROR(Y555/H555,"0")+IFERROR(Y556/H556,"0")</f>
        <v>12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0.10824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50</v>
      </c>
      <c r="Y558" s="665">
        <f>IFERROR(SUM(Y550:Y556),"0")</f>
        <v>50.400000000000006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10356.199999999999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10442.099999999999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10814.52934099553</v>
      </c>
      <c r="Y592" s="665">
        <f>IFERROR(SUM(BN22:BN588),"0")</f>
        <v>10904.821999999998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16</v>
      </c>
      <c r="Y593" s="38">
        <f>ROUNDUP(SUM(BP22:BP588),0)</f>
        <v>17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11214.52934099553</v>
      </c>
      <c r="Y594" s="665">
        <f>GrossWeightTotalR+PalletQtyTotalR*25</f>
        <v>11329.821999999998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1210.827523264305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1222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17.863619999999997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71.400000000000006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1391.1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277.8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7452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135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8.4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1056.0000000000002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50.400000000000006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2025-04-10T07:25:41Z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