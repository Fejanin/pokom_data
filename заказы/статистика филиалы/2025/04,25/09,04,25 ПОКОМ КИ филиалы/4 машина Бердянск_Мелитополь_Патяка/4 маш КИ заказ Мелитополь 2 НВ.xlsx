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4 машина Бердянск_Мелитополь_Патяка\"/>
    </mc:Choice>
  </mc:AlternateContent>
  <xr:revisionPtr revIDLastSave="0" documentId="13_ncr:1_{BFB201B4-7942-481B-8DDB-1A3787846C0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O511" i="1"/>
  <c r="BM511" i="1"/>
  <c r="Y511" i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Y346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601" i="1" s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3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BO123" i="1"/>
  <c r="BM123" i="1"/>
  <c r="Y123" i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P120" i="1"/>
  <c r="BP119" i="1"/>
  <c r="BO119" i="1"/>
  <c r="BN119" i="1"/>
  <c r="BM119" i="1"/>
  <c r="Z119" i="1"/>
  <c r="Y119" i="1"/>
  <c r="Y129" i="1" s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Y83" i="1"/>
  <c r="X83" i="1"/>
  <c r="BP82" i="1"/>
  <c r="BO82" i="1"/>
  <c r="BN82" i="1"/>
  <c r="BM82" i="1"/>
  <c r="Z82" i="1"/>
  <c r="Y82" i="1"/>
  <c r="P82" i="1"/>
  <c r="BO81" i="1"/>
  <c r="BM81" i="1"/>
  <c r="Y81" i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P40" i="1"/>
  <c r="BP39" i="1"/>
  <c r="BO39" i="1"/>
  <c r="BN39" i="1"/>
  <c r="BM39" i="1"/>
  <c r="Z39" i="1"/>
  <c r="Y39" i="1"/>
  <c r="P39" i="1"/>
  <c r="BO38" i="1"/>
  <c r="BM38" i="1"/>
  <c r="Y38" i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Y32" i="1" s="1"/>
  <c r="P31" i="1"/>
  <c r="X29" i="1"/>
  <c r="X591" i="1" s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9" i="1" l="1"/>
  <c r="Y33" i="1"/>
  <c r="BP40" i="1"/>
  <c r="BN40" i="1"/>
  <c r="Z40" i="1"/>
  <c r="Z226" i="1"/>
  <c r="H9" i="1"/>
  <c r="B601" i="1"/>
  <c r="X592" i="1"/>
  <c r="X594" i="1" s="1"/>
  <c r="X593" i="1"/>
  <c r="Z23" i="1"/>
  <c r="Z28" i="1" s="1"/>
  <c r="BN23" i="1"/>
  <c r="Z24" i="1"/>
  <c r="BN24" i="1"/>
  <c r="Z25" i="1"/>
  <c r="BN25" i="1"/>
  <c r="Z27" i="1"/>
  <c r="BN27" i="1"/>
  <c r="Y28" i="1"/>
  <c r="Z31" i="1"/>
  <c r="Z32" i="1" s="1"/>
  <c r="BN31" i="1"/>
  <c r="Y592" i="1" s="1"/>
  <c r="BP31" i="1"/>
  <c r="Y593" i="1" s="1"/>
  <c r="Z41" i="1"/>
  <c r="BP38" i="1"/>
  <c r="BN38" i="1"/>
  <c r="Z38" i="1"/>
  <c r="C601" i="1"/>
  <c r="Y41" i="1"/>
  <c r="Z44" i="1"/>
  <c r="Z45" i="1" s="1"/>
  <c r="BN44" i="1"/>
  <c r="BP44" i="1"/>
  <c r="Y45" i="1"/>
  <c r="Z49" i="1"/>
  <c r="Z55" i="1" s="1"/>
  <c r="BN49" i="1"/>
  <c r="BP49" i="1"/>
  <c r="Z51" i="1"/>
  <c r="BN51" i="1"/>
  <c r="Z53" i="1"/>
  <c r="BN53" i="1"/>
  <c r="Y56" i="1"/>
  <c r="Y62" i="1"/>
  <c r="Z59" i="1"/>
  <c r="Z62" i="1" s="1"/>
  <c r="BN59" i="1"/>
  <c r="Z61" i="1"/>
  <c r="BN61" i="1"/>
  <c r="Y63" i="1"/>
  <c r="Y68" i="1"/>
  <c r="BP65" i="1"/>
  <c r="BN65" i="1"/>
  <c r="Z65" i="1"/>
  <c r="BP73" i="1"/>
  <c r="BN73" i="1"/>
  <c r="Z73" i="1"/>
  <c r="BP81" i="1"/>
  <c r="BN81" i="1"/>
  <c r="Z81" i="1"/>
  <c r="Z83" i="1" s="1"/>
  <c r="Y103" i="1"/>
  <c r="BP93" i="1"/>
  <c r="BN93" i="1"/>
  <c r="Z93" i="1"/>
  <c r="BP96" i="1"/>
  <c r="BN96" i="1"/>
  <c r="Z96" i="1"/>
  <c r="BP98" i="1"/>
  <c r="BN98" i="1"/>
  <c r="Z98" i="1"/>
  <c r="Y102" i="1"/>
  <c r="BP107" i="1"/>
  <c r="BN107" i="1"/>
  <c r="Z107" i="1"/>
  <c r="BP115" i="1"/>
  <c r="BN115" i="1"/>
  <c r="Z115" i="1"/>
  <c r="BP120" i="1"/>
  <c r="BN120" i="1"/>
  <c r="Z120" i="1"/>
  <c r="BP124" i="1"/>
  <c r="BN124" i="1"/>
  <c r="Z124" i="1"/>
  <c r="Y128" i="1"/>
  <c r="BP132" i="1"/>
  <c r="BN132" i="1"/>
  <c r="Z132" i="1"/>
  <c r="Z133" i="1" s="1"/>
  <c r="Y134" i="1"/>
  <c r="Y140" i="1"/>
  <c r="BP137" i="1"/>
  <c r="BN137" i="1"/>
  <c r="Z137" i="1"/>
  <c r="Z139" i="1" s="1"/>
  <c r="Y144" i="1"/>
  <c r="BP158" i="1"/>
  <c r="BN158" i="1"/>
  <c r="Z158" i="1"/>
  <c r="BP176" i="1"/>
  <c r="BN176" i="1"/>
  <c r="Z176" i="1"/>
  <c r="BP179" i="1"/>
  <c r="BN179" i="1"/>
  <c r="Z179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7" i="1"/>
  <c r="BP246" i="1"/>
  <c r="BN246" i="1"/>
  <c r="Z246" i="1"/>
  <c r="Z247" i="1" s="1"/>
  <c r="Y248" i="1"/>
  <c r="BP256" i="1"/>
  <c r="BN256" i="1"/>
  <c r="Z256" i="1"/>
  <c r="Z261" i="1" s="1"/>
  <c r="BP260" i="1"/>
  <c r="BN260" i="1"/>
  <c r="Z260" i="1"/>
  <c r="Y262" i="1"/>
  <c r="M601" i="1"/>
  <c r="Y266" i="1"/>
  <c r="BP265" i="1"/>
  <c r="BN265" i="1"/>
  <c r="Z265" i="1"/>
  <c r="Z266" i="1" s="1"/>
  <c r="Y267" i="1"/>
  <c r="O601" i="1"/>
  <c r="Y273" i="1"/>
  <c r="BP270" i="1"/>
  <c r="BN270" i="1"/>
  <c r="Z270" i="1"/>
  <c r="BP279" i="1"/>
  <c r="BN279" i="1"/>
  <c r="Z279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BP350" i="1"/>
  <c r="BN350" i="1"/>
  <c r="Z350" i="1"/>
  <c r="BP358" i="1"/>
  <c r="BN358" i="1"/>
  <c r="Z358" i="1"/>
  <c r="V601" i="1"/>
  <c r="Y365" i="1"/>
  <c r="Y364" i="1"/>
  <c r="BP363" i="1"/>
  <c r="BN363" i="1"/>
  <c r="Z363" i="1"/>
  <c r="Z364" i="1" s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35" i="1"/>
  <c r="BN435" i="1"/>
  <c r="Z435" i="1"/>
  <c r="BP440" i="1"/>
  <c r="BN440" i="1"/>
  <c r="Z440" i="1"/>
  <c r="Y42" i="1"/>
  <c r="Y55" i="1"/>
  <c r="BP67" i="1"/>
  <c r="BN67" i="1"/>
  <c r="Z67" i="1"/>
  <c r="Y69" i="1"/>
  <c r="Y78" i="1"/>
  <c r="BP71" i="1"/>
  <c r="BN71" i="1"/>
  <c r="Z71" i="1"/>
  <c r="BP75" i="1"/>
  <c r="BN75" i="1"/>
  <c r="Z75" i="1"/>
  <c r="BP88" i="1"/>
  <c r="BN88" i="1"/>
  <c r="Z88" i="1"/>
  <c r="Z90" i="1" s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BP123" i="1"/>
  <c r="BN123" i="1"/>
  <c r="Z123" i="1"/>
  <c r="Z128" i="1" s="1"/>
  <c r="BP126" i="1"/>
  <c r="BN126" i="1"/>
  <c r="Z126" i="1"/>
  <c r="BP143" i="1"/>
  <c r="BN143" i="1"/>
  <c r="Z143" i="1"/>
  <c r="Z144" i="1" s="1"/>
  <c r="Y145" i="1"/>
  <c r="Y150" i="1"/>
  <c r="BP147" i="1"/>
  <c r="BN147" i="1"/>
  <c r="Z147" i="1"/>
  <c r="Z149" i="1" s="1"/>
  <c r="BP160" i="1"/>
  <c r="BN160" i="1"/>
  <c r="Z160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Z209" i="1" s="1"/>
  <c r="BP205" i="1"/>
  <c r="BN205" i="1"/>
  <c r="Z205" i="1"/>
  <c r="Y209" i="1"/>
  <c r="BP213" i="1"/>
  <c r="BN213" i="1"/>
  <c r="Z213" i="1"/>
  <c r="Z221" i="1" s="1"/>
  <c r="BP217" i="1"/>
  <c r="BN217" i="1"/>
  <c r="Z217" i="1"/>
  <c r="Y221" i="1"/>
  <c r="BP225" i="1"/>
  <c r="BN225" i="1"/>
  <c r="Z225" i="1"/>
  <c r="Y227" i="1"/>
  <c r="K601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Y282" i="1"/>
  <c r="BP277" i="1"/>
  <c r="BN277" i="1"/>
  <c r="Z277" i="1"/>
  <c r="Z282" i="1" s="1"/>
  <c r="BP281" i="1"/>
  <c r="BN281" i="1"/>
  <c r="Z281" i="1"/>
  <c r="Y283" i="1"/>
  <c r="Q601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BP338" i="1"/>
  <c r="BN338" i="1"/>
  <c r="Z338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94" i="1"/>
  <c r="BN394" i="1"/>
  <c r="Z394" i="1"/>
  <c r="Y396" i="1"/>
  <c r="Z408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Y421" i="1"/>
  <c r="BP419" i="1"/>
  <c r="BN419" i="1"/>
  <c r="Z419" i="1"/>
  <c r="Y460" i="1"/>
  <c r="BP456" i="1"/>
  <c r="BN456" i="1"/>
  <c r="Z456" i="1"/>
  <c r="Y461" i="1"/>
  <c r="BP465" i="1"/>
  <c r="BN465" i="1"/>
  <c r="Z465" i="1"/>
  <c r="Y467" i="1"/>
  <c r="Y471" i="1"/>
  <c r="BP470" i="1"/>
  <c r="BN470" i="1"/>
  <c r="Z470" i="1"/>
  <c r="Z471" i="1" s="1"/>
  <c r="AB601" i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Y503" i="1"/>
  <c r="BP500" i="1"/>
  <c r="BN500" i="1"/>
  <c r="Z500" i="1"/>
  <c r="BP512" i="1"/>
  <c r="BN512" i="1"/>
  <c r="Z512" i="1"/>
  <c r="Y518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G601" i="1"/>
  <c r="X601" i="1"/>
  <c r="E601" i="1"/>
  <c r="Y91" i="1"/>
  <c r="F601" i="1"/>
  <c r="Y110" i="1"/>
  <c r="H601" i="1"/>
  <c r="Y155" i="1"/>
  <c r="L601" i="1"/>
  <c r="Y261" i="1"/>
  <c r="Y316" i="1"/>
  <c r="U601" i="1"/>
  <c r="Y325" i="1"/>
  <c r="Z370" i="1"/>
  <c r="BP368" i="1"/>
  <c r="BN368" i="1"/>
  <c r="Z368" i="1"/>
  <c r="BP378" i="1"/>
  <c r="BN378" i="1"/>
  <c r="Z378" i="1"/>
  <c r="BP382" i="1"/>
  <c r="BN382" i="1"/>
  <c r="Z382" i="1"/>
  <c r="Y395" i="1"/>
  <c r="BP393" i="1"/>
  <c r="BN393" i="1"/>
  <c r="Z393" i="1"/>
  <c r="Y409" i="1"/>
  <c r="BP406" i="1"/>
  <c r="BN406" i="1"/>
  <c r="Z406" i="1"/>
  <c r="Y413" i="1"/>
  <c r="BP417" i="1"/>
  <c r="BN417" i="1"/>
  <c r="Z417" i="1"/>
  <c r="Y425" i="1"/>
  <c r="BP424" i="1"/>
  <c r="BN424" i="1"/>
  <c r="Z424" i="1"/>
  <c r="Z425" i="1" s="1"/>
  <c r="Y426" i="1"/>
  <c r="BP434" i="1"/>
  <c r="BN434" i="1"/>
  <c r="Z434" i="1"/>
  <c r="Z442" i="1" s="1"/>
  <c r="BP437" i="1"/>
  <c r="BN437" i="1"/>
  <c r="Z437" i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BP459" i="1"/>
  <c r="BN459" i="1"/>
  <c r="Z459" i="1"/>
  <c r="AA601" i="1"/>
  <c r="Y466" i="1"/>
  <c r="BP464" i="1"/>
  <c r="BN464" i="1"/>
  <c r="Z464" i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Y594" i="1" l="1"/>
  <c r="Z565" i="1"/>
  <c r="Z547" i="1"/>
  <c r="Z460" i="1"/>
  <c r="Z421" i="1"/>
  <c r="Z183" i="1"/>
  <c r="Z110" i="1"/>
  <c r="Z102" i="1"/>
  <c r="Y595" i="1"/>
  <c r="Y591" i="1"/>
  <c r="Z517" i="1"/>
  <c r="Z466" i="1"/>
  <c r="Z395" i="1"/>
  <c r="Z523" i="1"/>
  <c r="Z502" i="1"/>
  <c r="Z495" i="1"/>
  <c r="Z353" i="1"/>
  <c r="Z238" i="1"/>
  <c r="Z77" i="1"/>
  <c r="Z332" i="1"/>
  <c r="Z273" i="1"/>
  <c r="Z161" i="1"/>
  <c r="Z68" i="1"/>
  <c r="Z596" i="1" s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<sst xmlns="http://schemas.openxmlformats.org/spreadsheetml/2006/main" count="2720" uniqueCount="975">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</sst>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2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3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5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7" customWidth="1"/>
    <col min="19" max="19" width="6.140625" style="65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7" customWidth="1"/>
    <col min="25" max="25" width="11" style="657" customWidth="1"/>
    <col min="26" max="26" width="10" style="657" customWidth="1"/>
    <col min="27" max="27" width="11.5703125" style="657" customWidth="1"/>
    <col min="28" max="28" width="10.42578125" style="657" customWidth="1"/>
    <col min="29" max="29" width="30" style="65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7" customWidth="1"/>
    <col min="34" max="34" width="9.140625" style="657" customWidth="1"/>
    <col min="35" max="16384" width="9.140625" style="657"/>
  </cols>
  <sheetData>
    <row r="1" spans="1:32" s="660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4"/>
      <c r="R2" s="674"/>
      <c r="S2" s="674"/>
      <c r="T2" s="674"/>
      <c r="U2" s="674"/>
      <c r="V2" s="674"/>
      <c r="W2" s="674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4"/>
      <c r="Q3" s="674"/>
      <c r="R3" s="674"/>
      <c r="S3" s="674"/>
      <c r="T3" s="674"/>
      <c r="U3" s="674"/>
      <c r="V3" s="674"/>
      <c r="W3" s="674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801" t="s">
        <v>8</v>
      </c>
      <c r="B5" s="802"/>
      <c r="C5" s="803"/>
      <c r="D5" s="749"/>
      <c r="E5" s="750"/>
      <c r="F5" s="1001" t="s">
        <v>9</v>
      </c>
      <c r="G5" s="803"/>
      <c r="H5" s="749"/>
      <c r="I5" s="942"/>
      <c r="J5" s="942"/>
      <c r="K5" s="942"/>
      <c r="L5" s="942"/>
      <c r="M5" s="750"/>
      <c r="N5" s="58"/>
      <c r="P5" s="24" t="s">
        <v>10</v>
      </c>
      <c r="Q5" s="1017">
        <v>45759</v>
      </c>
      <c r="R5" s="798"/>
      <c r="T5" s="849" t="s">
        <v>11</v>
      </c>
      <c r="U5" s="850"/>
      <c r="V5" s="852" t="s">
        <v>12</v>
      </c>
      <c r="W5" s="798"/>
      <c r="AB5" s="51"/>
      <c r="AC5" s="51"/>
      <c r="AD5" s="51"/>
      <c r="AE5" s="51"/>
    </row>
    <row r="6" spans="1:32" s="660" customFormat="1" ht="24" customHeight="1" x14ac:dyDescent="0.2">
      <c r="A6" s="801" t="s">
        <v>13</v>
      </c>
      <c r="B6" s="802"/>
      <c r="C6" s="803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8"/>
      <c r="N6" s="59"/>
      <c r="P6" s="24" t="s">
        <v>15</v>
      </c>
      <c r="Q6" s="1025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5" t="s">
        <v>16</v>
      </c>
      <c r="U6" s="850"/>
      <c r="V6" s="924" t="s">
        <v>17</v>
      </c>
      <c r="W6" s="707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4"/>
      <c r="U7" s="850"/>
      <c r="V7" s="925"/>
      <c r="W7" s="926"/>
      <c r="AB7" s="51"/>
      <c r="AC7" s="51"/>
      <c r="AD7" s="51"/>
      <c r="AE7" s="51"/>
    </row>
    <row r="8" spans="1:32" s="660" customFormat="1" ht="25.5" customHeight="1" x14ac:dyDescent="0.2">
      <c r="A8" s="1038" t="s">
        <v>18</v>
      </c>
      <c r="B8" s="684"/>
      <c r="C8" s="685"/>
      <c r="D8" s="729"/>
      <c r="E8" s="730"/>
      <c r="F8" s="730"/>
      <c r="G8" s="730"/>
      <c r="H8" s="730"/>
      <c r="I8" s="730"/>
      <c r="J8" s="730"/>
      <c r="K8" s="730"/>
      <c r="L8" s="730"/>
      <c r="M8" s="731"/>
      <c r="N8" s="61"/>
      <c r="P8" s="24" t="s">
        <v>19</v>
      </c>
      <c r="Q8" s="811">
        <v>0.41666666666666669</v>
      </c>
      <c r="R8" s="720"/>
      <c r="T8" s="674"/>
      <c r="U8" s="850"/>
      <c r="V8" s="925"/>
      <c r="W8" s="926"/>
      <c r="AB8" s="51"/>
      <c r="AC8" s="51"/>
      <c r="AD8" s="51"/>
      <c r="AE8" s="51"/>
    </row>
    <row r="9" spans="1:32" s="660" customFormat="1" ht="39.950000000000003" customHeight="1" x14ac:dyDescent="0.2">
      <c r="A9" s="8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4"/>
      <c r="C9" s="674"/>
      <c r="D9" s="823"/>
      <c r="E9" s="681"/>
      <c r="F9" s="8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4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61"/>
      <c r="P9" s="26" t="s">
        <v>20</v>
      </c>
      <c r="Q9" s="795"/>
      <c r="R9" s="796"/>
      <c r="T9" s="674"/>
      <c r="U9" s="850"/>
      <c r="V9" s="927"/>
      <c r="W9" s="928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8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4"/>
      <c r="C10" s="674"/>
      <c r="D10" s="823"/>
      <c r="E10" s="681"/>
      <c r="F10" s="8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4"/>
      <c r="H10" s="914" t="str">
        <f>IFERROR(VLOOKUP($D$10,Proxy,2,FALSE),"")</f>
        <v/>
      </c>
      <c r="I10" s="674"/>
      <c r="J10" s="674"/>
      <c r="K10" s="674"/>
      <c r="L10" s="674"/>
      <c r="M10" s="674"/>
      <c r="N10" s="659"/>
      <c r="P10" s="26" t="s">
        <v>21</v>
      </c>
      <c r="Q10" s="856"/>
      <c r="R10" s="857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7"/>
      <c r="R11" s="798"/>
      <c r="U11" s="24" t="s">
        <v>26</v>
      </c>
      <c r="V11" s="966" t="s">
        <v>27</v>
      </c>
      <c r="W11" s="796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44" t="s">
        <v>28</v>
      </c>
      <c r="B12" s="802"/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3"/>
      <c r="N12" s="62"/>
      <c r="P12" s="24" t="s">
        <v>29</v>
      </c>
      <c r="Q12" s="811"/>
      <c r="R12" s="720"/>
      <c r="S12" s="23"/>
      <c r="U12" s="24"/>
      <c r="V12" s="696"/>
      <c r="W12" s="674"/>
      <c r="AB12" s="51"/>
      <c r="AC12" s="51"/>
      <c r="AD12" s="51"/>
      <c r="AE12" s="51"/>
    </row>
    <row r="13" spans="1:32" s="660" customFormat="1" ht="23.25" customHeight="1" x14ac:dyDescent="0.2">
      <c r="A13" s="844" t="s">
        <v>30</v>
      </c>
      <c r="B13" s="802"/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3"/>
      <c r="N13" s="62"/>
      <c r="O13" s="26"/>
      <c r="P13" s="26" t="s">
        <v>31</v>
      </c>
      <c r="Q13" s="966"/>
      <c r="R13" s="79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44" t="s">
        <v>32</v>
      </c>
      <c r="B14" s="802"/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82" t="s">
        <v>33</v>
      </c>
      <c r="B15" s="802"/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3"/>
      <c r="N15" s="63"/>
      <c r="P15" s="834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5"/>
      <c r="Q16" s="835"/>
      <c r="R16" s="835"/>
      <c r="S16" s="835"/>
      <c r="T16" s="83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8" t="s">
        <v>37</v>
      </c>
      <c r="D17" s="702" t="s">
        <v>38</v>
      </c>
      <c r="E17" s="772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1"/>
      <c r="R17" s="771"/>
      <c r="S17" s="771"/>
      <c r="T17" s="772"/>
      <c r="U17" s="1035" t="s">
        <v>50</v>
      </c>
      <c r="V17" s="803"/>
      <c r="W17" s="702" t="s">
        <v>51</v>
      </c>
      <c r="X17" s="702" t="s">
        <v>52</v>
      </c>
      <c r="Y17" s="1036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3"/>
      <c r="E18" s="775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3"/>
      <c r="Q18" s="774"/>
      <c r="R18" s="774"/>
      <c r="S18" s="774"/>
      <c r="T18" s="775"/>
      <c r="U18" s="67" t="s">
        <v>60</v>
      </c>
      <c r="V18" s="67" t="s">
        <v>61</v>
      </c>
      <c r="W18" s="703"/>
      <c r="X18" s="703"/>
      <c r="Y18" s="1037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4"/>
      <c r="C20" s="674"/>
      <c r="D20" s="674"/>
      <c r="E20" s="674"/>
      <c r="F20" s="674"/>
      <c r="G20" s="674"/>
      <c r="H20" s="674"/>
      <c r="I20" s="674"/>
      <c r="J20" s="674"/>
      <c r="K20" s="674"/>
      <c r="L20" s="674"/>
      <c r="M20" s="674"/>
      <c r="N20" s="674"/>
      <c r="O20" s="674"/>
      <c r="P20" s="674"/>
      <c r="Q20" s="674"/>
      <c r="R20" s="674"/>
      <c r="S20" s="674"/>
      <c r="T20" s="674"/>
      <c r="U20" s="674"/>
      <c r="V20" s="674"/>
      <c r="W20" s="674"/>
      <c r="X20" s="674"/>
      <c r="Y20" s="674"/>
      <c r="Z20" s="674"/>
      <c r="AA20" s="658"/>
      <c r="AB20" s="658"/>
      <c r="AC20" s="658"/>
    </row>
    <row r="21" spans="1:68" ht="14.25" customHeight="1" x14ac:dyDescent="0.25">
      <c r="A21" s="679" t="s">
        <v>63</v>
      </c>
      <c r="B21" s="674"/>
      <c r="C21" s="674"/>
      <c r="D21" s="674"/>
      <c r="E21" s="674"/>
      <c r="F21" s="674"/>
      <c r="G21" s="674"/>
      <c r="H21" s="674"/>
      <c r="I21" s="674"/>
      <c r="J21" s="674"/>
      <c r="K21" s="674"/>
      <c r="L21" s="674"/>
      <c r="M21" s="674"/>
      <c r="N21" s="674"/>
      <c r="O21" s="674"/>
      <c r="P21" s="674"/>
      <c r="Q21" s="674"/>
      <c r="R21" s="674"/>
      <c r="S21" s="674"/>
      <c r="T21" s="674"/>
      <c r="U21" s="674"/>
      <c r="V21" s="674"/>
      <c r="W21" s="674"/>
      <c r="X21" s="674"/>
      <c r="Y21" s="674"/>
      <c r="Z21" s="674"/>
      <c r="AA21" s="656"/>
      <c r="AB21" s="656"/>
      <c r="AC21" s="656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3"/>
      <c r="B28" s="674"/>
      <c r="C28" s="674"/>
      <c r="D28" s="674"/>
      <c r="E28" s="674"/>
      <c r="F28" s="674"/>
      <c r="G28" s="674"/>
      <c r="H28" s="674"/>
      <c r="I28" s="674"/>
      <c r="J28" s="674"/>
      <c r="K28" s="674"/>
      <c r="L28" s="674"/>
      <c r="M28" s="674"/>
      <c r="N28" s="674"/>
      <c r="O28" s="675"/>
      <c r="P28" s="683" t="s">
        <v>87</v>
      </c>
      <c r="Q28" s="684"/>
      <c r="R28" s="684"/>
      <c r="S28" s="684"/>
      <c r="T28" s="684"/>
      <c r="U28" s="684"/>
      <c r="V28" s="685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4"/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674"/>
      <c r="N29" s="674"/>
      <c r="O29" s="675"/>
      <c r="P29" s="683" t="s">
        <v>87</v>
      </c>
      <c r="Q29" s="684"/>
      <c r="R29" s="684"/>
      <c r="S29" s="684"/>
      <c r="T29" s="684"/>
      <c r="U29" s="684"/>
      <c r="V29" s="685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  <c r="M30" s="674"/>
      <c r="N30" s="674"/>
      <c r="O30" s="674"/>
      <c r="P30" s="674"/>
      <c r="Q30" s="674"/>
      <c r="R30" s="674"/>
      <c r="S30" s="674"/>
      <c r="T30" s="674"/>
      <c r="U30" s="674"/>
      <c r="V30" s="674"/>
      <c r="W30" s="674"/>
      <c r="X30" s="674"/>
      <c r="Y30" s="674"/>
      <c r="Z30" s="674"/>
      <c r="AA30" s="656"/>
      <c r="AB30" s="656"/>
      <c r="AC30" s="656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3"/>
      <c r="B32" s="674"/>
      <c r="C32" s="674"/>
      <c r="D32" s="674"/>
      <c r="E32" s="674"/>
      <c r="F32" s="674"/>
      <c r="G32" s="674"/>
      <c r="H32" s="674"/>
      <c r="I32" s="674"/>
      <c r="J32" s="674"/>
      <c r="K32" s="674"/>
      <c r="L32" s="674"/>
      <c r="M32" s="674"/>
      <c r="N32" s="674"/>
      <c r="O32" s="675"/>
      <c r="P32" s="683" t="s">
        <v>87</v>
      </c>
      <c r="Q32" s="684"/>
      <c r="R32" s="684"/>
      <c r="S32" s="684"/>
      <c r="T32" s="684"/>
      <c r="U32" s="684"/>
      <c r="V32" s="685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4"/>
      <c r="B33" s="674"/>
      <c r="C33" s="674"/>
      <c r="D33" s="674"/>
      <c r="E33" s="674"/>
      <c r="F33" s="674"/>
      <c r="G33" s="674"/>
      <c r="H33" s="674"/>
      <c r="I33" s="674"/>
      <c r="J33" s="674"/>
      <c r="K33" s="674"/>
      <c r="L33" s="674"/>
      <c r="M33" s="674"/>
      <c r="N33" s="674"/>
      <c r="O33" s="675"/>
      <c r="P33" s="683" t="s">
        <v>87</v>
      </c>
      <c r="Q33" s="684"/>
      <c r="R33" s="684"/>
      <c r="S33" s="684"/>
      <c r="T33" s="684"/>
      <c r="U33" s="684"/>
      <c r="V33" s="685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4"/>
      <c r="C35" s="674"/>
      <c r="D35" s="674"/>
      <c r="E35" s="674"/>
      <c r="F35" s="674"/>
      <c r="G35" s="674"/>
      <c r="H35" s="674"/>
      <c r="I35" s="674"/>
      <c r="J35" s="674"/>
      <c r="K35" s="674"/>
      <c r="L35" s="674"/>
      <c r="M35" s="674"/>
      <c r="N35" s="674"/>
      <c r="O35" s="674"/>
      <c r="P35" s="674"/>
      <c r="Q35" s="674"/>
      <c r="R35" s="674"/>
      <c r="S35" s="674"/>
      <c r="T35" s="674"/>
      <c r="U35" s="674"/>
      <c r="V35" s="674"/>
      <c r="W35" s="674"/>
      <c r="X35" s="674"/>
      <c r="Y35" s="674"/>
      <c r="Z35" s="674"/>
      <c r="AA35" s="658"/>
      <c r="AB35" s="658"/>
      <c r="AC35" s="658"/>
    </row>
    <row r="36" spans="1:68" ht="14.25" customHeight="1" x14ac:dyDescent="0.25">
      <c r="A36" s="679" t="s">
        <v>97</v>
      </c>
      <c r="B36" s="674"/>
      <c r="C36" s="674"/>
      <c r="D36" s="674"/>
      <c r="E36" s="674"/>
      <c r="F36" s="674"/>
      <c r="G36" s="674"/>
      <c r="H36" s="674"/>
      <c r="I36" s="674"/>
      <c r="J36" s="674"/>
      <c r="K36" s="674"/>
      <c r="L36" s="674"/>
      <c r="M36" s="674"/>
      <c r="N36" s="674"/>
      <c r="O36" s="674"/>
      <c r="P36" s="674"/>
      <c r="Q36" s="674"/>
      <c r="R36" s="674"/>
      <c r="S36" s="674"/>
      <c r="T36" s="674"/>
      <c r="U36" s="674"/>
      <c r="V36" s="674"/>
      <c r="W36" s="674"/>
      <c r="X36" s="674"/>
      <c r="Y36" s="674"/>
      <c r="Z36" s="674"/>
      <c r="AA36" s="656"/>
      <c r="AB36" s="656"/>
      <c r="AC36" s="656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3"/>
      <c r="B41" s="674"/>
      <c r="C41" s="674"/>
      <c r="D41" s="674"/>
      <c r="E41" s="674"/>
      <c r="F41" s="674"/>
      <c r="G41" s="674"/>
      <c r="H41" s="674"/>
      <c r="I41" s="674"/>
      <c r="J41" s="674"/>
      <c r="K41" s="674"/>
      <c r="L41" s="674"/>
      <c r="M41" s="674"/>
      <c r="N41" s="674"/>
      <c r="O41" s="675"/>
      <c r="P41" s="683" t="s">
        <v>87</v>
      </c>
      <c r="Q41" s="684"/>
      <c r="R41" s="684"/>
      <c r="S41" s="684"/>
      <c r="T41" s="684"/>
      <c r="U41" s="684"/>
      <c r="V41" s="685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4"/>
      <c r="B42" s="674"/>
      <c r="C42" s="674"/>
      <c r="D42" s="674"/>
      <c r="E42" s="674"/>
      <c r="F42" s="674"/>
      <c r="G42" s="674"/>
      <c r="H42" s="674"/>
      <c r="I42" s="674"/>
      <c r="J42" s="674"/>
      <c r="K42" s="674"/>
      <c r="L42" s="674"/>
      <c r="M42" s="674"/>
      <c r="N42" s="674"/>
      <c r="O42" s="675"/>
      <c r="P42" s="683" t="s">
        <v>87</v>
      </c>
      <c r="Q42" s="684"/>
      <c r="R42" s="684"/>
      <c r="S42" s="684"/>
      <c r="T42" s="684"/>
      <c r="U42" s="684"/>
      <c r="V42" s="685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4"/>
      <c r="C43" s="674"/>
      <c r="D43" s="674"/>
      <c r="E43" s="674"/>
      <c r="F43" s="674"/>
      <c r="G43" s="674"/>
      <c r="H43" s="674"/>
      <c r="I43" s="674"/>
      <c r="J43" s="674"/>
      <c r="K43" s="674"/>
      <c r="L43" s="674"/>
      <c r="M43" s="674"/>
      <c r="N43" s="674"/>
      <c r="O43" s="674"/>
      <c r="P43" s="674"/>
      <c r="Q43" s="674"/>
      <c r="R43" s="674"/>
      <c r="S43" s="674"/>
      <c r="T43" s="674"/>
      <c r="U43" s="674"/>
      <c r="V43" s="674"/>
      <c r="W43" s="674"/>
      <c r="X43" s="674"/>
      <c r="Y43" s="674"/>
      <c r="Z43" s="674"/>
      <c r="AA43" s="656"/>
      <c r="AB43" s="656"/>
      <c r="AC43" s="656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3"/>
      <c r="B45" s="674"/>
      <c r="C45" s="674"/>
      <c r="D45" s="674"/>
      <c r="E45" s="674"/>
      <c r="F45" s="674"/>
      <c r="G45" s="674"/>
      <c r="H45" s="674"/>
      <c r="I45" s="674"/>
      <c r="J45" s="674"/>
      <c r="K45" s="674"/>
      <c r="L45" s="674"/>
      <c r="M45" s="674"/>
      <c r="N45" s="674"/>
      <c r="O45" s="675"/>
      <c r="P45" s="683" t="s">
        <v>87</v>
      </c>
      <c r="Q45" s="684"/>
      <c r="R45" s="684"/>
      <c r="S45" s="684"/>
      <c r="T45" s="684"/>
      <c r="U45" s="684"/>
      <c r="V45" s="685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4"/>
      <c r="B46" s="674"/>
      <c r="C46" s="674"/>
      <c r="D46" s="674"/>
      <c r="E46" s="674"/>
      <c r="F46" s="674"/>
      <c r="G46" s="674"/>
      <c r="H46" s="674"/>
      <c r="I46" s="674"/>
      <c r="J46" s="674"/>
      <c r="K46" s="674"/>
      <c r="L46" s="674"/>
      <c r="M46" s="674"/>
      <c r="N46" s="674"/>
      <c r="O46" s="675"/>
      <c r="P46" s="683" t="s">
        <v>87</v>
      </c>
      <c r="Q46" s="684"/>
      <c r="R46" s="684"/>
      <c r="S46" s="684"/>
      <c r="T46" s="684"/>
      <c r="U46" s="684"/>
      <c r="V46" s="685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4"/>
      <c r="C47" s="674"/>
      <c r="D47" s="674"/>
      <c r="E47" s="674"/>
      <c r="F47" s="674"/>
      <c r="G47" s="674"/>
      <c r="H47" s="674"/>
      <c r="I47" s="674"/>
      <c r="J47" s="674"/>
      <c r="K47" s="674"/>
      <c r="L47" s="674"/>
      <c r="M47" s="674"/>
      <c r="N47" s="674"/>
      <c r="O47" s="674"/>
      <c r="P47" s="674"/>
      <c r="Q47" s="674"/>
      <c r="R47" s="674"/>
      <c r="S47" s="674"/>
      <c r="T47" s="674"/>
      <c r="U47" s="674"/>
      <c r="V47" s="674"/>
      <c r="W47" s="674"/>
      <c r="X47" s="674"/>
      <c r="Y47" s="674"/>
      <c r="Z47" s="674"/>
      <c r="AA47" s="658"/>
      <c r="AB47" s="658"/>
      <c r="AC47" s="658"/>
    </row>
    <row r="48" spans="1:68" ht="14.25" customHeight="1" x14ac:dyDescent="0.25">
      <c r="A48" s="679" t="s">
        <v>97</v>
      </c>
      <c r="B48" s="674"/>
      <c r="C48" s="674"/>
      <c r="D48" s="674"/>
      <c r="E48" s="674"/>
      <c r="F48" s="674"/>
      <c r="G48" s="674"/>
      <c r="H48" s="674"/>
      <c r="I48" s="674"/>
      <c r="J48" s="674"/>
      <c r="K48" s="674"/>
      <c r="L48" s="674"/>
      <c r="M48" s="674"/>
      <c r="N48" s="674"/>
      <c r="O48" s="674"/>
      <c r="P48" s="674"/>
      <c r="Q48" s="674"/>
      <c r="R48" s="674"/>
      <c r="S48" s="674"/>
      <c r="T48" s="674"/>
      <c r="U48" s="674"/>
      <c r="V48" s="674"/>
      <c r="W48" s="674"/>
      <c r="X48" s="674"/>
      <c r="Y48" s="674"/>
      <c r="Z48" s="674"/>
      <c r="AA48" s="656"/>
      <c r="AB48" s="656"/>
      <c r="AC48" s="656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3"/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674"/>
      <c r="N55" s="674"/>
      <c r="O55" s="675"/>
      <c r="P55" s="683" t="s">
        <v>87</v>
      </c>
      <c r="Q55" s="684"/>
      <c r="R55" s="684"/>
      <c r="S55" s="684"/>
      <c r="T55" s="684"/>
      <c r="U55" s="684"/>
      <c r="V55" s="685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  <c r="M56" s="674"/>
      <c r="N56" s="674"/>
      <c r="O56" s="675"/>
      <c r="P56" s="683" t="s">
        <v>87</v>
      </c>
      <c r="Q56" s="684"/>
      <c r="R56" s="684"/>
      <c r="S56" s="684"/>
      <c r="T56" s="684"/>
      <c r="U56" s="684"/>
      <c r="V56" s="685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4"/>
      <c r="C57" s="674"/>
      <c r="D57" s="674"/>
      <c r="E57" s="674"/>
      <c r="F57" s="674"/>
      <c r="G57" s="674"/>
      <c r="H57" s="674"/>
      <c r="I57" s="674"/>
      <c r="J57" s="674"/>
      <c r="K57" s="674"/>
      <c r="L57" s="674"/>
      <c r="M57" s="674"/>
      <c r="N57" s="674"/>
      <c r="O57" s="674"/>
      <c r="P57" s="674"/>
      <c r="Q57" s="674"/>
      <c r="R57" s="674"/>
      <c r="S57" s="674"/>
      <c r="T57" s="674"/>
      <c r="U57" s="674"/>
      <c r="V57" s="674"/>
      <c r="W57" s="674"/>
      <c r="X57" s="674"/>
      <c r="Y57" s="674"/>
      <c r="Z57" s="674"/>
      <c r="AA57" s="656"/>
      <c r="AB57" s="656"/>
      <c r="AC57" s="656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3"/>
      <c r="B62" s="674"/>
      <c r="C62" s="674"/>
      <c r="D62" s="674"/>
      <c r="E62" s="674"/>
      <c r="F62" s="674"/>
      <c r="G62" s="674"/>
      <c r="H62" s="674"/>
      <c r="I62" s="674"/>
      <c r="J62" s="674"/>
      <c r="K62" s="674"/>
      <c r="L62" s="674"/>
      <c r="M62" s="674"/>
      <c r="N62" s="674"/>
      <c r="O62" s="675"/>
      <c r="P62" s="683" t="s">
        <v>87</v>
      </c>
      <c r="Q62" s="684"/>
      <c r="R62" s="684"/>
      <c r="S62" s="684"/>
      <c r="T62" s="684"/>
      <c r="U62" s="684"/>
      <c r="V62" s="685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4"/>
      <c r="B63" s="674"/>
      <c r="C63" s="674"/>
      <c r="D63" s="674"/>
      <c r="E63" s="674"/>
      <c r="F63" s="674"/>
      <c r="G63" s="674"/>
      <c r="H63" s="674"/>
      <c r="I63" s="674"/>
      <c r="J63" s="674"/>
      <c r="K63" s="674"/>
      <c r="L63" s="674"/>
      <c r="M63" s="674"/>
      <c r="N63" s="674"/>
      <c r="O63" s="675"/>
      <c r="P63" s="683" t="s">
        <v>87</v>
      </c>
      <c r="Q63" s="684"/>
      <c r="R63" s="684"/>
      <c r="S63" s="684"/>
      <c r="T63" s="684"/>
      <c r="U63" s="684"/>
      <c r="V63" s="685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4"/>
      <c r="C64" s="674"/>
      <c r="D64" s="674"/>
      <c r="E64" s="674"/>
      <c r="F64" s="674"/>
      <c r="G64" s="674"/>
      <c r="H64" s="674"/>
      <c r="I64" s="674"/>
      <c r="J64" s="674"/>
      <c r="K64" s="674"/>
      <c r="L64" s="674"/>
      <c r="M64" s="674"/>
      <c r="N64" s="674"/>
      <c r="O64" s="674"/>
      <c r="P64" s="674"/>
      <c r="Q64" s="674"/>
      <c r="R64" s="674"/>
      <c r="S64" s="674"/>
      <c r="T64" s="674"/>
      <c r="U64" s="674"/>
      <c r="V64" s="674"/>
      <c r="W64" s="674"/>
      <c r="X64" s="674"/>
      <c r="Y64" s="674"/>
      <c r="Z64" s="674"/>
      <c r="AA64" s="656"/>
      <c r="AB64" s="656"/>
      <c r="AC64" s="656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3"/>
      <c r="B68" s="674"/>
      <c r="C68" s="674"/>
      <c r="D68" s="674"/>
      <c r="E68" s="674"/>
      <c r="F68" s="674"/>
      <c r="G68" s="674"/>
      <c r="H68" s="674"/>
      <c r="I68" s="674"/>
      <c r="J68" s="674"/>
      <c r="K68" s="674"/>
      <c r="L68" s="674"/>
      <c r="M68" s="674"/>
      <c r="N68" s="674"/>
      <c r="O68" s="675"/>
      <c r="P68" s="683" t="s">
        <v>87</v>
      </c>
      <c r="Q68" s="684"/>
      <c r="R68" s="684"/>
      <c r="S68" s="684"/>
      <c r="T68" s="684"/>
      <c r="U68" s="684"/>
      <c r="V68" s="685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4"/>
      <c r="B69" s="674"/>
      <c r="C69" s="674"/>
      <c r="D69" s="674"/>
      <c r="E69" s="674"/>
      <c r="F69" s="674"/>
      <c r="G69" s="674"/>
      <c r="H69" s="674"/>
      <c r="I69" s="674"/>
      <c r="J69" s="674"/>
      <c r="K69" s="674"/>
      <c r="L69" s="674"/>
      <c r="M69" s="674"/>
      <c r="N69" s="674"/>
      <c r="O69" s="675"/>
      <c r="P69" s="683" t="s">
        <v>87</v>
      </c>
      <c r="Q69" s="684"/>
      <c r="R69" s="684"/>
      <c r="S69" s="684"/>
      <c r="T69" s="684"/>
      <c r="U69" s="684"/>
      <c r="V69" s="685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4"/>
      <c r="C70" s="674"/>
      <c r="D70" s="674"/>
      <c r="E70" s="674"/>
      <c r="F70" s="674"/>
      <c r="G70" s="674"/>
      <c r="H70" s="674"/>
      <c r="I70" s="674"/>
      <c r="J70" s="674"/>
      <c r="K70" s="674"/>
      <c r="L70" s="674"/>
      <c r="M70" s="674"/>
      <c r="N70" s="674"/>
      <c r="O70" s="674"/>
      <c r="P70" s="674"/>
      <c r="Q70" s="674"/>
      <c r="R70" s="674"/>
      <c r="S70" s="674"/>
      <c r="T70" s="674"/>
      <c r="U70" s="674"/>
      <c r="V70" s="674"/>
      <c r="W70" s="674"/>
      <c r="X70" s="674"/>
      <c r="Y70" s="674"/>
      <c r="Z70" s="674"/>
      <c r="AA70" s="656"/>
      <c r="AB70" s="656"/>
      <c r="AC70" s="656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3"/>
      <c r="B77" s="674"/>
      <c r="C77" s="674"/>
      <c r="D77" s="674"/>
      <c r="E77" s="674"/>
      <c r="F77" s="674"/>
      <c r="G77" s="674"/>
      <c r="H77" s="674"/>
      <c r="I77" s="674"/>
      <c r="J77" s="674"/>
      <c r="K77" s="674"/>
      <c r="L77" s="674"/>
      <c r="M77" s="674"/>
      <c r="N77" s="674"/>
      <c r="O77" s="675"/>
      <c r="P77" s="683" t="s">
        <v>87</v>
      </c>
      <c r="Q77" s="684"/>
      <c r="R77" s="684"/>
      <c r="S77" s="684"/>
      <c r="T77" s="684"/>
      <c r="U77" s="684"/>
      <c r="V77" s="685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4"/>
      <c r="B78" s="674"/>
      <c r="C78" s="674"/>
      <c r="D78" s="674"/>
      <c r="E78" s="674"/>
      <c r="F78" s="674"/>
      <c r="G78" s="674"/>
      <c r="H78" s="674"/>
      <c r="I78" s="674"/>
      <c r="J78" s="674"/>
      <c r="K78" s="674"/>
      <c r="L78" s="674"/>
      <c r="M78" s="674"/>
      <c r="N78" s="674"/>
      <c r="O78" s="675"/>
      <c r="P78" s="683" t="s">
        <v>87</v>
      </c>
      <c r="Q78" s="684"/>
      <c r="R78" s="684"/>
      <c r="S78" s="684"/>
      <c r="T78" s="684"/>
      <c r="U78" s="684"/>
      <c r="V78" s="685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4"/>
      <c r="C79" s="674"/>
      <c r="D79" s="674"/>
      <c r="E79" s="674"/>
      <c r="F79" s="674"/>
      <c r="G79" s="674"/>
      <c r="H79" s="674"/>
      <c r="I79" s="674"/>
      <c r="J79" s="674"/>
      <c r="K79" s="674"/>
      <c r="L79" s="674"/>
      <c r="M79" s="674"/>
      <c r="N79" s="674"/>
      <c r="O79" s="674"/>
      <c r="P79" s="674"/>
      <c r="Q79" s="674"/>
      <c r="R79" s="674"/>
      <c r="S79" s="674"/>
      <c r="T79" s="674"/>
      <c r="U79" s="674"/>
      <c r="V79" s="674"/>
      <c r="W79" s="674"/>
      <c r="X79" s="674"/>
      <c r="Y79" s="674"/>
      <c r="Z79" s="674"/>
      <c r="AA79" s="656"/>
      <c r="AB79" s="656"/>
      <c r="AC79" s="656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3"/>
      <c r="B83" s="674"/>
      <c r="C83" s="674"/>
      <c r="D83" s="674"/>
      <c r="E83" s="674"/>
      <c r="F83" s="674"/>
      <c r="G83" s="674"/>
      <c r="H83" s="674"/>
      <c r="I83" s="674"/>
      <c r="J83" s="674"/>
      <c r="K83" s="674"/>
      <c r="L83" s="674"/>
      <c r="M83" s="674"/>
      <c r="N83" s="674"/>
      <c r="O83" s="675"/>
      <c r="P83" s="683" t="s">
        <v>87</v>
      </c>
      <c r="Q83" s="684"/>
      <c r="R83" s="684"/>
      <c r="S83" s="684"/>
      <c r="T83" s="684"/>
      <c r="U83" s="684"/>
      <c r="V83" s="685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4"/>
      <c r="B84" s="674"/>
      <c r="C84" s="674"/>
      <c r="D84" s="674"/>
      <c r="E84" s="674"/>
      <c r="F84" s="674"/>
      <c r="G84" s="674"/>
      <c r="H84" s="674"/>
      <c r="I84" s="674"/>
      <c r="J84" s="674"/>
      <c r="K84" s="674"/>
      <c r="L84" s="674"/>
      <c r="M84" s="674"/>
      <c r="N84" s="674"/>
      <c r="O84" s="675"/>
      <c r="P84" s="683" t="s">
        <v>87</v>
      </c>
      <c r="Q84" s="684"/>
      <c r="R84" s="684"/>
      <c r="S84" s="684"/>
      <c r="T84" s="684"/>
      <c r="U84" s="684"/>
      <c r="V84" s="685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4"/>
      <c r="C85" s="674"/>
      <c r="D85" s="674"/>
      <c r="E85" s="674"/>
      <c r="F85" s="674"/>
      <c r="G85" s="674"/>
      <c r="H85" s="674"/>
      <c r="I85" s="674"/>
      <c r="J85" s="674"/>
      <c r="K85" s="674"/>
      <c r="L85" s="674"/>
      <c r="M85" s="674"/>
      <c r="N85" s="674"/>
      <c r="O85" s="674"/>
      <c r="P85" s="674"/>
      <c r="Q85" s="674"/>
      <c r="R85" s="674"/>
      <c r="S85" s="674"/>
      <c r="T85" s="674"/>
      <c r="U85" s="674"/>
      <c r="V85" s="674"/>
      <c r="W85" s="674"/>
      <c r="X85" s="674"/>
      <c r="Y85" s="674"/>
      <c r="Z85" s="674"/>
      <c r="AA85" s="658"/>
      <c r="AB85" s="658"/>
      <c r="AC85" s="658"/>
    </row>
    <row r="86" spans="1:68" ht="14.25" customHeight="1" x14ac:dyDescent="0.25">
      <c r="A86" s="679" t="s">
        <v>97</v>
      </c>
      <c r="B86" s="674"/>
      <c r="C86" s="674"/>
      <c r="D86" s="674"/>
      <c r="E86" s="674"/>
      <c r="F86" s="674"/>
      <c r="G86" s="674"/>
      <c r="H86" s="674"/>
      <c r="I86" s="674"/>
      <c r="J86" s="674"/>
      <c r="K86" s="674"/>
      <c r="L86" s="674"/>
      <c r="M86" s="674"/>
      <c r="N86" s="674"/>
      <c r="O86" s="674"/>
      <c r="P86" s="674"/>
      <c r="Q86" s="674"/>
      <c r="R86" s="674"/>
      <c r="S86" s="674"/>
      <c r="T86" s="674"/>
      <c r="U86" s="674"/>
      <c r="V86" s="674"/>
      <c r="W86" s="674"/>
      <c r="X86" s="674"/>
      <c r="Y86" s="674"/>
      <c r="Z86" s="674"/>
      <c r="AA86" s="656"/>
      <c r="AB86" s="656"/>
      <c r="AC86" s="656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3"/>
      <c r="B90" s="674"/>
      <c r="C90" s="674"/>
      <c r="D90" s="674"/>
      <c r="E90" s="674"/>
      <c r="F90" s="674"/>
      <c r="G90" s="674"/>
      <c r="H90" s="674"/>
      <c r="I90" s="674"/>
      <c r="J90" s="674"/>
      <c r="K90" s="674"/>
      <c r="L90" s="674"/>
      <c r="M90" s="674"/>
      <c r="N90" s="674"/>
      <c r="O90" s="675"/>
      <c r="P90" s="683" t="s">
        <v>87</v>
      </c>
      <c r="Q90" s="684"/>
      <c r="R90" s="684"/>
      <c r="S90" s="684"/>
      <c r="T90" s="684"/>
      <c r="U90" s="684"/>
      <c r="V90" s="685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4"/>
      <c r="B91" s="674"/>
      <c r="C91" s="674"/>
      <c r="D91" s="674"/>
      <c r="E91" s="674"/>
      <c r="F91" s="674"/>
      <c r="G91" s="674"/>
      <c r="H91" s="674"/>
      <c r="I91" s="674"/>
      <c r="J91" s="674"/>
      <c r="K91" s="674"/>
      <c r="L91" s="674"/>
      <c r="M91" s="674"/>
      <c r="N91" s="674"/>
      <c r="O91" s="675"/>
      <c r="P91" s="683" t="s">
        <v>87</v>
      </c>
      <c r="Q91" s="684"/>
      <c r="R91" s="684"/>
      <c r="S91" s="684"/>
      <c r="T91" s="684"/>
      <c r="U91" s="684"/>
      <c r="V91" s="685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4"/>
      <c r="C92" s="674"/>
      <c r="D92" s="674"/>
      <c r="E92" s="674"/>
      <c r="F92" s="674"/>
      <c r="G92" s="674"/>
      <c r="H92" s="674"/>
      <c r="I92" s="674"/>
      <c r="J92" s="674"/>
      <c r="K92" s="674"/>
      <c r="L92" s="674"/>
      <c r="M92" s="674"/>
      <c r="N92" s="674"/>
      <c r="O92" s="674"/>
      <c r="P92" s="674"/>
      <c r="Q92" s="674"/>
      <c r="R92" s="674"/>
      <c r="S92" s="674"/>
      <c r="T92" s="674"/>
      <c r="U92" s="674"/>
      <c r="V92" s="674"/>
      <c r="W92" s="674"/>
      <c r="X92" s="674"/>
      <c r="Y92" s="674"/>
      <c r="Z92" s="674"/>
      <c r="AA92" s="656"/>
      <c r="AB92" s="656"/>
      <c r="AC92" s="656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2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2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4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3"/>
      <c r="B102" s="674"/>
      <c r="C102" s="674"/>
      <c r="D102" s="674"/>
      <c r="E102" s="674"/>
      <c r="F102" s="674"/>
      <c r="G102" s="674"/>
      <c r="H102" s="674"/>
      <c r="I102" s="674"/>
      <c r="J102" s="674"/>
      <c r="K102" s="674"/>
      <c r="L102" s="674"/>
      <c r="M102" s="674"/>
      <c r="N102" s="674"/>
      <c r="O102" s="675"/>
      <c r="P102" s="683" t="s">
        <v>87</v>
      </c>
      <c r="Q102" s="684"/>
      <c r="R102" s="684"/>
      <c r="S102" s="684"/>
      <c r="T102" s="684"/>
      <c r="U102" s="684"/>
      <c r="V102" s="685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4"/>
      <c r="B103" s="674"/>
      <c r="C103" s="674"/>
      <c r="D103" s="674"/>
      <c r="E103" s="674"/>
      <c r="F103" s="674"/>
      <c r="G103" s="674"/>
      <c r="H103" s="674"/>
      <c r="I103" s="674"/>
      <c r="J103" s="674"/>
      <c r="K103" s="674"/>
      <c r="L103" s="674"/>
      <c r="M103" s="674"/>
      <c r="N103" s="674"/>
      <c r="O103" s="675"/>
      <c r="P103" s="683" t="s">
        <v>87</v>
      </c>
      <c r="Q103" s="684"/>
      <c r="R103" s="684"/>
      <c r="S103" s="684"/>
      <c r="T103" s="684"/>
      <c r="U103" s="684"/>
      <c r="V103" s="685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4"/>
      <c r="C104" s="674"/>
      <c r="D104" s="674"/>
      <c r="E104" s="674"/>
      <c r="F104" s="674"/>
      <c r="G104" s="674"/>
      <c r="H104" s="674"/>
      <c r="I104" s="674"/>
      <c r="J104" s="674"/>
      <c r="K104" s="674"/>
      <c r="L104" s="674"/>
      <c r="M104" s="674"/>
      <c r="N104" s="674"/>
      <c r="O104" s="674"/>
      <c r="P104" s="674"/>
      <c r="Q104" s="674"/>
      <c r="R104" s="674"/>
      <c r="S104" s="674"/>
      <c r="T104" s="674"/>
      <c r="U104" s="674"/>
      <c r="V104" s="674"/>
      <c r="W104" s="674"/>
      <c r="X104" s="674"/>
      <c r="Y104" s="674"/>
      <c r="Z104" s="674"/>
      <c r="AA104" s="658"/>
      <c r="AB104" s="658"/>
      <c r="AC104" s="658"/>
    </row>
    <row r="105" spans="1:68" ht="14.25" customHeight="1" x14ac:dyDescent="0.25">
      <c r="A105" s="679" t="s">
        <v>97</v>
      </c>
      <c r="B105" s="674"/>
      <c r="C105" s="674"/>
      <c r="D105" s="674"/>
      <c r="E105" s="674"/>
      <c r="F105" s="674"/>
      <c r="G105" s="674"/>
      <c r="H105" s="674"/>
      <c r="I105" s="674"/>
      <c r="J105" s="674"/>
      <c r="K105" s="674"/>
      <c r="L105" s="674"/>
      <c r="M105" s="674"/>
      <c r="N105" s="674"/>
      <c r="O105" s="674"/>
      <c r="P105" s="674"/>
      <c r="Q105" s="674"/>
      <c r="R105" s="674"/>
      <c r="S105" s="674"/>
      <c r="T105" s="674"/>
      <c r="U105" s="674"/>
      <c r="V105" s="674"/>
      <c r="W105" s="674"/>
      <c r="X105" s="674"/>
      <c r="Y105" s="674"/>
      <c r="Z105" s="674"/>
      <c r="AA105" s="656"/>
      <c r="AB105" s="656"/>
      <c r="AC105" s="656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3"/>
      <c r="B110" s="674"/>
      <c r="C110" s="674"/>
      <c r="D110" s="674"/>
      <c r="E110" s="674"/>
      <c r="F110" s="674"/>
      <c r="G110" s="674"/>
      <c r="H110" s="674"/>
      <c r="I110" s="674"/>
      <c r="J110" s="674"/>
      <c r="K110" s="674"/>
      <c r="L110" s="674"/>
      <c r="M110" s="674"/>
      <c r="N110" s="674"/>
      <c r="O110" s="675"/>
      <c r="P110" s="683" t="s">
        <v>87</v>
      </c>
      <c r="Q110" s="684"/>
      <c r="R110" s="684"/>
      <c r="S110" s="684"/>
      <c r="T110" s="684"/>
      <c r="U110" s="684"/>
      <c r="V110" s="685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4"/>
      <c r="B111" s="674"/>
      <c r="C111" s="674"/>
      <c r="D111" s="674"/>
      <c r="E111" s="674"/>
      <c r="F111" s="674"/>
      <c r="G111" s="674"/>
      <c r="H111" s="674"/>
      <c r="I111" s="674"/>
      <c r="J111" s="674"/>
      <c r="K111" s="674"/>
      <c r="L111" s="674"/>
      <c r="M111" s="674"/>
      <c r="N111" s="674"/>
      <c r="O111" s="675"/>
      <c r="P111" s="683" t="s">
        <v>87</v>
      </c>
      <c r="Q111" s="684"/>
      <c r="R111" s="684"/>
      <c r="S111" s="684"/>
      <c r="T111" s="684"/>
      <c r="U111" s="684"/>
      <c r="V111" s="685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4"/>
      <c r="C112" s="674"/>
      <c r="D112" s="674"/>
      <c r="E112" s="674"/>
      <c r="F112" s="674"/>
      <c r="G112" s="674"/>
      <c r="H112" s="674"/>
      <c r="I112" s="674"/>
      <c r="J112" s="674"/>
      <c r="K112" s="674"/>
      <c r="L112" s="674"/>
      <c r="M112" s="674"/>
      <c r="N112" s="674"/>
      <c r="O112" s="674"/>
      <c r="P112" s="674"/>
      <c r="Q112" s="674"/>
      <c r="R112" s="674"/>
      <c r="S112" s="674"/>
      <c r="T112" s="674"/>
      <c r="U112" s="674"/>
      <c r="V112" s="674"/>
      <c r="W112" s="674"/>
      <c r="X112" s="674"/>
      <c r="Y112" s="674"/>
      <c r="Z112" s="674"/>
      <c r="AA112" s="656"/>
      <c r="AB112" s="656"/>
      <c r="AC112" s="656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3"/>
      <c r="B116" s="674"/>
      <c r="C116" s="674"/>
      <c r="D116" s="674"/>
      <c r="E116" s="674"/>
      <c r="F116" s="674"/>
      <c r="G116" s="674"/>
      <c r="H116" s="674"/>
      <c r="I116" s="674"/>
      <c r="J116" s="674"/>
      <c r="K116" s="674"/>
      <c r="L116" s="674"/>
      <c r="M116" s="674"/>
      <c r="N116" s="674"/>
      <c r="O116" s="675"/>
      <c r="P116" s="683" t="s">
        <v>87</v>
      </c>
      <c r="Q116" s="684"/>
      <c r="R116" s="684"/>
      <c r="S116" s="684"/>
      <c r="T116" s="684"/>
      <c r="U116" s="684"/>
      <c r="V116" s="685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4"/>
      <c r="B117" s="674"/>
      <c r="C117" s="674"/>
      <c r="D117" s="674"/>
      <c r="E117" s="674"/>
      <c r="F117" s="674"/>
      <c r="G117" s="674"/>
      <c r="H117" s="674"/>
      <c r="I117" s="674"/>
      <c r="J117" s="674"/>
      <c r="K117" s="674"/>
      <c r="L117" s="674"/>
      <c r="M117" s="674"/>
      <c r="N117" s="674"/>
      <c r="O117" s="675"/>
      <c r="P117" s="683" t="s">
        <v>87</v>
      </c>
      <c r="Q117" s="684"/>
      <c r="R117" s="684"/>
      <c r="S117" s="684"/>
      <c r="T117" s="684"/>
      <c r="U117" s="684"/>
      <c r="V117" s="685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4"/>
      <c r="C118" s="674"/>
      <c r="D118" s="674"/>
      <c r="E118" s="674"/>
      <c r="F118" s="674"/>
      <c r="G118" s="674"/>
      <c r="H118" s="674"/>
      <c r="I118" s="674"/>
      <c r="J118" s="674"/>
      <c r="K118" s="674"/>
      <c r="L118" s="674"/>
      <c r="M118" s="674"/>
      <c r="N118" s="674"/>
      <c r="O118" s="674"/>
      <c r="P118" s="674"/>
      <c r="Q118" s="674"/>
      <c r="R118" s="674"/>
      <c r="S118" s="674"/>
      <c r="T118" s="674"/>
      <c r="U118" s="674"/>
      <c r="V118" s="674"/>
      <c r="W118" s="674"/>
      <c r="X118" s="674"/>
      <c r="Y118" s="674"/>
      <c r="Z118" s="674"/>
      <c r="AA118" s="656"/>
      <c r="AB118" s="656"/>
      <c r="AC118" s="656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4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3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3"/>
      <c r="B128" s="674"/>
      <c r="C128" s="674"/>
      <c r="D128" s="674"/>
      <c r="E128" s="674"/>
      <c r="F128" s="674"/>
      <c r="G128" s="674"/>
      <c r="H128" s="674"/>
      <c r="I128" s="674"/>
      <c r="J128" s="674"/>
      <c r="K128" s="674"/>
      <c r="L128" s="674"/>
      <c r="M128" s="674"/>
      <c r="N128" s="674"/>
      <c r="O128" s="675"/>
      <c r="P128" s="683" t="s">
        <v>87</v>
      </c>
      <c r="Q128" s="684"/>
      <c r="R128" s="684"/>
      <c r="S128" s="684"/>
      <c r="T128" s="684"/>
      <c r="U128" s="684"/>
      <c r="V128" s="685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x14ac:dyDescent="0.2">
      <c r="A129" s="674"/>
      <c r="B129" s="674"/>
      <c r="C129" s="674"/>
      <c r="D129" s="674"/>
      <c r="E129" s="674"/>
      <c r="F129" s="674"/>
      <c r="G129" s="674"/>
      <c r="H129" s="674"/>
      <c r="I129" s="674"/>
      <c r="J129" s="674"/>
      <c r="K129" s="674"/>
      <c r="L129" s="674"/>
      <c r="M129" s="674"/>
      <c r="N129" s="674"/>
      <c r="O129" s="675"/>
      <c r="P129" s="683" t="s">
        <v>87</v>
      </c>
      <c r="Q129" s="684"/>
      <c r="R129" s="684"/>
      <c r="S129" s="684"/>
      <c r="T129" s="684"/>
      <c r="U129" s="684"/>
      <c r="V129" s="685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4"/>
      <c r="C130" s="674"/>
      <c r="D130" s="674"/>
      <c r="E130" s="674"/>
      <c r="F130" s="674"/>
      <c r="G130" s="674"/>
      <c r="H130" s="674"/>
      <c r="I130" s="674"/>
      <c r="J130" s="674"/>
      <c r="K130" s="674"/>
      <c r="L130" s="674"/>
      <c r="M130" s="674"/>
      <c r="N130" s="674"/>
      <c r="O130" s="674"/>
      <c r="P130" s="674"/>
      <c r="Q130" s="674"/>
      <c r="R130" s="674"/>
      <c r="S130" s="674"/>
      <c r="T130" s="674"/>
      <c r="U130" s="674"/>
      <c r="V130" s="674"/>
      <c r="W130" s="674"/>
      <c r="X130" s="674"/>
      <c r="Y130" s="674"/>
      <c r="Z130" s="674"/>
      <c r="AA130" s="656"/>
      <c r="AB130" s="656"/>
      <c r="AC130" s="656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3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3"/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  <c r="M133" s="674"/>
      <c r="N133" s="674"/>
      <c r="O133" s="675"/>
      <c r="P133" s="683" t="s">
        <v>87</v>
      </c>
      <c r="Q133" s="684"/>
      <c r="R133" s="684"/>
      <c r="S133" s="684"/>
      <c r="T133" s="684"/>
      <c r="U133" s="684"/>
      <c r="V133" s="685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  <c r="M134" s="674"/>
      <c r="N134" s="674"/>
      <c r="O134" s="675"/>
      <c r="P134" s="683" t="s">
        <v>87</v>
      </c>
      <c r="Q134" s="684"/>
      <c r="R134" s="684"/>
      <c r="S134" s="684"/>
      <c r="T134" s="684"/>
      <c r="U134" s="684"/>
      <c r="V134" s="685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4"/>
      <c r="C135" s="674"/>
      <c r="D135" s="674"/>
      <c r="E135" s="674"/>
      <c r="F135" s="674"/>
      <c r="G135" s="674"/>
      <c r="H135" s="674"/>
      <c r="I135" s="674"/>
      <c r="J135" s="674"/>
      <c r="K135" s="674"/>
      <c r="L135" s="674"/>
      <c r="M135" s="674"/>
      <c r="N135" s="674"/>
      <c r="O135" s="674"/>
      <c r="P135" s="674"/>
      <c r="Q135" s="674"/>
      <c r="R135" s="674"/>
      <c r="S135" s="674"/>
      <c r="T135" s="674"/>
      <c r="U135" s="674"/>
      <c r="V135" s="674"/>
      <c r="W135" s="674"/>
      <c r="X135" s="674"/>
      <c r="Y135" s="674"/>
      <c r="Z135" s="674"/>
      <c r="AA135" s="658"/>
      <c r="AB135" s="658"/>
      <c r="AC135" s="658"/>
    </row>
    <row r="136" spans="1:68" ht="14.25" customHeight="1" x14ac:dyDescent="0.25">
      <c r="A136" s="679" t="s">
        <v>97</v>
      </c>
      <c r="B136" s="674"/>
      <c r="C136" s="674"/>
      <c r="D136" s="674"/>
      <c r="E136" s="674"/>
      <c r="F136" s="674"/>
      <c r="G136" s="674"/>
      <c r="H136" s="674"/>
      <c r="I136" s="674"/>
      <c r="J136" s="674"/>
      <c r="K136" s="674"/>
      <c r="L136" s="674"/>
      <c r="M136" s="674"/>
      <c r="N136" s="674"/>
      <c r="O136" s="674"/>
      <c r="P136" s="674"/>
      <c r="Q136" s="674"/>
      <c r="R136" s="674"/>
      <c r="S136" s="674"/>
      <c r="T136" s="674"/>
      <c r="U136" s="674"/>
      <c r="V136" s="674"/>
      <c r="W136" s="674"/>
      <c r="X136" s="674"/>
      <c r="Y136" s="674"/>
      <c r="Z136" s="674"/>
      <c r="AA136" s="656"/>
      <c r="AB136" s="656"/>
      <c r="AC136" s="656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3"/>
      <c r="B139" s="674"/>
      <c r="C139" s="674"/>
      <c r="D139" s="674"/>
      <c r="E139" s="674"/>
      <c r="F139" s="674"/>
      <c r="G139" s="674"/>
      <c r="H139" s="674"/>
      <c r="I139" s="674"/>
      <c r="J139" s="674"/>
      <c r="K139" s="674"/>
      <c r="L139" s="674"/>
      <c r="M139" s="674"/>
      <c r="N139" s="674"/>
      <c r="O139" s="675"/>
      <c r="P139" s="683" t="s">
        <v>87</v>
      </c>
      <c r="Q139" s="684"/>
      <c r="R139" s="684"/>
      <c r="S139" s="684"/>
      <c r="T139" s="684"/>
      <c r="U139" s="684"/>
      <c r="V139" s="685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4"/>
      <c r="B140" s="674"/>
      <c r="C140" s="674"/>
      <c r="D140" s="674"/>
      <c r="E140" s="674"/>
      <c r="F140" s="674"/>
      <c r="G140" s="674"/>
      <c r="H140" s="674"/>
      <c r="I140" s="674"/>
      <c r="J140" s="674"/>
      <c r="K140" s="674"/>
      <c r="L140" s="674"/>
      <c r="M140" s="674"/>
      <c r="N140" s="674"/>
      <c r="O140" s="675"/>
      <c r="P140" s="683" t="s">
        <v>87</v>
      </c>
      <c r="Q140" s="684"/>
      <c r="R140" s="684"/>
      <c r="S140" s="684"/>
      <c r="T140" s="684"/>
      <c r="U140" s="684"/>
      <c r="V140" s="685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4"/>
      <c r="C141" s="674"/>
      <c r="D141" s="674"/>
      <c r="E141" s="674"/>
      <c r="F141" s="674"/>
      <c r="G141" s="674"/>
      <c r="H141" s="674"/>
      <c r="I141" s="674"/>
      <c r="J141" s="674"/>
      <c r="K141" s="674"/>
      <c r="L141" s="674"/>
      <c r="M141" s="674"/>
      <c r="N141" s="674"/>
      <c r="O141" s="674"/>
      <c r="P141" s="674"/>
      <c r="Q141" s="674"/>
      <c r="R141" s="674"/>
      <c r="S141" s="674"/>
      <c r="T141" s="674"/>
      <c r="U141" s="674"/>
      <c r="V141" s="674"/>
      <c r="W141" s="674"/>
      <c r="X141" s="674"/>
      <c r="Y141" s="674"/>
      <c r="Z141" s="674"/>
      <c r="AA141" s="656"/>
      <c r="AB141" s="656"/>
      <c r="AC141" s="656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3"/>
      <c r="B144" s="674"/>
      <c r="C144" s="674"/>
      <c r="D144" s="674"/>
      <c r="E144" s="674"/>
      <c r="F144" s="674"/>
      <c r="G144" s="674"/>
      <c r="H144" s="674"/>
      <c r="I144" s="674"/>
      <c r="J144" s="674"/>
      <c r="K144" s="674"/>
      <c r="L144" s="674"/>
      <c r="M144" s="674"/>
      <c r="N144" s="674"/>
      <c r="O144" s="675"/>
      <c r="P144" s="683" t="s">
        <v>87</v>
      </c>
      <c r="Q144" s="684"/>
      <c r="R144" s="684"/>
      <c r="S144" s="684"/>
      <c r="T144" s="684"/>
      <c r="U144" s="684"/>
      <c r="V144" s="685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4"/>
      <c r="B145" s="674"/>
      <c r="C145" s="674"/>
      <c r="D145" s="674"/>
      <c r="E145" s="674"/>
      <c r="F145" s="674"/>
      <c r="G145" s="674"/>
      <c r="H145" s="674"/>
      <c r="I145" s="674"/>
      <c r="J145" s="674"/>
      <c r="K145" s="674"/>
      <c r="L145" s="674"/>
      <c r="M145" s="674"/>
      <c r="N145" s="674"/>
      <c r="O145" s="675"/>
      <c r="P145" s="683" t="s">
        <v>87</v>
      </c>
      <c r="Q145" s="684"/>
      <c r="R145" s="684"/>
      <c r="S145" s="684"/>
      <c r="T145" s="684"/>
      <c r="U145" s="684"/>
      <c r="V145" s="685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4"/>
      <c r="C146" s="674"/>
      <c r="D146" s="674"/>
      <c r="E146" s="674"/>
      <c r="F146" s="674"/>
      <c r="G146" s="674"/>
      <c r="H146" s="674"/>
      <c r="I146" s="674"/>
      <c r="J146" s="674"/>
      <c r="K146" s="674"/>
      <c r="L146" s="674"/>
      <c r="M146" s="674"/>
      <c r="N146" s="674"/>
      <c r="O146" s="674"/>
      <c r="P146" s="674"/>
      <c r="Q146" s="674"/>
      <c r="R146" s="674"/>
      <c r="S146" s="674"/>
      <c r="T146" s="674"/>
      <c r="U146" s="674"/>
      <c r="V146" s="674"/>
      <c r="W146" s="674"/>
      <c r="X146" s="674"/>
      <c r="Y146" s="674"/>
      <c r="Z146" s="674"/>
      <c r="AA146" s="656"/>
      <c r="AB146" s="656"/>
      <c r="AC146" s="656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3"/>
      <c r="B149" s="674"/>
      <c r="C149" s="674"/>
      <c r="D149" s="674"/>
      <c r="E149" s="674"/>
      <c r="F149" s="674"/>
      <c r="G149" s="674"/>
      <c r="H149" s="674"/>
      <c r="I149" s="674"/>
      <c r="J149" s="674"/>
      <c r="K149" s="674"/>
      <c r="L149" s="674"/>
      <c r="M149" s="674"/>
      <c r="N149" s="674"/>
      <c r="O149" s="675"/>
      <c r="P149" s="683" t="s">
        <v>87</v>
      </c>
      <c r="Q149" s="684"/>
      <c r="R149" s="684"/>
      <c r="S149" s="684"/>
      <c r="T149" s="684"/>
      <c r="U149" s="684"/>
      <c r="V149" s="685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4"/>
      <c r="B150" s="674"/>
      <c r="C150" s="674"/>
      <c r="D150" s="674"/>
      <c r="E150" s="674"/>
      <c r="F150" s="674"/>
      <c r="G150" s="674"/>
      <c r="H150" s="674"/>
      <c r="I150" s="674"/>
      <c r="J150" s="674"/>
      <c r="K150" s="674"/>
      <c r="L150" s="674"/>
      <c r="M150" s="674"/>
      <c r="N150" s="674"/>
      <c r="O150" s="675"/>
      <c r="P150" s="683" t="s">
        <v>87</v>
      </c>
      <c r="Q150" s="684"/>
      <c r="R150" s="684"/>
      <c r="S150" s="684"/>
      <c r="T150" s="684"/>
      <c r="U150" s="684"/>
      <c r="V150" s="685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4"/>
      <c r="C151" s="674"/>
      <c r="D151" s="674"/>
      <c r="E151" s="674"/>
      <c r="F151" s="674"/>
      <c r="G151" s="674"/>
      <c r="H151" s="674"/>
      <c r="I151" s="674"/>
      <c r="J151" s="674"/>
      <c r="K151" s="674"/>
      <c r="L151" s="674"/>
      <c r="M151" s="674"/>
      <c r="N151" s="674"/>
      <c r="O151" s="674"/>
      <c r="P151" s="674"/>
      <c r="Q151" s="674"/>
      <c r="R151" s="674"/>
      <c r="S151" s="674"/>
      <c r="T151" s="674"/>
      <c r="U151" s="674"/>
      <c r="V151" s="674"/>
      <c r="W151" s="674"/>
      <c r="X151" s="674"/>
      <c r="Y151" s="674"/>
      <c r="Z151" s="674"/>
      <c r="AA151" s="658"/>
      <c r="AB151" s="658"/>
      <c r="AC151" s="658"/>
    </row>
    <row r="152" spans="1:68" ht="14.25" customHeight="1" x14ac:dyDescent="0.25">
      <c r="A152" s="679" t="s">
        <v>97</v>
      </c>
      <c r="B152" s="674"/>
      <c r="C152" s="674"/>
      <c r="D152" s="674"/>
      <c r="E152" s="674"/>
      <c r="F152" s="674"/>
      <c r="G152" s="674"/>
      <c r="H152" s="674"/>
      <c r="I152" s="674"/>
      <c r="J152" s="674"/>
      <c r="K152" s="674"/>
      <c r="L152" s="674"/>
      <c r="M152" s="674"/>
      <c r="N152" s="674"/>
      <c r="O152" s="674"/>
      <c r="P152" s="674"/>
      <c r="Q152" s="674"/>
      <c r="R152" s="674"/>
      <c r="S152" s="674"/>
      <c r="T152" s="674"/>
      <c r="U152" s="674"/>
      <c r="V152" s="674"/>
      <c r="W152" s="674"/>
      <c r="X152" s="674"/>
      <c r="Y152" s="674"/>
      <c r="Z152" s="674"/>
      <c r="AA152" s="656"/>
      <c r="AB152" s="656"/>
      <c r="AC152" s="656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3"/>
      <c r="B154" s="674"/>
      <c r="C154" s="674"/>
      <c r="D154" s="674"/>
      <c r="E154" s="674"/>
      <c r="F154" s="674"/>
      <c r="G154" s="674"/>
      <c r="H154" s="674"/>
      <c r="I154" s="674"/>
      <c r="J154" s="674"/>
      <c r="K154" s="674"/>
      <c r="L154" s="674"/>
      <c r="M154" s="674"/>
      <c r="N154" s="674"/>
      <c r="O154" s="675"/>
      <c r="P154" s="683" t="s">
        <v>87</v>
      </c>
      <c r="Q154" s="684"/>
      <c r="R154" s="684"/>
      <c r="S154" s="684"/>
      <c r="T154" s="684"/>
      <c r="U154" s="684"/>
      <c r="V154" s="685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4"/>
      <c r="B155" s="674"/>
      <c r="C155" s="674"/>
      <c r="D155" s="674"/>
      <c r="E155" s="674"/>
      <c r="F155" s="674"/>
      <c r="G155" s="674"/>
      <c r="H155" s="674"/>
      <c r="I155" s="674"/>
      <c r="J155" s="674"/>
      <c r="K155" s="674"/>
      <c r="L155" s="674"/>
      <c r="M155" s="674"/>
      <c r="N155" s="674"/>
      <c r="O155" s="675"/>
      <c r="P155" s="683" t="s">
        <v>87</v>
      </c>
      <c r="Q155" s="684"/>
      <c r="R155" s="684"/>
      <c r="S155" s="684"/>
      <c r="T155" s="684"/>
      <c r="U155" s="684"/>
      <c r="V155" s="685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4"/>
      <c r="C156" s="674"/>
      <c r="D156" s="674"/>
      <c r="E156" s="674"/>
      <c r="F156" s="674"/>
      <c r="G156" s="674"/>
      <c r="H156" s="674"/>
      <c r="I156" s="674"/>
      <c r="J156" s="674"/>
      <c r="K156" s="674"/>
      <c r="L156" s="674"/>
      <c r="M156" s="674"/>
      <c r="N156" s="674"/>
      <c r="O156" s="674"/>
      <c r="P156" s="674"/>
      <c r="Q156" s="674"/>
      <c r="R156" s="674"/>
      <c r="S156" s="674"/>
      <c r="T156" s="674"/>
      <c r="U156" s="674"/>
      <c r="V156" s="674"/>
      <c r="W156" s="674"/>
      <c r="X156" s="674"/>
      <c r="Y156" s="674"/>
      <c r="Z156" s="674"/>
      <c r="AA156" s="656"/>
      <c r="AB156" s="656"/>
      <c r="AC156" s="656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3"/>
      <c r="B161" s="674"/>
      <c r="C161" s="674"/>
      <c r="D161" s="674"/>
      <c r="E161" s="674"/>
      <c r="F161" s="674"/>
      <c r="G161" s="674"/>
      <c r="H161" s="674"/>
      <c r="I161" s="674"/>
      <c r="J161" s="674"/>
      <c r="K161" s="674"/>
      <c r="L161" s="674"/>
      <c r="M161" s="674"/>
      <c r="N161" s="674"/>
      <c r="O161" s="675"/>
      <c r="P161" s="683" t="s">
        <v>87</v>
      </c>
      <c r="Q161" s="684"/>
      <c r="R161" s="684"/>
      <c r="S161" s="684"/>
      <c r="T161" s="684"/>
      <c r="U161" s="684"/>
      <c r="V161" s="685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4"/>
      <c r="B162" s="674"/>
      <c r="C162" s="674"/>
      <c r="D162" s="674"/>
      <c r="E162" s="674"/>
      <c r="F162" s="674"/>
      <c r="G162" s="674"/>
      <c r="H162" s="674"/>
      <c r="I162" s="674"/>
      <c r="J162" s="674"/>
      <c r="K162" s="674"/>
      <c r="L162" s="674"/>
      <c r="M162" s="674"/>
      <c r="N162" s="674"/>
      <c r="O162" s="675"/>
      <c r="P162" s="683" t="s">
        <v>87</v>
      </c>
      <c r="Q162" s="684"/>
      <c r="R162" s="684"/>
      <c r="S162" s="684"/>
      <c r="T162" s="684"/>
      <c r="U162" s="684"/>
      <c r="V162" s="685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4"/>
      <c r="C163" s="674"/>
      <c r="D163" s="674"/>
      <c r="E163" s="674"/>
      <c r="F163" s="674"/>
      <c r="G163" s="674"/>
      <c r="H163" s="674"/>
      <c r="I163" s="674"/>
      <c r="J163" s="674"/>
      <c r="K163" s="674"/>
      <c r="L163" s="674"/>
      <c r="M163" s="674"/>
      <c r="N163" s="674"/>
      <c r="O163" s="674"/>
      <c r="P163" s="674"/>
      <c r="Q163" s="674"/>
      <c r="R163" s="674"/>
      <c r="S163" s="674"/>
      <c r="T163" s="674"/>
      <c r="U163" s="674"/>
      <c r="V163" s="674"/>
      <c r="W163" s="674"/>
      <c r="X163" s="674"/>
      <c r="Y163" s="674"/>
      <c r="Z163" s="674"/>
      <c r="AA163" s="656"/>
      <c r="AB163" s="656"/>
      <c r="AC163" s="656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3"/>
      <c r="B165" s="674"/>
      <c r="C165" s="674"/>
      <c r="D165" s="674"/>
      <c r="E165" s="674"/>
      <c r="F165" s="674"/>
      <c r="G165" s="674"/>
      <c r="H165" s="674"/>
      <c r="I165" s="674"/>
      <c r="J165" s="674"/>
      <c r="K165" s="674"/>
      <c r="L165" s="674"/>
      <c r="M165" s="674"/>
      <c r="N165" s="674"/>
      <c r="O165" s="675"/>
      <c r="P165" s="683" t="s">
        <v>87</v>
      </c>
      <c r="Q165" s="684"/>
      <c r="R165" s="684"/>
      <c r="S165" s="684"/>
      <c r="T165" s="684"/>
      <c r="U165" s="684"/>
      <c r="V165" s="685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4"/>
      <c r="B166" s="674"/>
      <c r="C166" s="674"/>
      <c r="D166" s="674"/>
      <c r="E166" s="674"/>
      <c r="F166" s="674"/>
      <c r="G166" s="674"/>
      <c r="H166" s="674"/>
      <c r="I166" s="674"/>
      <c r="J166" s="674"/>
      <c r="K166" s="674"/>
      <c r="L166" s="674"/>
      <c r="M166" s="674"/>
      <c r="N166" s="674"/>
      <c r="O166" s="675"/>
      <c r="P166" s="683" t="s">
        <v>87</v>
      </c>
      <c r="Q166" s="684"/>
      <c r="R166" s="684"/>
      <c r="S166" s="684"/>
      <c r="T166" s="684"/>
      <c r="U166" s="684"/>
      <c r="V166" s="685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4"/>
      <c r="C168" s="674"/>
      <c r="D168" s="674"/>
      <c r="E168" s="674"/>
      <c r="F168" s="674"/>
      <c r="G168" s="674"/>
      <c r="H168" s="674"/>
      <c r="I168" s="674"/>
      <c r="J168" s="674"/>
      <c r="K168" s="674"/>
      <c r="L168" s="674"/>
      <c r="M168" s="674"/>
      <c r="N168" s="674"/>
      <c r="O168" s="674"/>
      <c r="P168" s="674"/>
      <c r="Q168" s="674"/>
      <c r="R168" s="674"/>
      <c r="S168" s="674"/>
      <c r="T168" s="674"/>
      <c r="U168" s="674"/>
      <c r="V168" s="674"/>
      <c r="W168" s="674"/>
      <c r="X168" s="674"/>
      <c r="Y168" s="674"/>
      <c r="Z168" s="674"/>
      <c r="AA168" s="658"/>
      <c r="AB168" s="658"/>
      <c r="AC168" s="658"/>
    </row>
    <row r="169" spans="1:68" ht="14.25" customHeight="1" x14ac:dyDescent="0.25">
      <c r="A169" s="679" t="s">
        <v>133</v>
      </c>
      <c r="B169" s="674"/>
      <c r="C169" s="674"/>
      <c r="D169" s="674"/>
      <c r="E169" s="674"/>
      <c r="F169" s="674"/>
      <c r="G169" s="674"/>
      <c r="H169" s="674"/>
      <c r="I169" s="674"/>
      <c r="J169" s="674"/>
      <c r="K169" s="674"/>
      <c r="L169" s="674"/>
      <c r="M169" s="674"/>
      <c r="N169" s="674"/>
      <c r="O169" s="674"/>
      <c r="P169" s="674"/>
      <c r="Q169" s="674"/>
      <c r="R169" s="674"/>
      <c r="S169" s="674"/>
      <c r="T169" s="674"/>
      <c r="U169" s="674"/>
      <c r="V169" s="674"/>
      <c r="W169" s="674"/>
      <c r="X169" s="674"/>
      <c r="Y169" s="674"/>
      <c r="Z169" s="674"/>
      <c r="AA169" s="656"/>
      <c r="AB169" s="656"/>
      <c r="AC169" s="656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3"/>
      <c r="B171" s="674"/>
      <c r="C171" s="674"/>
      <c r="D171" s="674"/>
      <c r="E171" s="674"/>
      <c r="F171" s="674"/>
      <c r="G171" s="674"/>
      <c r="H171" s="674"/>
      <c r="I171" s="674"/>
      <c r="J171" s="674"/>
      <c r="K171" s="674"/>
      <c r="L171" s="674"/>
      <c r="M171" s="674"/>
      <c r="N171" s="674"/>
      <c r="O171" s="675"/>
      <c r="P171" s="683" t="s">
        <v>87</v>
      </c>
      <c r="Q171" s="684"/>
      <c r="R171" s="684"/>
      <c r="S171" s="684"/>
      <c r="T171" s="684"/>
      <c r="U171" s="684"/>
      <c r="V171" s="685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4"/>
      <c r="B172" s="674"/>
      <c r="C172" s="674"/>
      <c r="D172" s="674"/>
      <c r="E172" s="674"/>
      <c r="F172" s="674"/>
      <c r="G172" s="674"/>
      <c r="H172" s="674"/>
      <c r="I172" s="674"/>
      <c r="J172" s="674"/>
      <c r="K172" s="674"/>
      <c r="L172" s="674"/>
      <c r="M172" s="674"/>
      <c r="N172" s="674"/>
      <c r="O172" s="675"/>
      <c r="P172" s="683" t="s">
        <v>87</v>
      </c>
      <c r="Q172" s="684"/>
      <c r="R172" s="684"/>
      <c r="S172" s="684"/>
      <c r="T172" s="684"/>
      <c r="U172" s="684"/>
      <c r="V172" s="685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4"/>
      <c r="C173" s="674"/>
      <c r="D173" s="674"/>
      <c r="E173" s="674"/>
      <c r="F173" s="674"/>
      <c r="G173" s="674"/>
      <c r="H173" s="674"/>
      <c r="I173" s="674"/>
      <c r="J173" s="674"/>
      <c r="K173" s="674"/>
      <c r="L173" s="674"/>
      <c r="M173" s="674"/>
      <c r="N173" s="674"/>
      <c r="O173" s="674"/>
      <c r="P173" s="674"/>
      <c r="Q173" s="674"/>
      <c r="R173" s="674"/>
      <c r="S173" s="674"/>
      <c r="T173" s="674"/>
      <c r="U173" s="674"/>
      <c r="V173" s="674"/>
      <c r="W173" s="674"/>
      <c r="X173" s="674"/>
      <c r="Y173" s="674"/>
      <c r="Z173" s="674"/>
      <c r="AA173" s="656"/>
      <c r="AB173" s="656"/>
      <c r="AC173" s="656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3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3"/>
      <c r="B183" s="674"/>
      <c r="C183" s="674"/>
      <c r="D183" s="674"/>
      <c r="E183" s="674"/>
      <c r="F183" s="674"/>
      <c r="G183" s="674"/>
      <c r="H183" s="674"/>
      <c r="I183" s="674"/>
      <c r="J183" s="674"/>
      <c r="K183" s="674"/>
      <c r="L183" s="674"/>
      <c r="M183" s="674"/>
      <c r="N183" s="674"/>
      <c r="O183" s="675"/>
      <c r="P183" s="683" t="s">
        <v>87</v>
      </c>
      <c r="Q183" s="684"/>
      <c r="R183" s="684"/>
      <c r="S183" s="684"/>
      <c r="T183" s="684"/>
      <c r="U183" s="684"/>
      <c r="V183" s="685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4"/>
      <c r="B184" s="674"/>
      <c r="C184" s="674"/>
      <c r="D184" s="674"/>
      <c r="E184" s="674"/>
      <c r="F184" s="674"/>
      <c r="G184" s="674"/>
      <c r="H184" s="674"/>
      <c r="I184" s="674"/>
      <c r="J184" s="674"/>
      <c r="K184" s="674"/>
      <c r="L184" s="674"/>
      <c r="M184" s="674"/>
      <c r="N184" s="674"/>
      <c r="O184" s="675"/>
      <c r="P184" s="683" t="s">
        <v>87</v>
      </c>
      <c r="Q184" s="684"/>
      <c r="R184" s="684"/>
      <c r="S184" s="684"/>
      <c r="T184" s="684"/>
      <c r="U184" s="684"/>
      <c r="V184" s="685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4"/>
      <c r="C185" s="674"/>
      <c r="D185" s="674"/>
      <c r="E185" s="674"/>
      <c r="F185" s="674"/>
      <c r="G185" s="674"/>
      <c r="H185" s="674"/>
      <c r="I185" s="674"/>
      <c r="J185" s="674"/>
      <c r="K185" s="674"/>
      <c r="L185" s="674"/>
      <c r="M185" s="674"/>
      <c r="N185" s="674"/>
      <c r="O185" s="674"/>
      <c r="P185" s="674"/>
      <c r="Q185" s="674"/>
      <c r="R185" s="674"/>
      <c r="S185" s="674"/>
      <c r="T185" s="674"/>
      <c r="U185" s="674"/>
      <c r="V185" s="674"/>
      <c r="W185" s="674"/>
      <c r="X185" s="674"/>
      <c r="Y185" s="674"/>
      <c r="Z185" s="674"/>
      <c r="AA185" s="656"/>
      <c r="AB185" s="656"/>
      <c r="AC185" s="656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3"/>
      <c r="B187" s="674"/>
      <c r="C187" s="674"/>
      <c r="D187" s="674"/>
      <c r="E187" s="674"/>
      <c r="F187" s="674"/>
      <c r="G187" s="674"/>
      <c r="H187" s="674"/>
      <c r="I187" s="674"/>
      <c r="J187" s="674"/>
      <c r="K187" s="674"/>
      <c r="L187" s="674"/>
      <c r="M187" s="674"/>
      <c r="N187" s="674"/>
      <c r="O187" s="675"/>
      <c r="P187" s="683" t="s">
        <v>87</v>
      </c>
      <c r="Q187" s="684"/>
      <c r="R187" s="684"/>
      <c r="S187" s="684"/>
      <c r="T187" s="684"/>
      <c r="U187" s="684"/>
      <c r="V187" s="685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4"/>
      <c r="B188" s="674"/>
      <c r="C188" s="674"/>
      <c r="D188" s="674"/>
      <c r="E188" s="674"/>
      <c r="F188" s="674"/>
      <c r="G188" s="674"/>
      <c r="H188" s="674"/>
      <c r="I188" s="674"/>
      <c r="J188" s="674"/>
      <c r="K188" s="674"/>
      <c r="L188" s="674"/>
      <c r="M188" s="674"/>
      <c r="N188" s="674"/>
      <c r="O188" s="675"/>
      <c r="P188" s="683" t="s">
        <v>87</v>
      </c>
      <c r="Q188" s="684"/>
      <c r="R188" s="684"/>
      <c r="S188" s="684"/>
      <c r="T188" s="684"/>
      <c r="U188" s="684"/>
      <c r="V188" s="685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4"/>
      <c r="C189" s="674"/>
      <c r="D189" s="674"/>
      <c r="E189" s="674"/>
      <c r="F189" s="674"/>
      <c r="G189" s="674"/>
      <c r="H189" s="674"/>
      <c r="I189" s="674"/>
      <c r="J189" s="674"/>
      <c r="K189" s="674"/>
      <c r="L189" s="674"/>
      <c r="M189" s="674"/>
      <c r="N189" s="674"/>
      <c r="O189" s="674"/>
      <c r="P189" s="674"/>
      <c r="Q189" s="674"/>
      <c r="R189" s="674"/>
      <c r="S189" s="674"/>
      <c r="T189" s="674"/>
      <c r="U189" s="674"/>
      <c r="V189" s="674"/>
      <c r="W189" s="674"/>
      <c r="X189" s="674"/>
      <c r="Y189" s="674"/>
      <c r="Z189" s="674"/>
      <c r="AA189" s="658"/>
      <c r="AB189" s="658"/>
      <c r="AC189" s="658"/>
    </row>
    <row r="190" spans="1:68" ht="14.25" customHeight="1" x14ac:dyDescent="0.25">
      <c r="A190" s="679" t="s">
        <v>97</v>
      </c>
      <c r="B190" s="674"/>
      <c r="C190" s="674"/>
      <c r="D190" s="674"/>
      <c r="E190" s="674"/>
      <c r="F190" s="674"/>
      <c r="G190" s="674"/>
      <c r="H190" s="674"/>
      <c r="I190" s="674"/>
      <c r="J190" s="674"/>
      <c r="K190" s="674"/>
      <c r="L190" s="674"/>
      <c r="M190" s="674"/>
      <c r="N190" s="674"/>
      <c r="O190" s="674"/>
      <c r="P190" s="674"/>
      <c r="Q190" s="674"/>
      <c r="R190" s="674"/>
      <c r="S190" s="674"/>
      <c r="T190" s="674"/>
      <c r="U190" s="674"/>
      <c r="V190" s="674"/>
      <c r="W190" s="674"/>
      <c r="X190" s="674"/>
      <c r="Y190" s="674"/>
      <c r="Z190" s="674"/>
      <c r="AA190" s="656"/>
      <c r="AB190" s="656"/>
      <c r="AC190" s="656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3"/>
      <c r="B193" s="674"/>
      <c r="C193" s="674"/>
      <c r="D193" s="674"/>
      <c r="E193" s="674"/>
      <c r="F193" s="674"/>
      <c r="G193" s="674"/>
      <c r="H193" s="674"/>
      <c r="I193" s="674"/>
      <c r="J193" s="674"/>
      <c r="K193" s="674"/>
      <c r="L193" s="674"/>
      <c r="M193" s="674"/>
      <c r="N193" s="674"/>
      <c r="O193" s="675"/>
      <c r="P193" s="683" t="s">
        <v>87</v>
      </c>
      <c r="Q193" s="684"/>
      <c r="R193" s="684"/>
      <c r="S193" s="684"/>
      <c r="T193" s="684"/>
      <c r="U193" s="684"/>
      <c r="V193" s="685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4"/>
      <c r="B194" s="674"/>
      <c r="C194" s="674"/>
      <c r="D194" s="674"/>
      <c r="E194" s="674"/>
      <c r="F194" s="674"/>
      <c r="G194" s="674"/>
      <c r="H194" s="674"/>
      <c r="I194" s="674"/>
      <c r="J194" s="674"/>
      <c r="K194" s="674"/>
      <c r="L194" s="674"/>
      <c r="M194" s="674"/>
      <c r="N194" s="674"/>
      <c r="O194" s="675"/>
      <c r="P194" s="683" t="s">
        <v>87</v>
      </c>
      <c r="Q194" s="684"/>
      <c r="R194" s="684"/>
      <c r="S194" s="684"/>
      <c r="T194" s="684"/>
      <c r="U194" s="684"/>
      <c r="V194" s="685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4"/>
      <c r="C195" s="674"/>
      <c r="D195" s="674"/>
      <c r="E195" s="674"/>
      <c r="F195" s="674"/>
      <c r="G195" s="674"/>
      <c r="H195" s="674"/>
      <c r="I195" s="674"/>
      <c r="J195" s="674"/>
      <c r="K195" s="674"/>
      <c r="L195" s="674"/>
      <c r="M195" s="674"/>
      <c r="N195" s="674"/>
      <c r="O195" s="674"/>
      <c r="P195" s="674"/>
      <c r="Q195" s="674"/>
      <c r="R195" s="674"/>
      <c r="S195" s="674"/>
      <c r="T195" s="674"/>
      <c r="U195" s="674"/>
      <c r="V195" s="674"/>
      <c r="W195" s="674"/>
      <c r="X195" s="674"/>
      <c r="Y195" s="674"/>
      <c r="Z195" s="674"/>
      <c r="AA195" s="656"/>
      <c r="AB195" s="656"/>
      <c r="AC195" s="656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3"/>
      <c r="B198" s="674"/>
      <c r="C198" s="674"/>
      <c r="D198" s="674"/>
      <c r="E198" s="674"/>
      <c r="F198" s="674"/>
      <c r="G198" s="674"/>
      <c r="H198" s="674"/>
      <c r="I198" s="674"/>
      <c r="J198" s="674"/>
      <c r="K198" s="674"/>
      <c r="L198" s="674"/>
      <c r="M198" s="674"/>
      <c r="N198" s="674"/>
      <c r="O198" s="675"/>
      <c r="P198" s="683" t="s">
        <v>87</v>
      </c>
      <c r="Q198" s="684"/>
      <c r="R198" s="684"/>
      <c r="S198" s="684"/>
      <c r="T198" s="684"/>
      <c r="U198" s="684"/>
      <c r="V198" s="685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4"/>
      <c r="B199" s="674"/>
      <c r="C199" s="674"/>
      <c r="D199" s="674"/>
      <c r="E199" s="674"/>
      <c r="F199" s="674"/>
      <c r="G199" s="674"/>
      <c r="H199" s="674"/>
      <c r="I199" s="674"/>
      <c r="J199" s="674"/>
      <c r="K199" s="674"/>
      <c r="L199" s="674"/>
      <c r="M199" s="674"/>
      <c r="N199" s="674"/>
      <c r="O199" s="675"/>
      <c r="P199" s="683" t="s">
        <v>87</v>
      </c>
      <c r="Q199" s="684"/>
      <c r="R199" s="684"/>
      <c r="S199" s="684"/>
      <c r="T199" s="684"/>
      <c r="U199" s="684"/>
      <c r="V199" s="685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4"/>
      <c r="C200" s="674"/>
      <c r="D200" s="674"/>
      <c r="E200" s="674"/>
      <c r="F200" s="674"/>
      <c r="G200" s="674"/>
      <c r="H200" s="674"/>
      <c r="I200" s="674"/>
      <c r="J200" s="674"/>
      <c r="K200" s="674"/>
      <c r="L200" s="674"/>
      <c r="M200" s="674"/>
      <c r="N200" s="674"/>
      <c r="O200" s="674"/>
      <c r="P200" s="674"/>
      <c r="Q200" s="674"/>
      <c r="R200" s="674"/>
      <c r="S200" s="674"/>
      <c r="T200" s="674"/>
      <c r="U200" s="674"/>
      <c r="V200" s="674"/>
      <c r="W200" s="674"/>
      <c r="X200" s="674"/>
      <c r="Y200" s="674"/>
      <c r="Z200" s="674"/>
      <c r="AA200" s="656"/>
      <c r="AB200" s="656"/>
      <c r="AC200" s="656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3"/>
      <c r="B209" s="674"/>
      <c r="C209" s="674"/>
      <c r="D209" s="674"/>
      <c r="E209" s="674"/>
      <c r="F209" s="674"/>
      <c r="G209" s="674"/>
      <c r="H209" s="674"/>
      <c r="I209" s="674"/>
      <c r="J209" s="674"/>
      <c r="K209" s="674"/>
      <c r="L209" s="674"/>
      <c r="M209" s="674"/>
      <c r="N209" s="674"/>
      <c r="O209" s="675"/>
      <c r="P209" s="683" t="s">
        <v>87</v>
      </c>
      <c r="Q209" s="684"/>
      <c r="R209" s="684"/>
      <c r="S209" s="684"/>
      <c r="T209" s="684"/>
      <c r="U209" s="684"/>
      <c r="V209" s="685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4"/>
      <c r="B210" s="674"/>
      <c r="C210" s="674"/>
      <c r="D210" s="674"/>
      <c r="E210" s="674"/>
      <c r="F210" s="674"/>
      <c r="G210" s="674"/>
      <c r="H210" s="674"/>
      <c r="I210" s="674"/>
      <c r="J210" s="674"/>
      <c r="K210" s="674"/>
      <c r="L210" s="674"/>
      <c r="M210" s="674"/>
      <c r="N210" s="674"/>
      <c r="O210" s="675"/>
      <c r="P210" s="683" t="s">
        <v>87</v>
      </c>
      <c r="Q210" s="684"/>
      <c r="R210" s="684"/>
      <c r="S210" s="684"/>
      <c r="T210" s="684"/>
      <c r="U210" s="684"/>
      <c r="V210" s="685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4"/>
      <c r="C211" s="674"/>
      <c r="D211" s="674"/>
      <c r="E211" s="674"/>
      <c r="F211" s="674"/>
      <c r="G211" s="674"/>
      <c r="H211" s="674"/>
      <c r="I211" s="674"/>
      <c r="J211" s="674"/>
      <c r="K211" s="674"/>
      <c r="L211" s="674"/>
      <c r="M211" s="674"/>
      <c r="N211" s="674"/>
      <c r="O211" s="674"/>
      <c r="P211" s="674"/>
      <c r="Q211" s="674"/>
      <c r="R211" s="674"/>
      <c r="S211" s="674"/>
      <c r="T211" s="674"/>
      <c r="U211" s="674"/>
      <c r="V211" s="674"/>
      <c r="W211" s="674"/>
      <c r="X211" s="674"/>
      <c r="Y211" s="674"/>
      <c r="Z211" s="674"/>
      <c r="AA211" s="656"/>
      <c r="AB211" s="656"/>
      <c r="AC211" s="656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3"/>
      <c r="B221" s="674"/>
      <c r="C221" s="674"/>
      <c r="D221" s="674"/>
      <c r="E221" s="674"/>
      <c r="F221" s="674"/>
      <c r="G221" s="674"/>
      <c r="H221" s="674"/>
      <c r="I221" s="674"/>
      <c r="J221" s="674"/>
      <c r="K221" s="674"/>
      <c r="L221" s="674"/>
      <c r="M221" s="674"/>
      <c r="N221" s="674"/>
      <c r="O221" s="675"/>
      <c r="P221" s="683" t="s">
        <v>87</v>
      </c>
      <c r="Q221" s="684"/>
      <c r="R221" s="684"/>
      <c r="S221" s="684"/>
      <c r="T221" s="684"/>
      <c r="U221" s="684"/>
      <c r="V221" s="685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x14ac:dyDescent="0.2">
      <c r="A222" s="674"/>
      <c r="B222" s="674"/>
      <c r="C222" s="674"/>
      <c r="D222" s="674"/>
      <c r="E222" s="674"/>
      <c r="F222" s="674"/>
      <c r="G222" s="674"/>
      <c r="H222" s="674"/>
      <c r="I222" s="674"/>
      <c r="J222" s="674"/>
      <c r="K222" s="674"/>
      <c r="L222" s="674"/>
      <c r="M222" s="674"/>
      <c r="N222" s="674"/>
      <c r="O222" s="675"/>
      <c r="P222" s="683" t="s">
        <v>87</v>
      </c>
      <c r="Q222" s="684"/>
      <c r="R222" s="684"/>
      <c r="S222" s="684"/>
      <c r="T222" s="684"/>
      <c r="U222" s="684"/>
      <c r="V222" s="685"/>
      <c r="W222" s="37" t="s">
        <v>68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4"/>
      <c r="C223" s="674"/>
      <c r="D223" s="674"/>
      <c r="E223" s="674"/>
      <c r="F223" s="674"/>
      <c r="G223" s="674"/>
      <c r="H223" s="674"/>
      <c r="I223" s="674"/>
      <c r="J223" s="674"/>
      <c r="K223" s="674"/>
      <c r="L223" s="674"/>
      <c r="M223" s="674"/>
      <c r="N223" s="674"/>
      <c r="O223" s="674"/>
      <c r="P223" s="674"/>
      <c r="Q223" s="674"/>
      <c r="R223" s="674"/>
      <c r="S223" s="674"/>
      <c r="T223" s="674"/>
      <c r="U223" s="674"/>
      <c r="V223" s="674"/>
      <c r="W223" s="674"/>
      <c r="X223" s="674"/>
      <c r="Y223" s="674"/>
      <c r="Z223" s="674"/>
      <c r="AA223" s="656"/>
      <c r="AB223" s="656"/>
      <c r="AC223" s="656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3"/>
      <c r="B226" s="674"/>
      <c r="C226" s="674"/>
      <c r="D226" s="674"/>
      <c r="E226" s="674"/>
      <c r="F226" s="674"/>
      <c r="G226" s="674"/>
      <c r="H226" s="674"/>
      <c r="I226" s="674"/>
      <c r="J226" s="674"/>
      <c r="K226" s="674"/>
      <c r="L226" s="674"/>
      <c r="M226" s="674"/>
      <c r="N226" s="674"/>
      <c r="O226" s="675"/>
      <c r="P226" s="683" t="s">
        <v>87</v>
      </c>
      <c r="Q226" s="684"/>
      <c r="R226" s="684"/>
      <c r="S226" s="684"/>
      <c r="T226" s="684"/>
      <c r="U226" s="684"/>
      <c r="V226" s="685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4"/>
      <c r="B227" s="674"/>
      <c r="C227" s="674"/>
      <c r="D227" s="674"/>
      <c r="E227" s="674"/>
      <c r="F227" s="674"/>
      <c r="G227" s="674"/>
      <c r="H227" s="674"/>
      <c r="I227" s="674"/>
      <c r="J227" s="674"/>
      <c r="K227" s="674"/>
      <c r="L227" s="674"/>
      <c r="M227" s="674"/>
      <c r="N227" s="674"/>
      <c r="O227" s="675"/>
      <c r="P227" s="683" t="s">
        <v>87</v>
      </c>
      <c r="Q227" s="684"/>
      <c r="R227" s="684"/>
      <c r="S227" s="684"/>
      <c r="T227" s="684"/>
      <c r="U227" s="684"/>
      <c r="V227" s="685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4"/>
      <c r="C228" s="674"/>
      <c r="D228" s="674"/>
      <c r="E228" s="674"/>
      <c r="F228" s="674"/>
      <c r="G228" s="674"/>
      <c r="H228" s="674"/>
      <c r="I228" s="674"/>
      <c r="J228" s="674"/>
      <c r="K228" s="674"/>
      <c r="L228" s="674"/>
      <c r="M228" s="674"/>
      <c r="N228" s="674"/>
      <c r="O228" s="674"/>
      <c r="P228" s="674"/>
      <c r="Q228" s="674"/>
      <c r="R228" s="674"/>
      <c r="S228" s="674"/>
      <c r="T228" s="674"/>
      <c r="U228" s="674"/>
      <c r="V228" s="674"/>
      <c r="W228" s="674"/>
      <c r="X228" s="674"/>
      <c r="Y228" s="674"/>
      <c r="Z228" s="674"/>
      <c r="AA228" s="658"/>
      <c r="AB228" s="658"/>
      <c r="AC228" s="658"/>
    </row>
    <row r="229" spans="1:68" ht="14.25" customHeight="1" x14ac:dyDescent="0.25">
      <c r="A229" s="679" t="s">
        <v>97</v>
      </c>
      <c r="B229" s="674"/>
      <c r="C229" s="674"/>
      <c r="D229" s="674"/>
      <c r="E229" s="674"/>
      <c r="F229" s="674"/>
      <c r="G229" s="674"/>
      <c r="H229" s="674"/>
      <c r="I229" s="674"/>
      <c r="J229" s="674"/>
      <c r="K229" s="674"/>
      <c r="L229" s="674"/>
      <c r="M229" s="674"/>
      <c r="N229" s="674"/>
      <c r="O229" s="674"/>
      <c r="P229" s="674"/>
      <c r="Q229" s="674"/>
      <c r="R229" s="674"/>
      <c r="S229" s="674"/>
      <c r="T229" s="674"/>
      <c r="U229" s="674"/>
      <c r="V229" s="674"/>
      <c r="W229" s="674"/>
      <c r="X229" s="674"/>
      <c r="Y229" s="674"/>
      <c r="Z229" s="674"/>
      <c r="AA229" s="656"/>
      <c r="AB229" s="656"/>
      <c r="AC229" s="656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6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3"/>
      <c r="B238" s="674"/>
      <c r="C238" s="674"/>
      <c r="D238" s="674"/>
      <c r="E238" s="674"/>
      <c r="F238" s="674"/>
      <c r="G238" s="674"/>
      <c r="H238" s="674"/>
      <c r="I238" s="674"/>
      <c r="J238" s="674"/>
      <c r="K238" s="674"/>
      <c r="L238" s="674"/>
      <c r="M238" s="674"/>
      <c r="N238" s="674"/>
      <c r="O238" s="675"/>
      <c r="P238" s="683" t="s">
        <v>87</v>
      </c>
      <c r="Q238" s="684"/>
      <c r="R238" s="684"/>
      <c r="S238" s="684"/>
      <c r="T238" s="684"/>
      <c r="U238" s="684"/>
      <c r="V238" s="685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4"/>
      <c r="B239" s="674"/>
      <c r="C239" s="674"/>
      <c r="D239" s="674"/>
      <c r="E239" s="674"/>
      <c r="F239" s="674"/>
      <c r="G239" s="674"/>
      <c r="H239" s="674"/>
      <c r="I239" s="674"/>
      <c r="J239" s="674"/>
      <c r="K239" s="674"/>
      <c r="L239" s="674"/>
      <c r="M239" s="674"/>
      <c r="N239" s="674"/>
      <c r="O239" s="675"/>
      <c r="P239" s="683" t="s">
        <v>87</v>
      </c>
      <c r="Q239" s="684"/>
      <c r="R239" s="684"/>
      <c r="S239" s="684"/>
      <c r="T239" s="684"/>
      <c r="U239" s="684"/>
      <c r="V239" s="685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4"/>
      <c r="C240" s="674"/>
      <c r="D240" s="674"/>
      <c r="E240" s="674"/>
      <c r="F240" s="674"/>
      <c r="G240" s="674"/>
      <c r="H240" s="674"/>
      <c r="I240" s="674"/>
      <c r="J240" s="674"/>
      <c r="K240" s="674"/>
      <c r="L240" s="674"/>
      <c r="M240" s="674"/>
      <c r="N240" s="674"/>
      <c r="O240" s="674"/>
      <c r="P240" s="674"/>
      <c r="Q240" s="674"/>
      <c r="R240" s="674"/>
      <c r="S240" s="674"/>
      <c r="T240" s="674"/>
      <c r="U240" s="674"/>
      <c r="V240" s="674"/>
      <c r="W240" s="674"/>
      <c r="X240" s="674"/>
      <c r="Y240" s="674"/>
      <c r="Z240" s="674"/>
      <c r="AA240" s="656"/>
      <c r="AB240" s="656"/>
      <c r="AC240" s="656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1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3"/>
      <c r="B243" s="674"/>
      <c r="C243" s="674"/>
      <c r="D243" s="674"/>
      <c r="E243" s="674"/>
      <c r="F243" s="674"/>
      <c r="G243" s="674"/>
      <c r="H243" s="674"/>
      <c r="I243" s="674"/>
      <c r="J243" s="674"/>
      <c r="K243" s="674"/>
      <c r="L243" s="674"/>
      <c r="M243" s="674"/>
      <c r="N243" s="674"/>
      <c r="O243" s="675"/>
      <c r="P243" s="683" t="s">
        <v>87</v>
      </c>
      <c r="Q243" s="684"/>
      <c r="R243" s="684"/>
      <c r="S243" s="684"/>
      <c r="T243" s="684"/>
      <c r="U243" s="684"/>
      <c r="V243" s="685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4"/>
      <c r="B244" s="674"/>
      <c r="C244" s="674"/>
      <c r="D244" s="674"/>
      <c r="E244" s="674"/>
      <c r="F244" s="674"/>
      <c r="G244" s="674"/>
      <c r="H244" s="674"/>
      <c r="I244" s="674"/>
      <c r="J244" s="674"/>
      <c r="K244" s="674"/>
      <c r="L244" s="674"/>
      <c r="M244" s="674"/>
      <c r="N244" s="674"/>
      <c r="O244" s="675"/>
      <c r="P244" s="683" t="s">
        <v>87</v>
      </c>
      <c r="Q244" s="684"/>
      <c r="R244" s="684"/>
      <c r="S244" s="684"/>
      <c r="T244" s="684"/>
      <c r="U244" s="684"/>
      <c r="V244" s="685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4"/>
      <c r="C245" s="674"/>
      <c r="D245" s="674"/>
      <c r="E245" s="674"/>
      <c r="F245" s="674"/>
      <c r="G245" s="674"/>
      <c r="H245" s="674"/>
      <c r="I245" s="674"/>
      <c r="J245" s="674"/>
      <c r="K245" s="674"/>
      <c r="L245" s="674"/>
      <c r="M245" s="674"/>
      <c r="N245" s="674"/>
      <c r="O245" s="674"/>
      <c r="P245" s="674"/>
      <c r="Q245" s="674"/>
      <c r="R245" s="674"/>
      <c r="S245" s="674"/>
      <c r="T245" s="674"/>
      <c r="U245" s="674"/>
      <c r="V245" s="674"/>
      <c r="W245" s="674"/>
      <c r="X245" s="674"/>
      <c r="Y245" s="674"/>
      <c r="Z245" s="674"/>
      <c r="AA245" s="656"/>
      <c r="AB245" s="656"/>
      <c r="AC245" s="656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5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3"/>
      <c r="B247" s="674"/>
      <c r="C247" s="674"/>
      <c r="D247" s="674"/>
      <c r="E247" s="674"/>
      <c r="F247" s="674"/>
      <c r="G247" s="674"/>
      <c r="H247" s="674"/>
      <c r="I247" s="674"/>
      <c r="J247" s="674"/>
      <c r="K247" s="674"/>
      <c r="L247" s="674"/>
      <c r="M247" s="674"/>
      <c r="N247" s="674"/>
      <c r="O247" s="675"/>
      <c r="P247" s="683" t="s">
        <v>87</v>
      </c>
      <c r="Q247" s="684"/>
      <c r="R247" s="684"/>
      <c r="S247" s="684"/>
      <c r="T247" s="684"/>
      <c r="U247" s="684"/>
      <c r="V247" s="685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4"/>
      <c r="B248" s="674"/>
      <c r="C248" s="674"/>
      <c r="D248" s="674"/>
      <c r="E248" s="674"/>
      <c r="F248" s="674"/>
      <c r="G248" s="674"/>
      <c r="H248" s="674"/>
      <c r="I248" s="674"/>
      <c r="J248" s="674"/>
      <c r="K248" s="674"/>
      <c r="L248" s="674"/>
      <c r="M248" s="674"/>
      <c r="N248" s="674"/>
      <c r="O248" s="675"/>
      <c r="P248" s="683" t="s">
        <v>87</v>
      </c>
      <c r="Q248" s="684"/>
      <c r="R248" s="684"/>
      <c r="S248" s="684"/>
      <c r="T248" s="684"/>
      <c r="U248" s="684"/>
      <c r="V248" s="685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4"/>
      <c r="C249" s="674"/>
      <c r="D249" s="674"/>
      <c r="E249" s="674"/>
      <c r="F249" s="674"/>
      <c r="G249" s="674"/>
      <c r="H249" s="674"/>
      <c r="I249" s="674"/>
      <c r="J249" s="674"/>
      <c r="K249" s="674"/>
      <c r="L249" s="674"/>
      <c r="M249" s="674"/>
      <c r="N249" s="674"/>
      <c r="O249" s="674"/>
      <c r="P249" s="674"/>
      <c r="Q249" s="674"/>
      <c r="R249" s="674"/>
      <c r="S249" s="674"/>
      <c r="T249" s="674"/>
      <c r="U249" s="674"/>
      <c r="V249" s="674"/>
      <c r="W249" s="674"/>
      <c r="X249" s="674"/>
      <c r="Y249" s="674"/>
      <c r="Z249" s="674"/>
      <c r="AA249" s="656"/>
      <c r="AB249" s="656"/>
      <c r="AC249" s="656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6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3"/>
      <c r="B251" s="674"/>
      <c r="C251" s="674"/>
      <c r="D251" s="674"/>
      <c r="E251" s="674"/>
      <c r="F251" s="674"/>
      <c r="G251" s="674"/>
      <c r="H251" s="674"/>
      <c r="I251" s="674"/>
      <c r="J251" s="674"/>
      <c r="K251" s="674"/>
      <c r="L251" s="674"/>
      <c r="M251" s="674"/>
      <c r="N251" s="674"/>
      <c r="O251" s="675"/>
      <c r="P251" s="683" t="s">
        <v>87</v>
      </c>
      <c r="Q251" s="684"/>
      <c r="R251" s="684"/>
      <c r="S251" s="684"/>
      <c r="T251" s="684"/>
      <c r="U251" s="684"/>
      <c r="V251" s="685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4"/>
      <c r="B252" s="674"/>
      <c r="C252" s="674"/>
      <c r="D252" s="674"/>
      <c r="E252" s="674"/>
      <c r="F252" s="674"/>
      <c r="G252" s="674"/>
      <c r="H252" s="674"/>
      <c r="I252" s="674"/>
      <c r="J252" s="674"/>
      <c r="K252" s="674"/>
      <c r="L252" s="674"/>
      <c r="M252" s="674"/>
      <c r="N252" s="674"/>
      <c r="O252" s="675"/>
      <c r="P252" s="683" t="s">
        <v>87</v>
      </c>
      <c r="Q252" s="684"/>
      <c r="R252" s="684"/>
      <c r="S252" s="684"/>
      <c r="T252" s="684"/>
      <c r="U252" s="684"/>
      <c r="V252" s="685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4"/>
      <c r="C253" s="674"/>
      <c r="D253" s="674"/>
      <c r="E253" s="674"/>
      <c r="F253" s="674"/>
      <c r="G253" s="674"/>
      <c r="H253" s="674"/>
      <c r="I253" s="674"/>
      <c r="J253" s="674"/>
      <c r="K253" s="674"/>
      <c r="L253" s="674"/>
      <c r="M253" s="674"/>
      <c r="N253" s="674"/>
      <c r="O253" s="674"/>
      <c r="P253" s="674"/>
      <c r="Q253" s="674"/>
      <c r="R253" s="674"/>
      <c r="S253" s="674"/>
      <c r="T253" s="674"/>
      <c r="U253" s="674"/>
      <c r="V253" s="674"/>
      <c r="W253" s="674"/>
      <c r="X253" s="674"/>
      <c r="Y253" s="674"/>
      <c r="Z253" s="674"/>
      <c r="AA253" s="658"/>
      <c r="AB253" s="658"/>
      <c r="AC253" s="658"/>
    </row>
    <row r="254" spans="1:68" ht="14.25" customHeight="1" x14ac:dyDescent="0.25">
      <c r="A254" s="679" t="s">
        <v>97</v>
      </c>
      <c r="B254" s="674"/>
      <c r="C254" s="674"/>
      <c r="D254" s="674"/>
      <c r="E254" s="674"/>
      <c r="F254" s="674"/>
      <c r="G254" s="674"/>
      <c r="H254" s="674"/>
      <c r="I254" s="674"/>
      <c r="J254" s="674"/>
      <c r="K254" s="674"/>
      <c r="L254" s="674"/>
      <c r="M254" s="674"/>
      <c r="N254" s="674"/>
      <c r="O254" s="674"/>
      <c r="P254" s="674"/>
      <c r="Q254" s="674"/>
      <c r="R254" s="674"/>
      <c r="S254" s="674"/>
      <c r="T254" s="674"/>
      <c r="U254" s="674"/>
      <c r="V254" s="674"/>
      <c r="W254" s="674"/>
      <c r="X254" s="674"/>
      <c r="Y254" s="674"/>
      <c r="Z254" s="674"/>
      <c r="AA254" s="656"/>
      <c r="AB254" s="656"/>
      <c r="AC254" s="656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3"/>
      <c r="B261" s="674"/>
      <c r="C261" s="674"/>
      <c r="D261" s="674"/>
      <c r="E261" s="674"/>
      <c r="F261" s="674"/>
      <c r="G261" s="674"/>
      <c r="H261" s="674"/>
      <c r="I261" s="674"/>
      <c r="J261" s="674"/>
      <c r="K261" s="674"/>
      <c r="L261" s="674"/>
      <c r="M261" s="674"/>
      <c r="N261" s="674"/>
      <c r="O261" s="675"/>
      <c r="P261" s="683" t="s">
        <v>87</v>
      </c>
      <c r="Q261" s="684"/>
      <c r="R261" s="684"/>
      <c r="S261" s="684"/>
      <c r="T261" s="684"/>
      <c r="U261" s="684"/>
      <c r="V261" s="685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4"/>
      <c r="B262" s="674"/>
      <c r="C262" s="674"/>
      <c r="D262" s="674"/>
      <c r="E262" s="674"/>
      <c r="F262" s="674"/>
      <c r="G262" s="674"/>
      <c r="H262" s="674"/>
      <c r="I262" s="674"/>
      <c r="J262" s="674"/>
      <c r="K262" s="674"/>
      <c r="L262" s="674"/>
      <c r="M262" s="674"/>
      <c r="N262" s="674"/>
      <c r="O262" s="675"/>
      <c r="P262" s="683" t="s">
        <v>87</v>
      </c>
      <c r="Q262" s="684"/>
      <c r="R262" s="684"/>
      <c r="S262" s="684"/>
      <c r="T262" s="684"/>
      <c r="U262" s="684"/>
      <c r="V262" s="685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4"/>
      <c r="C263" s="674"/>
      <c r="D263" s="674"/>
      <c r="E263" s="674"/>
      <c r="F263" s="674"/>
      <c r="G263" s="674"/>
      <c r="H263" s="674"/>
      <c r="I263" s="674"/>
      <c r="J263" s="674"/>
      <c r="K263" s="674"/>
      <c r="L263" s="674"/>
      <c r="M263" s="674"/>
      <c r="N263" s="674"/>
      <c r="O263" s="674"/>
      <c r="P263" s="674"/>
      <c r="Q263" s="674"/>
      <c r="R263" s="674"/>
      <c r="S263" s="674"/>
      <c r="T263" s="674"/>
      <c r="U263" s="674"/>
      <c r="V263" s="674"/>
      <c r="W263" s="674"/>
      <c r="X263" s="674"/>
      <c r="Y263" s="674"/>
      <c r="Z263" s="674"/>
      <c r="AA263" s="658"/>
      <c r="AB263" s="658"/>
      <c r="AC263" s="658"/>
    </row>
    <row r="264" spans="1:68" ht="14.25" customHeight="1" x14ac:dyDescent="0.25">
      <c r="A264" s="679" t="s">
        <v>97</v>
      </c>
      <c r="B264" s="674"/>
      <c r="C264" s="674"/>
      <c r="D264" s="674"/>
      <c r="E264" s="674"/>
      <c r="F264" s="674"/>
      <c r="G264" s="674"/>
      <c r="H264" s="674"/>
      <c r="I264" s="674"/>
      <c r="J264" s="674"/>
      <c r="K264" s="674"/>
      <c r="L264" s="674"/>
      <c r="M264" s="674"/>
      <c r="N264" s="674"/>
      <c r="O264" s="674"/>
      <c r="P264" s="674"/>
      <c r="Q264" s="674"/>
      <c r="R264" s="674"/>
      <c r="S264" s="674"/>
      <c r="T264" s="674"/>
      <c r="U264" s="674"/>
      <c r="V264" s="674"/>
      <c r="W264" s="674"/>
      <c r="X264" s="674"/>
      <c r="Y264" s="674"/>
      <c r="Z264" s="674"/>
      <c r="AA264" s="656"/>
      <c r="AB264" s="656"/>
      <c r="AC264" s="656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8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3"/>
      <c r="B266" s="674"/>
      <c r="C266" s="674"/>
      <c r="D266" s="674"/>
      <c r="E266" s="674"/>
      <c r="F266" s="674"/>
      <c r="G266" s="674"/>
      <c r="H266" s="674"/>
      <c r="I266" s="674"/>
      <c r="J266" s="674"/>
      <c r="K266" s="674"/>
      <c r="L266" s="674"/>
      <c r="M266" s="674"/>
      <c r="N266" s="674"/>
      <c r="O266" s="675"/>
      <c r="P266" s="683" t="s">
        <v>87</v>
      </c>
      <c r="Q266" s="684"/>
      <c r="R266" s="684"/>
      <c r="S266" s="684"/>
      <c r="T266" s="684"/>
      <c r="U266" s="684"/>
      <c r="V266" s="685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4"/>
      <c r="B267" s="674"/>
      <c r="C267" s="674"/>
      <c r="D267" s="674"/>
      <c r="E267" s="674"/>
      <c r="F267" s="674"/>
      <c r="G267" s="674"/>
      <c r="H267" s="674"/>
      <c r="I267" s="674"/>
      <c r="J267" s="674"/>
      <c r="K267" s="674"/>
      <c r="L267" s="674"/>
      <c r="M267" s="674"/>
      <c r="N267" s="674"/>
      <c r="O267" s="675"/>
      <c r="P267" s="683" t="s">
        <v>87</v>
      </c>
      <c r="Q267" s="684"/>
      <c r="R267" s="684"/>
      <c r="S267" s="684"/>
      <c r="T267" s="684"/>
      <c r="U267" s="684"/>
      <c r="V267" s="685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4"/>
      <c r="C268" s="674"/>
      <c r="D268" s="674"/>
      <c r="E268" s="674"/>
      <c r="F268" s="674"/>
      <c r="G268" s="674"/>
      <c r="H268" s="674"/>
      <c r="I268" s="674"/>
      <c r="J268" s="674"/>
      <c r="K268" s="674"/>
      <c r="L268" s="674"/>
      <c r="M268" s="674"/>
      <c r="N268" s="674"/>
      <c r="O268" s="674"/>
      <c r="P268" s="674"/>
      <c r="Q268" s="674"/>
      <c r="R268" s="674"/>
      <c r="S268" s="674"/>
      <c r="T268" s="674"/>
      <c r="U268" s="674"/>
      <c r="V268" s="674"/>
      <c r="W268" s="674"/>
      <c r="X268" s="674"/>
      <c r="Y268" s="674"/>
      <c r="Z268" s="674"/>
      <c r="AA268" s="658"/>
      <c r="AB268" s="658"/>
      <c r="AC268" s="658"/>
    </row>
    <row r="269" spans="1:68" ht="14.25" customHeight="1" x14ac:dyDescent="0.25">
      <c r="A269" s="679" t="s">
        <v>97</v>
      </c>
      <c r="B269" s="674"/>
      <c r="C269" s="674"/>
      <c r="D269" s="674"/>
      <c r="E269" s="674"/>
      <c r="F269" s="674"/>
      <c r="G269" s="674"/>
      <c r="H269" s="674"/>
      <c r="I269" s="674"/>
      <c r="J269" s="674"/>
      <c r="K269" s="674"/>
      <c r="L269" s="674"/>
      <c r="M269" s="674"/>
      <c r="N269" s="674"/>
      <c r="O269" s="674"/>
      <c r="P269" s="674"/>
      <c r="Q269" s="674"/>
      <c r="R269" s="674"/>
      <c r="S269" s="674"/>
      <c r="T269" s="674"/>
      <c r="U269" s="674"/>
      <c r="V269" s="674"/>
      <c r="W269" s="674"/>
      <c r="X269" s="674"/>
      <c r="Y269" s="674"/>
      <c r="Z269" s="674"/>
      <c r="AA269" s="656"/>
      <c r="AB269" s="656"/>
      <c r="AC269" s="656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3"/>
      <c r="B273" s="674"/>
      <c r="C273" s="674"/>
      <c r="D273" s="674"/>
      <c r="E273" s="674"/>
      <c r="F273" s="674"/>
      <c r="G273" s="674"/>
      <c r="H273" s="674"/>
      <c r="I273" s="674"/>
      <c r="J273" s="674"/>
      <c r="K273" s="674"/>
      <c r="L273" s="674"/>
      <c r="M273" s="674"/>
      <c r="N273" s="674"/>
      <c r="O273" s="675"/>
      <c r="P273" s="683" t="s">
        <v>87</v>
      </c>
      <c r="Q273" s="684"/>
      <c r="R273" s="684"/>
      <c r="S273" s="684"/>
      <c r="T273" s="684"/>
      <c r="U273" s="684"/>
      <c r="V273" s="685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4"/>
      <c r="B274" s="674"/>
      <c r="C274" s="674"/>
      <c r="D274" s="674"/>
      <c r="E274" s="674"/>
      <c r="F274" s="674"/>
      <c r="G274" s="674"/>
      <c r="H274" s="674"/>
      <c r="I274" s="674"/>
      <c r="J274" s="674"/>
      <c r="K274" s="674"/>
      <c r="L274" s="674"/>
      <c r="M274" s="674"/>
      <c r="N274" s="674"/>
      <c r="O274" s="675"/>
      <c r="P274" s="683" t="s">
        <v>87</v>
      </c>
      <c r="Q274" s="684"/>
      <c r="R274" s="684"/>
      <c r="S274" s="684"/>
      <c r="T274" s="684"/>
      <c r="U274" s="684"/>
      <c r="V274" s="685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4"/>
      <c r="C275" s="674"/>
      <c r="D275" s="674"/>
      <c r="E275" s="674"/>
      <c r="F275" s="674"/>
      <c r="G275" s="674"/>
      <c r="H275" s="674"/>
      <c r="I275" s="674"/>
      <c r="J275" s="674"/>
      <c r="K275" s="674"/>
      <c r="L275" s="674"/>
      <c r="M275" s="674"/>
      <c r="N275" s="674"/>
      <c r="O275" s="674"/>
      <c r="P275" s="674"/>
      <c r="Q275" s="674"/>
      <c r="R275" s="674"/>
      <c r="S275" s="674"/>
      <c r="T275" s="674"/>
      <c r="U275" s="674"/>
      <c r="V275" s="674"/>
      <c r="W275" s="674"/>
      <c r="X275" s="674"/>
      <c r="Y275" s="674"/>
      <c r="Z275" s="674"/>
      <c r="AA275" s="658"/>
      <c r="AB275" s="658"/>
      <c r="AC275" s="658"/>
    </row>
    <row r="276" spans="1:68" ht="14.25" customHeight="1" x14ac:dyDescent="0.25">
      <c r="A276" s="679" t="s">
        <v>63</v>
      </c>
      <c r="B276" s="674"/>
      <c r="C276" s="674"/>
      <c r="D276" s="674"/>
      <c r="E276" s="674"/>
      <c r="F276" s="674"/>
      <c r="G276" s="674"/>
      <c r="H276" s="674"/>
      <c r="I276" s="674"/>
      <c r="J276" s="674"/>
      <c r="K276" s="674"/>
      <c r="L276" s="674"/>
      <c r="M276" s="674"/>
      <c r="N276" s="674"/>
      <c r="O276" s="674"/>
      <c r="P276" s="674"/>
      <c r="Q276" s="674"/>
      <c r="R276" s="674"/>
      <c r="S276" s="674"/>
      <c r="T276" s="674"/>
      <c r="U276" s="674"/>
      <c r="V276" s="674"/>
      <c r="W276" s="674"/>
      <c r="X276" s="674"/>
      <c r="Y276" s="674"/>
      <c r="Z276" s="674"/>
      <c r="AA276" s="656"/>
      <c r="AB276" s="656"/>
      <c r="AC276" s="656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2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3"/>
      <c r="B282" s="674"/>
      <c r="C282" s="674"/>
      <c r="D282" s="674"/>
      <c r="E282" s="674"/>
      <c r="F282" s="674"/>
      <c r="G282" s="674"/>
      <c r="H282" s="674"/>
      <c r="I282" s="674"/>
      <c r="J282" s="674"/>
      <c r="K282" s="674"/>
      <c r="L282" s="674"/>
      <c r="M282" s="674"/>
      <c r="N282" s="674"/>
      <c r="O282" s="675"/>
      <c r="P282" s="683" t="s">
        <v>87</v>
      </c>
      <c r="Q282" s="684"/>
      <c r="R282" s="684"/>
      <c r="S282" s="684"/>
      <c r="T282" s="684"/>
      <c r="U282" s="684"/>
      <c r="V282" s="685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4"/>
      <c r="B283" s="674"/>
      <c r="C283" s="674"/>
      <c r="D283" s="674"/>
      <c r="E283" s="674"/>
      <c r="F283" s="674"/>
      <c r="G283" s="674"/>
      <c r="H283" s="674"/>
      <c r="I283" s="674"/>
      <c r="J283" s="674"/>
      <c r="K283" s="674"/>
      <c r="L283" s="674"/>
      <c r="M283" s="674"/>
      <c r="N283" s="674"/>
      <c r="O283" s="675"/>
      <c r="P283" s="683" t="s">
        <v>87</v>
      </c>
      <c r="Q283" s="684"/>
      <c r="R283" s="684"/>
      <c r="S283" s="684"/>
      <c r="T283" s="684"/>
      <c r="U283" s="684"/>
      <c r="V283" s="685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4"/>
      <c r="C284" s="674"/>
      <c r="D284" s="674"/>
      <c r="E284" s="674"/>
      <c r="F284" s="674"/>
      <c r="G284" s="674"/>
      <c r="H284" s="674"/>
      <c r="I284" s="674"/>
      <c r="J284" s="674"/>
      <c r="K284" s="674"/>
      <c r="L284" s="674"/>
      <c r="M284" s="674"/>
      <c r="N284" s="674"/>
      <c r="O284" s="674"/>
      <c r="P284" s="674"/>
      <c r="Q284" s="674"/>
      <c r="R284" s="674"/>
      <c r="S284" s="674"/>
      <c r="T284" s="674"/>
      <c r="U284" s="674"/>
      <c r="V284" s="674"/>
      <c r="W284" s="674"/>
      <c r="X284" s="674"/>
      <c r="Y284" s="674"/>
      <c r="Z284" s="674"/>
      <c r="AA284" s="658"/>
      <c r="AB284" s="658"/>
      <c r="AC284" s="658"/>
    </row>
    <row r="285" spans="1:68" ht="14.25" customHeight="1" x14ac:dyDescent="0.25">
      <c r="A285" s="679" t="s">
        <v>97</v>
      </c>
      <c r="B285" s="674"/>
      <c r="C285" s="674"/>
      <c r="D285" s="674"/>
      <c r="E285" s="674"/>
      <c r="F285" s="674"/>
      <c r="G285" s="674"/>
      <c r="H285" s="674"/>
      <c r="I285" s="674"/>
      <c r="J285" s="674"/>
      <c r="K285" s="674"/>
      <c r="L285" s="674"/>
      <c r="M285" s="674"/>
      <c r="N285" s="674"/>
      <c r="O285" s="674"/>
      <c r="P285" s="674"/>
      <c r="Q285" s="674"/>
      <c r="R285" s="674"/>
      <c r="S285" s="674"/>
      <c r="T285" s="674"/>
      <c r="U285" s="674"/>
      <c r="V285" s="674"/>
      <c r="W285" s="674"/>
      <c r="X285" s="674"/>
      <c r="Y285" s="674"/>
      <c r="Z285" s="674"/>
      <c r="AA285" s="656"/>
      <c r="AB285" s="656"/>
      <c r="AC285" s="656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3"/>
      <c r="B287" s="674"/>
      <c r="C287" s="674"/>
      <c r="D287" s="674"/>
      <c r="E287" s="674"/>
      <c r="F287" s="674"/>
      <c r="G287" s="674"/>
      <c r="H287" s="674"/>
      <c r="I287" s="674"/>
      <c r="J287" s="674"/>
      <c r="K287" s="674"/>
      <c r="L287" s="674"/>
      <c r="M287" s="674"/>
      <c r="N287" s="674"/>
      <c r="O287" s="675"/>
      <c r="P287" s="683" t="s">
        <v>87</v>
      </c>
      <c r="Q287" s="684"/>
      <c r="R287" s="684"/>
      <c r="S287" s="684"/>
      <c r="T287" s="684"/>
      <c r="U287" s="684"/>
      <c r="V287" s="685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4"/>
      <c r="B288" s="674"/>
      <c r="C288" s="674"/>
      <c r="D288" s="674"/>
      <c r="E288" s="674"/>
      <c r="F288" s="674"/>
      <c r="G288" s="674"/>
      <c r="H288" s="674"/>
      <c r="I288" s="674"/>
      <c r="J288" s="674"/>
      <c r="K288" s="674"/>
      <c r="L288" s="674"/>
      <c r="M288" s="674"/>
      <c r="N288" s="674"/>
      <c r="O288" s="675"/>
      <c r="P288" s="683" t="s">
        <v>87</v>
      </c>
      <c r="Q288" s="684"/>
      <c r="R288" s="684"/>
      <c r="S288" s="684"/>
      <c r="T288" s="684"/>
      <c r="U288" s="684"/>
      <c r="V288" s="685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4"/>
      <c r="C289" s="674"/>
      <c r="D289" s="674"/>
      <c r="E289" s="674"/>
      <c r="F289" s="674"/>
      <c r="G289" s="674"/>
      <c r="H289" s="674"/>
      <c r="I289" s="674"/>
      <c r="J289" s="674"/>
      <c r="K289" s="674"/>
      <c r="L289" s="674"/>
      <c r="M289" s="674"/>
      <c r="N289" s="674"/>
      <c r="O289" s="674"/>
      <c r="P289" s="674"/>
      <c r="Q289" s="674"/>
      <c r="R289" s="674"/>
      <c r="S289" s="674"/>
      <c r="T289" s="674"/>
      <c r="U289" s="674"/>
      <c r="V289" s="674"/>
      <c r="W289" s="674"/>
      <c r="X289" s="674"/>
      <c r="Y289" s="674"/>
      <c r="Z289" s="674"/>
      <c r="AA289" s="656"/>
      <c r="AB289" s="656"/>
      <c r="AC289" s="656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3"/>
      <c r="B291" s="674"/>
      <c r="C291" s="674"/>
      <c r="D291" s="674"/>
      <c r="E291" s="674"/>
      <c r="F291" s="674"/>
      <c r="G291" s="674"/>
      <c r="H291" s="674"/>
      <c r="I291" s="674"/>
      <c r="J291" s="674"/>
      <c r="K291" s="674"/>
      <c r="L291" s="674"/>
      <c r="M291" s="674"/>
      <c r="N291" s="674"/>
      <c r="O291" s="675"/>
      <c r="P291" s="683" t="s">
        <v>87</v>
      </c>
      <c r="Q291" s="684"/>
      <c r="R291" s="684"/>
      <c r="S291" s="684"/>
      <c r="T291" s="684"/>
      <c r="U291" s="684"/>
      <c r="V291" s="685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4"/>
      <c r="B292" s="674"/>
      <c r="C292" s="674"/>
      <c r="D292" s="674"/>
      <c r="E292" s="674"/>
      <c r="F292" s="674"/>
      <c r="G292" s="674"/>
      <c r="H292" s="674"/>
      <c r="I292" s="674"/>
      <c r="J292" s="674"/>
      <c r="K292" s="674"/>
      <c r="L292" s="674"/>
      <c r="M292" s="674"/>
      <c r="N292" s="674"/>
      <c r="O292" s="675"/>
      <c r="P292" s="683" t="s">
        <v>87</v>
      </c>
      <c r="Q292" s="684"/>
      <c r="R292" s="684"/>
      <c r="S292" s="684"/>
      <c r="T292" s="684"/>
      <c r="U292" s="684"/>
      <c r="V292" s="685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4"/>
      <c r="C293" s="674"/>
      <c r="D293" s="674"/>
      <c r="E293" s="674"/>
      <c r="F293" s="674"/>
      <c r="G293" s="674"/>
      <c r="H293" s="674"/>
      <c r="I293" s="674"/>
      <c r="J293" s="674"/>
      <c r="K293" s="674"/>
      <c r="L293" s="674"/>
      <c r="M293" s="674"/>
      <c r="N293" s="674"/>
      <c r="O293" s="674"/>
      <c r="P293" s="674"/>
      <c r="Q293" s="674"/>
      <c r="R293" s="674"/>
      <c r="S293" s="674"/>
      <c r="T293" s="674"/>
      <c r="U293" s="674"/>
      <c r="V293" s="674"/>
      <c r="W293" s="674"/>
      <c r="X293" s="674"/>
      <c r="Y293" s="674"/>
      <c r="Z293" s="674"/>
      <c r="AA293" s="656"/>
      <c r="AB293" s="656"/>
      <c r="AC293" s="656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3"/>
      <c r="B295" s="674"/>
      <c r="C295" s="674"/>
      <c r="D295" s="674"/>
      <c r="E295" s="674"/>
      <c r="F295" s="674"/>
      <c r="G295" s="674"/>
      <c r="H295" s="674"/>
      <c r="I295" s="674"/>
      <c r="J295" s="674"/>
      <c r="K295" s="674"/>
      <c r="L295" s="674"/>
      <c r="M295" s="674"/>
      <c r="N295" s="674"/>
      <c r="O295" s="675"/>
      <c r="P295" s="683" t="s">
        <v>87</v>
      </c>
      <c r="Q295" s="684"/>
      <c r="R295" s="684"/>
      <c r="S295" s="684"/>
      <c r="T295" s="684"/>
      <c r="U295" s="684"/>
      <c r="V295" s="685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4"/>
      <c r="B296" s="674"/>
      <c r="C296" s="674"/>
      <c r="D296" s="674"/>
      <c r="E296" s="674"/>
      <c r="F296" s="674"/>
      <c r="G296" s="674"/>
      <c r="H296" s="674"/>
      <c r="I296" s="674"/>
      <c r="J296" s="674"/>
      <c r="K296" s="674"/>
      <c r="L296" s="674"/>
      <c r="M296" s="674"/>
      <c r="N296" s="674"/>
      <c r="O296" s="675"/>
      <c r="P296" s="683" t="s">
        <v>87</v>
      </c>
      <c r="Q296" s="684"/>
      <c r="R296" s="684"/>
      <c r="S296" s="684"/>
      <c r="T296" s="684"/>
      <c r="U296" s="684"/>
      <c r="V296" s="685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4"/>
      <c r="C297" s="674"/>
      <c r="D297" s="674"/>
      <c r="E297" s="674"/>
      <c r="F297" s="674"/>
      <c r="G297" s="674"/>
      <c r="H297" s="674"/>
      <c r="I297" s="674"/>
      <c r="J297" s="674"/>
      <c r="K297" s="674"/>
      <c r="L297" s="674"/>
      <c r="M297" s="674"/>
      <c r="N297" s="674"/>
      <c r="O297" s="674"/>
      <c r="P297" s="674"/>
      <c r="Q297" s="674"/>
      <c r="R297" s="674"/>
      <c r="S297" s="674"/>
      <c r="T297" s="674"/>
      <c r="U297" s="674"/>
      <c r="V297" s="674"/>
      <c r="W297" s="674"/>
      <c r="X297" s="674"/>
      <c r="Y297" s="674"/>
      <c r="Z297" s="674"/>
      <c r="AA297" s="658"/>
      <c r="AB297" s="658"/>
      <c r="AC297" s="658"/>
    </row>
    <row r="298" spans="1:68" ht="14.25" customHeight="1" x14ac:dyDescent="0.25">
      <c r="A298" s="679" t="s">
        <v>63</v>
      </c>
      <c r="B298" s="674"/>
      <c r="C298" s="674"/>
      <c r="D298" s="674"/>
      <c r="E298" s="674"/>
      <c r="F298" s="674"/>
      <c r="G298" s="674"/>
      <c r="H298" s="674"/>
      <c r="I298" s="674"/>
      <c r="J298" s="674"/>
      <c r="K298" s="674"/>
      <c r="L298" s="674"/>
      <c r="M298" s="674"/>
      <c r="N298" s="674"/>
      <c r="O298" s="674"/>
      <c r="P298" s="674"/>
      <c r="Q298" s="674"/>
      <c r="R298" s="674"/>
      <c r="S298" s="674"/>
      <c r="T298" s="674"/>
      <c r="U298" s="674"/>
      <c r="V298" s="674"/>
      <c r="W298" s="674"/>
      <c r="X298" s="674"/>
      <c r="Y298" s="674"/>
      <c r="Z298" s="674"/>
      <c r="AA298" s="656"/>
      <c r="AB298" s="656"/>
      <c r="AC298" s="656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3"/>
      <c r="B300" s="674"/>
      <c r="C300" s="674"/>
      <c r="D300" s="674"/>
      <c r="E300" s="674"/>
      <c r="F300" s="674"/>
      <c r="G300" s="674"/>
      <c r="H300" s="674"/>
      <c r="I300" s="674"/>
      <c r="J300" s="674"/>
      <c r="K300" s="674"/>
      <c r="L300" s="674"/>
      <c r="M300" s="674"/>
      <c r="N300" s="674"/>
      <c r="O300" s="675"/>
      <c r="P300" s="683" t="s">
        <v>87</v>
      </c>
      <c r="Q300" s="684"/>
      <c r="R300" s="684"/>
      <c r="S300" s="684"/>
      <c r="T300" s="684"/>
      <c r="U300" s="684"/>
      <c r="V300" s="685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4"/>
      <c r="B301" s="674"/>
      <c r="C301" s="674"/>
      <c r="D301" s="674"/>
      <c r="E301" s="674"/>
      <c r="F301" s="674"/>
      <c r="G301" s="674"/>
      <c r="H301" s="674"/>
      <c r="I301" s="674"/>
      <c r="J301" s="674"/>
      <c r="K301" s="674"/>
      <c r="L301" s="674"/>
      <c r="M301" s="674"/>
      <c r="N301" s="674"/>
      <c r="O301" s="675"/>
      <c r="P301" s="683" t="s">
        <v>87</v>
      </c>
      <c r="Q301" s="684"/>
      <c r="R301" s="684"/>
      <c r="S301" s="684"/>
      <c r="T301" s="684"/>
      <c r="U301" s="684"/>
      <c r="V301" s="685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4"/>
      <c r="C302" s="674"/>
      <c r="D302" s="674"/>
      <c r="E302" s="674"/>
      <c r="F302" s="674"/>
      <c r="G302" s="674"/>
      <c r="H302" s="674"/>
      <c r="I302" s="674"/>
      <c r="J302" s="674"/>
      <c r="K302" s="674"/>
      <c r="L302" s="674"/>
      <c r="M302" s="674"/>
      <c r="N302" s="674"/>
      <c r="O302" s="674"/>
      <c r="P302" s="674"/>
      <c r="Q302" s="674"/>
      <c r="R302" s="674"/>
      <c r="S302" s="674"/>
      <c r="T302" s="674"/>
      <c r="U302" s="674"/>
      <c r="V302" s="674"/>
      <c r="W302" s="674"/>
      <c r="X302" s="674"/>
      <c r="Y302" s="674"/>
      <c r="Z302" s="674"/>
      <c r="AA302" s="658"/>
      <c r="AB302" s="658"/>
      <c r="AC302" s="658"/>
    </row>
    <row r="303" spans="1:68" ht="14.25" customHeight="1" x14ac:dyDescent="0.25">
      <c r="A303" s="679" t="s">
        <v>97</v>
      </c>
      <c r="B303" s="674"/>
      <c r="C303" s="674"/>
      <c r="D303" s="674"/>
      <c r="E303" s="674"/>
      <c r="F303" s="674"/>
      <c r="G303" s="674"/>
      <c r="H303" s="674"/>
      <c r="I303" s="674"/>
      <c r="J303" s="674"/>
      <c r="K303" s="674"/>
      <c r="L303" s="674"/>
      <c r="M303" s="674"/>
      <c r="N303" s="674"/>
      <c r="O303" s="674"/>
      <c r="P303" s="674"/>
      <c r="Q303" s="674"/>
      <c r="R303" s="674"/>
      <c r="S303" s="674"/>
      <c r="T303" s="674"/>
      <c r="U303" s="674"/>
      <c r="V303" s="674"/>
      <c r="W303" s="674"/>
      <c r="X303" s="674"/>
      <c r="Y303" s="674"/>
      <c r="Z303" s="674"/>
      <c r="AA303" s="656"/>
      <c r="AB303" s="656"/>
      <c r="AC303" s="656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3"/>
      <c r="B305" s="674"/>
      <c r="C305" s="674"/>
      <c r="D305" s="674"/>
      <c r="E305" s="674"/>
      <c r="F305" s="674"/>
      <c r="G305" s="674"/>
      <c r="H305" s="674"/>
      <c r="I305" s="674"/>
      <c r="J305" s="674"/>
      <c r="K305" s="674"/>
      <c r="L305" s="674"/>
      <c r="M305" s="674"/>
      <c r="N305" s="674"/>
      <c r="O305" s="675"/>
      <c r="P305" s="683" t="s">
        <v>87</v>
      </c>
      <c r="Q305" s="684"/>
      <c r="R305" s="684"/>
      <c r="S305" s="684"/>
      <c r="T305" s="684"/>
      <c r="U305" s="684"/>
      <c r="V305" s="685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4"/>
      <c r="B306" s="674"/>
      <c r="C306" s="674"/>
      <c r="D306" s="674"/>
      <c r="E306" s="674"/>
      <c r="F306" s="674"/>
      <c r="G306" s="674"/>
      <c r="H306" s="674"/>
      <c r="I306" s="674"/>
      <c r="J306" s="674"/>
      <c r="K306" s="674"/>
      <c r="L306" s="674"/>
      <c r="M306" s="674"/>
      <c r="N306" s="674"/>
      <c r="O306" s="675"/>
      <c r="P306" s="683" t="s">
        <v>87</v>
      </c>
      <c r="Q306" s="684"/>
      <c r="R306" s="684"/>
      <c r="S306" s="684"/>
      <c r="T306" s="684"/>
      <c r="U306" s="684"/>
      <c r="V306" s="685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4"/>
      <c r="C307" s="674"/>
      <c r="D307" s="674"/>
      <c r="E307" s="674"/>
      <c r="F307" s="674"/>
      <c r="G307" s="674"/>
      <c r="H307" s="674"/>
      <c r="I307" s="674"/>
      <c r="J307" s="674"/>
      <c r="K307" s="674"/>
      <c r="L307" s="674"/>
      <c r="M307" s="674"/>
      <c r="N307" s="674"/>
      <c r="O307" s="674"/>
      <c r="P307" s="674"/>
      <c r="Q307" s="674"/>
      <c r="R307" s="674"/>
      <c r="S307" s="674"/>
      <c r="T307" s="674"/>
      <c r="U307" s="674"/>
      <c r="V307" s="674"/>
      <c r="W307" s="674"/>
      <c r="X307" s="674"/>
      <c r="Y307" s="674"/>
      <c r="Z307" s="674"/>
      <c r="AA307" s="656"/>
      <c r="AB307" s="656"/>
      <c r="AC307" s="656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2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3"/>
      <c r="B310" s="674"/>
      <c r="C310" s="674"/>
      <c r="D310" s="674"/>
      <c r="E310" s="674"/>
      <c r="F310" s="674"/>
      <c r="G310" s="674"/>
      <c r="H310" s="674"/>
      <c r="I310" s="674"/>
      <c r="J310" s="674"/>
      <c r="K310" s="674"/>
      <c r="L310" s="674"/>
      <c r="M310" s="674"/>
      <c r="N310" s="674"/>
      <c r="O310" s="675"/>
      <c r="P310" s="683" t="s">
        <v>87</v>
      </c>
      <c r="Q310" s="684"/>
      <c r="R310" s="684"/>
      <c r="S310" s="684"/>
      <c r="T310" s="684"/>
      <c r="U310" s="684"/>
      <c r="V310" s="685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4"/>
      <c r="B311" s="674"/>
      <c r="C311" s="674"/>
      <c r="D311" s="674"/>
      <c r="E311" s="674"/>
      <c r="F311" s="674"/>
      <c r="G311" s="674"/>
      <c r="H311" s="674"/>
      <c r="I311" s="674"/>
      <c r="J311" s="674"/>
      <c r="K311" s="674"/>
      <c r="L311" s="674"/>
      <c r="M311" s="674"/>
      <c r="N311" s="674"/>
      <c r="O311" s="675"/>
      <c r="P311" s="683" t="s">
        <v>87</v>
      </c>
      <c r="Q311" s="684"/>
      <c r="R311" s="684"/>
      <c r="S311" s="684"/>
      <c r="T311" s="684"/>
      <c r="U311" s="684"/>
      <c r="V311" s="685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4"/>
      <c r="C312" s="674"/>
      <c r="D312" s="674"/>
      <c r="E312" s="674"/>
      <c r="F312" s="674"/>
      <c r="G312" s="674"/>
      <c r="H312" s="674"/>
      <c r="I312" s="674"/>
      <c r="J312" s="674"/>
      <c r="K312" s="674"/>
      <c r="L312" s="674"/>
      <c r="M312" s="674"/>
      <c r="N312" s="674"/>
      <c r="O312" s="674"/>
      <c r="P312" s="674"/>
      <c r="Q312" s="674"/>
      <c r="R312" s="674"/>
      <c r="S312" s="674"/>
      <c r="T312" s="674"/>
      <c r="U312" s="674"/>
      <c r="V312" s="674"/>
      <c r="W312" s="674"/>
      <c r="X312" s="674"/>
      <c r="Y312" s="674"/>
      <c r="Z312" s="674"/>
      <c r="AA312" s="658"/>
      <c r="AB312" s="658"/>
      <c r="AC312" s="658"/>
    </row>
    <row r="313" spans="1:68" ht="14.25" customHeight="1" x14ac:dyDescent="0.25">
      <c r="A313" s="679" t="s">
        <v>97</v>
      </c>
      <c r="B313" s="674"/>
      <c r="C313" s="674"/>
      <c r="D313" s="674"/>
      <c r="E313" s="674"/>
      <c r="F313" s="674"/>
      <c r="G313" s="674"/>
      <c r="H313" s="674"/>
      <c r="I313" s="674"/>
      <c r="J313" s="674"/>
      <c r="K313" s="674"/>
      <c r="L313" s="674"/>
      <c r="M313" s="674"/>
      <c r="N313" s="674"/>
      <c r="O313" s="674"/>
      <c r="P313" s="674"/>
      <c r="Q313" s="674"/>
      <c r="R313" s="674"/>
      <c r="S313" s="674"/>
      <c r="T313" s="674"/>
      <c r="U313" s="674"/>
      <c r="V313" s="674"/>
      <c r="W313" s="674"/>
      <c r="X313" s="674"/>
      <c r="Y313" s="674"/>
      <c r="Z313" s="674"/>
      <c r="AA313" s="656"/>
      <c r="AB313" s="656"/>
      <c r="AC313" s="656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3"/>
      <c r="B315" s="674"/>
      <c r="C315" s="674"/>
      <c r="D315" s="674"/>
      <c r="E315" s="674"/>
      <c r="F315" s="674"/>
      <c r="G315" s="674"/>
      <c r="H315" s="674"/>
      <c r="I315" s="674"/>
      <c r="J315" s="674"/>
      <c r="K315" s="674"/>
      <c r="L315" s="674"/>
      <c r="M315" s="674"/>
      <c r="N315" s="674"/>
      <c r="O315" s="675"/>
      <c r="P315" s="683" t="s">
        <v>87</v>
      </c>
      <c r="Q315" s="684"/>
      <c r="R315" s="684"/>
      <c r="S315" s="684"/>
      <c r="T315" s="684"/>
      <c r="U315" s="684"/>
      <c r="V315" s="685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4"/>
      <c r="B316" s="674"/>
      <c r="C316" s="674"/>
      <c r="D316" s="674"/>
      <c r="E316" s="674"/>
      <c r="F316" s="674"/>
      <c r="G316" s="674"/>
      <c r="H316" s="674"/>
      <c r="I316" s="674"/>
      <c r="J316" s="674"/>
      <c r="K316" s="674"/>
      <c r="L316" s="674"/>
      <c r="M316" s="674"/>
      <c r="N316" s="674"/>
      <c r="O316" s="675"/>
      <c r="P316" s="683" t="s">
        <v>87</v>
      </c>
      <c r="Q316" s="684"/>
      <c r="R316" s="684"/>
      <c r="S316" s="684"/>
      <c r="T316" s="684"/>
      <c r="U316" s="684"/>
      <c r="V316" s="685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4"/>
      <c r="C317" s="674"/>
      <c r="D317" s="674"/>
      <c r="E317" s="674"/>
      <c r="F317" s="674"/>
      <c r="G317" s="674"/>
      <c r="H317" s="674"/>
      <c r="I317" s="674"/>
      <c r="J317" s="674"/>
      <c r="K317" s="674"/>
      <c r="L317" s="674"/>
      <c r="M317" s="674"/>
      <c r="N317" s="674"/>
      <c r="O317" s="674"/>
      <c r="P317" s="674"/>
      <c r="Q317" s="674"/>
      <c r="R317" s="674"/>
      <c r="S317" s="674"/>
      <c r="T317" s="674"/>
      <c r="U317" s="674"/>
      <c r="V317" s="674"/>
      <c r="W317" s="674"/>
      <c r="X317" s="674"/>
      <c r="Y317" s="674"/>
      <c r="Z317" s="674"/>
      <c r="AA317" s="658"/>
      <c r="AB317" s="658"/>
      <c r="AC317" s="658"/>
    </row>
    <row r="318" spans="1:68" ht="14.25" customHeight="1" x14ac:dyDescent="0.25">
      <c r="A318" s="679" t="s">
        <v>97</v>
      </c>
      <c r="B318" s="674"/>
      <c r="C318" s="674"/>
      <c r="D318" s="674"/>
      <c r="E318" s="674"/>
      <c r="F318" s="674"/>
      <c r="G318" s="674"/>
      <c r="H318" s="674"/>
      <c r="I318" s="674"/>
      <c r="J318" s="674"/>
      <c r="K318" s="674"/>
      <c r="L318" s="674"/>
      <c r="M318" s="674"/>
      <c r="N318" s="674"/>
      <c r="O318" s="674"/>
      <c r="P318" s="674"/>
      <c r="Q318" s="674"/>
      <c r="R318" s="674"/>
      <c r="S318" s="674"/>
      <c r="T318" s="674"/>
      <c r="U318" s="674"/>
      <c r="V318" s="674"/>
      <c r="W318" s="674"/>
      <c r="X318" s="674"/>
      <c r="Y318" s="674"/>
      <c r="Z318" s="674"/>
      <c r="AA318" s="656"/>
      <c r="AB318" s="656"/>
      <c r="AC318" s="656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3"/>
      <c r="B325" s="674"/>
      <c r="C325" s="674"/>
      <c r="D325" s="674"/>
      <c r="E325" s="674"/>
      <c r="F325" s="674"/>
      <c r="G325" s="674"/>
      <c r="H325" s="674"/>
      <c r="I325" s="674"/>
      <c r="J325" s="674"/>
      <c r="K325" s="674"/>
      <c r="L325" s="674"/>
      <c r="M325" s="674"/>
      <c r="N325" s="674"/>
      <c r="O325" s="675"/>
      <c r="P325" s="683" t="s">
        <v>87</v>
      </c>
      <c r="Q325" s="684"/>
      <c r="R325" s="684"/>
      <c r="S325" s="684"/>
      <c r="T325" s="684"/>
      <c r="U325" s="684"/>
      <c r="V325" s="685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4"/>
      <c r="B326" s="674"/>
      <c r="C326" s="674"/>
      <c r="D326" s="674"/>
      <c r="E326" s="674"/>
      <c r="F326" s="674"/>
      <c r="G326" s="674"/>
      <c r="H326" s="674"/>
      <c r="I326" s="674"/>
      <c r="J326" s="674"/>
      <c r="K326" s="674"/>
      <c r="L326" s="674"/>
      <c r="M326" s="674"/>
      <c r="N326" s="674"/>
      <c r="O326" s="675"/>
      <c r="P326" s="683" t="s">
        <v>87</v>
      </c>
      <c r="Q326" s="684"/>
      <c r="R326" s="684"/>
      <c r="S326" s="684"/>
      <c r="T326" s="684"/>
      <c r="U326" s="684"/>
      <c r="V326" s="685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4"/>
      <c r="C327" s="674"/>
      <c r="D327" s="674"/>
      <c r="E327" s="674"/>
      <c r="F327" s="674"/>
      <c r="G327" s="674"/>
      <c r="H327" s="674"/>
      <c r="I327" s="674"/>
      <c r="J327" s="674"/>
      <c r="K327" s="674"/>
      <c r="L327" s="674"/>
      <c r="M327" s="674"/>
      <c r="N327" s="674"/>
      <c r="O327" s="674"/>
      <c r="P327" s="674"/>
      <c r="Q327" s="674"/>
      <c r="R327" s="674"/>
      <c r="S327" s="674"/>
      <c r="T327" s="674"/>
      <c r="U327" s="674"/>
      <c r="V327" s="674"/>
      <c r="W327" s="674"/>
      <c r="X327" s="674"/>
      <c r="Y327" s="674"/>
      <c r="Z327" s="674"/>
      <c r="AA327" s="656"/>
      <c r="AB327" s="656"/>
      <c r="AC327" s="656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3"/>
      <c r="B332" s="674"/>
      <c r="C332" s="674"/>
      <c r="D332" s="674"/>
      <c r="E332" s="674"/>
      <c r="F332" s="674"/>
      <c r="G332" s="674"/>
      <c r="H332" s="674"/>
      <c r="I332" s="674"/>
      <c r="J332" s="674"/>
      <c r="K332" s="674"/>
      <c r="L332" s="674"/>
      <c r="M332" s="674"/>
      <c r="N332" s="674"/>
      <c r="O332" s="675"/>
      <c r="P332" s="683" t="s">
        <v>87</v>
      </c>
      <c r="Q332" s="684"/>
      <c r="R332" s="684"/>
      <c r="S332" s="684"/>
      <c r="T332" s="684"/>
      <c r="U332" s="684"/>
      <c r="V332" s="685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4"/>
      <c r="B333" s="674"/>
      <c r="C333" s="674"/>
      <c r="D333" s="674"/>
      <c r="E333" s="674"/>
      <c r="F333" s="674"/>
      <c r="G333" s="674"/>
      <c r="H333" s="674"/>
      <c r="I333" s="674"/>
      <c r="J333" s="674"/>
      <c r="K333" s="674"/>
      <c r="L333" s="674"/>
      <c r="M333" s="674"/>
      <c r="N333" s="674"/>
      <c r="O333" s="675"/>
      <c r="P333" s="683" t="s">
        <v>87</v>
      </c>
      <c r="Q333" s="684"/>
      <c r="R333" s="684"/>
      <c r="S333" s="684"/>
      <c r="T333" s="684"/>
      <c r="U333" s="684"/>
      <c r="V333" s="685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4"/>
      <c r="C334" s="674"/>
      <c r="D334" s="674"/>
      <c r="E334" s="674"/>
      <c r="F334" s="674"/>
      <c r="G334" s="674"/>
      <c r="H334" s="674"/>
      <c r="I334" s="674"/>
      <c r="J334" s="674"/>
      <c r="K334" s="674"/>
      <c r="L334" s="674"/>
      <c r="M334" s="674"/>
      <c r="N334" s="674"/>
      <c r="O334" s="674"/>
      <c r="P334" s="674"/>
      <c r="Q334" s="674"/>
      <c r="R334" s="674"/>
      <c r="S334" s="674"/>
      <c r="T334" s="674"/>
      <c r="U334" s="674"/>
      <c r="V334" s="674"/>
      <c r="W334" s="674"/>
      <c r="X334" s="674"/>
      <c r="Y334" s="674"/>
      <c r="Z334" s="674"/>
      <c r="AA334" s="656"/>
      <c r="AB334" s="656"/>
      <c r="AC334" s="656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3"/>
      <c r="B340" s="674"/>
      <c r="C340" s="674"/>
      <c r="D340" s="674"/>
      <c r="E340" s="674"/>
      <c r="F340" s="674"/>
      <c r="G340" s="674"/>
      <c r="H340" s="674"/>
      <c r="I340" s="674"/>
      <c r="J340" s="674"/>
      <c r="K340" s="674"/>
      <c r="L340" s="674"/>
      <c r="M340" s="674"/>
      <c r="N340" s="674"/>
      <c r="O340" s="675"/>
      <c r="P340" s="683" t="s">
        <v>87</v>
      </c>
      <c r="Q340" s="684"/>
      <c r="R340" s="684"/>
      <c r="S340" s="684"/>
      <c r="T340" s="684"/>
      <c r="U340" s="684"/>
      <c r="V340" s="685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4"/>
      <c r="B341" s="674"/>
      <c r="C341" s="674"/>
      <c r="D341" s="674"/>
      <c r="E341" s="674"/>
      <c r="F341" s="674"/>
      <c r="G341" s="674"/>
      <c r="H341" s="674"/>
      <c r="I341" s="674"/>
      <c r="J341" s="674"/>
      <c r="K341" s="674"/>
      <c r="L341" s="674"/>
      <c r="M341" s="674"/>
      <c r="N341" s="674"/>
      <c r="O341" s="675"/>
      <c r="P341" s="683" t="s">
        <v>87</v>
      </c>
      <c r="Q341" s="684"/>
      <c r="R341" s="684"/>
      <c r="S341" s="684"/>
      <c r="T341" s="684"/>
      <c r="U341" s="684"/>
      <c r="V341" s="685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4"/>
      <c r="C342" s="674"/>
      <c r="D342" s="674"/>
      <c r="E342" s="674"/>
      <c r="F342" s="674"/>
      <c r="G342" s="674"/>
      <c r="H342" s="674"/>
      <c r="I342" s="674"/>
      <c r="J342" s="674"/>
      <c r="K342" s="674"/>
      <c r="L342" s="674"/>
      <c r="M342" s="674"/>
      <c r="N342" s="674"/>
      <c r="O342" s="674"/>
      <c r="P342" s="674"/>
      <c r="Q342" s="674"/>
      <c r="R342" s="674"/>
      <c r="S342" s="674"/>
      <c r="T342" s="674"/>
      <c r="U342" s="674"/>
      <c r="V342" s="674"/>
      <c r="W342" s="674"/>
      <c r="X342" s="674"/>
      <c r="Y342" s="674"/>
      <c r="Z342" s="674"/>
      <c r="AA342" s="656"/>
      <c r="AB342" s="656"/>
      <c r="AC342" s="656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3"/>
      <c r="B346" s="674"/>
      <c r="C346" s="674"/>
      <c r="D346" s="674"/>
      <c r="E346" s="674"/>
      <c r="F346" s="674"/>
      <c r="G346" s="674"/>
      <c r="H346" s="674"/>
      <c r="I346" s="674"/>
      <c r="J346" s="674"/>
      <c r="K346" s="674"/>
      <c r="L346" s="674"/>
      <c r="M346" s="674"/>
      <c r="N346" s="674"/>
      <c r="O346" s="675"/>
      <c r="P346" s="683" t="s">
        <v>87</v>
      </c>
      <c r="Q346" s="684"/>
      <c r="R346" s="684"/>
      <c r="S346" s="684"/>
      <c r="T346" s="684"/>
      <c r="U346" s="684"/>
      <c r="V346" s="685"/>
      <c r="W346" s="37" t="s">
        <v>88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x14ac:dyDescent="0.2">
      <c r="A347" s="674"/>
      <c r="B347" s="674"/>
      <c r="C347" s="674"/>
      <c r="D347" s="674"/>
      <c r="E347" s="674"/>
      <c r="F347" s="674"/>
      <c r="G347" s="674"/>
      <c r="H347" s="674"/>
      <c r="I347" s="674"/>
      <c r="J347" s="674"/>
      <c r="K347" s="674"/>
      <c r="L347" s="674"/>
      <c r="M347" s="674"/>
      <c r="N347" s="674"/>
      <c r="O347" s="675"/>
      <c r="P347" s="683" t="s">
        <v>87</v>
      </c>
      <c r="Q347" s="684"/>
      <c r="R347" s="684"/>
      <c r="S347" s="684"/>
      <c r="T347" s="684"/>
      <c r="U347" s="684"/>
      <c r="V347" s="685"/>
      <c r="W347" s="37" t="s">
        <v>68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4"/>
      <c r="C348" s="674"/>
      <c r="D348" s="674"/>
      <c r="E348" s="674"/>
      <c r="F348" s="674"/>
      <c r="G348" s="674"/>
      <c r="H348" s="674"/>
      <c r="I348" s="674"/>
      <c r="J348" s="674"/>
      <c r="K348" s="674"/>
      <c r="L348" s="674"/>
      <c r="M348" s="674"/>
      <c r="N348" s="674"/>
      <c r="O348" s="674"/>
      <c r="P348" s="674"/>
      <c r="Q348" s="674"/>
      <c r="R348" s="674"/>
      <c r="S348" s="674"/>
      <c r="T348" s="674"/>
      <c r="U348" s="674"/>
      <c r="V348" s="674"/>
      <c r="W348" s="674"/>
      <c r="X348" s="674"/>
      <c r="Y348" s="674"/>
      <c r="Z348" s="674"/>
      <c r="AA348" s="656"/>
      <c r="AB348" s="656"/>
      <c r="AC348" s="656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3"/>
      <c r="B353" s="674"/>
      <c r="C353" s="674"/>
      <c r="D353" s="674"/>
      <c r="E353" s="674"/>
      <c r="F353" s="674"/>
      <c r="G353" s="674"/>
      <c r="H353" s="674"/>
      <c r="I353" s="674"/>
      <c r="J353" s="674"/>
      <c r="K353" s="674"/>
      <c r="L353" s="674"/>
      <c r="M353" s="674"/>
      <c r="N353" s="674"/>
      <c r="O353" s="675"/>
      <c r="P353" s="683" t="s">
        <v>87</v>
      </c>
      <c r="Q353" s="684"/>
      <c r="R353" s="684"/>
      <c r="S353" s="684"/>
      <c r="T353" s="684"/>
      <c r="U353" s="684"/>
      <c r="V353" s="685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4"/>
      <c r="B354" s="674"/>
      <c r="C354" s="674"/>
      <c r="D354" s="674"/>
      <c r="E354" s="674"/>
      <c r="F354" s="674"/>
      <c r="G354" s="674"/>
      <c r="H354" s="674"/>
      <c r="I354" s="674"/>
      <c r="J354" s="674"/>
      <c r="K354" s="674"/>
      <c r="L354" s="674"/>
      <c r="M354" s="674"/>
      <c r="N354" s="674"/>
      <c r="O354" s="675"/>
      <c r="P354" s="683" t="s">
        <v>87</v>
      </c>
      <c r="Q354" s="684"/>
      <c r="R354" s="684"/>
      <c r="S354" s="684"/>
      <c r="T354" s="684"/>
      <c r="U354" s="684"/>
      <c r="V354" s="685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4"/>
      <c r="C355" s="674"/>
      <c r="D355" s="674"/>
      <c r="E355" s="674"/>
      <c r="F355" s="674"/>
      <c r="G355" s="674"/>
      <c r="H355" s="674"/>
      <c r="I355" s="674"/>
      <c r="J355" s="674"/>
      <c r="K355" s="674"/>
      <c r="L355" s="674"/>
      <c r="M355" s="674"/>
      <c r="N355" s="674"/>
      <c r="O355" s="674"/>
      <c r="P355" s="674"/>
      <c r="Q355" s="674"/>
      <c r="R355" s="674"/>
      <c r="S355" s="674"/>
      <c r="T355" s="674"/>
      <c r="U355" s="674"/>
      <c r="V355" s="674"/>
      <c r="W355" s="674"/>
      <c r="X355" s="674"/>
      <c r="Y355" s="674"/>
      <c r="Z355" s="674"/>
      <c r="AA355" s="656"/>
      <c r="AB355" s="656"/>
      <c r="AC355" s="656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3"/>
      <c r="B359" s="674"/>
      <c r="C359" s="674"/>
      <c r="D359" s="674"/>
      <c r="E359" s="674"/>
      <c r="F359" s="674"/>
      <c r="G359" s="674"/>
      <c r="H359" s="674"/>
      <c r="I359" s="674"/>
      <c r="J359" s="674"/>
      <c r="K359" s="674"/>
      <c r="L359" s="674"/>
      <c r="M359" s="674"/>
      <c r="N359" s="674"/>
      <c r="O359" s="675"/>
      <c r="P359" s="683" t="s">
        <v>87</v>
      </c>
      <c r="Q359" s="684"/>
      <c r="R359" s="684"/>
      <c r="S359" s="684"/>
      <c r="T359" s="684"/>
      <c r="U359" s="684"/>
      <c r="V359" s="685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4"/>
      <c r="B360" s="674"/>
      <c r="C360" s="674"/>
      <c r="D360" s="674"/>
      <c r="E360" s="674"/>
      <c r="F360" s="674"/>
      <c r="G360" s="674"/>
      <c r="H360" s="674"/>
      <c r="I360" s="674"/>
      <c r="J360" s="674"/>
      <c r="K360" s="674"/>
      <c r="L360" s="674"/>
      <c r="M360" s="674"/>
      <c r="N360" s="674"/>
      <c r="O360" s="675"/>
      <c r="P360" s="683" t="s">
        <v>87</v>
      </c>
      <c r="Q360" s="684"/>
      <c r="R360" s="684"/>
      <c r="S360" s="684"/>
      <c r="T360" s="684"/>
      <c r="U360" s="684"/>
      <c r="V360" s="685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4"/>
      <c r="C361" s="674"/>
      <c r="D361" s="674"/>
      <c r="E361" s="674"/>
      <c r="F361" s="674"/>
      <c r="G361" s="674"/>
      <c r="H361" s="674"/>
      <c r="I361" s="674"/>
      <c r="J361" s="674"/>
      <c r="K361" s="674"/>
      <c r="L361" s="674"/>
      <c r="M361" s="674"/>
      <c r="N361" s="674"/>
      <c r="O361" s="674"/>
      <c r="P361" s="674"/>
      <c r="Q361" s="674"/>
      <c r="R361" s="674"/>
      <c r="S361" s="674"/>
      <c r="T361" s="674"/>
      <c r="U361" s="674"/>
      <c r="V361" s="674"/>
      <c r="W361" s="674"/>
      <c r="X361" s="674"/>
      <c r="Y361" s="674"/>
      <c r="Z361" s="674"/>
      <c r="AA361" s="658"/>
      <c r="AB361" s="658"/>
      <c r="AC361" s="658"/>
    </row>
    <row r="362" spans="1:68" ht="14.25" customHeight="1" x14ac:dyDescent="0.25">
      <c r="A362" s="679" t="s">
        <v>144</v>
      </c>
      <c r="B362" s="674"/>
      <c r="C362" s="674"/>
      <c r="D362" s="674"/>
      <c r="E362" s="674"/>
      <c r="F362" s="674"/>
      <c r="G362" s="674"/>
      <c r="H362" s="674"/>
      <c r="I362" s="674"/>
      <c r="J362" s="674"/>
      <c r="K362" s="674"/>
      <c r="L362" s="674"/>
      <c r="M362" s="674"/>
      <c r="N362" s="674"/>
      <c r="O362" s="674"/>
      <c r="P362" s="674"/>
      <c r="Q362" s="674"/>
      <c r="R362" s="674"/>
      <c r="S362" s="674"/>
      <c r="T362" s="674"/>
      <c r="U362" s="674"/>
      <c r="V362" s="674"/>
      <c r="W362" s="674"/>
      <c r="X362" s="674"/>
      <c r="Y362" s="674"/>
      <c r="Z362" s="674"/>
      <c r="AA362" s="656"/>
      <c r="AB362" s="656"/>
      <c r="AC362" s="656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5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3"/>
      <c r="B364" s="674"/>
      <c r="C364" s="674"/>
      <c r="D364" s="674"/>
      <c r="E364" s="674"/>
      <c r="F364" s="674"/>
      <c r="G364" s="674"/>
      <c r="H364" s="674"/>
      <c r="I364" s="674"/>
      <c r="J364" s="674"/>
      <c r="K364" s="674"/>
      <c r="L364" s="674"/>
      <c r="M364" s="674"/>
      <c r="N364" s="674"/>
      <c r="O364" s="675"/>
      <c r="P364" s="683" t="s">
        <v>87</v>
      </c>
      <c r="Q364" s="684"/>
      <c r="R364" s="684"/>
      <c r="S364" s="684"/>
      <c r="T364" s="684"/>
      <c r="U364" s="684"/>
      <c r="V364" s="685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4"/>
      <c r="B365" s="674"/>
      <c r="C365" s="674"/>
      <c r="D365" s="674"/>
      <c r="E365" s="674"/>
      <c r="F365" s="674"/>
      <c r="G365" s="674"/>
      <c r="H365" s="674"/>
      <c r="I365" s="674"/>
      <c r="J365" s="674"/>
      <c r="K365" s="674"/>
      <c r="L365" s="674"/>
      <c r="M365" s="674"/>
      <c r="N365" s="674"/>
      <c r="O365" s="675"/>
      <c r="P365" s="683" t="s">
        <v>87</v>
      </c>
      <c r="Q365" s="684"/>
      <c r="R365" s="684"/>
      <c r="S365" s="684"/>
      <c r="T365" s="684"/>
      <c r="U365" s="684"/>
      <c r="V365" s="685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4"/>
      <c r="C366" s="674"/>
      <c r="D366" s="674"/>
      <c r="E366" s="674"/>
      <c r="F366" s="674"/>
      <c r="G366" s="674"/>
      <c r="H366" s="674"/>
      <c r="I366" s="674"/>
      <c r="J366" s="674"/>
      <c r="K366" s="674"/>
      <c r="L366" s="674"/>
      <c r="M366" s="674"/>
      <c r="N366" s="674"/>
      <c r="O366" s="674"/>
      <c r="P366" s="674"/>
      <c r="Q366" s="674"/>
      <c r="R366" s="674"/>
      <c r="S366" s="674"/>
      <c r="T366" s="674"/>
      <c r="U366" s="674"/>
      <c r="V366" s="674"/>
      <c r="W366" s="674"/>
      <c r="X366" s="674"/>
      <c r="Y366" s="674"/>
      <c r="Z366" s="674"/>
      <c r="AA366" s="656"/>
      <c r="AB366" s="656"/>
      <c r="AC366" s="656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3"/>
      <c r="B370" s="674"/>
      <c r="C370" s="674"/>
      <c r="D370" s="674"/>
      <c r="E370" s="674"/>
      <c r="F370" s="674"/>
      <c r="G370" s="674"/>
      <c r="H370" s="674"/>
      <c r="I370" s="674"/>
      <c r="J370" s="674"/>
      <c r="K370" s="674"/>
      <c r="L370" s="674"/>
      <c r="M370" s="674"/>
      <c r="N370" s="674"/>
      <c r="O370" s="675"/>
      <c r="P370" s="683" t="s">
        <v>87</v>
      </c>
      <c r="Q370" s="684"/>
      <c r="R370" s="684"/>
      <c r="S370" s="684"/>
      <c r="T370" s="684"/>
      <c r="U370" s="684"/>
      <c r="V370" s="685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4"/>
      <c r="B371" s="674"/>
      <c r="C371" s="674"/>
      <c r="D371" s="674"/>
      <c r="E371" s="674"/>
      <c r="F371" s="674"/>
      <c r="G371" s="674"/>
      <c r="H371" s="674"/>
      <c r="I371" s="674"/>
      <c r="J371" s="674"/>
      <c r="K371" s="674"/>
      <c r="L371" s="674"/>
      <c r="M371" s="674"/>
      <c r="N371" s="674"/>
      <c r="O371" s="675"/>
      <c r="P371" s="683" t="s">
        <v>87</v>
      </c>
      <c r="Q371" s="684"/>
      <c r="R371" s="684"/>
      <c r="S371" s="684"/>
      <c r="T371" s="684"/>
      <c r="U371" s="684"/>
      <c r="V371" s="685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4"/>
      <c r="C373" s="674"/>
      <c r="D373" s="674"/>
      <c r="E373" s="674"/>
      <c r="F373" s="674"/>
      <c r="G373" s="674"/>
      <c r="H373" s="674"/>
      <c r="I373" s="674"/>
      <c r="J373" s="674"/>
      <c r="K373" s="674"/>
      <c r="L373" s="674"/>
      <c r="M373" s="674"/>
      <c r="N373" s="674"/>
      <c r="O373" s="674"/>
      <c r="P373" s="674"/>
      <c r="Q373" s="674"/>
      <c r="R373" s="674"/>
      <c r="S373" s="674"/>
      <c r="T373" s="674"/>
      <c r="U373" s="674"/>
      <c r="V373" s="674"/>
      <c r="W373" s="674"/>
      <c r="X373" s="674"/>
      <c r="Y373" s="674"/>
      <c r="Z373" s="674"/>
      <c r="AA373" s="658"/>
      <c r="AB373" s="658"/>
      <c r="AC373" s="658"/>
    </row>
    <row r="374" spans="1:68" ht="14.25" customHeight="1" x14ac:dyDescent="0.25">
      <c r="A374" s="679" t="s">
        <v>97</v>
      </c>
      <c r="B374" s="674"/>
      <c r="C374" s="674"/>
      <c r="D374" s="674"/>
      <c r="E374" s="674"/>
      <c r="F374" s="674"/>
      <c r="G374" s="674"/>
      <c r="H374" s="674"/>
      <c r="I374" s="674"/>
      <c r="J374" s="674"/>
      <c r="K374" s="674"/>
      <c r="L374" s="674"/>
      <c r="M374" s="674"/>
      <c r="N374" s="674"/>
      <c r="O374" s="674"/>
      <c r="P374" s="674"/>
      <c r="Q374" s="674"/>
      <c r="R374" s="674"/>
      <c r="S374" s="674"/>
      <c r="T374" s="674"/>
      <c r="U374" s="674"/>
      <c r="V374" s="674"/>
      <c r="W374" s="674"/>
      <c r="X374" s="674"/>
      <c r="Y374" s="674"/>
      <c r="Z374" s="674"/>
      <c r="AA374" s="656"/>
      <c r="AB374" s="656"/>
      <c r="AC374" s="656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200</v>
      </c>
      <c r="Y375" s="664">
        <f t="shared" ref="Y375:Y384" si="58">IFERROR(IF(X375="",0,CEILING((X375/$H375),1)*$H375),"")</f>
        <v>210</v>
      </c>
      <c r="Z375" s="36">
        <f>IFERROR(IF(Y375=0,"",ROUNDUP(Y375/H375,0)*0.02175),"")</f>
        <v>0.30449999999999999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206.4</v>
      </c>
      <c r="BN375" s="64">
        <f t="shared" ref="BN375:BN384" si="60">IFERROR(Y375*I375/H375,"0")</f>
        <v>216.72</v>
      </c>
      <c r="BO375" s="64">
        <f t="shared" ref="BO375:BO384" si="61">IFERROR(1/J375*(X375/H375),"0")</f>
        <v>0.27777777777777779</v>
      </c>
      <c r="BP375" s="64">
        <f t="shared" ref="BP375:BP384" si="62">IFERROR(1/J375*(Y375/H375),"0")</f>
        <v>0.29166666666666663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80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7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100</v>
      </c>
      <c r="Y377" s="664">
        <f t="shared" si="58"/>
        <v>105</v>
      </c>
      <c r="Z377" s="36">
        <f>IFERROR(IF(Y377=0,"",ROUNDUP(Y377/H377,0)*0.02175),"")</f>
        <v>0.15225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103.2</v>
      </c>
      <c r="BN377" s="64">
        <f t="shared" si="60"/>
        <v>108.36</v>
      </c>
      <c r="BO377" s="64">
        <f t="shared" si="61"/>
        <v>0.1388888888888889</v>
      </c>
      <c r="BP377" s="64">
        <f t="shared" si="62"/>
        <v>0.14583333333333331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500</v>
      </c>
      <c r="Y379" s="664">
        <f t="shared" si="58"/>
        <v>510</v>
      </c>
      <c r="Z379" s="36">
        <f>IFERROR(IF(Y379=0,"",ROUNDUP(Y379/H379,0)*0.02175),"")</f>
        <v>0.73949999999999994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516</v>
      </c>
      <c r="BN379" s="64">
        <f t="shared" si="60"/>
        <v>526.32000000000005</v>
      </c>
      <c r="BO379" s="64">
        <f t="shared" si="61"/>
        <v>0.69444444444444442</v>
      </c>
      <c r="BP379" s="64">
        <f t="shared" si="62"/>
        <v>0.70833333333333326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3"/>
      <c r="B385" s="674"/>
      <c r="C385" s="674"/>
      <c r="D385" s="674"/>
      <c r="E385" s="674"/>
      <c r="F385" s="674"/>
      <c r="G385" s="674"/>
      <c r="H385" s="674"/>
      <c r="I385" s="674"/>
      <c r="J385" s="674"/>
      <c r="K385" s="674"/>
      <c r="L385" s="674"/>
      <c r="M385" s="674"/>
      <c r="N385" s="674"/>
      <c r="O385" s="675"/>
      <c r="P385" s="683" t="s">
        <v>87</v>
      </c>
      <c r="Q385" s="684"/>
      <c r="R385" s="684"/>
      <c r="S385" s="684"/>
      <c r="T385" s="684"/>
      <c r="U385" s="684"/>
      <c r="V385" s="685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53.333333333333336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55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1.19625</v>
      </c>
      <c r="AA385" s="666"/>
      <c r="AB385" s="666"/>
      <c r="AC385" s="666"/>
    </row>
    <row r="386" spans="1:68" x14ac:dyDescent="0.2">
      <c r="A386" s="674"/>
      <c r="B386" s="674"/>
      <c r="C386" s="674"/>
      <c r="D386" s="674"/>
      <c r="E386" s="674"/>
      <c r="F386" s="674"/>
      <c r="G386" s="674"/>
      <c r="H386" s="674"/>
      <c r="I386" s="674"/>
      <c r="J386" s="674"/>
      <c r="K386" s="674"/>
      <c r="L386" s="674"/>
      <c r="M386" s="674"/>
      <c r="N386" s="674"/>
      <c r="O386" s="675"/>
      <c r="P386" s="683" t="s">
        <v>87</v>
      </c>
      <c r="Q386" s="684"/>
      <c r="R386" s="684"/>
      <c r="S386" s="684"/>
      <c r="T386" s="684"/>
      <c r="U386" s="684"/>
      <c r="V386" s="685"/>
      <c r="W386" s="37" t="s">
        <v>68</v>
      </c>
      <c r="X386" s="665">
        <f>IFERROR(SUM(X375:X384),"0")</f>
        <v>800</v>
      </c>
      <c r="Y386" s="665">
        <f>IFERROR(SUM(Y375:Y384),"0")</f>
        <v>825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4"/>
      <c r="C387" s="674"/>
      <c r="D387" s="674"/>
      <c r="E387" s="674"/>
      <c r="F387" s="674"/>
      <c r="G387" s="674"/>
      <c r="H387" s="674"/>
      <c r="I387" s="674"/>
      <c r="J387" s="674"/>
      <c r="K387" s="674"/>
      <c r="L387" s="674"/>
      <c r="M387" s="674"/>
      <c r="N387" s="674"/>
      <c r="O387" s="674"/>
      <c r="P387" s="674"/>
      <c r="Q387" s="674"/>
      <c r="R387" s="674"/>
      <c r="S387" s="674"/>
      <c r="T387" s="674"/>
      <c r="U387" s="674"/>
      <c r="V387" s="674"/>
      <c r="W387" s="674"/>
      <c r="X387" s="674"/>
      <c r="Y387" s="674"/>
      <c r="Z387" s="674"/>
      <c r="AA387" s="656"/>
      <c r="AB387" s="656"/>
      <c r="AC387" s="656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3"/>
      <c r="B390" s="674"/>
      <c r="C390" s="674"/>
      <c r="D390" s="674"/>
      <c r="E390" s="674"/>
      <c r="F390" s="674"/>
      <c r="G390" s="674"/>
      <c r="H390" s="674"/>
      <c r="I390" s="674"/>
      <c r="J390" s="674"/>
      <c r="K390" s="674"/>
      <c r="L390" s="674"/>
      <c r="M390" s="674"/>
      <c r="N390" s="674"/>
      <c r="O390" s="675"/>
      <c r="P390" s="683" t="s">
        <v>87</v>
      </c>
      <c r="Q390" s="684"/>
      <c r="R390" s="684"/>
      <c r="S390" s="684"/>
      <c r="T390" s="684"/>
      <c r="U390" s="684"/>
      <c r="V390" s="685"/>
      <c r="W390" s="37" t="s">
        <v>88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x14ac:dyDescent="0.2">
      <c r="A391" s="674"/>
      <c r="B391" s="674"/>
      <c r="C391" s="674"/>
      <c r="D391" s="674"/>
      <c r="E391" s="674"/>
      <c r="F391" s="674"/>
      <c r="G391" s="674"/>
      <c r="H391" s="674"/>
      <c r="I391" s="674"/>
      <c r="J391" s="674"/>
      <c r="K391" s="674"/>
      <c r="L391" s="674"/>
      <c r="M391" s="674"/>
      <c r="N391" s="674"/>
      <c r="O391" s="675"/>
      <c r="P391" s="683" t="s">
        <v>87</v>
      </c>
      <c r="Q391" s="684"/>
      <c r="R391" s="684"/>
      <c r="S391" s="684"/>
      <c r="T391" s="684"/>
      <c r="U391" s="684"/>
      <c r="V391" s="685"/>
      <c r="W391" s="37" t="s">
        <v>68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4"/>
      <c r="C392" s="674"/>
      <c r="D392" s="674"/>
      <c r="E392" s="674"/>
      <c r="F392" s="674"/>
      <c r="G392" s="674"/>
      <c r="H392" s="674"/>
      <c r="I392" s="674"/>
      <c r="J392" s="674"/>
      <c r="K392" s="674"/>
      <c r="L392" s="674"/>
      <c r="M392" s="674"/>
      <c r="N392" s="674"/>
      <c r="O392" s="674"/>
      <c r="P392" s="674"/>
      <c r="Q392" s="674"/>
      <c r="R392" s="674"/>
      <c r="S392" s="674"/>
      <c r="T392" s="674"/>
      <c r="U392" s="674"/>
      <c r="V392" s="674"/>
      <c r="W392" s="674"/>
      <c r="X392" s="674"/>
      <c r="Y392" s="674"/>
      <c r="Z392" s="674"/>
      <c r="AA392" s="656"/>
      <c r="AB392" s="656"/>
      <c r="AC392" s="656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0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3"/>
      <c r="B395" s="674"/>
      <c r="C395" s="674"/>
      <c r="D395" s="674"/>
      <c r="E395" s="674"/>
      <c r="F395" s="674"/>
      <c r="G395" s="674"/>
      <c r="H395" s="674"/>
      <c r="I395" s="674"/>
      <c r="J395" s="674"/>
      <c r="K395" s="674"/>
      <c r="L395" s="674"/>
      <c r="M395" s="674"/>
      <c r="N395" s="674"/>
      <c r="O395" s="675"/>
      <c r="P395" s="683" t="s">
        <v>87</v>
      </c>
      <c r="Q395" s="684"/>
      <c r="R395" s="684"/>
      <c r="S395" s="684"/>
      <c r="T395" s="684"/>
      <c r="U395" s="684"/>
      <c r="V395" s="685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4"/>
      <c r="B396" s="674"/>
      <c r="C396" s="674"/>
      <c r="D396" s="674"/>
      <c r="E396" s="674"/>
      <c r="F396" s="674"/>
      <c r="G396" s="674"/>
      <c r="H396" s="674"/>
      <c r="I396" s="674"/>
      <c r="J396" s="674"/>
      <c r="K396" s="674"/>
      <c r="L396" s="674"/>
      <c r="M396" s="674"/>
      <c r="N396" s="674"/>
      <c r="O396" s="675"/>
      <c r="P396" s="683" t="s">
        <v>87</v>
      </c>
      <c r="Q396" s="684"/>
      <c r="R396" s="684"/>
      <c r="S396" s="684"/>
      <c r="T396" s="684"/>
      <c r="U396" s="684"/>
      <c r="V396" s="685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4"/>
      <c r="C397" s="674"/>
      <c r="D397" s="674"/>
      <c r="E397" s="674"/>
      <c r="F397" s="674"/>
      <c r="G397" s="674"/>
      <c r="H397" s="674"/>
      <c r="I397" s="674"/>
      <c r="J397" s="674"/>
      <c r="K397" s="674"/>
      <c r="L397" s="674"/>
      <c r="M397" s="674"/>
      <c r="N397" s="674"/>
      <c r="O397" s="674"/>
      <c r="P397" s="674"/>
      <c r="Q397" s="674"/>
      <c r="R397" s="674"/>
      <c r="S397" s="674"/>
      <c r="T397" s="674"/>
      <c r="U397" s="674"/>
      <c r="V397" s="674"/>
      <c r="W397" s="674"/>
      <c r="X397" s="674"/>
      <c r="Y397" s="674"/>
      <c r="Z397" s="674"/>
      <c r="AA397" s="656"/>
      <c r="AB397" s="656"/>
      <c r="AC397" s="656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8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3"/>
      <c r="B399" s="674"/>
      <c r="C399" s="674"/>
      <c r="D399" s="674"/>
      <c r="E399" s="674"/>
      <c r="F399" s="674"/>
      <c r="G399" s="674"/>
      <c r="H399" s="674"/>
      <c r="I399" s="674"/>
      <c r="J399" s="674"/>
      <c r="K399" s="674"/>
      <c r="L399" s="674"/>
      <c r="M399" s="674"/>
      <c r="N399" s="674"/>
      <c r="O399" s="675"/>
      <c r="P399" s="683" t="s">
        <v>87</v>
      </c>
      <c r="Q399" s="684"/>
      <c r="R399" s="684"/>
      <c r="S399" s="684"/>
      <c r="T399" s="684"/>
      <c r="U399" s="684"/>
      <c r="V399" s="685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4"/>
      <c r="B400" s="674"/>
      <c r="C400" s="674"/>
      <c r="D400" s="674"/>
      <c r="E400" s="674"/>
      <c r="F400" s="674"/>
      <c r="G400" s="674"/>
      <c r="H400" s="674"/>
      <c r="I400" s="674"/>
      <c r="J400" s="674"/>
      <c r="K400" s="674"/>
      <c r="L400" s="674"/>
      <c r="M400" s="674"/>
      <c r="N400" s="674"/>
      <c r="O400" s="675"/>
      <c r="P400" s="683" t="s">
        <v>87</v>
      </c>
      <c r="Q400" s="684"/>
      <c r="R400" s="684"/>
      <c r="S400" s="684"/>
      <c r="T400" s="684"/>
      <c r="U400" s="684"/>
      <c r="V400" s="685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4"/>
      <c r="C401" s="674"/>
      <c r="D401" s="674"/>
      <c r="E401" s="674"/>
      <c r="F401" s="674"/>
      <c r="G401" s="674"/>
      <c r="H401" s="674"/>
      <c r="I401" s="674"/>
      <c r="J401" s="674"/>
      <c r="K401" s="674"/>
      <c r="L401" s="674"/>
      <c r="M401" s="674"/>
      <c r="N401" s="674"/>
      <c r="O401" s="674"/>
      <c r="P401" s="674"/>
      <c r="Q401" s="674"/>
      <c r="R401" s="674"/>
      <c r="S401" s="674"/>
      <c r="T401" s="674"/>
      <c r="U401" s="674"/>
      <c r="V401" s="674"/>
      <c r="W401" s="674"/>
      <c r="X401" s="674"/>
      <c r="Y401" s="674"/>
      <c r="Z401" s="674"/>
      <c r="AA401" s="658"/>
      <c r="AB401" s="658"/>
      <c r="AC401" s="658"/>
    </row>
    <row r="402" spans="1:68" ht="14.25" customHeight="1" x14ac:dyDescent="0.25">
      <c r="A402" s="679" t="s">
        <v>97</v>
      </c>
      <c r="B402" s="674"/>
      <c r="C402" s="674"/>
      <c r="D402" s="674"/>
      <c r="E402" s="674"/>
      <c r="F402" s="674"/>
      <c r="G402" s="674"/>
      <c r="H402" s="674"/>
      <c r="I402" s="674"/>
      <c r="J402" s="674"/>
      <c r="K402" s="674"/>
      <c r="L402" s="674"/>
      <c r="M402" s="674"/>
      <c r="N402" s="674"/>
      <c r="O402" s="674"/>
      <c r="P402" s="674"/>
      <c r="Q402" s="674"/>
      <c r="R402" s="674"/>
      <c r="S402" s="674"/>
      <c r="T402" s="674"/>
      <c r="U402" s="674"/>
      <c r="V402" s="674"/>
      <c r="W402" s="674"/>
      <c r="X402" s="674"/>
      <c r="Y402" s="674"/>
      <c r="Z402" s="674"/>
      <c r="AA402" s="656"/>
      <c r="AB402" s="656"/>
      <c r="AC402" s="656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8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3"/>
      <c r="B408" s="674"/>
      <c r="C408" s="674"/>
      <c r="D408" s="674"/>
      <c r="E408" s="674"/>
      <c r="F408" s="674"/>
      <c r="G408" s="674"/>
      <c r="H408" s="674"/>
      <c r="I408" s="674"/>
      <c r="J408" s="674"/>
      <c r="K408" s="674"/>
      <c r="L408" s="674"/>
      <c r="M408" s="674"/>
      <c r="N408" s="674"/>
      <c r="O408" s="675"/>
      <c r="P408" s="683" t="s">
        <v>87</v>
      </c>
      <c r="Q408" s="684"/>
      <c r="R408" s="684"/>
      <c r="S408" s="684"/>
      <c r="T408" s="684"/>
      <c r="U408" s="684"/>
      <c r="V408" s="685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4"/>
      <c r="B409" s="674"/>
      <c r="C409" s="674"/>
      <c r="D409" s="674"/>
      <c r="E409" s="674"/>
      <c r="F409" s="674"/>
      <c r="G409" s="674"/>
      <c r="H409" s="674"/>
      <c r="I409" s="674"/>
      <c r="J409" s="674"/>
      <c r="K409" s="674"/>
      <c r="L409" s="674"/>
      <c r="M409" s="674"/>
      <c r="N409" s="674"/>
      <c r="O409" s="675"/>
      <c r="P409" s="683" t="s">
        <v>87</v>
      </c>
      <c r="Q409" s="684"/>
      <c r="R409" s="684"/>
      <c r="S409" s="684"/>
      <c r="T409" s="684"/>
      <c r="U409" s="684"/>
      <c r="V409" s="685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4"/>
      <c r="C410" s="674"/>
      <c r="D410" s="674"/>
      <c r="E410" s="674"/>
      <c r="F410" s="674"/>
      <c r="G410" s="674"/>
      <c r="H410" s="674"/>
      <c r="I410" s="674"/>
      <c r="J410" s="674"/>
      <c r="K410" s="674"/>
      <c r="L410" s="674"/>
      <c r="M410" s="674"/>
      <c r="N410" s="674"/>
      <c r="O410" s="674"/>
      <c r="P410" s="674"/>
      <c r="Q410" s="674"/>
      <c r="R410" s="674"/>
      <c r="S410" s="674"/>
      <c r="T410" s="674"/>
      <c r="U410" s="674"/>
      <c r="V410" s="674"/>
      <c r="W410" s="674"/>
      <c r="X410" s="674"/>
      <c r="Y410" s="674"/>
      <c r="Z410" s="674"/>
      <c r="AA410" s="656"/>
      <c r="AB410" s="656"/>
      <c r="AC410" s="656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3"/>
      <c r="B413" s="674"/>
      <c r="C413" s="674"/>
      <c r="D413" s="674"/>
      <c r="E413" s="674"/>
      <c r="F413" s="674"/>
      <c r="G413" s="674"/>
      <c r="H413" s="674"/>
      <c r="I413" s="674"/>
      <c r="J413" s="674"/>
      <c r="K413" s="674"/>
      <c r="L413" s="674"/>
      <c r="M413" s="674"/>
      <c r="N413" s="674"/>
      <c r="O413" s="675"/>
      <c r="P413" s="683" t="s">
        <v>87</v>
      </c>
      <c r="Q413" s="684"/>
      <c r="R413" s="684"/>
      <c r="S413" s="684"/>
      <c r="T413" s="684"/>
      <c r="U413" s="684"/>
      <c r="V413" s="685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4"/>
      <c r="B414" s="674"/>
      <c r="C414" s="674"/>
      <c r="D414" s="674"/>
      <c r="E414" s="674"/>
      <c r="F414" s="674"/>
      <c r="G414" s="674"/>
      <c r="H414" s="674"/>
      <c r="I414" s="674"/>
      <c r="J414" s="674"/>
      <c r="K414" s="674"/>
      <c r="L414" s="674"/>
      <c r="M414" s="674"/>
      <c r="N414" s="674"/>
      <c r="O414" s="675"/>
      <c r="P414" s="683" t="s">
        <v>87</v>
      </c>
      <c r="Q414" s="684"/>
      <c r="R414" s="684"/>
      <c r="S414" s="684"/>
      <c r="T414" s="684"/>
      <c r="U414" s="684"/>
      <c r="V414" s="685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4"/>
      <c r="C415" s="674"/>
      <c r="D415" s="674"/>
      <c r="E415" s="674"/>
      <c r="F415" s="674"/>
      <c r="G415" s="674"/>
      <c r="H415" s="674"/>
      <c r="I415" s="674"/>
      <c r="J415" s="674"/>
      <c r="K415" s="674"/>
      <c r="L415" s="674"/>
      <c r="M415" s="674"/>
      <c r="N415" s="674"/>
      <c r="O415" s="674"/>
      <c r="P415" s="674"/>
      <c r="Q415" s="674"/>
      <c r="R415" s="674"/>
      <c r="S415" s="674"/>
      <c r="T415" s="674"/>
      <c r="U415" s="674"/>
      <c r="V415" s="674"/>
      <c r="W415" s="674"/>
      <c r="X415" s="674"/>
      <c r="Y415" s="674"/>
      <c r="Z415" s="674"/>
      <c r="AA415" s="656"/>
      <c r="AB415" s="656"/>
      <c r="AC415" s="656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200</v>
      </c>
      <c r="Y416" s="664">
        <f>IFERROR(IF(X416="",0,CEILING((X416/$H416),1)*$H416),"")</f>
        <v>207</v>
      </c>
      <c r="Z416" s="36">
        <f>IFERROR(IF(Y416=0,"",ROUNDUP(Y416/H416,0)*0.01898),"")</f>
        <v>0.43653999999999998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211.53333333333333</v>
      </c>
      <c r="BN416" s="64">
        <f>IFERROR(Y416*I416/H416,"0")</f>
        <v>218.93700000000001</v>
      </c>
      <c r="BO416" s="64">
        <f>IFERROR(1/J416*(X416/H416),"0")</f>
        <v>0.34722222222222221</v>
      </c>
      <c r="BP416" s="64">
        <f>IFERROR(1/J416*(Y416/H416),"0")</f>
        <v>0.359375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4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3"/>
      <c r="B421" s="674"/>
      <c r="C421" s="674"/>
      <c r="D421" s="674"/>
      <c r="E421" s="674"/>
      <c r="F421" s="674"/>
      <c r="G421" s="674"/>
      <c r="H421" s="674"/>
      <c r="I421" s="674"/>
      <c r="J421" s="674"/>
      <c r="K421" s="674"/>
      <c r="L421" s="674"/>
      <c r="M421" s="674"/>
      <c r="N421" s="674"/>
      <c r="O421" s="675"/>
      <c r="P421" s="683" t="s">
        <v>87</v>
      </c>
      <c r="Q421" s="684"/>
      <c r="R421" s="684"/>
      <c r="S421" s="684"/>
      <c r="T421" s="684"/>
      <c r="U421" s="684"/>
      <c r="V421" s="685"/>
      <c r="W421" s="37" t="s">
        <v>88</v>
      </c>
      <c r="X421" s="665">
        <f>IFERROR(X416/H416,"0")+IFERROR(X417/H417,"0")+IFERROR(X418/H418,"0")+IFERROR(X419/H419,"0")+IFERROR(X420/H420,"0")</f>
        <v>22.222222222222221</v>
      </c>
      <c r="Y421" s="665">
        <f>IFERROR(Y416/H416,"0")+IFERROR(Y417/H417,"0")+IFERROR(Y418/H418,"0")+IFERROR(Y419/H419,"0")+IFERROR(Y420/H420,"0")</f>
        <v>23</v>
      </c>
      <c r="Z421" s="665">
        <f>IFERROR(IF(Z416="",0,Z416),"0")+IFERROR(IF(Z417="",0,Z417),"0")+IFERROR(IF(Z418="",0,Z418),"0")+IFERROR(IF(Z419="",0,Z419),"0")+IFERROR(IF(Z420="",0,Z420),"0")</f>
        <v>0.43653999999999998</v>
      </c>
      <c r="AA421" s="666"/>
      <c r="AB421" s="666"/>
      <c r="AC421" s="666"/>
    </row>
    <row r="422" spans="1:68" x14ac:dyDescent="0.2">
      <c r="A422" s="674"/>
      <c r="B422" s="674"/>
      <c r="C422" s="674"/>
      <c r="D422" s="674"/>
      <c r="E422" s="674"/>
      <c r="F422" s="674"/>
      <c r="G422" s="674"/>
      <c r="H422" s="674"/>
      <c r="I422" s="674"/>
      <c r="J422" s="674"/>
      <c r="K422" s="674"/>
      <c r="L422" s="674"/>
      <c r="M422" s="674"/>
      <c r="N422" s="674"/>
      <c r="O422" s="675"/>
      <c r="P422" s="683" t="s">
        <v>87</v>
      </c>
      <c r="Q422" s="684"/>
      <c r="R422" s="684"/>
      <c r="S422" s="684"/>
      <c r="T422" s="684"/>
      <c r="U422" s="684"/>
      <c r="V422" s="685"/>
      <c r="W422" s="37" t="s">
        <v>68</v>
      </c>
      <c r="X422" s="665">
        <f>IFERROR(SUM(X416:X420),"0")</f>
        <v>200</v>
      </c>
      <c r="Y422" s="665">
        <f>IFERROR(SUM(Y416:Y420),"0")</f>
        <v>207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4"/>
      <c r="C423" s="674"/>
      <c r="D423" s="674"/>
      <c r="E423" s="674"/>
      <c r="F423" s="674"/>
      <c r="G423" s="674"/>
      <c r="H423" s="674"/>
      <c r="I423" s="674"/>
      <c r="J423" s="674"/>
      <c r="K423" s="674"/>
      <c r="L423" s="674"/>
      <c r="M423" s="674"/>
      <c r="N423" s="674"/>
      <c r="O423" s="674"/>
      <c r="P423" s="674"/>
      <c r="Q423" s="674"/>
      <c r="R423" s="674"/>
      <c r="S423" s="674"/>
      <c r="T423" s="674"/>
      <c r="U423" s="674"/>
      <c r="V423" s="674"/>
      <c r="W423" s="674"/>
      <c r="X423" s="674"/>
      <c r="Y423" s="674"/>
      <c r="Z423" s="674"/>
      <c r="AA423" s="656"/>
      <c r="AB423" s="656"/>
      <c r="AC423" s="656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7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3"/>
      <c r="B425" s="674"/>
      <c r="C425" s="674"/>
      <c r="D425" s="674"/>
      <c r="E425" s="674"/>
      <c r="F425" s="674"/>
      <c r="G425" s="674"/>
      <c r="H425" s="674"/>
      <c r="I425" s="674"/>
      <c r="J425" s="674"/>
      <c r="K425" s="674"/>
      <c r="L425" s="674"/>
      <c r="M425" s="674"/>
      <c r="N425" s="674"/>
      <c r="O425" s="675"/>
      <c r="P425" s="683" t="s">
        <v>87</v>
      </c>
      <c r="Q425" s="684"/>
      <c r="R425" s="684"/>
      <c r="S425" s="684"/>
      <c r="T425" s="684"/>
      <c r="U425" s="684"/>
      <c r="V425" s="685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4"/>
      <c r="B426" s="674"/>
      <c r="C426" s="674"/>
      <c r="D426" s="674"/>
      <c r="E426" s="674"/>
      <c r="F426" s="674"/>
      <c r="G426" s="674"/>
      <c r="H426" s="674"/>
      <c r="I426" s="674"/>
      <c r="J426" s="674"/>
      <c r="K426" s="674"/>
      <c r="L426" s="674"/>
      <c r="M426" s="674"/>
      <c r="N426" s="674"/>
      <c r="O426" s="675"/>
      <c r="P426" s="683" t="s">
        <v>87</v>
      </c>
      <c r="Q426" s="684"/>
      <c r="R426" s="684"/>
      <c r="S426" s="684"/>
      <c r="T426" s="684"/>
      <c r="U426" s="684"/>
      <c r="V426" s="685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4"/>
      <c r="C428" s="674"/>
      <c r="D428" s="674"/>
      <c r="E428" s="674"/>
      <c r="F428" s="674"/>
      <c r="G428" s="674"/>
      <c r="H428" s="674"/>
      <c r="I428" s="674"/>
      <c r="J428" s="674"/>
      <c r="K428" s="674"/>
      <c r="L428" s="674"/>
      <c r="M428" s="674"/>
      <c r="N428" s="674"/>
      <c r="O428" s="674"/>
      <c r="P428" s="674"/>
      <c r="Q428" s="674"/>
      <c r="R428" s="674"/>
      <c r="S428" s="674"/>
      <c r="T428" s="674"/>
      <c r="U428" s="674"/>
      <c r="V428" s="674"/>
      <c r="W428" s="674"/>
      <c r="X428" s="674"/>
      <c r="Y428" s="674"/>
      <c r="Z428" s="674"/>
      <c r="AA428" s="658"/>
      <c r="AB428" s="658"/>
      <c r="AC428" s="658"/>
    </row>
    <row r="429" spans="1:68" ht="14.25" customHeight="1" x14ac:dyDescent="0.25">
      <c r="A429" s="679" t="s">
        <v>144</v>
      </c>
      <c r="B429" s="674"/>
      <c r="C429" s="674"/>
      <c r="D429" s="674"/>
      <c r="E429" s="674"/>
      <c r="F429" s="674"/>
      <c r="G429" s="674"/>
      <c r="H429" s="674"/>
      <c r="I429" s="674"/>
      <c r="J429" s="674"/>
      <c r="K429" s="674"/>
      <c r="L429" s="674"/>
      <c r="M429" s="674"/>
      <c r="N429" s="674"/>
      <c r="O429" s="674"/>
      <c r="P429" s="674"/>
      <c r="Q429" s="674"/>
      <c r="R429" s="674"/>
      <c r="S429" s="674"/>
      <c r="T429" s="674"/>
      <c r="U429" s="674"/>
      <c r="V429" s="674"/>
      <c r="W429" s="674"/>
      <c r="X429" s="674"/>
      <c r="Y429" s="674"/>
      <c r="Z429" s="674"/>
      <c r="AA429" s="656"/>
      <c r="AB429" s="656"/>
      <c r="AC429" s="656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9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19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3"/>
      <c r="B442" s="674"/>
      <c r="C442" s="674"/>
      <c r="D442" s="674"/>
      <c r="E442" s="674"/>
      <c r="F442" s="674"/>
      <c r="G442" s="674"/>
      <c r="H442" s="674"/>
      <c r="I442" s="674"/>
      <c r="J442" s="674"/>
      <c r="K442" s="674"/>
      <c r="L442" s="674"/>
      <c r="M442" s="674"/>
      <c r="N442" s="674"/>
      <c r="O442" s="675"/>
      <c r="P442" s="683" t="s">
        <v>87</v>
      </c>
      <c r="Q442" s="684"/>
      <c r="R442" s="684"/>
      <c r="S442" s="684"/>
      <c r="T442" s="684"/>
      <c r="U442" s="684"/>
      <c r="V442" s="685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4"/>
      <c r="B443" s="674"/>
      <c r="C443" s="674"/>
      <c r="D443" s="674"/>
      <c r="E443" s="674"/>
      <c r="F443" s="674"/>
      <c r="G443" s="674"/>
      <c r="H443" s="674"/>
      <c r="I443" s="674"/>
      <c r="J443" s="674"/>
      <c r="K443" s="674"/>
      <c r="L443" s="674"/>
      <c r="M443" s="674"/>
      <c r="N443" s="674"/>
      <c r="O443" s="675"/>
      <c r="P443" s="683" t="s">
        <v>87</v>
      </c>
      <c r="Q443" s="684"/>
      <c r="R443" s="684"/>
      <c r="S443" s="684"/>
      <c r="T443" s="684"/>
      <c r="U443" s="684"/>
      <c r="V443" s="685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4"/>
      <c r="C444" s="674"/>
      <c r="D444" s="674"/>
      <c r="E444" s="674"/>
      <c r="F444" s="674"/>
      <c r="G444" s="674"/>
      <c r="H444" s="674"/>
      <c r="I444" s="674"/>
      <c r="J444" s="674"/>
      <c r="K444" s="674"/>
      <c r="L444" s="674"/>
      <c r="M444" s="674"/>
      <c r="N444" s="674"/>
      <c r="O444" s="674"/>
      <c r="P444" s="674"/>
      <c r="Q444" s="674"/>
      <c r="R444" s="674"/>
      <c r="S444" s="674"/>
      <c r="T444" s="674"/>
      <c r="U444" s="674"/>
      <c r="V444" s="674"/>
      <c r="W444" s="674"/>
      <c r="X444" s="674"/>
      <c r="Y444" s="674"/>
      <c r="Z444" s="674"/>
      <c r="AA444" s="656"/>
      <c r="AB444" s="656"/>
      <c r="AC444" s="656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3"/>
      <c r="B447" s="674"/>
      <c r="C447" s="674"/>
      <c r="D447" s="674"/>
      <c r="E447" s="674"/>
      <c r="F447" s="674"/>
      <c r="G447" s="674"/>
      <c r="H447" s="674"/>
      <c r="I447" s="674"/>
      <c r="J447" s="674"/>
      <c r="K447" s="674"/>
      <c r="L447" s="674"/>
      <c r="M447" s="674"/>
      <c r="N447" s="674"/>
      <c r="O447" s="675"/>
      <c r="P447" s="683" t="s">
        <v>87</v>
      </c>
      <c r="Q447" s="684"/>
      <c r="R447" s="684"/>
      <c r="S447" s="684"/>
      <c r="T447" s="684"/>
      <c r="U447" s="684"/>
      <c r="V447" s="685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4"/>
      <c r="B448" s="674"/>
      <c r="C448" s="674"/>
      <c r="D448" s="674"/>
      <c r="E448" s="674"/>
      <c r="F448" s="674"/>
      <c r="G448" s="674"/>
      <c r="H448" s="674"/>
      <c r="I448" s="674"/>
      <c r="J448" s="674"/>
      <c r="K448" s="674"/>
      <c r="L448" s="674"/>
      <c r="M448" s="674"/>
      <c r="N448" s="674"/>
      <c r="O448" s="675"/>
      <c r="P448" s="683" t="s">
        <v>87</v>
      </c>
      <c r="Q448" s="684"/>
      <c r="R448" s="684"/>
      <c r="S448" s="684"/>
      <c r="T448" s="684"/>
      <c r="U448" s="684"/>
      <c r="V448" s="685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4"/>
      <c r="C449" s="674"/>
      <c r="D449" s="674"/>
      <c r="E449" s="674"/>
      <c r="F449" s="674"/>
      <c r="G449" s="674"/>
      <c r="H449" s="674"/>
      <c r="I449" s="674"/>
      <c r="J449" s="674"/>
      <c r="K449" s="674"/>
      <c r="L449" s="674"/>
      <c r="M449" s="674"/>
      <c r="N449" s="674"/>
      <c r="O449" s="674"/>
      <c r="P449" s="674"/>
      <c r="Q449" s="674"/>
      <c r="R449" s="674"/>
      <c r="S449" s="674"/>
      <c r="T449" s="674"/>
      <c r="U449" s="674"/>
      <c r="V449" s="674"/>
      <c r="W449" s="674"/>
      <c r="X449" s="674"/>
      <c r="Y449" s="674"/>
      <c r="Z449" s="674"/>
      <c r="AA449" s="658"/>
      <c r="AB449" s="658"/>
      <c r="AC449" s="658"/>
    </row>
    <row r="450" spans="1:68" ht="14.25" customHeight="1" x14ac:dyDescent="0.25">
      <c r="A450" s="679" t="s">
        <v>133</v>
      </c>
      <c r="B450" s="674"/>
      <c r="C450" s="674"/>
      <c r="D450" s="674"/>
      <c r="E450" s="674"/>
      <c r="F450" s="674"/>
      <c r="G450" s="674"/>
      <c r="H450" s="674"/>
      <c r="I450" s="674"/>
      <c r="J450" s="674"/>
      <c r="K450" s="674"/>
      <c r="L450" s="674"/>
      <c r="M450" s="674"/>
      <c r="N450" s="674"/>
      <c r="O450" s="674"/>
      <c r="P450" s="674"/>
      <c r="Q450" s="674"/>
      <c r="R450" s="674"/>
      <c r="S450" s="674"/>
      <c r="T450" s="674"/>
      <c r="U450" s="674"/>
      <c r="V450" s="674"/>
      <c r="W450" s="674"/>
      <c r="X450" s="674"/>
      <c r="Y450" s="674"/>
      <c r="Z450" s="674"/>
      <c r="AA450" s="656"/>
      <c r="AB450" s="656"/>
      <c r="AC450" s="656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3"/>
      <c r="B453" s="674"/>
      <c r="C453" s="674"/>
      <c r="D453" s="674"/>
      <c r="E453" s="674"/>
      <c r="F453" s="674"/>
      <c r="G453" s="674"/>
      <c r="H453" s="674"/>
      <c r="I453" s="674"/>
      <c r="J453" s="674"/>
      <c r="K453" s="674"/>
      <c r="L453" s="674"/>
      <c r="M453" s="674"/>
      <c r="N453" s="674"/>
      <c r="O453" s="675"/>
      <c r="P453" s="683" t="s">
        <v>87</v>
      </c>
      <c r="Q453" s="684"/>
      <c r="R453" s="684"/>
      <c r="S453" s="684"/>
      <c r="T453" s="684"/>
      <c r="U453" s="684"/>
      <c r="V453" s="685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4"/>
      <c r="B454" s="674"/>
      <c r="C454" s="674"/>
      <c r="D454" s="674"/>
      <c r="E454" s="674"/>
      <c r="F454" s="674"/>
      <c r="G454" s="674"/>
      <c r="H454" s="674"/>
      <c r="I454" s="674"/>
      <c r="J454" s="674"/>
      <c r="K454" s="674"/>
      <c r="L454" s="674"/>
      <c r="M454" s="674"/>
      <c r="N454" s="674"/>
      <c r="O454" s="675"/>
      <c r="P454" s="683" t="s">
        <v>87</v>
      </c>
      <c r="Q454" s="684"/>
      <c r="R454" s="684"/>
      <c r="S454" s="684"/>
      <c r="T454" s="684"/>
      <c r="U454" s="684"/>
      <c r="V454" s="685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4"/>
      <c r="C455" s="674"/>
      <c r="D455" s="674"/>
      <c r="E455" s="674"/>
      <c r="F455" s="674"/>
      <c r="G455" s="674"/>
      <c r="H455" s="674"/>
      <c r="I455" s="674"/>
      <c r="J455" s="674"/>
      <c r="K455" s="674"/>
      <c r="L455" s="674"/>
      <c r="M455" s="674"/>
      <c r="N455" s="674"/>
      <c r="O455" s="674"/>
      <c r="P455" s="674"/>
      <c r="Q455" s="674"/>
      <c r="R455" s="674"/>
      <c r="S455" s="674"/>
      <c r="T455" s="674"/>
      <c r="U455" s="674"/>
      <c r="V455" s="674"/>
      <c r="W455" s="674"/>
      <c r="X455" s="674"/>
      <c r="Y455" s="674"/>
      <c r="Z455" s="674"/>
      <c r="AA455" s="656"/>
      <c r="AB455" s="656"/>
      <c r="AC455" s="656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1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3"/>
      <c r="B460" s="674"/>
      <c r="C460" s="674"/>
      <c r="D460" s="674"/>
      <c r="E460" s="674"/>
      <c r="F460" s="674"/>
      <c r="G460" s="674"/>
      <c r="H460" s="674"/>
      <c r="I460" s="674"/>
      <c r="J460" s="674"/>
      <c r="K460" s="674"/>
      <c r="L460" s="674"/>
      <c r="M460" s="674"/>
      <c r="N460" s="674"/>
      <c r="O460" s="675"/>
      <c r="P460" s="683" t="s">
        <v>87</v>
      </c>
      <c r="Q460" s="684"/>
      <c r="R460" s="684"/>
      <c r="S460" s="684"/>
      <c r="T460" s="684"/>
      <c r="U460" s="684"/>
      <c r="V460" s="685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4"/>
      <c r="B461" s="674"/>
      <c r="C461" s="674"/>
      <c r="D461" s="674"/>
      <c r="E461" s="674"/>
      <c r="F461" s="674"/>
      <c r="G461" s="674"/>
      <c r="H461" s="674"/>
      <c r="I461" s="674"/>
      <c r="J461" s="674"/>
      <c r="K461" s="674"/>
      <c r="L461" s="674"/>
      <c r="M461" s="674"/>
      <c r="N461" s="674"/>
      <c r="O461" s="675"/>
      <c r="P461" s="683" t="s">
        <v>87</v>
      </c>
      <c r="Q461" s="684"/>
      <c r="R461" s="684"/>
      <c r="S461" s="684"/>
      <c r="T461" s="684"/>
      <c r="U461" s="684"/>
      <c r="V461" s="685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4"/>
      <c r="C462" s="674"/>
      <c r="D462" s="674"/>
      <c r="E462" s="674"/>
      <c r="F462" s="674"/>
      <c r="G462" s="674"/>
      <c r="H462" s="674"/>
      <c r="I462" s="674"/>
      <c r="J462" s="674"/>
      <c r="K462" s="674"/>
      <c r="L462" s="674"/>
      <c r="M462" s="674"/>
      <c r="N462" s="674"/>
      <c r="O462" s="674"/>
      <c r="P462" s="674"/>
      <c r="Q462" s="674"/>
      <c r="R462" s="674"/>
      <c r="S462" s="674"/>
      <c r="T462" s="674"/>
      <c r="U462" s="674"/>
      <c r="V462" s="674"/>
      <c r="W462" s="674"/>
      <c r="X462" s="674"/>
      <c r="Y462" s="674"/>
      <c r="Z462" s="674"/>
      <c r="AA462" s="658"/>
      <c r="AB462" s="658"/>
      <c r="AC462" s="658"/>
    </row>
    <row r="463" spans="1:68" ht="14.25" customHeight="1" x14ac:dyDescent="0.25">
      <c r="A463" s="679" t="s">
        <v>144</v>
      </c>
      <c r="B463" s="674"/>
      <c r="C463" s="674"/>
      <c r="D463" s="674"/>
      <c r="E463" s="674"/>
      <c r="F463" s="674"/>
      <c r="G463" s="674"/>
      <c r="H463" s="674"/>
      <c r="I463" s="674"/>
      <c r="J463" s="674"/>
      <c r="K463" s="674"/>
      <c r="L463" s="674"/>
      <c r="M463" s="674"/>
      <c r="N463" s="674"/>
      <c r="O463" s="674"/>
      <c r="P463" s="674"/>
      <c r="Q463" s="674"/>
      <c r="R463" s="674"/>
      <c r="S463" s="674"/>
      <c r="T463" s="674"/>
      <c r="U463" s="674"/>
      <c r="V463" s="674"/>
      <c r="W463" s="674"/>
      <c r="X463" s="674"/>
      <c r="Y463" s="674"/>
      <c r="Z463" s="674"/>
      <c r="AA463" s="656"/>
      <c r="AB463" s="656"/>
      <c r="AC463" s="656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1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3"/>
      <c r="B466" s="674"/>
      <c r="C466" s="674"/>
      <c r="D466" s="674"/>
      <c r="E466" s="674"/>
      <c r="F466" s="674"/>
      <c r="G466" s="674"/>
      <c r="H466" s="674"/>
      <c r="I466" s="674"/>
      <c r="J466" s="674"/>
      <c r="K466" s="674"/>
      <c r="L466" s="674"/>
      <c r="M466" s="674"/>
      <c r="N466" s="674"/>
      <c r="O466" s="675"/>
      <c r="P466" s="683" t="s">
        <v>87</v>
      </c>
      <c r="Q466" s="684"/>
      <c r="R466" s="684"/>
      <c r="S466" s="684"/>
      <c r="T466" s="684"/>
      <c r="U466" s="684"/>
      <c r="V466" s="685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4"/>
      <c r="B467" s="674"/>
      <c r="C467" s="674"/>
      <c r="D467" s="674"/>
      <c r="E467" s="674"/>
      <c r="F467" s="674"/>
      <c r="G467" s="674"/>
      <c r="H467" s="674"/>
      <c r="I467" s="674"/>
      <c r="J467" s="674"/>
      <c r="K467" s="674"/>
      <c r="L467" s="674"/>
      <c r="M467" s="674"/>
      <c r="N467" s="674"/>
      <c r="O467" s="675"/>
      <c r="P467" s="683" t="s">
        <v>87</v>
      </c>
      <c r="Q467" s="684"/>
      <c r="R467" s="684"/>
      <c r="S467" s="684"/>
      <c r="T467" s="684"/>
      <c r="U467" s="684"/>
      <c r="V467" s="685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4"/>
      <c r="C468" s="674"/>
      <c r="D468" s="674"/>
      <c r="E468" s="674"/>
      <c r="F468" s="674"/>
      <c r="G468" s="674"/>
      <c r="H468" s="674"/>
      <c r="I468" s="674"/>
      <c r="J468" s="674"/>
      <c r="K468" s="674"/>
      <c r="L468" s="674"/>
      <c r="M468" s="674"/>
      <c r="N468" s="674"/>
      <c r="O468" s="674"/>
      <c r="P468" s="674"/>
      <c r="Q468" s="674"/>
      <c r="R468" s="674"/>
      <c r="S468" s="674"/>
      <c r="T468" s="674"/>
      <c r="U468" s="674"/>
      <c r="V468" s="674"/>
      <c r="W468" s="674"/>
      <c r="X468" s="674"/>
      <c r="Y468" s="674"/>
      <c r="Z468" s="674"/>
      <c r="AA468" s="658"/>
      <c r="AB468" s="658"/>
      <c r="AC468" s="658"/>
    </row>
    <row r="469" spans="1:68" ht="14.25" customHeight="1" x14ac:dyDescent="0.25">
      <c r="A469" s="679" t="s">
        <v>144</v>
      </c>
      <c r="B469" s="674"/>
      <c r="C469" s="674"/>
      <c r="D469" s="674"/>
      <c r="E469" s="674"/>
      <c r="F469" s="674"/>
      <c r="G469" s="674"/>
      <c r="H469" s="674"/>
      <c r="I469" s="674"/>
      <c r="J469" s="674"/>
      <c r="K469" s="674"/>
      <c r="L469" s="674"/>
      <c r="M469" s="674"/>
      <c r="N469" s="674"/>
      <c r="O469" s="674"/>
      <c r="P469" s="674"/>
      <c r="Q469" s="674"/>
      <c r="R469" s="674"/>
      <c r="S469" s="674"/>
      <c r="T469" s="674"/>
      <c r="U469" s="674"/>
      <c r="V469" s="674"/>
      <c r="W469" s="674"/>
      <c r="X469" s="674"/>
      <c r="Y469" s="674"/>
      <c r="Z469" s="674"/>
      <c r="AA469" s="656"/>
      <c r="AB469" s="656"/>
      <c r="AC469" s="656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3"/>
      <c r="B471" s="674"/>
      <c r="C471" s="674"/>
      <c r="D471" s="674"/>
      <c r="E471" s="674"/>
      <c r="F471" s="674"/>
      <c r="G471" s="674"/>
      <c r="H471" s="674"/>
      <c r="I471" s="674"/>
      <c r="J471" s="674"/>
      <c r="K471" s="674"/>
      <c r="L471" s="674"/>
      <c r="M471" s="674"/>
      <c r="N471" s="674"/>
      <c r="O471" s="675"/>
      <c r="P471" s="683" t="s">
        <v>87</v>
      </c>
      <c r="Q471" s="684"/>
      <c r="R471" s="684"/>
      <c r="S471" s="684"/>
      <c r="T471" s="684"/>
      <c r="U471" s="684"/>
      <c r="V471" s="685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4"/>
      <c r="B472" s="674"/>
      <c r="C472" s="674"/>
      <c r="D472" s="674"/>
      <c r="E472" s="674"/>
      <c r="F472" s="674"/>
      <c r="G472" s="674"/>
      <c r="H472" s="674"/>
      <c r="I472" s="674"/>
      <c r="J472" s="674"/>
      <c r="K472" s="674"/>
      <c r="L472" s="674"/>
      <c r="M472" s="674"/>
      <c r="N472" s="674"/>
      <c r="O472" s="675"/>
      <c r="P472" s="683" t="s">
        <v>87</v>
      </c>
      <c r="Q472" s="684"/>
      <c r="R472" s="684"/>
      <c r="S472" s="684"/>
      <c r="T472" s="684"/>
      <c r="U472" s="684"/>
      <c r="V472" s="685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4"/>
      <c r="C473" s="674"/>
      <c r="D473" s="674"/>
      <c r="E473" s="674"/>
      <c r="F473" s="674"/>
      <c r="G473" s="674"/>
      <c r="H473" s="674"/>
      <c r="I473" s="674"/>
      <c r="J473" s="674"/>
      <c r="K473" s="674"/>
      <c r="L473" s="674"/>
      <c r="M473" s="674"/>
      <c r="N473" s="674"/>
      <c r="O473" s="674"/>
      <c r="P473" s="674"/>
      <c r="Q473" s="674"/>
      <c r="R473" s="674"/>
      <c r="S473" s="674"/>
      <c r="T473" s="674"/>
      <c r="U473" s="674"/>
      <c r="V473" s="674"/>
      <c r="W473" s="674"/>
      <c r="X473" s="674"/>
      <c r="Y473" s="674"/>
      <c r="Z473" s="674"/>
      <c r="AA473" s="656"/>
      <c r="AB473" s="656"/>
      <c r="AC473" s="656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3"/>
      <c r="B475" s="674"/>
      <c r="C475" s="674"/>
      <c r="D475" s="674"/>
      <c r="E475" s="674"/>
      <c r="F475" s="674"/>
      <c r="G475" s="674"/>
      <c r="H475" s="674"/>
      <c r="I475" s="674"/>
      <c r="J475" s="674"/>
      <c r="K475" s="674"/>
      <c r="L475" s="674"/>
      <c r="M475" s="674"/>
      <c r="N475" s="674"/>
      <c r="O475" s="675"/>
      <c r="P475" s="683" t="s">
        <v>87</v>
      </c>
      <c r="Q475" s="684"/>
      <c r="R475" s="684"/>
      <c r="S475" s="684"/>
      <c r="T475" s="684"/>
      <c r="U475" s="684"/>
      <c r="V475" s="685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4"/>
      <c r="B476" s="674"/>
      <c r="C476" s="674"/>
      <c r="D476" s="674"/>
      <c r="E476" s="674"/>
      <c r="F476" s="674"/>
      <c r="G476" s="674"/>
      <c r="H476" s="674"/>
      <c r="I476" s="674"/>
      <c r="J476" s="674"/>
      <c r="K476" s="674"/>
      <c r="L476" s="674"/>
      <c r="M476" s="674"/>
      <c r="N476" s="674"/>
      <c r="O476" s="675"/>
      <c r="P476" s="683" t="s">
        <v>87</v>
      </c>
      <c r="Q476" s="684"/>
      <c r="R476" s="684"/>
      <c r="S476" s="684"/>
      <c r="T476" s="684"/>
      <c r="U476" s="684"/>
      <c r="V476" s="685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4"/>
      <c r="C478" s="674"/>
      <c r="D478" s="674"/>
      <c r="E478" s="674"/>
      <c r="F478" s="674"/>
      <c r="G478" s="674"/>
      <c r="H478" s="674"/>
      <c r="I478" s="674"/>
      <c r="J478" s="674"/>
      <c r="K478" s="674"/>
      <c r="L478" s="674"/>
      <c r="M478" s="674"/>
      <c r="N478" s="674"/>
      <c r="O478" s="674"/>
      <c r="P478" s="674"/>
      <c r="Q478" s="674"/>
      <c r="R478" s="674"/>
      <c r="S478" s="674"/>
      <c r="T478" s="674"/>
      <c r="U478" s="674"/>
      <c r="V478" s="674"/>
      <c r="W478" s="674"/>
      <c r="X478" s="674"/>
      <c r="Y478" s="674"/>
      <c r="Z478" s="674"/>
      <c r="AA478" s="658"/>
      <c r="AB478" s="658"/>
      <c r="AC478" s="658"/>
    </row>
    <row r="479" spans="1:68" ht="14.25" customHeight="1" x14ac:dyDescent="0.25">
      <c r="A479" s="679" t="s">
        <v>97</v>
      </c>
      <c r="B479" s="674"/>
      <c r="C479" s="674"/>
      <c r="D479" s="674"/>
      <c r="E479" s="674"/>
      <c r="F479" s="674"/>
      <c r="G479" s="674"/>
      <c r="H479" s="674"/>
      <c r="I479" s="674"/>
      <c r="J479" s="674"/>
      <c r="K479" s="674"/>
      <c r="L479" s="674"/>
      <c r="M479" s="674"/>
      <c r="N479" s="674"/>
      <c r="O479" s="674"/>
      <c r="P479" s="674"/>
      <c r="Q479" s="674"/>
      <c r="R479" s="674"/>
      <c r="S479" s="674"/>
      <c r="T479" s="674"/>
      <c r="U479" s="674"/>
      <c r="V479" s="674"/>
      <c r="W479" s="674"/>
      <c r="X479" s="674"/>
      <c r="Y479" s="674"/>
      <c r="Z479" s="674"/>
      <c r="AA479" s="656"/>
      <c r="AB479" s="656"/>
      <c r="AC479" s="656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8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1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2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8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3"/>
      <c r="B495" s="674"/>
      <c r="C495" s="674"/>
      <c r="D495" s="674"/>
      <c r="E495" s="674"/>
      <c r="F495" s="674"/>
      <c r="G495" s="674"/>
      <c r="H495" s="674"/>
      <c r="I495" s="674"/>
      <c r="J495" s="674"/>
      <c r="K495" s="674"/>
      <c r="L495" s="674"/>
      <c r="M495" s="674"/>
      <c r="N495" s="674"/>
      <c r="O495" s="675"/>
      <c r="P495" s="683" t="s">
        <v>87</v>
      </c>
      <c r="Q495" s="684"/>
      <c r="R495" s="684"/>
      <c r="S495" s="684"/>
      <c r="T495" s="684"/>
      <c r="U495" s="684"/>
      <c r="V495" s="685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x14ac:dyDescent="0.2">
      <c r="A496" s="674"/>
      <c r="B496" s="674"/>
      <c r="C496" s="674"/>
      <c r="D496" s="674"/>
      <c r="E496" s="674"/>
      <c r="F496" s="674"/>
      <c r="G496" s="674"/>
      <c r="H496" s="674"/>
      <c r="I496" s="674"/>
      <c r="J496" s="674"/>
      <c r="K496" s="674"/>
      <c r="L496" s="674"/>
      <c r="M496" s="674"/>
      <c r="N496" s="674"/>
      <c r="O496" s="675"/>
      <c r="P496" s="683" t="s">
        <v>87</v>
      </c>
      <c r="Q496" s="684"/>
      <c r="R496" s="684"/>
      <c r="S496" s="684"/>
      <c r="T496" s="684"/>
      <c r="U496" s="684"/>
      <c r="V496" s="685"/>
      <c r="W496" s="37" t="s">
        <v>68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4"/>
      <c r="C497" s="674"/>
      <c r="D497" s="674"/>
      <c r="E497" s="674"/>
      <c r="F497" s="674"/>
      <c r="G497" s="674"/>
      <c r="H497" s="674"/>
      <c r="I497" s="674"/>
      <c r="J497" s="674"/>
      <c r="K497" s="674"/>
      <c r="L497" s="674"/>
      <c r="M497" s="674"/>
      <c r="N497" s="674"/>
      <c r="O497" s="674"/>
      <c r="P497" s="674"/>
      <c r="Q497" s="674"/>
      <c r="R497" s="674"/>
      <c r="S497" s="674"/>
      <c r="T497" s="674"/>
      <c r="U497" s="674"/>
      <c r="V497" s="674"/>
      <c r="W497" s="674"/>
      <c r="X497" s="674"/>
      <c r="Y497" s="674"/>
      <c r="Z497" s="674"/>
      <c r="AA497" s="656"/>
      <c r="AB497" s="656"/>
      <c r="AC497" s="656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4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4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5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3"/>
      <c r="B502" s="674"/>
      <c r="C502" s="674"/>
      <c r="D502" s="674"/>
      <c r="E502" s="674"/>
      <c r="F502" s="674"/>
      <c r="G502" s="674"/>
      <c r="H502" s="674"/>
      <c r="I502" s="674"/>
      <c r="J502" s="674"/>
      <c r="K502" s="674"/>
      <c r="L502" s="674"/>
      <c r="M502" s="674"/>
      <c r="N502" s="674"/>
      <c r="O502" s="675"/>
      <c r="P502" s="683" t="s">
        <v>87</v>
      </c>
      <c r="Q502" s="684"/>
      <c r="R502" s="684"/>
      <c r="S502" s="684"/>
      <c r="T502" s="684"/>
      <c r="U502" s="684"/>
      <c r="V502" s="685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4"/>
      <c r="B503" s="674"/>
      <c r="C503" s="674"/>
      <c r="D503" s="674"/>
      <c r="E503" s="674"/>
      <c r="F503" s="674"/>
      <c r="G503" s="674"/>
      <c r="H503" s="674"/>
      <c r="I503" s="674"/>
      <c r="J503" s="674"/>
      <c r="K503" s="674"/>
      <c r="L503" s="674"/>
      <c r="M503" s="674"/>
      <c r="N503" s="674"/>
      <c r="O503" s="675"/>
      <c r="P503" s="683" t="s">
        <v>87</v>
      </c>
      <c r="Q503" s="684"/>
      <c r="R503" s="684"/>
      <c r="S503" s="684"/>
      <c r="T503" s="684"/>
      <c r="U503" s="684"/>
      <c r="V503" s="685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4"/>
      <c r="C504" s="674"/>
      <c r="D504" s="674"/>
      <c r="E504" s="674"/>
      <c r="F504" s="674"/>
      <c r="G504" s="674"/>
      <c r="H504" s="674"/>
      <c r="I504" s="674"/>
      <c r="J504" s="674"/>
      <c r="K504" s="674"/>
      <c r="L504" s="674"/>
      <c r="M504" s="674"/>
      <c r="N504" s="674"/>
      <c r="O504" s="674"/>
      <c r="P504" s="674"/>
      <c r="Q504" s="674"/>
      <c r="R504" s="674"/>
      <c r="S504" s="674"/>
      <c r="T504" s="674"/>
      <c r="U504" s="674"/>
      <c r="V504" s="674"/>
      <c r="W504" s="674"/>
      <c r="X504" s="674"/>
      <c r="Y504" s="674"/>
      <c r="Z504" s="674"/>
      <c r="AA504" s="656"/>
      <c r="AB504" s="656"/>
      <c r="AC504" s="656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2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8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60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4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3"/>
      <c r="B517" s="674"/>
      <c r="C517" s="674"/>
      <c r="D517" s="674"/>
      <c r="E517" s="674"/>
      <c r="F517" s="674"/>
      <c r="G517" s="674"/>
      <c r="H517" s="674"/>
      <c r="I517" s="674"/>
      <c r="J517" s="674"/>
      <c r="K517" s="674"/>
      <c r="L517" s="674"/>
      <c r="M517" s="674"/>
      <c r="N517" s="674"/>
      <c r="O517" s="675"/>
      <c r="P517" s="683" t="s">
        <v>87</v>
      </c>
      <c r="Q517" s="684"/>
      <c r="R517" s="684"/>
      <c r="S517" s="684"/>
      <c r="T517" s="684"/>
      <c r="U517" s="684"/>
      <c r="V517" s="685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x14ac:dyDescent="0.2">
      <c r="A518" s="674"/>
      <c r="B518" s="674"/>
      <c r="C518" s="674"/>
      <c r="D518" s="674"/>
      <c r="E518" s="674"/>
      <c r="F518" s="674"/>
      <c r="G518" s="674"/>
      <c r="H518" s="674"/>
      <c r="I518" s="674"/>
      <c r="J518" s="674"/>
      <c r="K518" s="674"/>
      <c r="L518" s="674"/>
      <c r="M518" s="674"/>
      <c r="N518" s="674"/>
      <c r="O518" s="675"/>
      <c r="P518" s="683" t="s">
        <v>87</v>
      </c>
      <c r="Q518" s="684"/>
      <c r="R518" s="684"/>
      <c r="S518" s="684"/>
      <c r="T518" s="684"/>
      <c r="U518" s="684"/>
      <c r="V518" s="685"/>
      <c r="W518" s="37" t="s">
        <v>68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4"/>
      <c r="C519" s="674"/>
      <c r="D519" s="674"/>
      <c r="E519" s="674"/>
      <c r="F519" s="674"/>
      <c r="G519" s="674"/>
      <c r="H519" s="674"/>
      <c r="I519" s="674"/>
      <c r="J519" s="674"/>
      <c r="K519" s="674"/>
      <c r="L519" s="674"/>
      <c r="M519" s="674"/>
      <c r="N519" s="674"/>
      <c r="O519" s="674"/>
      <c r="P519" s="674"/>
      <c r="Q519" s="674"/>
      <c r="R519" s="674"/>
      <c r="S519" s="674"/>
      <c r="T519" s="674"/>
      <c r="U519" s="674"/>
      <c r="V519" s="674"/>
      <c r="W519" s="674"/>
      <c r="X519" s="674"/>
      <c r="Y519" s="674"/>
      <c r="Z519" s="674"/>
      <c r="AA519" s="656"/>
      <c r="AB519" s="656"/>
      <c r="AC519" s="656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3"/>
      <c r="B523" s="674"/>
      <c r="C523" s="674"/>
      <c r="D523" s="674"/>
      <c r="E523" s="674"/>
      <c r="F523" s="674"/>
      <c r="G523" s="674"/>
      <c r="H523" s="674"/>
      <c r="I523" s="674"/>
      <c r="J523" s="674"/>
      <c r="K523" s="674"/>
      <c r="L523" s="674"/>
      <c r="M523" s="674"/>
      <c r="N523" s="674"/>
      <c r="O523" s="675"/>
      <c r="P523" s="683" t="s">
        <v>87</v>
      </c>
      <c r="Q523" s="684"/>
      <c r="R523" s="684"/>
      <c r="S523" s="684"/>
      <c r="T523" s="684"/>
      <c r="U523" s="684"/>
      <c r="V523" s="685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4"/>
      <c r="B524" s="674"/>
      <c r="C524" s="674"/>
      <c r="D524" s="674"/>
      <c r="E524" s="674"/>
      <c r="F524" s="674"/>
      <c r="G524" s="674"/>
      <c r="H524" s="674"/>
      <c r="I524" s="674"/>
      <c r="J524" s="674"/>
      <c r="K524" s="674"/>
      <c r="L524" s="674"/>
      <c r="M524" s="674"/>
      <c r="N524" s="674"/>
      <c r="O524" s="675"/>
      <c r="P524" s="683" t="s">
        <v>87</v>
      </c>
      <c r="Q524" s="684"/>
      <c r="R524" s="684"/>
      <c r="S524" s="684"/>
      <c r="T524" s="684"/>
      <c r="U524" s="684"/>
      <c r="V524" s="685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4"/>
      <c r="C525" s="674"/>
      <c r="D525" s="674"/>
      <c r="E525" s="674"/>
      <c r="F525" s="674"/>
      <c r="G525" s="674"/>
      <c r="H525" s="674"/>
      <c r="I525" s="674"/>
      <c r="J525" s="674"/>
      <c r="K525" s="674"/>
      <c r="L525" s="674"/>
      <c r="M525" s="674"/>
      <c r="N525" s="674"/>
      <c r="O525" s="674"/>
      <c r="P525" s="674"/>
      <c r="Q525" s="674"/>
      <c r="R525" s="674"/>
      <c r="S525" s="674"/>
      <c r="T525" s="674"/>
      <c r="U525" s="674"/>
      <c r="V525" s="674"/>
      <c r="W525" s="674"/>
      <c r="X525" s="674"/>
      <c r="Y525" s="674"/>
      <c r="Z525" s="674"/>
      <c r="AA525" s="656"/>
      <c r="AB525" s="656"/>
      <c r="AC525" s="656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5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3"/>
      <c r="B528" s="674"/>
      <c r="C528" s="674"/>
      <c r="D528" s="674"/>
      <c r="E528" s="674"/>
      <c r="F528" s="674"/>
      <c r="G528" s="674"/>
      <c r="H528" s="674"/>
      <c r="I528" s="674"/>
      <c r="J528" s="674"/>
      <c r="K528" s="674"/>
      <c r="L528" s="674"/>
      <c r="M528" s="674"/>
      <c r="N528" s="674"/>
      <c r="O528" s="675"/>
      <c r="P528" s="683" t="s">
        <v>87</v>
      </c>
      <c r="Q528" s="684"/>
      <c r="R528" s="684"/>
      <c r="S528" s="684"/>
      <c r="T528" s="684"/>
      <c r="U528" s="684"/>
      <c r="V528" s="685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4"/>
      <c r="B529" s="674"/>
      <c r="C529" s="674"/>
      <c r="D529" s="674"/>
      <c r="E529" s="674"/>
      <c r="F529" s="674"/>
      <c r="G529" s="674"/>
      <c r="H529" s="674"/>
      <c r="I529" s="674"/>
      <c r="J529" s="674"/>
      <c r="K529" s="674"/>
      <c r="L529" s="674"/>
      <c r="M529" s="674"/>
      <c r="N529" s="674"/>
      <c r="O529" s="675"/>
      <c r="P529" s="683" t="s">
        <v>87</v>
      </c>
      <c r="Q529" s="684"/>
      <c r="R529" s="684"/>
      <c r="S529" s="684"/>
      <c r="T529" s="684"/>
      <c r="U529" s="684"/>
      <c r="V529" s="685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4"/>
      <c r="C531" s="674"/>
      <c r="D531" s="674"/>
      <c r="E531" s="674"/>
      <c r="F531" s="674"/>
      <c r="G531" s="674"/>
      <c r="H531" s="674"/>
      <c r="I531" s="674"/>
      <c r="J531" s="674"/>
      <c r="K531" s="674"/>
      <c r="L531" s="674"/>
      <c r="M531" s="674"/>
      <c r="N531" s="674"/>
      <c r="O531" s="674"/>
      <c r="P531" s="674"/>
      <c r="Q531" s="674"/>
      <c r="R531" s="674"/>
      <c r="S531" s="674"/>
      <c r="T531" s="674"/>
      <c r="U531" s="674"/>
      <c r="V531" s="674"/>
      <c r="W531" s="674"/>
      <c r="X531" s="674"/>
      <c r="Y531" s="674"/>
      <c r="Z531" s="674"/>
      <c r="AA531" s="658"/>
      <c r="AB531" s="658"/>
      <c r="AC531" s="658"/>
    </row>
    <row r="532" spans="1:68" ht="14.25" customHeight="1" x14ac:dyDescent="0.25">
      <c r="A532" s="679" t="s">
        <v>97</v>
      </c>
      <c r="B532" s="674"/>
      <c r="C532" s="674"/>
      <c r="D532" s="674"/>
      <c r="E532" s="674"/>
      <c r="F532" s="674"/>
      <c r="G532" s="674"/>
      <c r="H532" s="674"/>
      <c r="I532" s="674"/>
      <c r="J532" s="674"/>
      <c r="K532" s="674"/>
      <c r="L532" s="674"/>
      <c r="M532" s="674"/>
      <c r="N532" s="674"/>
      <c r="O532" s="674"/>
      <c r="P532" s="674"/>
      <c r="Q532" s="674"/>
      <c r="R532" s="674"/>
      <c r="S532" s="674"/>
      <c r="T532" s="674"/>
      <c r="U532" s="674"/>
      <c r="V532" s="674"/>
      <c r="W532" s="674"/>
      <c r="X532" s="674"/>
      <c r="Y532" s="674"/>
      <c r="Z532" s="674"/>
      <c r="AA532" s="656"/>
      <c r="AB532" s="656"/>
      <c r="AC532" s="656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7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51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8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3"/>
      <c r="B539" s="674"/>
      <c r="C539" s="674"/>
      <c r="D539" s="674"/>
      <c r="E539" s="674"/>
      <c r="F539" s="674"/>
      <c r="G539" s="674"/>
      <c r="H539" s="674"/>
      <c r="I539" s="674"/>
      <c r="J539" s="674"/>
      <c r="K539" s="674"/>
      <c r="L539" s="674"/>
      <c r="M539" s="674"/>
      <c r="N539" s="674"/>
      <c r="O539" s="675"/>
      <c r="P539" s="683" t="s">
        <v>87</v>
      </c>
      <c r="Q539" s="684"/>
      <c r="R539" s="684"/>
      <c r="S539" s="684"/>
      <c r="T539" s="684"/>
      <c r="U539" s="684"/>
      <c r="V539" s="685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4"/>
      <c r="B540" s="674"/>
      <c r="C540" s="674"/>
      <c r="D540" s="674"/>
      <c r="E540" s="674"/>
      <c r="F540" s="674"/>
      <c r="G540" s="674"/>
      <c r="H540" s="674"/>
      <c r="I540" s="674"/>
      <c r="J540" s="674"/>
      <c r="K540" s="674"/>
      <c r="L540" s="674"/>
      <c r="M540" s="674"/>
      <c r="N540" s="674"/>
      <c r="O540" s="675"/>
      <c r="P540" s="683" t="s">
        <v>87</v>
      </c>
      <c r="Q540" s="684"/>
      <c r="R540" s="684"/>
      <c r="S540" s="684"/>
      <c r="T540" s="684"/>
      <c r="U540" s="684"/>
      <c r="V540" s="685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4"/>
      <c r="C541" s="674"/>
      <c r="D541" s="674"/>
      <c r="E541" s="674"/>
      <c r="F541" s="674"/>
      <c r="G541" s="674"/>
      <c r="H541" s="674"/>
      <c r="I541" s="674"/>
      <c r="J541" s="674"/>
      <c r="K541" s="674"/>
      <c r="L541" s="674"/>
      <c r="M541" s="674"/>
      <c r="N541" s="674"/>
      <c r="O541" s="674"/>
      <c r="P541" s="674"/>
      <c r="Q541" s="674"/>
      <c r="R541" s="674"/>
      <c r="S541" s="674"/>
      <c r="T541" s="674"/>
      <c r="U541" s="674"/>
      <c r="V541" s="674"/>
      <c r="W541" s="674"/>
      <c r="X541" s="674"/>
      <c r="Y541" s="674"/>
      <c r="Z541" s="674"/>
      <c r="AA541" s="656"/>
      <c r="AB541" s="656"/>
      <c r="AC541" s="656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5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1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3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8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3"/>
      <c r="B547" s="674"/>
      <c r="C547" s="674"/>
      <c r="D547" s="674"/>
      <c r="E547" s="674"/>
      <c r="F547" s="674"/>
      <c r="G547" s="674"/>
      <c r="H547" s="674"/>
      <c r="I547" s="674"/>
      <c r="J547" s="674"/>
      <c r="K547" s="674"/>
      <c r="L547" s="674"/>
      <c r="M547" s="674"/>
      <c r="N547" s="674"/>
      <c r="O547" s="675"/>
      <c r="P547" s="683" t="s">
        <v>87</v>
      </c>
      <c r="Q547" s="684"/>
      <c r="R547" s="684"/>
      <c r="S547" s="684"/>
      <c r="T547" s="684"/>
      <c r="U547" s="684"/>
      <c r="V547" s="685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4"/>
      <c r="B548" s="674"/>
      <c r="C548" s="674"/>
      <c r="D548" s="674"/>
      <c r="E548" s="674"/>
      <c r="F548" s="674"/>
      <c r="G548" s="674"/>
      <c r="H548" s="674"/>
      <c r="I548" s="674"/>
      <c r="J548" s="674"/>
      <c r="K548" s="674"/>
      <c r="L548" s="674"/>
      <c r="M548" s="674"/>
      <c r="N548" s="674"/>
      <c r="O548" s="675"/>
      <c r="P548" s="683" t="s">
        <v>87</v>
      </c>
      <c r="Q548" s="684"/>
      <c r="R548" s="684"/>
      <c r="S548" s="684"/>
      <c r="T548" s="684"/>
      <c r="U548" s="684"/>
      <c r="V548" s="685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4"/>
      <c r="C549" s="674"/>
      <c r="D549" s="674"/>
      <c r="E549" s="674"/>
      <c r="F549" s="674"/>
      <c r="G549" s="674"/>
      <c r="H549" s="674"/>
      <c r="I549" s="674"/>
      <c r="J549" s="674"/>
      <c r="K549" s="674"/>
      <c r="L549" s="674"/>
      <c r="M549" s="674"/>
      <c r="N549" s="674"/>
      <c r="O549" s="674"/>
      <c r="P549" s="674"/>
      <c r="Q549" s="674"/>
      <c r="R549" s="674"/>
      <c r="S549" s="674"/>
      <c r="T549" s="674"/>
      <c r="U549" s="674"/>
      <c r="V549" s="674"/>
      <c r="W549" s="674"/>
      <c r="X549" s="674"/>
      <c r="Y549" s="674"/>
      <c r="Z549" s="674"/>
      <c r="AA549" s="656"/>
      <c r="AB549" s="656"/>
      <c r="AC549" s="656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5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6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2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2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1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1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9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3"/>
      <c r="B557" s="674"/>
      <c r="C557" s="674"/>
      <c r="D557" s="674"/>
      <c r="E557" s="674"/>
      <c r="F557" s="674"/>
      <c r="G557" s="674"/>
      <c r="H557" s="674"/>
      <c r="I557" s="674"/>
      <c r="J557" s="674"/>
      <c r="K557" s="674"/>
      <c r="L557" s="674"/>
      <c r="M557" s="674"/>
      <c r="N557" s="674"/>
      <c r="O557" s="675"/>
      <c r="P557" s="683" t="s">
        <v>87</v>
      </c>
      <c r="Q557" s="684"/>
      <c r="R557" s="684"/>
      <c r="S557" s="684"/>
      <c r="T557" s="684"/>
      <c r="U557" s="684"/>
      <c r="V557" s="685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4"/>
      <c r="B558" s="674"/>
      <c r="C558" s="674"/>
      <c r="D558" s="674"/>
      <c r="E558" s="674"/>
      <c r="F558" s="674"/>
      <c r="G558" s="674"/>
      <c r="H558" s="674"/>
      <c r="I558" s="674"/>
      <c r="J558" s="674"/>
      <c r="K558" s="674"/>
      <c r="L558" s="674"/>
      <c r="M558" s="674"/>
      <c r="N558" s="674"/>
      <c r="O558" s="675"/>
      <c r="P558" s="683" t="s">
        <v>87</v>
      </c>
      <c r="Q558" s="684"/>
      <c r="R558" s="684"/>
      <c r="S558" s="684"/>
      <c r="T558" s="684"/>
      <c r="U558" s="684"/>
      <c r="V558" s="685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4"/>
      <c r="C559" s="674"/>
      <c r="D559" s="674"/>
      <c r="E559" s="674"/>
      <c r="F559" s="674"/>
      <c r="G559" s="674"/>
      <c r="H559" s="674"/>
      <c r="I559" s="674"/>
      <c r="J559" s="674"/>
      <c r="K559" s="674"/>
      <c r="L559" s="674"/>
      <c r="M559" s="674"/>
      <c r="N559" s="674"/>
      <c r="O559" s="674"/>
      <c r="P559" s="674"/>
      <c r="Q559" s="674"/>
      <c r="R559" s="674"/>
      <c r="S559" s="674"/>
      <c r="T559" s="674"/>
      <c r="U559" s="674"/>
      <c r="V559" s="674"/>
      <c r="W559" s="674"/>
      <c r="X559" s="674"/>
      <c r="Y559" s="674"/>
      <c r="Z559" s="674"/>
      <c r="AA559" s="656"/>
      <c r="AB559" s="656"/>
      <c r="AC559" s="656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9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9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3"/>
      <c r="B565" s="674"/>
      <c r="C565" s="674"/>
      <c r="D565" s="674"/>
      <c r="E565" s="674"/>
      <c r="F565" s="674"/>
      <c r="G565" s="674"/>
      <c r="H565" s="674"/>
      <c r="I565" s="674"/>
      <c r="J565" s="674"/>
      <c r="K565" s="674"/>
      <c r="L565" s="674"/>
      <c r="M565" s="674"/>
      <c r="N565" s="674"/>
      <c r="O565" s="675"/>
      <c r="P565" s="683" t="s">
        <v>87</v>
      </c>
      <c r="Q565" s="684"/>
      <c r="R565" s="684"/>
      <c r="S565" s="684"/>
      <c r="T565" s="684"/>
      <c r="U565" s="684"/>
      <c r="V565" s="685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4"/>
      <c r="B566" s="674"/>
      <c r="C566" s="674"/>
      <c r="D566" s="674"/>
      <c r="E566" s="674"/>
      <c r="F566" s="674"/>
      <c r="G566" s="674"/>
      <c r="H566" s="674"/>
      <c r="I566" s="674"/>
      <c r="J566" s="674"/>
      <c r="K566" s="674"/>
      <c r="L566" s="674"/>
      <c r="M566" s="674"/>
      <c r="N566" s="674"/>
      <c r="O566" s="675"/>
      <c r="P566" s="683" t="s">
        <v>87</v>
      </c>
      <c r="Q566" s="684"/>
      <c r="R566" s="684"/>
      <c r="S566" s="684"/>
      <c r="T566" s="684"/>
      <c r="U566" s="684"/>
      <c r="V566" s="685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4"/>
      <c r="C567" s="674"/>
      <c r="D567" s="674"/>
      <c r="E567" s="674"/>
      <c r="F567" s="674"/>
      <c r="G567" s="674"/>
      <c r="H567" s="674"/>
      <c r="I567" s="674"/>
      <c r="J567" s="674"/>
      <c r="K567" s="674"/>
      <c r="L567" s="674"/>
      <c r="M567" s="674"/>
      <c r="N567" s="674"/>
      <c r="O567" s="674"/>
      <c r="P567" s="674"/>
      <c r="Q567" s="674"/>
      <c r="R567" s="674"/>
      <c r="S567" s="674"/>
      <c r="T567" s="674"/>
      <c r="U567" s="674"/>
      <c r="V567" s="674"/>
      <c r="W567" s="674"/>
      <c r="X567" s="674"/>
      <c r="Y567" s="674"/>
      <c r="Z567" s="674"/>
      <c r="AA567" s="656"/>
      <c r="AB567" s="656"/>
      <c r="AC567" s="656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9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4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3"/>
      <c r="B572" s="674"/>
      <c r="C572" s="674"/>
      <c r="D572" s="674"/>
      <c r="E572" s="674"/>
      <c r="F572" s="674"/>
      <c r="G572" s="674"/>
      <c r="H572" s="674"/>
      <c r="I572" s="674"/>
      <c r="J572" s="674"/>
      <c r="K572" s="674"/>
      <c r="L572" s="674"/>
      <c r="M572" s="674"/>
      <c r="N572" s="674"/>
      <c r="O572" s="675"/>
      <c r="P572" s="683" t="s">
        <v>87</v>
      </c>
      <c r="Q572" s="684"/>
      <c r="R572" s="684"/>
      <c r="S572" s="684"/>
      <c r="T572" s="684"/>
      <c r="U572" s="684"/>
      <c r="V572" s="685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4"/>
      <c r="B573" s="674"/>
      <c r="C573" s="674"/>
      <c r="D573" s="674"/>
      <c r="E573" s="674"/>
      <c r="F573" s="674"/>
      <c r="G573" s="674"/>
      <c r="H573" s="674"/>
      <c r="I573" s="674"/>
      <c r="J573" s="674"/>
      <c r="K573" s="674"/>
      <c r="L573" s="674"/>
      <c r="M573" s="674"/>
      <c r="N573" s="674"/>
      <c r="O573" s="675"/>
      <c r="P573" s="683" t="s">
        <v>87</v>
      </c>
      <c r="Q573" s="684"/>
      <c r="R573" s="684"/>
      <c r="S573" s="684"/>
      <c r="T573" s="684"/>
      <c r="U573" s="684"/>
      <c r="V573" s="685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4"/>
      <c r="C574" s="674"/>
      <c r="D574" s="674"/>
      <c r="E574" s="674"/>
      <c r="F574" s="674"/>
      <c r="G574" s="674"/>
      <c r="H574" s="674"/>
      <c r="I574" s="674"/>
      <c r="J574" s="674"/>
      <c r="K574" s="674"/>
      <c r="L574" s="674"/>
      <c r="M574" s="674"/>
      <c r="N574" s="674"/>
      <c r="O574" s="674"/>
      <c r="P574" s="674"/>
      <c r="Q574" s="674"/>
      <c r="R574" s="674"/>
      <c r="S574" s="674"/>
      <c r="T574" s="674"/>
      <c r="U574" s="674"/>
      <c r="V574" s="674"/>
      <c r="W574" s="674"/>
      <c r="X574" s="674"/>
      <c r="Y574" s="674"/>
      <c r="Z574" s="674"/>
      <c r="AA574" s="658"/>
      <c r="AB574" s="658"/>
      <c r="AC574" s="658"/>
    </row>
    <row r="575" spans="1:68" ht="14.25" customHeight="1" x14ac:dyDescent="0.25">
      <c r="A575" s="679" t="s">
        <v>97</v>
      </c>
      <c r="B575" s="674"/>
      <c r="C575" s="674"/>
      <c r="D575" s="674"/>
      <c r="E575" s="674"/>
      <c r="F575" s="674"/>
      <c r="G575" s="674"/>
      <c r="H575" s="674"/>
      <c r="I575" s="674"/>
      <c r="J575" s="674"/>
      <c r="K575" s="674"/>
      <c r="L575" s="674"/>
      <c r="M575" s="674"/>
      <c r="N575" s="674"/>
      <c r="O575" s="674"/>
      <c r="P575" s="674"/>
      <c r="Q575" s="674"/>
      <c r="R575" s="674"/>
      <c r="S575" s="674"/>
      <c r="T575" s="674"/>
      <c r="U575" s="674"/>
      <c r="V575" s="674"/>
      <c r="W575" s="674"/>
      <c r="X575" s="674"/>
      <c r="Y575" s="674"/>
      <c r="Z575" s="674"/>
      <c r="AA575" s="656"/>
      <c r="AB575" s="656"/>
      <c r="AC575" s="656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1043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3"/>
      <c r="B577" s="674"/>
      <c r="C577" s="674"/>
      <c r="D577" s="674"/>
      <c r="E577" s="674"/>
      <c r="F577" s="674"/>
      <c r="G577" s="674"/>
      <c r="H577" s="674"/>
      <c r="I577" s="674"/>
      <c r="J577" s="674"/>
      <c r="K577" s="674"/>
      <c r="L577" s="674"/>
      <c r="M577" s="674"/>
      <c r="N577" s="674"/>
      <c r="O577" s="675"/>
      <c r="P577" s="683" t="s">
        <v>87</v>
      </c>
      <c r="Q577" s="684"/>
      <c r="R577" s="684"/>
      <c r="S577" s="684"/>
      <c r="T577" s="684"/>
      <c r="U577" s="684"/>
      <c r="V577" s="685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4"/>
      <c r="B578" s="674"/>
      <c r="C578" s="674"/>
      <c r="D578" s="674"/>
      <c r="E578" s="674"/>
      <c r="F578" s="674"/>
      <c r="G578" s="674"/>
      <c r="H578" s="674"/>
      <c r="I578" s="674"/>
      <c r="J578" s="674"/>
      <c r="K578" s="674"/>
      <c r="L578" s="674"/>
      <c r="M578" s="674"/>
      <c r="N578" s="674"/>
      <c r="O578" s="675"/>
      <c r="P578" s="683" t="s">
        <v>87</v>
      </c>
      <c r="Q578" s="684"/>
      <c r="R578" s="684"/>
      <c r="S578" s="684"/>
      <c r="T578" s="684"/>
      <c r="U578" s="684"/>
      <c r="V578" s="685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4"/>
      <c r="C579" s="674"/>
      <c r="D579" s="674"/>
      <c r="E579" s="674"/>
      <c r="F579" s="674"/>
      <c r="G579" s="674"/>
      <c r="H579" s="674"/>
      <c r="I579" s="674"/>
      <c r="J579" s="674"/>
      <c r="K579" s="674"/>
      <c r="L579" s="674"/>
      <c r="M579" s="674"/>
      <c r="N579" s="674"/>
      <c r="O579" s="674"/>
      <c r="P579" s="674"/>
      <c r="Q579" s="674"/>
      <c r="R579" s="674"/>
      <c r="S579" s="674"/>
      <c r="T579" s="674"/>
      <c r="U579" s="674"/>
      <c r="V579" s="674"/>
      <c r="W579" s="674"/>
      <c r="X579" s="674"/>
      <c r="Y579" s="674"/>
      <c r="Z579" s="674"/>
      <c r="AA579" s="656"/>
      <c r="AB579" s="656"/>
      <c r="AC579" s="656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9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3"/>
      <c r="B581" s="674"/>
      <c r="C581" s="674"/>
      <c r="D581" s="674"/>
      <c r="E581" s="674"/>
      <c r="F581" s="674"/>
      <c r="G581" s="674"/>
      <c r="H581" s="674"/>
      <c r="I581" s="674"/>
      <c r="J581" s="674"/>
      <c r="K581" s="674"/>
      <c r="L581" s="674"/>
      <c r="M581" s="674"/>
      <c r="N581" s="674"/>
      <c r="O581" s="675"/>
      <c r="P581" s="683" t="s">
        <v>87</v>
      </c>
      <c r="Q581" s="684"/>
      <c r="R581" s="684"/>
      <c r="S581" s="684"/>
      <c r="T581" s="684"/>
      <c r="U581" s="684"/>
      <c r="V581" s="685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4"/>
      <c r="B582" s="674"/>
      <c r="C582" s="674"/>
      <c r="D582" s="674"/>
      <c r="E582" s="674"/>
      <c r="F582" s="674"/>
      <c r="G582" s="674"/>
      <c r="H582" s="674"/>
      <c r="I582" s="674"/>
      <c r="J582" s="674"/>
      <c r="K582" s="674"/>
      <c r="L582" s="674"/>
      <c r="M582" s="674"/>
      <c r="N582" s="674"/>
      <c r="O582" s="675"/>
      <c r="P582" s="683" t="s">
        <v>87</v>
      </c>
      <c r="Q582" s="684"/>
      <c r="R582" s="684"/>
      <c r="S582" s="684"/>
      <c r="T582" s="684"/>
      <c r="U582" s="684"/>
      <c r="V582" s="685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4"/>
      <c r="C583" s="674"/>
      <c r="D583" s="674"/>
      <c r="E583" s="674"/>
      <c r="F583" s="674"/>
      <c r="G583" s="674"/>
      <c r="H583" s="674"/>
      <c r="I583" s="674"/>
      <c r="J583" s="674"/>
      <c r="K583" s="674"/>
      <c r="L583" s="674"/>
      <c r="M583" s="674"/>
      <c r="N583" s="674"/>
      <c r="O583" s="674"/>
      <c r="P583" s="674"/>
      <c r="Q583" s="674"/>
      <c r="R583" s="674"/>
      <c r="S583" s="674"/>
      <c r="T583" s="674"/>
      <c r="U583" s="674"/>
      <c r="V583" s="674"/>
      <c r="W583" s="674"/>
      <c r="X583" s="674"/>
      <c r="Y583" s="674"/>
      <c r="Z583" s="674"/>
      <c r="AA583" s="656"/>
      <c r="AB583" s="656"/>
      <c r="AC583" s="656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0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3"/>
      <c r="B585" s="674"/>
      <c r="C585" s="674"/>
      <c r="D585" s="674"/>
      <c r="E585" s="674"/>
      <c r="F585" s="674"/>
      <c r="G585" s="674"/>
      <c r="H585" s="674"/>
      <c r="I585" s="674"/>
      <c r="J585" s="674"/>
      <c r="K585" s="674"/>
      <c r="L585" s="674"/>
      <c r="M585" s="674"/>
      <c r="N585" s="674"/>
      <c r="O585" s="675"/>
      <c r="P585" s="683" t="s">
        <v>87</v>
      </c>
      <c r="Q585" s="684"/>
      <c r="R585" s="684"/>
      <c r="S585" s="684"/>
      <c r="T585" s="684"/>
      <c r="U585" s="684"/>
      <c r="V585" s="685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4"/>
      <c r="B586" s="674"/>
      <c r="C586" s="674"/>
      <c r="D586" s="674"/>
      <c r="E586" s="674"/>
      <c r="F586" s="674"/>
      <c r="G586" s="674"/>
      <c r="H586" s="674"/>
      <c r="I586" s="674"/>
      <c r="J586" s="674"/>
      <c r="K586" s="674"/>
      <c r="L586" s="674"/>
      <c r="M586" s="674"/>
      <c r="N586" s="674"/>
      <c r="O586" s="675"/>
      <c r="P586" s="683" t="s">
        <v>87</v>
      </c>
      <c r="Q586" s="684"/>
      <c r="R586" s="684"/>
      <c r="S586" s="684"/>
      <c r="T586" s="684"/>
      <c r="U586" s="684"/>
      <c r="V586" s="685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4"/>
      <c r="C587" s="674"/>
      <c r="D587" s="674"/>
      <c r="E587" s="674"/>
      <c r="F587" s="674"/>
      <c r="G587" s="674"/>
      <c r="H587" s="674"/>
      <c r="I587" s="674"/>
      <c r="J587" s="674"/>
      <c r="K587" s="674"/>
      <c r="L587" s="674"/>
      <c r="M587" s="674"/>
      <c r="N587" s="674"/>
      <c r="O587" s="674"/>
      <c r="P587" s="674"/>
      <c r="Q587" s="674"/>
      <c r="R587" s="674"/>
      <c r="S587" s="674"/>
      <c r="T587" s="674"/>
      <c r="U587" s="674"/>
      <c r="V587" s="674"/>
      <c r="W587" s="674"/>
      <c r="X587" s="674"/>
      <c r="Y587" s="674"/>
      <c r="Z587" s="674"/>
      <c r="AA587" s="656"/>
      <c r="AB587" s="656"/>
      <c r="AC587" s="656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5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3"/>
      <c r="B589" s="674"/>
      <c r="C589" s="674"/>
      <c r="D589" s="674"/>
      <c r="E589" s="674"/>
      <c r="F589" s="674"/>
      <c r="G589" s="674"/>
      <c r="H589" s="674"/>
      <c r="I589" s="674"/>
      <c r="J589" s="674"/>
      <c r="K589" s="674"/>
      <c r="L589" s="674"/>
      <c r="M589" s="674"/>
      <c r="N589" s="674"/>
      <c r="O589" s="675"/>
      <c r="P589" s="683" t="s">
        <v>87</v>
      </c>
      <c r="Q589" s="684"/>
      <c r="R589" s="684"/>
      <c r="S589" s="684"/>
      <c r="T589" s="684"/>
      <c r="U589" s="684"/>
      <c r="V589" s="685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4"/>
      <c r="B590" s="674"/>
      <c r="C590" s="674"/>
      <c r="D590" s="674"/>
      <c r="E590" s="674"/>
      <c r="F590" s="674"/>
      <c r="G590" s="674"/>
      <c r="H590" s="674"/>
      <c r="I590" s="674"/>
      <c r="J590" s="674"/>
      <c r="K590" s="674"/>
      <c r="L590" s="674"/>
      <c r="M590" s="674"/>
      <c r="N590" s="674"/>
      <c r="O590" s="675"/>
      <c r="P590" s="683" t="s">
        <v>87</v>
      </c>
      <c r="Q590" s="684"/>
      <c r="R590" s="684"/>
      <c r="S590" s="684"/>
      <c r="T590" s="684"/>
      <c r="U590" s="684"/>
      <c r="V590" s="685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2"/>
      <c r="B591" s="674"/>
      <c r="C591" s="674"/>
      <c r="D591" s="674"/>
      <c r="E591" s="674"/>
      <c r="F591" s="674"/>
      <c r="G591" s="674"/>
      <c r="H591" s="674"/>
      <c r="I591" s="674"/>
      <c r="J591" s="674"/>
      <c r="K591" s="674"/>
      <c r="L591" s="674"/>
      <c r="M591" s="674"/>
      <c r="N591" s="674"/>
      <c r="O591" s="850"/>
      <c r="P591" s="817" t="s">
        <v>936</v>
      </c>
      <c r="Q591" s="802"/>
      <c r="R591" s="802"/>
      <c r="S591" s="802"/>
      <c r="T591" s="802"/>
      <c r="U591" s="802"/>
      <c r="V591" s="803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1000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1032</v>
      </c>
      <c r="Z591" s="37"/>
      <c r="AA591" s="666"/>
      <c r="AB591" s="666"/>
      <c r="AC591" s="666"/>
    </row>
    <row r="592" spans="1:68" x14ac:dyDescent="0.2">
      <c r="A592" s="674"/>
      <c r="B592" s="674"/>
      <c r="C592" s="674"/>
      <c r="D592" s="674"/>
      <c r="E592" s="674"/>
      <c r="F592" s="674"/>
      <c r="G592" s="674"/>
      <c r="H592" s="674"/>
      <c r="I592" s="674"/>
      <c r="J592" s="674"/>
      <c r="K592" s="674"/>
      <c r="L592" s="674"/>
      <c r="M592" s="674"/>
      <c r="N592" s="674"/>
      <c r="O592" s="850"/>
      <c r="P592" s="817" t="s">
        <v>937</v>
      </c>
      <c r="Q592" s="802"/>
      <c r="R592" s="802"/>
      <c r="S592" s="802"/>
      <c r="T592" s="802"/>
      <c r="U592" s="802"/>
      <c r="V592" s="803"/>
      <c r="W592" s="37" t="s">
        <v>68</v>
      </c>
      <c r="X592" s="665">
        <f>IFERROR(SUM(BM22:BM588),"0")</f>
        <v>1037.1333333333334</v>
      </c>
      <c r="Y592" s="665">
        <f>IFERROR(SUM(BN22:BN588),"0")</f>
        <v>1070.337</v>
      </c>
      <c r="Z592" s="37"/>
      <c r="AA592" s="666"/>
      <c r="AB592" s="666"/>
      <c r="AC592" s="666"/>
    </row>
    <row r="593" spans="1:32" x14ac:dyDescent="0.2">
      <c r="A593" s="674"/>
      <c r="B593" s="674"/>
      <c r="C593" s="674"/>
      <c r="D593" s="674"/>
      <c r="E593" s="674"/>
      <c r="F593" s="674"/>
      <c r="G593" s="674"/>
      <c r="H593" s="674"/>
      <c r="I593" s="674"/>
      <c r="J593" s="674"/>
      <c r="K593" s="674"/>
      <c r="L593" s="674"/>
      <c r="M593" s="674"/>
      <c r="N593" s="674"/>
      <c r="O593" s="850"/>
      <c r="P593" s="817" t="s">
        <v>938</v>
      </c>
      <c r="Q593" s="802"/>
      <c r="R593" s="802"/>
      <c r="S593" s="802"/>
      <c r="T593" s="802"/>
      <c r="U593" s="802"/>
      <c r="V593" s="803"/>
      <c r="W593" s="37" t="s">
        <v>939</v>
      </c>
      <c r="X593" s="38">
        <f>ROUNDUP(SUM(BO22:BO588),0)</f>
        <v>2</v>
      </c>
      <c r="Y593" s="38">
        <f>ROUNDUP(SUM(BP22:BP588),0)</f>
        <v>2</v>
      </c>
      <c r="Z593" s="37"/>
      <c r="AA593" s="666"/>
      <c r="AB593" s="666"/>
      <c r="AC593" s="666"/>
    </row>
    <row r="594" spans="1:32" x14ac:dyDescent="0.2">
      <c r="A594" s="674"/>
      <c r="B594" s="674"/>
      <c r="C594" s="674"/>
      <c r="D594" s="674"/>
      <c r="E594" s="674"/>
      <c r="F594" s="674"/>
      <c r="G594" s="674"/>
      <c r="H594" s="674"/>
      <c r="I594" s="674"/>
      <c r="J594" s="674"/>
      <c r="K594" s="674"/>
      <c r="L594" s="674"/>
      <c r="M594" s="674"/>
      <c r="N594" s="674"/>
      <c r="O594" s="850"/>
      <c r="P594" s="817" t="s">
        <v>940</v>
      </c>
      <c r="Q594" s="802"/>
      <c r="R594" s="802"/>
      <c r="S594" s="802"/>
      <c r="T594" s="802"/>
      <c r="U594" s="802"/>
      <c r="V594" s="803"/>
      <c r="W594" s="37" t="s">
        <v>68</v>
      </c>
      <c r="X594" s="665">
        <f>GrossWeightTotal+PalletQtyTotal*25</f>
        <v>1087.1333333333334</v>
      </c>
      <c r="Y594" s="665">
        <f>GrossWeightTotalR+PalletQtyTotalR*25</f>
        <v>1120.337</v>
      </c>
      <c r="Z594" s="37"/>
      <c r="AA594" s="666"/>
      <c r="AB594" s="666"/>
      <c r="AC594" s="666"/>
    </row>
    <row r="595" spans="1:32" x14ac:dyDescent="0.2">
      <c r="A595" s="674"/>
      <c r="B595" s="674"/>
      <c r="C595" s="674"/>
      <c r="D595" s="674"/>
      <c r="E595" s="674"/>
      <c r="F595" s="674"/>
      <c r="G595" s="674"/>
      <c r="H595" s="674"/>
      <c r="I595" s="674"/>
      <c r="J595" s="674"/>
      <c r="K595" s="674"/>
      <c r="L595" s="674"/>
      <c r="M595" s="674"/>
      <c r="N595" s="674"/>
      <c r="O595" s="850"/>
      <c r="P595" s="817" t="s">
        <v>941</v>
      </c>
      <c r="Q595" s="802"/>
      <c r="R595" s="802"/>
      <c r="S595" s="802"/>
      <c r="T595" s="802"/>
      <c r="U595" s="802"/>
      <c r="V595" s="803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75.555555555555557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78</v>
      </c>
      <c r="Z595" s="37"/>
      <c r="AA595" s="666"/>
      <c r="AB595" s="666"/>
      <c r="AC595" s="666"/>
    </row>
    <row r="596" spans="1:32" ht="14.25" customHeight="1" x14ac:dyDescent="0.2">
      <c r="A596" s="674"/>
      <c r="B596" s="674"/>
      <c r="C596" s="674"/>
      <c r="D596" s="674"/>
      <c r="E596" s="674"/>
      <c r="F596" s="674"/>
      <c r="G596" s="674"/>
      <c r="H596" s="674"/>
      <c r="I596" s="674"/>
      <c r="J596" s="674"/>
      <c r="K596" s="674"/>
      <c r="L596" s="674"/>
      <c r="M596" s="674"/>
      <c r="N596" s="674"/>
      <c r="O596" s="850"/>
      <c r="P596" s="817" t="s">
        <v>942</v>
      </c>
      <c r="Q596" s="802"/>
      <c r="R596" s="802"/>
      <c r="S596" s="802"/>
      <c r="T596" s="802"/>
      <c r="U596" s="802"/>
      <c r="V596" s="803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1.63279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55" t="s">
        <v>62</v>
      </c>
      <c r="C598" s="686" t="s">
        <v>95</v>
      </c>
      <c r="D598" s="781"/>
      <c r="E598" s="781"/>
      <c r="F598" s="781"/>
      <c r="G598" s="781"/>
      <c r="H598" s="782"/>
      <c r="I598" s="686" t="s">
        <v>283</v>
      </c>
      <c r="J598" s="781"/>
      <c r="K598" s="781"/>
      <c r="L598" s="781"/>
      <c r="M598" s="781"/>
      <c r="N598" s="781"/>
      <c r="O598" s="781"/>
      <c r="P598" s="781"/>
      <c r="Q598" s="781"/>
      <c r="R598" s="781"/>
      <c r="S598" s="781"/>
      <c r="T598" s="781"/>
      <c r="U598" s="781"/>
      <c r="V598" s="782"/>
      <c r="W598" s="686" t="s">
        <v>574</v>
      </c>
      <c r="X598" s="782"/>
      <c r="Y598" s="686" t="s">
        <v>652</v>
      </c>
      <c r="Z598" s="781"/>
      <c r="AA598" s="781"/>
      <c r="AB598" s="782"/>
      <c r="AC598" s="655" t="s">
        <v>727</v>
      </c>
      <c r="AD598" s="686" t="s">
        <v>826</v>
      </c>
      <c r="AE598" s="782"/>
      <c r="AF598" s="657"/>
    </row>
    <row r="599" spans="1:32" ht="14.25" customHeight="1" thickTop="1" x14ac:dyDescent="0.2">
      <c r="A599" s="829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57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57"/>
    </row>
    <row r="600" spans="1:32" ht="13.5" customHeight="1" thickBot="1" x14ac:dyDescent="0.25">
      <c r="A600" s="830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57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57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57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825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207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0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57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P590:V590"/>
    <mergeCell ref="A415:Z415"/>
    <mergeCell ref="P576:T576"/>
    <mergeCell ref="D121:E121"/>
    <mergeCell ref="D192:E192"/>
    <mergeCell ref="P296:V296"/>
    <mergeCell ref="P507:T507"/>
    <mergeCell ref="P363:T363"/>
    <mergeCell ref="P338:T338"/>
    <mergeCell ref="D17:E18"/>
    <mergeCell ref="D344:E344"/>
    <mergeCell ref="A479:Z479"/>
    <mergeCell ref="D515:E515"/>
    <mergeCell ref="P534:T534"/>
    <mergeCell ref="P71:T71"/>
    <mergeCell ref="D542:E542"/>
    <mergeCell ref="X17:X18"/>
    <mergeCell ref="D123:E123"/>
    <mergeCell ref="P58:T58"/>
    <mergeCell ref="D250:E250"/>
    <mergeCell ref="P202:T202"/>
    <mergeCell ref="D44:E44"/>
    <mergeCell ref="P536:T536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A266:O267"/>
    <mergeCell ref="P310:V310"/>
    <mergeCell ref="A8:C8"/>
    <mergeCell ref="P124:T124"/>
    <mergeCell ref="D331:E331"/>
    <mergeCell ref="A502:O503"/>
    <mergeCell ref="P595:V595"/>
    <mergeCell ref="D97:E97"/>
    <mergeCell ref="P496:V496"/>
    <mergeCell ref="A10:C10"/>
    <mergeCell ref="P126:T126"/>
    <mergeCell ref="A497:Z497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P510:T510"/>
    <mergeCell ref="A504:Z504"/>
    <mergeCell ref="D54:E54"/>
    <mergeCell ref="P283:V283"/>
    <mergeCell ref="D483:E483"/>
    <mergeCell ref="P581:V581"/>
    <mergeCell ref="D271:E271"/>
    <mergeCell ref="V12:W12"/>
    <mergeCell ref="D191:E191"/>
    <mergeCell ref="P319:T319"/>
    <mergeCell ref="D433:E433"/>
    <mergeCell ref="D458:E458"/>
    <mergeCell ref="P368:T368"/>
    <mergeCell ref="A362:Z362"/>
    <mergeCell ref="A245:Z245"/>
    <mergeCell ref="D237:E237"/>
    <mergeCell ref="P25:T25"/>
    <mergeCell ref="A30:Z30"/>
    <mergeCell ref="P383:T383"/>
    <mergeCell ref="D522:E522"/>
    <mergeCell ref="D571:E571"/>
    <mergeCell ref="P505:T505"/>
    <mergeCell ref="R599:R600"/>
    <mergeCell ref="P439:T439"/>
    <mergeCell ref="P433:T433"/>
    <mergeCell ref="P353:V353"/>
    <mergeCell ref="P524:V524"/>
    <mergeCell ref="A549:Z549"/>
    <mergeCell ref="A83:O84"/>
    <mergeCell ref="D170:E170"/>
    <mergeCell ref="N17:N18"/>
    <mergeCell ref="D49:E49"/>
    <mergeCell ref="Q5:R5"/>
    <mergeCell ref="D120:E120"/>
    <mergeCell ref="F17:F18"/>
    <mergeCell ref="P72:T72"/>
    <mergeCell ref="D242:E242"/>
    <mergeCell ref="P435:T435"/>
    <mergeCell ref="D107:E107"/>
    <mergeCell ref="D278:E278"/>
    <mergeCell ref="P568:T56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149:O150"/>
    <mergeCell ref="Q599:Q600"/>
    <mergeCell ref="P82:T82"/>
    <mergeCell ref="A223:Z223"/>
    <mergeCell ref="V11:W11"/>
    <mergeCell ref="S599:S600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D216:E216"/>
    <mergeCell ref="D265:E265"/>
    <mergeCell ref="P344:T344"/>
    <mergeCell ref="A20:Z20"/>
    <mergeCell ref="P300:V300"/>
    <mergeCell ref="P371:V371"/>
    <mergeCell ref="A318:Z318"/>
    <mergeCell ref="D452:E452"/>
    <mergeCell ref="P515:T515"/>
    <mergeCell ref="P123:T123"/>
    <mergeCell ref="A112:Z112"/>
    <mergeCell ref="Y598:AB598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186:T186"/>
    <mergeCell ref="P529:V529"/>
    <mergeCell ref="D550:E550"/>
    <mergeCell ref="A348:Z348"/>
    <mergeCell ref="A541:Z541"/>
    <mergeCell ref="D218:E218"/>
    <mergeCell ref="A249:Z249"/>
    <mergeCell ref="P495:V495"/>
    <mergeCell ref="P422:V422"/>
    <mergeCell ref="P593:V593"/>
    <mergeCell ref="P68:V68"/>
    <mergeCell ref="A64:Z64"/>
    <mergeCell ref="P239:V239"/>
    <mergeCell ref="D407:E407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526:E526"/>
    <mergeCell ref="D10:E10"/>
    <mergeCell ref="F10:G10"/>
    <mergeCell ref="P191:T191"/>
    <mergeCell ref="D544:E544"/>
    <mergeCell ref="D99:E99"/>
    <mergeCell ref="D270:E270"/>
    <mergeCell ref="P78:V78"/>
    <mergeCell ref="P349:T349"/>
    <mergeCell ref="A130:Z130"/>
    <mergeCell ref="P420:T420"/>
    <mergeCell ref="A447:O448"/>
    <mergeCell ref="Q6:R6"/>
    <mergeCell ref="A385:O386"/>
    <mergeCell ref="P436:T436"/>
    <mergeCell ref="A251:O252"/>
    <mergeCell ref="D25:E25"/>
    <mergeCell ref="D196:E196"/>
    <mergeCell ref="A269:Z269"/>
    <mergeCell ref="P465:T465"/>
    <mergeCell ref="A317:Z317"/>
    <mergeCell ref="D513:E513"/>
    <mergeCell ref="M17:M18"/>
    <mergeCell ref="A531:Z531"/>
    <mergeCell ref="O17:O18"/>
    <mergeCell ref="P336:T336"/>
    <mergeCell ref="A469:Z469"/>
    <mergeCell ref="P187:V187"/>
    <mergeCell ref="A453:O454"/>
    <mergeCell ref="P430:T430"/>
    <mergeCell ref="A104:Z104"/>
    <mergeCell ref="A297:Z297"/>
    <mergeCell ref="A547:O548"/>
    <mergeCell ref="P417:T417"/>
    <mergeCell ref="P588:T588"/>
    <mergeCell ref="A185:Z185"/>
    <mergeCell ref="P196:T196"/>
    <mergeCell ref="D177:E177"/>
    <mergeCell ref="P287:V287"/>
    <mergeCell ref="A312:Z312"/>
    <mergeCell ref="P414:V414"/>
    <mergeCell ref="P585:V585"/>
    <mergeCell ref="P523:V523"/>
    <mergeCell ref="D164:E164"/>
    <mergeCell ref="D562:E562"/>
    <mergeCell ref="A55:O56"/>
    <mergeCell ref="P294:T294"/>
    <mergeCell ref="P145:V145"/>
    <mergeCell ref="P443:V443"/>
    <mergeCell ref="P210:V210"/>
    <mergeCell ref="A35:Z35"/>
    <mergeCell ref="P214:T214"/>
    <mergeCell ref="D257:E257"/>
    <mergeCell ref="P270:T270"/>
    <mergeCell ref="D213:E213"/>
    <mergeCell ref="D384:E384"/>
    <mergeCell ref="P49:T49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P194:V194"/>
    <mergeCell ref="D321:E321"/>
    <mergeCell ref="A364:O365"/>
    <mergeCell ref="AD599:AD600"/>
    <mergeCell ref="D225:E225"/>
    <mergeCell ref="A539:O540"/>
    <mergeCell ref="P580:T580"/>
    <mergeCell ref="A399:O400"/>
    <mergeCell ref="P61:T61"/>
    <mergeCell ref="P555:T555"/>
    <mergeCell ref="A444:Z444"/>
    <mergeCell ref="D436:E436"/>
    <mergeCell ref="P490:T490"/>
    <mergeCell ref="A305:O306"/>
    <mergeCell ref="A243:O244"/>
    <mergeCell ref="D534:E534"/>
    <mergeCell ref="P262:V262"/>
    <mergeCell ref="A9:C9"/>
    <mergeCell ref="P125:T125"/>
    <mergeCell ref="P321:T321"/>
    <mergeCell ref="D202:E202"/>
    <mergeCell ref="D58:E58"/>
    <mergeCell ref="A413:O414"/>
    <mergeCell ref="A302:Z302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K599:K600"/>
    <mergeCell ref="A401:Z401"/>
    <mergeCell ref="P476:V476"/>
    <mergeCell ref="G17:G18"/>
    <mergeCell ref="P184:V184"/>
    <mergeCell ref="D314:E314"/>
    <mergeCell ref="P526:T526"/>
    <mergeCell ref="P171:V171"/>
    <mergeCell ref="A167:Z167"/>
    <mergeCell ref="P413:V413"/>
    <mergeCell ref="D159:E159"/>
    <mergeCell ref="D80:E80"/>
    <mergeCell ref="A530:Z530"/>
    <mergeCell ref="P42:V42"/>
    <mergeCell ref="A169:Z169"/>
    <mergeCell ref="P551:T551"/>
    <mergeCell ref="P471:V471"/>
    <mergeCell ref="D459:E459"/>
    <mergeCell ref="P59:T59"/>
    <mergeCell ref="A532:Z532"/>
    <mergeCell ref="P421:V421"/>
    <mergeCell ref="D434:E434"/>
    <mergeCell ref="P488:T488"/>
    <mergeCell ref="P116:V116"/>
    <mergeCell ref="P32:V32"/>
    <mergeCell ref="P103:V103"/>
    <mergeCell ref="P134:V134"/>
    <mergeCell ref="A293:Z293"/>
    <mergeCell ref="P572:V572"/>
    <mergeCell ref="P201:T201"/>
    <mergeCell ref="D389:E389"/>
    <mergeCell ref="P176:T176"/>
    <mergeCell ref="H5:M5"/>
    <mergeCell ref="P98:T98"/>
    <mergeCell ref="D212:E212"/>
    <mergeCell ref="P225:T225"/>
    <mergeCell ref="A285:Z285"/>
    <mergeCell ref="D439:E439"/>
    <mergeCell ref="D6:M6"/>
    <mergeCell ref="D510:E510"/>
    <mergeCell ref="P565:V565"/>
    <mergeCell ref="D304:E304"/>
    <mergeCell ref="A583:Z583"/>
    <mergeCell ref="P175:T175"/>
    <mergeCell ref="P266:V266"/>
    <mergeCell ref="A85:Z85"/>
    <mergeCell ref="P502:V502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P164:T164"/>
    <mergeCell ref="D207:E207"/>
    <mergeCell ref="D256:E256"/>
    <mergeCell ref="P335:T335"/>
    <mergeCell ref="V6:W9"/>
    <mergeCell ref="P256:T256"/>
    <mergeCell ref="P38:T38"/>
    <mergeCell ref="P554:T554"/>
    <mergeCell ref="P109:T109"/>
    <mergeCell ref="D435:E435"/>
    <mergeCell ref="D186:E186"/>
    <mergeCell ref="A475:O476"/>
    <mergeCell ref="D217:E217"/>
    <mergeCell ref="A226:O227"/>
    <mergeCell ref="P345:T345"/>
    <mergeCell ref="D484:E484"/>
    <mergeCell ref="P22:T22"/>
    <mergeCell ref="D65:E65"/>
    <mergeCell ref="P320:T320"/>
    <mergeCell ref="P314:T314"/>
    <mergeCell ref="P40:T40"/>
    <mergeCell ref="P257:T257"/>
    <mergeCell ref="P80:T80"/>
    <mergeCell ref="P29:V29"/>
    <mergeCell ref="D446:E446"/>
    <mergeCell ref="A519:Z519"/>
    <mergeCell ref="D367:E367"/>
    <mergeCell ref="D383:E383"/>
    <mergeCell ref="P539:V539"/>
    <mergeCell ref="D299:E299"/>
    <mergeCell ref="Q13:R13"/>
    <mergeCell ref="P114:T114"/>
    <mergeCell ref="P241:T241"/>
    <mergeCell ref="P483:T483"/>
    <mergeCell ref="D22:E22"/>
    <mergeCell ref="A62:O63"/>
    <mergeCell ref="A587:Z587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512:T512"/>
    <mergeCell ref="P487:T487"/>
    <mergeCell ref="P343:T343"/>
    <mergeCell ref="D153:E153"/>
    <mergeCell ref="D420:E420"/>
    <mergeCell ref="A460:O461"/>
    <mergeCell ref="L599:L600"/>
    <mergeCell ref="Z17:Z18"/>
    <mergeCell ref="AB17:AB18"/>
    <mergeCell ref="A575:Z575"/>
    <mergeCell ref="I599:I600"/>
    <mergeCell ref="A591:O596"/>
    <mergeCell ref="P165:V165"/>
    <mergeCell ref="P232:T232"/>
    <mergeCell ref="J599:J600"/>
    <mergeCell ref="P159:T159"/>
    <mergeCell ref="P330:T330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217:T217"/>
    <mergeCell ref="P388:T388"/>
    <mergeCell ref="P459:T459"/>
    <mergeCell ref="D465:E465"/>
    <mergeCell ref="D440:E440"/>
    <mergeCell ref="D489:E489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A221:O222"/>
    <mergeCell ref="P252:V252"/>
    <mergeCell ref="P56:V56"/>
    <mergeCell ref="P500:T500"/>
    <mergeCell ref="J9:M9"/>
    <mergeCell ref="P440:T440"/>
    <mergeCell ref="P446:T446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W599:W600"/>
    <mergeCell ref="D555:E555"/>
    <mergeCell ref="Y599:Y600"/>
    <mergeCell ref="A92:Z92"/>
    <mergeCell ref="A559:Z559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D125:E125"/>
    <mergeCell ref="P179:T179"/>
    <mergeCell ref="P204:T204"/>
    <mergeCell ref="A264:Z264"/>
    <mergeCell ref="P375:T375"/>
    <mergeCell ref="A372:Z372"/>
    <mergeCell ref="P172:V172"/>
    <mergeCell ref="P299:T299"/>
    <mergeCell ref="P28:V28"/>
    <mergeCell ref="P150:V150"/>
    <mergeCell ref="P221:V221"/>
    <mergeCell ref="P326:V326"/>
    <mergeCell ref="D138:E138"/>
    <mergeCell ref="P24:T24"/>
    <mergeCell ref="P491:T491"/>
    <mergeCell ref="D286:E286"/>
    <mergeCell ref="P322:T322"/>
    <mergeCell ref="D132:E132"/>
    <mergeCell ref="P89:T89"/>
    <mergeCell ref="P260:T260"/>
    <mergeCell ref="D59:E59"/>
    <mergeCell ref="P309:T309"/>
    <mergeCell ref="A577:O578"/>
    <mergeCell ref="P545:T545"/>
    <mergeCell ref="D178:E178"/>
    <mergeCell ref="P88:T88"/>
    <mergeCell ref="P51:T51"/>
    <mergeCell ref="P26:T26"/>
    <mergeCell ref="P461:V461"/>
    <mergeCell ref="P153:T153"/>
    <mergeCell ref="P324:T324"/>
    <mergeCell ref="P511:T511"/>
    <mergeCell ref="P386:V386"/>
    <mergeCell ref="A211:Z211"/>
    <mergeCell ref="P393:T393"/>
    <mergeCell ref="P564:T564"/>
    <mergeCell ref="D203:E203"/>
    <mergeCell ref="P560:T560"/>
    <mergeCell ref="A284:Z284"/>
    <mergeCell ref="D320:E320"/>
    <mergeCell ref="A455:Z455"/>
    <mergeCell ref="P470:T470"/>
    <mergeCell ref="P426:V426"/>
    <mergeCell ref="P178:T178"/>
    <mergeCell ref="A102:O103"/>
    <mergeCell ref="T5:U5"/>
    <mergeCell ref="P76:T76"/>
    <mergeCell ref="D119:E119"/>
    <mergeCell ref="V5:W5"/>
    <mergeCell ref="P203:T203"/>
    <mergeCell ref="A48:Z48"/>
    <mergeCell ref="D246:E246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D277:E277"/>
    <mergeCell ref="P356:T356"/>
    <mergeCell ref="A557:O558"/>
    <mergeCell ref="D564:E564"/>
    <mergeCell ref="P84:V84"/>
    <mergeCell ref="A12:M12"/>
    <mergeCell ref="P501:T501"/>
    <mergeCell ref="D487:E487"/>
    <mergeCell ref="A240:Z240"/>
    <mergeCell ref="D343:E343"/>
    <mergeCell ref="P74:T74"/>
    <mergeCell ref="P243:V243"/>
    <mergeCell ref="A19:Z19"/>
    <mergeCell ref="A190:Z190"/>
    <mergeCell ref="D182:E182"/>
    <mergeCell ref="P292:V292"/>
    <mergeCell ref="A14:M14"/>
    <mergeCell ref="D109:E109"/>
    <mergeCell ref="D280:E280"/>
    <mergeCell ref="D480:E480"/>
    <mergeCell ref="P528:V528"/>
    <mergeCell ref="D551:E551"/>
    <mergeCell ref="D345:E345"/>
    <mergeCell ref="P424:T424"/>
    <mergeCell ref="D538:E538"/>
    <mergeCell ref="P138:T138"/>
    <mergeCell ref="D485:E485"/>
    <mergeCell ref="P149:V149"/>
    <mergeCell ref="A346:O347"/>
    <mergeCell ref="D137:E137"/>
    <mergeCell ref="P216:T216"/>
    <mergeCell ref="P385:V385"/>
    <mergeCell ref="P447:V447"/>
    <mergeCell ref="P514:T514"/>
    <mergeCell ref="P360:V360"/>
    <mergeCell ref="P489:T489"/>
    <mergeCell ref="D74:E74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D416:E416"/>
    <mergeCell ref="P544:T544"/>
    <mergeCell ref="D93:E93"/>
    <mergeCell ref="P277:T277"/>
    <mergeCell ref="A133:O134"/>
    <mergeCell ref="D220:E220"/>
    <mergeCell ref="P199:V199"/>
    <mergeCell ref="A195:Z195"/>
    <mergeCell ref="A198:O199"/>
    <mergeCell ref="P370:V370"/>
    <mergeCell ref="P122:T122"/>
    <mergeCell ref="P291:V291"/>
    <mergeCell ref="P288:V288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589:V589"/>
    <mergeCell ref="D157:E157"/>
    <mergeCell ref="D328:E328"/>
    <mergeCell ref="A253:Z253"/>
    <mergeCell ref="B599:B600"/>
    <mergeCell ref="D599:D600"/>
    <mergeCell ref="P87:T87"/>
    <mergeCell ref="D201:E201"/>
    <mergeCell ref="D335:E335"/>
    <mergeCell ref="P451:T451"/>
    <mergeCell ref="P516:T516"/>
    <mergeCell ref="P543:T543"/>
    <mergeCell ref="D424:E424"/>
    <mergeCell ref="P224:T224"/>
    <mergeCell ref="U599:U600"/>
    <mergeCell ref="D561:E561"/>
    <mergeCell ref="P198:V198"/>
    <mergeCell ref="P347:V347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364:V364"/>
    <mergeCell ref="P431:T431"/>
    <mergeCell ref="D37:E37"/>
    <mergeCell ref="P493:T493"/>
    <mergeCell ref="D230:E230"/>
    <mergeCell ref="P358:T358"/>
    <mergeCell ref="D339:E339"/>
    <mergeCell ref="P66:T66"/>
    <mergeCell ref="D9:E9"/>
    <mergeCell ref="P137:T137"/>
    <mergeCell ref="D180:E180"/>
    <mergeCell ref="F9:G9"/>
    <mergeCell ref="A6:C6"/>
    <mergeCell ref="D309:E309"/>
    <mergeCell ref="D113:E113"/>
    <mergeCell ref="W598:X598"/>
    <mergeCell ref="P180:T180"/>
    <mergeCell ref="H599:H60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A495:O496"/>
    <mergeCell ref="D115:E115"/>
    <mergeCell ref="P182:T182"/>
    <mergeCell ref="P102:V102"/>
    <mergeCell ref="P480:T480"/>
    <mergeCell ref="Q12:R12"/>
    <mergeCell ref="P280:T280"/>
    <mergeCell ref="P411:T411"/>
    <mergeCell ref="D388:E388"/>
    <mergeCell ref="A68:O69"/>
    <mergeCell ref="A261:O262"/>
    <mergeCell ref="P119:T119"/>
    <mergeCell ref="D546:E546"/>
    <mergeCell ref="P183:V183"/>
    <mergeCell ref="P246:T246"/>
    <mergeCell ref="P354:V354"/>
    <mergeCell ref="P62:V62"/>
    <mergeCell ref="D377:E377"/>
    <mergeCell ref="P456:T456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Q11:R11"/>
    <mergeCell ref="P205:T205"/>
    <mergeCell ref="D260:E260"/>
    <mergeCell ref="D322:E322"/>
    <mergeCell ref="P376:T376"/>
    <mergeCell ref="P133:V133"/>
    <mergeCell ref="P53:T53"/>
    <mergeCell ref="A183:O184"/>
    <mergeCell ref="A47:Z47"/>
    <mergeCell ref="P197:T197"/>
    <mergeCell ref="P351:T351"/>
    <mergeCell ref="A425:O426"/>
    <mergeCell ref="D232:E232"/>
    <mergeCell ref="D403:E403"/>
    <mergeCell ref="P238:V238"/>
    <mergeCell ref="A263:Z263"/>
    <mergeCell ref="D100:E100"/>
    <mergeCell ref="P113:T113"/>
    <mergeCell ref="A173:Z173"/>
    <mergeCell ref="P17:T18"/>
    <mergeCell ref="A229:Z229"/>
    <mergeCell ref="P250:T250"/>
    <mergeCell ref="P50:T50"/>
    <mergeCell ref="P492:T492"/>
    <mergeCell ref="D31:E31"/>
    <mergeCell ref="D50:E50"/>
    <mergeCell ref="D158:E158"/>
    <mergeCell ref="P286:T286"/>
    <mergeCell ref="D329:E329"/>
    <mergeCell ref="A402:Z402"/>
    <mergeCell ref="P584:T584"/>
    <mergeCell ref="I598:V598"/>
    <mergeCell ref="P131:T131"/>
    <mergeCell ref="D108:E108"/>
    <mergeCell ref="D375:E375"/>
    <mergeCell ref="P258:T258"/>
    <mergeCell ref="D369:E369"/>
    <mergeCell ref="A353:O354"/>
    <mergeCell ref="P52:T52"/>
    <mergeCell ref="P494:T494"/>
    <mergeCell ref="A168:Z168"/>
    <mergeCell ref="P350:T350"/>
    <mergeCell ref="P546:T546"/>
    <mergeCell ref="D160:E160"/>
    <mergeCell ref="P556:T556"/>
    <mergeCell ref="P139:V139"/>
    <mergeCell ref="I17:I18"/>
    <mergeCell ref="P481:T481"/>
    <mergeCell ref="P508:T508"/>
    <mergeCell ref="D516:E516"/>
    <mergeCell ref="A105:Z105"/>
    <mergeCell ref="D122:E122"/>
    <mergeCell ref="D224:E224"/>
    <mergeCell ref="P474:T474"/>
    <mergeCell ref="P97:T97"/>
    <mergeCell ref="P230:T230"/>
    <mergeCell ref="P339:T339"/>
    <mergeCell ref="D382:E382"/>
    <mergeCell ref="D1:F1"/>
    <mergeCell ref="A468:Z468"/>
    <mergeCell ref="P46:V46"/>
    <mergeCell ref="P599:P600"/>
    <mergeCell ref="A313:Z313"/>
    <mergeCell ref="P377:T377"/>
    <mergeCell ref="P111:V111"/>
    <mergeCell ref="P282:V282"/>
    <mergeCell ref="A307:Z307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192:T192"/>
    <mergeCell ref="P557:V557"/>
    <mergeCell ref="A116:O117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P340:V340"/>
    <mergeCell ref="P242:T242"/>
    <mergeCell ref="A361:Z361"/>
    <mergeCell ref="P407:T407"/>
    <mergeCell ref="D67:E67"/>
    <mergeCell ref="D5:E5"/>
    <mergeCell ref="P382:T382"/>
    <mergeCell ref="A238:O239"/>
    <mergeCell ref="P553:T553"/>
    <mergeCell ref="A32:O33"/>
    <mergeCell ref="D290:E290"/>
    <mergeCell ref="D94:E94"/>
    <mergeCell ref="D417:E417"/>
    <mergeCell ref="P396:V396"/>
    <mergeCell ref="F599:F600"/>
    <mergeCell ref="P44:T44"/>
    <mergeCell ref="P550:T550"/>
    <mergeCell ref="P237:T237"/>
    <mergeCell ref="P472:V472"/>
    <mergeCell ref="A161:O162"/>
    <mergeCell ref="P31:T31"/>
    <mergeCell ref="A462:Z462"/>
    <mergeCell ref="P158:T158"/>
    <mergeCell ref="P329:T329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P527:T527"/>
    <mergeCell ref="P331:T331"/>
    <mergeCell ref="D470:E470"/>
    <mergeCell ref="D588:E588"/>
    <mergeCell ref="A392:Z392"/>
    <mergeCell ref="P259:T259"/>
    <mergeCell ref="A395:O396"/>
    <mergeCell ref="P148:T148"/>
    <mergeCell ref="D498:E498"/>
    <mergeCell ref="P482:T482"/>
    <mergeCell ref="P162:V162"/>
    <mergeCell ref="O599:O600"/>
    <mergeCell ref="A332:O333"/>
    <mergeCell ref="P460:V460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209:O210"/>
    <mergeCell ref="A450:Z450"/>
    <mergeCell ref="P521:T521"/>
    <mergeCell ref="P570:T570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63:T563"/>
    <mergeCell ref="P33:V33"/>
    <mergeCell ref="P475:V475"/>
    <mergeCell ref="P226:V226"/>
    <mergeCell ref="D356:E356"/>
    <mergeCell ref="D527:E527"/>
    <mergeCell ref="P542:T542"/>
    <mergeCell ref="A387:Z387"/>
    <mergeCell ref="P399:V399"/>
    <mergeCell ref="P333:V333"/>
    <mergeCell ref="D272:E272"/>
    <mergeCell ref="W17:W18"/>
    <mergeCell ref="P445:T445"/>
    <mergeCell ref="P90:V90"/>
    <mergeCell ref="A86:Z86"/>
    <mergeCell ref="P161:V161"/>
    <mergeCell ref="P261:V261"/>
    <mergeCell ref="P332:V332"/>
    <mergeCell ref="P503:V503"/>
    <mergeCell ref="A151:Z151"/>
    <mergeCell ref="A449:Z449"/>
    <mergeCell ref="P234:T234"/>
    <mergeCell ref="P154:V154"/>
    <mergeCell ref="P325:V325"/>
    <mergeCell ref="D142:E142"/>
    <mergeCell ref="P390:V390"/>
    <mergeCell ref="A579:Z579"/>
    <mergeCell ref="D378:E378"/>
    <mergeCell ref="P571:T571"/>
    <mergeCell ref="D381:E381"/>
    <mergeCell ref="D514:E514"/>
    <mergeCell ref="A421:O422"/>
    <mergeCell ref="D308:E308"/>
    <mergeCell ref="P39:T39"/>
    <mergeCell ref="P537:T537"/>
    <mergeCell ref="D87:E87"/>
    <mergeCell ref="P337:T337"/>
    <mergeCell ref="D147:E147"/>
    <mergeCell ref="P188:V188"/>
    <mergeCell ref="A187:O188"/>
    <mergeCell ref="D380:E380"/>
    <mergeCell ref="D445:E445"/>
    <mergeCell ref="P464:T464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D98:E98"/>
    <mergeCell ref="D73:E73"/>
    <mergeCell ref="P77:V77"/>
    <mergeCell ref="A282:O28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220:T220"/>
    <mergeCell ref="P562:T562"/>
    <mergeCell ref="D505:E505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23:O524"/>
    <mergeCell ref="A585:O586"/>
    <mergeCell ref="P520:T520"/>
    <mergeCell ref="D363:E363"/>
    <mergeCell ref="D563:E563"/>
    <mergeCell ref="A572:O573"/>
    <mergeCell ref="D357:E357"/>
    <mergeCell ref="P81:T81"/>
    <mergeCell ref="P379:T379"/>
    <mergeCell ref="D493:E493"/>
    <mergeCell ref="D431:E431"/>
    <mergeCell ref="P99:T99"/>
    <mergeCell ref="A300:O301"/>
    <mergeCell ref="P170:T170"/>
    <mergeCell ref="A471:O472"/>
    <mergeCell ref="D474:E474"/>
    <mergeCell ref="D66:E66"/>
    <mergeCell ref="D535:E535"/>
    <mergeCell ref="D60:E60"/>
    <mergeCell ref="P73:T73"/>
    <mergeCell ref="P437:T437"/>
    <mergeCell ref="A165:O166"/>
    <mergeCell ref="P231:T231"/>
    <mergeCell ref="D174:E174"/>
    <mergeCell ref="A34:Z34"/>
    <mergeCell ref="A276:Z276"/>
    <mergeCell ref="H9:I9"/>
    <mergeCell ref="D281:E281"/>
    <mergeCell ref="A36:Z36"/>
    <mergeCell ref="P389:T389"/>
    <mergeCell ref="P453:V453"/>
    <mergeCell ref="A334:Z334"/>
    <mergeCell ref="P558:V558"/>
    <mergeCell ref="D568:E568"/>
    <mergeCell ref="V10:W10"/>
    <mergeCell ref="D126:E126"/>
    <mergeCell ref="D197:E197"/>
    <mergeCell ref="P381:T381"/>
    <mergeCell ref="D53:E53"/>
    <mergeCell ref="P552:T552"/>
    <mergeCell ref="D351:E351"/>
    <mergeCell ref="D411:E411"/>
    <mergeCell ref="D482:E482"/>
    <mergeCell ref="P160:T160"/>
    <mergeCell ref="P395:V395"/>
    <mergeCell ref="P517:V517"/>
    <mergeCell ref="P566:V566"/>
    <mergeCell ref="P147:T147"/>
    <mergeCell ref="A193:O19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2025-04-10T09:19:35Z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