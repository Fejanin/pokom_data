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24,04,25 ПОКОМ КИ филиалы\"/>
    </mc:Choice>
  </mc:AlternateContent>
  <xr:revisionPtr revIDLastSave="0" documentId="13_ncr:1_{D32385DC-C918-420C-A644-6FB86E2D926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9" i="1" l="1"/>
  <c r="AI15" i="1"/>
  <c r="L7" i="1"/>
  <c r="R7" i="1" s="1"/>
  <c r="L8" i="1"/>
  <c r="R8" i="1" s="1"/>
  <c r="L9" i="1"/>
  <c r="R9" i="1" s="1"/>
  <c r="L10" i="1"/>
  <c r="R10" i="1" s="1"/>
  <c r="L11" i="1"/>
  <c r="R11" i="1" s="1"/>
  <c r="L12" i="1"/>
  <c r="R12" i="1" s="1"/>
  <c r="L13" i="1"/>
  <c r="R13" i="1" s="1"/>
  <c r="V13" i="1" s="1"/>
  <c r="L14" i="1"/>
  <c r="R14" i="1" s="1"/>
  <c r="L15" i="1"/>
  <c r="R15" i="1" s="1"/>
  <c r="L16" i="1"/>
  <c r="R16" i="1" s="1"/>
  <c r="L17" i="1"/>
  <c r="R17" i="1" s="1"/>
  <c r="S17" i="1" s="1"/>
  <c r="AI17" i="1" s="1"/>
  <c r="L18" i="1"/>
  <c r="R18" i="1" s="1"/>
  <c r="L19" i="1"/>
  <c r="R19" i="1" s="1"/>
  <c r="AI19" i="1" s="1"/>
  <c r="L20" i="1"/>
  <c r="R20" i="1" s="1"/>
  <c r="L21" i="1"/>
  <c r="R21" i="1" s="1"/>
  <c r="V21" i="1" s="1"/>
  <c r="L22" i="1"/>
  <c r="R22" i="1" s="1"/>
  <c r="L23" i="1"/>
  <c r="R23" i="1" s="1"/>
  <c r="L24" i="1"/>
  <c r="R24" i="1" s="1"/>
  <c r="L25" i="1"/>
  <c r="R25" i="1" s="1"/>
  <c r="L26" i="1"/>
  <c r="R26" i="1" s="1"/>
  <c r="V26" i="1" s="1"/>
  <c r="L27" i="1"/>
  <c r="R27" i="1" s="1"/>
  <c r="V27" i="1" s="1"/>
  <c r="L28" i="1"/>
  <c r="R28" i="1" s="1"/>
  <c r="L29" i="1"/>
  <c r="R29" i="1" s="1"/>
  <c r="V29" i="1" s="1"/>
  <c r="L30" i="1"/>
  <c r="R30" i="1" s="1"/>
  <c r="V30" i="1" s="1"/>
  <c r="L31" i="1"/>
  <c r="R31" i="1" s="1"/>
  <c r="V31" i="1" s="1"/>
  <c r="L32" i="1"/>
  <c r="R32" i="1" s="1"/>
  <c r="V32" i="1" s="1"/>
  <c r="L33" i="1"/>
  <c r="R33" i="1" s="1"/>
  <c r="L34" i="1"/>
  <c r="R34" i="1" s="1"/>
  <c r="S34" i="1" s="1"/>
  <c r="L35" i="1"/>
  <c r="R35" i="1" s="1"/>
  <c r="L36" i="1"/>
  <c r="R36" i="1" s="1"/>
  <c r="L37" i="1"/>
  <c r="R37" i="1" s="1"/>
  <c r="L38" i="1"/>
  <c r="R38" i="1" s="1"/>
  <c r="V38" i="1" s="1"/>
  <c r="L39" i="1"/>
  <c r="R39" i="1" s="1"/>
  <c r="L40" i="1"/>
  <c r="R40" i="1" s="1"/>
  <c r="L41" i="1"/>
  <c r="R41" i="1" s="1"/>
  <c r="S41" i="1" s="1"/>
  <c r="AI41" i="1" s="1"/>
  <c r="L42" i="1"/>
  <c r="R42" i="1" s="1"/>
  <c r="L43" i="1"/>
  <c r="R43" i="1" s="1"/>
  <c r="S43" i="1" s="1"/>
  <c r="AI43" i="1" s="1"/>
  <c r="L44" i="1"/>
  <c r="R44" i="1" s="1"/>
  <c r="S44" i="1" s="1"/>
  <c r="L45" i="1"/>
  <c r="R45" i="1" s="1"/>
  <c r="S45" i="1" s="1"/>
  <c r="AI45" i="1" s="1"/>
  <c r="L46" i="1"/>
  <c r="R46" i="1" s="1"/>
  <c r="L47" i="1"/>
  <c r="R47" i="1" s="1"/>
  <c r="S47" i="1" s="1"/>
  <c r="AI47" i="1" s="1"/>
  <c r="L48" i="1"/>
  <c r="R48" i="1" s="1"/>
  <c r="V48" i="1" s="1"/>
  <c r="L49" i="1"/>
  <c r="R49" i="1" s="1"/>
  <c r="L50" i="1"/>
  <c r="R50" i="1" s="1"/>
  <c r="V50" i="1" s="1"/>
  <c r="L51" i="1"/>
  <c r="R51" i="1" s="1"/>
  <c r="AI51" i="1" s="1"/>
  <c r="L52" i="1"/>
  <c r="R52" i="1" s="1"/>
  <c r="L53" i="1"/>
  <c r="R53" i="1" s="1"/>
  <c r="L54" i="1"/>
  <c r="R54" i="1" s="1"/>
  <c r="L55" i="1"/>
  <c r="R55" i="1" s="1"/>
  <c r="L56" i="1"/>
  <c r="R56" i="1" s="1"/>
  <c r="L57" i="1"/>
  <c r="R57" i="1" s="1"/>
  <c r="AI57" i="1" s="1"/>
  <c r="L58" i="1"/>
  <c r="R58" i="1" s="1"/>
  <c r="L59" i="1"/>
  <c r="R59" i="1" s="1"/>
  <c r="AI59" i="1" s="1"/>
  <c r="L60" i="1"/>
  <c r="R60" i="1" s="1"/>
  <c r="L61" i="1"/>
  <c r="R61" i="1" s="1"/>
  <c r="AI61" i="1" s="1"/>
  <c r="L62" i="1"/>
  <c r="R62" i="1" s="1"/>
  <c r="L63" i="1"/>
  <c r="R63" i="1" s="1"/>
  <c r="L64" i="1"/>
  <c r="R64" i="1" s="1"/>
  <c r="V64" i="1" s="1"/>
  <c r="L65" i="1"/>
  <c r="R65" i="1" s="1"/>
  <c r="V65" i="1" s="1"/>
  <c r="L66" i="1"/>
  <c r="R66" i="1" s="1"/>
  <c r="V66" i="1" s="1"/>
  <c r="L67" i="1"/>
  <c r="R67" i="1" s="1"/>
  <c r="L68" i="1"/>
  <c r="R68" i="1" s="1"/>
  <c r="V68" i="1" s="1"/>
  <c r="L69" i="1"/>
  <c r="R69" i="1" s="1"/>
  <c r="AI69" i="1" s="1"/>
  <c r="L70" i="1"/>
  <c r="R70" i="1" s="1"/>
  <c r="L71" i="1"/>
  <c r="R71" i="1" s="1"/>
  <c r="AI71" i="1" s="1"/>
  <c r="L72" i="1"/>
  <c r="R72" i="1" s="1"/>
  <c r="L73" i="1"/>
  <c r="R73" i="1" s="1"/>
  <c r="V73" i="1" s="1"/>
  <c r="L74" i="1"/>
  <c r="R74" i="1" s="1"/>
  <c r="V74" i="1" s="1"/>
  <c r="L75" i="1"/>
  <c r="R75" i="1" s="1"/>
  <c r="AI75" i="1" s="1"/>
  <c r="L76" i="1"/>
  <c r="R76" i="1" s="1"/>
  <c r="L77" i="1"/>
  <c r="R77" i="1" s="1"/>
  <c r="L78" i="1"/>
  <c r="R78" i="1" s="1"/>
  <c r="V78" i="1" s="1"/>
  <c r="L79" i="1"/>
  <c r="R79" i="1" s="1"/>
  <c r="L80" i="1"/>
  <c r="R80" i="1" s="1"/>
  <c r="L81" i="1"/>
  <c r="R81" i="1" s="1"/>
  <c r="L82" i="1"/>
  <c r="R82" i="1" s="1"/>
  <c r="L83" i="1"/>
  <c r="R83" i="1" s="1"/>
  <c r="V83" i="1" s="1"/>
  <c r="L84" i="1"/>
  <c r="R84" i="1" s="1"/>
  <c r="L85" i="1"/>
  <c r="R85" i="1" s="1"/>
  <c r="S85" i="1" s="1"/>
  <c r="AI85" i="1" s="1"/>
  <c r="L86" i="1"/>
  <c r="R86" i="1" s="1"/>
  <c r="L87" i="1"/>
  <c r="R87" i="1" s="1"/>
  <c r="AI87" i="1" s="1"/>
  <c r="L88" i="1"/>
  <c r="R88" i="1" s="1"/>
  <c r="L89" i="1"/>
  <c r="R89" i="1" s="1"/>
  <c r="AI89" i="1" s="1"/>
  <c r="L90" i="1"/>
  <c r="R90" i="1" s="1"/>
  <c r="L91" i="1"/>
  <c r="R91" i="1" s="1"/>
  <c r="AI91" i="1" s="1"/>
  <c r="L92" i="1"/>
  <c r="R92" i="1" s="1"/>
  <c r="L93" i="1"/>
  <c r="R93" i="1" s="1"/>
  <c r="W93" i="1" s="1"/>
  <c r="L94" i="1"/>
  <c r="R94" i="1" s="1"/>
  <c r="L95" i="1"/>
  <c r="R95" i="1" s="1"/>
  <c r="W95" i="1" s="1"/>
  <c r="L96" i="1"/>
  <c r="R96" i="1" s="1"/>
  <c r="W96" i="1" s="1"/>
  <c r="L97" i="1"/>
  <c r="R97" i="1" s="1"/>
  <c r="W97" i="1" s="1"/>
  <c r="L6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AI53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AG5" i="1"/>
  <c r="AF5" i="1"/>
  <c r="AE5" i="1"/>
  <c r="AD5" i="1"/>
  <c r="AC5" i="1"/>
  <c r="AB5" i="1"/>
  <c r="AA5" i="1"/>
  <c r="Z5" i="1"/>
  <c r="Y5" i="1"/>
  <c r="X5" i="1"/>
  <c r="T5" i="1"/>
  <c r="Q5" i="1"/>
  <c r="P5" i="1"/>
  <c r="O5" i="1"/>
  <c r="N5" i="1"/>
  <c r="M5" i="1"/>
  <c r="J5" i="1"/>
  <c r="F5" i="1"/>
  <c r="E5" i="1"/>
  <c r="S55" i="1" l="1"/>
  <c r="AI55" i="1" s="1"/>
  <c r="S63" i="1"/>
  <c r="AI63" i="1" s="1"/>
  <c r="AI93" i="1"/>
  <c r="AI77" i="1"/>
  <c r="AI95" i="1"/>
  <c r="W94" i="1"/>
  <c r="AI94" i="1"/>
  <c r="W92" i="1"/>
  <c r="S92" i="1"/>
  <c r="AI92" i="1" s="1"/>
  <c r="AI90" i="1"/>
  <c r="S88" i="1"/>
  <c r="AI88" i="1" s="1"/>
  <c r="AI86" i="1"/>
  <c r="AI84" i="1"/>
  <c r="AI82" i="1"/>
  <c r="AI80" i="1"/>
  <c r="AI76" i="1"/>
  <c r="AI72" i="1"/>
  <c r="AI70" i="1"/>
  <c r="S62" i="1"/>
  <c r="AI62" i="1" s="1"/>
  <c r="AI60" i="1"/>
  <c r="AI58" i="1"/>
  <c r="S56" i="1"/>
  <c r="AI56" i="1" s="1"/>
  <c r="AI54" i="1"/>
  <c r="S52" i="1"/>
  <c r="AI52" i="1" s="1"/>
  <c r="AI46" i="1"/>
  <c r="AI44" i="1"/>
  <c r="S42" i="1"/>
  <c r="AI42" i="1" s="1"/>
  <c r="AI40" i="1"/>
  <c r="AI36" i="1"/>
  <c r="AI34" i="1"/>
  <c r="V24" i="1"/>
  <c r="S8" i="1"/>
  <c r="AI8" i="1" s="1"/>
  <c r="AI10" i="1"/>
  <c r="AI12" i="1"/>
  <c r="AI22" i="1"/>
  <c r="AI24" i="1"/>
  <c r="AI28" i="1"/>
  <c r="V25" i="1"/>
  <c r="S7" i="1"/>
  <c r="AI7" i="1" s="1"/>
  <c r="AI9" i="1"/>
  <c r="S11" i="1"/>
  <c r="AI11" i="1" s="1"/>
  <c r="AI14" i="1"/>
  <c r="S16" i="1"/>
  <c r="AI16" i="1" s="1"/>
  <c r="AI18" i="1"/>
  <c r="AI20" i="1"/>
  <c r="AI23" i="1"/>
  <c r="AI25" i="1"/>
  <c r="S33" i="1"/>
  <c r="AI33" i="1" s="1"/>
  <c r="S35" i="1"/>
  <c r="AI35" i="1" s="1"/>
  <c r="S37" i="1"/>
  <c r="AI37" i="1" s="1"/>
  <c r="S49" i="1"/>
  <c r="AI49" i="1" s="1"/>
  <c r="S67" i="1"/>
  <c r="AI67" i="1" s="1"/>
  <c r="AI79" i="1"/>
  <c r="AI81" i="1"/>
  <c r="AI97" i="1"/>
  <c r="V91" i="1"/>
  <c r="V89" i="1"/>
  <c r="V87" i="1"/>
  <c r="V85" i="1"/>
  <c r="V77" i="1"/>
  <c r="V75" i="1"/>
  <c r="V71" i="1"/>
  <c r="V69" i="1"/>
  <c r="V63" i="1"/>
  <c r="V61" i="1"/>
  <c r="V59" i="1"/>
  <c r="V57" i="1"/>
  <c r="V53" i="1"/>
  <c r="V51" i="1"/>
  <c r="V47" i="1"/>
  <c r="V45" i="1"/>
  <c r="V43" i="1"/>
  <c r="V41" i="1"/>
  <c r="V39" i="1"/>
  <c r="V19" i="1"/>
  <c r="V17" i="1"/>
  <c r="V15" i="1"/>
  <c r="W86" i="1"/>
  <c r="W78" i="1"/>
  <c r="W70" i="1"/>
  <c r="W62" i="1"/>
  <c r="W54" i="1"/>
  <c r="W46" i="1"/>
  <c r="W38" i="1"/>
  <c r="W30" i="1"/>
  <c r="W22" i="1"/>
  <c r="W14" i="1"/>
  <c r="K5" i="1"/>
  <c r="W90" i="1"/>
  <c r="W82" i="1"/>
  <c r="W74" i="1"/>
  <c r="W66" i="1"/>
  <c r="W58" i="1"/>
  <c r="W50" i="1"/>
  <c r="W42" i="1"/>
  <c r="W34" i="1"/>
  <c r="W26" i="1"/>
  <c r="W18" i="1"/>
  <c r="W10" i="1"/>
  <c r="V96" i="1"/>
  <c r="W88" i="1"/>
  <c r="W84" i="1"/>
  <c r="W80" i="1"/>
  <c r="W76" i="1"/>
  <c r="W72" i="1"/>
  <c r="W68" i="1"/>
  <c r="W64" i="1"/>
  <c r="W60" i="1"/>
  <c r="W56" i="1"/>
  <c r="W52" i="1"/>
  <c r="W48" i="1"/>
  <c r="W44" i="1"/>
  <c r="W40" i="1"/>
  <c r="W36" i="1"/>
  <c r="W32" i="1"/>
  <c r="W28" i="1"/>
  <c r="W24" i="1"/>
  <c r="W20" i="1"/>
  <c r="W16" i="1"/>
  <c r="W12" i="1"/>
  <c r="W8" i="1"/>
  <c r="V97" i="1"/>
  <c r="L5" i="1"/>
  <c r="W91" i="1"/>
  <c r="W89" i="1"/>
  <c r="W87" i="1"/>
  <c r="W85" i="1"/>
  <c r="W83" i="1"/>
  <c r="W81" i="1"/>
  <c r="W79" i="1"/>
  <c r="W77" i="1"/>
  <c r="W75" i="1"/>
  <c r="W73" i="1"/>
  <c r="W71" i="1"/>
  <c r="W69" i="1"/>
  <c r="W67" i="1"/>
  <c r="W65" i="1"/>
  <c r="W63" i="1"/>
  <c r="W61" i="1"/>
  <c r="W59" i="1"/>
  <c r="W57" i="1"/>
  <c r="W55" i="1"/>
  <c r="W53" i="1"/>
  <c r="W51" i="1"/>
  <c r="W49" i="1"/>
  <c r="W47" i="1"/>
  <c r="W45" i="1"/>
  <c r="W43" i="1"/>
  <c r="W41" i="1"/>
  <c r="W39" i="1"/>
  <c r="W37" i="1"/>
  <c r="W35" i="1"/>
  <c r="W33" i="1"/>
  <c r="W31" i="1"/>
  <c r="W29" i="1"/>
  <c r="W27" i="1"/>
  <c r="W25" i="1"/>
  <c r="W23" i="1"/>
  <c r="W21" i="1"/>
  <c r="W19" i="1"/>
  <c r="W17" i="1"/>
  <c r="W15" i="1"/>
  <c r="W13" i="1"/>
  <c r="W11" i="1"/>
  <c r="W9" i="1"/>
  <c r="W7" i="1"/>
  <c r="R6" i="1"/>
  <c r="S6" i="1" s="1"/>
  <c r="AI6" i="1" s="1"/>
  <c r="V55" i="1" l="1"/>
  <c r="V95" i="1"/>
  <c r="V7" i="1"/>
  <c r="V49" i="1"/>
  <c r="V93" i="1"/>
  <c r="V16" i="1"/>
  <c r="V8" i="1"/>
  <c r="V92" i="1"/>
  <c r="V94" i="1"/>
  <c r="V11" i="1"/>
  <c r="V35" i="1"/>
  <c r="V79" i="1"/>
  <c r="V12" i="1"/>
  <c r="V20" i="1"/>
  <c r="AI5" i="1"/>
  <c r="S5" i="1"/>
  <c r="V9" i="1"/>
  <c r="V23" i="1"/>
  <c r="V33" i="1"/>
  <c r="V37" i="1"/>
  <c r="V67" i="1"/>
  <c r="V81" i="1"/>
  <c r="V10" i="1"/>
  <c r="V14" i="1"/>
  <c r="V18" i="1"/>
  <c r="V22" i="1"/>
  <c r="V28" i="1"/>
  <c r="V34" i="1"/>
  <c r="V36" i="1"/>
  <c r="V40" i="1"/>
  <c r="V42" i="1"/>
  <c r="V44" i="1"/>
  <c r="V46" i="1"/>
  <c r="V52" i="1"/>
  <c r="V54" i="1"/>
  <c r="V56" i="1"/>
  <c r="V58" i="1"/>
  <c r="V60" i="1"/>
  <c r="V62" i="1"/>
  <c r="V70" i="1"/>
  <c r="V72" i="1"/>
  <c r="V76" i="1"/>
  <c r="V80" i="1"/>
  <c r="V82" i="1"/>
  <c r="V84" i="1"/>
  <c r="V86" i="1"/>
  <c r="V88" i="1"/>
  <c r="V90" i="1"/>
  <c r="R5" i="1"/>
  <c r="V6" i="1"/>
  <c r="W6" i="1"/>
</calcChain>
</file>

<file path=xl/sharedStrings.xml><?xml version="1.0" encoding="utf-8"?>
<sst xmlns="http://schemas.openxmlformats.org/spreadsheetml/2006/main" count="390" uniqueCount="170">
  <si>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</si>
  <si>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</si>
  <si>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</si>
  <si>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</si>
  <si>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</si>
  <si>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</si>
  <si>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</si>
  <si>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</si>
  <si>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</si>
  <si>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</si>
  <si>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</si>
  <si>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</si>
  <si>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</si>
  <si>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</si>
  <si>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</si>
  <si>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</si>
  <si>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</si>
  <si>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</si>
  <si>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</si>
  <si>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</si>
  <si>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</si>
  <si>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</si>
  <si>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</si>
  <si>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21,04,</t>
  </si>
  <si>
    <t>22,04,</t>
  </si>
  <si>
    <t>26,04,(1)</t>
  </si>
  <si>
    <t>26,04,(2)</t>
  </si>
  <si>
    <t>24,04,</t>
  </si>
  <si>
    <t>23,04,</t>
  </si>
  <si>
    <t>17,04,</t>
  </si>
  <si>
    <t>16,04,</t>
  </si>
  <si>
    <t>10,04,</t>
  </si>
  <si>
    <t>09,04,</t>
  </si>
  <si>
    <t>03,04,</t>
  </si>
  <si>
    <t>02,04,</t>
  </si>
  <si>
    <t>27,03,</t>
  </si>
  <si>
    <t>26,03,</t>
  </si>
  <si>
    <t>20,03,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</si>
  <si>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</si>
  <si>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</si>
  <si>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</si>
  <si>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</si>
  <si>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нужно увеличить продажи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</si>
  <si>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</si>
  <si>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</si>
  <si>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</si>
  <si>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ВНИМАНИЕ / матрица</t>
  </si>
  <si>
    <t>ТС Обжора</t>
  </si>
  <si>
    <t xml:space="preserve"> 032  Сосиски Вязанка Сливочные, Вязанка амицел МГС, 0.45кг, ПОКОМ</t>
  </si>
  <si>
    <t>ТС Обжора / ТМА май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</si>
  <si>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</si>
  <si>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</si>
  <si>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080  Колбаса Сервелат Филейбургский, в/у 0,35 кг срез, БАВАРУШКА ПОКОМ</t>
  </si>
  <si>
    <t>не в матрице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</si>
  <si>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</si>
  <si>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</si>
  <si>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</si>
  <si>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>нужно увеличить продажи / ТС Обжора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</si>
  <si>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</si>
  <si>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</si>
  <si>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>ТМА май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</si>
  <si>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</si>
  <si>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</si>
  <si>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</si>
  <si>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</si>
  <si>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229  Колбаса Молочная Дугушка, в/у, ВЕС, ТМ Стародворье   ПОКОМ</t>
  </si>
  <si>
    <t>ТМА апрель_май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</si>
  <si>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</si>
  <si>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</si>
  <si>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ТМА апрель</t>
  </si>
  <si>
    <t xml:space="preserve"> 242  Колбаса Сервелат ЗАПЕЧ.Дугушка ТМ Стародворье, вектор, в/к     ПОКОМ</t>
  </si>
  <si>
    <t>нужно увеличить продажи / ТМА май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</si>
  <si>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</si>
  <si>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</si>
  <si>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</si>
  <si>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</si>
  <si>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</si>
  <si>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</si>
  <si>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</si>
  <si>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</si>
  <si>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>22,04,25 в уценку 34 кг / 25,01,25 в уценку 108кг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</si>
  <si>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</si>
  <si>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</si>
  <si>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ТС Обжора / 26,03,25 филиал обнулил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</si>
  <si>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</si>
  <si>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</si>
  <si>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</si>
  <si>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</si>
  <si>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>нужно увеличить продажи / ТМА апрель_май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</si>
  <si>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</si>
  <si>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</si>
  <si>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</si>
  <si>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</si>
  <si>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</si>
  <si>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ТС Обжора / ТМА апрель_май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</si>
  <si>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</si>
  <si>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</si>
  <si>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</si>
  <si>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</si>
  <si>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</si>
  <si>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327  Сосиски Сочинки с сыром ТМ Стародворье, ВЕС ПОКОМ</t>
  </si>
  <si>
    <t>нет потребности / нет в бланке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</si>
  <si>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</si>
  <si>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</si>
  <si>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20,01,25 в уценку 86шт.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</si>
  <si>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</si>
  <si>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</si>
  <si>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</si>
  <si>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нужно увеличить продажи!!!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</si>
  <si>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</si>
  <si>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</si>
  <si>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</si>
  <si>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</si>
  <si>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</si>
  <si>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</si>
  <si>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</si>
  <si>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</si>
  <si>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ТС Обжора / 16,04,25 филиал обнулил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</si>
  <si>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</si>
  <si>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</si>
  <si>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</si>
  <si>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</si>
  <si>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</si>
  <si>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</si>
  <si>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419  Колбаса Филейбургская зернистая 0,06 кг нарезка ТМ Баварушка  ПОКОМ</t>
  </si>
  <si>
    <t>нет в бланке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</si>
  <si>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</si>
  <si>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</si>
  <si>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нужно увеличить продажи / 09,12,24 в уценку 498кг</t>
  </si>
  <si>
    <t xml:space="preserve"> 440  Колбаса Любительская ТМ Вязанка в оболочке полиамид.ВЕС ПОКОМ </t>
  </si>
  <si>
    <t>вывод</t>
  </si>
  <si>
    <t xml:space="preserve"> 445  Колбаса Краковюрст ТМ Баварушка рубленая в оболочке черева в в.у 0,2 кг ПОКОМ</t>
  </si>
  <si>
    <t>нет потребности / 22,02,25 в уценку 5шт. / 06,01,25 в уценку 13шт.</t>
  </si>
  <si>
    <t xml:space="preserve"> 447  Колбаски Краковюрст ТМ Баварушка с изысканными пряностями в оболочке NDX в в.у 0,2 кг. ПОКОМ </t>
  </si>
  <si>
    <t>06,01,25 в уценку 13шт.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</si>
  <si>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</si>
  <si>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</si>
  <si>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453  Колбаса Докторская Филейная ВЕС большой батон ТМ Особый рецепт  ПОКОМ</t>
  </si>
  <si>
    <t xml:space="preserve"> 456  Колбаса Филейная ТМ Особый рецепт ВЕС большой батон  ПОКОМ</t>
  </si>
  <si>
    <t>22,01,25 в уценку 1989кг / ТМА апрель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</si>
  <si>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</si>
  <si>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</si>
  <si>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</si>
  <si>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</si>
  <si>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>нет потребности / 14,04,25 в уценку 7кг / 20,12,24 в уценку 121кг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</si>
  <si>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</si>
  <si>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</si>
  <si>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</si>
  <si>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>06,01,25 в уценку 26шт.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</si>
  <si>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</si>
  <si>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</si>
  <si>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нужно увеличить продажи / новинка</t>
  </si>
  <si>
    <t>090  Мини-салями со вкусом бекона,  0.05кг, ядрена копоть   ПОКОМ</t>
  </si>
  <si>
    <t>новинка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</si>
  <si>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</si>
  <si>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</si>
  <si>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</si>
  <si>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</si>
  <si>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501 Сосиски Филейские по-ганноверски ТМ Вязанка.в оболочке амицел в м.г.с ВЕС. ПОКОМ</t>
  </si>
  <si>
    <t>20,01,25 в уценку 20кг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</si>
  <si>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</si>
  <si>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</si>
  <si>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</si>
  <si>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помощь заводу СОСГ</t>
  </si>
  <si>
    <t>519  Грудинка 0,12 кг нарезка ТМ Стародворье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</si>
  <si>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с 02,04,25 заказываем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</si>
  <si>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11,03,25 списание 7кг (недостача) / 22,01,25 списание 10кг (недостача)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</si>
  <si>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20,12,24 в уценку 51кг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</si>
  <si>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b/>
        <sz val="10"/>
        <rFont val="Arial"/>
        <family val="2"/>
        <charset val="204"/>
      </rPr>
      <t xml:space="preserve"> </t>
    </r>
    <r>
      <rPr>
        <sz val="10"/>
        <rFont val="Arial"/>
      </rPr>
      <t>/ с 13,02,25 заказываем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</si>
  <si>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новинка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</si>
</sst>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9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4" fillId="9" borderId="1" xfId="1" applyNumberFormat="1" applyFont="1" applyFill="1"/>
    <xf numFmtId="164" fontId="1" fillId="10" borderId="1" xfId="1" applyNumberFormat="1" applyFill="1"/>
    <xf numFmtId="164" fontId="4" fillId="10" borderId="1" xfId="1" applyNumberFormat="1" applyFont="1" applyFill="1"/>
    <xf numFmtId="164" fontId="5" fillId="10" borderId="1" xfId="1" applyNumberFormat="1" applyFont="1" applyFill="1"/>
    <xf numFmtId="164" fontId="4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20" width="7" customWidth="1"/>
    <col min="21" max="21" width="15" customWidth="1"/>
    <col min="22" max="23" width="5" customWidth="1"/>
    <col min="24" max="33" width="6" customWidth="1"/>
    <col min="34" max="34" width="32.85546875" customWidth="1"/>
    <col min="35" max="35" width="7" customWidth="1"/>
    <col min="36" max="51" width="8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13</v>
      </c>
      <c r="P3" s="2" t="s">
        <v>13</v>
      </c>
      <c r="Q3" s="2" t="s">
        <v>13</v>
      </c>
      <c r="R3" s="2" t="s">
        <v>14</v>
      </c>
      <c r="S3" s="3" t="s">
        <v>15</v>
      </c>
      <c r="T3" s="6" t="s">
        <v>16</v>
      </c>
      <c r="U3" s="6" t="s">
        <v>17</v>
      </c>
      <c r="V3" s="2" t="s">
        <v>18</v>
      </c>
      <c r="W3" s="2" t="s">
        <v>19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20</v>
      </c>
      <c r="AH3" s="2" t="s">
        <v>21</v>
      </c>
      <c r="AI3" s="2" t="s">
        <v>22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 t="s">
        <v>25</v>
      </c>
      <c r="Q4" s="1" t="s">
        <v>26</v>
      </c>
      <c r="R4" s="1" t="s">
        <v>27</v>
      </c>
      <c r="S4" s="1"/>
      <c r="T4" s="1"/>
      <c r="U4" s="1"/>
      <c r="V4" s="1"/>
      <c r="W4" s="1"/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 t="s">
        <v>36</v>
      </c>
      <c r="AG4" s="1" t="s">
        <v>37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28991.567999999996</v>
      </c>
      <c r="F5" s="4">
        <f>SUM(F6:F500)</f>
        <v>41864.790999999997</v>
      </c>
      <c r="G5" s="7"/>
      <c r="H5" s="1"/>
      <c r="I5" s="1"/>
      <c r="J5" s="4">
        <f t="shared" ref="J5:T5" si="0">SUM(J6:J500)</f>
        <v>31936.95199999999</v>
      </c>
      <c r="K5" s="4">
        <f t="shared" si="0"/>
        <v>-2945.384</v>
      </c>
      <c r="L5" s="4">
        <f t="shared" si="0"/>
        <v>27464.206999999999</v>
      </c>
      <c r="M5" s="4">
        <f t="shared" si="0"/>
        <v>1527.3610000000001</v>
      </c>
      <c r="N5" s="4">
        <f t="shared" si="0"/>
        <v>17475.338399999997</v>
      </c>
      <c r="O5" s="4">
        <f t="shared" si="0"/>
        <v>5000</v>
      </c>
      <c r="P5" s="4">
        <f t="shared" si="0"/>
        <v>9253.9738000000089</v>
      </c>
      <c r="Q5" s="4">
        <f t="shared" si="0"/>
        <v>1280</v>
      </c>
      <c r="R5" s="4">
        <f t="shared" si="0"/>
        <v>5492.8413999999984</v>
      </c>
      <c r="S5" s="4">
        <f t="shared" si="0"/>
        <v>2157.2927999999997</v>
      </c>
      <c r="T5" s="4">
        <f t="shared" si="0"/>
        <v>0</v>
      </c>
      <c r="U5" s="1"/>
      <c r="V5" s="1"/>
      <c r="W5" s="1"/>
      <c r="X5" s="4">
        <f t="shared" ref="X5:AG5" si="1">SUM(X6:X500)</f>
        <v>6361.4322000000002</v>
      </c>
      <c r="Y5" s="4">
        <f t="shared" si="1"/>
        <v>8537.1206000000002</v>
      </c>
      <c r="Z5" s="4">
        <f t="shared" si="1"/>
        <v>8706.6709999999985</v>
      </c>
      <c r="AA5" s="4">
        <f t="shared" si="1"/>
        <v>6338.3150000000023</v>
      </c>
      <c r="AB5" s="4">
        <f t="shared" si="1"/>
        <v>6262.349000000002</v>
      </c>
      <c r="AC5" s="4">
        <f t="shared" si="1"/>
        <v>6601.9181999999983</v>
      </c>
      <c r="AD5" s="4">
        <f t="shared" si="1"/>
        <v>6738.2428</v>
      </c>
      <c r="AE5" s="4">
        <f t="shared" si="1"/>
        <v>8099.4839999999976</v>
      </c>
      <c r="AF5" s="4">
        <f t="shared" si="1"/>
        <v>7788.2935999999972</v>
      </c>
      <c r="AG5" s="4">
        <f t="shared" si="1"/>
        <v>7041.3528000000006</v>
      </c>
      <c r="AH5" s="1"/>
      <c r="AI5" s="4">
        <f>SUM(AI6:AI500)</f>
        <v>1231.3937999999998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38</v>
      </c>
      <c r="B6" s="1" t="s">
        <v>39</v>
      </c>
      <c r="C6" s="1">
        <v>425.553</v>
      </c>
      <c r="D6" s="1">
        <v>231.26</v>
      </c>
      <c r="E6" s="1">
        <v>374.947</v>
      </c>
      <c r="F6" s="1">
        <v>161.43</v>
      </c>
      <c r="G6" s="7">
        <v>1</v>
      </c>
      <c r="H6" s="1">
        <v>50</v>
      </c>
      <c r="I6" s="1" t="s">
        <v>40</v>
      </c>
      <c r="J6" s="1">
        <v>388.33</v>
      </c>
      <c r="K6" s="1">
        <f t="shared" ref="K6:K37" si="2">E6-J6</f>
        <v>-13.382999999999981</v>
      </c>
      <c r="L6" s="1">
        <f>E6-M6</f>
        <v>331.91700000000003</v>
      </c>
      <c r="M6" s="1">
        <v>43.03</v>
      </c>
      <c r="N6" s="1">
        <v>171.53779999999989</v>
      </c>
      <c r="O6" s="1"/>
      <c r="P6" s="1">
        <v>269.00280000000032</v>
      </c>
      <c r="Q6" s="1"/>
      <c r="R6" s="1">
        <f>L6/5</f>
        <v>66.383400000000009</v>
      </c>
      <c r="S6" s="5">
        <f>11*R6-Q6-P6-O6-N6-F6</f>
        <v>128.24679999999989</v>
      </c>
      <c r="T6" s="5"/>
      <c r="U6" s="1"/>
      <c r="V6" s="1">
        <f>(F6+N6+O6+P6+Q6+S6)/R6</f>
        <v>11</v>
      </c>
      <c r="W6" s="1">
        <f>(F6+N6+O6+P6+Q6)/R6</f>
        <v>9.0680893114844991</v>
      </c>
      <c r="X6" s="1">
        <v>57.266800000000003</v>
      </c>
      <c r="Y6" s="1">
        <v>66.631200000000007</v>
      </c>
      <c r="Z6" s="1">
        <v>61.940800000000003</v>
      </c>
      <c r="AA6" s="1">
        <v>60.128399999999999</v>
      </c>
      <c r="AB6" s="1">
        <v>58.212000000000003</v>
      </c>
      <c r="AC6" s="1">
        <v>45.116999999999997</v>
      </c>
      <c r="AD6" s="1">
        <v>68.706600000000009</v>
      </c>
      <c r="AE6" s="1">
        <v>96.895799999999994</v>
      </c>
      <c r="AF6" s="1">
        <v>71.089200000000005</v>
      </c>
      <c r="AG6" s="1">
        <v>93.330200000000005</v>
      </c>
      <c r="AH6" s="1"/>
      <c r="AI6" s="1">
        <f t="shared" ref="AI6:AI12" si="3">G6*S6</f>
        <v>128.24679999999989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41</v>
      </c>
      <c r="B7" s="1" t="s">
        <v>39</v>
      </c>
      <c r="C7" s="1">
        <v>543.80100000000004</v>
      </c>
      <c r="D7" s="1">
        <v>71.5</v>
      </c>
      <c r="E7" s="1">
        <v>217.887</v>
      </c>
      <c r="F7" s="1">
        <v>283.88499999999999</v>
      </c>
      <c r="G7" s="7">
        <v>1</v>
      </c>
      <c r="H7" s="1">
        <v>45</v>
      </c>
      <c r="I7" s="1" t="s">
        <v>40</v>
      </c>
      <c r="J7" s="1">
        <v>221.41</v>
      </c>
      <c r="K7" s="1">
        <f t="shared" si="2"/>
        <v>-3.5229999999999961</v>
      </c>
      <c r="L7" s="1">
        <f t="shared" ref="L7:L70" si="4">E7-M7</f>
        <v>217.887</v>
      </c>
      <c r="M7" s="1"/>
      <c r="N7" s="1">
        <v>129.41340000000011</v>
      </c>
      <c r="O7" s="1"/>
      <c r="P7" s="1"/>
      <c r="Q7" s="1"/>
      <c r="R7" s="1">
        <f t="shared" ref="R7:R70" si="5">L7/5</f>
        <v>43.577399999999997</v>
      </c>
      <c r="S7" s="5">
        <f t="shared" ref="S7:S11" si="6">11*R7-Q7-P7-O7-N7-F7</f>
        <v>66.052999999999884</v>
      </c>
      <c r="T7" s="5"/>
      <c r="U7" s="1"/>
      <c r="V7" s="1">
        <f t="shared" ref="V7:V70" si="7">(F7+N7+O7+P7+Q7+S7)/R7</f>
        <v>11.000000000000002</v>
      </c>
      <c r="W7" s="1">
        <f t="shared" ref="W7:W70" si="8">(F7+N7+O7+P7+Q7)/R7</f>
        <v>9.4842372422402477</v>
      </c>
      <c r="X7" s="1">
        <v>27.5974</v>
      </c>
      <c r="Y7" s="1">
        <v>59.238799999999998</v>
      </c>
      <c r="Z7" s="1">
        <v>56.888199999999998</v>
      </c>
      <c r="AA7" s="1">
        <v>63.382199999999997</v>
      </c>
      <c r="AB7" s="1">
        <v>57.285400000000003</v>
      </c>
      <c r="AC7" s="1">
        <v>34.498199999999997</v>
      </c>
      <c r="AD7" s="1">
        <v>32.542400000000001</v>
      </c>
      <c r="AE7" s="1">
        <v>57.383600000000001</v>
      </c>
      <c r="AF7" s="1">
        <v>49.0274</v>
      </c>
      <c r="AG7" s="1">
        <v>77.212400000000002</v>
      </c>
      <c r="AH7" s="25" t="s">
        <v>42</v>
      </c>
      <c r="AI7" s="1">
        <f t="shared" si="3"/>
        <v>66.052999999999884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43</v>
      </c>
      <c r="B8" s="1" t="s">
        <v>39</v>
      </c>
      <c r="C8" s="1">
        <v>973.60299999999995</v>
      </c>
      <c r="D8" s="1">
        <v>579.69000000000005</v>
      </c>
      <c r="E8" s="1">
        <v>764.98400000000004</v>
      </c>
      <c r="F8" s="1">
        <v>580.10699999999997</v>
      </c>
      <c r="G8" s="7">
        <v>1</v>
      </c>
      <c r="H8" s="1">
        <v>45</v>
      </c>
      <c r="I8" s="1" t="s">
        <v>40</v>
      </c>
      <c r="J8" s="1">
        <v>755.86800000000005</v>
      </c>
      <c r="K8" s="1">
        <f t="shared" si="2"/>
        <v>9.1159999999999854</v>
      </c>
      <c r="L8" s="1">
        <f t="shared" si="4"/>
        <v>764.98400000000004</v>
      </c>
      <c r="M8" s="1"/>
      <c r="N8" s="1">
        <v>351.47969999999953</v>
      </c>
      <c r="O8" s="1"/>
      <c r="P8" s="1">
        <v>597.12230000000068</v>
      </c>
      <c r="Q8" s="1"/>
      <c r="R8" s="1">
        <f t="shared" si="5"/>
        <v>152.99680000000001</v>
      </c>
      <c r="S8" s="5">
        <f t="shared" si="6"/>
        <v>154.25580000000002</v>
      </c>
      <c r="T8" s="5"/>
      <c r="U8" s="1"/>
      <c r="V8" s="1">
        <f t="shared" si="7"/>
        <v>11</v>
      </c>
      <c r="W8" s="1">
        <f t="shared" si="8"/>
        <v>9.9917710697217217</v>
      </c>
      <c r="X8" s="1">
        <v>138.26400000000001</v>
      </c>
      <c r="Y8" s="1">
        <v>166.60939999999999</v>
      </c>
      <c r="Z8" s="1">
        <v>164.27279999999999</v>
      </c>
      <c r="AA8" s="1">
        <v>143.53819999999999</v>
      </c>
      <c r="AB8" s="1">
        <v>127.19280000000001</v>
      </c>
      <c r="AC8" s="1">
        <v>89.702200000000005</v>
      </c>
      <c r="AD8" s="1">
        <v>109.47539999999999</v>
      </c>
      <c r="AE8" s="1">
        <v>129.8152</v>
      </c>
      <c r="AF8" s="1">
        <v>119.22799999999999</v>
      </c>
      <c r="AG8" s="1">
        <v>205.73759999999999</v>
      </c>
      <c r="AH8" s="1"/>
      <c r="AI8" s="1">
        <f t="shared" si="3"/>
        <v>154.25580000000002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44</v>
      </c>
      <c r="B9" s="1" t="s">
        <v>45</v>
      </c>
      <c r="C9" s="1">
        <v>544.48</v>
      </c>
      <c r="D9" s="1">
        <v>724.52</v>
      </c>
      <c r="E9" s="1">
        <v>571</v>
      </c>
      <c r="F9" s="1">
        <v>484</v>
      </c>
      <c r="G9" s="7">
        <v>0.45</v>
      </c>
      <c r="H9" s="1">
        <v>45</v>
      </c>
      <c r="I9" s="10" t="s">
        <v>46</v>
      </c>
      <c r="J9" s="1">
        <v>1019</v>
      </c>
      <c r="K9" s="1">
        <f t="shared" si="2"/>
        <v>-448</v>
      </c>
      <c r="L9" s="1">
        <f t="shared" si="4"/>
        <v>571</v>
      </c>
      <c r="M9" s="1"/>
      <c r="N9" s="1">
        <v>619.52</v>
      </c>
      <c r="O9" s="1"/>
      <c r="P9" s="1">
        <v>95.680000000000064</v>
      </c>
      <c r="Q9" s="1"/>
      <c r="R9" s="1">
        <f t="shared" si="5"/>
        <v>114.2</v>
      </c>
      <c r="S9" s="5"/>
      <c r="T9" s="5"/>
      <c r="U9" s="1"/>
      <c r="V9" s="1">
        <f t="shared" si="7"/>
        <v>10.500875656742558</v>
      </c>
      <c r="W9" s="1">
        <f t="shared" si="8"/>
        <v>10.500875656742558</v>
      </c>
      <c r="X9" s="1">
        <v>140.80000000000001</v>
      </c>
      <c r="Y9" s="1">
        <v>162</v>
      </c>
      <c r="Z9" s="1">
        <v>262.39999999999998</v>
      </c>
      <c r="AA9" s="1">
        <v>315.2</v>
      </c>
      <c r="AB9" s="1">
        <v>353.4</v>
      </c>
      <c r="AC9" s="1">
        <v>280.2</v>
      </c>
      <c r="AD9" s="1">
        <v>187.2</v>
      </c>
      <c r="AE9" s="1">
        <v>126</v>
      </c>
      <c r="AF9" s="1">
        <v>110</v>
      </c>
      <c r="AG9" s="1">
        <v>136</v>
      </c>
      <c r="AH9" s="1" t="s">
        <v>47</v>
      </c>
      <c r="AI9" s="1">
        <f t="shared" si="3"/>
        <v>0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8" t="s">
        <v>48</v>
      </c>
      <c r="B10" s="18" t="s">
        <v>45</v>
      </c>
      <c r="C10" s="18">
        <v>1956</v>
      </c>
      <c r="D10" s="18">
        <v>756</v>
      </c>
      <c r="E10" s="18">
        <v>986</v>
      </c>
      <c r="F10" s="18">
        <v>1335</v>
      </c>
      <c r="G10" s="19">
        <v>0.45</v>
      </c>
      <c r="H10" s="18">
        <v>45</v>
      </c>
      <c r="I10" s="18" t="s">
        <v>40</v>
      </c>
      <c r="J10" s="18">
        <v>1027</v>
      </c>
      <c r="K10" s="18">
        <f t="shared" si="2"/>
        <v>-41</v>
      </c>
      <c r="L10" s="18">
        <f t="shared" si="4"/>
        <v>986</v>
      </c>
      <c r="M10" s="18"/>
      <c r="N10" s="18">
        <v>115.1999999999998</v>
      </c>
      <c r="O10" s="18"/>
      <c r="P10" s="18">
        <v>807.80000000000018</v>
      </c>
      <c r="Q10" s="18">
        <v>500</v>
      </c>
      <c r="R10" s="18">
        <f t="shared" si="5"/>
        <v>197.2</v>
      </c>
      <c r="S10" s="20"/>
      <c r="T10" s="20"/>
      <c r="U10" s="18"/>
      <c r="V10" s="18">
        <f t="shared" si="7"/>
        <v>13.98580121703854</v>
      </c>
      <c r="W10" s="18">
        <f t="shared" si="8"/>
        <v>13.98580121703854</v>
      </c>
      <c r="X10" s="18">
        <v>213</v>
      </c>
      <c r="Y10" s="18">
        <v>238.4</v>
      </c>
      <c r="Z10" s="18">
        <v>268.8</v>
      </c>
      <c r="AA10" s="18">
        <v>255.2</v>
      </c>
      <c r="AB10" s="18">
        <v>258.2</v>
      </c>
      <c r="AC10" s="18">
        <v>260.39999999999998</v>
      </c>
      <c r="AD10" s="18">
        <v>263.2174</v>
      </c>
      <c r="AE10" s="18">
        <v>249.81739999999999</v>
      </c>
      <c r="AF10" s="18">
        <v>228.09</v>
      </c>
      <c r="AG10" s="18">
        <v>223.09</v>
      </c>
      <c r="AH10" s="18" t="s">
        <v>49</v>
      </c>
      <c r="AI10" s="18">
        <f t="shared" si="3"/>
        <v>0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50</v>
      </c>
      <c r="B11" s="1" t="s">
        <v>45</v>
      </c>
      <c r="C11" s="1">
        <v>160</v>
      </c>
      <c r="D11" s="1">
        <v>30</v>
      </c>
      <c r="E11" s="1">
        <v>89</v>
      </c>
      <c r="F11" s="1">
        <v>56</v>
      </c>
      <c r="G11" s="7">
        <v>0.17</v>
      </c>
      <c r="H11" s="1">
        <v>180</v>
      </c>
      <c r="I11" s="1" t="s">
        <v>40</v>
      </c>
      <c r="J11" s="1">
        <v>88</v>
      </c>
      <c r="K11" s="1">
        <f t="shared" si="2"/>
        <v>1</v>
      </c>
      <c r="L11" s="1">
        <f t="shared" si="4"/>
        <v>89</v>
      </c>
      <c r="M11" s="1"/>
      <c r="N11" s="1">
        <v>16.299999999999979</v>
      </c>
      <c r="O11" s="1"/>
      <c r="P11" s="1">
        <v>89.700000000000017</v>
      </c>
      <c r="Q11" s="1"/>
      <c r="R11" s="1">
        <f t="shared" si="5"/>
        <v>17.8</v>
      </c>
      <c r="S11" s="5">
        <f t="shared" si="6"/>
        <v>33.800000000000011</v>
      </c>
      <c r="T11" s="5"/>
      <c r="U11" s="1"/>
      <c r="V11" s="1">
        <f t="shared" si="7"/>
        <v>11</v>
      </c>
      <c r="W11" s="1">
        <f t="shared" si="8"/>
        <v>9.1011235955056176</v>
      </c>
      <c r="X11" s="1">
        <v>17.600000000000001</v>
      </c>
      <c r="Y11" s="1">
        <v>17</v>
      </c>
      <c r="Z11" s="1">
        <v>18.600000000000001</v>
      </c>
      <c r="AA11" s="1">
        <v>20.2</v>
      </c>
      <c r="AB11" s="1">
        <v>16.399999999999999</v>
      </c>
      <c r="AC11" s="1">
        <v>24.6</v>
      </c>
      <c r="AD11" s="1">
        <v>29.8</v>
      </c>
      <c r="AE11" s="1">
        <v>24.6</v>
      </c>
      <c r="AF11" s="1">
        <v>17.8</v>
      </c>
      <c r="AG11" s="1">
        <v>15.2</v>
      </c>
      <c r="AH11" s="1" t="s">
        <v>47</v>
      </c>
      <c r="AI11" s="1">
        <f t="shared" si="3"/>
        <v>5.7460000000000022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51</v>
      </c>
      <c r="B12" s="1" t="s">
        <v>45</v>
      </c>
      <c r="C12" s="1">
        <v>36</v>
      </c>
      <c r="D12" s="1"/>
      <c r="E12" s="1">
        <v>12</v>
      </c>
      <c r="F12" s="1">
        <v>15</v>
      </c>
      <c r="G12" s="7">
        <v>0.3</v>
      </c>
      <c r="H12" s="1">
        <v>40</v>
      </c>
      <c r="I12" s="1" t="s">
        <v>40</v>
      </c>
      <c r="J12" s="1">
        <v>22</v>
      </c>
      <c r="K12" s="1">
        <f t="shared" si="2"/>
        <v>-10</v>
      </c>
      <c r="L12" s="1">
        <f t="shared" si="4"/>
        <v>12</v>
      </c>
      <c r="M12" s="1"/>
      <c r="N12" s="1">
        <v>0</v>
      </c>
      <c r="O12" s="1"/>
      <c r="P12" s="1">
        <v>13</v>
      </c>
      <c r="Q12" s="1"/>
      <c r="R12" s="1">
        <f t="shared" si="5"/>
        <v>2.4</v>
      </c>
      <c r="S12" s="5"/>
      <c r="T12" s="5"/>
      <c r="U12" s="1"/>
      <c r="V12" s="1">
        <f t="shared" si="7"/>
        <v>11.666666666666668</v>
      </c>
      <c r="W12" s="1">
        <f t="shared" si="8"/>
        <v>11.666666666666668</v>
      </c>
      <c r="X12" s="1">
        <v>2.8</v>
      </c>
      <c r="Y12" s="1">
        <v>1.2</v>
      </c>
      <c r="Z12" s="1">
        <v>1</v>
      </c>
      <c r="AA12" s="1">
        <v>2.6</v>
      </c>
      <c r="AB12" s="1">
        <v>2.8</v>
      </c>
      <c r="AC12" s="1">
        <v>0.2</v>
      </c>
      <c r="AD12" s="1">
        <v>0</v>
      </c>
      <c r="AE12" s="1">
        <v>1</v>
      </c>
      <c r="AF12" s="1">
        <v>0.6</v>
      </c>
      <c r="AG12" s="1">
        <v>2</v>
      </c>
      <c r="AH12" s="1"/>
      <c r="AI12" s="1">
        <f t="shared" si="3"/>
        <v>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1" t="s">
        <v>52</v>
      </c>
      <c r="B13" s="11" t="s">
        <v>45</v>
      </c>
      <c r="C13" s="11"/>
      <c r="D13" s="11">
        <v>1</v>
      </c>
      <c r="E13" s="11"/>
      <c r="F13" s="11"/>
      <c r="G13" s="12">
        <v>0</v>
      </c>
      <c r="H13" s="11" t="e">
        <v>#N/A</v>
      </c>
      <c r="I13" s="11" t="s">
        <v>53</v>
      </c>
      <c r="J13" s="11"/>
      <c r="K13" s="11">
        <f t="shared" si="2"/>
        <v>0</v>
      </c>
      <c r="L13" s="11">
        <f t="shared" si="4"/>
        <v>0</v>
      </c>
      <c r="M13" s="11"/>
      <c r="N13" s="11">
        <v>0</v>
      </c>
      <c r="O13" s="11"/>
      <c r="P13" s="11"/>
      <c r="Q13" s="11"/>
      <c r="R13" s="11">
        <f t="shared" si="5"/>
        <v>0</v>
      </c>
      <c r="S13" s="13"/>
      <c r="T13" s="13"/>
      <c r="U13" s="11"/>
      <c r="V13" s="11" t="e">
        <f t="shared" si="7"/>
        <v>#DIV/0!</v>
      </c>
      <c r="W13" s="11" t="e">
        <f t="shared" si="8"/>
        <v>#DIV/0!</v>
      </c>
      <c r="X13" s="11">
        <v>0.2</v>
      </c>
      <c r="Y13" s="11">
        <v>0.2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/>
      <c r="AI13" s="1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54</v>
      </c>
      <c r="B14" s="1" t="s">
        <v>45</v>
      </c>
      <c r="C14" s="1">
        <v>84</v>
      </c>
      <c r="D14" s="1">
        <v>360</v>
      </c>
      <c r="E14" s="1">
        <v>66</v>
      </c>
      <c r="F14" s="1">
        <v>266</v>
      </c>
      <c r="G14" s="7">
        <v>0.17</v>
      </c>
      <c r="H14" s="1">
        <v>180</v>
      </c>
      <c r="I14" s="1" t="s">
        <v>40</v>
      </c>
      <c r="J14" s="1">
        <v>150</v>
      </c>
      <c r="K14" s="1">
        <f t="shared" si="2"/>
        <v>-84</v>
      </c>
      <c r="L14" s="1">
        <f t="shared" si="4"/>
        <v>36</v>
      </c>
      <c r="M14" s="1">
        <v>30</v>
      </c>
      <c r="N14" s="1">
        <v>208.4</v>
      </c>
      <c r="O14" s="1"/>
      <c r="P14" s="1"/>
      <c r="Q14" s="1"/>
      <c r="R14" s="1">
        <f t="shared" si="5"/>
        <v>7.2</v>
      </c>
      <c r="S14" s="5"/>
      <c r="T14" s="5"/>
      <c r="U14" s="1"/>
      <c r="V14" s="1">
        <f t="shared" si="7"/>
        <v>65.888888888888886</v>
      </c>
      <c r="W14" s="1">
        <f t="shared" si="8"/>
        <v>65.888888888888886</v>
      </c>
      <c r="X14" s="1">
        <v>28.6</v>
      </c>
      <c r="Y14" s="1">
        <v>50</v>
      </c>
      <c r="Z14" s="1">
        <v>42.8</v>
      </c>
      <c r="AA14" s="1">
        <v>18.8</v>
      </c>
      <c r="AB14" s="1">
        <v>18.399999999999999</v>
      </c>
      <c r="AC14" s="1">
        <v>8.8000000000000007</v>
      </c>
      <c r="AD14" s="1">
        <v>21.4</v>
      </c>
      <c r="AE14" s="1">
        <v>27.4</v>
      </c>
      <c r="AF14" s="1">
        <v>31.2</v>
      </c>
      <c r="AG14" s="1">
        <v>28.4</v>
      </c>
      <c r="AH14" s="1"/>
      <c r="AI14" s="1">
        <f t="shared" ref="AI14:AI20" si="9">G14*S14</f>
        <v>0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55</v>
      </c>
      <c r="B15" s="1" t="s">
        <v>45</v>
      </c>
      <c r="C15" s="1">
        <v>49</v>
      </c>
      <c r="D15" s="1"/>
      <c r="E15" s="1">
        <v>6</v>
      </c>
      <c r="F15" s="1">
        <v>39</v>
      </c>
      <c r="G15" s="7">
        <v>0.35</v>
      </c>
      <c r="H15" s="1">
        <v>50</v>
      </c>
      <c r="I15" s="1" t="s">
        <v>40</v>
      </c>
      <c r="J15" s="1">
        <v>5</v>
      </c>
      <c r="K15" s="1">
        <f t="shared" si="2"/>
        <v>1</v>
      </c>
      <c r="L15" s="1">
        <f t="shared" si="4"/>
        <v>6</v>
      </c>
      <c r="M15" s="1"/>
      <c r="N15" s="1">
        <v>0</v>
      </c>
      <c r="O15" s="1"/>
      <c r="P15" s="1"/>
      <c r="Q15" s="1"/>
      <c r="R15" s="1">
        <f t="shared" si="5"/>
        <v>1.2</v>
      </c>
      <c r="S15" s="5"/>
      <c r="T15" s="5"/>
      <c r="U15" s="1"/>
      <c r="V15" s="1">
        <f t="shared" si="7"/>
        <v>32.5</v>
      </c>
      <c r="W15" s="1">
        <f t="shared" si="8"/>
        <v>32.5</v>
      </c>
      <c r="X15" s="1">
        <v>1.2</v>
      </c>
      <c r="Y15" s="1">
        <v>1.2</v>
      </c>
      <c r="Z15" s="1">
        <v>1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26" t="s">
        <v>165</v>
      </c>
      <c r="AI15" s="1">
        <f t="shared" si="9"/>
        <v>0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56</v>
      </c>
      <c r="B16" s="1" t="s">
        <v>45</v>
      </c>
      <c r="C16" s="1">
        <v>182</v>
      </c>
      <c r="D16" s="1"/>
      <c r="E16" s="1">
        <v>67</v>
      </c>
      <c r="F16" s="1">
        <v>103</v>
      </c>
      <c r="G16" s="7">
        <v>0.35</v>
      </c>
      <c r="H16" s="1">
        <v>50</v>
      </c>
      <c r="I16" s="1" t="s">
        <v>40</v>
      </c>
      <c r="J16" s="1">
        <v>74</v>
      </c>
      <c r="K16" s="1">
        <f t="shared" si="2"/>
        <v>-7</v>
      </c>
      <c r="L16" s="1">
        <f t="shared" si="4"/>
        <v>67</v>
      </c>
      <c r="M16" s="1"/>
      <c r="N16" s="1">
        <v>0</v>
      </c>
      <c r="O16" s="1"/>
      <c r="P16" s="1"/>
      <c r="Q16" s="1"/>
      <c r="R16" s="1">
        <f t="shared" si="5"/>
        <v>13.4</v>
      </c>
      <c r="S16" s="5">
        <f t="shared" ref="S16:S17" si="10">11*R16-Q16-P16-O16-N16-F16</f>
        <v>44.400000000000006</v>
      </c>
      <c r="T16" s="5"/>
      <c r="U16" s="1"/>
      <c r="V16" s="1">
        <f t="shared" si="7"/>
        <v>11</v>
      </c>
      <c r="W16" s="1">
        <f t="shared" si="8"/>
        <v>7.6865671641791042</v>
      </c>
      <c r="X16" s="1">
        <v>8.1999999999999993</v>
      </c>
      <c r="Y16" s="1">
        <v>9.1999999999999993</v>
      </c>
      <c r="Z16" s="1">
        <v>17</v>
      </c>
      <c r="AA16" s="1">
        <v>19.8</v>
      </c>
      <c r="AB16" s="1">
        <v>15.2</v>
      </c>
      <c r="AC16" s="1">
        <v>19.2</v>
      </c>
      <c r="AD16" s="1">
        <v>18</v>
      </c>
      <c r="AE16" s="1">
        <v>11.4</v>
      </c>
      <c r="AF16" s="1">
        <v>11.4</v>
      </c>
      <c r="AG16" s="1">
        <v>9.1999999999999993</v>
      </c>
      <c r="AH16" s="25" t="s">
        <v>57</v>
      </c>
      <c r="AI16" s="1">
        <f t="shared" si="9"/>
        <v>15.540000000000001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58</v>
      </c>
      <c r="B17" s="1" t="s">
        <v>39</v>
      </c>
      <c r="C17" s="1">
        <v>1181.0609999999999</v>
      </c>
      <c r="D17" s="1">
        <v>1744.1220000000001</v>
      </c>
      <c r="E17" s="1">
        <v>1201.499</v>
      </c>
      <c r="F17" s="1">
        <v>1505.0360000000001</v>
      </c>
      <c r="G17" s="7">
        <v>1</v>
      </c>
      <c r="H17" s="1">
        <v>55</v>
      </c>
      <c r="I17" s="1" t="s">
        <v>40</v>
      </c>
      <c r="J17" s="1">
        <v>1195.19</v>
      </c>
      <c r="K17" s="1">
        <f t="shared" si="2"/>
        <v>6.3089999999999691</v>
      </c>
      <c r="L17" s="1">
        <f t="shared" si="4"/>
        <v>1201.499</v>
      </c>
      <c r="M17" s="1"/>
      <c r="N17" s="1">
        <v>751.84199999999976</v>
      </c>
      <c r="O17" s="1"/>
      <c r="P17" s="1">
        <v>317.15760000000017</v>
      </c>
      <c r="Q17" s="1"/>
      <c r="R17" s="1">
        <f t="shared" si="5"/>
        <v>240.2998</v>
      </c>
      <c r="S17" s="5">
        <f t="shared" si="10"/>
        <v>69.262200000000576</v>
      </c>
      <c r="T17" s="5"/>
      <c r="U17" s="1"/>
      <c r="V17" s="1">
        <f t="shared" si="7"/>
        <v>11.000000000000002</v>
      </c>
      <c r="W17" s="1">
        <f t="shared" si="8"/>
        <v>10.711767550368331</v>
      </c>
      <c r="X17" s="1">
        <v>226.59880000000001</v>
      </c>
      <c r="Y17" s="1">
        <v>298.38760000000002</v>
      </c>
      <c r="Z17" s="1">
        <v>274.70600000000002</v>
      </c>
      <c r="AA17" s="1">
        <v>206.38939999999999</v>
      </c>
      <c r="AB17" s="1">
        <v>193.7028</v>
      </c>
      <c r="AC17" s="1">
        <v>201.4074</v>
      </c>
      <c r="AD17" s="1">
        <v>310.33399999999989</v>
      </c>
      <c r="AE17" s="1">
        <v>398.28039999999999</v>
      </c>
      <c r="AF17" s="1">
        <v>324.76940000000002</v>
      </c>
      <c r="AG17" s="1">
        <v>301.13979999999998</v>
      </c>
      <c r="AH17" s="1"/>
      <c r="AI17" s="1">
        <f t="shared" si="9"/>
        <v>69.262200000000576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8" t="s">
        <v>59</v>
      </c>
      <c r="B18" s="18" t="s">
        <v>39</v>
      </c>
      <c r="C18" s="18">
        <v>1495.0989999999999</v>
      </c>
      <c r="D18" s="18">
        <v>4080.5770000000002</v>
      </c>
      <c r="E18" s="18">
        <v>1595.232</v>
      </c>
      <c r="F18" s="18">
        <v>2857.9029999999998</v>
      </c>
      <c r="G18" s="19">
        <v>1</v>
      </c>
      <c r="H18" s="18">
        <v>50</v>
      </c>
      <c r="I18" s="18" t="s">
        <v>40</v>
      </c>
      <c r="J18" s="18">
        <v>1618.5630000000001</v>
      </c>
      <c r="K18" s="18">
        <f t="shared" si="2"/>
        <v>-23.331000000000131</v>
      </c>
      <c r="L18" s="18">
        <f t="shared" si="4"/>
        <v>1295.617</v>
      </c>
      <c r="M18" s="18">
        <v>299.61500000000001</v>
      </c>
      <c r="N18" s="18">
        <v>700</v>
      </c>
      <c r="O18" s="18">
        <v>800</v>
      </c>
      <c r="P18" s="18">
        <v>586.84120000000166</v>
      </c>
      <c r="Q18" s="18">
        <v>300</v>
      </c>
      <c r="R18" s="18">
        <f t="shared" si="5"/>
        <v>259.1234</v>
      </c>
      <c r="S18" s="20"/>
      <c r="T18" s="20"/>
      <c r="U18" s="18"/>
      <c r="V18" s="18">
        <f t="shared" si="7"/>
        <v>20.240334141957081</v>
      </c>
      <c r="W18" s="18">
        <f t="shared" si="8"/>
        <v>20.240334141957081</v>
      </c>
      <c r="X18" s="18">
        <v>411.70480000000009</v>
      </c>
      <c r="Y18" s="18">
        <v>546.6848</v>
      </c>
      <c r="Z18" s="18">
        <v>527.30619999999999</v>
      </c>
      <c r="AA18" s="18">
        <v>267.09339999999997</v>
      </c>
      <c r="AB18" s="18">
        <v>251.4836</v>
      </c>
      <c r="AC18" s="18">
        <v>292.53859999999997</v>
      </c>
      <c r="AD18" s="18">
        <v>235.83619999999999</v>
      </c>
      <c r="AE18" s="18">
        <v>536.05899999999997</v>
      </c>
      <c r="AF18" s="18">
        <v>581.779</v>
      </c>
      <c r="AG18" s="18">
        <v>386.68200000000002</v>
      </c>
      <c r="AH18" s="18" t="s">
        <v>60</v>
      </c>
      <c r="AI18" s="18">
        <f t="shared" si="9"/>
        <v>0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61</v>
      </c>
      <c r="B19" s="1" t="s">
        <v>39</v>
      </c>
      <c r="C19" s="1">
        <v>233.99199999999999</v>
      </c>
      <c r="D19" s="1">
        <v>4.7119999999999997</v>
      </c>
      <c r="E19" s="1">
        <v>144.21199999999999</v>
      </c>
      <c r="F19" s="1">
        <v>61.570999999999998</v>
      </c>
      <c r="G19" s="7">
        <v>1</v>
      </c>
      <c r="H19" s="1">
        <v>60</v>
      </c>
      <c r="I19" s="1" t="s">
        <v>40</v>
      </c>
      <c r="J19" s="1">
        <v>166.45</v>
      </c>
      <c r="K19" s="1">
        <f t="shared" si="2"/>
        <v>-22.238</v>
      </c>
      <c r="L19" s="1">
        <f t="shared" si="4"/>
        <v>144.21199999999999</v>
      </c>
      <c r="M19" s="1"/>
      <c r="N19" s="1">
        <v>94.741399999999999</v>
      </c>
      <c r="O19" s="1"/>
      <c r="P19" s="1">
        <v>161.97779999999989</v>
      </c>
      <c r="Q19" s="1"/>
      <c r="R19" s="1">
        <f t="shared" si="5"/>
        <v>28.842399999999998</v>
      </c>
      <c r="S19" s="5"/>
      <c r="T19" s="5"/>
      <c r="U19" s="1"/>
      <c r="V19" s="1">
        <f t="shared" si="7"/>
        <v>11.035496352592014</v>
      </c>
      <c r="W19" s="1">
        <f t="shared" si="8"/>
        <v>11.035496352592014</v>
      </c>
      <c r="X19" s="1">
        <v>28.842600000000001</v>
      </c>
      <c r="Y19" s="1">
        <v>27.014800000000001</v>
      </c>
      <c r="Z19" s="1">
        <v>22.9268</v>
      </c>
      <c r="AA19" s="1">
        <v>29.660399999999999</v>
      </c>
      <c r="AB19" s="1">
        <v>26.854800000000001</v>
      </c>
      <c r="AC19" s="1">
        <v>21.146599999999999</v>
      </c>
      <c r="AD19" s="1">
        <v>24.0246</v>
      </c>
      <c r="AE19" s="1">
        <v>29.0502</v>
      </c>
      <c r="AF19" s="1">
        <v>27.303000000000001</v>
      </c>
      <c r="AG19" s="1">
        <v>19.429400000000001</v>
      </c>
      <c r="AH19" s="1"/>
      <c r="AI19" s="1">
        <f t="shared" si="9"/>
        <v>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62</v>
      </c>
      <c r="B20" s="1" t="s">
        <v>39</v>
      </c>
      <c r="C20" s="1">
        <v>1907.9690000000001</v>
      </c>
      <c r="D20" s="1">
        <v>3324.5219999999999</v>
      </c>
      <c r="E20" s="1">
        <v>803.05700000000002</v>
      </c>
      <c r="F20" s="1">
        <v>2885.2849999999999</v>
      </c>
      <c r="G20" s="7">
        <v>1</v>
      </c>
      <c r="H20" s="1">
        <v>60</v>
      </c>
      <c r="I20" s="1" t="s">
        <v>40</v>
      </c>
      <c r="J20" s="1">
        <v>817.76599999999996</v>
      </c>
      <c r="K20" s="1">
        <f t="shared" si="2"/>
        <v>-14.708999999999946</v>
      </c>
      <c r="L20" s="1">
        <f t="shared" si="4"/>
        <v>200.94200000000001</v>
      </c>
      <c r="M20" s="1">
        <v>602.11500000000001</v>
      </c>
      <c r="N20" s="1">
        <v>793.80270000000064</v>
      </c>
      <c r="O20" s="1"/>
      <c r="P20" s="1"/>
      <c r="Q20" s="1"/>
      <c r="R20" s="1">
        <f t="shared" si="5"/>
        <v>40.188400000000001</v>
      </c>
      <c r="S20" s="5"/>
      <c r="T20" s="5"/>
      <c r="U20" s="1"/>
      <c r="V20" s="1">
        <f t="shared" si="7"/>
        <v>91.546010789182958</v>
      </c>
      <c r="W20" s="1">
        <f t="shared" si="8"/>
        <v>91.546010789182958</v>
      </c>
      <c r="X20" s="1">
        <v>327.24380000000002</v>
      </c>
      <c r="Y20" s="1">
        <v>418.85660000000001</v>
      </c>
      <c r="Z20" s="1">
        <v>404.33440000000002</v>
      </c>
      <c r="AA20" s="1">
        <v>160.50620000000001</v>
      </c>
      <c r="AB20" s="1">
        <v>167.1514</v>
      </c>
      <c r="AC20" s="1">
        <v>272.83499999999998</v>
      </c>
      <c r="AD20" s="1">
        <v>336.50259999999997</v>
      </c>
      <c r="AE20" s="1">
        <v>275.95479999999998</v>
      </c>
      <c r="AF20" s="1">
        <v>196.05439999999999</v>
      </c>
      <c r="AG20" s="1">
        <v>219.8048</v>
      </c>
      <c r="AH20" s="27" t="s">
        <v>108</v>
      </c>
      <c r="AI20" s="1">
        <f t="shared" si="9"/>
        <v>0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4" t="s">
        <v>63</v>
      </c>
      <c r="B21" s="14" t="s">
        <v>39</v>
      </c>
      <c r="C21" s="14"/>
      <c r="D21" s="14"/>
      <c r="E21" s="14"/>
      <c r="F21" s="14"/>
      <c r="G21" s="15">
        <v>0</v>
      </c>
      <c r="H21" s="14">
        <v>60</v>
      </c>
      <c r="I21" s="14" t="s">
        <v>40</v>
      </c>
      <c r="J21" s="14"/>
      <c r="K21" s="14">
        <f t="shared" si="2"/>
        <v>0</v>
      </c>
      <c r="L21" s="14">
        <f t="shared" si="4"/>
        <v>0</v>
      </c>
      <c r="M21" s="14"/>
      <c r="N21" s="14">
        <v>0</v>
      </c>
      <c r="O21" s="14"/>
      <c r="P21" s="14"/>
      <c r="Q21" s="14"/>
      <c r="R21" s="14">
        <f t="shared" si="5"/>
        <v>0</v>
      </c>
      <c r="S21" s="16"/>
      <c r="T21" s="16"/>
      <c r="U21" s="14"/>
      <c r="V21" s="14" t="e">
        <f t="shared" si="7"/>
        <v>#DIV/0!</v>
      </c>
      <c r="W21" s="14" t="e">
        <f t="shared" si="8"/>
        <v>#DIV/0!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 t="s">
        <v>64</v>
      </c>
      <c r="AI21" s="14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8" t="s">
        <v>65</v>
      </c>
      <c r="B22" s="18" t="s">
        <v>39</v>
      </c>
      <c r="C22" s="18">
        <v>3630.8870000000002</v>
      </c>
      <c r="D22" s="18">
        <v>2716.3829999999998</v>
      </c>
      <c r="E22" s="18">
        <v>2659.1550000000002</v>
      </c>
      <c r="F22" s="18">
        <v>3122.732</v>
      </c>
      <c r="G22" s="19">
        <v>1</v>
      </c>
      <c r="H22" s="18">
        <v>60</v>
      </c>
      <c r="I22" s="18" t="s">
        <v>40</v>
      </c>
      <c r="J22" s="18">
        <v>2588.4949999999999</v>
      </c>
      <c r="K22" s="18">
        <f t="shared" si="2"/>
        <v>70.660000000000309</v>
      </c>
      <c r="L22" s="18">
        <f t="shared" si="4"/>
        <v>2659.1550000000002</v>
      </c>
      <c r="M22" s="18"/>
      <c r="N22" s="18">
        <v>1106.728199999998</v>
      </c>
      <c r="O22" s="18">
        <v>1000</v>
      </c>
      <c r="P22" s="18">
        <v>1713.950200000002</v>
      </c>
      <c r="Q22" s="18"/>
      <c r="R22" s="18">
        <f t="shared" si="5"/>
        <v>531.83100000000002</v>
      </c>
      <c r="S22" s="20"/>
      <c r="T22" s="20"/>
      <c r="U22" s="18"/>
      <c r="V22" s="18">
        <f t="shared" si="7"/>
        <v>13.055670692381602</v>
      </c>
      <c r="W22" s="18">
        <f t="shared" si="8"/>
        <v>13.055670692381602</v>
      </c>
      <c r="X22" s="18">
        <v>522.14959999999996</v>
      </c>
      <c r="Y22" s="18">
        <v>640.09120000000007</v>
      </c>
      <c r="Z22" s="18">
        <v>606.77560000000005</v>
      </c>
      <c r="AA22" s="18">
        <v>537.21879999999999</v>
      </c>
      <c r="AB22" s="18">
        <v>516.37740000000008</v>
      </c>
      <c r="AC22" s="18">
        <v>434.51839999999999</v>
      </c>
      <c r="AD22" s="18">
        <v>439.80700000000007</v>
      </c>
      <c r="AE22" s="18">
        <v>668.41700000000003</v>
      </c>
      <c r="AF22" s="18">
        <v>686.20619999999997</v>
      </c>
      <c r="AG22" s="18">
        <v>491.83839999999998</v>
      </c>
      <c r="AH22" s="18" t="s">
        <v>66</v>
      </c>
      <c r="AI22" s="18">
        <f>G22*S22</f>
        <v>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21" t="s">
        <v>67</v>
      </c>
      <c r="B23" s="21" t="s">
        <v>39</v>
      </c>
      <c r="C23" s="21">
        <v>921.95699999999999</v>
      </c>
      <c r="D23" s="21">
        <v>599.15</v>
      </c>
      <c r="E23" s="21">
        <v>554.23599999999999</v>
      </c>
      <c r="F23" s="21">
        <v>801.37099999999998</v>
      </c>
      <c r="G23" s="22">
        <v>1</v>
      </c>
      <c r="H23" s="21">
        <v>60</v>
      </c>
      <c r="I23" s="21" t="s">
        <v>40</v>
      </c>
      <c r="J23" s="21">
        <v>587.48</v>
      </c>
      <c r="K23" s="21">
        <f t="shared" si="2"/>
        <v>-33.244000000000028</v>
      </c>
      <c r="L23" s="21">
        <f t="shared" si="4"/>
        <v>554.23599999999999</v>
      </c>
      <c r="M23" s="21"/>
      <c r="N23" s="21">
        <v>610.3123999999998</v>
      </c>
      <c r="O23" s="21"/>
      <c r="P23" s="21"/>
      <c r="Q23" s="21"/>
      <c r="R23" s="21">
        <f t="shared" si="5"/>
        <v>110.8472</v>
      </c>
      <c r="S23" s="23"/>
      <c r="T23" s="23"/>
      <c r="U23" s="21"/>
      <c r="V23" s="21">
        <f t="shared" si="7"/>
        <v>12.735399721418311</v>
      </c>
      <c r="W23" s="21">
        <f t="shared" si="8"/>
        <v>12.735399721418311</v>
      </c>
      <c r="X23" s="21">
        <v>104.1044</v>
      </c>
      <c r="Y23" s="21">
        <v>180.18639999999999</v>
      </c>
      <c r="Z23" s="21">
        <v>161.7552</v>
      </c>
      <c r="AA23" s="21">
        <v>140.8828</v>
      </c>
      <c r="AB23" s="21">
        <v>154.36920000000001</v>
      </c>
      <c r="AC23" s="21">
        <v>112.0834</v>
      </c>
      <c r="AD23" s="21">
        <v>125.7568</v>
      </c>
      <c r="AE23" s="21">
        <v>132.44640000000001</v>
      </c>
      <c r="AF23" s="21">
        <v>97.144800000000004</v>
      </c>
      <c r="AG23" s="21">
        <v>103.6504</v>
      </c>
      <c r="AH23" s="24" t="s">
        <v>69</v>
      </c>
      <c r="AI23" s="21">
        <f>G23*S23</f>
        <v>0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21" t="s">
        <v>68</v>
      </c>
      <c r="B24" s="21" t="s">
        <v>39</v>
      </c>
      <c r="C24" s="21">
        <v>1343.1420000000001</v>
      </c>
      <c r="D24" s="21">
        <v>627.875</v>
      </c>
      <c r="E24" s="21">
        <v>785.59699999999998</v>
      </c>
      <c r="F24" s="21">
        <v>985.495</v>
      </c>
      <c r="G24" s="22">
        <v>1</v>
      </c>
      <c r="H24" s="21">
        <v>60</v>
      </c>
      <c r="I24" s="21" t="s">
        <v>40</v>
      </c>
      <c r="J24" s="21">
        <v>772.82799999999997</v>
      </c>
      <c r="K24" s="21">
        <f t="shared" si="2"/>
        <v>12.769000000000005</v>
      </c>
      <c r="L24" s="21">
        <f t="shared" si="4"/>
        <v>785.59699999999998</v>
      </c>
      <c r="M24" s="21"/>
      <c r="N24" s="21">
        <v>659.02729999999997</v>
      </c>
      <c r="O24" s="21"/>
      <c r="P24" s="21"/>
      <c r="Q24" s="21"/>
      <c r="R24" s="21">
        <f t="shared" si="5"/>
        <v>157.11939999999998</v>
      </c>
      <c r="S24" s="23"/>
      <c r="T24" s="23"/>
      <c r="U24" s="21"/>
      <c r="V24" s="21">
        <f t="shared" si="7"/>
        <v>10.466704302587715</v>
      </c>
      <c r="W24" s="21">
        <f t="shared" si="8"/>
        <v>10.466704302587715</v>
      </c>
      <c r="X24" s="21">
        <v>146.6626</v>
      </c>
      <c r="Y24" s="21">
        <v>220.55019999999999</v>
      </c>
      <c r="Z24" s="21">
        <v>204.3252</v>
      </c>
      <c r="AA24" s="21">
        <v>181.23599999999999</v>
      </c>
      <c r="AB24" s="21">
        <v>207.1456</v>
      </c>
      <c r="AC24" s="21">
        <v>153.3486</v>
      </c>
      <c r="AD24" s="21">
        <v>169.1464</v>
      </c>
      <c r="AE24" s="21">
        <v>177.07560000000001</v>
      </c>
      <c r="AF24" s="21">
        <v>111.5564</v>
      </c>
      <c r="AG24" s="21">
        <v>146.03460000000001</v>
      </c>
      <c r="AH24" s="21" t="s">
        <v>69</v>
      </c>
      <c r="AI24" s="21">
        <f>G24*S24</f>
        <v>0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8" t="s">
        <v>70</v>
      </c>
      <c r="B25" s="18" t="s">
        <v>39</v>
      </c>
      <c r="C25" s="18">
        <v>677.447</v>
      </c>
      <c r="D25" s="18">
        <v>1177.144</v>
      </c>
      <c r="E25" s="18">
        <v>589.64599999999996</v>
      </c>
      <c r="F25" s="18">
        <v>1066.3620000000001</v>
      </c>
      <c r="G25" s="19">
        <v>1</v>
      </c>
      <c r="H25" s="18">
        <v>60</v>
      </c>
      <c r="I25" s="18" t="s">
        <v>40</v>
      </c>
      <c r="J25" s="18">
        <v>839.27300000000002</v>
      </c>
      <c r="K25" s="18">
        <f t="shared" si="2"/>
        <v>-249.62700000000007</v>
      </c>
      <c r="L25" s="18">
        <f t="shared" si="4"/>
        <v>589.64599999999996</v>
      </c>
      <c r="M25" s="18"/>
      <c r="N25" s="18">
        <v>935.51599999999985</v>
      </c>
      <c r="O25" s="18"/>
      <c r="P25" s="18"/>
      <c r="Q25" s="18"/>
      <c r="R25" s="18">
        <f t="shared" si="5"/>
        <v>117.92919999999999</v>
      </c>
      <c r="S25" s="20"/>
      <c r="T25" s="20"/>
      <c r="U25" s="18"/>
      <c r="V25" s="18">
        <f t="shared" si="7"/>
        <v>16.975252948379197</v>
      </c>
      <c r="W25" s="18">
        <f t="shared" si="8"/>
        <v>16.975252948379197</v>
      </c>
      <c r="X25" s="18">
        <v>106.3882</v>
      </c>
      <c r="Y25" s="18">
        <v>235.61680000000001</v>
      </c>
      <c r="Z25" s="18">
        <v>203.40199999999999</v>
      </c>
      <c r="AA25" s="18">
        <v>136.2996</v>
      </c>
      <c r="AB25" s="18">
        <v>134.27719999999999</v>
      </c>
      <c r="AC25" s="18">
        <v>169.32679999999999</v>
      </c>
      <c r="AD25" s="18">
        <v>268.72460000000001</v>
      </c>
      <c r="AE25" s="18">
        <v>363.09100000000001</v>
      </c>
      <c r="AF25" s="18">
        <v>276.38380000000001</v>
      </c>
      <c r="AG25" s="18">
        <v>235.2038</v>
      </c>
      <c r="AH25" s="25" t="s">
        <v>71</v>
      </c>
      <c r="AI25" s="18">
        <f>G25*S25</f>
        <v>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4" t="s">
        <v>72</v>
      </c>
      <c r="B26" s="14" t="s">
        <v>39</v>
      </c>
      <c r="C26" s="14"/>
      <c r="D26" s="14"/>
      <c r="E26" s="14"/>
      <c r="F26" s="14"/>
      <c r="G26" s="15">
        <v>0</v>
      </c>
      <c r="H26" s="14">
        <v>30</v>
      </c>
      <c r="I26" s="14" t="s">
        <v>40</v>
      </c>
      <c r="J26" s="14"/>
      <c r="K26" s="14">
        <f t="shared" si="2"/>
        <v>0</v>
      </c>
      <c r="L26" s="14">
        <f t="shared" si="4"/>
        <v>0</v>
      </c>
      <c r="M26" s="14"/>
      <c r="N26" s="14">
        <v>0</v>
      </c>
      <c r="O26" s="14"/>
      <c r="P26" s="14"/>
      <c r="Q26" s="14"/>
      <c r="R26" s="14">
        <f t="shared" si="5"/>
        <v>0</v>
      </c>
      <c r="S26" s="16"/>
      <c r="T26" s="16"/>
      <c r="U26" s="14"/>
      <c r="V26" s="14" t="e">
        <f t="shared" si="7"/>
        <v>#DIV/0!</v>
      </c>
      <c r="W26" s="14" t="e">
        <f t="shared" si="8"/>
        <v>#DIV/0!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 t="s">
        <v>64</v>
      </c>
      <c r="AI26" s="14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4" t="s">
        <v>73</v>
      </c>
      <c r="B27" s="14" t="s">
        <v>39</v>
      </c>
      <c r="C27" s="14"/>
      <c r="D27" s="14"/>
      <c r="E27" s="14"/>
      <c r="F27" s="14"/>
      <c r="G27" s="15">
        <v>0</v>
      </c>
      <c r="H27" s="14">
        <v>30</v>
      </c>
      <c r="I27" s="14" t="s">
        <v>40</v>
      </c>
      <c r="J27" s="14"/>
      <c r="K27" s="14">
        <f t="shared" si="2"/>
        <v>0</v>
      </c>
      <c r="L27" s="14">
        <f t="shared" si="4"/>
        <v>0</v>
      </c>
      <c r="M27" s="14"/>
      <c r="N27" s="14">
        <v>0</v>
      </c>
      <c r="O27" s="14"/>
      <c r="P27" s="14"/>
      <c r="Q27" s="14"/>
      <c r="R27" s="14">
        <f t="shared" si="5"/>
        <v>0</v>
      </c>
      <c r="S27" s="16"/>
      <c r="T27" s="16"/>
      <c r="U27" s="14"/>
      <c r="V27" s="14" t="e">
        <f t="shared" si="7"/>
        <v>#DIV/0!</v>
      </c>
      <c r="W27" s="14" t="e">
        <f t="shared" si="8"/>
        <v>#DIV/0!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 t="s">
        <v>64</v>
      </c>
      <c r="AI27" s="14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74</v>
      </c>
      <c r="B28" s="1" t="s">
        <v>39</v>
      </c>
      <c r="C28" s="1">
        <v>1013.139</v>
      </c>
      <c r="D28" s="1">
        <v>1151.806</v>
      </c>
      <c r="E28" s="1">
        <v>627.38499999999999</v>
      </c>
      <c r="F28" s="1">
        <v>1142.0530000000001</v>
      </c>
      <c r="G28" s="7">
        <v>1</v>
      </c>
      <c r="H28" s="1">
        <v>30</v>
      </c>
      <c r="I28" s="1" t="s">
        <v>40</v>
      </c>
      <c r="J28" s="1">
        <v>673.29</v>
      </c>
      <c r="K28" s="1">
        <f t="shared" si="2"/>
        <v>-45.904999999999973</v>
      </c>
      <c r="L28" s="1">
        <f t="shared" si="4"/>
        <v>627.38499999999999</v>
      </c>
      <c r="M28" s="1"/>
      <c r="N28" s="1">
        <v>378.09329999999977</v>
      </c>
      <c r="O28" s="1"/>
      <c r="P28" s="1">
        <v>24.02370000000019</v>
      </c>
      <c r="Q28" s="1"/>
      <c r="R28" s="1">
        <f t="shared" si="5"/>
        <v>125.477</v>
      </c>
      <c r="S28" s="5"/>
      <c r="T28" s="5"/>
      <c r="U28" s="1"/>
      <c r="V28" s="1">
        <f t="shared" si="7"/>
        <v>12.306398782246946</v>
      </c>
      <c r="W28" s="1">
        <f t="shared" si="8"/>
        <v>12.306398782246946</v>
      </c>
      <c r="X28" s="1">
        <v>164.65979999999999</v>
      </c>
      <c r="Y28" s="1">
        <v>198.98699999999999</v>
      </c>
      <c r="Z28" s="1">
        <v>201.74520000000001</v>
      </c>
      <c r="AA28" s="1">
        <v>138.4486</v>
      </c>
      <c r="AB28" s="1">
        <v>139.56200000000001</v>
      </c>
      <c r="AC28" s="1">
        <v>107.913</v>
      </c>
      <c r="AD28" s="1">
        <v>127.68940000000001</v>
      </c>
      <c r="AE28" s="1">
        <v>172.2902</v>
      </c>
      <c r="AF28" s="1">
        <v>142.6968</v>
      </c>
      <c r="AG28" s="1">
        <v>193.83279999999999</v>
      </c>
      <c r="AH28" s="1"/>
      <c r="AI28" s="1">
        <f>G28*S28</f>
        <v>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4" t="s">
        <v>75</v>
      </c>
      <c r="B29" s="14" t="s">
        <v>39</v>
      </c>
      <c r="C29" s="14"/>
      <c r="D29" s="14"/>
      <c r="E29" s="14"/>
      <c r="F29" s="14"/>
      <c r="G29" s="15">
        <v>0</v>
      </c>
      <c r="H29" s="14">
        <v>45</v>
      </c>
      <c r="I29" s="14" t="s">
        <v>40</v>
      </c>
      <c r="J29" s="14"/>
      <c r="K29" s="14">
        <f t="shared" si="2"/>
        <v>0</v>
      </c>
      <c r="L29" s="14">
        <f t="shared" si="4"/>
        <v>0</v>
      </c>
      <c r="M29" s="14"/>
      <c r="N29" s="14">
        <v>0</v>
      </c>
      <c r="O29" s="14"/>
      <c r="P29" s="14"/>
      <c r="Q29" s="14"/>
      <c r="R29" s="14">
        <f t="shared" si="5"/>
        <v>0</v>
      </c>
      <c r="S29" s="16"/>
      <c r="T29" s="16"/>
      <c r="U29" s="14"/>
      <c r="V29" s="14" t="e">
        <f t="shared" si="7"/>
        <v>#DIV/0!</v>
      </c>
      <c r="W29" s="14" t="e">
        <f t="shared" si="8"/>
        <v>#DIV/0!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 t="s">
        <v>64</v>
      </c>
      <c r="AI29" s="14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4" t="s">
        <v>76</v>
      </c>
      <c r="B30" s="14" t="s">
        <v>39</v>
      </c>
      <c r="C30" s="14"/>
      <c r="D30" s="14"/>
      <c r="E30" s="14"/>
      <c r="F30" s="14"/>
      <c r="G30" s="15">
        <v>0</v>
      </c>
      <c r="H30" s="14">
        <v>40</v>
      </c>
      <c r="I30" s="14" t="s">
        <v>40</v>
      </c>
      <c r="J30" s="14"/>
      <c r="K30" s="14">
        <f t="shared" si="2"/>
        <v>0</v>
      </c>
      <c r="L30" s="14">
        <f t="shared" si="4"/>
        <v>0</v>
      </c>
      <c r="M30" s="14"/>
      <c r="N30" s="14">
        <v>0</v>
      </c>
      <c r="O30" s="14"/>
      <c r="P30" s="14"/>
      <c r="Q30" s="14"/>
      <c r="R30" s="14">
        <f t="shared" si="5"/>
        <v>0</v>
      </c>
      <c r="S30" s="16"/>
      <c r="T30" s="16"/>
      <c r="U30" s="14"/>
      <c r="V30" s="14" t="e">
        <f t="shared" si="7"/>
        <v>#DIV/0!</v>
      </c>
      <c r="W30" s="14" t="e">
        <f t="shared" si="8"/>
        <v>#DIV/0!</v>
      </c>
      <c r="X30" s="14">
        <v>0</v>
      </c>
      <c r="Y30" s="14">
        <v>17.963799999999999</v>
      </c>
      <c r="Z30" s="14">
        <v>169.2766</v>
      </c>
      <c r="AA30" s="14">
        <v>24.254799999999999</v>
      </c>
      <c r="AB30" s="14">
        <v>24.254799999999999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 t="s">
        <v>64</v>
      </c>
      <c r="AI30" s="14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4" t="s">
        <v>77</v>
      </c>
      <c r="B31" s="14" t="s">
        <v>39</v>
      </c>
      <c r="C31" s="14"/>
      <c r="D31" s="14"/>
      <c r="E31" s="14"/>
      <c r="F31" s="14"/>
      <c r="G31" s="15">
        <v>0</v>
      </c>
      <c r="H31" s="14">
        <v>30</v>
      </c>
      <c r="I31" s="14" t="s">
        <v>40</v>
      </c>
      <c r="J31" s="14"/>
      <c r="K31" s="14">
        <f t="shared" si="2"/>
        <v>0</v>
      </c>
      <c r="L31" s="14">
        <f t="shared" si="4"/>
        <v>0</v>
      </c>
      <c r="M31" s="14"/>
      <c r="N31" s="14">
        <v>0</v>
      </c>
      <c r="O31" s="14"/>
      <c r="P31" s="14"/>
      <c r="Q31" s="14"/>
      <c r="R31" s="14">
        <f t="shared" si="5"/>
        <v>0</v>
      </c>
      <c r="S31" s="16"/>
      <c r="T31" s="16"/>
      <c r="U31" s="14"/>
      <c r="V31" s="14" t="e">
        <f t="shared" si="7"/>
        <v>#DIV/0!</v>
      </c>
      <c r="W31" s="14" t="e">
        <f t="shared" si="8"/>
        <v>#DIV/0!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 t="s">
        <v>64</v>
      </c>
      <c r="AI31" s="14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4" t="s">
        <v>78</v>
      </c>
      <c r="B32" s="14" t="s">
        <v>39</v>
      </c>
      <c r="C32" s="14"/>
      <c r="D32" s="14"/>
      <c r="E32" s="14"/>
      <c r="F32" s="14"/>
      <c r="G32" s="15">
        <v>0</v>
      </c>
      <c r="H32" s="14">
        <v>50</v>
      </c>
      <c r="I32" s="14" t="s">
        <v>40</v>
      </c>
      <c r="J32" s="14"/>
      <c r="K32" s="14">
        <f t="shared" si="2"/>
        <v>0</v>
      </c>
      <c r="L32" s="14">
        <f t="shared" si="4"/>
        <v>0</v>
      </c>
      <c r="M32" s="14"/>
      <c r="N32" s="14">
        <v>0</v>
      </c>
      <c r="O32" s="14"/>
      <c r="P32" s="14"/>
      <c r="Q32" s="14"/>
      <c r="R32" s="14">
        <f t="shared" si="5"/>
        <v>0</v>
      </c>
      <c r="S32" s="16"/>
      <c r="T32" s="16"/>
      <c r="U32" s="14"/>
      <c r="V32" s="14" t="e">
        <f t="shared" si="7"/>
        <v>#DIV/0!</v>
      </c>
      <c r="W32" s="14" t="e">
        <f t="shared" si="8"/>
        <v>#DIV/0!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 t="s">
        <v>64</v>
      </c>
      <c r="AI32" s="14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79</v>
      </c>
      <c r="B33" s="1" t="s">
        <v>39</v>
      </c>
      <c r="C33" s="1">
        <v>45.756</v>
      </c>
      <c r="D33" s="1"/>
      <c r="E33" s="1">
        <v>9.2240000000000002</v>
      </c>
      <c r="F33" s="1">
        <v>0.01</v>
      </c>
      <c r="G33" s="7">
        <v>1</v>
      </c>
      <c r="H33" s="1">
        <v>50</v>
      </c>
      <c r="I33" s="1" t="s">
        <v>40</v>
      </c>
      <c r="J33" s="1">
        <v>11.4</v>
      </c>
      <c r="K33" s="1">
        <f t="shared" si="2"/>
        <v>-2.1760000000000002</v>
      </c>
      <c r="L33" s="1">
        <f t="shared" si="4"/>
        <v>9.2240000000000002</v>
      </c>
      <c r="M33" s="1"/>
      <c r="N33" s="1">
        <v>0</v>
      </c>
      <c r="O33" s="1"/>
      <c r="P33" s="1">
        <v>15.252599999999999</v>
      </c>
      <c r="Q33" s="1"/>
      <c r="R33" s="1">
        <f t="shared" si="5"/>
        <v>1.8448</v>
      </c>
      <c r="S33" s="5">
        <f t="shared" ref="S33:S37" si="11">11*R33-Q33-P33-O33-N33-F33</f>
        <v>5.0302000000000007</v>
      </c>
      <c r="T33" s="5"/>
      <c r="U33" s="1"/>
      <c r="V33" s="1">
        <f t="shared" si="7"/>
        <v>11</v>
      </c>
      <c r="W33" s="1">
        <f t="shared" si="8"/>
        <v>8.2733087597571551</v>
      </c>
      <c r="X33" s="1">
        <v>2.5668000000000002</v>
      </c>
      <c r="Y33" s="1">
        <v>3.4731999999999998</v>
      </c>
      <c r="Z33" s="1">
        <v>3.1503999999999999</v>
      </c>
      <c r="AA33" s="1">
        <v>1.6772</v>
      </c>
      <c r="AB33" s="1">
        <v>1.8615999999999999</v>
      </c>
      <c r="AC33" s="1">
        <v>2.0434000000000001</v>
      </c>
      <c r="AD33" s="1">
        <v>7.6715999999999998</v>
      </c>
      <c r="AE33" s="1">
        <v>6.3672000000000004</v>
      </c>
      <c r="AF33" s="1">
        <v>0.55359999999999998</v>
      </c>
      <c r="AG33" s="1">
        <v>1.4683999999999999</v>
      </c>
      <c r="AH33" s="1" t="s">
        <v>80</v>
      </c>
      <c r="AI33" s="1">
        <f>G33*S33</f>
        <v>5.0302000000000007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8" t="s">
        <v>81</v>
      </c>
      <c r="B34" s="18" t="s">
        <v>45</v>
      </c>
      <c r="C34" s="18">
        <v>1994</v>
      </c>
      <c r="D34" s="18">
        <v>846</v>
      </c>
      <c r="E34" s="18">
        <v>925</v>
      </c>
      <c r="F34" s="18">
        <v>1631</v>
      </c>
      <c r="G34" s="19">
        <v>0.4</v>
      </c>
      <c r="H34" s="18">
        <v>45</v>
      </c>
      <c r="I34" s="18" t="s">
        <v>40</v>
      </c>
      <c r="J34" s="18">
        <v>957</v>
      </c>
      <c r="K34" s="18">
        <f t="shared" si="2"/>
        <v>-32</v>
      </c>
      <c r="L34" s="18">
        <f t="shared" si="4"/>
        <v>895</v>
      </c>
      <c r="M34" s="18">
        <v>30</v>
      </c>
      <c r="N34" s="18">
        <v>208.09999999999951</v>
      </c>
      <c r="O34" s="18"/>
      <c r="P34" s="18">
        <v>223.30000000000061</v>
      </c>
      <c r="Q34" s="18"/>
      <c r="R34" s="18">
        <f t="shared" si="5"/>
        <v>179</v>
      </c>
      <c r="S34" s="20">
        <f>12.5*R34-Q34-P34-O34-N34-F34</f>
        <v>175.09999999999991</v>
      </c>
      <c r="T34" s="20"/>
      <c r="U34" s="18"/>
      <c r="V34" s="18">
        <f t="shared" si="7"/>
        <v>12.5</v>
      </c>
      <c r="W34" s="18">
        <f t="shared" si="8"/>
        <v>11.521787709497207</v>
      </c>
      <c r="X34" s="18">
        <v>165.6</v>
      </c>
      <c r="Y34" s="18">
        <v>252.2</v>
      </c>
      <c r="Z34" s="18">
        <v>273.8</v>
      </c>
      <c r="AA34" s="18">
        <v>246.2</v>
      </c>
      <c r="AB34" s="18">
        <v>241.6</v>
      </c>
      <c r="AC34" s="18">
        <v>218.2</v>
      </c>
      <c r="AD34" s="18">
        <v>230.2</v>
      </c>
      <c r="AE34" s="18">
        <v>246.2</v>
      </c>
      <c r="AF34" s="18">
        <v>213.6</v>
      </c>
      <c r="AG34" s="18">
        <v>222.2</v>
      </c>
      <c r="AH34" s="18" t="s">
        <v>49</v>
      </c>
      <c r="AI34" s="18">
        <f>G34*S34</f>
        <v>70.039999999999964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82</v>
      </c>
      <c r="B35" s="1" t="s">
        <v>45</v>
      </c>
      <c r="C35" s="1">
        <v>409</v>
      </c>
      <c r="D35" s="1">
        <v>160</v>
      </c>
      <c r="E35" s="1">
        <v>298</v>
      </c>
      <c r="F35" s="1">
        <v>233</v>
      </c>
      <c r="G35" s="7">
        <v>0.45</v>
      </c>
      <c r="H35" s="1">
        <v>50</v>
      </c>
      <c r="I35" s="1" t="s">
        <v>40</v>
      </c>
      <c r="J35" s="1">
        <v>305</v>
      </c>
      <c r="K35" s="1">
        <f t="shared" si="2"/>
        <v>-7</v>
      </c>
      <c r="L35" s="1">
        <f t="shared" si="4"/>
        <v>298</v>
      </c>
      <c r="M35" s="1"/>
      <c r="N35" s="1">
        <v>0</v>
      </c>
      <c r="O35" s="1"/>
      <c r="P35" s="1">
        <v>318.40000000000009</v>
      </c>
      <c r="Q35" s="1"/>
      <c r="R35" s="1">
        <f t="shared" si="5"/>
        <v>59.6</v>
      </c>
      <c r="S35" s="5">
        <f t="shared" si="11"/>
        <v>104.19999999999993</v>
      </c>
      <c r="T35" s="5"/>
      <c r="U35" s="1"/>
      <c r="V35" s="1">
        <f t="shared" si="7"/>
        <v>11</v>
      </c>
      <c r="W35" s="1">
        <f t="shared" si="8"/>
        <v>9.251677852348994</v>
      </c>
      <c r="X35" s="1">
        <v>52.2</v>
      </c>
      <c r="Y35" s="1">
        <v>46</v>
      </c>
      <c r="Z35" s="1">
        <v>58</v>
      </c>
      <c r="AA35" s="1">
        <v>49.2</v>
      </c>
      <c r="AB35" s="1">
        <v>61.2</v>
      </c>
      <c r="AC35" s="1">
        <v>83.2</v>
      </c>
      <c r="AD35" s="1">
        <v>70.400000000000006</v>
      </c>
      <c r="AE35" s="1">
        <v>17.399999999999999</v>
      </c>
      <c r="AF35" s="1">
        <v>37.200000000000003</v>
      </c>
      <c r="AG35" s="1">
        <v>259.60000000000002</v>
      </c>
      <c r="AH35" s="1" t="s">
        <v>83</v>
      </c>
      <c r="AI35" s="1">
        <f>G35*S35</f>
        <v>46.889999999999972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8" t="s">
        <v>84</v>
      </c>
      <c r="B36" s="18" t="s">
        <v>45</v>
      </c>
      <c r="C36" s="18">
        <v>1125</v>
      </c>
      <c r="D36" s="18">
        <v>936</v>
      </c>
      <c r="E36" s="18">
        <v>589</v>
      </c>
      <c r="F36" s="18">
        <v>1193</v>
      </c>
      <c r="G36" s="19">
        <v>0.4</v>
      </c>
      <c r="H36" s="18">
        <v>45</v>
      </c>
      <c r="I36" s="18" t="s">
        <v>40</v>
      </c>
      <c r="J36" s="18">
        <v>628</v>
      </c>
      <c r="K36" s="18">
        <f t="shared" si="2"/>
        <v>-39</v>
      </c>
      <c r="L36" s="18">
        <f t="shared" si="4"/>
        <v>559</v>
      </c>
      <c r="M36" s="18">
        <v>30</v>
      </c>
      <c r="N36" s="18">
        <v>453.40000000000032</v>
      </c>
      <c r="O36" s="18"/>
      <c r="P36" s="18"/>
      <c r="Q36" s="18"/>
      <c r="R36" s="18">
        <f t="shared" si="5"/>
        <v>111.8</v>
      </c>
      <c r="S36" s="20"/>
      <c r="T36" s="20"/>
      <c r="U36" s="18"/>
      <c r="V36" s="18">
        <f t="shared" si="7"/>
        <v>14.726296958855102</v>
      </c>
      <c r="W36" s="18">
        <f t="shared" si="8"/>
        <v>14.726296958855102</v>
      </c>
      <c r="X36" s="18">
        <v>123.2</v>
      </c>
      <c r="Y36" s="18">
        <v>208.8</v>
      </c>
      <c r="Z36" s="18">
        <v>201.2</v>
      </c>
      <c r="AA36" s="18">
        <v>186.8</v>
      </c>
      <c r="AB36" s="18">
        <v>186.2</v>
      </c>
      <c r="AC36" s="18">
        <v>149</v>
      </c>
      <c r="AD36" s="18">
        <v>139.19999999999999</v>
      </c>
      <c r="AE36" s="18">
        <v>165.4</v>
      </c>
      <c r="AF36" s="18">
        <v>172</v>
      </c>
      <c r="AG36" s="18">
        <v>185.6</v>
      </c>
      <c r="AH36" s="18" t="s">
        <v>60</v>
      </c>
      <c r="AI36" s="18">
        <f>G36*S36</f>
        <v>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85</v>
      </c>
      <c r="B37" s="1" t="s">
        <v>39</v>
      </c>
      <c r="C37" s="1">
        <v>592.70000000000005</v>
      </c>
      <c r="D37" s="1">
        <v>321.88499999999999</v>
      </c>
      <c r="E37" s="1">
        <v>266.40899999999999</v>
      </c>
      <c r="F37" s="1">
        <v>581.59699999999998</v>
      </c>
      <c r="G37" s="7">
        <v>1</v>
      </c>
      <c r="H37" s="1">
        <v>45</v>
      </c>
      <c r="I37" s="1" t="s">
        <v>40</v>
      </c>
      <c r="J37" s="1">
        <v>255.01900000000001</v>
      </c>
      <c r="K37" s="1">
        <f t="shared" si="2"/>
        <v>11.389999999999986</v>
      </c>
      <c r="L37" s="1">
        <f t="shared" si="4"/>
        <v>266.40899999999999</v>
      </c>
      <c r="M37" s="1"/>
      <c r="N37" s="1">
        <v>0</v>
      </c>
      <c r="O37" s="1"/>
      <c r="P37" s="1"/>
      <c r="Q37" s="1"/>
      <c r="R37" s="1">
        <f t="shared" si="5"/>
        <v>53.281799999999997</v>
      </c>
      <c r="S37" s="5">
        <f t="shared" si="11"/>
        <v>4.5027999999999793</v>
      </c>
      <c r="T37" s="5"/>
      <c r="U37" s="1"/>
      <c r="V37" s="1">
        <f t="shared" si="7"/>
        <v>11</v>
      </c>
      <c r="W37" s="1">
        <f t="shared" si="8"/>
        <v>10.915490843027076</v>
      </c>
      <c r="X37" s="1">
        <v>43.068199999999997</v>
      </c>
      <c r="Y37" s="1">
        <v>60.004199999999997</v>
      </c>
      <c r="Z37" s="1">
        <v>85.956800000000001</v>
      </c>
      <c r="AA37" s="1">
        <v>70.850600000000014</v>
      </c>
      <c r="AB37" s="1">
        <v>61.820800000000013</v>
      </c>
      <c r="AC37" s="1">
        <v>70.298199999999994</v>
      </c>
      <c r="AD37" s="1">
        <v>81.474199999999996</v>
      </c>
      <c r="AE37" s="1">
        <v>74.7346</v>
      </c>
      <c r="AF37" s="1">
        <v>41.038200000000003</v>
      </c>
      <c r="AG37" s="1">
        <v>70.729799999999997</v>
      </c>
      <c r="AH37" s="1"/>
      <c r="AI37" s="1">
        <f>G37*S37</f>
        <v>4.5027999999999793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4" t="s">
        <v>86</v>
      </c>
      <c r="B38" s="14" t="s">
        <v>45</v>
      </c>
      <c r="C38" s="14">
        <v>-1</v>
      </c>
      <c r="D38" s="14">
        <v>1</v>
      </c>
      <c r="E38" s="14"/>
      <c r="F38" s="14"/>
      <c r="G38" s="15">
        <v>0</v>
      </c>
      <c r="H38" s="14">
        <v>45</v>
      </c>
      <c r="I38" s="14" t="s">
        <v>40</v>
      </c>
      <c r="J38" s="14"/>
      <c r="K38" s="14">
        <f t="shared" ref="K38:K69" si="12">E38-J38</f>
        <v>0</v>
      </c>
      <c r="L38" s="14">
        <f t="shared" si="4"/>
        <v>0</v>
      </c>
      <c r="M38" s="14"/>
      <c r="N38" s="14">
        <v>0</v>
      </c>
      <c r="O38" s="14"/>
      <c r="P38" s="14"/>
      <c r="Q38" s="14"/>
      <c r="R38" s="14">
        <f t="shared" si="5"/>
        <v>0</v>
      </c>
      <c r="S38" s="16"/>
      <c r="T38" s="16"/>
      <c r="U38" s="14"/>
      <c r="V38" s="14" t="e">
        <f t="shared" si="7"/>
        <v>#DIV/0!</v>
      </c>
      <c r="W38" s="14" t="e">
        <f t="shared" si="8"/>
        <v>#DIV/0!</v>
      </c>
      <c r="X38" s="14">
        <v>0</v>
      </c>
      <c r="Y38" s="14">
        <v>0.2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0.2</v>
      </c>
      <c r="AF38" s="14">
        <v>0.2</v>
      </c>
      <c r="AG38" s="14">
        <v>0</v>
      </c>
      <c r="AH38" s="14" t="s">
        <v>64</v>
      </c>
      <c r="AI38" s="14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8" t="s">
        <v>87</v>
      </c>
      <c r="B39" s="18" t="s">
        <v>45</v>
      </c>
      <c r="C39" s="18">
        <v>102</v>
      </c>
      <c r="D39" s="18">
        <v>709</v>
      </c>
      <c r="E39" s="18">
        <v>18</v>
      </c>
      <c r="F39" s="18">
        <v>644</v>
      </c>
      <c r="G39" s="19">
        <v>0.35</v>
      </c>
      <c r="H39" s="18">
        <v>40</v>
      </c>
      <c r="I39" s="18" t="s">
        <v>40</v>
      </c>
      <c r="J39" s="18">
        <v>232</v>
      </c>
      <c r="K39" s="18">
        <f t="shared" si="12"/>
        <v>-214</v>
      </c>
      <c r="L39" s="18">
        <f t="shared" si="4"/>
        <v>18</v>
      </c>
      <c r="M39" s="18"/>
      <c r="N39" s="18">
        <v>357.7</v>
      </c>
      <c r="O39" s="18"/>
      <c r="P39" s="18"/>
      <c r="Q39" s="18"/>
      <c r="R39" s="18">
        <f t="shared" si="5"/>
        <v>3.6</v>
      </c>
      <c r="S39" s="20"/>
      <c r="T39" s="20"/>
      <c r="U39" s="18"/>
      <c r="V39" s="18">
        <f t="shared" si="7"/>
        <v>278.25</v>
      </c>
      <c r="W39" s="18">
        <f t="shared" si="8"/>
        <v>278.25</v>
      </c>
      <c r="X39" s="18">
        <v>21</v>
      </c>
      <c r="Y39" s="18">
        <v>101.4</v>
      </c>
      <c r="Z39" s="18">
        <v>104</v>
      </c>
      <c r="AA39" s="18">
        <v>36.6</v>
      </c>
      <c r="AB39" s="18">
        <v>34</v>
      </c>
      <c r="AC39" s="18">
        <v>59.2</v>
      </c>
      <c r="AD39" s="18">
        <v>47.8</v>
      </c>
      <c r="AE39" s="18">
        <v>27</v>
      </c>
      <c r="AF39" s="18">
        <v>29</v>
      </c>
      <c r="AG39" s="18">
        <v>46.4</v>
      </c>
      <c r="AH39" s="25" t="s">
        <v>88</v>
      </c>
      <c r="AI39" s="18">
        <f t="shared" ref="AI39:AI47" si="13">G39*S39</f>
        <v>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89</v>
      </c>
      <c r="B40" s="1" t="s">
        <v>39</v>
      </c>
      <c r="C40" s="1">
        <v>62.122</v>
      </c>
      <c r="D40" s="1">
        <v>42.984000000000002</v>
      </c>
      <c r="E40" s="1">
        <v>-1.1779999999999999</v>
      </c>
      <c r="F40" s="1">
        <v>41.54</v>
      </c>
      <c r="G40" s="7">
        <v>1</v>
      </c>
      <c r="H40" s="1">
        <v>40</v>
      </c>
      <c r="I40" s="1" t="s">
        <v>40</v>
      </c>
      <c r="J40" s="1">
        <v>42.1</v>
      </c>
      <c r="K40" s="1">
        <f t="shared" si="12"/>
        <v>-43.277999999999999</v>
      </c>
      <c r="L40" s="1">
        <f t="shared" si="4"/>
        <v>-1.1779999999999999</v>
      </c>
      <c r="M40" s="1"/>
      <c r="N40" s="1">
        <v>21.044699999999999</v>
      </c>
      <c r="O40" s="1"/>
      <c r="P40" s="1"/>
      <c r="Q40" s="1"/>
      <c r="R40" s="1">
        <f t="shared" si="5"/>
        <v>-0.23559999999999998</v>
      </c>
      <c r="S40" s="5"/>
      <c r="T40" s="5"/>
      <c r="U40" s="1"/>
      <c r="V40" s="1">
        <f t="shared" si="7"/>
        <v>-265.63964346349746</v>
      </c>
      <c r="W40" s="1">
        <f t="shared" si="8"/>
        <v>-265.63964346349746</v>
      </c>
      <c r="X40" s="1">
        <v>1.6168</v>
      </c>
      <c r="Y40" s="1">
        <v>10.706200000000001</v>
      </c>
      <c r="Z40" s="1">
        <v>11.1776</v>
      </c>
      <c r="AA40" s="1">
        <v>8.0286000000000008</v>
      </c>
      <c r="AB40" s="1">
        <v>7.0257999999999994</v>
      </c>
      <c r="AC40" s="1">
        <v>10.194000000000001</v>
      </c>
      <c r="AD40" s="1">
        <v>14.821</v>
      </c>
      <c r="AE40" s="1">
        <v>15.6356</v>
      </c>
      <c r="AF40" s="1">
        <v>10.5738</v>
      </c>
      <c r="AG40" s="1">
        <v>1.5162</v>
      </c>
      <c r="AH40" s="1"/>
      <c r="AI40" s="1">
        <f t="shared" si="13"/>
        <v>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90</v>
      </c>
      <c r="B41" s="1" t="s">
        <v>45</v>
      </c>
      <c r="C41" s="1">
        <v>629</v>
      </c>
      <c r="D41" s="1">
        <v>150</v>
      </c>
      <c r="E41" s="1">
        <v>293</v>
      </c>
      <c r="F41" s="1">
        <v>367</v>
      </c>
      <c r="G41" s="7">
        <v>0.4</v>
      </c>
      <c r="H41" s="1">
        <v>40</v>
      </c>
      <c r="I41" s="1" t="s">
        <v>40</v>
      </c>
      <c r="J41" s="1">
        <v>304</v>
      </c>
      <c r="K41" s="1">
        <f t="shared" si="12"/>
        <v>-11</v>
      </c>
      <c r="L41" s="1">
        <f t="shared" si="4"/>
        <v>293</v>
      </c>
      <c r="M41" s="1"/>
      <c r="N41" s="1">
        <v>191.1</v>
      </c>
      <c r="O41" s="1"/>
      <c r="P41" s="1"/>
      <c r="Q41" s="1"/>
      <c r="R41" s="1">
        <f t="shared" si="5"/>
        <v>58.6</v>
      </c>
      <c r="S41" s="5">
        <f t="shared" ref="S41:S47" si="14">11*R41-Q41-P41-O41-N41-F41</f>
        <v>86.5</v>
      </c>
      <c r="T41" s="5"/>
      <c r="U41" s="1"/>
      <c r="V41" s="1">
        <f t="shared" si="7"/>
        <v>11</v>
      </c>
      <c r="W41" s="1">
        <f t="shared" si="8"/>
        <v>9.5238907849829353</v>
      </c>
      <c r="X41" s="1">
        <v>55.4</v>
      </c>
      <c r="Y41" s="1">
        <v>72.2</v>
      </c>
      <c r="Z41" s="1">
        <v>59</v>
      </c>
      <c r="AA41" s="1">
        <v>67</v>
      </c>
      <c r="AB41" s="1">
        <v>65.8</v>
      </c>
      <c r="AC41" s="1">
        <v>39.4</v>
      </c>
      <c r="AD41" s="1">
        <v>39.200000000000003</v>
      </c>
      <c r="AE41" s="1">
        <v>47.8</v>
      </c>
      <c r="AF41" s="1">
        <v>49</v>
      </c>
      <c r="AG41" s="1">
        <v>52.6</v>
      </c>
      <c r="AH41" s="1"/>
      <c r="AI41" s="1">
        <f t="shared" si="13"/>
        <v>34.6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91</v>
      </c>
      <c r="B42" s="1" t="s">
        <v>45</v>
      </c>
      <c r="C42" s="1">
        <v>875</v>
      </c>
      <c r="D42" s="1">
        <v>174</v>
      </c>
      <c r="E42" s="1">
        <v>464</v>
      </c>
      <c r="F42" s="1">
        <v>435</v>
      </c>
      <c r="G42" s="7">
        <v>0.4</v>
      </c>
      <c r="H42" s="1">
        <v>45</v>
      </c>
      <c r="I42" s="1" t="s">
        <v>40</v>
      </c>
      <c r="J42" s="1">
        <v>475</v>
      </c>
      <c r="K42" s="1">
        <f t="shared" si="12"/>
        <v>-11</v>
      </c>
      <c r="L42" s="1">
        <f t="shared" si="4"/>
        <v>464</v>
      </c>
      <c r="M42" s="1"/>
      <c r="N42" s="1">
        <v>350.7</v>
      </c>
      <c r="O42" s="1"/>
      <c r="P42" s="1"/>
      <c r="Q42" s="1"/>
      <c r="R42" s="1">
        <f t="shared" si="5"/>
        <v>92.8</v>
      </c>
      <c r="S42" s="5">
        <f t="shared" si="14"/>
        <v>235.09999999999991</v>
      </c>
      <c r="T42" s="5"/>
      <c r="U42" s="1"/>
      <c r="V42" s="1">
        <f t="shared" si="7"/>
        <v>11</v>
      </c>
      <c r="W42" s="1">
        <f t="shared" si="8"/>
        <v>8.4665948275862082</v>
      </c>
      <c r="X42" s="1">
        <v>80.400000000000006</v>
      </c>
      <c r="Y42" s="1">
        <v>107.4</v>
      </c>
      <c r="Z42" s="1">
        <v>94.6</v>
      </c>
      <c r="AA42" s="1">
        <v>101</v>
      </c>
      <c r="AB42" s="1">
        <v>109.2</v>
      </c>
      <c r="AC42" s="1">
        <v>90.8</v>
      </c>
      <c r="AD42" s="1">
        <v>81.2</v>
      </c>
      <c r="AE42" s="1">
        <v>89.8</v>
      </c>
      <c r="AF42" s="1">
        <v>89.8</v>
      </c>
      <c r="AG42" s="1">
        <v>85</v>
      </c>
      <c r="AH42" s="1" t="s">
        <v>47</v>
      </c>
      <c r="AI42" s="1">
        <f t="shared" si="13"/>
        <v>94.039999999999964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92</v>
      </c>
      <c r="B43" s="1" t="s">
        <v>39</v>
      </c>
      <c r="C43" s="1">
        <v>141.77000000000001</v>
      </c>
      <c r="D43" s="1">
        <v>151.89099999999999</v>
      </c>
      <c r="E43" s="1">
        <v>84.007999999999996</v>
      </c>
      <c r="F43" s="1">
        <v>179.72800000000001</v>
      </c>
      <c r="G43" s="7">
        <v>1</v>
      </c>
      <c r="H43" s="1">
        <v>40</v>
      </c>
      <c r="I43" s="1" t="s">
        <v>40</v>
      </c>
      <c r="J43" s="1">
        <v>91.066000000000003</v>
      </c>
      <c r="K43" s="1">
        <f t="shared" si="12"/>
        <v>-7.0580000000000069</v>
      </c>
      <c r="L43" s="1">
        <f t="shared" si="4"/>
        <v>84.007999999999996</v>
      </c>
      <c r="M43" s="1"/>
      <c r="N43" s="1">
        <v>0</v>
      </c>
      <c r="O43" s="1"/>
      <c r="P43" s="1"/>
      <c r="Q43" s="1"/>
      <c r="R43" s="1">
        <f t="shared" si="5"/>
        <v>16.801600000000001</v>
      </c>
      <c r="S43" s="5">
        <f t="shared" si="14"/>
        <v>5.0895999999999901</v>
      </c>
      <c r="T43" s="5"/>
      <c r="U43" s="1"/>
      <c r="V43" s="1">
        <f t="shared" si="7"/>
        <v>11</v>
      </c>
      <c r="W43" s="1">
        <f t="shared" si="8"/>
        <v>10.697076468907722</v>
      </c>
      <c r="X43" s="1">
        <v>17.5168</v>
      </c>
      <c r="Y43" s="1">
        <v>12.3604</v>
      </c>
      <c r="Z43" s="1">
        <v>11.5212</v>
      </c>
      <c r="AA43" s="1">
        <v>15.338200000000001</v>
      </c>
      <c r="AB43" s="1">
        <v>11.880800000000001</v>
      </c>
      <c r="AC43" s="1">
        <v>10.1258</v>
      </c>
      <c r="AD43" s="1">
        <v>11.2706</v>
      </c>
      <c r="AE43" s="1">
        <v>10.634399999999999</v>
      </c>
      <c r="AF43" s="1">
        <v>10.061199999999999</v>
      </c>
      <c r="AG43" s="1">
        <v>7.9871999999999996</v>
      </c>
      <c r="AH43" s="1"/>
      <c r="AI43" s="1">
        <f t="shared" si="13"/>
        <v>5.0895999999999901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8" t="s">
        <v>93</v>
      </c>
      <c r="B44" s="18" t="s">
        <v>45</v>
      </c>
      <c r="C44" s="18">
        <v>964</v>
      </c>
      <c r="D44" s="18">
        <v>366</v>
      </c>
      <c r="E44" s="18">
        <v>603</v>
      </c>
      <c r="F44" s="18">
        <v>624</v>
      </c>
      <c r="G44" s="19">
        <v>0.35</v>
      </c>
      <c r="H44" s="18">
        <v>40</v>
      </c>
      <c r="I44" s="18" t="s">
        <v>40</v>
      </c>
      <c r="J44" s="18">
        <v>622</v>
      </c>
      <c r="K44" s="18">
        <f t="shared" si="12"/>
        <v>-19</v>
      </c>
      <c r="L44" s="18">
        <f t="shared" si="4"/>
        <v>603</v>
      </c>
      <c r="M44" s="18"/>
      <c r="N44" s="18">
        <v>0</v>
      </c>
      <c r="O44" s="18"/>
      <c r="P44" s="18">
        <v>748.60000000000014</v>
      </c>
      <c r="Q44" s="18"/>
      <c r="R44" s="18">
        <f t="shared" si="5"/>
        <v>120.6</v>
      </c>
      <c r="S44" s="20">
        <f>12.5*R44-Q44-P44-O44-N44-F44</f>
        <v>134.89999999999986</v>
      </c>
      <c r="T44" s="20"/>
      <c r="U44" s="18"/>
      <c r="V44" s="18">
        <f t="shared" si="7"/>
        <v>12.5</v>
      </c>
      <c r="W44" s="18">
        <f t="shared" si="8"/>
        <v>11.381426202321727</v>
      </c>
      <c r="X44" s="18">
        <v>115.2</v>
      </c>
      <c r="Y44" s="18">
        <v>110.6</v>
      </c>
      <c r="Z44" s="18">
        <v>145.19999999999999</v>
      </c>
      <c r="AA44" s="18">
        <v>124.6</v>
      </c>
      <c r="AB44" s="18">
        <v>122.6</v>
      </c>
      <c r="AC44" s="18">
        <v>97.2</v>
      </c>
      <c r="AD44" s="18">
        <v>93.4</v>
      </c>
      <c r="AE44" s="18">
        <v>93.4</v>
      </c>
      <c r="AF44" s="18">
        <v>87.4</v>
      </c>
      <c r="AG44" s="18">
        <v>69.8</v>
      </c>
      <c r="AH44" s="18" t="s">
        <v>94</v>
      </c>
      <c r="AI44" s="18">
        <f t="shared" si="13"/>
        <v>47.214999999999947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95</v>
      </c>
      <c r="B45" s="1" t="s">
        <v>45</v>
      </c>
      <c r="C45" s="1">
        <v>301</v>
      </c>
      <c r="D45" s="1">
        <v>60</v>
      </c>
      <c r="E45" s="1">
        <v>303</v>
      </c>
      <c r="F45" s="1">
        <v>-20</v>
      </c>
      <c r="G45" s="7">
        <v>0.4</v>
      </c>
      <c r="H45" s="1">
        <v>40</v>
      </c>
      <c r="I45" s="1" t="s">
        <v>40</v>
      </c>
      <c r="J45" s="1">
        <v>324</v>
      </c>
      <c r="K45" s="1">
        <f t="shared" si="12"/>
        <v>-21</v>
      </c>
      <c r="L45" s="1">
        <f t="shared" si="4"/>
        <v>303</v>
      </c>
      <c r="M45" s="1"/>
      <c r="N45" s="1">
        <v>0</v>
      </c>
      <c r="O45" s="1"/>
      <c r="P45" s="1">
        <v>264</v>
      </c>
      <c r="Q45" s="1"/>
      <c r="R45" s="1">
        <f t="shared" si="5"/>
        <v>60.6</v>
      </c>
      <c r="S45" s="5">
        <f t="shared" si="14"/>
        <v>422.6</v>
      </c>
      <c r="T45" s="5"/>
      <c r="U45" s="1"/>
      <c r="V45" s="1">
        <f t="shared" si="7"/>
        <v>11</v>
      </c>
      <c r="W45" s="1">
        <f t="shared" si="8"/>
        <v>4.0264026402640267</v>
      </c>
      <c r="X45" s="1">
        <v>52.6</v>
      </c>
      <c r="Y45" s="1">
        <v>12.2</v>
      </c>
      <c r="Z45" s="1">
        <v>4.4000000000000004</v>
      </c>
      <c r="AA45" s="1">
        <v>4.2</v>
      </c>
      <c r="AB45" s="1">
        <v>5</v>
      </c>
      <c r="AC45" s="1">
        <v>1</v>
      </c>
      <c r="AD45" s="1">
        <v>3.2</v>
      </c>
      <c r="AE45" s="1">
        <v>48.2</v>
      </c>
      <c r="AF45" s="1">
        <v>57.6</v>
      </c>
      <c r="AG45" s="1">
        <v>66.2</v>
      </c>
      <c r="AH45" s="1" t="s">
        <v>47</v>
      </c>
      <c r="AI45" s="1">
        <f t="shared" si="13"/>
        <v>169.04000000000002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96</v>
      </c>
      <c r="B46" s="1" t="s">
        <v>39</v>
      </c>
      <c r="C46" s="1">
        <v>141.01300000000001</v>
      </c>
      <c r="D46" s="1">
        <v>146.971</v>
      </c>
      <c r="E46" s="1">
        <v>128.33199999999999</v>
      </c>
      <c r="F46" s="1">
        <v>119.26</v>
      </c>
      <c r="G46" s="7">
        <v>1</v>
      </c>
      <c r="H46" s="1">
        <v>50</v>
      </c>
      <c r="I46" s="1" t="s">
        <v>40</v>
      </c>
      <c r="J46" s="1">
        <v>133.59</v>
      </c>
      <c r="K46" s="1">
        <f t="shared" si="12"/>
        <v>-5.2580000000000098</v>
      </c>
      <c r="L46" s="1">
        <f t="shared" si="4"/>
        <v>128.33199999999999</v>
      </c>
      <c r="M46" s="1"/>
      <c r="N46" s="1">
        <v>67.533199999999965</v>
      </c>
      <c r="O46" s="1"/>
      <c r="P46" s="1">
        <v>105.8252</v>
      </c>
      <c r="Q46" s="1"/>
      <c r="R46" s="1">
        <f t="shared" si="5"/>
        <v>25.666399999999999</v>
      </c>
      <c r="S46" s="5"/>
      <c r="T46" s="5"/>
      <c r="U46" s="1"/>
      <c r="V46" s="1">
        <f t="shared" si="7"/>
        <v>11.400835333354111</v>
      </c>
      <c r="W46" s="1">
        <f t="shared" si="8"/>
        <v>11.400835333354111</v>
      </c>
      <c r="X46" s="1">
        <v>24.833200000000001</v>
      </c>
      <c r="Y46" s="1">
        <v>27.833600000000001</v>
      </c>
      <c r="Z46" s="1">
        <v>27.299600000000002</v>
      </c>
      <c r="AA46" s="1">
        <v>22.294799999999999</v>
      </c>
      <c r="AB46" s="1">
        <v>25.2546</v>
      </c>
      <c r="AC46" s="1">
        <v>29.015999999999998</v>
      </c>
      <c r="AD46" s="1">
        <v>28.9726</v>
      </c>
      <c r="AE46" s="1">
        <v>27.550599999999999</v>
      </c>
      <c r="AF46" s="1">
        <v>24.900600000000001</v>
      </c>
      <c r="AG46" s="1">
        <v>22.1234</v>
      </c>
      <c r="AH46" s="1"/>
      <c r="AI46" s="1">
        <f t="shared" si="13"/>
        <v>0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97</v>
      </c>
      <c r="B47" s="1" t="s">
        <v>39</v>
      </c>
      <c r="C47" s="1">
        <v>690.63</v>
      </c>
      <c r="D47" s="1">
        <v>300.13</v>
      </c>
      <c r="E47" s="1">
        <v>641.30499999999995</v>
      </c>
      <c r="F47" s="1">
        <v>233.21</v>
      </c>
      <c r="G47" s="7">
        <v>1</v>
      </c>
      <c r="H47" s="1">
        <v>50</v>
      </c>
      <c r="I47" s="1" t="s">
        <v>40</v>
      </c>
      <c r="J47" s="1">
        <v>643.31500000000005</v>
      </c>
      <c r="K47" s="1">
        <f t="shared" si="12"/>
        <v>-2.0100000000001046</v>
      </c>
      <c r="L47" s="1">
        <f t="shared" si="4"/>
        <v>598.45299999999997</v>
      </c>
      <c r="M47" s="1">
        <v>42.851999999999997</v>
      </c>
      <c r="N47" s="1">
        <v>393.34420000000011</v>
      </c>
      <c r="O47" s="1"/>
      <c r="P47" s="1">
        <v>588.85320000000002</v>
      </c>
      <c r="Q47" s="1"/>
      <c r="R47" s="1">
        <f t="shared" si="5"/>
        <v>119.69059999999999</v>
      </c>
      <c r="S47" s="5">
        <f t="shared" si="14"/>
        <v>101.18919999999972</v>
      </c>
      <c r="T47" s="5"/>
      <c r="U47" s="1"/>
      <c r="V47" s="1">
        <f t="shared" si="7"/>
        <v>11</v>
      </c>
      <c r="W47" s="1">
        <f t="shared" si="8"/>
        <v>10.154576884066085</v>
      </c>
      <c r="X47" s="1">
        <v>111.6532</v>
      </c>
      <c r="Y47" s="1">
        <v>116.15519999999999</v>
      </c>
      <c r="Z47" s="1">
        <v>101.9816</v>
      </c>
      <c r="AA47" s="1">
        <v>88.563199999999995</v>
      </c>
      <c r="AB47" s="1">
        <v>91.916399999999996</v>
      </c>
      <c r="AC47" s="1">
        <v>104.374</v>
      </c>
      <c r="AD47" s="1">
        <v>112.3566</v>
      </c>
      <c r="AE47" s="1">
        <v>212.51599999999999</v>
      </c>
      <c r="AF47" s="1">
        <v>203.15559999999999</v>
      </c>
      <c r="AG47" s="1">
        <v>188.63339999999999</v>
      </c>
      <c r="AH47" s="1"/>
      <c r="AI47" s="1">
        <f t="shared" si="13"/>
        <v>101.18919999999972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4" t="s">
        <v>98</v>
      </c>
      <c r="B48" s="14" t="s">
        <v>39</v>
      </c>
      <c r="C48" s="14"/>
      <c r="D48" s="14"/>
      <c r="E48" s="14"/>
      <c r="F48" s="14"/>
      <c r="G48" s="15">
        <v>0</v>
      </c>
      <c r="H48" s="14">
        <v>40</v>
      </c>
      <c r="I48" s="14" t="s">
        <v>40</v>
      </c>
      <c r="J48" s="14"/>
      <c r="K48" s="14">
        <f t="shared" si="12"/>
        <v>0</v>
      </c>
      <c r="L48" s="14">
        <f t="shared" si="4"/>
        <v>0</v>
      </c>
      <c r="M48" s="14"/>
      <c r="N48" s="14">
        <v>0</v>
      </c>
      <c r="O48" s="14"/>
      <c r="P48" s="14"/>
      <c r="Q48" s="14"/>
      <c r="R48" s="14">
        <f t="shared" si="5"/>
        <v>0</v>
      </c>
      <c r="S48" s="16"/>
      <c r="T48" s="16"/>
      <c r="U48" s="14"/>
      <c r="V48" s="14" t="e">
        <f t="shared" si="7"/>
        <v>#DIV/0!</v>
      </c>
      <c r="W48" s="14" t="e">
        <f t="shared" si="8"/>
        <v>#DIV/0!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H48" s="14" t="s">
        <v>64</v>
      </c>
      <c r="AI48" s="14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99</v>
      </c>
      <c r="B49" s="1" t="s">
        <v>45</v>
      </c>
      <c r="C49" s="1">
        <v>283</v>
      </c>
      <c r="D49" s="1"/>
      <c r="E49" s="1">
        <v>140</v>
      </c>
      <c r="F49" s="1">
        <v>112</v>
      </c>
      <c r="G49" s="7">
        <v>0.45</v>
      </c>
      <c r="H49" s="1">
        <v>50</v>
      </c>
      <c r="I49" s="1" t="s">
        <v>40</v>
      </c>
      <c r="J49" s="1">
        <v>140</v>
      </c>
      <c r="K49" s="1">
        <f t="shared" si="12"/>
        <v>0</v>
      </c>
      <c r="L49" s="1">
        <f t="shared" si="4"/>
        <v>140</v>
      </c>
      <c r="M49" s="1"/>
      <c r="N49" s="1">
        <v>0</v>
      </c>
      <c r="O49" s="1"/>
      <c r="P49" s="1">
        <v>161</v>
      </c>
      <c r="Q49" s="1"/>
      <c r="R49" s="1">
        <f t="shared" si="5"/>
        <v>28</v>
      </c>
      <c r="S49" s="5">
        <f>11*R49-Q49-P49-O49-N49-F49</f>
        <v>35</v>
      </c>
      <c r="T49" s="5"/>
      <c r="U49" s="1"/>
      <c r="V49" s="1">
        <f t="shared" si="7"/>
        <v>11</v>
      </c>
      <c r="W49" s="1">
        <f t="shared" si="8"/>
        <v>9.75</v>
      </c>
      <c r="X49" s="1">
        <v>29.6</v>
      </c>
      <c r="Y49" s="1">
        <v>20.6</v>
      </c>
      <c r="Z49" s="1">
        <v>23</v>
      </c>
      <c r="AA49" s="1">
        <v>31.4</v>
      </c>
      <c r="AB49" s="1">
        <v>25.6</v>
      </c>
      <c r="AC49" s="1">
        <v>31.2</v>
      </c>
      <c r="AD49" s="1">
        <v>34.200000000000003</v>
      </c>
      <c r="AE49" s="1">
        <v>34.4</v>
      </c>
      <c r="AF49" s="1">
        <v>35.799999999999997</v>
      </c>
      <c r="AG49" s="1">
        <v>14.2</v>
      </c>
      <c r="AH49" s="1" t="s">
        <v>47</v>
      </c>
      <c r="AI49" s="1">
        <f>G49*S49</f>
        <v>15.75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4" t="s">
        <v>100</v>
      </c>
      <c r="B50" s="14" t="s">
        <v>39</v>
      </c>
      <c r="C50" s="14"/>
      <c r="D50" s="14"/>
      <c r="E50" s="14"/>
      <c r="F50" s="14"/>
      <c r="G50" s="15">
        <v>0</v>
      </c>
      <c r="H50" s="14">
        <v>40</v>
      </c>
      <c r="I50" s="14" t="s">
        <v>40</v>
      </c>
      <c r="J50" s="14"/>
      <c r="K50" s="14">
        <f t="shared" si="12"/>
        <v>0</v>
      </c>
      <c r="L50" s="14">
        <f t="shared" si="4"/>
        <v>0</v>
      </c>
      <c r="M50" s="14"/>
      <c r="N50" s="14">
        <v>0</v>
      </c>
      <c r="O50" s="14"/>
      <c r="P50" s="14"/>
      <c r="Q50" s="14"/>
      <c r="R50" s="14">
        <f t="shared" si="5"/>
        <v>0</v>
      </c>
      <c r="S50" s="16"/>
      <c r="T50" s="16"/>
      <c r="U50" s="14"/>
      <c r="V50" s="14" t="e">
        <f t="shared" si="7"/>
        <v>#DIV/0!</v>
      </c>
      <c r="W50" s="14" t="e">
        <f t="shared" si="8"/>
        <v>#DIV/0!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 t="s">
        <v>101</v>
      </c>
      <c r="AI50" s="14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102</v>
      </c>
      <c r="B51" s="1" t="s">
        <v>45</v>
      </c>
      <c r="C51" s="1">
        <v>95</v>
      </c>
      <c r="D51" s="1">
        <v>80</v>
      </c>
      <c r="E51" s="1">
        <v>68</v>
      </c>
      <c r="F51" s="1">
        <v>81</v>
      </c>
      <c r="G51" s="7">
        <v>0.4</v>
      </c>
      <c r="H51" s="1">
        <v>40</v>
      </c>
      <c r="I51" s="1" t="s">
        <v>40</v>
      </c>
      <c r="J51" s="1">
        <v>83</v>
      </c>
      <c r="K51" s="1">
        <f t="shared" si="12"/>
        <v>-15</v>
      </c>
      <c r="L51" s="1">
        <f t="shared" si="4"/>
        <v>68</v>
      </c>
      <c r="M51" s="1"/>
      <c r="N51" s="1">
        <v>38.19999999999996</v>
      </c>
      <c r="O51" s="1"/>
      <c r="P51" s="1">
        <v>42.80000000000004</v>
      </c>
      <c r="Q51" s="1"/>
      <c r="R51" s="1">
        <f t="shared" si="5"/>
        <v>13.6</v>
      </c>
      <c r="S51" s="5"/>
      <c r="T51" s="5"/>
      <c r="U51" s="1"/>
      <c r="V51" s="1">
        <f t="shared" si="7"/>
        <v>11.911764705882353</v>
      </c>
      <c r="W51" s="1">
        <f t="shared" si="8"/>
        <v>11.911764705882353</v>
      </c>
      <c r="X51" s="1">
        <v>17</v>
      </c>
      <c r="Y51" s="1">
        <v>15.6</v>
      </c>
      <c r="Z51" s="1">
        <v>15.8</v>
      </c>
      <c r="AA51" s="1">
        <v>12.6</v>
      </c>
      <c r="AB51" s="1">
        <v>11.8</v>
      </c>
      <c r="AC51" s="1">
        <v>10.4</v>
      </c>
      <c r="AD51" s="1">
        <v>8.6</v>
      </c>
      <c r="AE51" s="1">
        <v>9.6</v>
      </c>
      <c r="AF51" s="1">
        <v>9.1999999999999993</v>
      </c>
      <c r="AG51" s="1">
        <v>12</v>
      </c>
      <c r="AH51" s="1"/>
      <c r="AI51" s="1">
        <f t="shared" ref="AI51:AI63" si="15">G51*S51</f>
        <v>0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103</v>
      </c>
      <c r="B52" s="1" t="s">
        <v>45</v>
      </c>
      <c r="C52" s="1">
        <v>99</v>
      </c>
      <c r="D52" s="1">
        <v>48</v>
      </c>
      <c r="E52" s="1">
        <v>73</v>
      </c>
      <c r="F52" s="1">
        <v>61</v>
      </c>
      <c r="G52" s="7">
        <v>0.4</v>
      </c>
      <c r="H52" s="1">
        <v>40</v>
      </c>
      <c r="I52" s="1" t="s">
        <v>40</v>
      </c>
      <c r="J52" s="1">
        <v>86</v>
      </c>
      <c r="K52" s="1">
        <f t="shared" si="12"/>
        <v>-13</v>
      </c>
      <c r="L52" s="1">
        <f t="shared" si="4"/>
        <v>73</v>
      </c>
      <c r="M52" s="1"/>
      <c r="N52" s="1">
        <v>38.300000000000011</v>
      </c>
      <c r="O52" s="1"/>
      <c r="P52" s="1">
        <v>15.69999999999999</v>
      </c>
      <c r="Q52" s="1"/>
      <c r="R52" s="1">
        <f t="shared" si="5"/>
        <v>14.6</v>
      </c>
      <c r="S52" s="5">
        <f t="shared" ref="S52:S62" si="16">11*R52-Q52-P52-O52-N52-F52</f>
        <v>45.599999999999994</v>
      </c>
      <c r="T52" s="5"/>
      <c r="U52" s="1"/>
      <c r="V52" s="1">
        <f t="shared" si="7"/>
        <v>11</v>
      </c>
      <c r="W52" s="1">
        <f t="shared" si="8"/>
        <v>7.8767123287671232</v>
      </c>
      <c r="X52" s="1">
        <v>13.4</v>
      </c>
      <c r="Y52" s="1">
        <v>15.4</v>
      </c>
      <c r="Z52" s="1">
        <v>15.4</v>
      </c>
      <c r="AA52" s="1">
        <v>13.2</v>
      </c>
      <c r="AB52" s="1">
        <v>9.4</v>
      </c>
      <c r="AC52" s="1">
        <v>1.4</v>
      </c>
      <c r="AD52" s="1">
        <v>2.8</v>
      </c>
      <c r="AE52" s="1">
        <v>8.6</v>
      </c>
      <c r="AF52" s="1">
        <v>10.4</v>
      </c>
      <c r="AG52" s="1">
        <v>10.6</v>
      </c>
      <c r="AH52" s="1" t="s">
        <v>104</v>
      </c>
      <c r="AI52" s="1">
        <f t="shared" si="15"/>
        <v>18.239999999999998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105</v>
      </c>
      <c r="B53" s="1" t="s">
        <v>39</v>
      </c>
      <c r="C53" s="1">
        <v>138.12200000000001</v>
      </c>
      <c r="D53" s="1">
        <v>95.352000000000004</v>
      </c>
      <c r="E53" s="1">
        <v>112.46</v>
      </c>
      <c r="F53" s="1">
        <v>76.293000000000006</v>
      </c>
      <c r="G53" s="7">
        <v>1</v>
      </c>
      <c r="H53" s="1">
        <v>50</v>
      </c>
      <c r="I53" s="1" t="s">
        <v>40</v>
      </c>
      <c r="J53" s="1">
        <v>134.80500000000001</v>
      </c>
      <c r="K53" s="1">
        <f t="shared" si="12"/>
        <v>-22.345000000000013</v>
      </c>
      <c r="L53" s="1">
        <f t="shared" si="4"/>
        <v>112.46</v>
      </c>
      <c r="M53" s="1"/>
      <c r="N53" s="1">
        <v>113.4954</v>
      </c>
      <c r="O53" s="1"/>
      <c r="P53" s="1">
        <v>109.97499999999999</v>
      </c>
      <c r="Q53" s="1"/>
      <c r="R53" s="1">
        <f t="shared" si="5"/>
        <v>22.491999999999997</v>
      </c>
      <c r="S53" s="5"/>
      <c r="T53" s="5"/>
      <c r="U53" s="1"/>
      <c r="V53" s="1">
        <f t="shared" si="7"/>
        <v>13.327556464520722</v>
      </c>
      <c r="W53" s="1">
        <f t="shared" si="8"/>
        <v>13.327556464520722</v>
      </c>
      <c r="X53" s="1">
        <v>25.769200000000001</v>
      </c>
      <c r="Y53" s="1">
        <v>28.898800000000001</v>
      </c>
      <c r="Z53" s="1">
        <v>23.081199999999999</v>
      </c>
      <c r="AA53" s="1">
        <v>20.8338</v>
      </c>
      <c r="AB53" s="1">
        <v>23.843399999999999</v>
      </c>
      <c r="AC53" s="1">
        <v>18.227599999999999</v>
      </c>
      <c r="AD53" s="1">
        <v>14.6684</v>
      </c>
      <c r="AE53" s="1">
        <v>20.7562</v>
      </c>
      <c r="AF53" s="1">
        <v>22.980799999999999</v>
      </c>
      <c r="AG53" s="1">
        <v>21.758800000000001</v>
      </c>
      <c r="AH53" s="1"/>
      <c r="AI53" s="1">
        <f t="shared" si="15"/>
        <v>0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106</v>
      </c>
      <c r="B54" s="1" t="s">
        <v>39</v>
      </c>
      <c r="C54" s="1">
        <v>619.20899999999995</v>
      </c>
      <c r="D54" s="1">
        <v>366.75</v>
      </c>
      <c r="E54" s="1">
        <v>418.61700000000002</v>
      </c>
      <c r="F54" s="1">
        <v>321.65600000000001</v>
      </c>
      <c r="G54" s="7">
        <v>1</v>
      </c>
      <c r="H54" s="1">
        <v>50</v>
      </c>
      <c r="I54" s="1" t="s">
        <v>40</v>
      </c>
      <c r="J54" s="1">
        <v>417.7</v>
      </c>
      <c r="K54" s="1">
        <f t="shared" si="12"/>
        <v>0.91700000000003001</v>
      </c>
      <c r="L54" s="1">
        <f t="shared" si="4"/>
        <v>396.98700000000002</v>
      </c>
      <c r="M54" s="1">
        <v>21.63</v>
      </c>
      <c r="N54" s="1">
        <v>348.84989999999999</v>
      </c>
      <c r="O54" s="1"/>
      <c r="P54" s="1">
        <v>401.68189999999993</v>
      </c>
      <c r="Q54" s="1"/>
      <c r="R54" s="1">
        <f t="shared" si="5"/>
        <v>79.397400000000005</v>
      </c>
      <c r="S54" s="5"/>
      <c r="T54" s="5"/>
      <c r="U54" s="1"/>
      <c r="V54" s="1">
        <f t="shared" si="7"/>
        <v>13.504066883802238</v>
      </c>
      <c r="W54" s="1">
        <f t="shared" si="8"/>
        <v>13.504066883802238</v>
      </c>
      <c r="X54" s="1">
        <v>97.461399999999998</v>
      </c>
      <c r="Y54" s="1">
        <v>105.70659999999999</v>
      </c>
      <c r="Z54" s="1">
        <v>93.241399999999999</v>
      </c>
      <c r="AA54" s="1">
        <v>83.374200000000002</v>
      </c>
      <c r="AB54" s="1">
        <v>76.477000000000004</v>
      </c>
      <c r="AC54" s="1">
        <v>68.045199999999994</v>
      </c>
      <c r="AD54" s="1">
        <v>106.3288</v>
      </c>
      <c r="AE54" s="1">
        <v>105.8222</v>
      </c>
      <c r="AF54" s="1">
        <v>83.827200000000005</v>
      </c>
      <c r="AG54" s="1">
        <v>77.943399999999997</v>
      </c>
      <c r="AH54" s="1"/>
      <c r="AI54" s="1">
        <f t="shared" si="15"/>
        <v>0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107</v>
      </c>
      <c r="B55" s="1" t="s">
        <v>39</v>
      </c>
      <c r="C55" s="1">
        <v>277.44200000000001</v>
      </c>
      <c r="D55" s="1"/>
      <c r="E55" s="1">
        <v>121.69</v>
      </c>
      <c r="F55" s="1">
        <v>114.02200000000001</v>
      </c>
      <c r="G55" s="7">
        <v>1</v>
      </c>
      <c r="H55" s="1">
        <v>50</v>
      </c>
      <c r="I55" s="1" t="s">
        <v>40</v>
      </c>
      <c r="J55" s="1">
        <v>120.69</v>
      </c>
      <c r="K55" s="1">
        <f t="shared" si="12"/>
        <v>1</v>
      </c>
      <c r="L55" s="1">
        <f t="shared" si="4"/>
        <v>78.784999999999997</v>
      </c>
      <c r="M55" s="1">
        <v>42.905000000000001</v>
      </c>
      <c r="N55" s="1">
        <v>0</v>
      </c>
      <c r="O55" s="1"/>
      <c r="P55" s="1"/>
      <c r="Q55" s="1"/>
      <c r="R55" s="1">
        <f t="shared" si="5"/>
        <v>15.757</v>
      </c>
      <c r="S55" s="5">
        <f>10*R55-Q55-P55-O55-N55-F55</f>
        <v>43.547999999999988</v>
      </c>
      <c r="T55" s="5"/>
      <c r="U55" s="1"/>
      <c r="V55" s="1">
        <f t="shared" si="7"/>
        <v>10</v>
      </c>
      <c r="W55" s="1">
        <f t="shared" si="8"/>
        <v>7.2362759408516855</v>
      </c>
      <c r="X55" s="1">
        <v>14.133800000000001</v>
      </c>
      <c r="Y55" s="1">
        <v>10.619199999999999</v>
      </c>
      <c r="Z55" s="1">
        <v>30.541599999999999</v>
      </c>
      <c r="AA55" s="1">
        <v>5.1849999999999969</v>
      </c>
      <c r="AB55" s="1">
        <v>5.4548000000000014</v>
      </c>
      <c r="AC55" s="1">
        <v>29.638200000000001</v>
      </c>
      <c r="AD55" s="1">
        <v>28.748999999999999</v>
      </c>
      <c r="AE55" s="1">
        <v>25.186800000000002</v>
      </c>
      <c r="AF55" s="1">
        <v>25.7958</v>
      </c>
      <c r="AG55" s="1">
        <v>5.7170000000000014</v>
      </c>
      <c r="AH55" s="25" t="s">
        <v>42</v>
      </c>
      <c r="AI55" s="1">
        <f t="shared" si="15"/>
        <v>43.547999999999988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109</v>
      </c>
      <c r="B56" s="1" t="s">
        <v>45</v>
      </c>
      <c r="C56" s="1">
        <v>183</v>
      </c>
      <c r="D56" s="1">
        <v>90</v>
      </c>
      <c r="E56" s="1">
        <v>146</v>
      </c>
      <c r="F56" s="1">
        <v>102</v>
      </c>
      <c r="G56" s="7">
        <v>0.4</v>
      </c>
      <c r="H56" s="1">
        <v>50</v>
      </c>
      <c r="I56" s="1" t="s">
        <v>40</v>
      </c>
      <c r="J56" s="1">
        <v>146</v>
      </c>
      <c r="K56" s="1">
        <f t="shared" si="12"/>
        <v>0</v>
      </c>
      <c r="L56" s="1">
        <f t="shared" si="4"/>
        <v>116</v>
      </c>
      <c r="M56" s="1">
        <v>30</v>
      </c>
      <c r="N56" s="1">
        <v>99.399999999999977</v>
      </c>
      <c r="O56" s="1"/>
      <c r="P56" s="1"/>
      <c r="Q56" s="1"/>
      <c r="R56" s="1">
        <f t="shared" si="5"/>
        <v>23.2</v>
      </c>
      <c r="S56" s="5">
        <f t="shared" si="16"/>
        <v>53.800000000000011</v>
      </c>
      <c r="T56" s="5"/>
      <c r="U56" s="1"/>
      <c r="V56" s="1">
        <f t="shared" si="7"/>
        <v>11</v>
      </c>
      <c r="W56" s="1">
        <f t="shared" si="8"/>
        <v>8.6810344827586192</v>
      </c>
      <c r="X56" s="1">
        <v>21.6</v>
      </c>
      <c r="Y56" s="1">
        <v>32.799999999999997</v>
      </c>
      <c r="Z56" s="1">
        <v>29.2</v>
      </c>
      <c r="AA56" s="1">
        <v>28.8</v>
      </c>
      <c r="AB56" s="1">
        <v>30.4</v>
      </c>
      <c r="AC56" s="1">
        <v>28.8</v>
      </c>
      <c r="AD56" s="1">
        <v>34.6</v>
      </c>
      <c r="AE56" s="1">
        <v>53</v>
      </c>
      <c r="AF56" s="1">
        <v>46.2</v>
      </c>
      <c r="AG56" s="1">
        <v>6.6</v>
      </c>
      <c r="AH56" s="1"/>
      <c r="AI56" s="1">
        <f t="shared" si="15"/>
        <v>21.520000000000007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110</v>
      </c>
      <c r="B57" s="1" t="s">
        <v>45</v>
      </c>
      <c r="C57" s="1">
        <v>553.57000000000005</v>
      </c>
      <c r="D57" s="1">
        <v>978</v>
      </c>
      <c r="E57" s="1">
        <v>434</v>
      </c>
      <c r="F57" s="1">
        <v>815</v>
      </c>
      <c r="G57" s="7">
        <v>0.4</v>
      </c>
      <c r="H57" s="1">
        <v>40</v>
      </c>
      <c r="I57" s="1" t="s">
        <v>40</v>
      </c>
      <c r="J57" s="1">
        <v>494</v>
      </c>
      <c r="K57" s="1">
        <f t="shared" si="12"/>
        <v>-60</v>
      </c>
      <c r="L57" s="1">
        <f t="shared" si="4"/>
        <v>434</v>
      </c>
      <c r="M57" s="1"/>
      <c r="N57" s="1">
        <v>402.37200000000013</v>
      </c>
      <c r="O57" s="1"/>
      <c r="P57" s="1"/>
      <c r="Q57" s="1"/>
      <c r="R57" s="1">
        <f t="shared" si="5"/>
        <v>86.8</v>
      </c>
      <c r="S57" s="5"/>
      <c r="T57" s="5"/>
      <c r="U57" s="1"/>
      <c r="V57" s="1">
        <f t="shared" si="7"/>
        <v>14.025023041474656</v>
      </c>
      <c r="W57" s="1">
        <f t="shared" si="8"/>
        <v>14.025023041474656</v>
      </c>
      <c r="X57" s="1">
        <v>109.2</v>
      </c>
      <c r="Y57" s="1">
        <v>165.286</v>
      </c>
      <c r="Z57" s="1">
        <v>168.48599999999999</v>
      </c>
      <c r="AA57" s="1">
        <v>92.6</v>
      </c>
      <c r="AB57" s="1">
        <v>92.8</v>
      </c>
      <c r="AC57" s="1">
        <v>153.19999999999999</v>
      </c>
      <c r="AD57" s="1">
        <v>153.4</v>
      </c>
      <c r="AE57" s="1">
        <v>112.2</v>
      </c>
      <c r="AF57" s="1">
        <v>108.4</v>
      </c>
      <c r="AG57" s="1">
        <v>122.6</v>
      </c>
      <c r="AH57" s="1"/>
      <c r="AI57" s="1">
        <f t="shared" si="15"/>
        <v>0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111</v>
      </c>
      <c r="B58" s="1" t="s">
        <v>45</v>
      </c>
      <c r="C58" s="1">
        <v>368</v>
      </c>
      <c r="D58" s="1">
        <v>331</v>
      </c>
      <c r="E58" s="1">
        <v>321</v>
      </c>
      <c r="F58" s="1">
        <v>186</v>
      </c>
      <c r="G58" s="7">
        <v>0.4</v>
      </c>
      <c r="H58" s="1">
        <v>40</v>
      </c>
      <c r="I58" s="1" t="s">
        <v>40</v>
      </c>
      <c r="J58" s="1">
        <v>350</v>
      </c>
      <c r="K58" s="1">
        <f t="shared" si="12"/>
        <v>-29</v>
      </c>
      <c r="L58" s="1">
        <f t="shared" si="4"/>
        <v>321</v>
      </c>
      <c r="M58" s="1"/>
      <c r="N58" s="1">
        <v>609.4</v>
      </c>
      <c r="O58" s="1"/>
      <c r="P58" s="1">
        <v>252.00000000000011</v>
      </c>
      <c r="Q58" s="1"/>
      <c r="R58" s="1">
        <f t="shared" si="5"/>
        <v>64.2</v>
      </c>
      <c r="S58" s="5"/>
      <c r="T58" s="5"/>
      <c r="U58" s="1"/>
      <c r="V58" s="1">
        <f t="shared" si="7"/>
        <v>16.314641744548286</v>
      </c>
      <c r="W58" s="1">
        <f t="shared" si="8"/>
        <v>16.314641744548286</v>
      </c>
      <c r="X58" s="1">
        <v>91.2</v>
      </c>
      <c r="Y58" s="1">
        <v>104.4</v>
      </c>
      <c r="Z58" s="1">
        <v>64.2</v>
      </c>
      <c r="AA58" s="1">
        <v>51.4</v>
      </c>
      <c r="AB58" s="1">
        <v>69.8</v>
      </c>
      <c r="AC58" s="1">
        <v>114.6</v>
      </c>
      <c r="AD58" s="1">
        <v>105.8</v>
      </c>
      <c r="AE58" s="1">
        <v>71.400000000000006</v>
      </c>
      <c r="AF58" s="1">
        <v>74</v>
      </c>
      <c r="AG58" s="1">
        <v>108.8</v>
      </c>
      <c r="AH58" s="1"/>
      <c r="AI58" s="1">
        <f t="shared" si="15"/>
        <v>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112</v>
      </c>
      <c r="B59" s="1" t="s">
        <v>39</v>
      </c>
      <c r="C59" s="1">
        <v>400.61</v>
      </c>
      <c r="D59" s="1">
        <v>58.305999999999997</v>
      </c>
      <c r="E59" s="1">
        <v>234.14699999999999</v>
      </c>
      <c r="F59" s="1">
        <v>133.39099999999999</v>
      </c>
      <c r="G59" s="7">
        <v>1</v>
      </c>
      <c r="H59" s="1">
        <v>40</v>
      </c>
      <c r="I59" s="1" t="s">
        <v>40</v>
      </c>
      <c r="J59" s="1">
        <v>242.30600000000001</v>
      </c>
      <c r="K59" s="1">
        <f t="shared" si="12"/>
        <v>-8.1590000000000202</v>
      </c>
      <c r="L59" s="1">
        <f t="shared" si="4"/>
        <v>234.14699999999999</v>
      </c>
      <c r="M59" s="1"/>
      <c r="N59" s="1">
        <v>108.6096000000001</v>
      </c>
      <c r="O59" s="1"/>
      <c r="P59" s="1">
        <v>435.31839999999983</v>
      </c>
      <c r="Q59" s="1"/>
      <c r="R59" s="1">
        <f t="shared" si="5"/>
        <v>46.8294</v>
      </c>
      <c r="S59" s="5"/>
      <c r="T59" s="5"/>
      <c r="U59" s="1"/>
      <c r="V59" s="1">
        <f t="shared" si="7"/>
        <v>14.463542133787747</v>
      </c>
      <c r="W59" s="1">
        <f t="shared" si="8"/>
        <v>14.463542133787747</v>
      </c>
      <c r="X59" s="1">
        <v>57.864999999999988</v>
      </c>
      <c r="Y59" s="1">
        <v>45.7532</v>
      </c>
      <c r="Z59" s="1">
        <v>45.354599999999998</v>
      </c>
      <c r="AA59" s="1">
        <v>45.513399999999997</v>
      </c>
      <c r="AB59" s="1">
        <v>33.489400000000003</v>
      </c>
      <c r="AC59" s="1">
        <v>8.1622000000000003</v>
      </c>
      <c r="AD59" s="1">
        <v>5.0213999999999999</v>
      </c>
      <c r="AE59" s="1">
        <v>53.783200000000001</v>
      </c>
      <c r="AF59" s="1">
        <v>50.0608</v>
      </c>
      <c r="AG59" s="1">
        <v>22.703800000000001</v>
      </c>
      <c r="AH59" s="1"/>
      <c r="AI59" s="1">
        <f t="shared" si="15"/>
        <v>0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113</v>
      </c>
      <c r="B60" s="1" t="s">
        <v>39</v>
      </c>
      <c r="C60" s="1">
        <v>184.941</v>
      </c>
      <c r="D60" s="1">
        <v>179.809</v>
      </c>
      <c r="E60" s="1">
        <v>122.986</v>
      </c>
      <c r="F60" s="1">
        <v>141.28200000000001</v>
      </c>
      <c r="G60" s="7">
        <v>1</v>
      </c>
      <c r="H60" s="1">
        <v>40</v>
      </c>
      <c r="I60" s="1" t="s">
        <v>40</v>
      </c>
      <c r="J60" s="1">
        <v>166.11799999999999</v>
      </c>
      <c r="K60" s="1">
        <f t="shared" si="12"/>
        <v>-43.131999999999991</v>
      </c>
      <c r="L60" s="1">
        <f t="shared" si="4"/>
        <v>122.986</v>
      </c>
      <c r="M60" s="1"/>
      <c r="N60" s="1">
        <v>260.80919999999998</v>
      </c>
      <c r="O60" s="1"/>
      <c r="P60" s="1">
        <v>6.7968000000000472</v>
      </c>
      <c r="Q60" s="1"/>
      <c r="R60" s="1">
        <f t="shared" si="5"/>
        <v>24.597200000000001</v>
      </c>
      <c r="S60" s="5"/>
      <c r="T60" s="5"/>
      <c r="U60" s="1"/>
      <c r="V60" s="1">
        <f t="shared" si="7"/>
        <v>16.623355503878489</v>
      </c>
      <c r="W60" s="1">
        <f t="shared" si="8"/>
        <v>16.623355503878489</v>
      </c>
      <c r="X60" s="1">
        <v>41.460999999999999</v>
      </c>
      <c r="Y60" s="1">
        <v>50.3324</v>
      </c>
      <c r="Z60" s="1">
        <v>33.1736</v>
      </c>
      <c r="AA60" s="1">
        <v>28.763400000000001</v>
      </c>
      <c r="AB60" s="1">
        <v>24.647200000000002</v>
      </c>
      <c r="AC60" s="1">
        <v>23.712199999999999</v>
      </c>
      <c r="AD60" s="1">
        <v>28.724799999999998</v>
      </c>
      <c r="AE60" s="1">
        <v>40.096800000000002</v>
      </c>
      <c r="AF60" s="1">
        <v>33.127600000000001</v>
      </c>
      <c r="AG60" s="1">
        <v>12.061199999999999</v>
      </c>
      <c r="AH60" s="1"/>
      <c r="AI60" s="1">
        <f t="shared" si="15"/>
        <v>0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114</v>
      </c>
      <c r="B61" s="1" t="s">
        <v>39</v>
      </c>
      <c r="C61" s="1">
        <v>139.97200000000001</v>
      </c>
      <c r="D61" s="1">
        <v>213.55799999999999</v>
      </c>
      <c r="E61" s="1">
        <v>149.505</v>
      </c>
      <c r="F61" s="1">
        <v>190.24100000000001</v>
      </c>
      <c r="G61" s="7">
        <v>1</v>
      </c>
      <c r="H61" s="1">
        <v>40</v>
      </c>
      <c r="I61" s="1" t="s">
        <v>40</v>
      </c>
      <c r="J61" s="1">
        <v>166.26300000000001</v>
      </c>
      <c r="K61" s="1">
        <f t="shared" si="12"/>
        <v>-16.75800000000001</v>
      </c>
      <c r="L61" s="1">
        <f t="shared" si="4"/>
        <v>149.505</v>
      </c>
      <c r="M61" s="1"/>
      <c r="N61" s="1">
        <v>44.357699999999952</v>
      </c>
      <c r="O61" s="1"/>
      <c r="P61" s="1">
        <v>127.53270000000001</v>
      </c>
      <c r="Q61" s="1"/>
      <c r="R61" s="1">
        <f t="shared" si="5"/>
        <v>29.901</v>
      </c>
      <c r="S61" s="5"/>
      <c r="T61" s="5"/>
      <c r="U61" s="1"/>
      <c r="V61" s="1">
        <f t="shared" si="7"/>
        <v>12.111013009598341</v>
      </c>
      <c r="W61" s="1">
        <f t="shared" si="8"/>
        <v>12.111013009598341</v>
      </c>
      <c r="X61" s="1">
        <v>30.859200000000001</v>
      </c>
      <c r="Y61" s="1">
        <v>33.629199999999997</v>
      </c>
      <c r="Z61" s="1">
        <v>37.529800000000002</v>
      </c>
      <c r="AA61" s="1">
        <v>26.715399999999999</v>
      </c>
      <c r="AB61" s="1">
        <v>22.999600000000001</v>
      </c>
      <c r="AC61" s="1">
        <v>31.666599999999999</v>
      </c>
      <c r="AD61" s="1">
        <v>35.583000000000013</v>
      </c>
      <c r="AE61" s="1">
        <v>50.459200000000003</v>
      </c>
      <c r="AF61" s="1">
        <v>43.281599999999997</v>
      </c>
      <c r="AG61" s="1">
        <v>10.667400000000001</v>
      </c>
      <c r="AH61" s="1"/>
      <c r="AI61" s="1">
        <f t="shared" si="15"/>
        <v>0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115</v>
      </c>
      <c r="B62" s="1" t="s">
        <v>39</v>
      </c>
      <c r="C62" s="1">
        <v>45.76</v>
      </c>
      <c r="D62" s="1">
        <v>72.078000000000003</v>
      </c>
      <c r="E62" s="1">
        <v>57.387999999999998</v>
      </c>
      <c r="F62" s="1">
        <v>41.088999999999999</v>
      </c>
      <c r="G62" s="7">
        <v>1</v>
      </c>
      <c r="H62" s="1">
        <v>30</v>
      </c>
      <c r="I62" s="1" t="s">
        <v>40</v>
      </c>
      <c r="J62" s="1">
        <v>63.9</v>
      </c>
      <c r="K62" s="1">
        <f t="shared" si="12"/>
        <v>-6.5120000000000005</v>
      </c>
      <c r="L62" s="1">
        <f t="shared" si="4"/>
        <v>57.387999999999998</v>
      </c>
      <c r="M62" s="1"/>
      <c r="N62" s="1">
        <v>32.230100000000007</v>
      </c>
      <c r="O62" s="1"/>
      <c r="P62" s="1">
        <v>38.991900000000022</v>
      </c>
      <c r="Q62" s="1"/>
      <c r="R62" s="1">
        <f t="shared" si="5"/>
        <v>11.477599999999999</v>
      </c>
      <c r="S62" s="5">
        <f t="shared" si="16"/>
        <v>13.942599999999956</v>
      </c>
      <c r="T62" s="5"/>
      <c r="U62" s="1"/>
      <c r="V62" s="1">
        <f t="shared" si="7"/>
        <v>11</v>
      </c>
      <c r="W62" s="1">
        <f t="shared" si="8"/>
        <v>9.7852338467972437</v>
      </c>
      <c r="X62" s="1">
        <v>10.693</v>
      </c>
      <c r="Y62" s="1">
        <v>8.6018000000000008</v>
      </c>
      <c r="Z62" s="1">
        <v>7.6099999999999994</v>
      </c>
      <c r="AA62" s="1">
        <v>8.7211999999999996</v>
      </c>
      <c r="AB62" s="1">
        <v>10.027799999999999</v>
      </c>
      <c r="AC62" s="1">
        <v>11.640599999999999</v>
      </c>
      <c r="AD62" s="1">
        <v>10.793799999999999</v>
      </c>
      <c r="AE62" s="1">
        <v>11.015000000000001</v>
      </c>
      <c r="AF62" s="1">
        <v>10.7562</v>
      </c>
      <c r="AG62" s="1">
        <v>10.955</v>
      </c>
      <c r="AH62" s="1"/>
      <c r="AI62" s="1">
        <f t="shared" si="15"/>
        <v>13.942599999999956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116</v>
      </c>
      <c r="B63" s="1" t="s">
        <v>45</v>
      </c>
      <c r="C63" s="1">
        <v>322</v>
      </c>
      <c r="D63" s="1"/>
      <c r="E63" s="1">
        <v>252</v>
      </c>
      <c r="F63" s="1">
        <v>58</v>
      </c>
      <c r="G63" s="7">
        <v>0.6</v>
      </c>
      <c r="H63" s="1">
        <v>60</v>
      </c>
      <c r="I63" s="10" t="s">
        <v>46</v>
      </c>
      <c r="J63" s="1">
        <v>591</v>
      </c>
      <c r="K63" s="1">
        <f t="shared" si="12"/>
        <v>-339</v>
      </c>
      <c r="L63" s="1">
        <f t="shared" si="4"/>
        <v>252</v>
      </c>
      <c r="M63" s="1"/>
      <c r="N63" s="1">
        <v>100</v>
      </c>
      <c r="O63" s="1"/>
      <c r="P63" s="1">
        <v>238.4</v>
      </c>
      <c r="Q63" s="1"/>
      <c r="R63" s="1">
        <f t="shared" si="5"/>
        <v>50.4</v>
      </c>
      <c r="S63" s="5">
        <f>10*R63-Q63-P63-O63-N63-F63</f>
        <v>107.60000000000002</v>
      </c>
      <c r="T63" s="5"/>
      <c r="U63" s="1"/>
      <c r="V63" s="1">
        <f t="shared" si="7"/>
        <v>10</v>
      </c>
      <c r="W63" s="1">
        <f t="shared" si="8"/>
        <v>7.8650793650793647</v>
      </c>
      <c r="X63" s="1">
        <v>50.8</v>
      </c>
      <c r="Y63" s="1">
        <v>79.2</v>
      </c>
      <c r="Z63" s="1">
        <v>175</v>
      </c>
      <c r="AA63" s="1">
        <v>200.8</v>
      </c>
      <c r="AB63" s="1">
        <v>245.2</v>
      </c>
      <c r="AC63" s="1">
        <v>191.2</v>
      </c>
      <c r="AD63" s="1">
        <v>88.6</v>
      </c>
      <c r="AE63" s="1">
        <v>48.4</v>
      </c>
      <c r="AF63" s="1">
        <v>26.2</v>
      </c>
      <c r="AG63" s="1">
        <v>30.2</v>
      </c>
      <c r="AH63" s="1" t="s">
        <v>117</v>
      </c>
      <c r="AI63" s="1">
        <f t="shared" si="15"/>
        <v>64.560000000000016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4" t="s">
        <v>118</v>
      </c>
      <c r="B64" s="14" t="s">
        <v>45</v>
      </c>
      <c r="C64" s="14"/>
      <c r="D64" s="14"/>
      <c r="E64" s="14"/>
      <c r="F64" s="14"/>
      <c r="G64" s="15">
        <v>0</v>
      </c>
      <c r="H64" s="14">
        <v>50</v>
      </c>
      <c r="I64" s="14" t="s">
        <v>40</v>
      </c>
      <c r="J64" s="14"/>
      <c r="K64" s="14">
        <f t="shared" si="12"/>
        <v>0</v>
      </c>
      <c r="L64" s="14">
        <f t="shared" si="4"/>
        <v>0</v>
      </c>
      <c r="M64" s="14"/>
      <c r="N64" s="14">
        <v>0</v>
      </c>
      <c r="O64" s="14"/>
      <c r="P64" s="14"/>
      <c r="Q64" s="14"/>
      <c r="R64" s="14">
        <f t="shared" si="5"/>
        <v>0</v>
      </c>
      <c r="S64" s="16"/>
      <c r="T64" s="16"/>
      <c r="U64" s="14"/>
      <c r="V64" s="14" t="e">
        <f t="shared" si="7"/>
        <v>#DIV/0!</v>
      </c>
      <c r="W64" s="14" t="e">
        <f t="shared" si="8"/>
        <v>#DIV/0!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0</v>
      </c>
      <c r="AH64" s="14" t="s">
        <v>64</v>
      </c>
      <c r="AI64" s="14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4" t="s">
        <v>119</v>
      </c>
      <c r="B65" s="14" t="s">
        <v>45</v>
      </c>
      <c r="C65" s="14"/>
      <c r="D65" s="14"/>
      <c r="E65" s="14"/>
      <c r="F65" s="14"/>
      <c r="G65" s="15">
        <v>0</v>
      </c>
      <c r="H65" s="14">
        <v>50</v>
      </c>
      <c r="I65" s="14" t="s">
        <v>40</v>
      </c>
      <c r="J65" s="14"/>
      <c r="K65" s="14">
        <f t="shared" si="12"/>
        <v>0</v>
      </c>
      <c r="L65" s="14">
        <f t="shared" si="4"/>
        <v>0</v>
      </c>
      <c r="M65" s="14"/>
      <c r="N65" s="14">
        <v>0</v>
      </c>
      <c r="O65" s="14"/>
      <c r="P65" s="14"/>
      <c r="Q65" s="14"/>
      <c r="R65" s="14">
        <f t="shared" si="5"/>
        <v>0</v>
      </c>
      <c r="S65" s="16"/>
      <c r="T65" s="16"/>
      <c r="U65" s="14"/>
      <c r="V65" s="14" t="e">
        <f t="shared" si="7"/>
        <v>#DIV/0!</v>
      </c>
      <c r="W65" s="14" t="e">
        <f t="shared" si="8"/>
        <v>#DIV/0!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 t="s">
        <v>64</v>
      </c>
      <c r="AI65" s="14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4" t="s">
        <v>120</v>
      </c>
      <c r="B66" s="14" t="s">
        <v>45</v>
      </c>
      <c r="C66" s="14"/>
      <c r="D66" s="14"/>
      <c r="E66" s="14"/>
      <c r="F66" s="14"/>
      <c r="G66" s="15">
        <v>0</v>
      </c>
      <c r="H66" s="14">
        <v>30</v>
      </c>
      <c r="I66" s="14" t="s">
        <v>40</v>
      </c>
      <c r="J66" s="14"/>
      <c r="K66" s="14">
        <f t="shared" si="12"/>
        <v>0</v>
      </c>
      <c r="L66" s="14">
        <f t="shared" si="4"/>
        <v>0</v>
      </c>
      <c r="M66" s="14"/>
      <c r="N66" s="14">
        <v>0</v>
      </c>
      <c r="O66" s="14"/>
      <c r="P66" s="14"/>
      <c r="Q66" s="14"/>
      <c r="R66" s="14">
        <f t="shared" si="5"/>
        <v>0</v>
      </c>
      <c r="S66" s="16"/>
      <c r="T66" s="16"/>
      <c r="U66" s="14"/>
      <c r="V66" s="14" t="e">
        <f t="shared" si="7"/>
        <v>#DIV/0!</v>
      </c>
      <c r="W66" s="14" t="e">
        <f t="shared" si="8"/>
        <v>#DIV/0!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 t="s">
        <v>64</v>
      </c>
      <c r="AI66" s="14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121</v>
      </c>
      <c r="B67" s="1" t="s">
        <v>45</v>
      </c>
      <c r="C67" s="1">
        <v>123</v>
      </c>
      <c r="D67" s="1">
        <v>112</v>
      </c>
      <c r="E67" s="1">
        <v>79</v>
      </c>
      <c r="F67" s="1">
        <v>153</v>
      </c>
      <c r="G67" s="7">
        <v>0.6</v>
      </c>
      <c r="H67" s="1">
        <v>55</v>
      </c>
      <c r="I67" s="1" t="s">
        <v>40</v>
      </c>
      <c r="J67" s="1">
        <v>81</v>
      </c>
      <c r="K67" s="1">
        <f t="shared" si="12"/>
        <v>-2</v>
      </c>
      <c r="L67" s="1">
        <f t="shared" si="4"/>
        <v>79</v>
      </c>
      <c r="M67" s="1"/>
      <c r="N67" s="1">
        <v>0</v>
      </c>
      <c r="O67" s="1"/>
      <c r="P67" s="1"/>
      <c r="Q67" s="1"/>
      <c r="R67" s="1">
        <f t="shared" si="5"/>
        <v>15.8</v>
      </c>
      <c r="S67" s="5">
        <f>11*R67-Q67-P67-O67-N67-F67</f>
        <v>20.800000000000011</v>
      </c>
      <c r="T67" s="5"/>
      <c r="U67" s="1"/>
      <c r="V67" s="1">
        <f t="shared" si="7"/>
        <v>11</v>
      </c>
      <c r="W67" s="1">
        <f t="shared" si="8"/>
        <v>9.6835443037974684</v>
      </c>
      <c r="X67" s="1">
        <v>11.8</v>
      </c>
      <c r="Y67" s="1">
        <v>14.2</v>
      </c>
      <c r="Z67" s="1">
        <v>23.6</v>
      </c>
      <c r="AA67" s="1">
        <v>15.8</v>
      </c>
      <c r="AB67" s="1">
        <v>19.399999999999999</v>
      </c>
      <c r="AC67" s="1">
        <v>33.6</v>
      </c>
      <c r="AD67" s="1">
        <v>26.4</v>
      </c>
      <c r="AE67" s="1">
        <v>19.8</v>
      </c>
      <c r="AF67" s="1">
        <v>19.399999999999999</v>
      </c>
      <c r="AG67" s="1">
        <v>17.600000000000001</v>
      </c>
      <c r="AH67" s="1" t="s">
        <v>47</v>
      </c>
      <c r="AI67" s="1">
        <f>G67*S67</f>
        <v>12.480000000000006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4" t="s">
        <v>122</v>
      </c>
      <c r="B68" s="14" t="s">
        <v>45</v>
      </c>
      <c r="C68" s="14"/>
      <c r="D68" s="14"/>
      <c r="E68" s="14"/>
      <c r="F68" s="14"/>
      <c r="G68" s="15">
        <v>0</v>
      </c>
      <c r="H68" s="14">
        <v>40</v>
      </c>
      <c r="I68" s="14" t="s">
        <v>40</v>
      </c>
      <c r="J68" s="14"/>
      <c r="K68" s="14">
        <f t="shared" si="12"/>
        <v>0</v>
      </c>
      <c r="L68" s="14">
        <f t="shared" si="4"/>
        <v>0</v>
      </c>
      <c r="M68" s="14"/>
      <c r="N68" s="14">
        <v>0</v>
      </c>
      <c r="O68" s="14"/>
      <c r="P68" s="14"/>
      <c r="Q68" s="14"/>
      <c r="R68" s="14">
        <f t="shared" si="5"/>
        <v>0</v>
      </c>
      <c r="S68" s="16"/>
      <c r="T68" s="16"/>
      <c r="U68" s="14"/>
      <c r="V68" s="14" t="e">
        <f t="shared" si="7"/>
        <v>#DIV/0!</v>
      </c>
      <c r="W68" s="14" t="e">
        <f t="shared" si="8"/>
        <v>#DIV/0!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  <c r="AH68" s="14" t="s">
        <v>64</v>
      </c>
      <c r="AI68" s="14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123</v>
      </c>
      <c r="B69" s="1" t="s">
        <v>45</v>
      </c>
      <c r="C69" s="1">
        <v>69</v>
      </c>
      <c r="D69" s="1">
        <v>110</v>
      </c>
      <c r="E69" s="1">
        <v>51</v>
      </c>
      <c r="F69" s="1">
        <v>113</v>
      </c>
      <c r="G69" s="7">
        <v>0.4</v>
      </c>
      <c r="H69" s="1">
        <v>50</v>
      </c>
      <c r="I69" s="1" t="s">
        <v>40</v>
      </c>
      <c r="J69" s="1">
        <v>52</v>
      </c>
      <c r="K69" s="1">
        <f t="shared" si="12"/>
        <v>-1</v>
      </c>
      <c r="L69" s="1">
        <f t="shared" si="4"/>
        <v>51</v>
      </c>
      <c r="M69" s="1"/>
      <c r="N69" s="1">
        <v>30.099999999999969</v>
      </c>
      <c r="O69" s="1"/>
      <c r="P69" s="1"/>
      <c r="Q69" s="1"/>
      <c r="R69" s="1">
        <f t="shared" si="5"/>
        <v>10.199999999999999</v>
      </c>
      <c r="S69" s="5"/>
      <c r="T69" s="5"/>
      <c r="U69" s="1"/>
      <c r="V69" s="1">
        <f t="shared" si="7"/>
        <v>14.02941176470588</v>
      </c>
      <c r="W69" s="1">
        <f t="shared" si="8"/>
        <v>14.02941176470588</v>
      </c>
      <c r="X69" s="1">
        <v>12.4</v>
      </c>
      <c r="Y69" s="1">
        <v>17.399999999999999</v>
      </c>
      <c r="Z69" s="1">
        <v>18.8</v>
      </c>
      <c r="AA69" s="1">
        <v>13.2</v>
      </c>
      <c r="AB69" s="1">
        <v>11.8</v>
      </c>
      <c r="AC69" s="1">
        <v>16</v>
      </c>
      <c r="AD69" s="1">
        <v>17.2</v>
      </c>
      <c r="AE69" s="1">
        <v>13.2</v>
      </c>
      <c r="AF69" s="1">
        <v>13</v>
      </c>
      <c r="AG69" s="1">
        <v>7.2</v>
      </c>
      <c r="AH69" s="1" t="s">
        <v>47</v>
      </c>
      <c r="AI69" s="1">
        <f>G69*S69</f>
        <v>0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0" t="s">
        <v>124</v>
      </c>
      <c r="B70" s="1" t="s">
        <v>45</v>
      </c>
      <c r="C70" s="1"/>
      <c r="D70" s="1"/>
      <c r="E70" s="1"/>
      <c r="F70" s="1"/>
      <c r="G70" s="7">
        <v>0.06</v>
      </c>
      <c r="H70" s="1">
        <v>60</v>
      </c>
      <c r="I70" s="1" t="s">
        <v>40</v>
      </c>
      <c r="J70" s="1"/>
      <c r="K70" s="1">
        <f t="shared" ref="K70:K97" si="17">E70-J70</f>
        <v>0</v>
      </c>
      <c r="L70" s="1">
        <f t="shared" si="4"/>
        <v>0</v>
      </c>
      <c r="M70" s="1"/>
      <c r="N70" s="1"/>
      <c r="O70" s="1"/>
      <c r="P70" s="10"/>
      <c r="Q70" s="1"/>
      <c r="R70" s="1">
        <f t="shared" si="5"/>
        <v>0</v>
      </c>
      <c r="S70" s="17">
        <v>10</v>
      </c>
      <c r="T70" s="5"/>
      <c r="U70" s="1"/>
      <c r="V70" s="1" t="e">
        <f t="shared" si="7"/>
        <v>#DIV/0!</v>
      </c>
      <c r="W70" s="1" t="e">
        <f t="shared" si="8"/>
        <v>#DIV/0!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0" t="s">
        <v>125</v>
      </c>
      <c r="AI70" s="1">
        <f>G70*S70</f>
        <v>0.6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126</v>
      </c>
      <c r="B71" s="1" t="s">
        <v>45</v>
      </c>
      <c r="C71" s="1">
        <v>24</v>
      </c>
      <c r="D71" s="1"/>
      <c r="E71" s="1">
        <v>-1</v>
      </c>
      <c r="F71" s="1">
        <v>22</v>
      </c>
      <c r="G71" s="7">
        <v>0.4</v>
      </c>
      <c r="H71" s="1">
        <v>55</v>
      </c>
      <c r="I71" s="1" t="s">
        <v>40</v>
      </c>
      <c r="J71" s="1"/>
      <c r="K71" s="1">
        <f t="shared" si="17"/>
        <v>-1</v>
      </c>
      <c r="L71" s="1">
        <f t="shared" ref="L71:L97" si="18">E71-M71</f>
        <v>-1</v>
      </c>
      <c r="M71" s="1"/>
      <c r="N71" s="1">
        <v>0</v>
      </c>
      <c r="O71" s="1"/>
      <c r="P71" s="1"/>
      <c r="Q71" s="1"/>
      <c r="R71" s="1">
        <f t="shared" ref="R71:R97" si="19">L71/5</f>
        <v>-0.2</v>
      </c>
      <c r="S71" s="5"/>
      <c r="T71" s="5"/>
      <c r="U71" s="1"/>
      <c r="V71" s="1">
        <f t="shared" ref="V71:V97" si="20">(F71+N71+O71+P71+Q71+S71)/R71</f>
        <v>-110</v>
      </c>
      <c r="W71" s="1">
        <f t="shared" ref="W71:W97" si="21">(F71+N71+O71+P71+Q71)/R71</f>
        <v>-110</v>
      </c>
      <c r="X71" s="1">
        <v>0.2</v>
      </c>
      <c r="Y71" s="1">
        <v>0.4</v>
      </c>
      <c r="Z71" s="1">
        <v>0.2</v>
      </c>
      <c r="AA71" s="1">
        <v>0</v>
      </c>
      <c r="AB71" s="1">
        <v>0</v>
      </c>
      <c r="AC71" s="1">
        <v>0.2</v>
      </c>
      <c r="AD71" s="1">
        <v>0.2</v>
      </c>
      <c r="AE71" s="1">
        <v>1</v>
      </c>
      <c r="AF71" s="1">
        <v>1.2</v>
      </c>
      <c r="AG71" s="1">
        <v>0.8</v>
      </c>
      <c r="AH71" s="27" t="s">
        <v>108</v>
      </c>
      <c r="AI71" s="1">
        <f>G71*S71</f>
        <v>0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127</v>
      </c>
      <c r="B72" s="1" t="s">
        <v>39</v>
      </c>
      <c r="C72" s="1">
        <v>17.323</v>
      </c>
      <c r="D72" s="1"/>
      <c r="E72" s="1">
        <v>8.6829999999999998</v>
      </c>
      <c r="F72" s="1">
        <v>8.64</v>
      </c>
      <c r="G72" s="7">
        <v>1</v>
      </c>
      <c r="H72" s="1">
        <v>55</v>
      </c>
      <c r="I72" s="1" t="s">
        <v>40</v>
      </c>
      <c r="J72" s="1">
        <v>7.2</v>
      </c>
      <c r="K72" s="1">
        <f t="shared" si="17"/>
        <v>1.4829999999999997</v>
      </c>
      <c r="L72" s="1">
        <f t="shared" si="18"/>
        <v>8.6829999999999998</v>
      </c>
      <c r="M72" s="1"/>
      <c r="N72" s="1">
        <v>0</v>
      </c>
      <c r="O72" s="1"/>
      <c r="P72" s="1">
        <v>8.7259999999999991</v>
      </c>
      <c r="Q72" s="1"/>
      <c r="R72" s="1">
        <f t="shared" si="19"/>
        <v>1.7365999999999999</v>
      </c>
      <c r="S72" s="5"/>
      <c r="T72" s="5"/>
      <c r="U72" s="1"/>
      <c r="V72" s="1">
        <f t="shared" si="20"/>
        <v>10</v>
      </c>
      <c r="W72" s="1">
        <f t="shared" si="21"/>
        <v>10</v>
      </c>
      <c r="X72" s="1">
        <v>1.7365999999999999</v>
      </c>
      <c r="Y72" s="1">
        <v>0.28799999999999998</v>
      </c>
      <c r="Z72" s="1">
        <v>0.28799999999999998</v>
      </c>
      <c r="AA72" s="1">
        <v>1.6706000000000001</v>
      </c>
      <c r="AB72" s="1">
        <v>1.6706000000000001</v>
      </c>
      <c r="AC72" s="1">
        <v>0</v>
      </c>
      <c r="AD72" s="1">
        <v>0</v>
      </c>
      <c r="AE72" s="1">
        <v>1.4498</v>
      </c>
      <c r="AF72" s="1">
        <v>1.4498</v>
      </c>
      <c r="AG72" s="1">
        <v>0.28960000000000002</v>
      </c>
      <c r="AH72" s="25" t="s">
        <v>128</v>
      </c>
      <c r="AI72" s="1">
        <f>G72*S72</f>
        <v>0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1" t="s">
        <v>129</v>
      </c>
      <c r="B73" s="11" t="s">
        <v>39</v>
      </c>
      <c r="C73" s="11">
        <v>11.673</v>
      </c>
      <c r="D73" s="11">
        <v>24.83</v>
      </c>
      <c r="E73" s="11">
        <v>18.856000000000002</v>
      </c>
      <c r="F73" s="11"/>
      <c r="G73" s="12">
        <v>0</v>
      </c>
      <c r="H73" s="11">
        <v>50</v>
      </c>
      <c r="I73" s="11" t="s">
        <v>53</v>
      </c>
      <c r="J73" s="11">
        <v>31.23</v>
      </c>
      <c r="K73" s="11">
        <f t="shared" si="17"/>
        <v>-12.373999999999999</v>
      </c>
      <c r="L73" s="11">
        <f t="shared" si="18"/>
        <v>18.856000000000002</v>
      </c>
      <c r="M73" s="11"/>
      <c r="N73" s="11">
        <v>0</v>
      </c>
      <c r="O73" s="11"/>
      <c r="P73" s="11"/>
      <c r="Q73" s="11"/>
      <c r="R73" s="11">
        <f t="shared" si="19"/>
        <v>3.7712000000000003</v>
      </c>
      <c r="S73" s="13"/>
      <c r="T73" s="13"/>
      <c r="U73" s="11"/>
      <c r="V73" s="11">
        <f t="shared" si="20"/>
        <v>0</v>
      </c>
      <c r="W73" s="11">
        <f t="shared" si="21"/>
        <v>0</v>
      </c>
      <c r="X73" s="11">
        <v>6.9260000000000002</v>
      </c>
      <c r="Y73" s="11">
        <v>12.0786</v>
      </c>
      <c r="Z73" s="11">
        <v>11.2844</v>
      </c>
      <c r="AA73" s="11">
        <v>13.769</v>
      </c>
      <c r="AB73" s="11">
        <v>12.1906</v>
      </c>
      <c r="AC73" s="11">
        <v>17.401</v>
      </c>
      <c r="AD73" s="11">
        <v>20.459199999999999</v>
      </c>
      <c r="AE73" s="11">
        <v>19.576000000000001</v>
      </c>
      <c r="AF73" s="11">
        <v>22.449000000000002</v>
      </c>
      <c r="AG73" s="11">
        <v>15.4742</v>
      </c>
      <c r="AH73" s="11" t="s">
        <v>130</v>
      </c>
      <c r="AI73" s="1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4" t="s">
        <v>131</v>
      </c>
      <c r="B74" s="14" t="s">
        <v>45</v>
      </c>
      <c r="C74" s="14"/>
      <c r="D74" s="14"/>
      <c r="E74" s="14"/>
      <c r="F74" s="14"/>
      <c r="G74" s="15">
        <v>0</v>
      </c>
      <c r="H74" s="14">
        <v>40</v>
      </c>
      <c r="I74" s="14" t="s">
        <v>40</v>
      </c>
      <c r="J74" s="14"/>
      <c r="K74" s="14">
        <f t="shared" si="17"/>
        <v>0</v>
      </c>
      <c r="L74" s="14">
        <f t="shared" si="18"/>
        <v>0</v>
      </c>
      <c r="M74" s="14"/>
      <c r="N74" s="14">
        <v>0</v>
      </c>
      <c r="O74" s="14"/>
      <c r="P74" s="14"/>
      <c r="Q74" s="14"/>
      <c r="R74" s="14">
        <f t="shared" si="19"/>
        <v>0</v>
      </c>
      <c r="S74" s="16"/>
      <c r="T74" s="16"/>
      <c r="U74" s="14"/>
      <c r="V74" s="14" t="e">
        <f t="shared" si="20"/>
        <v>#DIV/0!</v>
      </c>
      <c r="W74" s="14" t="e">
        <f t="shared" si="21"/>
        <v>#DIV/0!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0</v>
      </c>
      <c r="AH74" s="14" t="s">
        <v>132</v>
      </c>
      <c r="AI74" s="14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133</v>
      </c>
      <c r="B75" s="1" t="s">
        <v>45</v>
      </c>
      <c r="C75" s="1">
        <v>31</v>
      </c>
      <c r="D75" s="1">
        <v>1</v>
      </c>
      <c r="E75" s="1">
        <v>16</v>
      </c>
      <c r="F75" s="1">
        <v>16</v>
      </c>
      <c r="G75" s="7">
        <v>0.2</v>
      </c>
      <c r="H75" s="1">
        <v>35</v>
      </c>
      <c r="I75" s="1" t="s">
        <v>40</v>
      </c>
      <c r="J75" s="1">
        <v>16</v>
      </c>
      <c r="K75" s="1">
        <f t="shared" si="17"/>
        <v>0</v>
      </c>
      <c r="L75" s="1">
        <f t="shared" si="18"/>
        <v>16</v>
      </c>
      <c r="M75" s="1"/>
      <c r="N75" s="1">
        <v>0</v>
      </c>
      <c r="O75" s="1"/>
      <c r="P75" s="1">
        <v>16</v>
      </c>
      <c r="Q75" s="1"/>
      <c r="R75" s="1">
        <f t="shared" si="19"/>
        <v>3.2</v>
      </c>
      <c r="S75" s="5"/>
      <c r="T75" s="5"/>
      <c r="U75" s="1"/>
      <c r="V75" s="1">
        <f t="shared" si="20"/>
        <v>10</v>
      </c>
      <c r="W75" s="1">
        <f t="shared" si="21"/>
        <v>10</v>
      </c>
      <c r="X75" s="1">
        <v>3.2</v>
      </c>
      <c r="Y75" s="1">
        <v>1.4</v>
      </c>
      <c r="Z75" s="1">
        <v>0</v>
      </c>
      <c r="AA75" s="1">
        <v>2.6</v>
      </c>
      <c r="AB75" s="1">
        <v>2.6</v>
      </c>
      <c r="AC75" s="1">
        <v>0.4</v>
      </c>
      <c r="AD75" s="1">
        <v>0.4</v>
      </c>
      <c r="AE75" s="1">
        <v>0</v>
      </c>
      <c r="AF75" s="1">
        <v>0</v>
      </c>
      <c r="AG75" s="1">
        <v>1.8</v>
      </c>
      <c r="AH75" s="1" t="s">
        <v>134</v>
      </c>
      <c r="AI75" s="1">
        <f>G75*S75</f>
        <v>0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21" t="s">
        <v>135</v>
      </c>
      <c r="B76" s="21" t="s">
        <v>39</v>
      </c>
      <c r="C76" s="21">
        <v>2558.788</v>
      </c>
      <c r="D76" s="21">
        <v>2979.7820000000002</v>
      </c>
      <c r="E76" s="21">
        <v>1853.1590000000001</v>
      </c>
      <c r="F76" s="21">
        <v>2700.652</v>
      </c>
      <c r="G76" s="22">
        <v>1</v>
      </c>
      <c r="H76" s="21">
        <v>60</v>
      </c>
      <c r="I76" s="21" t="s">
        <v>40</v>
      </c>
      <c r="J76" s="21">
        <v>1846.6469999999999</v>
      </c>
      <c r="K76" s="21">
        <f t="shared" si="17"/>
        <v>6.512000000000171</v>
      </c>
      <c r="L76" s="21">
        <f t="shared" si="18"/>
        <v>1751.0610000000001</v>
      </c>
      <c r="M76" s="21">
        <v>102.098</v>
      </c>
      <c r="N76" s="21">
        <v>1186.7864000000011</v>
      </c>
      <c r="O76" s="21">
        <v>1000</v>
      </c>
      <c r="P76" s="21"/>
      <c r="Q76" s="21"/>
      <c r="R76" s="21">
        <f t="shared" si="19"/>
        <v>350.21220000000005</v>
      </c>
      <c r="S76" s="23"/>
      <c r="T76" s="23"/>
      <c r="U76" s="21"/>
      <c r="V76" s="21">
        <f t="shared" si="20"/>
        <v>13.955648603903576</v>
      </c>
      <c r="W76" s="21">
        <f t="shared" si="21"/>
        <v>13.955648603903576</v>
      </c>
      <c r="X76" s="21">
        <v>480.40100000000001</v>
      </c>
      <c r="Y76" s="21">
        <v>606.80460000000005</v>
      </c>
      <c r="Z76" s="21">
        <v>541.07579999999996</v>
      </c>
      <c r="AA76" s="21">
        <v>395.20519999999999</v>
      </c>
      <c r="AB76" s="21">
        <v>385.33859999999999</v>
      </c>
      <c r="AC76" s="21">
        <v>527.70839999999998</v>
      </c>
      <c r="AD76" s="21">
        <v>533.19940000000008</v>
      </c>
      <c r="AE76" s="21">
        <v>391.99459999999999</v>
      </c>
      <c r="AF76" s="21">
        <v>409.6884</v>
      </c>
      <c r="AG76" s="21">
        <v>348.62119999999999</v>
      </c>
      <c r="AH76" s="21" t="s">
        <v>69</v>
      </c>
      <c r="AI76" s="21">
        <f>G76*S76</f>
        <v>0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21" t="s">
        <v>136</v>
      </c>
      <c r="B77" s="21" t="s">
        <v>39</v>
      </c>
      <c r="C77" s="21">
        <v>1437.424</v>
      </c>
      <c r="D77" s="21">
        <v>1399.33</v>
      </c>
      <c r="E77" s="21">
        <v>747.62300000000005</v>
      </c>
      <c r="F77" s="21">
        <v>1466.0989999999999</v>
      </c>
      <c r="G77" s="22">
        <v>1</v>
      </c>
      <c r="H77" s="21">
        <v>60</v>
      </c>
      <c r="I77" s="21" t="s">
        <v>40</v>
      </c>
      <c r="J77" s="21">
        <v>760.10500000000002</v>
      </c>
      <c r="K77" s="21">
        <f t="shared" si="17"/>
        <v>-12.481999999999971</v>
      </c>
      <c r="L77" s="21">
        <f t="shared" si="18"/>
        <v>747.62300000000005</v>
      </c>
      <c r="M77" s="21"/>
      <c r="N77" s="21">
        <v>603.65140000000019</v>
      </c>
      <c r="O77" s="21"/>
      <c r="P77" s="21"/>
      <c r="Q77" s="21"/>
      <c r="R77" s="21">
        <f t="shared" si="19"/>
        <v>149.52460000000002</v>
      </c>
      <c r="S77" s="23"/>
      <c r="T77" s="23"/>
      <c r="U77" s="21"/>
      <c r="V77" s="21">
        <f t="shared" si="20"/>
        <v>13.842206566678657</v>
      </c>
      <c r="W77" s="21">
        <f t="shared" si="21"/>
        <v>13.842206566678657</v>
      </c>
      <c r="X77" s="21">
        <v>249.58840000000001</v>
      </c>
      <c r="Y77" s="21">
        <v>251.4068</v>
      </c>
      <c r="Z77" s="21">
        <v>251.52459999999999</v>
      </c>
      <c r="AA77" s="21">
        <v>167.60140000000001</v>
      </c>
      <c r="AB77" s="21">
        <v>175.3792</v>
      </c>
      <c r="AC77" s="21">
        <v>233.99199999999999</v>
      </c>
      <c r="AD77" s="21">
        <v>239.4606</v>
      </c>
      <c r="AE77" s="21">
        <v>231.31639999999999</v>
      </c>
      <c r="AF77" s="21">
        <v>176.95740000000001</v>
      </c>
      <c r="AG77" s="21">
        <v>193.71940000000001</v>
      </c>
      <c r="AH77" s="21" t="s">
        <v>69</v>
      </c>
      <c r="AI77" s="21">
        <f>G77*S77</f>
        <v>0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1" t="s">
        <v>137</v>
      </c>
      <c r="B78" s="11" t="s">
        <v>39</v>
      </c>
      <c r="C78" s="11">
        <v>-2.492</v>
      </c>
      <c r="D78" s="11">
        <v>2.492</v>
      </c>
      <c r="E78" s="11"/>
      <c r="F78" s="11"/>
      <c r="G78" s="12">
        <v>0</v>
      </c>
      <c r="H78" s="11" t="e">
        <v>#N/A</v>
      </c>
      <c r="I78" s="11" t="s">
        <v>53</v>
      </c>
      <c r="J78" s="11"/>
      <c r="K78" s="11">
        <f t="shared" si="17"/>
        <v>0</v>
      </c>
      <c r="L78" s="11">
        <f t="shared" si="18"/>
        <v>0</v>
      </c>
      <c r="M78" s="11"/>
      <c r="N78" s="11">
        <v>0</v>
      </c>
      <c r="O78" s="11"/>
      <c r="P78" s="11"/>
      <c r="Q78" s="11"/>
      <c r="R78" s="11">
        <f t="shared" si="19"/>
        <v>0</v>
      </c>
      <c r="S78" s="13"/>
      <c r="T78" s="13"/>
      <c r="U78" s="11"/>
      <c r="V78" s="11" t="e">
        <f t="shared" si="20"/>
        <v>#DIV/0!</v>
      </c>
      <c r="W78" s="11" t="e">
        <f t="shared" si="21"/>
        <v>#DIV/0!</v>
      </c>
      <c r="X78" s="11">
        <v>0</v>
      </c>
      <c r="Y78" s="11">
        <v>0.49840000000000001</v>
      </c>
      <c r="Z78" s="11">
        <v>0.49840000000000001</v>
      </c>
      <c r="AA78" s="11">
        <v>0</v>
      </c>
      <c r="AB78" s="11">
        <v>0</v>
      </c>
      <c r="AC78" s="11">
        <v>0.52060000000000006</v>
      </c>
      <c r="AD78" s="11">
        <v>0</v>
      </c>
      <c r="AE78" s="11">
        <v>0</v>
      </c>
      <c r="AF78" s="11">
        <v>0</v>
      </c>
      <c r="AG78" s="11">
        <v>0</v>
      </c>
      <c r="AH78" s="11"/>
      <c r="AI78" s="1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21" t="s">
        <v>138</v>
      </c>
      <c r="B79" s="21" t="s">
        <v>39</v>
      </c>
      <c r="C79" s="21">
        <v>1392.923</v>
      </c>
      <c r="D79" s="21">
        <v>2685.4470000000001</v>
      </c>
      <c r="E79" s="21">
        <v>1625.3520000000001</v>
      </c>
      <c r="F79" s="21">
        <v>2031.6279999999999</v>
      </c>
      <c r="G79" s="22">
        <v>1</v>
      </c>
      <c r="H79" s="21">
        <v>60</v>
      </c>
      <c r="I79" s="21" t="s">
        <v>40</v>
      </c>
      <c r="J79" s="21">
        <v>1941.6389999999999</v>
      </c>
      <c r="K79" s="21">
        <f t="shared" si="17"/>
        <v>-316.28699999999981</v>
      </c>
      <c r="L79" s="21">
        <f t="shared" si="18"/>
        <v>1625.3520000000001</v>
      </c>
      <c r="M79" s="21"/>
      <c r="N79" s="21">
        <v>1087.7295000000011</v>
      </c>
      <c r="O79" s="21">
        <v>700</v>
      </c>
      <c r="P79" s="21"/>
      <c r="Q79" s="21"/>
      <c r="R79" s="21">
        <f t="shared" si="19"/>
        <v>325.07040000000001</v>
      </c>
      <c r="S79" s="23"/>
      <c r="T79" s="23"/>
      <c r="U79" s="21"/>
      <c r="V79" s="21">
        <f t="shared" si="20"/>
        <v>11.749324146400291</v>
      </c>
      <c r="W79" s="21">
        <f t="shared" si="21"/>
        <v>11.749324146400291</v>
      </c>
      <c r="X79" s="21">
        <v>325.6268</v>
      </c>
      <c r="Y79" s="21">
        <v>477.57700000000011</v>
      </c>
      <c r="Z79" s="21">
        <v>455.36860000000001</v>
      </c>
      <c r="AA79" s="21">
        <v>290.72300000000001</v>
      </c>
      <c r="AB79" s="21">
        <v>297.3904</v>
      </c>
      <c r="AC79" s="21">
        <v>298.51600000000002</v>
      </c>
      <c r="AD79" s="21">
        <v>258.31079999999997</v>
      </c>
      <c r="AE79" s="21">
        <v>164.2698</v>
      </c>
      <c r="AF79" s="21">
        <v>181.83359999999999</v>
      </c>
      <c r="AG79" s="21">
        <v>178.24760000000001</v>
      </c>
      <c r="AH79" s="21" t="s">
        <v>139</v>
      </c>
      <c r="AI79" s="21">
        <f>G79*S79</f>
        <v>0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8" t="s">
        <v>140</v>
      </c>
      <c r="B80" s="18" t="s">
        <v>39</v>
      </c>
      <c r="C80" s="18">
        <v>1008.465</v>
      </c>
      <c r="D80" s="18">
        <v>5117.6890000000003</v>
      </c>
      <c r="E80" s="18">
        <v>1632.164</v>
      </c>
      <c r="F80" s="18">
        <v>2968.5920000000001</v>
      </c>
      <c r="G80" s="19">
        <v>1</v>
      </c>
      <c r="H80" s="18">
        <v>60</v>
      </c>
      <c r="I80" s="18" t="s">
        <v>40</v>
      </c>
      <c r="J80" s="18">
        <v>2346.607</v>
      </c>
      <c r="K80" s="18">
        <f t="shared" si="17"/>
        <v>-714.44299999999998</v>
      </c>
      <c r="L80" s="18">
        <f t="shared" si="18"/>
        <v>1379.048</v>
      </c>
      <c r="M80" s="18">
        <v>253.11600000000001</v>
      </c>
      <c r="N80" s="18">
        <v>1122.594599999999</v>
      </c>
      <c r="O80" s="18"/>
      <c r="P80" s="18"/>
      <c r="Q80" s="18"/>
      <c r="R80" s="18">
        <f t="shared" si="19"/>
        <v>275.80959999999999</v>
      </c>
      <c r="S80" s="20"/>
      <c r="T80" s="20"/>
      <c r="U80" s="18"/>
      <c r="V80" s="18">
        <f t="shared" si="20"/>
        <v>14.833372732493718</v>
      </c>
      <c r="W80" s="18">
        <f t="shared" si="21"/>
        <v>14.833372732493718</v>
      </c>
      <c r="X80" s="18">
        <v>375.82139999999998</v>
      </c>
      <c r="Y80" s="18">
        <v>544.85159999999996</v>
      </c>
      <c r="Z80" s="18">
        <v>645.95100000000002</v>
      </c>
      <c r="AA80" s="18">
        <v>176.8768</v>
      </c>
      <c r="AB80" s="18">
        <v>131.86940000000001</v>
      </c>
      <c r="AC80" s="18">
        <v>350.85899999999998</v>
      </c>
      <c r="AD80" s="18">
        <v>321.74360000000001</v>
      </c>
      <c r="AE80" s="18">
        <v>675.32060000000001</v>
      </c>
      <c r="AF80" s="18">
        <v>735.18680000000006</v>
      </c>
      <c r="AG80" s="18">
        <v>514.34320000000002</v>
      </c>
      <c r="AH80" s="18" t="s">
        <v>60</v>
      </c>
      <c r="AI80" s="18">
        <f>G80*S80</f>
        <v>0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141</v>
      </c>
      <c r="B81" s="1" t="s">
        <v>39</v>
      </c>
      <c r="C81" s="1">
        <v>25.545000000000002</v>
      </c>
      <c r="D81" s="1"/>
      <c r="E81" s="1">
        <v>1.355</v>
      </c>
      <c r="F81" s="1">
        <v>24.19</v>
      </c>
      <c r="G81" s="7">
        <v>1</v>
      </c>
      <c r="H81" s="1">
        <v>55</v>
      </c>
      <c r="I81" s="1" t="s">
        <v>40</v>
      </c>
      <c r="J81" s="1">
        <v>1.3</v>
      </c>
      <c r="K81" s="1">
        <f t="shared" si="17"/>
        <v>5.4999999999999938E-2</v>
      </c>
      <c r="L81" s="1">
        <f t="shared" si="18"/>
        <v>1.355</v>
      </c>
      <c r="M81" s="1"/>
      <c r="N81" s="1">
        <v>0</v>
      </c>
      <c r="O81" s="1"/>
      <c r="P81" s="1"/>
      <c r="Q81" s="1"/>
      <c r="R81" s="1">
        <f t="shared" si="19"/>
        <v>0.27100000000000002</v>
      </c>
      <c r="S81" s="5"/>
      <c r="T81" s="5"/>
      <c r="U81" s="1"/>
      <c r="V81" s="1">
        <f t="shared" si="20"/>
        <v>89.261992619926204</v>
      </c>
      <c r="W81" s="1">
        <f t="shared" si="21"/>
        <v>89.261992619926204</v>
      </c>
      <c r="X81" s="1">
        <v>0</v>
      </c>
      <c r="Y81" s="1">
        <v>0.26700000000000002</v>
      </c>
      <c r="Z81" s="1">
        <v>0.26700000000000002</v>
      </c>
      <c r="AA81" s="1">
        <v>1.0716000000000001</v>
      </c>
      <c r="AB81" s="1">
        <v>1.0716000000000001</v>
      </c>
      <c r="AC81" s="1">
        <v>1.0642</v>
      </c>
      <c r="AD81" s="1">
        <v>1.6112</v>
      </c>
      <c r="AE81" s="1">
        <v>0.8146000000000001</v>
      </c>
      <c r="AF81" s="1">
        <v>0.8103999999999999</v>
      </c>
      <c r="AG81" s="1">
        <v>0.8156000000000001</v>
      </c>
      <c r="AH81" s="26" t="s">
        <v>166</v>
      </c>
      <c r="AI81" s="1">
        <f>G81*S81</f>
        <v>0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142</v>
      </c>
      <c r="B82" s="1" t="s">
        <v>39</v>
      </c>
      <c r="C82" s="1">
        <v>36.384999999999998</v>
      </c>
      <c r="D82" s="1"/>
      <c r="E82" s="1">
        <v>4.05</v>
      </c>
      <c r="F82" s="1">
        <v>28.277999999999999</v>
      </c>
      <c r="G82" s="7">
        <v>1</v>
      </c>
      <c r="H82" s="1">
        <v>55</v>
      </c>
      <c r="I82" s="1" t="s">
        <v>40</v>
      </c>
      <c r="J82" s="1">
        <v>3.6</v>
      </c>
      <c r="K82" s="1">
        <f t="shared" si="17"/>
        <v>0.44999999999999973</v>
      </c>
      <c r="L82" s="1">
        <f t="shared" si="18"/>
        <v>4.05</v>
      </c>
      <c r="M82" s="1"/>
      <c r="N82" s="1">
        <v>0</v>
      </c>
      <c r="O82" s="1"/>
      <c r="P82" s="1"/>
      <c r="Q82" s="1"/>
      <c r="R82" s="1">
        <f t="shared" si="19"/>
        <v>0.80999999999999994</v>
      </c>
      <c r="S82" s="5"/>
      <c r="T82" s="5"/>
      <c r="U82" s="1"/>
      <c r="V82" s="1">
        <f t="shared" si="20"/>
        <v>34.911111111111111</v>
      </c>
      <c r="W82" s="1">
        <f t="shared" si="21"/>
        <v>34.911111111111111</v>
      </c>
      <c r="X82" s="1">
        <v>1.3544</v>
      </c>
      <c r="Y82" s="1">
        <v>1.5212000000000001</v>
      </c>
      <c r="Z82" s="1">
        <v>0.98180000000000001</v>
      </c>
      <c r="AA82" s="1">
        <v>1.0815999999999999</v>
      </c>
      <c r="AB82" s="1">
        <v>1.0786</v>
      </c>
      <c r="AC82" s="1">
        <v>1.6180000000000001</v>
      </c>
      <c r="AD82" s="1">
        <v>3.4996</v>
      </c>
      <c r="AE82" s="1">
        <v>4.0282</v>
      </c>
      <c r="AF82" s="1">
        <v>2.1478000000000002</v>
      </c>
      <c r="AG82" s="1">
        <v>0.2702</v>
      </c>
      <c r="AH82" s="26" t="s">
        <v>167</v>
      </c>
      <c r="AI82" s="1">
        <f>G82*S82</f>
        <v>0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4" t="s">
        <v>143</v>
      </c>
      <c r="B83" s="14" t="s">
        <v>39</v>
      </c>
      <c r="C83" s="14"/>
      <c r="D83" s="14"/>
      <c r="E83" s="14"/>
      <c r="F83" s="14"/>
      <c r="G83" s="15">
        <v>0</v>
      </c>
      <c r="H83" s="14">
        <v>55</v>
      </c>
      <c r="I83" s="14" t="s">
        <v>40</v>
      </c>
      <c r="J83" s="14"/>
      <c r="K83" s="14">
        <f t="shared" si="17"/>
        <v>0</v>
      </c>
      <c r="L83" s="14">
        <f t="shared" si="18"/>
        <v>0</v>
      </c>
      <c r="M83" s="14"/>
      <c r="N83" s="14">
        <v>0</v>
      </c>
      <c r="O83" s="14"/>
      <c r="P83" s="14">
        <v>0</v>
      </c>
      <c r="Q83" s="14"/>
      <c r="R83" s="14">
        <f t="shared" si="19"/>
        <v>0</v>
      </c>
      <c r="S83" s="16"/>
      <c r="T83" s="16"/>
      <c r="U83" s="14"/>
      <c r="V83" s="14" t="e">
        <f t="shared" si="20"/>
        <v>#DIV/0!</v>
      </c>
      <c r="W83" s="14" t="e">
        <f t="shared" si="21"/>
        <v>#DIV/0!</v>
      </c>
      <c r="X83" s="14">
        <v>0</v>
      </c>
      <c r="Y83" s="14">
        <v>0</v>
      </c>
      <c r="Z83" s="14">
        <v>0</v>
      </c>
      <c r="AA83" s="14">
        <v>0.27200000000000002</v>
      </c>
      <c r="AB83" s="14">
        <v>0.54200000000000004</v>
      </c>
      <c r="AC83" s="14">
        <v>0.8076000000000001</v>
      </c>
      <c r="AD83" s="14">
        <v>0.53760000000000008</v>
      </c>
      <c r="AE83" s="14">
        <v>0.187</v>
      </c>
      <c r="AF83" s="14">
        <v>0.45600000000000002</v>
      </c>
      <c r="AG83" s="14">
        <v>0.53579999999999994</v>
      </c>
      <c r="AH83" s="14" t="s">
        <v>144</v>
      </c>
      <c r="AI83" s="14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145</v>
      </c>
      <c r="B84" s="1" t="s">
        <v>39</v>
      </c>
      <c r="C84" s="1">
        <v>137.083</v>
      </c>
      <c r="D84" s="1"/>
      <c r="E84" s="1">
        <v>28.948</v>
      </c>
      <c r="F84" s="1">
        <v>106.535</v>
      </c>
      <c r="G84" s="7">
        <v>1</v>
      </c>
      <c r="H84" s="1">
        <v>60</v>
      </c>
      <c r="I84" s="1" t="s">
        <v>40</v>
      </c>
      <c r="J84" s="1">
        <v>28.8</v>
      </c>
      <c r="K84" s="1">
        <f t="shared" si="17"/>
        <v>0.14799999999999969</v>
      </c>
      <c r="L84" s="1">
        <f t="shared" si="18"/>
        <v>28.948</v>
      </c>
      <c r="M84" s="1"/>
      <c r="N84" s="1">
        <v>0</v>
      </c>
      <c r="O84" s="1"/>
      <c r="P84" s="1"/>
      <c r="Q84" s="1"/>
      <c r="R84" s="1">
        <f t="shared" si="19"/>
        <v>5.7896000000000001</v>
      </c>
      <c r="S84" s="5"/>
      <c r="T84" s="5"/>
      <c r="U84" s="1"/>
      <c r="V84" s="1">
        <f t="shared" si="20"/>
        <v>18.401098521486801</v>
      </c>
      <c r="W84" s="1">
        <f t="shared" si="21"/>
        <v>18.401098521486801</v>
      </c>
      <c r="X84" s="1">
        <v>5.9470000000000001</v>
      </c>
      <c r="Y84" s="1">
        <v>1.276</v>
      </c>
      <c r="Z84" s="1">
        <v>0.95600000000000007</v>
      </c>
      <c r="AA84" s="1">
        <v>0</v>
      </c>
      <c r="AB84" s="1">
        <v>0.1588</v>
      </c>
      <c r="AC84" s="1">
        <v>12.1892</v>
      </c>
      <c r="AD84" s="1">
        <v>12.1904</v>
      </c>
      <c r="AE84" s="1">
        <v>8.9773999999999994</v>
      </c>
      <c r="AF84" s="1">
        <v>8.817400000000001</v>
      </c>
      <c r="AG84" s="1">
        <v>3.0908000000000002</v>
      </c>
      <c r="AH84" s="26" t="s">
        <v>168</v>
      </c>
      <c r="AI84" s="1">
        <f t="shared" ref="AI84:AI95" si="22">G84*S84</f>
        <v>0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146</v>
      </c>
      <c r="B85" s="1" t="s">
        <v>45</v>
      </c>
      <c r="C85" s="1">
        <v>41</v>
      </c>
      <c r="D85" s="1"/>
      <c r="E85" s="1">
        <v>12</v>
      </c>
      <c r="F85" s="1">
        <v>21</v>
      </c>
      <c r="G85" s="7">
        <v>0.3</v>
      </c>
      <c r="H85" s="1">
        <v>40</v>
      </c>
      <c r="I85" s="1" t="s">
        <v>40</v>
      </c>
      <c r="J85" s="1">
        <v>11</v>
      </c>
      <c r="K85" s="1">
        <f t="shared" si="17"/>
        <v>1</v>
      </c>
      <c r="L85" s="1">
        <f t="shared" si="18"/>
        <v>12</v>
      </c>
      <c r="M85" s="1"/>
      <c r="N85" s="1">
        <v>0</v>
      </c>
      <c r="O85" s="1"/>
      <c r="P85" s="1"/>
      <c r="Q85" s="1"/>
      <c r="R85" s="1">
        <f t="shared" si="19"/>
        <v>2.4</v>
      </c>
      <c r="S85" s="5">
        <f t="shared" ref="S85:S92" si="23">11*R85-Q85-P85-O85-N85-F85</f>
        <v>5.3999999999999986</v>
      </c>
      <c r="T85" s="5"/>
      <c r="U85" s="1"/>
      <c r="V85" s="1">
        <f t="shared" si="20"/>
        <v>11</v>
      </c>
      <c r="W85" s="1">
        <f t="shared" si="21"/>
        <v>8.75</v>
      </c>
      <c r="X85" s="1">
        <v>2.8</v>
      </c>
      <c r="Y85" s="1">
        <v>1.4</v>
      </c>
      <c r="Z85" s="1">
        <v>0.8</v>
      </c>
      <c r="AA85" s="1">
        <v>2.8</v>
      </c>
      <c r="AB85" s="1">
        <v>3</v>
      </c>
      <c r="AC85" s="1">
        <v>2.2000000000000002</v>
      </c>
      <c r="AD85" s="1">
        <v>2.2000000000000002</v>
      </c>
      <c r="AE85" s="1">
        <v>2.8</v>
      </c>
      <c r="AF85" s="1">
        <v>3.2</v>
      </c>
      <c r="AG85" s="1">
        <v>2.8</v>
      </c>
      <c r="AH85" s="25" t="s">
        <v>42</v>
      </c>
      <c r="AI85" s="1">
        <f t="shared" si="22"/>
        <v>1.6199999999999994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147</v>
      </c>
      <c r="B86" s="1" t="s">
        <v>45</v>
      </c>
      <c r="C86" s="1">
        <v>23</v>
      </c>
      <c r="D86" s="1"/>
      <c r="E86" s="1">
        <v>10</v>
      </c>
      <c r="F86" s="1"/>
      <c r="G86" s="7">
        <v>0.3</v>
      </c>
      <c r="H86" s="1">
        <v>40</v>
      </c>
      <c r="I86" s="1" t="s">
        <v>40</v>
      </c>
      <c r="J86" s="1">
        <v>15</v>
      </c>
      <c r="K86" s="1">
        <f t="shared" si="17"/>
        <v>-5</v>
      </c>
      <c r="L86" s="1">
        <f t="shared" si="18"/>
        <v>10</v>
      </c>
      <c r="M86" s="1"/>
      <c r="N86" s="1">
        <v>19.399999999999999</v>
      </c>
      <c r="O86" s="1"/>
      <c r="P86" s="1">
        <v>5.6000000000000014</v>
      </c>
      <c r="Q86" s="1"/>
      <c r="R86" s="1">
        <f t="shared" si="19"/>
        <v>2</v>
      </c>
      <c r="S86" s="5"/>
      <c r="T86" s="5"/>
      <c r="U86" s="1"/>
      <c r="V86" s="1">
        <f t="shared" si="20"/>
        <v>12.5</v>
      </c>
      <c r="W86" s="1">
        <f t="shared" si="21"/>
        <v>12.5</v>
      </c>
      <c r="X86" s="1">
        <v>3</v>
      </c>
      <c r="Y86" s="1">
        <v>2.8</v>
      </c>
      <c r="Z86" s="1">
        <v>1</v>
      </c>
      <c r="AA86" s="1">
        <v>2.4</v>
      </c>
      <c r="AB86" s="1">
        <v>2.4</v>
      </c>
      <c r="AC86" s="1">
        <v>1.4</v>
      </c>
      <c r="AD86" s="1">
        <v>1.6</v>
      </c>
      <c r="AE86" s="1">
        <v>1.6</v>
      </c>
      <c r="AF86" s="1">
        <v>2</v>
      </c>
      <c r="AG86" s="1">
        <v>2.4</v>
      </c>
      <c r="AH86" s="1" t="s">
        <v>148</v>
      </c>
      <c r="AI86" s="1">
        <f t="shared" si="22"/>
        <v>0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149</v>
      </c>
      <c r="B87" s="1" t="s">
        <v>45</v>
      </c>
      <c r="C87" s="1">
        <v>118</v>
      </c>
      <c r="D87" s="1">
        <v>2</v>
      </c>
      <c r="E87" s="1">
        <v>86</v>
      </c>
      <c r="F87" s="1">
        <v>-2</v>
      </c>
      <c r="G87" s="7">
        <v>0.3</v>
      </c>
      <c r="H87" s="1">
        <v>40</v>
      </c>
      <c r="I87" s="1" t="s">
        <v>40</v>
      </c>
      <c r="J87" s="1">
        <v>105</v>
      </c>
      <c r="K87" s="1">
        <f t="shared" si="17"/>
        <v>-19</v>
      </c>
      <c r="L87" s="1">
        <f t="shared" si="18"/>
        <v>86</v>
      </c>
      <c r="M87" s="1"/>
      <c r="N87" s="1">
        <v>71.700000000000017</v>
      </c>
      <c r="O87" s="1"/>
      <c r="P87" s="1">
        <v>119.1</v>
      </c>
      <c r="Q87" s="1"/>
      <c r="R87" s="1">
        <f t="shared" si="19"/>
        <v>17.2</v>
      </c>
      <c r="S87" s="5"/>
      <c r="T87" s="5"/>
      <c r="U87" s="1"/>
      <c r="V87" s="1">
        <f t="shared" si="20"/>
        <v>10.976744186046513</v>
      </c>
      <c r="W87" s="1">
        <f t="shared" si="21"/>
        <v>10.976744186046513</v>
      </c>
      <c r="X87" s="1">
        <v>21.2</v>
      </c>
      <c r="Y87" s="1">
        <v>15.4</v>
      </c>
      <c r="Z87" s="1">
        <v>12.8</v>
      </c>
      <c r="AA87" s="1">
        <v>15</v>
      </c>
      <c r="AB87" s="1">
        <v>15</v>
      </c>
      <c r="AC87" s="1">
        <v>9</v>
      </c>
      <c r="AD87" s="1">
        <v>9.1999999999999993</v>
      </c>
      <c r="AE87" s="1">
        <v>13.4</v>
      </c>
      <c r="AF87" s="1">
        <v>12.4</v>
      </c>
      <c r="AG87" s="1">
        <v>13.8</v>
      </c>
      <c r="AH87" s="1"/>
      <c r="AI87" s="1">
        <f t="shared" si="22"/>
        <v>0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150</v>
      </c>
      <c r="B88" s="1" t="s">
        <v>39</v>
      </c>
      <c r="C88" s="1">
        <v>16.198</v>
      </c>
      <c r="D88" s="1"/>
      <c r="E88" s="1">
        <v>9.4380000000000006</v>
      </c>
      <c r="F88" s="1">
        <v>4.0940000000000003</v>
      </c>
      <c r="G88" s="7">
        <v>1</v>
      </c>
      <c r="H88" s="1">
        <v>50</v>
      </c>
      <c r="I88" s="1" t="s">
        <v>40</v>
      </c>
      <c r="J88" s="1">
        <v>9.1</v>
      </c>
      <c r="K88" s="1">
        <f t="shared" si="17"/>
        <v>0.33800000000000097</v>
      </c>
      <c r="L88" s="1">
        <f t="shared" si="18"/>
        <v>9.4380000000000006</v>
      </c>
      <c r="M88" s="1"/>
      <c r="N88" s="1">
        <v>0</v>
      </c>
      <c r="O88" s="1"/>
      <c r="P88" s="1">
        <v>6.697000000000001</v>
      </c>
      <c r="Q88" s="1"/>
      <c r="R88" s="1">
        <f t="shared" si="19"/>
        <v>1.8876000000000002</v>
      </c>
      <c r="S88" s="5">
        <f t="shared" si="23"/>
        <v>9.9725999999999999</v>
      </c>
      <c r="T88" s="5"/>
      <c r="U88" s="1"/>
      <c r="V88" s="1">
        <f t="shared" si="20"/>
        <v>11</v>
      </c>
      <c r="W88" s="1">
        <f t="shared" si="21"/>
        <v>5.7167832167832167</v>
      </c>
      <c r="X88" s="1">
        <v>1.3486</v>
      </c>
      <c r="Y88" s="1">
        <v>1.0804</v>
      </c>
      <c r="Z88" s="1">
        <v>1.0804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28" t="s">
        <v>153</v>
      </c>
      <c r="AI88" s="1">
        <f t="shared" si="22"/>
        <v>9.9725999999999999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152</v>
      </c>
      <c r="B89" s="1" t="s">
        <v>45</v>
      </c>
      <c r="C89" s="1">
        <v>33</v>
      </c>
      <c r="D89" s="1">
        <v>48</v>
      </c>
      <c r="E89" s="1"/>
      <c r="F89" s="1">
        <v>48</v>
      </c>
      <c r="G89" s="7">
        <v>0.05</v>
      </c>
      <c r="H89" s="1">
        <v>120</v>
      </c>
      <c r="I89" s="1" t="s">
        <v>40</v>
      </c>
      <c r="J89" s="1">
        <v>14</v>
      </c>
      <c r="K89" s="1">
        <f t="shared" si="17"/>
        <v>-14</v>
      </c>
      <c r="L89" s="1">
        <f t="shared" si="18"/>
        <v>0</v>
      </c>
      <c r="M89" s="1"/>
      <c r="N89" s="1">
        <v>0</v>
      </c>
      <c r="O89" s="1"/>
      <c r="P89" s="1"/>
      <c r="Q89" s="1"/>
      <c r="R89" s="1">
        <f t="shared" si="19"/>
        <v>0</v>
      </c>
      <c r="S89" s="5"/>
      <c r="T89" s="5"/>
      <c r="U89" s="1"/>
      <c r="V89" s="1" t="e">
        <f t="shared" si="20"/>
        <v>#DIV/0!</v>
      </c>
      <c r="W89" s="1" t="e">
        <f t="shared" si="21"/>
        <v>#DIV/0!</v>
      </c>
      <c r="X89" s="1">
        <v>0.2</v>
      </c>
      <c r="Y89" s="1">
        <v>6.6</v>
      </c>
      <c r="Z89" s="1">
        <v>9.1999999999999993</v>
      </c>
      <c r="AA89" s="1">
        <v>3.8</v>
      </c>
      <c r="AB89" s="1">
        <v>0.8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 t="s">
        <v>153</v>
      </c>
      <c r="AI89" s="1">
        <f t="shared" si="22"/>
        <v>0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8" t="s">
        <v>154</v>
      </c>
      <c r="B90" s="18" t="s">
        <v>39</v>
      </c>
      <c r="C90" s="18">
        <v>3832.02</v>
      </c>
      <c r="D90" s="18">
        <v>5239.49</v>
      </c>
      <c r="E90" s="18">
        <v>3137.9090000000001</v>
      </c>
      <c r="F90" s="18">
        <v>5199.6660000000002</v>
      </c>
      <c r="G90" s="19">
        <v>1</v>
      </c>
      <c r="H90" s="18">
        <v>40</v>
      </c>
      <c r="I90" s="18" t="s">
        <v>40</v>
      </c>
      <c r="J90" s="18">
        <v>3003.259</v>
      </c>
      <c r="K90" s="18">
        <f t="shared" si="17"/>
        <v>134.65000000000009</v>
      </c>
      <c r="L90" s="18">
        <f t="shared" si="18"/>
        <v>3137.9090000000001</v>
      </c>
      <c r="M90" s="18"/>
      <c r="N90" s="18">
        <v>1370.2162999999989</v>
      </c>
      <c r="O90" s="18">
        <v>1500</v>
      </c>
      <c r="P90" s="18">
        <v>114.70349999999959</v>
      </c>
      <c r="Q90" s="18">
        <v>480</v>
      </c>
      <c r="R90" s="18">
        <f t="shared" si="19"/>
        <v>627.58180000000004</v>
      </c>
      <c r="S90" s="20"/>
      <c r="T90" s="20"/>
      <c r="U90" s="18"/>
      <c r="V90" s="18">
        <f t="shared" si="20"/>
        <v>13.806305090428049</v>
      </c>
      <c r="W90" s="18">
        <f t="shared" si="21"/>
        <v>13.806305090428049</v>
      </c>
      <c r="X90" s="18">
        <v>656.36519999999996</v>
      </c>
      <c r="Y90" s="18">
        <v>1055.3234</v>
      </c>
      <c r="Z90" s="18">
        <v>984.75660000000005</v>
      </c>
      <c r="AA90" s="18">
        <v>746.59719999999993</v>
      </c>
      <c r="AB90" s="18">
        <v>732.85320000000002</v>
      </c>
      <c r="AC90" s="18">
        <v>833.77319999999997</v>
      </c>
      <c r="AD90" s="18">
        <v>852.93179999999995</v>
      </c>
      <c r="AE90" s="18">
        <v>1290.4069999999999</v>
      </c>
      <c r="AF90" s="18">
        <v>1456.4558</v>
      </c>
      <c r="AG90" s="18">
        <v>1056.0206000000001</v>
      </c>
      <c r="AH90" s="18" t="s">
        <v>66</v>
      </c>
      <c r="AI90" s="18">
        <f t="shared" si="22"/>
        <v>0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155</v>
      </c>
      <c r="B91" s="1" t="s">
        <v>45</v>
      </c>
      <c r="C91" s="1">
        <v>34</v>
      </c>
      <c r="D91" s="1">
        <v>234</v>
      </c>
      <c r="E91" s="1">
        <v>1</v>
      </c>
      <c r="F91" s="1">
        <v>234</v>
      </c>
      <c r="G91" s="7">
        <v>0.3</v>
      </c>
      <c r="H91" s="1">
        <v>40</v>
      </c>
      <c r="I91" s="1" t="s">
        <v>40</v>
      </c>
      <c r="J91" s="1">
        <v>118</v>
      </c>
      <c r="K91" s="1">
        <f t="shared" si="17"/>
        <v>-117</v>
      </c>
      <c r="L91" s="1">
        <f t="shared" si="18"/>
        <v>1</v>
      </c>
      <c r="M91" s="1"/>
      <c r="N91" s="1">
        <v>78.100000000000023</v>
      </c>
      <c r="O91" s="1"/>
      <c r="P91" s="1"/>
      <c r="Q91" s="1"/>
      <c r="R91" s="1">
        <f t="shared" si="19"/>
        <v>0.2</v>
      </c>
      <c r="S91" s="5"/>
      <c r="T91" s="5"/>
      <c r="U91" s="1"/>
      <c r="V91" s="1">
        <f t="shared" si="20"/>
        <v>1560.5</v>
      </c>
      <c r="W91" s="1">
        <f t="shared" si="21"/>
        <v>1560.5</v>
      </c>
      <c r="X91" s="1">
        <v>0.6</v>
      </c>
      <c r="Y91" s="1">
        <v>32.6</v>
      </c>
      <c r="Z91" s="1">
        <v>37.6</v>
      </c>
      <c r="AA91" s="1">
        <v>5.6</v>
      </c>
      <c r="AB91" s="1">
        <v>2.8</v>
      </c>
      <c r="AC91" s="1">
        <v>21.8</v>
      </c>
      <c r="AD91" s="1">
        <v>25.2</v>
      </c>
      <c r="AE91" s="1">
        <v>26.6</v>
      </c>
      <c r="AF91" s="1">
        <v>25.2</v>
      </c>
      <c r="AG91" s="1">
        <v>26.8</v>
      </c>
      <c r="AH91" s="1"/>
      <c r="AI91" s="1">
        <f t="shared" si="22"/>
        <v>0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156</v>
      </c>
      <c r="B92" s="1" t="s">
        <v>45</v>
      </c>
      <c r="C92" s="1">
        <v>186</v>
      </c>
      <c r="D92" s="1">
        <v>102</v>
      </c>
      <c r="E92" s="1">
        <v>146</v>
      </c>
      <c r="F92" s="1">
        <v>91</v>
      </c>
      <c r="G92" s="7">
        <v>0.3</v>
      </c>
      <c r="H92" s="1">
        <v>40</v>
      </c>
      <c r="I92" s="1" t="s">
        <v>40</v>
      </c>
      <c r="J92" s="1">
        <v>155</v>
      </c>
      <c r="K92" s="1">
        <f t="shared" si="17"/>
        <v>-9</v>
      </c>
      <c r="L92" s="1">
        <f t="shared" si="18"/>
        <v>146</v>
      </c>
      <c r="M92" s="1"/>
      <c r="N92" s="1">
        <v>0</v>
      </c>
      <c r="O92" s="1"/>
      <c r="P92" s="1">
        <v>188.8</v>
      </c>
      <c r="Q92" s="1"/>
      <c r="R92" s="1">
        <f t="shared" si="19"/>
        <v>29.2</v>
      </c>
      <c r="S92" s="5">
        <f t="shared" si="23"/>
        <v>41.399999999999977</v>
      </c>
      <c r="T92" s="5"/>
      <c r="U92" s="1"/>
      <c r="V92" s="1">
        <f t="shared" si="20"/>
        <v>11</v>
      </c>
      <c r="W92" s="1">
        <f t="shared" si="21"/>
        <v>9.582191780821919</v>
      </c>
      <c r="X92" s="1">
        <v>28.8</v>
      </c>
      <c r="Y92" s="1">
        <v>21.4</v>
      </c>
      <c r="Z92" s="1">
        <v>17.600000000000001</v>
      </c>
      <c r="AA92" s="1">
        <v>23.8</v>
      </c>
      <c r="AB92" s="1">
        <v>25</v>
      </c>
      <c r="AC92" s="1">
        <v>16.8</v>
      </c>
      <c r="AD92" s="1">
        <v>17</v>
      </c>
      <c r="AE92" s="1">
        <v>21</v>
      </c>
      <c r="AF92" s="1">
        <v>21</v>
      </c>
      <c r="AG92" s="1">
        <v>20</v>
      </c>
      <c r="AH92" s="1" t="s">
        <v>157</v>
      </c>
      <c r="AI92" s="1">
        <f t="shared" si="22"/>
        <v>12.419999999999993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158</v>
      </c>
      <c r="B93" s="1" t="s">
        <v>39</v>
      </c>
      <c r="C93" s="1">
        <v>44.593000000000004</v>
      </c>
      <c r="D93" s="1"/>
      <c r="E93" s="1">
        <v>15.301</v>
      </c>
      <c r="F93" s="1">
        <v>24.858000000000001</v>
      </c>
      <c r="G93" s="7">
        <v>1</v>
      </c>
      <c r="H93" s="1">
        <v>45</v>
      </c>
      <c r="I93" s="1" t="s">
        <v>40</v>
      </c>
      <c r="J93" s="1">
        <v>12.25</v>
      </c>
      <c r="K93" s="1">
        <f t="shared" si="17"/>
        <v>3.0510000000000002</v>
      </c>
      <c r="L93" s="1">
        <f t="shared" si="18"/>
        <v>15.301</v>
      </c>
      <c r="M93" s="1"/>
      <c r="N93" s="1">
        <v>0</v>
      </c>
      <c r="O93" s="1"/>
      <c r="P93" s="1">
        <v>5.6639999999999979</v>
      </c>
      <c r="Q93" s="1"/>
      <c r="R93" s="1">
        <f t="shared" si="19"/>
        <v>3.0602</v>
      </c>
      <c r="S93" s="5"/>
      <c r="T93" s="5"/>
      <c r="U93" s="1"/>
      <c r="V93" s="1">
        <f t="shared" si="20"/>
        <v>9.9738579177831514</v>
      </c>
      <c r="W93" s="1">
        <f t="shared" si="21"/>
        <v>9.9738579177831514</v>
      </c>
      <c r="X93" s="1">
        <v>3.3363999999999998</v>
      </c>
      <c r="Y93" s="1">
        <v>3.3690000000000002</v>
      </c>
      <c r="Z93" s="1">
        <v>3.8780000000000001</v>
      </c>
      <c r="AA93" s="1">
        <v>4.3487999999999998</v>
      </c>
      <c r="AB93" s="1">
        <v>4.0377999999999998</v>
      </c>
      <c r="AC93" s="1">
        <v>4.2898000000000014</v>
      </c>
      <c r="AD93" s="1">
        <v>3.4994000000000001</v>
      </c>
      <c r="AE93" s="1">
        <v>4.0082000000000004</v>
      </c>
      <c r="AF93" s="1">
        <v>3.9998</v>
      </c>
      <c r="AG93" s="1">
        <v>1.0733999999999999</v>
      </c>
      <c r="AH93" s="1" t="s">
        <v>159</v>
      </c>
      <c r="AI93" s="1">
        <f t="shared" si="22"/>
        <v>0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160</v>
      </c>
      <c r="B94" s="1" t="s">
        <v>45</v>
      </c>
      <c r="C94" s="1">
        <v>15</v>
      </c>
      <c r="D94" s="1">
        <v>13</v>
      </c>
      <c r="E94" s="1">
        <v>10</v>
      </c>
      <c r="F94" s="1">
        <v>10</v>
      </c>
      <c r="G94" s="7">
        <v>0.33</v>
      </c>
      <c r="H94" s="1">
        <v>40</v>
      </c>
      <c r="I94" s="1" t="s">
        <v>40</v>
      </c>
      <c r="J94" s="1">
        <v>13</v>
      </c>
      <c r="K94" s="1">
        <f t="shared" si="17"/>
        <v>-3</v>
      </c>
      <c r="L94" s="1">
        <f t="shared" si="18"/>
        <v>10</v>
      </c>
      <c r="M94" s="1"/>
      <c r="N94" s="1">
        <v>24.2</v>
      </c>
      <c r="O94" s="1"/>
      <c r="P94" s="1"/>
      <c r="Q94" s="1"/>
      <c r="R94" s="1">
        <f t="shared" si="19"/>
        <v>2</v>
      </c>
      <c r="S94" s="5"/>
      <c r="T94" s="5"/>
      <c r="U94" s="1"/>
      <c r="V94" s="1">
        <f t="shared" si="20"/>
        <v>17.100000000000001</v>
      </c>
      <c r="W94" s="1">
        <f t="shared" si="21"/>
        <v>17.100000000000001</v>
      </c>
      <c r="X94" s="1">
        <v>2.6</v>
      </c>
      <c r="Y94" s="1">
        <v>3.6</v>
      </c>
      <c r="Z94" s="1">
        <v>2.2000000000000002</v>
      </c>
      <c r="AA94" s="1">
        <v>1.6</v>
      </c>
      <c r="AB94" s="1">
        <v>1.6</v>
      </c>
      <c r="AC94" s="1">
        <v>1</v>
      </c>
      <c r="AD94" s="1">
        <v>1</v>
      </c>
      <c r="AE94" s="1">
        <v>2</v>
      </c>
      <c r="AF94" s="1">
        <v>2.2000000000000002</v>
      </c>
      <c r="AG94" s="1">
        <v>1.2</v>
      </c>
      <c r="AH94" s="1"/>
      <c r="AI94" s="1">
        <f t="shared" si="22"/>
        <v>0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161</v>
      </c>
      <c r="B95" s="1" t="s">
        <v>45</v>
      </c>
      <c r="C95" s="1">
        <v>32</v>
      </c>
      <c r="D95" s="1">
        <v>30</v>
      </c>
      <c r="E95" s="1">
        <v>24</v>
      </c>
      <c r="F95" s="1">
        <v>32</v>
      </c>
      <c r="G95" s="7">
        <v>0.3</v>
      </c>
      <c r="H95" s="1">
        <v>40</v>
      </c>
      <c r="I95" s="1" t="s">
        <v>40</v>
      </c>
      <c r="J95" s="1">
        <v>24</v>
      </c>
      <c r="K95" s="1">
        <f t="shared" si="17"/>
        <v>0</v>
      </c>
      <c r="L95" s="1">
        <f t="shared" si="18"/>
        <v>24</v>
      </c>
      <c r="M95" s="1"/>
      <c r="N95" s="1">
        <v>0</v>
      </c>
      <c r="O95" s="1"/>
      <c r="P95" s="1">
        <v>18</v>
      </c>
      <c r="Q95" s="1"/>
      <c r="R95" s="1">
        <f t="shared" si="19"/>
        <v>4.8</v>
      </c>
      <c r="S95" s="5"/>
      <c r="T95" s="5"/>
      <c r="U95" s="1"/>
      <c r="V95" s="1">
        <f t="shared" si="20"/>
        <v>10.416666666666668</v>
      </c>
      <c r="W95" s="1">
        <f t="shared" si="21"/>
        <v>10.416666666666668</v>
      </c>
      <c r="X95" s="1">
        <v>5.2</v>
      </c>
      <c r="Y95" s="1">
        <v>2.6</v>
      </c>
      <c r="Z95" s="1">
        <v>1.8</v>
      </c>
      <c r="AA95" s="1">
        <v>1.4</v>
      </c>
      <c r="AB95" s="1">
        <v>2</v>
      </c>
      <c r="AC95" s="1">
        <v>3</v>
      </c>
      <c r="AD95" s="1">
        <v>3.2</v>
      </c>
      <c r="AE95" s="1">
        <v>1.2</v>
      </c>
      <c r="AF95" s="1">
        <v>0</v>
      </c>
      <c r="AG95" s="1">
        <v>0</v>
      </c>
      <c r="AH95" s="25" t="s">
        <v>151</v>
      </c>
      <c r="AI95" s="1">
        <f t="shared" si="22"/>
        <v>0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1" t="s">
        <v>162</v>
      </c>
      <c r="B96" s="11" t="s">
        <v>45</v>
      </c>
      <c r="C96" s="11">
        <v>125</v>
      </c>
      <c r="D96" s="11">
        <v>31</v>
      </c>
      <c r="E96" s="11">
        <v>79</v>
      </c>
      <c r="F96" s="11">
        <v>0.01</v>
      </c>
      <c r="G96" s="12">
        <v>0</v>
      </c>
      <c r="H96" s="11" t="e">
        <v>#N/A</v>
      </c>
      <c r="I96" s="11" t="s">
        <v>53</v>
      </c>
      <c r="J96" s="11">
        <v>95</v>
      </c>
      <c r="K96" s="11">
        <f t="shared" si="17"/>
        <v>-16</v>
      </c>
      <c r="L96" s="11">
        <f t="shared" si="18"/>
        <v>79</v>
      </c>
      <c r="M96" s="11"/>
      <c r="N96" s="11">
        <v>0</v>
      </c>
      <c r="O96" s="11"/>
      <c r="P96" s="11"/>
      <c r="Q96" s="11"/>
      <c r="R96" s="11">
        <f t="shared" si="19"/>
        <v>15.8</v>
      </c>
      <c r="S96" s="13"/>
      <c r="T96" s="13"/>
      <c r="U96" s="11"/>
      <c r="V96" s="11">
        <f t="shared" si="20"/>
        <v>6.329113924050633E-4</v>
      </c>
      <c r="W96" s="11">
        <f t="shared" si="21"/>
        <v>6.329113924050633E-4</v>
      </c>
      <c r="X96" s="11">
        <v>7.8</v>
      </c>
      <c r="Y96" s="11">
        <v>46.6</v>
      </c>
      <c r="Z96" s="11">
        <v>69</v>
      </c>
      <c r="AA96" s="11">
        <v>58</v>
      </c>
      <c r="AB96" s="11">
        <v>2.8</v>
      </c>
      <c r="AC96" s="11">
        <v>0</v>
      </c>
      <c r="AD96" s="11">
        <v>0</v>
      </c>
      <c r="AE96" s="11">
        <v>0</v>
      </c>
      <c r="AF96" s="11">
        <v>0</v>
      </c>
      <c r="AG96" s="11">
        <v>0</v>
      </c>
      <c r="AH96" s="11" t="s">
        <v>163</v>
      </c>
      <c r="AI96" s="1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164</v>
      </c>
      <c r="B97" s="1" t="s">
        <v>45</v>
      </c>
      <c r="C97" s="1">
        <v>126</v>
      </c>
      <c r="D97" s="1"/>
      <c r="E97" s="1">
        <v>9</v>
      </c>
      <c r="F97" s="1">
        <v>117</v>
      </c>
      <c r="G97" s="7">
        <v>0.12</v>
      </c>
      <c r="H97" s="1">
        <v>45</v>
      </c>
      <c r="I97" s="1" t="s">
        <v>40</v>
      </c>
      <c r="J97" s="1">
        <v>11</v>
      </c>
      <c r="K97" s="1">
        <f t="shared" si="17"/>
        <v>-2</v>
      </c>
      <c r="L97" s="1">
        <f t="shared" si="18"/>
        <v>9</v>
      </c>
      <c r="M97" s="1"/>
      <c r="N97" s="1">
        <v>0</v>
      </c>
      <c r="O97" s="1"/>
      <c r="P97" s="1"/>
      <c r="Q97" s="1"/>
      <c r="R97" s="1">
        <f t="shared" si="19"/>
        <v>1.8</v>
      </c>
      <c r="S97" s="5"/>
      <c r="T97" s="5"/>
      <c r="U97" s="1"/>
      <c r="V97" s="1">
        <f t="shared" si="20"/>
        <v>65</v>
      </c>
      <c r="W97" s="1">
        <f t="shared" si="21"/>
        <v>65</v>
      </c>
      <c r="X97" s="1">
        <v>1.4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26" t="s">
        <v>169</v>
      </c>
      <c r="AI97" s="1">
        <f>G97*S97</f>
        <v>0</v>
      </c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I97" xr:uid="{8FC8C196-04E4-487F-98DD-4E189E32A475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2025-04-24T11:44:19Z</dcterms:created>
  <dcterms:modified xsi:type="dcterms:W3CDTF">2025-04-24T12:04:31Z</dcterms:modified>
</cp:coreProperties>
</file>