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4CABF286-37CD-4514-8267-29122E9869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Y587" i="1" s="1"/>
  <c r="X583" i="1"/>
  <c r="Y582" i="1"/>
  <c r="X582" i="1"/>
  <c r="BP581" i="1"/>
  <c r="BO581" i="1"/>
  <c r="BN581" i="1"/>
  <c r="BM581" i="1"/>
  <c r="Z581" i="1"/>
  <c r="Z582" i="1" s="1"/>
  <c r="Y581" i="1"/>
  <c r="AE606" i="1" s="1"/>
  <c r="X578" i="1"/>
  <c r="X577" i="1"/>
  <c r="BO576" i="1"/>
  <c r="BM576" i="1"/>
  <c r="Y576" i="1"/>
  <c r="BP576" i="1" s="1"/>
  <c r="BO575" i="1"/>
  <c r="BM575" i="1"/>
  <c r="Y575" i="1"/>
  <c r="BP575" i="1" s="1"/>
  <c r="BO574" i="1"/>
  <c r="BM574" i="1"/>
  <c r="Y574" i="1"/>
  <c r="BO573" i="1"/>
  <c r="BM573" i="1"/>
  <c r="Y573" i="1"/>
  <c r="X571" i="1"/>
  <c r="Y570" i="1"/>
  <c r="X570" i="1"/>
  <c r="BP569" i="1"/>
  <c r="BO569" i="1"/>
  <c r="BN569" i="1"/>
  <c r="BM569" i="1"/>
  <c r="Z569" i="1"/>
  <c r="Y569" i="1"/>
  <c r="BP568" i="1"/>
  <c r="BO568" i="1"/>
  <c r="BN568" i="1"/>
  <c r="BM568" i="1"/>
  <c r="Z568" i="1"/>
  <c r="Y568" i="1"/>
  <c r="BP567" i="1"/>
  <c r="BO567" i="1"/>
  <c r="BN567" i="1"/>
  <c r="BM567" i="1"/>
  <c r="Z567" i="1"/>
  <c r="Y567" i="1"/>
  <c r="BP566" i="1"/>
  <c r="BO566" i="1"/>
  <c r="BN566" i="1"/>
  <c r="BM566" i="1"/>
  <c r="Z566" i="1"/>
  <c r="Y566" i="1"/>
  <c r="BP565" i="1"/>
  <c r="BO565" i="1"/>
  <c r="BN565" i="1"/>
  <c r="BM565" i="1"/>
  <c r="Z565" i="1"/>
  <c r="Z570" i="1" s="1"/>
  <c r="Y565" i="1"/>
  <c r="Y571" i="1" s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P539" i="1" s="1"/>
  <c r="BO538" i="1"/>
  <c r="BM538" i="1"/>
  <c r="Y538" i="1"/>
  <c r="X534" i="1"/>
  <c r="Y533" i="1"/>
  <c r="X533" i="1"/>
  <c r="BP532" i="1"/>
  <c r="BO532" i="1"/>
  <c r="BN532" i="1"/>
  <c r="BM532" i="1"/>
  <c r="Z532" i="1"/>
  <c r="Z533" i="1" s="1"/>
  <c r="Y532" i="1"/>
  <c r="Y534" i="1" s="1"/>
  <c r="X530" i="1"/>
  <c r="X529" i="1"/>
  <c r="BO528" i="1"/>
  <c r="BM528" i="1"/>
  <c r="Y528" i="1"/>
  <c r="BP528" i="1" s="1"/>
  <c r="P528" i="1"/>
  <c r="BO527" i="1"/>
  <c r="BM527" i="1"/>
  <c r="Y527" i="1"/>
  <c r="BP527" i="1" s="1"/>
  <c r="P527" i="1"/>
  <c r="BP526" i="1"/>
  <c r="BO526" i="1"/>
  <c r="BN526" i="1"/>
  <c r="BM526" i="1"/>
  <c r="Z526" i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Y473" i="1" s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Z377" i="1" s="1"/>
  <c r="P377" i="1"/>
  <c r="BP376" i="1"/>
  <c r="BO376" i="1"/>
  <c r="BN376" i="1"/>
  <c r="BM376" i="1"/>
  <c r="Z376" i="1"/>
  <c r="Y376" i="1"/>
  <c r="P376" i="1"/>
  <c r="BO375" i="1"/>
  <c r="BM375" i="1"/>
  <c r="Y375" i="1"/>
  <c r="Y378" i="1" s="1"/>
  <c r="P375" i="1"/>
  <c r="X373" i="1"/>
  <c r="X372" i="1"/>
  <c r="BO371" i="1"/>
  <c r="BM371" i="1"/>
  <c r="Y371" i="1"/>
  <c r="V606" i="1" s="1"/>
  <c r="P371" i="1"/>
  <c r="X368" i="1"/>
  <c r="X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Y368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BO358" i="1"/>
  <c r="BM358" i="1"/>
  <c r="Y358" i="1"/>
  <c r="BP358" i="1" s="1"/>
  <c r="BO357" i="1"/>
  <c r="BM357" i="1"/>
  <c r="Y357" i="1"/>
  <c r="Y362" i="1" s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Y355" i="1" s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Y348" i="1" s="1"/>
  <c r="P344" i="1"/>
  <c r="BP343" i="1"/>
  <c r="BO343" i="1"/>
  <c r="BN343" i="1"/>
  <c r="BM343" i="1"/>
  <c r="Z343" i="1"/>
  <c r="Y343" i="1"/>
  <c r="Y349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4" i="1" s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6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Y230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4" i="1" s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X202" i="1"/>
  <c r="X201" i="1"/>
  <c r="BO200" i="1"/>
  <c r="BM200" i="1"/>
  <c r="Y200" i="1"/>
  <c r="Y202" i="1" s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J606" i="1" s="1"/>
  <c r="P194" i="1"/>
  <c r="X191" i="1"/>
  <c r="X190" i="1"/>
  <c r="BO189" i="1"/>
  <c r="BM189" i="1"/>
  <c r="Y189" i="1"/>
  <c r="Y191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Y181" i="1" s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Y158" i="1" s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6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Y55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X600" i="1" s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51" i="1"/>
  <c r="BN51" i="1"/>
  <c r="Z51" i="1"/>
  <c r="BP59" i="1"/>
  <c r="BN59" i="1"/>
  <c r="Z59" i="1"/>
  <c r="BP67" i="1"/>
  <c r="BN67" i="1"/>
  <c r="Z67" i="1"/>
  <c r="Y78" i="1"/>
  <c r="BP71" i="1"/>
  <c r="BN71" i="1"/>
  <c r="Z71" i="1"/>
  <c r="BP75" i="1"/>
  <c r="BN75" i="1"/>
  <c r="Z75" i="1"/>
  <c r="Y84" i="1"/>
  <c r="BP88" i="1"/>
  <c r="BN88" i="1"/>
  <c r="Z88" i="1"/>
  <c r="Z90" i="1" s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7" i="1"/>
  <c r="Y116" i="1"/>
  <c r="BP113" i="1"/>
  <c r="BN113" i="1"/>
  <c r="Z113" i="1"/>
  <c r="H9" i="1"/>
  <c r="Y28" i="1"/>
  <c r="D606" i="1"/>
  <c r="Y56" i="1"/>
  <c r="BP49" i="1"/>
  <c r="BP53" i="1"/>
  <c r="BN53" i="1"/>
  <c r="Z53" i="1"/>
  <c r="BP61" i="1"/>
  <c r="BN61" i="1"/>
  <c r="Z61" i="1"/>
  <c r="Y63" i="1"/>
  <c r="Y68" i="1"/>
  <c r="BP65" i="1"/>
  <c r="BN65" i="1"/>
  <c r="Z65" i="1"/>
  <c r="Z68" i="1" s="1"/>
  <c r="BP73" i="1"/>
  <c r="BN73" i="1"/>
  <c r="Z73" i="1"/>
  <c r="Y77" i="1"/>
  <c r="BP81" i="1"/>
  <c r="BN81" i="1"/>
  <c r="Z81" i="1"/>
  <c r="Z83" i="1" s="1"/>
  <c r="BP94" i="1"/>
  <c r="BN94" i="1"/>
  <c r="Z94" i="1"/>
  <c r="Z102" i="1" s="1"/>
  <c r="BP96" i="1"/>
  <c r="BN96" i="1"/>
  <c r="Z96" i="1"/>
  <c r="BP98" i="1"/>
  <c r="BN98" i="1"/>
  <c r="Z98" i="1"/>
  <c r="Y102" i="1"/>
  <c r="BP107" i="1"/>
  <c r="BN107" i="1"/>
  <c r="Z107" i="1"/>
  <c r="Z110" i="1" s="1"/>
  <c r="E606" i="1"/>
  <c r="Y91" i="1"/>
  <c r="F606" i="1"/>
  <c r="Y110" i="1"/>
  <c r="Z115" i="1"/>
  <c r="BN115" i="1"/>
  <c r="Z119" i="1"/>
  <c r="Z126" i="1" s="1"/>
  <c r="BN119" i="1"/>
  <c r="BP119" i="1"/>
  <c r="Z124" i="1"/>
  <c r="BN124" i="1"/>
  <c r="Y127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6" i="1"/>
  <c r="Z158" i="1" s="1"/>
  <c r="BN156" i="1"/>
  <c r="BP156" i="1"/>
  <c r="I606" i="1"/>
  <c r="Y169" i="1"/>
  <c r="Z172" i="1"/>
  <c r="Z180" i="1" s="1"/>
  <c r="BN172" i="1"/>
  <c r="BP172" i="1"/>
  <c r="Z174" i="1"/>
  <c r="BN174" i="1"/>
  <c r="Z177" i="1"/>
  <c r="BN177" i="1"/>
  <c r="Z179" i="1"/>
  <c r="BN179" i="1"/>
  <c r="Z189" i="1"/>
  <c r="Z190" i="1" s="1"/>
  <c r="BN189" i="1"/>
  <c r="BP189" i="1"/>
  <c r="Y190" i="1"/>
  <c r="Z194" i="1"/>
  <c r="Z196" i="1" s="1"/>
  <c r="BN194" i="1"/>
  <c r="BP194" i="1"/>
  <c r="Y197" i="1"/>
  <c r="Z200" i="1"/>
  <c r="Z201" i="1" s="1"/>
  <c r="BN200" i="1"/>
  <c r="BP200" i="1"/>
  <c r="Z204" i="1"/>
  <c r="BN204" i="1"/>
  <c r="BP204" i="1"/>
  <c r="Z206" i="1"/>
  <c r="BN206" i="1"/>
  <c r="Z208" i="1"/>
  <c r="BN208" i="1"/>
  <c r="Z210" i="1"/>
  <c r="BN210" i="1"/>
  <c r="Y213" i="1"/>
  <c r="Z216" i="1"/>
  <c r="Z224" i="1" s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Y247" i="1"/>
  <c r="Z249" i="1"/>
  <c r="Z250" i="1" s="1"/>
  <c r="BN249" i="1"/>
  <c r="BP249" i="1"/>
  <c r="Y250" i="1"/>
  <c r="L606" i="1"/>
  <c r="Z263" i="1"/>
  <c r="Z268" i="1" s="1"/>
  <c r="BN263" i="1"/>
  <c r="BP263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BN307" i="1"/>
  <c r="BP307" i="1"/>
  <c r="Y308" i="1"/>
  <c r="Z312" i="1"/>
  <c r="Z313" i="1" s="1"/>
  <c r="BN312" i="1"/>
  <c r="BP312" i="1"/>
  <c r="Y313" i="1"/>
  <c r="Z316" i="1"/>
  <c r="Z318" i="1" s="1"/>
  <c r="BN316" i="1"/>
  <c r="BP316" i="1"/>
  <c r="Y319" i="1"/>
  <c r="Y324" i="1"/>
  <c r="U606" i="1"/>
  <c r="Z328" i="1"/>
  <c r="Z333" i="1" s="1"/>
  <c r="BN328" i="1"/>
  <c r="BP328" i="1"/>
  <c r="Z330" i="1"/>
  <c r="BN330" i="1"/>
  <c r="Z332" i="1"/>
  <c r="BN332" i="1"/>
  <c r="Y333" i="1"/>
  <c r="Z336" i="1"/>
  <c r="Z340" i="1" s="1"/>
  <c r="BN336" i="1"/>
  <c r="BP336" i="1"/>
  <c r="Z338" i="1"/>
  <c r="BN338" i="1"/>
  <c r="Y341" i="1"/>
  <c r="Z344" i="1"/>
  <c r="Z348" i="1" s="1"/>
  <c r="BN344" i="1"/>
  <c r="BP344" i="1"/>
  <c r="Z346" i="1"/>
  <c r="BN346" i="1"/>
  <c r="Z352" i="1"/>
  <c r="Z354" i="1" s="1"/>
  <c r="BN352" i="1"/>
  <c r="BP352" i="1"/>
  <c r="Z357" i="1"/>
  <c r="Z361" i="1" s="1"/>
  <c r="BN357" i="1"/>
  <c r="BP357" i="1"/>
  <c r="Z358" i="1"/>
  <c r="BN358" i="1"/>
  <c r="Z360" i="1"/>
  <c r="BN360" i="1"/>
  <c r="Y361" i="1"/>
  <c r="Z364" i="1"/>
  <c r="Z367" i="1" s="1"/>
  <c r="BN364" i="1"/>
  <c r="BP364" i="1"/>
  <c r="Z366" i="1"/>
  <c r="BN366" i="1"/>
  <c r="Y367" i="1"/>
  <c r="Z371" i="1"/>
  <c r="Z372" i="1" s="1"/>
  <c r="BN371" i="1"/>
  <c r="BP371" i="1"/>
  <c r="Y372" i="1"/>
  <c r="Z375" i="1"/>
  <c r="Z378" i="1" s="1"/>
  <c r="BN375" i="1"/>
  <c r="BP375" i="1"/>
  <c r="Y379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21" i="1"/>
  <c r="BN521" i="1"/>
  <c r="Z521" i="1"/>
  <c r="Y137" i="1"/>
  <c r="Y196" i="1"/>
  <c r="Y241" i="1"/>
  <c r="Y274" i="1"/>
  <c r="Y282" i="1"/>
  <c r="Y291" i="1"/>
  <c r="Y296" i="1"/>
  <c r="Y309" i="1"/>
  <c r="Y314" i="1"/>
  <c r="Y373" i="1"/>
  <c r="BP377" i="1"/>
  <c r="BN377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Z606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Y606" i="1"/>
  <c r="Y449" i="1"/>
  <c r="Z527" i="1"/>
  <c r="Z529" i="1" s="1"/>
  <c r="BN527" i="1"/>
  <c r="Y530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8" i="1"/>
  <c r="Y577" i="1"/>
  <c r="BP573" i="1"/>
  <c r="BN573" i="1"/>
  <c r="Z573" i="1"/>
  <c r="Z528" i="1"/>
  <c r="BN528" i="1"/>
  <c r="Z538" i="1"/>
  <c r="BN538" i="1"/>
  <c r="BP538" i="1"/>
  <c r="Z539" i="1"/>
  <c r="BN539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Z575" i="1"/>
  <c r="BN575" i="1"/>
  <c r="Z576" i="1"/>
  <c r="BN576" i="1"/>
  <c r="Y583" i="1"/>
  <c r="Z585" i="1"/>
  <c r="Z586" i="1" s="1"/>
  <c r="BN585" i="1"/>
  <c r="BP585" i="1"/>
  <c r="Y586" i="1"/>
  <c r="Z593" i="1"/>
  <c r="Z594" i="1" s="1"/>
  <c r="BN593" i="1"/>
  <c r="BP593" i="1"/>
  <c r="Y594" i="1"/>
  <c r="Z577" i="1" l="1"/>
  <c r="Z544" i="1"/>
  <c r="Z562" i="1"/>
  <c r="Z502" i="1"/>
  <c r="Z241" i="1"/>
  <c r="Z212" i="1"/>
  <c r="Z62" i="1"/>
  <c r="Y598" i="1"/>
  <c r="Z28" i="1"/>
  <c r="Z523" i="1"/>
  <c r="Z466" i="1"/>
  <c r="Z393" i="1"/>
  <c r="Y600" i="1"/>
  <c r="Z116" i="1"/>
  <c r="Z77" i="1"/>
  <c r="Z55" i="1"/>
  <c r="Y596" i="1"/>
  <c r="Y597" i="1"/>
  <c r="Y599" i="1" s="1"/>
  <c r="Z601" i="1" l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<sst xmlns="http://schemas.openxmlformats.org/spreadsheetml/2006/main" count="2760" uniqueCount="998">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</sst>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3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0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974" t="s">
        <v>0</v>
      </c>
      <c r="E1" s="716"/>
      <c r="F1" s="716"/>
      <c r="G1" s="12" t="s">
        <v>1</v>
      </c>
      <c r="H1" s="974" t="s">
        <v>2</v>
      </c>
      <c r="I1" s="716"/>
      <c r="J1" s="716"/>
      <c r="K1" s="716"/>
      <c r="L1" s="716"/>
      <c r="M1" s="716"/>
      <c r="N1" s="716"/>
      <c r="O1" s="716"/>
      <c r="P1" s="716"/>
      <c r="Q1" s="716"/>
      <c r="R1" s="1037" t="s">
        <v>3</v>
      </c>
      <c r="S1" s="716"/>
      <c r="T1" s="71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931" t="s">
        <v>8</v>
      </c>
      <c r="B5" s="672"/>
      <c r="C5" s="673"/>
      <c r="D5" s="801"/>
      <c r="E5" s="803"/>
      <c r="F5" s="752" t="s">
        <v>9</v>
      </c>
      <c r="G5" s="673"/>
      <c r="H5" s="801"/>
      <c r="I5" s="802"/>
      <c r="J5" s="802"/>
      <c r="K5" s="802"/>
      <c r="L5" s="802"/>
      <c r="M5" s="803"/>
      <c r="N5" s="58"/>
      <c r="P5" s="24" t="s">
        <v>10</v>
      </c>
      <c r="Q5" s="769">
        <v>45773</v>
      </c>
      <c r="R5" s="770"/>
      <c r="T5" s="902" t="s">
        <v>11</v>
      </c>
      <c r="U5" s="692"/>
      <c r="V5" s="904" t="s">
        <v>12</v>
      </c>
      <c r="W5" s="770"/>
      <c r="AB5" s="51"/>
      <c r="AC5" s="51"/>
      <c r="AD5" s="51"/>
      <c r="AE5" s="51"/>
    </row>
    <row r="6" spans="1:32" s="661" customFormat="1" ht="24" customHeight="1" x14ac:dyDescent="0.2">
      <c r="A6" s="931" t="s">
        <v>13</v>
      </c>
      <c r="B6" s="672"/>
      <c r="C6" s="673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70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Суббота</v>
      </c>
      <c r="R6" s="678"/>
      <c r="T6" s="912" t="s">
        <v>16</v>
      </c>
      <c r="U6" s="692"/>
      <c r="V6" s="817" t="s">
        <v>17</v>
      </c>
      <c r="W6" s="818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1011" t="str">
        <f>IFERROR(VLOOKUP(DeliveryAddress,Table,3,0),1)</f>
        <v>1</v>
      </c>
      <c r="E7" s="1012"/>
      <c r="F7" s="1012"/>
      <c r="G7" s="1012"/>
      <c r="H7" s="1012"/>
      <c r="I7" s="1012"/>
      <c r="J7" s="1012"/>
      <c r="K7" s="1012"/>
      <c r="L7" s="1012"/>
      <c r="M7" s="907"/>
      <c r="N7" s="60"/>
      <c r="P7" s="24"/>
      <c r="Q7" s="42"/>
      <c r="R7" s="42"/>
      <c r="T7" s="680"/>
      <c r="U7" s="692"/>
      <c r="V7" s="819"/>
      <c r="W7" s="820"/>
      <c r="AB7" s="51"/>
      <c r="AC7" s="51"/>
      <c r="AD7" s="51"/>
      <c r="AE7" s="51"/>
    </row>
    <row r="8" spans="1:32" s="661" customFormat="1" ht="25.5" customHeight="1" x14ac:dyDescent="0.2">
      <c r="A8" s="702" t="s">
        <v>18</v>
      </c>
      <c r="B8" s="700"/>
      <c r="C8" s="701"/>
      <c r="D8" s="1020"/>
      <c r="E8" s="1021"/>
      <c r="F8" s="1021"/>
      <c r="G8" s="1021"/>
      <c r="H8" s="1021"/>
      <c r="I8" s="1021"/>
      <c r="J8" s="1021"/>
      <c r="K8" s="1021"/>
      <c r="L8" s="1021"/>
      <c r="M8" s="1022"/>
      <c r="N8" s="61"/>
      <c r="P8" s="24" t="s">
        <v>19</v>
      </c>
      <c r="Q8" s="906">
        <v>0.41666666666666669</v>
      </c>
      <c r="R8" s="907"/>
      <c r="T8" s="680"/>
      <c r="U8" s="692"/>
      <c r="V8" s="819"/>
      <c r="W8" s="820"/>
      <c r="AB8" s="51"/>
      <c r="AC8" s="51"/>
      <c r="AD8" s="51"/>
      <c r="AE8" s="51"/>
    </row>
    <row r="9" spans="1:32" s="661" customFormat="1" ht="39.950000000000003" customHeight="1" x14ac:dyDescent="0.2">
      <c r="A9" s="7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765"/>
      <c r="E9" s="766"/>
      <c r="F9" s="7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76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6"/>
      <c r="L9" s="766"/>
      <c r="M9" s="766"/>
      <c r="N9" s="659"/>
      <c r="P9" s="26" t="s">
        <v>20</v>
      </c>
      <c r="Q9" s="953"/>
      <c r="R9" s="757"/>
      <c r="T9" s="680"/>
      <c r="U9" s="692"/>
      <c r="V9" s="821"/>
      <c r="W9" s="822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7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765"/>
      <c r="E10" s="766"/>
      <c r="F10" s="7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835" t="str">
        <f>IFERROR(VLOOKUP($D$10,Proxy,2,FALSE),"")</f>
        <v/>
      </c>
      <c r="I10" s="680"/>
      <c r="J10" s="680"/>
      <c r="K10" s="680"/>
      <c r="L10" s="680"/>
      <c r="M10" s="680"/>
      <c r="N10" s="660"/>
      <c r="P10" s="26" t="s">
        <v>21</v>
      </c>
      <c r="Q10" s="913"/>
      <c r="R10" s="914"/>
      <c r="U10" s="24" t="s">
        <v>22</v>
      </c>
      <c r="V10" s="1028" t="s">
        <v>23</v>
      </c>
      <c r="W10" s="818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39"/>
      <c r="R11" s="770"/>
      <c r="U11" s="24" t="s">
        <v>26</v>
      </c>
      <c r="V11" s="756" t="s">
        <v>27</v>
      </c>
      <c r="W11" s="757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69" t="s">
        <v>28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29</v>
      </c>
      <c r="Q12" s="906"/>
      <c r="R12" s="907"/>
      <c r="S12" s="23"/>
      <c r="U12" s="24"/>
      <c r="V12" s="716"/>
      <c r="W12" s="680"/>
      <c r="AB12" s="51"/>
      <c r="AC12" s="51"/>
      <c r="AD12" s="51"/>
      <c r="AE12" s="51"/>
    </row>
    <row r="13" spans="1:32" s="661" customFormat="1" ht="23.25" customHeight="1" x14ac:dyDescent="0.2">
      <c r="A13" s="869" t="s">
        <v>30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31</v>
      </c>
      <c r="Q13" s="756"/>
      <c r="R13" s="7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69" t="s">
        <v>32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71" t="s">
        <v>33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960" t="s">
        <v>34</v>
      </c>
      <c r="Q15" s="716"/>
      <c r="R15" s="716"/>
      <c r="S15" s="716"/>
      <c r="T15" s="71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61"/>
      <c r="Q16" s="961"/>
      <c r="R16" s="961"/>
      <c r="S16" s="961"/>
      <c r="T16" s="9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35</v>
      </c>
      <c r="B17" s="682" t="s">
        <v>36</v>
      </c>
      <c r="C17" s="936" t="s">
        <v>37</v>
      </c>
      <c r="D17" s="682" t="s">
        <v>38</v>
      </c>
      <c r="E17" s="683"/>
      <c r="F17" s="682" t="s">
        <v>39</v>
      </c>
      <c r="G17" s="682" t="s">
        <v>40</v>
      </c>
      <c r="H17" s="682" t="s">
        <v>41</v>
      </c>
      <c r="I17" s="682" t="s">
        <v>42</v>
      </c>
      <c r="J17" s="682" t="s">
        <v>43</v>
      </c>
      <c r="K17" s="682" t="s">
        <v>44</v>
      </c>
      <c r="L17" s="682" t="s">
        <v>45</v>
      </c>
      <c r="M17" s="682" t="s">
        <v>46</v>
      </c>
      <c r="N17" s="682" t="s">
        <v>47</v>
      </c>
      <c r="O17" s="682" t="s">
        <v>48</v>
      </c>
      <c r="P17" s="682" t="s">
        <v>49</v>
      </c>
      <c r="Q17" s="978"/>
      <c r="R17" s="978"/>
      <c r="S17" s="978"/>
      <c r="T17" s="683"/>
      <c r="U17" s="696" t="s">
        <v>50</v>
      </c>
      <c r="V17" s="673"/>
      <c r="W17" s="682" t="s">
        <v>51</v>
      </c>
      <c r="X17" s="682" t="s">
        <v>52</v>
      </c>
      <c r="Y17" s="693" t="s">
        <v>53</v>
      </c>
      <c r="Z17" s="832" t="s">
        <v>54</v>
      </c>
      <c r="AA17" s="746" t="s">
        <v>55</v>
      </c>
      <c r="AB17" s="746" t="s">
        <v>56</v>
      </c>
      <c r="AC17" s="746" t="s">
        <v>57</v>
      </c>
      <c r="AD17" s="746" t="s">
        <v>58</v>
      </c>
      <c r="AE17" s="747"/>
      <c r="AF17" s="748"/>
      <c r="AG17" s="66"/>
      <c r="BD17" s="65" t="s">
        <v>59</v>
      </c>
    </row>
    <row r="18" spans="1:68" ht="14.25" customHeight="1" x14ac:dyDescent="0.2">
      <c r="A18" s="690"/>
      <c r="B18" s="690"/>
      <c r="C18" s="690"/>
      <c r="D18" s="684"/>
      <c r="E18" s="685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84"/>
      <c r="Q18" s="979"/>
      <c r="R18" s="979"/>
      <c r="S18" s="979"/>
      <c r="T18" s="685"/>
      <c r="U18" s="67" t="s">
        <v>60</v>
      </c>
      <c r="V18" s="67" t="s">
        <v>61</v>
      </c>
      <c r="W18" s="690"/>
      <c r="X18" s="690"/>
      <c r="Y18" s="694"/>
      <c r="Z18" s="833"/>
      <c r="AA18" s="834"/>
      <c r="AB18" s="834"/>
      <c r="AC18" s="834"/>
      <c r="AD18" s="749"/>
      <c r="AE18" s="750"/>
      <c r="AF18" s="751"/>
      <c r="AG18" s="66"/>
      <c r="BD18" s="65"/>
    </row>
    <row r="19" spans="1:68" ht="27.75" customHeight="1" x14ac:dyDescent="0.2">
      <c r="A19" s="836" t="s">
        <v>62</v>
      </c>
      <c r="B19" s="837"/>
      <c r="C19" s="837"/>
      <c r="D19" s="837"/>
      <c r="E19" s="837"/>
      <c r="F19" s="837"/>
      <c r="G19" s="837"/>
      <c r="H19" s="837"/>
      <c r="I19" s="837"/>
      <c r="J19" s="837"/>
      <c r="K19" s="837"/>
      <c r="L19" s="837"/>
      <c r="M19" s="837"/>
      <c r="N19" s="837"/>
      <c r="O19" s="837"/>
      <c r="P19" s="837"/>
      <c r="Q19" s="837"/>
      <c r="R19" s="837"/>
      <c r="S19" s="837"/>
      <c r="T19" s="837"/>
      <c r="U19" s="837"/>
      <c r="V19" s="837"/>
      <c r="W19" s="837"/>
      <c r="X19" s="837"/>
      <c r="Y19" s="837"/>
      <c r="Z19" s="837"/>
      <c r="AA19" s="48"/>
      <c r="AB19" s="48"/>
      <c r="AC19" s="48"/>
    </row>
    <row r="20" spans="1:68" ht="16.5" customHeight="1" x14ac:dyDescent="0.25">
      <c r="A20" s="706" t="s">
        <v>62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2"/>
      <c r="AB20" s="662"/>
      <c r="AC20" s="662"/>
    </row>
    <row r="21" spans="1:68" ht="14.25" customHeight="1" x14ac:dyDescent="0.25">
      <c r="A21" s="679" t="s">
        <v>63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7">
        <v>4680115885912</v>
      </c>
      <c r="E22" s="678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7">
        <v>4607091388237</v>
      </c>
      <c r="E23" s="678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7">
        <v>4680115886230</v>
      </c>
      <c r="E24" s="678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4" t="s">
        <v>75</v>
      </c>
      <c r="Q24" s="675"/>
      <c r="R24" s="675"/>
      <c r="S24" s="675"/>
      <c r="T24" s="676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7">
        <v>4680115886247</v>
      </c>
      <c r="E25" s="678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17" t="s">
        <v>79</v>
      </c>
      <c r="Q25" s="675"/>
      <c r="R25" s="675"/>
      <c r="S25" s="675"/>
      <c r="T25" s="676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7">
        <v>4680115885905</v>
      </c>
      <c r="E26" s="678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7">
        <v>4607091388244</v>
      </c>
      <c r="E27" s="678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97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98"/>
      <c r="P28" s="699" t="s">
        <v>87</v>
      </c>
      <c r="Q28" s="700"/>
      <c r="R28" s="700"/>
      <c r="S28" s="700"/>
      <c r="T28" s="700"/>
      <c r="U28" s="700"/>
      <c r="V28" s="701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98"/>
      <c r="P29" s="699" t="s">
        <v>87</v>
      </c>
      <c r="Q29" s="700"/>
      <c r="R29" s="700"/>
      <c r="S29" s="700"/>
      <c r="T29" s="700"/>
      <c r="U29" s="700"/>
      <c r="V29" s="701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79" t="s">
        <v>89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7">
        <v>4607091388503</v>
      </c>
      <c r="E31" s="678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7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98"/>
      <c r="P32" s="699" t="s">
        <v>87</v>
      </c>
      <c r="Q32" s="700"/>
      <c r="R32" s="700"/>
      <c r="S32" s="700"/>
      <c r="T32" s="700"/>
      <c r="U32" s="700"/>
      <c r="V32" s="701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98"/>
      <c r="P33" s="699" t="s">
        <v>87</v>
      </c>
      <c r="Q33" s="700"/>
      <c r="R33" s="700"/>
      <c r="S33" s="700"/>
      <c r="T33" s="700"/>
      <c r="U33" s="700"/>
      <c r="V33" s="701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836" t="s">
        <v>95</v>
      </c>
      <c r="B34" s="837"/>
      <c r="C34" s="837"/>
      <c r="D34" s="837"/>
      <c r="E34" s="837"/>
      <c r="F34" s="837"/>
      <c r="G34" s="837"/>
      <c r="H34" s="837"/>
      <c r="I34" s="837"/>
      <c r="J34" s="837"/>
      <c r="K34" s="837"/>
      <c r="L34" s="837"/>
      <c r="M34" s="837"/>
      <c r="N34" s="837"/>
      <c r="O34" s="837"/>
      <c r="P34" s="837"/>
      <c r="Q34" s="837"/>
      <c r="R34" s="837"/>
      <c r="S34" s="837"/>
      <c r="T34" s="837"/>
      <c r="U34" s="837"/>
      <c r="V34" s="837"/>
      <c r="W34" s="837"/>
      <c r="X34" s="837"/>
      <c r="Y34" s="837"/>
      <c r="Z34" s="837"/>
      <c r="AA34" s="48"/>
      <c r="AB34" s="48"/>
      <c r="AC34" s="48"/>
    </row>
    <row r="35" spans="1:68" ht="16.5" customHeight="1" x14ac:dyDescent="0.25">
      <c r="A35" s="706" t="s">
        <v>96</v>
      </c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680"/>
      <c r="Y35" s="680"/>
      <c r="Z35" s="680"/>
      <c r="AA35" s="662"/>
      <c r="AB35" s="662"/>
      <c r="AC35" s="662"/>
    </row>
    <row r="36" spans="1:68" ht="14.25" customHeight="1" x14ac:dyDescent="0.25">
      <c r="A36" s="679" t="s">
        <v>97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  <c r="Y36" s="680"/>
      <c r="Z36" s="680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7">
        <v>4607091385670</v>
      </c>
      <c r="E37" s="678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4"/>
      <c r="V37" s="34"/>
      <c r="W37" s="35" t="s">
        <v>68</v>
      </c>
      <c r="X37" s="667">
        <v>200</v>
      </c>
      <c r="Y37" s="668">
        <f>IFERROR(IF(X37="",0,CEILING((X37/$H37),1)*$H37),"")</f>
        <v>205.20000000000002</v>
      </c>
      <c r="Z37" s="36">
        <f>IFERROR(IF(Y37=0,"",ROUNDUP(Y37/H37,0)*0.01898),"")</f>
        <v>0.36062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208.05555555555554</v>
      </c>
      <c r="BN37" s="64">
        <f>IFERROR(Y37*I37/H37,"0")</f>
        <v>213.46499999999997</v>
      </c>
      <c r="BO37" s="64">
        <f>IFERROR(1/J37*(X37/H37),"0")</f>
        <v>0.28935185185185186</v>
      </c>
      <c r="BP37" s="64">
        <f>IFERROR(1/J37*(Y37/H37),"0")</f>
        <v>0.296875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7">
        <v>4607091385687</v>
      </c>
      <c r="E38" s="678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7">
        <v>4680115882539</v>
      </c>
      <c r="E39" s="678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4"/>
      <c r="V39" s="34"/>
      <c r="W39" s="35" t="s">
        <v>68</v>
      </c>
      <c r="X39" s="667">
        <v>21</v>
      </c>
      <c r="Y39" s="668">
        <f>IFERROR(IF(X39="",0,CEILING((X39/$H39),1)*$H39),"")</f>
        <v>22.200000000000003</v>
      </c>
      <c r="Z39" s="36">
        <f>IFERROR(IF(Y39=0,"",ROUNDUP(Y39/H39,0)*0.00902),"")</f>
        <v>5.4120000000000001E-2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22.191891891891892</v>
      </c>
      <c r="BN39" s="64">
        <f>IFERROR(Y39*I39/H39,"0")</f>
        <v>23.460000000000004</v>
      </c>
      <c r="BO39" s="64">
        <f>IFERROR(1/J39*(X39/H39),"0")</f>
        <v>4.2997542997542999E-2</v>
      </c>
      <c r="BP39" s="64">
        <f>IFERROR(1/J39*(Y39/H39),"0")</f>
        <v>4.5454545454545463E-2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7">
        <v>4680115883949</v>
      </c>
      <c r="E40" s="678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97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98"/>
      <c r="P41" s="699" t="s">
        <v>87</v>
      </c>
      <c r="Q41" s="700"/>
      <c r="R41" s="700"/>
      <c r="S41" s="700"/>
      <c r="T41" s="700"/>
      <c r="U41" s="700"/>
      <c r="V41" s="701"/>
      <c r="W41" s="37" t="s">
        <v>88</v>
      </c>
      <c r="X41" s="669">
        <f>IFERROR(X37/H37,"0")+IFERROR(X38/H38,"0")+IFERROR(X39/H39,"0")+IFERROR(X40/H40,"0")</f>
        <v>24.194194194194196</v>
      </c>
      <c r="Y41" s="669">
        <f>IFERROR(Y37/H37,"0")+IFERROR(Y38/H38,"0")+IFERROR(Y39/H39,"0")+IFERROR(Y40/H40,"0")</f>
        <v>25</v>
      </c>
      <c r="Z41" s="669">
        <f>IFERROR(IF(Z37="",0,Z37),"0")+IFERROR(IF(Z38="",0,Z38),"0")+IFERROR(IF(Z39="",0,Z39),"0")+IFERROR(IF(Z40="",0,Z40),"0")</f>
        <v>0.41474</v>
      </c>
      <c r="AA41" s="670"/>
      <c r="AB41" s="670"/>
      <c r="AC41" s="670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98"/>
      <c r="P42" s="699" t="s">
        <v>87</v>
      </c>
      <c r="Q42" s="700"/>
      <c r="R42" s="700"/>
      <c r="S42" s="700"/>
      <c r="T42" s="700"/>
      <c r="U42" s="700"/>
      <c r="V42" s="701"/>
      <c r="W42" s="37" t="s">
        <v>68</v>
      </c>
      <c r="X42" s="669">
        <f>IFERROR(SUM(X37:X40),"0")</f>
        <v>221</v>
      </c>
      <c r="Y42" s="669">
        <f>IFERROR(SUM(Y37:Y40),"0")</f>
        <v>227.40000000000003</v>
      </c>
      <c r="Z42" s="37"/>
      <c r="AA42" s="670"/>
      <c r="AB42" s="670"/>
      <c r="AC42" s="670"/>
    </row>
    <row r="43" spans="1:68" ht="14.25" customHeight="1" x14ac:dyDescent="0.25">
      <c r="A43" s="679" t="s">
        <v>63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7">
        <v>4680115884915</v>
      </c>
      <c r="E44" s="678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2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97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98"/>
      <c r="P45" s="699" t="s">
        <v>87</v>
      </c>
      <c r="Q45" s="700"/>
      <c r="R45" s="700"/>
      <c r="S45" s="700"/>
      <c r="T45" s="700"/>
      <c r="U45" s="700"/>
      <c r="V45" s="701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98"/>
      <c r="P46" s="699" t="s">
        <v>87</v>
      </c>
      <c r="Q46" s="700"/>
      <c r="R46" s="700"/>
      <c r="S46" s="700"/>
      <c r="T46" s="700"/>
      <c r="U46" s="700"/>
      <c r="V46" s="701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706" t="s">
        <v>115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  <c r="Y47" s="680"/>
      <c r="Z47" s="680"/>
      <c r="AA47" s="662"/>
      <c r="AB47" s="662"/>
      <c r="AC47" s="662"/>
    </row>
    <row r="48" spans="1:68" ht="14.25" customHeight="1" x14ac:dyDescent="0.25">
      <c r="A48" s="679" t="s">
        <v>97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7">
        <v>4680115885882</v>
      </c>
      <c r="E49" s="678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4"/>
      <c r="V49" s="34"/>
      <c r="W49" s="35" t="s">
        <v>68</v>
      </c>
      <c r="X49" s="667">
        <v>100</v>
      </c>
      <c r="Y49" s="668">
        <f t="shared" ref="Y49:Y54" si="6">IFERROR(IF(X49="",0,CEILING((X49/$H49),1)*$H49),"")</f>
        <v>100.8</v>
      </c>
      <c r="Z49" s="36">
        <f>IFERROR(IF(Y49=0,"",ROUNDUP(Y49/H49,0)*0.01898),"")</f>
        <v>0.17082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103.88392857142858</v>
      </c>
      <c r="BN49" s="64">
        <f t="shared" ref="BN49:BN54" si="8">IFERROR(Y49*I49/H49,"0")</f>
        <v>104.715</v>
      </c>
      <c r="BO49" s="64">
        <f t="shared" ref="BO49:BO54" si="9">IFERROR(1/J49*(X49/H49),"0")</f>
        <v>0.13950892857142858</v>
      </c>
      <c r="BP49" s="64">
        <f t="shared" ref="BP49:BP54" si="10">IFERROR(1/J49*(Y49/H49),"0")</f>
        <v>0.140625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7">
        <v>4680115881426</v>
      </c>
      <c r="E50" s="678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7">
        <v>4680115880283</v>
      </c>
      <c r="E51" s="678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7">
        <v>4680115881525</v>
      </c>
      <c r="E52" s="678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6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4"/>
      <c r="V52" s="34"/>
      <c r="W52" s="35" t="s">
        <v>68</v>
      </c>
      <c r="X52" s="667">
        <v>35</v>
      </c>
      <c r="Y52" s="668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36.837499999999999</v>
      </c>
      <c r="BN52" s="64">
        <f t="shared" si="8"/>
        <v>37.89</v>
      </c>
      <c r="BO52" s="64">
        <f t="shared" si="9"/>
        <v>6.6287878787878785E-2</v>
      </c>
      <c r="BP52" s="64">
        <f t="shared" si="10"/>
        <v>6.8181818181818177E-2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7">
        <v>4680115885899</v>
      </c>
      <c r="E53" s="678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7">
        <v>4680115881419</v>
      </c>
      <c r="E54" s="678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97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98"/>
      <c r="P55" s="699" t="s">
        <v>87</v>
      </c>
      <c r="Q55" s="700"/>
      <c r="R55" s="700"/>
      <c r="S55" s="700"/>
      <c r="T55" s="700"/>
      <c r="U55" s="700"/>
      <c r="V55" s="701"/>
      <c r="W55" s="37" t="s">
        <v>88</v>
      </c>
      <c r="X55" s="669">
        <f>IFERROR(X49/H49,"0")+IFERROR(X50/H50,"0")+IFERROR(X51/H51,"0")+IFERROR(X52/H52,"0")+IFERROR(X53/H53,"0")+IFERROR(X54/H54,"0")</f>
        <v>17.678571428571431</v>
      </c>
      <c r="Y55" s="669">
        <f>IFERROR(Y49/H49,"0")+IFERROR(Y50/H50,"0")+IFERROR(Y51/H51,"0")+IFERROR(Y52/H52,"0")+IFERROR(Y53/H53,"0")+IFERROR(Y54/H54,"0")</f>
        <v>18</v>
      </c>
      <c r="Z55" s="669">
        <f>IFERROR(IF(Z49="",0,Z49),"0")+IFERROR(IF(Z50="",0,Z50),"0")+IFERROR(IF(Z51="",0,Z51),"0")+IFERROR(IF(Z52="",0,Z52),"0")+IFERROR(IF(Z53="",0,Z53),"0")+IFERROR(IF(Z54="",0,Z54),"0")</f>
        <v>0.252</v>
      </c>
      <c r="AA55" s="670"/>
      <c r="AB55" s="670"/>
      <c r="AC55" s="670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98"/>
      <c r="P56" s="699" t="s">
        <v>87</v>
      </c>
      <c r="Q56" s="700"/>
      <c r="R56" s="700"/>
      <c r="S56" s="700"/>
      <c r="T56" s="700"/>
      <c r="U56" s="700"/>
      <c r="V56" s="701"/>
      <c r="W56" s="37" t="s">
        <v>68</v>
      </c>
      <c r="X56" s="669">
        <f>IFERROR(SUM(X49:X54),"0")</f>
        <v>135</v>
      </c>
      <c r="Y56" s="669">
        <f>IFERROR(SUM(Y49:Y54),"0")</f>
        <v>136.80000000000001</v>
      </c>
      <c r="Z56" s="37"/>
      <c r="AA56" s="670"/>
      <c r="AB56" s="670"/>
      <c r="AC56" s="670"/>
    </row>
    <row r="57" spans="1:68" ht="14.25" customHeight="1" x14ac:dyDescent="0.25">
      <c r="A57" s="679" t="s">
        <v>133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7">
        <v>4680115881440</v>
      </c>
      <c r="E58" s="678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6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7">
        <v>4680115882751</v>
      </c>
      <c r="E59" s="678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2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7">
        <v>4680115885950</v>
      </c>
      <c r="E60" s="678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1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7">
        <v>4680115881433</v>
      </c>
      <c r="E61" s="678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97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98"/>
      <c r="P62" s="699" t="s">
        <v>87</v>
      </c>
      <c r="Q62" s="700"/>
      <c r="R62" s="700"/>
      <c r="S62" s="700"/>
      <c r="T62" s="700"/>
      <c r="U62" s="700"/>
      <c r="V62" s="701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98"/>
      <c r="P63" s="699" t="s">
        <v>87</v>
      </c>
      <c r="Q63" s="700"/>
      <c r="R63" s="700"/>
      <c r="S63" s="700"/>
      <c r="T63" s="700"/>
      <c r="U63" s="700"/>
      <c r="V63" s="701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79" t="s">
        <v>144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7">
        <v>4680115885073</v>
      </c>
      <c r="E65" s="678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7">
        <v>4680115885059</v>
      </c>
      <c r="E66" s="678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7">
        <v>4680115885097</v>
      </c>
      <c r="E67" s="678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7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98"/>
      <c r="P68" s="699" t="s">
        <v>87</v>
      </c>
      <c r="Q68" s="700"/>
      <c r="R68" s="700"/>
      <c r="S68" s="700"/>
      <c r="T68" s="700"/>
      <c r="U68" s="700"/>
      <c r="V68" s="701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98"/>
      <c r="P69" s="699" t="s">
        <v>87</v>
      </c>
      <c r="Q69" s="700"/>
      <c r="R69" s="700"/>
      <c r="S69" s="700"/>
      <c r="T69" s="700"/>
      <c r="U69" s="700"/>
      <c r="V69" s="701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79" t="s">
        <v>63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7">
        <v>4680115881891</v>
      </c>
      <c r="E71" s="678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68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7">
        <v>4680115885769</v>
      </c>
      <c r="E72" s="678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7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7">
        <v>4680115884410</v>
      </c>
      <c r="E73" s="678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7">
        <v>4680115884311</v>
      </c>
      <c r="E74" s="678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7">
        <v>4680115885929</v>
      </c>
      <c r="E75" s="678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7">
        <v>4680115884403</v>
      </c>
      <c r="E76" s="678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90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97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98"/>
      <c r="P77" s="699" t="s">
        <v>87</v>
      </c>
      <c r="Q77" s="700"/>
      <c r="R77" s="700"/>
      <c r="S77" s="700"/>
      <c r="T77" s="700"/>
      <c r="U77" s="700"/>
      <c r="V77" s="701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98"/>
      <c r="P78" s="699" t="s">
        <v>87</v>
      </c>
      <c r="Q78" s="700"/>
      <c r="R78" s="700"/>
      <c r="S78" s="700"/>
      <c r="T78" s="700"/>
      <c r="U78" s="700"/>
      <c r="V78" s="701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79" t="s">
        <v>170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7">
        <v>4680115881532</v>
      </c>
      <c r="E80" s="678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5"/>
      <c r="R80" s="675"/>
      <c r="S80" s="675"/>
      <c r="T80" s="676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7">
        <v>4680115881532</v>
      </c>
      <c r="E81" s="678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5"/>
      <c r="R81" s="675"/>
      <c r="S81" s="675"/>
      <c r="T81" s="676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7">
        <v>4680115881464</v>
      </c>
      <c r="E82" s="678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97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98"/>
      <c r="P83" s="699" t="s">
        <v>87</v>
      </c>
      <c r="Q83" s="700"/>
      <c r="R83" s="700"/>
      <c r="S83" s="700"/>
      <c r="T83" s="700"/>
      <c r="U83" s="700"/>
      <c r="V83" s="701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98"/>
      <c r="P84" s="699" t="s">
        <v>87</v>
      </c>
      <c r="Q84" s="700"/>
      <c r="R84" s="700"/>
      <c r="S84" s="700"/>
      <c r="T84" s="700"/>
      <c r="U84" s="700"/>
      <c r="V84" s="701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706" t="s">
        <v>178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2"/>
      <c r="AB85" s="662"/>
      <c r="AC85" s="662"/>
    </row>
    <row r="86" spans="1:68" ht="14.25" customHeight="1" x14ac:dyDescent="0.25">
      <c r="A86" s="679" t="s">
        <v>97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7">
        <v>4680115881327</v>
      </c>
      <c r="E87" s="678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7">
        <v>4680115881518</v>
      </c>
      <c r="E88" s="678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7">
        <v>4680115881303</v>
      </c>
      <c r="E89" s="678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8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97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98"/>
      <c r="P90" s="699" t="s">
        <v>87</v>
      </c>
      <c r="Q90" s="700"/>
      <c r="R90" s="700"/>
      <c r="S90" s="700"/>
      <c r="T90" s="700"/>
      <c r="U90" s="700"/>
      <c r="V90" s="701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98"/>
      <c r="P91" s="699" t="s">
        <v>87</v>
      </c>
      <c r="Q91" s="700"/>
      <c r="R91" s="700"/>
      <c r="S91" s="700"/>
      <c r="T91" s="700"/>
      <c r="U91" s="700"/>
      <c r="V91" s="701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79" t="s">
        <v>63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680"/>
      <c r="Z92" s="680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7">
        <v>4607091386967</v>
      </c>
      <c r="E93" s="678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81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4"/>
      <c r="V93" s="34"/>
      <c r="W93" s="35" t="s">
        <v>68</v>
      </c>
      <c r="X93" s="667">
        <v>58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61.583571428571432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0.10788690476190475</v>
      </c>
      <c r="BP93" s="64">
        <f t="shared" ref="BP93:BP101" si="20">IFERROR(1/J93*(Y93/H93),"0")</f>
        <v>0.109375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7">
        <v>4607091386967</v>
      </c>
      <c r="E94" s="678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1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7">
        <v>4607091386967</v>
      </c>
      <c r="E95" s="678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1004" t="s">
        <v>192</v>
      </c>
      <c r="Q95" s="675"/>
      <c r="R95" s="675"/>
      <c r="S95" s="675"/>
      <c r="T95" s="676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7">
        <v>4680115884953</v>
      </c>
      <c r="E96" s="678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98" t="s">
        <v>196</v>
      </c>
      <c r="Q96" s="675"/>
      <c r="R96" s="675"/>
      <c r="S96" s="675"/>
      <c r="T96" s="676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7">
        <v>4607091385731</v>
      </c>
      <c r="E97" s="678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93" t="s">
        <v>200</v>
      </c>
      <c r="Q97" s="675"/>
      <c r="R97" s="675"/>
      <c r="S97" s="675"/>
      <c r="T97" s="676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7">
        <v>4607091385731</v>
      </c>
      <c r="E98" s="678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00" t="s">
        <v>202</v>
      </c>
      <c r="Q98" s="675"/>
      <c r="R98" s="675"/>
      <c r="S98" s="675"/>
      <c r="T98" s="676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7">
        <v>4680115880894</v>
      </c>
      <c r="E99" s="678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7">
        <v>4680115880214</v>
      </c>
      <c r="E100" s="678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101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7">
        <v>4680115880214</v>
      </c>
      <c r="E101" s="678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7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97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98"/>
      <c r="P102" s="699" t="s">
        <v>87</v>
      </c>
      <c r="Q102" s="700"/>
      <c r="R102" s="700"/>
      <c r="S102" s="700"/>
      <c r="T102" s="700"/>
      <c r="U102" s="700"/>
      <c r="V102" s="701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6.9047619047619042</v>
      </c>
      <c r="Y102" s="669">
        <f>IFERROR(Y93/H93,"0")+IFERROR(Y94/H94,"0")+IFERROR(Y95/H95,"0")+IFERROR(Y96/H96,"0")+IFERROR(Y97/H97,"0")+IFERROR(Y98/H98,"0")+IFERROR(Y99/H99,"0")+IFERROR(Y100/H100,"0")+IFERROR(Y101/H101,"0")</f>
        <v>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70"/>
      <c r="AB102" s="670"/>
      <c r="AC102" s="670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98"/>
      <c r="P103" s="699" t="s">
        <v>87</v>
      </c>
      <c r="Q103" s="700"/>
      <c r="R103" s="700"/>
      <c r="S103" s="700"/>
      <c r="T103" s="700"/>
      <c r="U103" s="700"/>
      <c r="V103" s="701"/>
      <c r="W103" s="37" t="s">
        <v>68</v>
      </c>
      <c r="X103" s="669">
        <f>IFERROR(SUM(X93:X101),"0")</f>
        <v>58</v>
      </c>
      <c r="Y103" s="669">
        <f>IFERROR(SUM(Y93:Y101),"0")</f>
        <v>58.800000000000004</v>
      </c>
      <c r="Z103" s="37"/>
      <c r="AA103" s="670"/>
      <c r="AB103" s="670"/>
      <c r="AC103" s="670"/>
    </row>
    <row r="104" spans="1:68" ht="16.5" customHeight="1" x14ac:dyDescent="0.25">
      <c r="A104" s="706" t="s">
        <v>209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2"/>
      <c r="AB104" s="662"/>
      <c r="AC104" s="662"/>
    </row>
    <row r="105" spans="1:68" ht="14.25" customHeight="1" x14ac:dyDescent="0.25">
      <c r="A105" s="679" t="s">
        <v>97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7">
        <v>4680115882133</v>
      </c>
      <c r="E106" s="678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1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4"/>
      <c r="V106" s="34"/>
      <c r="W106" s="35" t="s">
        <v>68</v>
      </c>
      <c r="X106" s="667">
        <v>184</v>
      </c>
      <c r="Y106" s="668">
        <f>IFERROR(IF(X106="",0,CEILING((X106/$H106),1)*$H106),"")</f>
        <v>194.4</v>
      </c>
      <c r="Z106" s="36">
        <f>IFERROR(IF(Y106=0,"",ROUNDUP(Y106/H106,0)*0.01898),"")</f>
        <v>0.34164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191.41111111111107</v>
      </c>
      <c r="BN106" s="64">
        <f>IFERROR(Y106*I106/H106,"0")</f>
        <v>202.22999999999996</v>
      </c>
      <c r="BO106" s="64">
        <f>IFERROR(1/J106*(X106/H106),"0")</f>
        <v>0.26620370370370366</v>
      </c>
      <c r="BP106" s="64">
        <f>IFERROR(1/J106*(Y106/H106),"0")</f>
        <v>0.28125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7">
        <v>4680115880269</v>
      </c>
      <c r="E107" s="678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7">
        <v>4680115880429</v>
      </c>
      <c r="E108" s="678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4"/>
      <c r="V108" s="34"/>
      <c r="W108" s="35" t="s">
        <v>68</v>
      </c>
      <c r="X108" s="667">
        <v>33</v>
      </c>
      <c r="Y108" s="668">
        <f>IFERROR(IF(X108="",0,CEILING((X108/$H108),1)*$H108),"")</f>
        <v>36</v>
      </c>
      <c r="Z108" s="36">
        <f>IFERROR(IF(Y108=0,"",ROUNDUP(Y108/H108,0)*0.00902),"")</f>
        <v>7.2160000000000002E-2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34.54</v>
      </c>
      <c r="BN108" s="64">
        <f>IFERROR(Y108*I108/H108,"0")</f>
        <v>37.68</v>
      </c>
      <c r="BO108" s="64">
        <f>IFERROR(1/J108*(X108/H108),"0")</f>
        <v>5.5555555555555552E-2</v>
      </c>
      <c r="BP108" s="64">
        <f>IFERROR(1/J108*(Y108/H108),"0")</f>
        <v>6.0606060606060608E-2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7">
        <v>4680115881457</v>
      </c>
      <c r="E109" s="678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97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98"/>
      <c r="P110" s="699" t="s">
        <v>87</v>
      </c>
      <c r="Q110" s="700"/>
      <c r="R110" s="700"/>
      <c r="S110" s="700"/>
      <c r="T110" s="700"/>
      <c r="U110" s="700"/>
      <c r="V110" s="701"/>
      <c r="W110" s="37" t="s">
        <v>88</v>
      </c>
      <c r="X110" s="669">
        <f>IFERROR(X106/H106,"0")+IFERROR(X107/H107,"0")+IFERROR(X108/H108,"0")+IFERROR(X109/H109,"0")</f>
        <v>24.370370370370367</v>
      </c>
      <c r="Y110" s="669">
        <f>IFERROR(Y106/H106,"0")+IFERROR(Y107/H107,"0")+IFERROR(Y108/H108,"0")+IFERROR(Y109/H109,"0")</f>
        <v>26</v>
      </c>
      <c r="Z110" s="669">
        <f>IFERROR(IF(Z106="",0,Z106),"0")+IFERROR(IF(Z107="",0,Z107),"0")+IFERROR(IF(Z108="",0,Z108),"0")+IFERROR(IF(Z109="",0,Z109),"0")</f>
        <v>0.4138</v>
      </c>
      <c r="AA110" s="670"/>
      <c r="AB110" s="670"/>
      <c r="AC110" s="670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98"/>
      <c r="P111" s="699" t="s">
        <v>87</v>
      </c>
      <c r="Q111" s="700"/>
      <c r="R111" s="700"/>
      <c r="S111" s="700"/>
      <c r="T111" s="700"/>
      <c r="U111" s="700"/>
      <c r="V111" s="701"/>
      <c r="W111" s="37" t="s">
        <v>68</v>
      </c>
      <c r="X111" s="669">
        <f>IFERROR(SUM(X106:X109),"0")</f>
        <v>217</v>
      </c>
      <c r="Y111" s="669">
        <f>IFERROR(SUM(Y106:Y109),"0")</f>
        <v>230.4</v>
      </c>
      <c r="Z111" s="37"/>
      <c r="AA111" s="670"/>
      <c r="AB111" s="670"/>
      <c r="AC111" s="670"/>
    </row>
    <row r="112" spans="1:68" ht="14.25" customHeight="1" x14ac:dyDescent="0.25">
      <c r="A112" s="679" t="s">
        <v>133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0"/>
      <c r="S112" s="680"/>
      <c r="T112" s="680"/>
      <c r="U112" s="680"/>
      <c r="V112" s="680"/>
      <c r="W112" s="680"/>
      <c r="X112" s="680"/>
      <c r="Y112" s="680"/>
      <c r="Z112" s="680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7">
        <v>4680115881488</v>
      </c>
      <c r="E113" s="678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4"/>
      <c r="V113" s="34"/>
      <c r="W113" s="35" t="s">
        <v>68</v>
      </c>
      <c r="X113" s="667">
        <v>50</v>
      </c>
      <c r="Y113" s="668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52.013888888888886</v>
      </c>
      <c r="BN113" s="64">
        <f>IFERROR(Y113*I113/H113,"0")</f>
        <v>56.17499999999999</v>
      </c>
      <c r="BO113" s="64">
        <f>IFERROR(1/J113*(X113/H113),"0")</f>
        <v>7.2337962962962965E-2</v>
      </c>
      <c r="BP113" s="64">
        <f>IFERROR(1/J113*(Y113/H113),"0")</f>
        <v>7.8125E-2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7">
        <v>4680115882775</v>
      </c>
      <c r="E114" s="678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7">
        <v>4680115880658</v>
      </c>
      <c r="E115" s="678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97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98"/>
      <c r="P116" s="699" t="s">
        <v>87</v>
      </c>
      <c r="Q116" s="700"/>
      <c r="R116" s="700"/>
      <c r="S116" s="700"/>
      <c r="T116" s="700"/>
      <c r="U116" s="700"/>
      <c r="V116" s="701"/>
      <c r="W116" s="37" t="s">
        <v>88</v>
      </c>
      <c r="X116" s="669">
        <f>IFERROR(X113/H113,"0")+IFERROR(X114/H114,"0")+IFERROR(X115/H115,"0")</f>
        <v>4.6296296296296298</v>
      </c>
      <c r="Y116" s="669">
        <f>IFERROR(Y113/H113,"0")+IFERROR(Y114/H114,"0")+IFERROR(Y115/H115,"0")</f>
        <v>5</v>
      </c>
      <c r="Z116" s="669">
        <f>IFERROR(IF(Z113="",0,Z113),"0")+IFERROR(IF(Z114="",0,Z114),"0")+IFERROR(IF(Z115="",0,Z115),"0")</f>
        <v>9.4899999999999998E-2</v>
      </c>
      <c r="AA116" s="670"/>
      <c r="AB116" s="670"/>
      <c r="AC116" s="670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98"/>
      <c r="P117" s="699" t="s">
        <v>87</v>
      </c>
      <c r="Q117" s="700"/>
      <c r="R117" s="700"/>
      <c r="S117" s="700"/>
      <c r="T117" s="700"/>
      <c r="U117" s="700"/>
      <c r="V117" s="701"/>
      <c r="W117" s="37" t="s">
        <v>68</v>
      </c>
      <c r="X117" s="669">
        <f>IFERROR(SUM(X113:X115),"0")</f>
        <v>50</v>
      </c>
      <c r="Y117" s="669">
        <f>IFERROR(SUM(Y113:Y115),"0")</f>
        <v>54</v>
      </c>
      <c r="Z117" s="37"/>
      <c r="AA117" s="670"/>
      <c r="AB117" s="670"/>
      <c r="AC117" s="670"/>
    </row>
    <row r="118" spans="1:68" ht="14.25" customHeight="1" x14ac:dyDescent="0.25">
      <c r="A118" s="679" t="s">
        <v>63</v>
      </c>
      <c r="B118" s="680"/>
      <c r="C118" s="680"/>
      <c r="D118" s="680"/>
      <c r="E118" s="680"/>
      <c r="F118" s="680"/>
      <c r="G118" s="680"/>
      <c r="H118" s="680"/>
      <c r="I118" s="680"/>
      <c r="J118" s="680"/>
      <c r="K118" s="680"/>
      <c r="L118" s="680"/>
      <c r="M118" s="680"/>
      <c r="N118" s="680"/>
      <c r="O118" s="680"/>
      <c r="P118" s="680"/>
      <c r="Q118" s="680"/>
      <c r="R118" s="680"/>
      <c r="S118" s="680"/>
      <c r="T118" s="680"/>
      <c r="U118" s="680"/>
      <c r="V118" s="680"/>
      <c r="W118" s="680"/>
      <c r="X118" s="680"/>
      <c r="Y118" s="680"/>
      <c r="Z118" s="680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7">
        <v>4607091385168</v>
      </c>
      <c r="E119" s="678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7">
        <v>4607091385168</v>
      </c>
      <c r="E120" s="678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9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4"/>
      <c r="V120" s="34"/>
      <c r="W120" s="35" t="s">
        <v>68</v>
      </c>
      <c r="X120" s="667">
        <v>65</v>
      </c>
      <c r="Y120" s="668">
        <f t="shared" si="21"/>
        <v>67.2</v>
      </c>
      <c r="Z120" s="36">
        <f>IFERROR(IF(Y120=0,"",ROUNDUP(Y120/H120,0)*0.01898),"")</f>
        <v>0.15184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68.969642857142858</v>
      </c>
      <c r="BN120" s="64">
        <f t="shared" si="23"/>
        <v>71.304000000000002</v>
      </c>
      <c r="BO120" s="64">
        <f t="shared" si="24"/>
        <v>0.1209077380952381</v>
      </c>
      <c r="BP120" s="64">
        <f t="shared" si="25"/>
        <v>0.125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7">
        <v>4607091385168</v>
      </c>
      <c r="E121" s="678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740" t="s">
        <v>232</v>
      </c>
      <c r="Q121" s="675"/>
      <c r="R121" s="675"/>
      <c r="S121" s="675"/>
      <c r="T121" s="676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7">
        <v>4607091383256</v>
      </c>
      <c r="E122" s="678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20" t="s">
        <v>236</v>
      </c>
      <c r="Q122" s="675"/>
      <c r="R122" s="675"/>
      <c r="S122" s="675"/>
      <c r="T122" s="676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7">
        <v>4607091385748</v>
      </c>
      <c r="E123" s="678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745" t="s">
        <v>239</v>
      </c>
      <c r="Q123" s="675"/>
      <c r="R123" s="675"/>
      <c r="S123" s="675"/>
      <c r="T123" s="676"/>
      <c r="U123" s="34"/>
      <c r="V123" s="34"/>
      <c r="W123" s="35" t="s">
        <v>68</v>
      </c>
      <c r="X123" s="667">
        <v>156</v>
      </c>
      <c r="Y123" s="668">
        <f t="shared" si="21"/>
        <v>156.60000000000002</v>
      </c>
      <c r="Z123" s="36">
        <f>IFERROR(IF(Y123=0,"",ROUNDUP(Y123/H123,0)*0.00651),"")</f>
        <v>0.37758000000000003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170.56</v>
      </c>
      <c r="BN123" s="64">
        <f t="shared" si="23"/>
        <v>171.21600000000001</v>
      </c>
      <c r="BO123" s="64">
        <f t="shared" si="24"/>
        <v>0.31746031746031744</v>
      </c>
      <c r="BP123" s="64">
        <f t="shared" si="25"/>
        <v>0.31868131868131877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7">
        <v>4680115884533</v>
      </c>
      <c r="E124" s="678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6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7">
        <v>4680115882645</v>
      </c>
      <c r="E125" s="678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7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5"/>
      <c r="R125" s="675"/>
      <c r="S125" s="675"/>
      <c r="T125" s="676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97"/>
      <c r="B126" s="680"/>
      <c r="C126" s="680"/>
      <c r="D126" s="680"/>
      <c r="E126" s="680"/>
      <c r="F126" s="680"/>
      <c r="G126" s="680"/>
      <c r="H126" s="680"/>
      <c r="I126" s="680"/>
      <c r="J126" s="680"/>
      <c r="K126" s="680"/>
      <c r="L126" s="680"/>
      <c r="M126" s="680"/>
      <c r="N126" s="680"/>
      <c r="O126" s="698"/>
      <c r="P126" s="699" t="s">
        <v>87</v>
      </c>
      <c r="Q126" s="700"/>
      <c r="R126" s="700"/>
      <c r="S126" s="700"/>
      <c r="T126" s="700"/>
      <c r="U126" s="700"/>
      <c r="V126" s="701"/>
      <c r="W126" s="37" t="s">
        <v>88</v>
      </c>
      <c r="X126" s="669">
        <f>IFERROR(X119/H119,"0")+IFERROR(X120/H120,"0")+IFERROR(X121/H121,"0")+IFERROR(X122/H122,"0")+IFERROR(X123/H123,"0")+IFERROR(X124/H124,"0")+IFERROR(X125/H125,"0")</f>
        <v>65.515873015873012</v>
      </c>
      <c r="Y126" s="669">
        <f>IFERROR(Y119/H119,"0")+IFERROR(Y120/H120,"0")+IFERROR(Y121/H121,"0")+IFERROR(Y122/H122,"0")+IFERROR(Y123/H123,"0")+IFERROR(Y124/H124,"0")+IFERROR(Y125/H125,"0")</f>
        <v>66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0.52942</v>
      </c>
      <c r="AA126" s="670"/>
      <c r="AB126" s="670"/>
      <c r="AC126" s="670"/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98"/>
      <c r="P127" s="699" t="s">
        <v>87</v>
      </c>
      <c r="Q127" s="700"/>
      <c r="R127" s="700"/>
      <c r="S127" s="700"/>
      <c r="T127" s="700"/>
      <c r="U127" s="700"/>
      <c r="V127" s="701"/>
      <c r="W127" s="37" t="s">
        <v>68</v>
      </c>
      <c r="X127" s="669">
        <f>IFERROR(SUM(X119:X125),"0")</f>
        <v>221</v>
      </c>
      <c r="Y127" s="669">
        <f>IFERROR(SUM(Y119:Y125),"0")</f>
        <v>223.8</v>
      </c>
      <c r="Z127" s="37"/>
      <c r="AA127" s="670"/>
      <c r="AB127" s="670"/>
      <c r="AC127" s="670"/>
    </row>
    <row r="128" spans="1:68" ht="14.25" customHeight="1" x14ac:dyDescent="0.25">
      <c r="A128" s="679" t="s">
        <v>170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0"/>
      <c r="P128" s="680"/>
      <c r="Q128" s="680"/>
      <c r="R128" s="680"/>
      <c r="S128" s="680"/>
      <c r="T128" s="680"/>
      <c r="U128" s="680"/>
      <c r="V128" s="680"/>
      <c r="W128" s="680"/>
      <c r="X128" s="680"/>
      <c r="Y128" s="680"/>
      <c r="Z128" s="680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7">
        <v>4680115882652</v>
      </c>
      <c r="E129" s="678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5"/>
      <c r="R129" s="675"/>
      <c r="S129" s="675"/>
      <c r="T129" s="676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7">
        <v>4680115880238</v>
      </c>
      <c r="E130" s="678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7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5"/>
      <c r="R130" s="675"/>
      <c r="S130" s="675"/>
      <c r="T130" s="676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97"/>
      <c r="B131" s="680"/>
      <c r="C131" s="680"/>
      <c r="D131" s="680"/>
      <c r="E131" s="680"/>
      <c r="F131" s="680"/>
      <c r="G131" s="680"/>
      <c r="H131" s="680"/>
      <c r="I131" s="680"/>
      <c r="J131" s="680"/>
      <c r="K131" s="680"/>
      <c r="L131" s="680"/>
      <c r="M131" s="680"/>
      <c r="N131" s="680"/>
      <c r="O131" s="698"/>
      <c r="P131" s="699" t="s">
        <v>87</v>
      </c>
      <c r="Q131" s="700"/>
      <c r="R131" s="700"/>
      <c r="S131" s="700"/>
      <c r="T131" s="700"/>
      <c r="U131" s="700"/>
      <c r="V131" s="701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98"/>
      <c r="P132" s="699" t="s">
        <v>87</v>
      </c>
      <c r="Q132" s="700"/>
      <c r="R132" s="700"/>
      <c r="S132" s="700"/>
      <c r="T132" s="700"/>
      <c r="U132" s="700"/>
      <c r="V132" s="701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706" t="s">
        <v>252</v>
      </c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680"/>
      <c r="Q133" s="680"/>
      <c r="R133" s="680"/>
      <c r="S133" s="680"/>
      <c r="T133" s="680"/>
      <c r="U133" s="680"/>
      <c r="V133" s="680"/>
      <c r="W133" s="680"/>
      <c r="X133" s="680"/>
      <c r="Y133" s="680"/>
      <c r="Z133" s="680"/>
      <c r="AA133" s="662"/>
      <c r="AB133" s="662"/>
      <c r="AC133" s="662"/>
    </row>
    <row r="134" spans="1:68" ht="14.25" customHeight="1" x14ac:dyDescent="0.25">
      <c r="A134" s="679" t="s">
        <v>97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7">
        <v>4680115882577</v>
      </c>
      <c r="E135" s="678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7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5"/>
      <c r="R135" s="675"/>
      <c r="S135" s="675"/>
      <c r="T135" s="676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7">
        <v>4680115882577</v>
      </c>
      <c r="E136" s="678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7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5"/>
      <c r="R136" s="675"/>
      <c r="S136" s="675"/>
      <c r="T136" s="676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97"/>
      <c r="B137" s="680"/>
      <c r="C137" s="680"/>
      <c r="D137" s="680"/>
      <c r="E137" s="680"/>
      <c r="F137" s="680"/>
      <c r="G137" s="680"/>
      <c r="H137" s="680"/>
      <c r="I137" s="680"/>
      <c r="J137" s="680"/>
      <c r="K137" s="680"/>
      <c r="L137" s="680"/>
      <c r="M137" s="680"/>
      <c r="N137" s="680"/>
      <c r="O137" s="698"/>
      <c r="P137" s="699" t="s">
        <v>87</v>
      </c>
      <c r="Q137" s="700"/>
      <c r="R137" s="700"/>
      <c r="S137" s="700"/>
      <c r="T137" s="700"/>
      <c r="U137" s="700"/>
      <c r="V137" s="701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98"/>
      <c r="P138" s="699" t="s">
        <v>87</v>
      </c>
      <c r="Q138" s="700"/>
      <c r="R138" s="700"/>
      <c r="S138" s="700"/>
      <c r="T138" s="700"/>
      <c r="U138" s="700"/>
      <c r="V138" s="701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79" t="s">
        <v>144</v>
      </c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0"/>
      <c r="P139" s="680"/>
      <c r="Q139" s="680"/>
      <c r="R139" s="680"/>
      <c r="S139" s="680"/>
      <c r="T139" s="680"/>
      <c r="U139" s="680"/>
      <c r="V139" s="680"/>
      <c r="W139" s="680"/>
      <c r="X139" s="680"/>
      <c r="Y139" s="680"/>
      <c r="Z139" s="680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7">
        <v>4680115883444</v>
      </c>
      <c r="E140" s="678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9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5"/>
      <c r="R140" s="675"/>
      <c r="S140" s="675"/>
      <c r="T140" s="676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7">
        <v>4680115883444</v>
      </c>
      <c r="E141" s="678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7"/>
      <c r="B142" s="680"/>
      <c r="C142" s="680"/>
      <c r="D142" s="680"/>
      <c r="E142" s="680"/>
      <c r="F142" s="680"/>
      <c r="G142" s="680"/>
      <c r="H142" s="680"/>
      <c r="I142" s="680"/>
      <c r="J142" s="680"/>
      <c r="K142" s="680"/>
      <c r="L142" s="680"/>
      <c r="M142" s="680"/>
      <c r="N142" s="680"/>
      <c r="O142" s="698"/>
      <c r="P142" s="699" t="s">
        <v>87</v>
      </c>
      <c r="Q142" s="700"/>
      <c r="R142" s="700"/>
      <c r="S142" s="700"/>
      <c r="T142" s="700"/>
      <c r="U142" s="700"/>
      <c r="V142" s="701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98"/>
      <c r="P143" s="699" t="s">
        <v>87</v>
      </c>
      <c r="Q143" s="700"/>
      <c r="R143" s="700"/>
      <c r="S143" s="700"/>
      <c r="T143" s="700"/>
      <c r="U143" s="700"/>
      <c r="V143" s="701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79" t="s">
        <v>63</v>
      </c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0"/>
      <c r="S144" s="680"/>
      <c r="T144" s="680"/>
      <c r="U144" s="680"/>
      <c r="V144" s="680"/>
      <c r="W144" s="680"/>
      <c r="X144" s="680"/>
      <c r="Y144" s="680"/>
      <c r="Z144" s="680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7">
        <v>4680115882584</v>
      </c>
      <c r="E145" s="678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103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5"/>
      <c r="R145" s="675"/>
      <c r="S145" s="675"/>
      <c r="T145" s="676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7">
        <v>4680115882584</v>
      </c>
      <c r="E146" s="678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5"/>
      <c r="R146" s="675"/>
      <c r="S146" s="675"/>
      <c r="T146" s="676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97"/>
      <c r="B147" s="680"/>
      <c r="C147" s="680"/>
      <c r="D147" s="680"/>
      <c r="E147" s="680"/>
      <c r="F147" s="680"/>
      <c r="G147" s="680"/>
      <c r="H147" s="680"/>
      <c r="I147" s="680"/>
      <c r="J147" s="680"/>
      <c r="K147" s="680"/>
      <c r="L147" s="680"/>
      <c r="M147" s="680"/>
      <c r="N147" s="680"/>
      <c r="O147" s="698"/>
      <c r="P147" s="699" t="s">
        <v>87</v>
      </c>
      <c r="Q147" s="700"/>
      <c r="R147" s="700"/>
      <c r="S147" s="700"/>
      <c r="T147" s="700"/>
      <c r="U147" s="700"/>
      <c r="V147" s="701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98"/>
      <c r="P148" s="699" t="s">
        <v>87</v>
      </c>
      <c r="Q148" s="700"/>
      <c r="R148" s="700"/>
      <c r="S148" s="700"/>
      <c r="T148" s="700"/>
      <c r="U148" s="700"/>
      <c r="V148" s="701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706" t="s">
        <v>95</v>
      </c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0"/>
      <c r="P149" s="680"/>
      <c r="Q149" s="680"/>
      <c r="R149" s="680"/>
      <c r="S149" s="680"/>
      <c r="T149" s="680"/>
      <c r="U149" s="680"/>
      <c r="V149" s="680"/>
      <c r="W149" s="680"/>
      <c r="X149" s="680"/>
      <c r="Y149" s="680"/>
      <c r="Z149" s="680"/>
      <c r="AA149" s="662"/>
      <c r="AB149" s="662"/>
      <c r="AC149" s="662"/>
    </row>
    <row r="150" spans="1:68" ht="14.25" customHeight="1" x14ac:dyDescent="0.25">
      <c r="A150" s="679" t="s">
        <v>97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7">
        <v>4607091384604</v>
      </c>
      <c r="E151" s="678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7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5"/>
      <c r="R151" s="675"/>
      <c r="S151" s="675"/>
      <c r="T151" s="676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7"/>
      <c r="B152" s="680"/>
      <c r="C152" s="680"/>
      <c r="D152" s="680"/>
      <c r="E152" s="680"/>
      <c r="F152" s="680"/>
      <c r="G152" s="680"/>
      <c r="H152" s="680"/>
      <c r="I152" s="680"/>
      <c r="J152" s="680"/>
      <c r="K152" s="680"/>
      <c r="L152" s="680"/>
      <c r="M152" s="680"/>
      <c r="N152" s="680"/>
      <c r="O152" s="698"/>
      <c r="P152" s="699" t="s">
        <v>87</v>
      </c>
      <c r="Q152" s="700"/>
      <c r="R152" s="700"/>
      <c r="S152" s="700"/>
      <c r="T152" s="700"/>
      <c r="U152" s="700"/>
      <c r="V152" s="701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98"/>
      <c r="P153" s="699" t="s">
        <v>87</v>
      </c>
      <c r="Q153" s="700"/>
      <c r="R153" s="700"/>
      <c r="S153" s="700"/>
      <c r="T153" s="700"/>
      <c r="U153" s="700"/>
      <c r="V153" s="701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79" t="s">
        <v>144</v>
      </c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0"/>
      <c r="P154" s="680"/>
      <c r="Q154" s="680"/>
      <c r="R154" s="680"/>
      <c r="S154" s="680"/>
      <c r="T154" s="680"/>
      <c r="U154" s="680"/>
      <c r="V154" s="680"/>
      <c r="W154" s="680"/>
      <c r="X154" s="680"/>
      <c r="Y154" s="680"/>
      <c r="Z154" s="680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7">
        <v>4607091387667</v>
      </c>
      <c r="E155" s="678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10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5"/>
      <c r="R155" s="675"/>
      <c r="S155" s="675"/>
      <c r="T155" s="676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7">
        <v>4607091387636</v>
      </c>
      <c r="E156" s="678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85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5"/>
      <c r="R156" s="675"/>
      <c r="S156" s="675"/>
      <c r="T156" s="676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7">
        <v>4607091382426</v>
      </c>
      <c r="E157" s="678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7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5"/>
      <c r="R157" s="675"/>
      <c r="S157" s="675"/>
      <c r="T157" s="676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97"/>
      <c r="B158" s="680"/>
      <c r="C158" s="680"/>
      <c r="D158" s="680"/>
      <c r="E158" s="680"/>
      <c r="F158" s="680"/>
      <c r="G158" s="680"/>
      <c r="H158" s="680"/>
      <c r="I158" s="680"/>
      <c r="J158" s="680"/>
      <c r="K158" s="680"/>
      <c r="L158" s="680"/>
      <c r="M158" s="680"/>
      <c r="N158" s="680"/>
      <c r="O158" s="698"/>
      <c r="P158" s="699" t="s">
        <v>87</v>
      </c>
      <c r="Q158" s="700"/>
      <c r="R158" s="700"/>
      <c r="S158" s="700"/>
      <c r="T158" s="700"/>
      <c r="U158" s="700"/>
      <c r="V158" s="701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80"/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98"/>
      <c r="P159" s="699" t="s">
        <v>87</v>
      </c>
      <c r="Q159" s="700"/>
      <c r="R159" s="700"/>
      <c r="S159" s="700"/>
      <c r="T159" s="700"/>
      <c r="U159" s="700"/>
      <c r="V159" s="701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79" t="s">
        <v>63</v>
      </c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680"/>
      <c r="Z160" s="680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7">
        <v>4607091386264</v>
      </c>
      <c r="E161" s="678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70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5"/>
      <c r="R161" s="675"/>
      <c r="S161" s="675"/>
      <c r="T161" s="676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97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98"/>
      <c r="P162" s="699" t="s">
        <v>87</v>
      </c>
      <c r="Q162" s="700"/>
      <c r="R162" s="700"/>
      <c r="S162" s="700"/>
      <c r="T162" s="700"/>
      <c r="U162" s="700"/>
      <c r="V162" s="701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80"/>
      <c r="B163" s="680"/>
      <c r="C163" s="680"/>
      <c r="D163" s="680"/>
      <c r="E163" s="680"/>
      <c r="F163" s="680"/>
      <c r="G163" s="680"/>
      <c r="H163" s="680"/>
      <c r="I163" s="680"/>
      <c r="J163" s="680"/>
      <c r="K163" s="680"/>
      <c r="L163" s="680"/>
      <c r="M163" s="680"/>
      <c r="N163" s="680"/>
      <c r="O163" s="698"/>
      <c r="P163" s="699" t="s">
        <v>87</v>
      </c>
      <c r="Q163" s="700"/>
      <c r="R163" s="700"/>
      <c r="S163" s="700"/>
      <c r="T163" s="700"/>
      <c r="U163" s="700"/>
      <c r="V163" s="701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836" t="s">
        <v>279</v>
      </c>
      <c r="B164" s="837"/>
      <c r="C164" s="837"/>
      <c r="D164" s="837"/>
      <c r="E164" s="837"/>
      <c r="F164" s="837"/>
      <c r="G164" s="837"/>
      <c r="H164" s="837"/>
      <c r="I164" s="837"/>
      <c r="J164" s="837"/>
      <c r="K164" s="837"/>
      <c r="L164" s="837"/>
      <c r="M164" s="837"/>
      <c r="N164" s="837"/>
      <c r="O164" s="837"/>
      <c r="P164" s="837"/>
      <c r="Q164" s="837"/>
      <c r="R164" s="837"/>
      <c r="S164" s="837"/>
      <c r="T164" s="837"/>
      <c r="U164" s="837"/>
      <c r="V164" s="837"/>
      <c r="W164" s="837"/>
      <c r="X164" s="837"/>
      <c r="Y164" s="837"/>
      <c r="Z164" s="837"/>
      <c r="AA164" s="48"/>
      <c r="AB164" s="48"/>
      <c r="AC164" s="48"/>
    </row>
    <row r="165" spans="1:68" ht="16.5" customHeight="1" x14ac:dyDescent="0.25">
      <c r="A165" s="706" t="s">
        <v>280</v>
      </c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0"/>
      <c r="P165" s="680"/>
      <c r="Q165" s="680"/>
      <c r="R165" s="680"/>
      <c r="S165" s="680"/>
      <c r="T165" s="680"/>
      <c r="U165" s="680"/>
      <c r="V165" s="680"/>
      <c r="W165" s="680"/>
      <c r="X165" s="680"/>
      <c r="Y165" s="680"/>
      <c r="Z165" s="680"/>
      <c r="AA165" s="662"/>
      <c r="AB165" s="662"/>
      <c r="AC165" s="662"/>
    </row>
    <row r="166" spans="1:68" ht="14.25" customHeight="1" x14ac:dyDescent="0.25">
      <c r="A166" s="679" t="s">
        <v>133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0"/>
      <c r="S166" s="680"/>
      <c r="T166" s="680"/>
      <c r="U166" s="680"/>
      <c r="V166" s="680"/>
      <c r="W166" s="680"/>
      <c r="X166" s="680"/>
      <c r="Y166" s="680"/>
      <c r="Z166" s="680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7">
        <v>4680115886223</v>
      </c>
      <c r="E167" s="678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9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5"/>
      <c r="R167" s="675"/>
      <c r="S167" s="675"/>
      <c r="T167" s="676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97"/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98"/>
      <c r="P168" s="699" t="s">
        <v>87</v>
      </c>
      <c r="Q168" s="700"/>
      <c r="R168" s="700"/>
      <c r="S168" s="700"/>
      <c r="T168" s="700"/>
      <c r="U168" s="700"/>
      <c r="V168" s="701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80"/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98"/>
      <c r="P169" s="699" t="s">
        <v>87</v>
      </c>
      <c r="Q169" s="700"/>
      <c r="R169" s="700"/>
      <c r="S169" s="700"/>
      <c r="T169" s="700"/>
      <c r="U169" s="700"/>
      <c r="V169" s="701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79" t="s">
        <v>144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0"/>
      <c r="Q170" s="680"/>
      <c r="R170" s="680"/>
      <c r="S170" s="680"/>
      <c r="T170" s="680"/>
      <c r="U170" s="680"/>
      <c r="V170" s="680"/>
      <c r="W170" s="680"/>
      <c r="X170" s="680"/>
      <c r="Y170" s="680"/>
      <c r="Z170" s="680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7">
        <v>4680115880993</v>
      </c>
      <c r="E171" s="678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5"/>
      <c r="R171" s="675"/>
      <c r="S171" s="675"/>
      <c r="T171" s="676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7">
        <v>4680115881761</v>
      </c>
      <c r="E172" s="678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10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5"/>
      <c r="R172" s="675"/>
      <c r="S172" s="675"/>
      <c r="T172" s="676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7">
        <v>4680115881563</v>
      </c>
      <c r="E173" s="678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10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5"/>
      <c r="R173" s="675"/>
      <c r="S173" s="675"/>
      <c r="T173" s="676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7">
        <v>4680115880986</v>
      </c>
      <c r="E174" s="678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7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5"/>
      <c r="R174" s="675"/>
      <c r="S174" s="675"/>
      <c r="T174" s="676"/>
      <c r="U174" s="34"/>
      <c r="V174" s="34"/>
      <c r="W174" s="35" t="s">
        <v>68</v>
      </c>
      <c r="X174" s="667">
        <v>58</v>
      </c>
      <c r="Y174" s="668">
        <f t="shared" si="26"/>
        <v>58.800000000000004</v>
      </c>
      <c r="Z174" s="36">
        <f>IFERROR(IF(Y174=0,"",ROUNDUP(Y174/H174,0)*0.00502),"")</f>
        <v>0.14056000000000002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61.590476190476188</v>
      </c>
      <c r="BN174" s="64">
        <f t="shared" si="28"/>
        <v>62.44</v>
      </c>
      <c r="BO174" s="64">
        <f t="shared" si="29"/>
        <v>0.11803011803011804</v>
      </c>
      <c r="BP174" s="64">
        <f t="shared" si="30"/>
        <v>0.11965811965811968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7">
        <v>4680115881785</v>
      </c>
      <c r="E175" s="678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5"/>
      <c r="R175" s="675"/>
      <c r="S175" s="675"/>
      <c r="T175" s="676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7">
        <v>4680115886537</v>
      </c>
      <c r="E176" s="678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786" t="s">
        <v>299</v>
      </c>
      <c r="Q176" s="675"/>
      <c r="R176" s="675"/>
      <c r="S176" s="675"/>
      <c r="T176" s="676"/>
      <c r="U176" s="34"/>
      <c r="V176" s="34"/>
      <c r="W176" s="35" t="s">
        <v>68</v>
      </c>
      <c r="X176" s="667">
        <v>17</v>
      </c>
      <c r="Y176" s="668">
        <f t="shared" si="26"/>
        <v>18</v>
      </c>
      <c r="Z176" s="36">
        <f>IFERROR(IF(Y176=0,"",ROUNDUP(Y176/H176,0)*0.00502),"")</f>
        <v>5.0200000000000002E-2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18.227777777777778</v>
      </c>
      <c r="BN176" s="64">
        <f t="shared" si="28"/>
        <v>19.3</v>
      </c>
      <c r="BO176" s="64">
        <f t="shared" si="29"/>
        <v>4.0360873694207031E-2</v>
      </c>
      <c r="BP176" s="64">
        <f t="shared" si="30"/>
        <v>4.2735042735042736E-2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7">
        <v>4680115881679</v>
      </c>
      <c r="E177" s="678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5"/>
      <c r="R177" s="675"/>
      <c r="S177" s="675"/>
      <c r="T177" s="676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7">
        <v>4680115880191</v>
      </c>
      <c r="E178" s="678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5"/>
      <c r="R178" s="675"/>
      <c r="S178" s="675"/>
      <c r="T178" s="676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7">
        <v>4680115883963</v>
      </c>
      <c r="E179" s="678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5"/>
      <c r="R179" s="675"/>
      <c r="S179" s="675"/>
      <c r="T179" s="676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97"/>
      <c r="B180" s="680"/>
      <c r="C180" s="680"/>
      <c r="D180" s="680"/>
      <c r="E180" s="680"/>
      <c r="F180" s="680"/>
      <c r="G180" s="680"/>
      <c r="H180" s="680"/>
      <c r="I180" s="680"/>
      <c r="J180" s="680"/>
      <c r="K180" s="680"/>
      <c r="L180" s="680"/>
      <c r="M180" s="680"/>
      <c r="N180" s="680"/>
      <c r="O180" s="698"/>
      <c r="P180" s="699" t="s">
        <v>87</v>
      </c>
      <c r="Q180" s="700"/>
      <c r="R180" s="700"/>
      <c r="S180" s="700"/>
      <c r="T180" s="700"/>
      <c r="U180" s="700"/>
      <c r="V180" s="701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37.063492063492063</v>
      </c>
      <c r="Y180" s="669">
        <f>IFERROR(Y171/H171,"0")+IFERROR(Y172/H172,"0")+IFERROR(Y173/H173,"0")+IFERROR(Y174/H174,"0")+IFERROR(Y175/H175,"0")+IFERROR(Y176/H176,"0")+IFERROR(Y177/H177,"0")+IFERROR(Y178/H178,"0")+IFERROR(Y179/H179,"0")</f>
        <v>38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0.19076000000000001</v>
      </c>
      <c r="AA180" s="670"/>
      <c r="AB180" s="670"/>
      <c r="AC180" s="670"/>
    </row>
    <row r="181" spans="1:68" x14ac:dyDescent="0.2">
      <c r="A181" s="680"/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98"/>
      <c r="P181" s="699" t="s">
        <v>87</v>
      </c>
      <c r="Q181" s="700"/>
      <c r="R181" s="700"/>
      <c r="S181" s="700"/>
      <c r="T181" s="700"/>
      <c r="U181" s="700"/>
      <c r="V181" s="701"/>
      <c r="W181" s="37" t="s">
        <v>68</v>
      </c>
      <c r="X181" s="669">
        <f>IFERROR(SUM(X171:X179),"0")</f>
        <v>75</v>
      </c>
      <c r="Y181" s="669">
        <f>IFERROR(SUM(Y171:Y179),"0")</f>
        <v>76.800000000000011</v>
      </c>
      <c r="Z181" s="37"/>
      <c r="AA181" s="670"/>
      <c r="AB181" s="670"/>
      <c r="AC181" s="670"/>
    </row>
    <row r="182" spans="1:68" ht="14.25" customHeight="1" x14ac:dyDescent="0.25">
      <c r="A182" s="679" t="s">
        <v>89</v>
      </c>
      <c r="B182" s="680"/>
      <c r="C182" s="680"/>
      <c r="D182" s="680"/>
      <c r="E182" s="680"/>
      <c r="F182" s="680"/>
      <c r="G182" s="680"/>
      <c r="H182" s="680"/>
      <c r="I182" s="680"/>
      <c r="J182" s="680"/>
      <c r="K182" s="680"/>
      <c r="L182" s="680"/>
      <c r="M182" s="680"/>
      <c r="N182" s="680"/>
      <c r="O182" s="680"/>
      <c r="P182" s="680"/>
      <c r="Q182" s="680"/>
      <c r="R182" s="680"/>
      <c r="S182" s="680"/>
      <c r="T182" s="680"/>
      <c r="U182" s="680"/>
      <c r="V182" s="680"/>
      <c r="W182" s="680"/>
      <c r="X182" s="680"/>
      <c r="Y182" s="680"/>
      <c r="Z182" s="680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7">
        <v>4680115886742</v>
      </c>
      <c r="E183" s="678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99" t="s">
        <v>312</v>
      </c>
      <c r="Q183" s="675"/>
      <c r="R183" s="675"/>
      <c r="S183" s="675"/>
      <c r="T183" s="676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7">
        <v>4680115886766</v>
      </c>
      <c r="E184" s="678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997" t="s">
        <v>317</v>
      </c>
      <c r="Q184" s="675"/>
      <c r="R184" s="675"/>
      <c r="S184" s="675"/>
      <c r="T184" s="676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7">
        <v>4680115886780</v>
      </c>
      <c r="E185" s="678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916" t="s">
        <v>320</v>
      </c>
      <c r="Q185" s="675"/>
      <c r="R185" s="675"/>
      <c r="S185" s="675"/>
      <c r="T185" s="676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97"/>
      <c r="B186" s="680"/>
      <c r="C186" s="680"/>
      <c r="D186" s="680"/>
      <c r="E186" s="680"/>
      <c r="F186" s="680"/>
      <c r="G186" s="680"/>
      <c r="H186" s="680"/>
      <c r="I186" s="680"/>
      <c r="J186" s="680"/>
      <c r="K186" s="680"/>
      <c r="L186" s="680"/>
      <c r="M186" s="680"/>
      <c r="N186" s="680"/>
      <c r="O186" s="698"/>
      <c r="P186" s="699" t="s">
        <v>87</v>
      </c>
      <c r="Q186" s="700"/>
      <c r="R186" s="700"/>
      <c r="S186" s="700"/>
      <c r="T186" s="700"/>
      <c r="U186" s="700"/>
      <c r="V186" s="701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98"/>
      <c r="P187" s="699" t="s">
        <v>87</v>
      </c>
      <c r="Q187" s="700"/>
      <c r="R187" s="700"/>
      <c r="S187" s="700"/>
      <c r="T187" s="700"/>
      <c r="U187" s="700"/>
      <c r="V187" s="701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79" t="s">
        <v>322</v>
      </c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0"/>
      <c r="P188" s="680"/>
      <c r="Q188" s="680"/>
      <c r="R188" s="680"/>
      <c r="S188" s="680"/>
      <c r="T188" s="680"/>
      <c r="U188" s="680"/>
      <c r="V188" s="680"/>
      <c r="W188" s="680"/>
      <c r="X188" s="680"/>
      <c r="Y188" s="680"/>
      <c r="Z188" s="680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7">
        <v>4680115886797</v>
      </c>
      <c r="E189" s="678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969" t="s">
        <v>325</v>
      </c>
      <c r="Q189" s="675"/>
      <c r="R189" s="675"/>
      <c r="S189" s="675"/>
      <c r="T189" s="676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97"/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98"/>
      <c r="P190" s="699" t="s">
        <v>87</v>
      </c>
      <c r="Q190" s="700"/>
      <c r="R190" s="700"/>
      <c r="S190" s="700"/>
      <c r="T190" s="700"/>
      <c r="U190" s="700"/>
      <c r="V190" s="701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80"/>
      <c r="B191" s="680"/>
      <c r="C191" s="680"/>
      <c r="D191" s="680"/>
      <c r="E191" s="680"/>
      <c r="F191" s="680"/>
      <c r="G191" s="680"/>
      <c r="H191" s="680"/>
      <c r="I191" s="680"/>
      <c r="J191" s="680"/>
      <c r="K191" s="680"/>
      <c r="L191" s="680"/>
      <c r="M191" s="680"/>
      <c r="N191" s="680"/>
      <c r="O191" s="698"/>
      <c r="P191" s="699" t="s">
        <v>87</v>
      </c>
      <c r="Q191" s="700"/>
      <c r="R191" s="700"/>
      <c r="S191" s="700"/>
      <c r="T191" s="700"/>
      <c r="U191" s="700"/>
      <c r="V191" s="701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706" t="s">
        <v>326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2"/>
      <c r="AB192" s="662"/>
      <c r="AC192" s="662"/>
    </row>
    <row r="193" spans="1:68" ht="14.25" customHeight="1" x14ac:dyDescent="0.25">
      <c r="A193" s="679" t="s">
        <v>97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0"/>
      <c r="P193" s="680"/>
      <c r="Q193" s="680"/>
      <c r="R193" s="680"/>
      <c r="S193" s="680"/>
      <c r="T193" s="680"/>
      <c r="U193" s="680"/>
      <c r="V193" s="680"/>
      <c r="W193" s="680"/>
      <c r="X193" s="680"/>
      <c r="Y193" s="680"/>
      <c r="Z193" s="680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7">
        <v>4680115881402</v>
      </c>
      <c r="E194" s="678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9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5"/>
      <c r="R194" s="675"/>
      <c r="S194" s="675"/>
      <c r="T194" s="676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7">
        <v>4680115881396</v>
      </c>
      <c r="E195" s="678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9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5"/>
      <c r="R195" s="675"/>
      <c r="S195" s="675"/>
      <c r="T195" s="676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97"/>
      <c r="B196" s="680"/>
      <c r="C196" s="680"/>
      <c r="D196" s="680"/>
      <c r="E196" s="680"/>
      <c r="F196" s="680"/>
      <c r="G196" s="680"/>
      <c r="H196" s="680"/>
      <c r="I196" s="680"/>
      <c r="J196" s="680"/>
      <c r="K196" s="680"/>
      <c r="L196" s="680"/>
      <c r="M196" s="680"/>
      <c r="N196" s="680"/>
      <c r="O196" s="698"/>
      <c r="P196" s="699" t="s">
        <v>87</v>
      </c>
      <c r="Q196" s="700"/>
      <c r="R196" s="700"/>
      <c r="S196" s="700"/>
      <c r="T196" s="700"/>
      <c r="U196" s="700"/>
      <c r="V196" s="701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80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98"/>
      <c r="P197" s="699" t="s">
        <v>87</v>
      </c>
      <c r="Q197" s="700"/>
      <c r="R197" s="700"/>
      <c r="S197" s="700"/>
      <c r="T197" s="700"/>
      <c r="U197" s="700"/>
      <c r="V197" s="701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79" t="s">
        <v>133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7">
        <v>4680115882935</v>
      </c>
      <c r="E199" s="678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5"/>
      <c r="R199" s="675"/>
      <c r="S199" s="675"/>
      <c r="T199" s="676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7">
        <v>4680115880764</v>
      </c>
      <c r="E200" s="678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7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5"/>
      <c r="R200" s="675"/>
      <c r="S200" s="675"/>
      <c r="T200" s="676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97"/>
      <c r="B201" s="680"/>
      <c r="C201" s="680"/>
      <c r="D201" s="680"/>
      <c r="E201" s="680"/>
      <c r="F201" s="680"/>
      <c r="G201" s="680"/>
      <c r="H201" s="680"/>
      <c r="I201" s="680"/>
      <c r="J201" s="680"/>
      <c r="K201" s="680"/>
      <c r="L201" s="680"/>
      <c r="M201" s="680"/>
      <c r="N201" s="680"/>
      <c r="O201" s="698"/>
      <c r="P201" s="699" t="s">
        <v>87</v>
      </c>
      <c r="Q201" s="700"/>
      <c r="R201" s="700"/>
      <c r="S201" s="700"/>
      <c r="T201" s="700"/>
      <c r="U201" s="700"/>
      <c r="V201" s="701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80"/>
      <c r="B202" s="680"/>
      <c r="C202" s="680"/>
      <c r="D202" s="680"/>
      <c r="E202" s="680"/>
      <c r="F202" s="680"/>
      <c r="G202" s="680"/>
      <c r="H202" s="680"/>
      <c r="I202" s="680"/>
      <c r="J202" s="680"/>
      <c r="K202" s="680"/>
      <c r="L202" s="680"/>
      <c r="M202" s="680"/>
      <c r="N202" s="680"/>
      <c r="O202" s="698"/>
      <c r="P202" s="699" t="s">
        <v>87</v>
      </c>
      <c r="Q202" s="700"/>
      <c r="R202" s="700"/>
      <c r="S202" s="700"/>
      <c r="T202" s="700"/>
      <c r="U202" s="700"/>
      <c r="V202" s="701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79" t="s">
        <v>144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7">
        <v>4680115882683</v>
      </c>
      <c r="E204" s="678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5"/>
      <c r="R204" s="675"/>
      <c r="S204" s="675"/>
      <c r="T204" s="676"/>
      <c r="U204" s="34"/>
      <c r="V204" s="34"/>
      <c r="W204" s="35" t="s">
        <v>68</v>
      </c>
      <c r="X204" s="667">
        <v>108</v>
      </c>
      <c r="Y204" s="668">
        <f t="shared" ref="Y204:Y211" si="31">IFERROR(IF(X204="",0,CEILING((X204/$H204),1)*$H204),"")</f>
        <v>108</v>
      </c>
      <c r="Z204" s="36">
        <f>IFERROR(IF(Y204=0,"",ROUNDUP(Y204/H204,0)*0.00902),"")</f>
        <v>0.1804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112.19999999999999</v>
      </c>
      <c r="BN204" s="64">
        <f t="shared" ref="BN204:BN211" si="33">IFERROR(Y204*I204/H204,"0")</f>
        <v>112.19999999999999</v>
      </c>
      <c r="BO204" s="64">
        <f t="shared" ref="BO204:BO211" si="34">IFERROR(1/J204*(X204/H204),"0")</f>
        <v>0.15151515151515152</v>
      </c>
      <c r="BP204" s="64">
        <f t="shared" ref="BP204:BP211" si="35">IFERROR(1/J204*(Y204/H204),"0")</f>
        <v>0.15151515151515152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7">
        <v>4680115882690</v>
      </c>
      <c r="E205" s="678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9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5"/>
      <c r="R205" s="675"/>
      <c r="S205" s="675"/>
      <c r="T205" s="676"/>
      <c r="U205" s="34"/>
      <c r="V205" s="34"/>
      <c r="W205" s="35" t="s">
        <v>68</v>
      </c>
      <c r="X205" s="667">
        <v>86</v>
      </c>
      <c r="Y205" s="668">
        <f t="shared" si="31"/>
        <v>86.4</v>
      </c>
      <c r="Z205" s="36">
        <f>IFERROR(IF(Y205=0,"",ROUNDUP(Y205/H205,0)*0.00902),"")</f>
        <v>0.14432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89.344444444444449</v>
      </c>
      <c r="BN205" s="64">
        <f t="shared" si="33"/>
        <v>89.76</v>
      </c>
      <c r="BO205" s="64">
        <f t="shared" si="34"/>
        <v>0.12065095398428732</v>
      </c>
      <c r="BP205" s="64">
        <f t="shared" si="35"/>
        <v>0.12121212121212122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7">
        <v>4680115882669</v>
      </c>
      <c r="E206" s="678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5"/>
      <c r="R206" s="675"/>
      <c r="S206" s="675"/>
      <c r="T206" s="676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7">
        <v>4680115882676</v>
      </c>
      <c r="E207" s="678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5"/>
      <c r="R207" s="675"/>
      <c r="S207" s="675"/>
      <c r="T207" s="676"/>
      <c r="U207" s="34"/>
      <c r="V207" s="34"/>
      <c r="W207" s="35" t="s">
        <v>68</v>
      </c>
      <c r="X207" s="667">
        <v>104</v>
      </c>
      <c r="Y207" s="668">
        <f t="shared" si="31"/>
        <v>108</v>
      </c>
      <c r="Z207" s="36">
        <f>IFERROR(IF(Y207=0,"",ROUNDUP(Y207/H207,0)*0.00902),"")</f>
        <v>0.1804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108.04444444444445</v>
      </c>
      <c r="BN207" s="64">
        <f t="shared" si="33"/>
        <v>112.19999999999999</v>
      </c>
      <c r="BO207" s="64">
        <f t="shared" si="34"/>
        <v>0.14590347923681257</v>
      </c>
      <c r="BP207" s="64">
        <f t="shared" si="35"/>
        <v>0.15151515151515152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7">
        <v>4680115884014</v>
      </c>
      <c r="E208" s="678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5"/>
      <c r="R208" s="675"/>
      <c r="S208" s="675"/>
      <c r="T208" s="676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7">
        <v>4680115884007</v>
      </c>
      <c r="E209" s="678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10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5"/>
      <c r="R209" s="675"/>
      <c r="S209" s="675"/>
      <c r="T209" s="676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7">
        <v>4680115884038</v>
      </c>
      <c r="E210" s="678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9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5"/>
      <c r="R210" s="675"/>
      <c r="S210" s="675"/>
      <c r="T210" s="676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7">
        <v>4680115884021</v>
      </c>
      <c r="E211" s="678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5"/>
      <c r="R211" s="675"/>
      <c r="S211" s="675"/>
      <c r="T211" s="676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97"/>
      <c r="B212" s="680"/>
      <c r="C212" s="680"/>
      <c r="D212" s="680"/>
      <c r="E212" s="680"/>
      <c r="F212" s="680"/>
      <c r="G212" s="680"/>
      <c r="H212" s="680"/>
      <c r="I212" s="680"/>
      <c r="J212" s="680"/>
      <c r="K212" s="680"/>
      <c r="L212" s="680"/>
      <c r="M212" s="680"/>
      <c r="N212" s="680"/>
      <c r="O212" s="698"/>
      <c r="P212" s="699" t="s">
        <v>87</v>
      </c>
      <c r="Q212" s="700"/>
      <c r="R212" s="700"/>
      <c r="S212" s="700"/>
      <c r="T212" s="700"/>
      <c r="U212" s="700"/>
      <c r="V212" s="701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55.185185185185183</v>
      </c>
      <c r="Y212" s="669">
        <f>IFERROR(Y204/H204,"0")+IFERROR(Y205/H205,"0")+IFERROR(Y206/H206,"0")+IFERROR(Y207/H207,"0")+IFERROR(Y208/H208,"0")+IFERROR(Y209/H209,"0")+IFERROR(Y210/H210,"0")+IFERROR(Y211/H211,"0")</f>
        <v>56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0.50512000000000001</v>
      </c>
      <c r="AA212" s="670"/>
      <c r="AB212" s="670"/>
      <c r="AC212" s="670"/>
    </row>
    <row r="213" spans="1:68" x14ac:dyDescent="0.2">
      <c r="A213" s="680"/>
      <c r="B213" s="680"/>
      <c r="C213" s="680"/>
      <c r="D213" s="680"/>
      <c r="E213" s="680"/>
      <c r="F213" s="680"/>
      <c r="G213" s="680"/>
      <c r="H213" s="680"/>
      <c r="I213" s="680"/>
      <c r="J213" s="680"/>
      <c r="K213" s="680"/>
      <c r="L213" s="680"/>
      <c r="M213" s="680"/>
      <c r="N213" s="680"/>
      <c r="O213" s="698"/>
      <c r="P213" s="699" t="s">
        <v>87</v>
      </c>
      <c r="Q213" s="700"/>
      <c r="R213" s="700"/>
      <c r="S213" s="700"/>
      <c r="T213" s="700"/>
      <c r="U213" s="700"/>
      <c r="V213" s="701"/>
      <c r="W213" s="37" t="s">
        <v>68</v>
      </c>
      <c r="X213" s="669">
        <f>IFERROR(SUM(X204:X211),"0")</f>
        <v>298</v>
      </c>
      <c r="Y213" s="669">
        <f>IFERROR(SUM(Y204:Y211),"0")</f>
        <v>302.39999999999998</v>
      </c>
      <c r="Z213" s="37"/>
      <c r="AA213" s="670"/>
      <c r="AB213" s="670"/>
      <c r="AC213" s="670"/>
    </row>
    <row r="214" spans="1:68" ht="14.25" customHeight="1" x14ac:dyDescent="0.25">
      <c r="A214" s="679" t="s">
        <v>63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0"/>
      <c r="S214" s="680"/>
      <c r="T214" s="680"/>
      <c r="U214" s="680"/>
      <c r="V214" s="680"/>
      <c r="W214" s="680"/>
      <c r="X214" s="680"/>
      <c r="Y214" s="680"/>
      <c r="Z214" s="680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7">
        <v>4680115881594</v>
      </c>
      <c r="E215" s="678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10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5"/>
      <c r="R215" s="675"/>
      <c r="S215" s="675"/>
      <c r="T215" s="676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7">
        <v>4680115881617</v>
      </c>
      <c r="E216" s="678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5"/>
      <c r="R216" s="675"/>
      <c r="S216" s="675"/>
      <c r="T216" s="676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7">
        <v>4680115880573</v>
      </c>
      <c r="E217" s="678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8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5"/>
      <c r="R217" s="675"/>
      <c r="S217" s="675"/>
      <c r="T217" s="676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7">
        <v>4680115882195</v>
      </c>
      <c r="E218" s="678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5"/>
      <c r="R218" s="675"/>
      <c r="S218" s="675"/>
      <c r="T218" s="676"/>
      <c r="U218" s="34"/>
      <c r="V218" s="34"/>
      <c r="W218" s="35" t="s">
        <v>68</v>
      </c>
      <c r="X218" s="667">
        <v>72</v>
      </c>
      <c r="Y218" s="668">
        <f t="shared" si="36"/>
        <v>72</v>
      </c>
      <c r="Z218" s="36">
        <f t="shared" ref="Z218:Z223" si="41">IFERROR(IF(Y218=0,"",ROUNDUP(Y218/H218,0)*0.00651),"")</f>
        <v>0.1953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80.100000000000009</v>
      </c>
      <c r="BN218" s="64">
        <f t="shared" si="38"/>
        <v>80.100000000000009</v>
      </c>
      <c r="BO218" s="64">
        <f t="shared" si="39"/>
        <v>0.16483516483516486</v>
      </c>
      <c r="BP218" s="64">
        <f t="shared" si="40"/>
        <v>0.16483516483516486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7">
        <v>4680115882607</v>
      </c>
      <c r="E219" s="678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9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5"/>
      <c r="R219" s="675"/>
      <c r="S219" s="675"/>
      <c r="T219" s="676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7">
        <v>4680115880092</v>
      </c>
      <c r="E220" s="678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10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5"/>
      <c r="R220" s="675"/>
      <c r="S220" s="675"/>
      <c r="T220" s="676"/>
      <c r="U220" s="34"/>
      <c r="V220" s="34"/>
      <c r="W220" s="35" t="s">
        <v>68</v>
      </c>
      <c r="X220" s="667">
        <v>263</v>
      </c>
      <c r="Y220" s="668">
        <f t="shared" si="36"/>
        <v>264</v>
      </c>
      <c r="Z220" s="36">
        <f t="shared" si="41"/>
        <v>0.71610000000000007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290.61500000000001</v>
      </c>
      <c r="BN220" s="64">
        <f t="shared" si="38"/>
        <v>291.72000000000003</v>
      </c>
      <c r="BO220" s="64">
        <f t="shared" si="39"/>
        <v>0.60210622710622719</v>
      </c>
      <c r="BP220" s="64">
        <f t="shared" si="40"/>
        <v>0.60439560439560447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7">
        <v>4680115880221</v>
      </c>
      <c r="E221" s="678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5"/>
      <c r="R221" s="675"/>
      <c r="S221" s="675"/>
      <c r="T221" s="676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7">
        <v>4680115880504</v>
      </c>
      <c r="E222" s="678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5"/>
      <c r="R222" s="675"/>
      <c r="S222" s="675"/>
      <c r="T222" s="676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7">
        <v>4680115882164</v>
      </c>
      <c r="E223" s="678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9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5"/>
      <c r="R223" s="675"/>
      <c r="S223" s="675"/>
      <c r="T223" s="676"/>
      <c r="U223" s="34"/>
      <c r="V223" s="34"/>
      <c r="W223" s="35" t="s">
        <v>68</v>
      </c>
      <c r="X223" s="667">
        <v>61</v>
      </c>
      <c r="Y223" s="668">
        <f t="shared" si="36"/>
        <v>62.4</v>
      </c>
      <c r="Z223" s="36">
        <f t="shared" si="41"/>
        <v>0.16925999999999999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67.557500000000005</v>
      </c>
      <c r="BN223" s="64">
        <f t="shared" si="38"/>
        <v>69.108000000000004</v>
      </c>
      <c r="BO223" s="64">
        <f t="shared" si="39"/>
        <v>0.13965201465201468</v>
      </c>
      <c r="BP223" s="64">
        <f t="shared" si="40"/>
        <v>0.14285714285714288</v>
      </c>
    </row>
    <row r="224" spans="1:68" x14ac:dyDescent="0.2">
      <c r="A224" s="697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98"/>
      <c r="P224" s="699" t="s">
        <v>87</v>
      </c>
      <c r="Q224" s="700"/>
      <c r="R224" s="700"/>
      <c r="S224" s="700"/>
      <c r="T224" s="700"/>
      <c r="U224" s="700"/>
      <c r="V224" s="701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165</v>
      </c>
      <c r="Y224" s="669">
        <f>IFERROR(Y215/H215,"0")+IFERROR(Y216/H216,"0")+IFERROR(Y217/H217,"0")+IFERROR(Y218/H218,"0")+IFERROR(Y219/H219,"0")+IFERROR(Y220/H220,"0")+IFERROR(Y221/H221,"0")+IFERROR(Y222/H222,"0")+IFERROR(Y223/H223,"0")</f>
        <v>166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1.0806600000000002</v>
      </c>
      <c r="AA224" s="670"/>
      <c r="AB224" s="670"/>
      <c r="AC224" s="670"/>
    </row>
    <row r="225" spans="1:68" x14ac:dyDescent="0.2">
      <c r="A225" s="680"/>
      <c r="B225" s="680"/>
      <c r="C225" s="680"/>
      <c r="D225" s="680"/>
      <c r="E225" s="680"/>
      <c r="F225" s="680"/>
      <c r="G225" s="680"/>
      <c r="H225" s="680"/>
      <c r="I225" s="680"/>
      <c r="J225" s="680"/>
      <c r="K225" s="680"/>
      <c r="L225" s="680"/>
      <c r="M225" s="680"/>
      <c r="N225" s="680"/>
      <c r="O225" s="698"/>
      <c r="P225" s="699" t="s">
        <v>87</v>
      </c>
      <c r="Q225" s="700"/>
      <c r="R225" s="700"/>
      <c r="S225" s="700"/>
      <c r="T225" s="700"/>
      <c r="U225" s="700"/>
      <c r="V225" s="701"/>
      <c r="W225" s="37" t="s">
        <v>68</v>
      </c>
      <c r="X225" s="669">
        <f>IFERROR(SUM(X215:X223),"0")</f>
        <v>396</v>
      </c>
      <c r="Y225" s="669">
        <f>IFERROR(SUM(Y215:Y223),"0")</f>
        <v>398.4</v>
      </c>
      <c r="Z225" s="37"/>
      <c r="AA225" s="670"/>
      <c r="AB225" s="670"/>
      <c r="AC225" s="670"/>
    </row>
    <row r="226" spans="1:68" ht="14.25" customHeight="1" x14ac:dyDescent="0.25">
      <c r="A226" s="679" t="s">
        <v>170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0"/>
      <c r="P226" s="680"/>
      <c r="Q226" s="680"/>
      <c r="R226" s="680"/>
      <c r="S226" s="680"/>
      <c r="T226" s="680"/>
      <c r="U226" s="680"/>
      <c r="V226" s="680"/>
      <c r="W226" s="680"/>
      <c r="X226" s="680"/>
      <c r="Y226" s="680"/>
      <c r="Z226" s="680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7">
        <v>4680115880818</v>
      </c>
      <c r="E227" s="678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5"/>
      <c r="R227" s="675"/>
      <c r="S227" s="675"/>
      <c r="T227" s="676"/>
      <c r="U227" s="34"/>
      <c r="V227" s="34"/>
      <c r="W227" s="35" t="s">
        <v>68</v>
      </c>
      <c r="X227" s="667">
        <v>6</v>
      </c>
      <c r="Y227" s="668">
        <f>IFERROR(IF(X227="",0,CEILING((X227/$H227),1)*$H227),"")</f>
        <v>7.1999999999999993</v>
      </c>
      <c r="Z227" s="36">
        <f>IFERROR(IF(Y227=0,"",ROUNDUP(Y227/H227,0)*0.00651),"")</f>
        <v>1.9529999999999999E-2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6.6300000000000008</v>
      </c>
      <c r="BN227" s="64">
        <f>IFERROR(Y227*I227/H227,"0")</f>
        <v>7.9560000000000004</v>
      </c>
      <c r="BO227" s="64">
        <f>IFERROR(1/J227*(X227/H227),"0")</f>
        <v>1.3736263736263738E-2</v>
      </c>
      <c r="BP227" s="64">
        <f>IFERROR(1/J227*(Y227/H227),"0")</f>
        <v>1.6483516483516484E-2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7">
        <v>4680115880801</v>
      </c>
      <c r="E228" s="678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7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5"/>
      <c r="R228" s="675"/>
      <c r="S228" s="675"/>
      <c r="T228" s="676"/>
      <c r="U228" s="34"/>
      <c r="V228" s="34"/>
      <c r="W228" s="35" t="s">
        <v>68</v>
      </c>
      <c r="X228" s="667">
        <v>11</v>
      </c>
      <c r="Y228" s="668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12.155000000000001</v>
      </c>
      <c r="BN228" s="64">
        <f>IFERROR(Y228*I228/H228,"0")</f>
        <v>13.260000000000002</v>
      </c>
      <c r="BO228" s="64">
        <f>IFERROR(1/J228*(X228/H228),"0")</f>
        <v>2.5183150183150187E-2</v>
      </c>
      <c r="BP228" s="64">
        <f>IFERROR(1/J228*(Y228/H228),"0")</f>
        <v>2.7472527472527476E-2</v>
      </c>
    </row>
    <row r="229" spans="1:68" x14ac:dyDescent="0.2">
      <c r="A229" s="697"/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98"/>
      <c r="P229" s="699" t="s">
        <v>87</v>
      </c>
      <c r="Q229" s="700"/>
      <c r="R229" s="700"/>
      <c r="S229" s="700"/>
      <c r="T229" s="700"/>
      <c r="U229" s="700"/>
      <c r="V229" s="701"/>
      <c r="W229" s="37" t="s">
        <v>88</v>
      </c>
      <c r="X229" s="669">
        <f>IFERROR(X227/H227,"0")+IFERROR(X228/H228,"0")</f>
        <v>7.0833333333333339</v>
      </c>
      <c r="Y229" s="669">
        <f>IFERROR(Y227/H227,"0")+IFERROR(Y228/H228,"0")</f>
        <v>8</v>
      </c>
      <c r="Z229" s="669">
        <f>IFERROR(IF(Z227="",0,Z227),"0")+IFERROR(IF(Z228="",0,Z228),"0")</f>
        <v>5.2080000000000001E-2</v>
      </c>
      <c r="AA229" s="670"/>
      <c r="AB229" s="670"/>
      <c r="AC229" s="670"/>
    </row>
    <row r="230" spans="1:68" x14ac:dyDescent="0.2">
      <c r="A230" s="680"/>
      <c r="B230" s="680"/>
      <c r="C230" s="680"/>
      <c r="D230" s="680"/>
      <c r="E230" s="680"/>
      <c r="F230" s="680"/>
      <c r="G230" s="680"/>
      <c r="H230" s="680"/>
      <c r="I230" s="680"/>
      <c r="J230" s="680"/>
      <c r="K230" s="680"/>
      <c r="L230" s="680"/>
      <c r="M230" s="680"/>
      <c r="N230" s="680"/>
      <c r="O230" s="698"/>
      <c r="P230" s="699" t="s">
        <v>87</v>
      </c>
      <c r="Q230" s="700"/>
      <c r="R230" s="700"/>
      <c r="S230" s="700"/>
      <c r="T230" s="700"/>
      <c r="U230" s="700"/>
      <c r="V230" s="701"/>
      <c r="W230" s="37" t="s">
        <v>68</v>
      </c>
      <c r="X230" s="669">
        <f>IFERROR(SUM(X227:X228),"0")</f>
        <v>17</v>
      </c>
      <c r="Y230" s="669">
        <f>IFERROR(SUM(Y227:Y228),"0")</f>
        <v>19.2</v>
      </c>
      <c r="Z230" s="37"/>
      <c r="AA230" s="670"/>
      <c r="AB230" s="670"/>
      <c r="AC230" s="670"/>
    </row>
    <row r="231" spans="1:68" ht="16.5" customHeight="1" x14ac:dyDescent="0.25">
      <c r="A231" s="706" t="s">
        <v>387</v>
      </c>
      <c r="B231" s="680"/>
      <c r="C231" s="680"/>
      <c r="D231" s="680"/>
      <c r="E231" s="680"/>
      <c r="F231" s="680"/>
      <c r="G231" s="680"/>
      <c r="H231" s="680"/>
      <c r="I231" s="680"/>
      <c r="J231" s="680"/>
      <c r="K231" s="680"/>
      <c r="L231" s="680"/>
      <c r="M231" s="680"/>
      <c r="N231" s="680"/>
      <c r="O231" s="680"/>
      <c r="P231" s="680"/>
      <c r="Q231" s="680"/>
      <c r="R231" s="680"/>
      <c r="S231" s="680"/>
      <c r="T231" s="680"/>
      <c r="U231" s="680"/>
      <c r="V231" s="680"/>
      <c r="W231" s="680"/>
      <c r="X231" s="680"/>
      <c r="Y231" s="680"/>
      <c r="Z231" s="680"/>
      <c r="AA231" s="662"/>
      <c r="AB231" s="662"/>
      <c r="AC231" s="662"/>
    </row>
    <row r="232" spans="1:68" ht="14.25" customHeight="1" x14ac:dyDescent="0.25">
      <c r="A232" s="679" t="s">
        <v>97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7">
        <v>4680115884137</v>
      </c>
      <c r="E233" s="678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5"/>
      <c r="R233" s="675"/>
      <c r="S233" s="675"/>
      <c r="T233" s="676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7">
        <v>4680115884137</v>
      </c>
      <c r="E234" s="678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101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5"/>
      <c r="R234" s="675"/>
      <c r="S234" s="675"/>
      <c r="T234" s="676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7">
        <v>4680115884236</v>
      </c>
      <c r="E235" s="678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5"/>
      <c r="R235" s="675"/>
      <c r="S235" s="675"/>
      <c r="T235" s="676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7">
        <v>4680115884175</v>
      </c>
      <c r="E236" s="678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10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5"/>
      <c r="R236" s="675"/>
      <c r="S236" s="675"/>
      <c r="T236" s="676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7">
        <v>4680115884175</v>
      </c>
      <c r="E237" s="678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1024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5"/>
      <c r="R237" s="675"/>
      <c r="S237" s="675"/>
      <c r="T237" s="676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7">
        <v>4680115884144</v>
      </c>
      <c r="E238" s="678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5"/>
      <c r="R238" s="675"/>
      <c r="S238" s="675"/>
      <c r="T238" s="676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7">
        <v>4680115884182</v>
      </c>
      <c r="E239" s="678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9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5"/>
      <c r="R239" s="675"/>
      <c r="S239" s="675"/>
      <c r="T239" s="676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7">
        <v>4680115884205</v>
      </c>
      <c r="E240" s="678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10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5"/>
      <c r="R240" s="675"/>
      <c r="S240" s="675"/>
      <c r="T240" s="676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97"/>
      <c r="B241" s="680"/>
      <c r="C241" s="680"/>
      <c r="D241" s="680"/>
      <c r="E241" s="680"/>
      <c r="F241" s="680"/>
      <c r="G241" s="680"/>
      <c r="H241" s="680"/>
      <c r="I241" s="680"/>
      <c r="J241" s="680"/>
      <c r="K241" s="680"/>
      <c r="L241" s="680"/>
      <c r="M241" s="680"/>
      <c r="N241" s="680"/>
      <c r="O241" s="698"/>
      <c r="P241" s="699" t="s">
        <v>87</v>
      </c>
      <c r="Q241" s="700"/>
      <c r="R241" s="700"/>
      <c r="S241" s="700"/>
      <c r="T241" s="700"/>
      <c r="U241" s="700"/>
      <c r="V241" s="701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80"/>
      <c r="B242" s="680"/>
      <c r="C242" s="680"/>
      <c r="D242" s="680"/>
      <c r="E242" s="680"/>
      <c r="F242" s="680"/>
      <c r="G242" s="680"/>
      <c r="H242" s="680"/>
      <c r="I242" s="680"/>
      <c r="J242" s="680"/>
      <c r="K242" s="680"/>
      <c r="L242" s="680"/>
      <c r="M242" s="680"/>
      <c r="N242" s="680"/>
      <c r="O242" s="698"/>
      <c r="P242" s="699" t="s">
        <v>87</v>
      </c>
      <c r="Q242" s="700"/>
      <c r="R242" s="700"/>
      <c r="S242" s="700"/>
      <c r="T242" s="700"/>
      <c r="U242" s="700"/>
      <c r="V242" s="701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79" t="s">
        <v>133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7">
        <v>4680115885981</v>
      </c>
      <c r="E244" s="678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1053" t="s">
        <v>409</v>
      </c>
      <c r="Q244" s="675"/>
      <c r="R244" s="675"/>
      <c r="S244" s="675"/>
      <c r="T244" s="676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7">
        <v>4680115885721</v>
      </c>
      <c r="E245" s="678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5"/>
      <c r="R245" s="675"/>
      <c r="S245" s="675"/>
      <c r="T245" s="676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97"/>
      <c r="B246" s="680"/>
      <c r="C246" s="680"/>
      <c r="D246" s="680"/>
      <c r="E246" s="680"/>
      <c r="F246" s="680"/>
      <c r="G246" s="680"/>
      <c r="H246" s="680"/>
      <c r="I246" s="680"/>
      <c r="J246" s="680"/>
      <c r="K246" s="680"/>
      <c r="L246" s="680"/>
      <c r="M246" s="680"/>
      <c r="N246" s="680"/>
      <c r="O246" s="698"/>
      <c r="P246" s="699" t="s">
        <v>87</v>
      </c>
      <c r="Q246" s="700"/>
      <c r="R246" s="700"/>
      <c r="S246" s="700"/>
      <c r="T246" s="700"/>
      <c r="U246" s="700"/>
      <c r="V246" s="701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98"/>
      <c r="P247" s="699" t="s">
        <v>87</v>
      </c>
      <c r="Q247" s="700"/>
      <c r="R247" s="700"/>
      <c r="S247" s="700"/>
      <c r="T247" s="700"/>
      <c r="U247" s="700"/>
      <c r="V247" s="701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79" t="s">
        <v>412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7">
        <v>4680115886803</v>
      </c>
      <c r="E249" s="678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1034" t="s">
        <v>415</v>
      </c>
      <c r="Q249" s="675"/>
      <c r="R249" s="675"/>
      <c r="S249" s="675"/>
      <c r="T249" s="676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97"/>
      <c r="B250" s="680"/>
      <c r="C250" s="680"/>
      <c r="D250" s="680"/>
      <c r="E250" s="680"/>
      <c r="F250" s="680"/>
      <c r="G250" s="680"/>
      <c r="H250" s="680"/>
      <c r="I250" s="680"/>
      <c r="J250" s="680"/>
      <c r="K250" s="680"/>
      <c r="L250" s="680"/>
      <c r="M250" s="680"/>
      <c r="N250" s="680"/>
      <c r="O250" s="698"/>
      <c r="P250" s="699" t="s">
        <v>87</v>
      </c>
      <c r="Q250" s="700"/>
      <c r="R250" s="700"/>
      <c r="S250" s="700"/>
      <c r="T250" s="700"/>
      <c r="U250" s="700"/>
      <c r="V250" s="701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98"/>
      <c r="P251" s="699" t="s">
        <v>87</v>
      </c>
      <c r="Q251" s="700"/>
      <c r="R251" s="700"/>
      <c r="S251" s="700"/>
      <c r="T251" s="700"/>
      <c r="U251" s="700"/>
      <c r="V251" s="701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79" t="s">
        <v>417</v>
      </c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0"/>
      <c r="P252" s="680"/>
      <c r="Q252" s="680"/>
      <c r="R252" s="680"/>
      <c r="S252" s="680"/>
      <c r="T252" s="680"/>
      <c r="U252" s="680"/>
      <c r="V252" s="680"/>
      <c r="W252" s="680"/>
      <c r="X252" s="680"/>
      <c r="Y252" s="680"/>
      <c r="Z252" s="680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7">
        <v>4680115886704</v>
      </c>
      <c r="E253" s="678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754" t="s">
        <v>420</v>
      </c>
      <c r="Q253" s="675"/>
      <c r="R253" s="675"/>
      <c r="S253" s="675"/>
      <c r="T253" s="676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7">
        <v>4680115886735</v>
      </c>
      <c r="E254" s="678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840" t="s">
        <v>424</v>
      </c>
      <c r="Q254" s="675"/>
      <c r="R254" s="675"/>
      <c r="S254" s="675"/>
      <c r="T254" s="676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7">
        <v>4680115886728</v>
      </c>
      <c r="E255" s="678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976" t="s">
        <v>427</v>
      </c>
      <c r="Q255" s="675"/>
      <c r="R255" s="675"/>
      <c r="S255" s="675"/>
      <c r="T255" s="676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7">
        <v>4680115886711</v>
      </c>
      <c r="E256" s="678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844" t="s">
        <v>430</v>
      </c>
      <c r="Q256" s="675"/>
      <c r="R256" s="675"/>
      <c r="S256" s="675"/>
      <c r="T256" s="676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7">
        <v>4680115886681</v>
      </c>
      <c r="E257" s="678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830" t="s">
        <v>433</v>
      </c>
      <c r="Q257" s="675"/>
      <c r="R257" s="675"/>
      <c r="S257" s="675"/>
      <c r="T257" s="676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97"/>
      <c r="B258" s="680"/>
      <c r="C258" s="680"/>
      <c r="D258" s="680"/>
      <c r="E258" s="680"/>
      <c r="F258" s="680"/>
      <c r="G258" s="680"/>
      <c r="H258" s="680"/>
      <c r="I258" s="680"/>
      <c r="J258" s="680"/>
      <c r="K258" s="680"/>
      <c r="L258" s="680"/>
      <c r="M258" s="680"/>
      <c r="N258" s="680"/>
      <c r="O258" s="698"/>
      <c r="P258" s="699" t="s">
        <v>87</v>
      </c>
      <c r="Q258" s="700"/>
      <c r="R258" s="700"/>
      <c r="S258" s="700"/>
      <c r="T258" s="700"/>
      <c r="U258" s="700"/>
      <c r="V258" s="701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80"/>
      <c r="B259" s="680"/>
      <c r="C259" s="680"/>
      <c r="D259" s="680"/>
      <c r="E259" s="680"/>
      <c r="F259" s="680"/>
      <c r="G259" s="680"/>
      <c r="H259" s="680"/>
      <c r="I259" s="680"/>
      <c r="J259" s="680"/>
      <c r="K259" s="680"/>
      <c r="L259" s="680"/>
      <c r="M259" s="680"/>
      <c r="N259" s="680"/>
      <c r="O259" s="698"/>
      <c r="P259" s="699" t="s">
        <v>87</v>
      </c>
      <c r="Q259" s="700"/>
      <c r="R259" s="700"/>
      <c r="S259" s="700"/>
      <c r="T259" s="700"/>
      <c r="U259" s="700"/>
      <c r="V259" s="701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706" t="s">
        <v>434</v>
      </c>
      <c r="B260" s="680"/>
      <c r="C260" s="680"/>
      <c r="D260" s="680"/>
      <c r="E260" s="680"/>
      <c r="F260" s="680"/>
      <c r="G260" s="680"/>
      <c r="H260" s="680"/>
      <c r="I260" s="680"/>
      <c r="J260" s="680"/>
      <c r="K260" s="680"/>
      <c r="L260" s="680"/>
      <c r="M260" s="680"/>
      <c r="N260" s="680"/>
      <c r="O260" s="680"/>
      <c r="P260" s="680"/>
      <c r="Q260" s="680"/>
      <c r="R260" s="680"/>
      <c r="S260" s="680"/>
      <c r="T260" s="680"/>
      <c r="U260" s="680"/>
      <c r="V260" s="680"/>
      <c r="W260" s="680"/>
      <c r="X260" s="680"/>
      <c r="Y260" s="680"/>
      <c r="Z260" s="680"/>
      <c r="AA260" s="662"/>
      <c r="AB260" s="662"/>
      <c r="AC260" s="662"/>
    </row>
    <row r="261" spans="1:68" ht="14.25" customHeight="1" x14ac:dyDescent="0.25">
      <c r="A261" s="679" t="s">
        <v>97</v>
      </c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0"/>
      <c r="P261" s="680"/>
      <c r="Q261" s="680"/>
      <c r="R261" s="680"/>
      <c r="S261" s="680"/>
      <c r="T261" s="680"/>
      <c r="U261" s="680"/>
      <c r="V261" s="680"/>
      <c r="W261" s="680"/>
      <c r="X261" s="680"/>
      <c r="Y261" s="680"/>
      <c r="Z261" s="680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7">
        <v>4680115885837</v>
      </c>
      <c r="E262" s="678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5"/>
      <c r="R262" s="675"/>
      <c r="S262" s="675"/>
      <c r="T262" s="676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7">
        <v>4680115885806</v>
      </c>
      <c r="E263" s="678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5"/>
      <c r="R263" s="675"/>
      <c r="S263" s="675"/>
      <c r="T263" s="676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7">
        <v>4680115885806</v>
      </c>
      <c r="E264" s="678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5"/>
      <c r="R264" s="675"/>
      <c r="S264" s="675"/>
      <c r="T264" s="676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7">
        <v>4680115885851</v>
      </c>
      <c r="E265" s="678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10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5"/>
      <c r="R265" s="675"/>
      <c r="S265" s="675"/>
      <c r="T265" s="676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7">
        <v>4680115885844</v>
      </c>
      <c r="E266" s="678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5"/>
      <c r="R266" s="675"/>
      <c r="S266" s="675"/>
      <c r="T266" s="676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7">
        <v>4680115885820</v>
      </c>
      <c r="E267" s="678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5"/>
      <c r="R267" s="675"/>
      <c r="S267" s="675"/>
      <c r="T267" s="676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97"/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98"/>
      <c r="P268" s="699" t="s">
        <v>87</v>
      </c>
      <c r="Q268" s="700"/>
      <c r="R268" s="700"/>
      <c r="S268" s="700"/>
      <c r="T268" s="700"/>
      <c r="U268" s="700"/>
      <c r="V268" s="701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80"/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98"/>
      <c r="P269" s="699" t="s">
        <v>87</v>
      </c>
      <c r="Q269" s="700"/>
      <c r="R269" s="700"/>
      <c r="S269" s="700"/>
      <c r="T269" s="700"/>
      <c r="U269" s="700"/>
      <c r="V269" s="701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706" t="s">
        <v>452</v>
      </c>
      <c r="B270" s="680"/>
      <c r="C270" s="680"/>
      <c r="D270" s="680"/>
      <c r="E270" s="680"/>
      <c r="F270" s="680"/>
      <c r="G270" s="680"/>
      <c r="H270" s="680"/>
      <c r="I270" s="680"/>
      <c r="J270" s="680"/>
      <c r="K270" s="680"/>
      <c r="L270" s="680"/>
      <c r="M270" s="680"/>
      <c r="N270" s="680"/>
      <c r="O270" s="680"/>
      <c r="P270" s="680"/>
      <c r="Q270" s="680"/>
      <c r="R270" s="680"/>
      <c r="S270" s="680"/>
      <c r="T270" s="680"/>
      <c r="U270" s="680"/>
      <c r="V270" s="680"/>
      <c r="W270" s="680"/>
      <c r="X270" s="680"/>
      <c r="Y270" s="680"/>
      <c r="Z270" s="680"/>
      <c r="AA270" s="662"/>
      <c r="AB270" s="662"/>
      <c r="AC270" s="662"/>
    </row>
    <row r="271" spans="1:68" ht="14.25" customHeight="1" x14ac:dyDescent="0.25">
      <c r="A271" s="679" t="s">
        <v>97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0"/>
      <c r="N271" s="680"/>
      <c r="O271" s="680"/>
      <c r="P271" s="680"/>
      <c r="Q271" s="680"/>
      <c r="R271" s="680"/>
      <c r="S271" s="680"/>
      <c r="T271" s="680"/>
      <c r="U271" s="680"/>
      <c r="V271" s="680"/>
      <c r="W271" s="680"/>
      <c r="X271" s="680"/>
      <c r="Y271" s="680"/>
      <c r="Z271" s="680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7">
        <v>4680115885707</v>
      </c>
      <c r="E272" s="678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97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5"/>
      <c r="R272" s="675"/>
      <c r="S272" s="675"/>
      <c r="T272" s="676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97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98"/>
      <c r="P273" s="699" t="s">
        <v>87</v>
      </c>
      <c r="Q273" s="700"/>
      <c r="R273" s="700"/>
      <c r="S273" s="700"/>
      <c r="T273" s="700"/>
      <c r="U273" s="700"/>
      <c r="V273" s="701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98"/>
      <c r="P274" s="699" t="s">
        <v>87</v>
      </c>
      <c r="Q274" s="700"/>
      <c r="R274" s="700"/>
      <c r="S274" s="700"/>
      <c r="T274" s="700"/>
      <c r="U274" s="700"/>
      <c r="V274" s="701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706" t="s">
        <v>456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2"/>
      <c r="AB275" s="662"/>
      <c r="AC275" s="662"/>
    </row>
    <row r="276" spans="1:68" ht="14.25" customHeight="1" x14ac:dyDescent="0.25">
      <c r="A276" s="679" t="s">
        <v>97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7">
        <v>4607091383423</v>
      </c>
      <c r="E277" s="678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9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5"/>
      <c r="R277" s="675"/>
      <c r="S277" s="675"/>
      <c r="T277" s="676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7">
        <v>4680115885691</v>
      </c>
      <c r="E278" s="678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7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5"/>
      <c r="R278" s="675"/>
      <c r="S278" s="675"/>
      <c r="T278" s="676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7">
        <v>4680115885660</v>
      </c>
      <c r="E279" s="678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5"/>
      <c r="R279" s="675"/>
      <c r="S279" s="675"/>
      <c r="T279" s="676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7">
        <v>4680115886773</v>
      </c>
      <c r="E280" s="678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943" t="s">
        <v>467</v>
      </c>
      <c r="Q280" s="675"/>
      <c r="R280" s="675"/>
      <c r="S280" s="675"/>
      <c r="T280" s="676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97"/>
      <c r="B281" s="680"/>
      <c r="C281" s="680"/>
      <c r="D281" s="680"/>
      <c r="E281" s="680"/>
      <c r="F281" s="680"/>
      <c r="G281" s="680"/>
      <c r="H281" s="680"/>
      <c r="I281" s="680"/>
      <c r="J281" s="680"/>
      <c r="K281" s="680"/>
      <c r="L281" s="680"/>
      <c r="M281" s="680"/>
      <c r="N281" s="680"/>
      <c r="O281" s="698"/>
      <c r="P281" s="699" t="s">
        <v>87</v>
      </c>
      <c r="Q281" s="700"/>
      <c r="R281" s="700"/>
      <c r="S281" s="700"/>
      <c r="T281" s="700"/>
      <c r="U281" s="700"/>
      <c r="V281" s="701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98"/>
      <c r="P282" s="699" t="s">
        <v>87</v>
      </c>
      <c r="Q282" s="700"/>
      <c r="R282" s="700"/>
      <c r="S282" s="700"/>
      <c r="T282" s="700"/>
      <c r="U282" s="700"/>
      <c r="V282" s="701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706" t="s">
        <v>469</v>
      </c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0"/>
      <c r="P283" s="680"/>
      <c r="Q283" s="680"/>
      <c r="R283" s="680"/>
      <c r="S283" s="680"/>
      <c r="T283" s="680"/>
      <c r="U283" s="680"/>
      <c r="V283" s="680"/>
      <c r="W283" s="680"/>
      <c r="X283" s="680"/>
      <c r="Y283" s="680"/>
      <c r="Z283" s="680"/>
      <c r="AA283" s="662"/>
      <c r="AB283" s="662"/>
      <c r="AC283" s="662"/>
    </row>
    <row r="284" spans="1:68" ht="14.25" customHeight="1" x14ac:dyDescent="0.25">
      <c r="A284" s="679" t="s">
        <v>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7">
        <v>4680115881037</v>
      </c>
      <c r="E285" s="678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92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5"/>
      <c r="R285" s="675"/>
      <c r="S285" s="675"/>
      <c r="T285" s="676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7">
        <v>4680115886186</v>
      </c>
      <c r="E286" s="678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9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5"/>
      <c r="R286" s="675"/>
      <c r="S286" s="675"/>
      <c r="T286" s="676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7">
        <v>4680115881228</v>
      </c>
      <c r="E287" s="678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9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5"/>
      <c r="R287" s="675"/>
      <c r="S287" s="675"/>
      <c r="T287" s="676"/>
      <c r="U287" s="34"/>
      <c r="V287" s="34"/>
      <c r="W287" s="35" t="s">
        <v>68</v>
      </c>
      <c r="X287" s="667">
        <v>21</v>
      </c>
      <c r="Y287" s="668">
        <f>IFERROR(IF(X287="",0,CEILING((X287/$H287),1)*$H287),"")</f>
        <v>21.599999999999998</v>
      </c>
      <c r="Z287" s="36">
        <f>IFERROR(IF(Y287=0,"",ROUNDUP(Y287/H287,0)*0.00651),"")</f>
        <v>5.8590000000000003E-2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23.205000000000002</v>
      </c>
      <c r="BN287" s="64">
        <f>IFERROR(Y287*I287/H287,"0")</f>
        <v>23.868000000000002</v>
      </c>
      <c r="BO287" s="64">
        <f>IFERROR(1/J287*(X287/H287),"0")</f>
        <v>4.807692307692308E-2</v>
      </c>
      <c r="BP287" s="64">
        <f>IFERROR(1/J287*(Y287/H287),"0")</f>
        <v>4.9450549450549455E-2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7">
        <v>4680115881211</v>
      </c>
      <c r="E288" s="678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72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5"/>
      <c r="R288" s="675"/>
      <c r="S288" s="675"/>
      <c r="T288" s="676"/>
      <c r="U288" s="34"/>
      <c r="V288" s="34"/>
      <c r="W288" s="35" t="s">
        <v>68</v>
      </c>
      <c r="X288" s="667">
        <v>22</v>
      </c>
      <c r="Y288" s="668">
        <f>IFERROR(IF(X288="",0,CEILING((X288/$H288),1)*$H288),"")</f>
        <v>24</v>
      </c>
      <c r="Z288" s="36">
        <f>IFERROR(IF(Y288=0,"",ROUNDUP(Y288/H288,0)*0.00651),"")</f>
        <v>6.5100000000000005E-2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23.650000000000002</v>
      </c>
      <c r="BN288" s="64">
        <f>IFERROR(Y288*I288/H288,"0")</f>
        <v>25.8</v>
      </c>
      <c r="BO288" s="64">
        <f>IFERROR(1/J288*(X288/H288),"0")</f>
        <v>5.0366300366300375E-2</v>
      </c>
      <c r="BP288" s="64">
        <f>IFERROR(1/J288*(Y288/H288),"0")</f>
        <v>5.4945054945054951E-2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7">
        <v>4680115881020</v>
      </c>
      <c r="E289" s="678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92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5"/>
      <c r="R289" s="675"/>
      <c r="S289" s="675"/>
      <c r="T289" s="676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97"/>
      <c r="B290" s="680"/>
      <c r="C290" s="680"/>
      <c r="D290" s="680"/>
      <c r="E290" s="680"/>
      <c r="F290" s="680"/>
      <c r="G290" s="680"/>
      <c r="H290" s="680"/>
      <c r="I290" s="680"/>
      <c r="J290" s="680"/>
      <c r="K290" s="680"/>
      <c r="L290" s="680"/>
      <c r="M290" s="680"/>
      <c r="N290" s="680"/>
      <c r="O290" s="698"/>
      <c r="P290" s="699" t="s">
        <v>87</v>
      </c>
      <c r="Q290" s="700"/>
      <c r="R290" s="700"/>
      <c r="S290" s="700"/>
      <c r="T290" s="700"/>
      <c r="U290" s="700"/>
      <c r="V290" s="701"/>
      <c r="W290" s="37" t="s">
        <v>88</v>
      </c>
      <c r="X290" s="669">
        <f>IFERROR(X285/H285,"0")+IFERROR(X286/H286,"0")+IFERROR(X287/H287,"0")+IFERROR(X288/H288,"0")+IFERROR(X289/H289,"0")</f>
        <v>17.916666666666668</v>
      </c>
      <c r="Y290" s="669">
        <f>IFERROR(Y285/H285,"0")+IFERROR(Y286/H286,"0")+IFERROR(Y287/H287,"0")+IFERROR(Y288/H288,"0")+IFERROR(Y289/H289,"0")</f>
        <v>19</v>
      </c>
      <c r="Z290" s="669">
        <f>IFERROR(IF(Z285="",0,Z285),"0")+IFERROR(IF(Z286="",0,Z286),"0")+IFERROR(IF(Z287="",0,Z287),"0")+IFERROR(IF(Z288="",0,Z288),"0")+IFERROR(IF(Z289="",0,Z289),"0")</f>
        <v>0.12369000000000001</v>
      </c>
      <c r="AA290" s="670"/>
      <c r="AB290" s="670"/>
      <c r="AC290" s="670"/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98"/>
      <c r="P291" s="699" t="s">
        <v>87</v>
      </c>
      <c r="Q291" s="700"/>
      <c r="R291" s="700"/>
      <c r="S291" s="700"/>
      <c r="T291" s="700"/>
      <c r="U291" s="700"/>
      <c r="V291" s="701"/>
      <c r="W291" s="37" t="s">
        <v>68</v>
      </c>
      <c r="X291" s="669">
        <f>IFERROR(SUM(X285:X289),"0")</f>
        <v>43</v>
      </c>
      <c r="Y291" s="669">
        <f>IFERROR(SUM(Y285:Y289),"0")</f>
        <v>45.599999999999994</v>
      </c>
      <c r="Z291" s="37"/>
      <c r="AA291" s="670"/>
      <c r="AB291" s="670"/>
      <c r="AC291" s="670"/>
    </row>
    <row r="292" spans="1:68" ht="16.5" customHeight="1" x14ac:dyDescent="0.25">
      <c r="A292" s="706" t="s">
        <v>483</v>
      </c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0"/>
      <c r="P292" s="680"/>
      <c r="Q292" s="680"/>
      <c r="R292" s="680"/>
      <c r="S292" s="680"/>
      <c r="T292" s="680"/>
      <c r="U292" s="680"/>
      <c r="V292" s="680"/>
      <c r="W292" s="680"/>
      <c r="X292" s="680"/>
      <c r="Y292" s="680"/>
      <c r="Z292" s="680"/>
      <c r="AA292" s="662"/>
      <c r="AB292" s="662"/>
      <c r="AC292" s="662"/>
    </row>
    <row r="293" spans="1:68" ht="14.25" customHeight="1" x14ac:dyDescent="0.25">
      <c r="A293" s="679" t="s">
        <v>97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7">
        <v>4607091389296</v>
      </c>
      <c r="E294" s="678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1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5"/>
      <c r="R294" s="675"/>
      <c r="S294" s="675"/>
      <c r="T294" s="676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97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98"/>
      <c r="P295" s="699" t="s">
        <v>87</v>
      </c>
      <c r="Q295" s="700"/>
      <c r="R295" s="700"/>
      <c r="S295" s="700"/>
      <c r="T295" s="700"/>
      <c r="U295" s="700"/>
      <c r="V295" s="701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98"/>
      <c r="P296" s="699" t="s">
        <v>87</v>
      </c>
      <c r="Q296" s="700"/>
      <c r="R296" s="700"/>
      <c r="S296" s="700"/>
      <c r="T296" s="700"/>
      <c r="U296" s="700"/>
      <c r="V296" s="701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79" t="s">
        <v>144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7">
        <v>4680115880344</v>
      </c>
      <c r="E298" s="678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5"/>
      <c r="R298" s="675"/>
      <c r="S298" s="675"/>
      <c r="T298" s="676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97"/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98"/>
      <c r="P299" s="699" t="s">
        <v>87</v>
      </c>
      <c r="Q299" s="700"/>
      <c r="R299" s="700"/>
      <c r="S299" s="700"/>
      <c r="T299" s="700"/>
      <c r="U299" s="700"/>
      <c r="V299" s="701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98"/>
      <c r="P300" s="699" t="s">
        <v>87</v>
      </c>
      <c r="Q300" s="700"/>
      <c r="R300" s="700"/>
      <c r="S300" s="700"/>
      <c r="T300" s="700"/>
      <c r="U300" s="700"/>
      <c r="V300" s="701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79" t="s">
        <v>63</v>
      </c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0"/>
      <c r="P301" s="680"/>
      <c r="Q301" s="680"/>
      <c r="R301" s="680"/>
      <c r="S301" s="680"/>
      <c r="T301" s="680"/>
      <c r="U301" s="680"/>
      <c r="V301" s="680"/>
      <c r="W301" s="680"/>
      <c r="X301" s="680"/>
      <c r="Y301" s="680"/>
      <c r="Z301" s="680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7">
        <v>4680115884618</v>
      </c>
      <c r="E302" s="678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10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5"/>
      <c r="R302" s="675"/>
      <c r="S302" s="675"/>
      <c r="T302" s="676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97"/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98"/>
      <c r="P303" s="699" t="s">
        <v>87</v>
      </c>
      <c r="Q303" s="700"/>
      <c r="R303" s="700"/>
      <c r="S303" s="700"/>
      <c r="T303" s="700"/>
      <c r="U303" s="700"/>
      <c r="V303" s="701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80"/>
      <c r="B304" s="680"/>
      <c r="C304" s="680"/>
      <c r="D304" s="680"/>
      <c r="E304" s="680"/>
      <c r="F304" s="680"/>
      <c r="G304" s="680"/>
      <c r="H304" s="680"/>
      <c r="I304" s="680"/>
      <c r="J304" s="680"/>
      <c r="K304" s="680"/>
      <c r="L304" s="680"/>
      <c r="M304" s="680"/>
      <c r="N304" s="680"/>
      <c r="O304" s="698"/>
      <c r="P304" s="699" t="s">
        <v>87</v>
      </c>
      <c r="Q304" s="700"/>
      <c r="R304" s="700"/>
      <c r="S304" s="700"/>
      <c r="T304" s="700"/>
      <c r="U304" s="700"/>
      <c r="V304" s="701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706" t="s">
        <v>493</v>
      </c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0"/>
      <c r="P305" s="680"/>
      <c r="Q305" s="680"/>
      <c r="R305" s="680"/>
      <c r="S305" s="680"/>
      <c r="T305" s="680"/>
      <c r="U305" s="680"/>
      <c r="V305" s="680"/>
      <c r="W305" s="680"/>
      <c r="X305" s="680"/>
      <c r="Y305" s="680"/>
      <c r="Z305" s="680"/>
      <c r="AA305" s="662"/>
      <c r="AB305" s="662"/>
      <c r="AC305" s="662"/>
    </row>
    <row r="306" spans="1:68" ht="14.25" customHeight="1" x14ac:dyDescent="0.25">
      <c r="A306" s="679" t="s">
        <v>63</v>
      </c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0"/>
      <c r="P306" s="680"/>
      <c r="Q306" s="680"/>
      <c r="R306" s="680"/>
      <c r="S306" s="680"/>
      <c r="T306" s="680"/>
      <c r="U306" s="680"/>
      <c r="V306" s="680"/>
      <c r="W306" s="680"/>
      <c r="X306" s="680"/>
      <c r="Y306" s="680"/>
      <c r="Z306" s="680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7">
        <v>4680115880511</v>
      </c>
      <c r="E307" s="678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6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5"/>
      <c r="R307" s="675"/>
      <c r="S307" s="675"/>
      <c r="T307" s="676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97"/>
      <c r="B308" s="680"/>
      <c r="C308" s="680"/>
      <c r="D308" s="680"/>
      <c r="E308" s="680"/>
      <c r="F308" s="680"/>
      <c r="G308" s="680"/>
      <c r="H308" s="680"/>
      <c r="I308" s="680"/>
      <c r="J308" s="680"/>
      <c r="K308" s="680"/>
      <c r="L308" s="680"/>
      <c r="M308" s="680"/>
      <c r="N308" s="680"/>
      <c r="O308" s="698"/>
      <c r="P308" s="699" t="s">
        <v>87</v>
      </c>
      <c r="Q308" s="700"/>
      <c r="R308" s="700"/>
      <c r="S308" s="700"/>
      <c r="T308" s="700"/>
      <c r="U308" s="700"/>
      <c r="V308" s="701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80"/>
      <c r="B309" s="680"/>
      <c r="C309" s="680"/>
      <c r="D309" s="680"/>
      <c r="E309" s="680"/>
      <c r="F309" s="680"/>
      <c r="G309" s="680"/>
      <c r="H309" s="680"/>
      <c r="I309" s="680"/>
      <c r="J309" s="680"/>
      <c r="K309" s="680"/>
      <c r="L309" s="680"/>
      <c r="M309" s="680"/>
      <c r="N309" s="680"/>
      <c r="O309" s="698"/>
      <c r="P309" s="699" t="s">
        <v>87</v>
      </c>
      <c r="Q309" s="700"/>
      <c r="R309" s="700"/>
      <c r="S309" s="700"/>
      <c r="T309" s="700"/>
      <c r="U309" s="700"/>
      <c r="V309" s="701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706" t="s">
        <v>497</v>
      </c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0"/>
      <c r="P310" s="680"/>
      <c r="Q310" s="680"/>
      <c r="R310" s="680"/>
      <c r="S310" s="680"/>
      <c r="T310" s="680"/>
      <c r="U310" s="680"/>
      <c r="V310" s="680"/>
      <c r="W310" s="680"/>
      <c r="X310" s="680"/>
      <c r="Y310" s="680"/>
      <c r="Z310" s="680"/>
      <c r="AA310" s="662"/>
      <c r="AB310" s="662"/>
      <c r="AC310" s="662"/>
    </row>
    <row r="311" spans="1:68" ht="14.25" customHeight="1" x14ac:dyDescent="0.25">
      <c r="A311" s="679" t="s">
        <v>97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0"/>
      <c r="P311" s="680"/>
      <c r="Q311" s="680"/>
      <c r="R311" s="680"/>
      <c r="S311" s="680"/>
      <c r="T311" s="680"/>
      <c r="U311" s="680"/>
      <c r="V311" s="680"/>
      <c r="W311" s="680"/>
      <c r="X311" s="680"/>
      <c r="Y311" s="680"/>
      <c r="Z311" s="680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7">
        <v>4680115883413</v>
      </c>
      <c r="E312" s="678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9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5"/>
      <c r="R312" s="675"/>
      <c r="S312" s="675"/>
      <c r="T312" s="676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97"/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98"/>
      <c r="P313" s="699" t="s">
        <v>87</v>
      </c>
      <c r="Q313" s="700"/>
      <c r="R313" s="700"/>
      <c r="S313" s="700"/>
      <c r="T313" s="700"/>
      <c r="U313" s="700"/>
      <c r="V313" s="701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80"/>
      <c r="B314" s="680"/>
      <c r="C314" s="680"/>
      <c r="D314" s="680"/>
      <c r="E314" s="680"/>
      <c r="F314" s="680"/>
      <c r="G314" s="680"/>
      <c r="H314" s="680"/>
      <c r="I314" s="680"/>
      <c r="J314" s="680"/>
      <c r="K314" s="680"/>
      <c r="L314" s="680"/>
      <c r="M314" s="680"/>
      <c r="N314" s="680"/>
      <c r="O314" s="698"/>
      <c r="P314" s="699" t="s">
        <v>87</v>
      </c>
      <c r="Q314" s="700"/>
      <c r="R314" s="700"/>
      <c r="S314" s="700"/>
      <c r="T314" s="700"/>
      <c r="U314" s="700"/>
      <c r="V314" s="701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79" t="s">
        <v>144</v>
      </c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0"/>
      <c r="P315" s="680"/>
      <c r="Q315" s="680"/>
      <c r="R315" s="680"/>
      <c r="S315" s="680"/>
      <c r="T315" s="680"/>
      <c r="U315" s="680"/>
      <c r="V315" s="680"/>
      <c r="W315" s="680"/>
      <c r="X315" s="680"/>
      <c r="Y315" s="680"/>
      <c r="Z315" s="680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7">
        <v>4607091389845</v>
      </c>
      <c r="E316" s="678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103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5"/>
      <c r="R316" s="675"/>
      <c r="S316" s="675"/>
      <c r="T316" s="676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7">
        <v>4680115882881</v>
      </c>
      <c r="E317" s="678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73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5"/>
      <c r="R317" s="675"/>
      <c r="S317" s="675"/>
      <c r="T317" s="676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97"/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98"/>
      <c r="P318" s="699" t="s">
        <v>87</v>
      </c>
      <c r="Q318" s="700"/>
      <c r="R318" s="700"/>
      <c r="S318" s="700"/>
      <c r="T318" s="700"/>
      <c r="U318" s="700"/>
      <c r="V318" s="701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80"/>
      <c r="B319" s="680"/>
      <c r="C319" s="680"/>
      <c r="D319" s="680"/>
      <c r="E319" s="680"/>
      <c r="F319" s="680"/>
      <c r="G319" s="680"/>
      <c r="H319" s="680"/>
      <c r="I319" s="680"/>
      <c r="J319" s="680"/>
      <c r="K319" s="680"/>
      <c r="L319" s="680"/>
      <c r="M319" s="680"/>
      <c r="N319" s="680"/>
      <c r="O319" s="698"/>
      <c r="P319" s="699" t="s">
        <v>87</v>
      </c>
      <c r="Q319" s="700"/>
      <c r="R319" s="700"/>
      <c r="S319" s="700"/>
      <c r="T319" s="700"/>
      <c r="U319" s="700"/>
      <c r="V319" s="701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706" t="s">
        <v>505</v>
      </c>
      <c r="B320" s="680"/>
      <c r="C320" s="680"/>
      <c r="D320" s="680"/>
      <c r="E320" s="680"/>
      <c r="F320" s="680"/>
      <c r="G320" s="680"/>
      <c r="H320" s="680"/>
      <c r="I320" s="680"/>
      <c r="J320" s="680"/>
      <c r="K320" s="680"/>
      <c r="L320" s="680"/>
      <c r="M320" s="680"/>
      <c r="N320" s="680"/>
      <c r="O320" s="680"/>
      <c r="P320" s="680"/>
      <c r="Q320" s="680"/>
      <c r="R320" s="680"/>
      <c r="S320" s="680"/>
      <c r="T320" s="680"/>
      <c r="U320" s="680"/>
      <c r="V320" s="680"/>
      <c r="W320" s="680"/>
      <c r="X320" s="680"/>
      <c r="Y320" s="680"/>
      <c r="Z320" s="680"/>
      <c r="AA320" s="662"/>
      <c r="AB320" s="662"/>
      <c r="AC320" s="662"/>
    </row>
    <row r="321" spans="1:68" ht="14.25" customHeight="1" x14ac:dyDescent="0.25">
      <c r="A321" s="679" t="s">
        <v>97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7">
        <v>4680115883703</v>
      </c>
      <c r="E322" s="678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85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5"/>
      <c r="R322" s="675"/>
      <c r="S322" s="675"/>
      <c r="T322" s="676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97"/>
      <c r="B323" s="680"/>
      <c r="C323" s="680"/>
      <c r="D323" s="680"/>
      <c r="E323" s="680"/>
      <c r="F323" s="680"/>
      <c r="G323" s="680"/>
      <c r="H323" s="680"/>
      <c r="I323" s="680"/>
      <c r="J323" s="680"/>
      <c r="K323" s="680"/>
      <c r="L323" s="680"/>
      <c r="M323" s="680"/>
      <c r="N323" s="680"/>
      <c r="O323" s="698"/>
      <c r="P323" s="699" t="s">
        <v>87</v>
      </c>
      <c r="Q323" s="700"/>
      <c r="R323" s="700"/>
      <c r="S323" s="700"/>
      <c r="T323" s="700"/>
      <c r="U323" s="700"/>
      <c r="V323" s="701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80"/>
      <c r="B324" s="680"/>
      <c r="C324" s="680"/>
      <c r="D324" s="680"/>
      <c r="E324" s="680"/>
      <c r="F324" s="680"/>
      <c r="G324" s="680"/>
      <c r="H324" s="680"/>
      <c r="I324" s="680"/>
      <c r="J324" s="680"/>
      <c r="K324" s="680"/>
      <c r="L324" s="680"/>
      <c r="M324" s="680"/>
      <c r="N324" s="680"/>
      <c r="O324" s="698"/>
      <c r="P324" s="699" t="s">
        <v>87</v>
      </c>
      <c r="Q324" s="700"/>
      <c r="R324" s="700"/>
      <c r="S324" s="700"/>
      <c r="T324" s="700"/>
      <c r="U324" s="700"/>
      <c r="V324" s="701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706" t="s">
        <v>510</v>
      </c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0"/>
      <c r="P325" s="680"/>
      <c r="Q325" s="680"/>
      <c r="R325" s="680"/>
      <c r="S325" s="680"/>
      <c r="T325" s="680"/>
      <c r="U325" s="680"/>
      <c r="V325" s="680"/>
      <c r="W325" s="680"/>
      <c r="X325" s="680"/>
      <c r="Y325" s="680"/>
      <c r="Z325" s="680"/>
      <c r="AA325" s="662"/>
      <c r="AB325" s="662"/>
      <c r="AC325" s="662"/>
    </row>
    <row r="326" spans="1:68" ht="14.25" customHeight="1" x14ac:dyDescent="0.25">
      <c r="A326" s="679" t="s">
        <v>97</v>
      </c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0"/>
      <c r="P326" s="680"/>
      <c r="Q326" s="680"/>
      <c r="R326" s="680"/>
      <c r="S326" s="680"/>
      <c r="T326" s="680"/>
      <c r="U326" s="680"/>
      <c r="V326" s="680"/>
      <c r="W326" s="680"/>
      <c r="X326" s="680"/>
      <c r="Y326" s="680"/>
      <c r="Z326" s="680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7">
        <v>4680115885615</v>
      </c>
      <c r="E327" s="678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85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5"/>
      <c r="R327" s="675"/>
      <c r="S327" s="675"/>
      <c r="T327" s="676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7">
        <v>4680115885554</v>
      </c>
      <c r="E328" s="678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10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5"/>
      <c r="R328" s="675"/>
      <c r="S328" s="675"/>
      <c r="T328" s="676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7">
        <v>4680115885554</v>
      </c>
      <c r="E329" s="678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100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5"/>
      <c r="R329" s="675"/>
      <c r="S329" s="675"/>
      <c r="T329" s="676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7">
        <v>4680115885646</v>
      </c>
      <c r="E330" s="678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8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5"/>
      <c r="R330" s="675"/>
      <c r="S330" s="675"/>
      <c r="T330" s="676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7">
        <v>4680115885622</v>
      </c>
      <c r="E331" s="678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100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5"/>
      <c r="R331" s="675"/>
      <c r="S331" s="675"/>
      <c r="T331" s="676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7">
        <v>4680115885608</v>
      </c>
      <c r="E332" s="678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5"/>
      <c r="R332" s="675"/>
      <c r="S332" s="675"/>
      <c r="T332" s="676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97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98"/>
      <c r="P333" s="699" t="s">
        <v>87</v>
      </c>
      <c r="Q333" s="700"/>
      <c r="R333" s="700"/>
      <c r="S333" s="700"/>
      <c r="T333" s="700"/>
      <c r="U333" s="700"/>
      <c r="V333" s="701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80"/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98"/>
      <c r="P334" s="699" t="s">
        <v>87</v>
      </c>
      <c r="Q334" s="700"/>
      <c r="R334" s="700"/>
      <c r="S334" s="700"/>
      <c r="T334" s="700"/>
      <c r="U334" s="700"/>
      <c r="V334" s="701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79" t="s">
        <v>144</v>
      </c>
      <c r="B335" s="680"/>
      <c r="C335" s="680"/>
      <c r="D335" s="680"/>
      <c r="E335" s="680"/>
      <c r="F335" s="680"/>
      <c r="G335" s="680"/>
      <c r="H335" s="680"/>
      <c r="I335" s="680"/>
      <c r="J335" s="680"/>
      <c r="K335" s="680"/>
      <c r="L335" s="680"/>
      <c r="M335" s="680"/>
      <c r="N335" s="680"/>
      <c r="O335" s="680"/>
      <c r="P335" s="680"/>
      <c r="Q335" s="680"/>
      <c r="R335" s="680"/>
      <c r="S335" s="680"/>
      <c r="T335" s="680"/>
      <c r="U335" s="680"/>
      <c r="V335" s="680"/>
      <c r="W335" s="680"/>
      <c r="X335" s="680"/>
      <c r="Y335" s="680"/>
      <c r="Z335" s="680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7">
        <v>4607091387193</v>
      </c>
      <c r="E336" s="678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5"/>
      <c r="R336" s="675"/>
      <c r="S336" s="675"/>
      <c r="T336" s="676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7">
        <v>4607091387230</v>
      </c>
      <c r="E337" s="678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9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5"/>
      <c r="R337" s="675"/>
      <c r="S337" s="675"/>
      <c r="T337" s="676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7">
        <v>4607091387292</v>
      </c>
      <c r="E338" s="678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5"/>
      <c r="R338" s="675"/>
      <c r="S338" s="675"/>
      <c r="T338" s="676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7">
        <v>4607091387285</v>
      </c>
      <c r="E339" s="678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9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5"/>
      <c r="R339" s="675"/>
      <c r="S339" s="675"/>
      <c r="T339" s="676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97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98"/>
      <c r="P340" s="699" t="s">
        <v>87</v>
      </c>
      <c r="Q340" s="700"/>
      <c r="R340" s="700"/>
      <c r="S340" s="700"/>
      <c r="T340" s="700"/>
      <c r="U340" s="700"/>
      <c r="V340" s="701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98"/>
      <c r="P341" s="699" t="s">
        <v>87</v>
      </c>
      <c r="Q341" s="700"/>
      <c r="R341" s="700"/>
      <c r="S341" s="700"/>
      <c r="T341" s="700"/>
      <c r="U341" s="700"/>
      <c r="V341" s="701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79" t="s">
        <v>63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7">
        <v>4607091387766</v>
      </c>
      <c r="E343" s="678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8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5"/>
      <c r="R343" s="675"/>
      <c r="S343" s="675"/>
      <c r="T343" s="676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7">
        <v>4607091387957</v>
      </c>
      <c r="E344" s="678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5"/>
      <c r="R344" s="675"/>
      <c r="S344" s="675"/>
      <c r="T344" s="676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7">
        <v>4607091387964</v>
      </c>
      <c r="E345" s="678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5"/>
      <c r="R345" s="675"/>
      <c r="S345" s="675"/>
      <c r="T345" s="676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7">
        <v>4680115884588</v>
      </c>
      <c r="E346" s="678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5"/>
      <c r="R346" s="675"/>
      <c r="S346" s="675"/>
      <c r="T346" s="676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7">
        <v>4607091387513</v>
      </c>
      <c r="E347" s="678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76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5"/>
      <c r="R347" s="675"/>
      <c r="S347" s="675"/>
      <c r="T347" s="676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97"/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98"/>
      <c r="P348" s="699" t="s">
        <v>87</v>
      </c>
      <c r="Q348" s="700"/>
      <c r="R348" s="700"/>
      <c r="S348" s="700"/>
      <c r="T348" s="700"/>
      <c r="U348" s="700"/>
      <c r="V348" s="701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80"/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98"/>
      <c r="P349" s="699" t="s">
        <v>87</v>
      </c>
      <c r="Q349" s="700"/>
      <c r="R349" s="700"/>
      <c r="S349" s="700"/>
      <c r="T349" s="700"/>
      <c r="U349" s="700"/>
      <c r="V349" s="701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79" t="s">
        <v>170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7">
        <v>4607091380880</v>
      </c>
      <c r="E351" s="678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9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5"/>
      <c r="R351" s="675"/>
      <c r="S351" s="675"/>
      <c r="T351" s="676"/>
      <c r="U351" s="34"/>
      <c r="V351" s="34"/>
      <c r="W351" s="35" t="s">
        <v>68</v>
      </c>
      <c r="X351" s="667">
        <v>47</v>
      </c>
      <c r="Y351" s="668">
        <f>IFERROR(IF(X351="",0,CEILING((X351/$H351),1)*$H351),"")</f>
        <v>50.400000000000006</v>
      </c>
      <c r="Z351" s="36">
        <f>IFERROR(IF(Y351=0,"",ROUNDUP(Y351/H351,0)*0.01898),"")</f>
        <v>0.11388000000000001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49.903928571428573</v>
      </c>
      <c r="BN351" s="64">
        <f>IFERROR(Y351*I351/H351,"0")</f>
        <v>53.514000000000003</v>
      </c>
      <c r="BO351" s="64">
        <f>IFERROR(1/J351*(X351/H351),"0")</f>
        <v>8.7425595238095233E-2</v>
      </c>
      <c r="BP351" s="64">
        <f>IFERROR(1/J351*(Y351/H351),"0")</f>
        <v>9.375E-2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7">
        <v>4607091384482</v>
      </c>
      <c r="E352" s="678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5"/>
      <c r="R352" s="675"/>
      <c r="S352" s="675"/>
      <c r="T352" s="676"/>
      <c r="U352" s="34"/>
      <c r="V352" s="34"/>
      <c r="W352" s="35" t="s">
        <v>68</v>
      </c>
      <c r="X352" s="667">
        <v>69</v>
      </c>
      <c r="Y352" s="668">
        <f>IFERROR(IF(X352="",0,CEILING((X352/$H352),1)*$H352),"")</f>
        <v>70.2</v>
      </c>
      <c r="Z352" s="36">
        <f>IFERROR(IF(Y352=0,"",ROUNDUP(Y352/H352,0)*0.01898),"")</f>
        <v>0.17082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73.591153846153858</v>
      </c>
      <c r="BN352" s="64">
        <f>IFERROR(Y352*I352/H352,"0")</f>
        <v>74.871000000000009</v>
      </c>
      <c r="BO352" s="64">
        <f>IFERROR(1/J352*(X352/H352),"0")</f>
        <v>0.13822115384615385</v>
      </c>
      <c r="BP352" s="64">
        <f>IFERROR(1/J352*(Y352/H352),"0")</f>
        <v>0.140625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7">
        <v>4607091380897</v>
      </c>
      <c r="E353" s="678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5"/>
      <c r="R353" s="675"/>
      <c r="S353" s="675"/>
      <c r="T353" s="676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97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98"/>
      <c r="P354" s="699" t="s">
        <v>87</v>
      </c>
      <c r="Q354" s="700"/>
      <c r="R354" s="700"/>
      <c r="S354" s="700"/>
      <c r="T354" s="700"/>
      <c r="U354" s="700"/>
      <c r="V354" s="701"/>
      <c r="W354" s="37" t="s">
        <v>88</v>
      </c>
      <c r="X354" s="669">
        <f>IFERROR(X351/H351,"0")+IFERROR(X352/H352,"0")+IFERROR(X353/H353,"0")</f>
        <v>14.441391941391942</v>
      </c>
      <c r="Y354" s="669">
        <f>IFERROR(Y351/H351,"0")+IFERROR(Y352/H352,"0")+IFERROR(Y353/H353,"0")</f>
        <v>15</v>
      </c>
      <c r="Z354" s="669">
        <f>IFERROR(IF(Z351="",0,Z351),"0")+IFERROR(IF(Z352="",0,Z352),"0")+IFERROR(IF(Z353="",0,Z353),"0")</f>
        <v>0.28470000000000001</v>
      </c>
      <c r="AA354" s="670"/>
      <c r="AB354" s="670"/>
      <c r="AC354" s="670"/>
    </row>
    <row r="355" spans="1:68" x14ac:dyDescent="0.2">
      <c r="A355" s="680"/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98"/>
      <c r="P355" s="699" t="s">
        <v>87</v>
      </c>
      <c r="Q355" s="700"/>
      <c r="R355" s="700"/>
      <c r="S355" s="700"/>
      <c r="T355" s="700"/>
      <c r="U355" s="700"/>
      <c r="V355" s="701"/>
      <c r="W355" s="37" t="s">
        <v>68</v>
      </c>
      <c r="X355" s="669">
        <f>IFERROR(SUM(X351:X353),"0")</f>
        <v>116</v>
      </c>
      <c r="Y355" s="669">
        <f>IFERROR(SUM(Y351:Y353),"0")</f>
        <v>120.60000000000001</v>
      </c>
      <c r="Z355" s="37"/>
      <c r="AA355" s="670"/>
      <c r="AB355" s="670"/>
      <c r="AC355" s="670"/>
    </row>
    <row r="356" spans="1:68" ht="14.25" customHeight="1" x14ac:dyDescent="0.25">
      <c r="A356" s="679" t="s">
        <v>89</v>
      </c>
      <c r="B356" s="680"/>
      <c r="C356" s="680"/>
      <c r="D356" s="680"/>
      <c r="E356" s="680"/>
      <c r="F356" s="680"/>
      <c r="G356" s="680"/>
      <c r="H356" s="680"/>
      <c r="I356" s="680"/>
      <c r="J356" s="680"/>
      <c r="K356" s="680"/>
      <c r="L356" s="680"/>
      <c r="M356" s="680"/>
      <c r="N356" s="680"/>
      <c r="O356" s="680"/>
      <c r="P356" s="680"/>
      <c r="Q356" s="680"/>
      <c r="R356" s="680"/>
      <c r="S356" s="680"/>
      <c r="T356" s="680"/>
      <c r="U356" s="680"/>
      <c r="V356" s="680"/>
      <c r="W356" s="680"/>
      <c r="X356" s="680"/>
      <c r="Y356" s="680"/>
      <c r="Z356" s="680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7">
        <v>4680115886476</v>
      </c>
      <c r="E357" s="678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741" t="s">
        <v>564</v>
      </c>
      <c r="Q357" s="675"/>
      <c r="R357" s="675"/>
      <c r="S357" s="675"/>
      <c r="T357" s="676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7">
        <v>4607091388374</v>
      </c>
      <c r="E358" s="678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937" t="s">
        <v>568</v>
      </c>
      <c r="Q358" s="675"/>
      <c r="R358" s="675"/>
      <c r="S358" s="675"/>
      <c r="T358" s="676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7">
        <v>4607091383102</v>
      </c>
      <c r="E359" s="678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5"/>
      <c r="R359" s="675"/>
      <c r="S359" s="675"/>
      <c r="T359" s="676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7">
        <v>4607091388404</v>
      </c>
      <c r="E360" s="678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5"/>
      <c r="R360" s="675"/>
      <c r="S360" s="675"/>
      <c r="T360" s="676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97"/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98"/>
      <c r="P361" s="699" t="s">
        <v>87</v>
      </c>
      <c r="Q361" s="700"/>
      <c r="R361" s="700"/>
      <c r="S361" s="700"/>
      <c r="T361" s="700"/>
      <c r="U361" s="700"/>
      <c r="V361" s="701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80"/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98"/>
      <c r="P362" s="699" t="s">
        <v>87</v>
      </c>
      <c r="Q362" s="700"/>
      <c r="R362" s="700"/>
      <c r="S362" s="700"/>
      <c r="T362" s="700"/>
      <c r="U362" s="700"/>
      <c r="V362" s="701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79" t="s">
        <v>575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0"/>
      <c r="N363" s="680"/>
      <c r="O363" s="680"/>
      <c r="P363" s="680"/>
      <c r="Q363" s="680"/>
      <c r="R363" s="680"/>
      <c r="S363" s="680"/>
      <c r="T363" s="680"/>
      <c r="U363" s="680"/>
      <c r="V363" s="680"/>
      <c r="W363" s="680"/>
      <c r="X363" s="680"/>
      <c r="Y363" s="680"/>
      <c r="Z363" s="680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7">
        <v>4680115881808</v>
      </c>
      <c r="E364" s="678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7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5"/>
      <c r="R364" s="675"/>
      <c r="S364" s="675"/>
      <c r="T364" s="676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7">
        <v>4680115881822</v>
      </c>
      <c r="E365" s="678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5"/>
      <c r="R365" s="675"/>
      <c r="S365" s="675"/>
      <c r="T365" s="676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7">
        <v>4680115880016</v>
      </c>
      <c r="E366" s="678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10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5"/>
      <c r="R366" s="675"/>
      <c r="S366" s="675"/>
      <c r="T366" s="676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97"/>
      <c r="B367" s="680"/>
      <c r="C367" s="680"/>
      <c r="D367" s="680"/>
      <c r="E367" s="680"/>
      <c r="F367" s="680"/>
      <c r="G367" s="680"/>
      <c r="H367" s="680"/>
      <c r="I367" s="680"/>
      <c r="J367" s="680"/>
      <c r="K367" s="680"/>
      <c r="L367" s="680"/>
      <c r="M367" s="680"/>
      <c r="N367" s="680"/>
      <c r="O367" s="698"/>
      <c r="P367" s="699" t="s">
        <v>87</v>
      </c>
      <c r="Q367" s="700"/>
      <c r="R367" s="700"/>
      <c r="S367" s="700"/>
      <c r="T367" s="700"/>
      <c r="U367" s="700"/>
      <c r="V367" s="701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80"/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98"/>
      <c r="P368" s="699" t="s">
        <v>87</v>
      </c>
      <c r="Q368" s="700"/>
      <c r="R368" s="700"/>
      <c r="S368" s="700"/>
      <c r="T368" s="700"/>
      <c r="U368" s="700"/>
      <c r="V368" s="701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706" t="s">
        <v>584</v>
      </c>
      <c r="B369" s="680"/>
      <c r="C369" s="680"/>
      <c r="D369" s="680"/>
      <c r="E369" s="680"/>
      <c r="F369" s="680"/>
      <c r="G369" s="680"/>
      <c r="H369" s="680"/>
      <c r="I369" s="680"/>
      <c r="J369" s="680"/>
      <c r="K369" s="680"/>
      <c r="L369" s="680"/>
      <c r="M369" s="680"/>
      <c r="N369" s="680"/>
      <c r="O369" s="680"/>
      <c r="P369" s="680"/>
      <c r="Q369" s="680"/>
      <c r="R369" s="680"/>
      <c r="S369" s="680"/>
      <c r="T369" s="680"/>
      <c r="U369" s="680"/>
      <c r="V369" s="680"/>
      <c r="W369" s="680"/>
      <c r="X369" s="680"/>
      <c r="Y369" s="680"/>
      <c r="Z369" s="680"/>
      <c r="AA369" s="662"/>
      <c r="AB369" s="662"/>
      <c r="AC369" s="662"/>
    </row>
    <row r="370" spans="1:68" ht="14.25" customHeight="1" x14ac:dyDescent="0.25">
      <c r="A370" s="679" t="s">
        <v>144</v>
      </c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0"/>
      <c r="P370" s="680"/>
      <c r="Q370" s="680"/>
      <c r="R370" s="680"/>
      <c r="S370" s="680"/>
      <c r="T370" s="680"/>
      <c r="U370" s="680"/>
      <c r="V370" s="680"/>
      <c r="W370" s="680"/>
      <c r="X370" s="680"/>
      <c r="Y370" s="680"/>
      <c r="Z370" s="680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7">
        <v>4607091383836</v>
      </c>
      <c r="E371" s="678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93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5"/>
      <c r="R371" s="675"/>
      <c r="S371" s="675"/>
      <c r="T371" s="676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97"/>
      <c r="B372" s="680"/>
      <c r="C372" s="680"/>
      <c r="D372" s="680"/>
      <c r="E372" s="680"/>
      <c r="F372" s="680"/>
      <c r="G372" s="680"/>
      <c r="H372" s="680"/>
      <c r="I372" s="680"/>
      <c r="J372" s="680"/>
      <c r="K372" s="680"/>
      <c r="L372" s="680"/>
      <c r="M372" s="680"/>
      <c r="N372" s="680"/>
      <c r="O372" s="698"/>
      <c r="P372" s="699" t="s">
        <v>87</v>
      </c>
      <c r="Q372" s="700"/>
      <c r="R372" s="700"/>
      <c r="S372" s="700"/>
      <c r="T372" s="700"/>
      <c r="U372" s="700"/>
      <c r="V372" s="701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80"/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98"/>
      <c r="P373" s="699" t="s">
        <v>87</v>
      </c>
      <c r="Q373" s="700"/>
      <c r="R373" s="700"/>
      <c r="S373" s="700"/>
      <c r="T373" s="700"/>
      <c r="U373" s="700"/>
      <c r="V373" s="701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79" t="s">
        <v>63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7">
        <v>4607091387919</v>
      </c>
      <c r="E375" s="678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5"/>
      <c r="R375" s="675"/>
      <c r="S375" s="675"/>
      <c r="T375" s="676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7">
        <v>4680115883604</v>
      </c>
      <c r="E376" s="678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5"/>
      <c r="R376" s="675"/>
      <c r="S376" s="675"/>
      <c r="T376" s="676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7">
        <v>4680115883567</v>
      </c>
      <c r="E377" s="678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5"/>
      <c r="R377" s="675"/>
      <c r="S377" s="675"/>
      <c r="T377" s="676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97"/>
      <c r="B378" s="680"/>
      <c r="C378" s="680"/>
      <c r="D378" s="680"/>
      <c r="E378" s="680"/>
      <c r="F378" s="680"/>
      <c r="G378" s="680"/>
      <c r="H378" s="680"/>
      <c r="I378" s="680"/>
      <c r="J378" s="680"/>
      <c r="K378" s="680"/>
      <c r="L378" s="680"/>
      <c r="M378" s="680"/>
      <c r="N378" s="680"/>
      <c r="O378" s="698"/>
      <c r="P378" s="699" t="s">
        <v>87</v>
      </c>
      <c r="Q378" s="700"/>
      <c r="R378" s="700"/>
      <c r="S378" s="700"/>
      <c r="T378" s="700"/>
      <c r="U378" s="700"/>
      <c r="V378" s="701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80"/>
      <c r="B379" s="680"/>
      <c r="C379" s="680"/>
      <c r="D379" s="680"/>
      <c r="E379" s="680"/>
      <c r="F379" s="680"/>
      <c r="G379" s="680"/>
      <c r="H379" s="680"/>
      <c r="I379" s="680"/>
      <c r="J379" s="680"/>
      <c r="K379" s="680"/>
      <c r="L379" s="680"/>
      <c r="M379" s="680"/>
      <c r="N379" s="680"/>
      <c r="O379" s="698"/>
      <c r="P379" s="699" t="s">
        <v>87</v>
      </c>
      <c r="Q379" s="700"/>
      <c r="R379" s="700"/>
      <c r="S379" s="700"/>
      <c r="T379" s="700"/>
      <c r="U379" s="700"/>
      <c r="V379" s="701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836" t="s">
        <v>597</v>
      </c>
      <c r="B380" s="837"/>
      <c r="C380" s="837"/>
      <c r="D380" s="837"/>
      <c r="E380" s="837"/>
      <c r="F380" s="837"/>
      <c r="G380" s="837"/>
      <c r="H380" s="837"/>
      <c r="I380" s="837"/>
      <c r="J380" s="837"/>
      <c r="K380" s="837"/>
      <c r="L380" s="837"/>
      <c r="M380" s="837"/>
      <c r="N380" s="837"/>
      <c r="O380" s="837"/>
      <c r="P380" s="837"/>
      <c r="Q380" s="837"/>
      <c r="R380" s="837"/>
      <c r="S380" s="837"/>
      <c r="T380" s="837"/>
      <c r="U380" s="837"/>
      <c r="V380" s="837"/>
      <c r="W380" s="837"/>
      <c r="X380" s="837"/>
      <c r="Y380" s="837"/>
      <c r="Z380" s="837"/>
      <c r="AA380" s="48"/>
      <c r="AB380" s="48"/>
      <c r="AC380" s="48"/>
    </row>
    <row r="381" spans="1:68" ht="16.5" customHeight="1" x14ac:dyDescent="0.25">
      <c r="A381" s="706" t="s">
        <v>598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2"/>
      <c r="AB381" s="662"/>
      <c r="AC381" s="662"/>
    </row>
    <row r="382" spans="1:68" ht="14.25" customHeight="1" x14ac:dyDescent="0.25">
      <c r="A382" s="679" t="s">
        <v>97</v>
      </c>
      <c r="B382" s="680"/>
      <c r="C382" s="680"/>
      <c r="D382" s="680"/>
      <c r="E382" s="680"/>
      <c r="F382" s="680"/>
      <c r="G382" s="680"/>
      <c r="H382" s="680"/>
      <c r="I382" s="680"/>
      <c r="J382" s="680"/>
      <c r="K382" s="680"/>
      <c r="L382" s="680"/>
      <c r="M382" s="680"/>
      <c r="N382" s="680"/>
      <c r="O382" s="680"/>
      <c r="P382" s="680"/>
      <c r="Q382" s="680"/>
      <c r="R382" s="680"/>
      <c r="S382" s="680"/>
      <c r="T382" s="680"/>
      <c r="U382" s="680"/>
      <c r="V382" s="680"/>
      <c r="W382" s="680"/>
      <c r="X382" s="680"/>
      <c r="Y382" s="680"/>
      <c r="Z382" s="680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7">
        <v>4680115884847</v>
      </c>
      <c r="E383" s="678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5"/>
      <c r="R383" s="675"/>
      <c r="S383" s="675"/>
      <c r="T383" s="676"/>
      <c r="U383" s="34"/>
      <c r="V383" s="34"/>
      <c r="W383" s="35" t="s">
        <v>68</v>
      </c>
      <c r="X383" s="667">
        <v>800</v>
      </c>
      <c r="Y383" s="668">
        <f t="shared" ref="Y383:Y392" si="57">IFERROR(IF(X383="",0,CEILING((X383/$H383),1)*$H383),"")</f>
        <v>810</v>
      </c>
      <c r="Z383" s="36">
        <f>IFERROR(IF(Y383=0,"",ROUNDUP(Y383/H383,0)*0.02175),"")</f>
        <v>1.1744999999999999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825.6</v>
      </c>
      <c r="BN383" s="64">
        <f t="shared" ref="BN383:BN392" si="59">IFERROR(Y383*I383/H383,"0")</f>
        <v>835.92000000000007</v>
      </c>
      <c r="BO383" s="64">
        <f t="shared" ref="BO383:BO392" si="60">IFERROR(1/J383*(X383/H383),"0")</f>
        <v>1.1111111111111112</v>
      </c>
      <c r="BP383" s="64">
        <f t="shared" ref="BP383:BP392" si="61">IFERROR(1/J383*(Y383/H383),"0")</f>
        <v>1.125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7">
        <v>4680115884847</v>
      </c>
      <c r="E384" s="678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105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5"/>
      <c r="R384" s="675"/>
      <c r="S384" s="675"/>
      <c r="T384" s="676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7">
        <v>4680115884854</v>
      </c>
      <c r="E385" s="678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5"/>
      <c r="R385" s="675"/>
      <c r="S385" s="675"/>
      <c r="T385" s="676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7">
        <v>4680115884854</v>
      </c>
      <c r="E386" s="678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5"/>
      <c r="R386" s="675"/>
      <c r="S386" s="675"/>
      <c r="T386" s="676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7">
        <v>4607091383997</v>
      </c>
      <c r="E387" s="678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9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5"/>
      <c r="R387" s="675"/>
      <c r="S387" s="675"/>
      <c r="T387" s="676"/>
      <c r="U387" s="34"/>
      <c r="V387" s="34"/>
      <c r="W387" s="35" t="s">
        <v>68</v>
      </c>
      <c r="X387" s="667">
        <v>85</v>
      </c>
      <c r="Y387" s="668">
        <f t="shared" si="57"/>
        <v>90</v>
      </c>
      <c r="Z387" s="36">
        <f>IFERROR(IF(Y387=0,"",ROUNDUP(Y387/H387,0)*0.02175),"")</f>
        <v>0.1305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87.72</v>
      </c>
      <c r="BN387" s="64">
        <f t="shared" si="59"/>
        <v>92.88000000000001</v>
      </c>
      <c r="BO387" s="64">
        <f t="shared" si="60"/>
        <v>0.11805555555555555</v>
      </c>
      <c r="BP387" s="64">
        <f t="shared" si="61"/>
        <v>0.125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7">
        <v>4680115884830</v>
      </c>
      <c r="E388" s="678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8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5"/>
      <c r="R388" s="675"/>
      <c r="S388" s="675"/>
      <c r="T388" s="676"/>
      <c r="U388" s="34"/>
      <c r="V388" s="34"/>
      <c r="W388" s="35" t="s">
        <v>68</v>
      </c>
      <c r="X388" s="667">
        <v>50</v>
      </c>
      <c r="Y388" s="668">
        <f t="shared" si="57"/>
        <v>60</v>
      </c>
      <c r="Z388" s="36">
        <f>IFERROR(IF(Y388=0,"",ROUNDUP(Y388/H388,0)*0.02175),"")</f>
        <v>8.6999999999999994E-2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51.6</v>
      </c>
      <c r="BN388" s="64">
        <f t="shared" si="59"/>
        <v>61.92</v>
      </c>
      <c r="BO388" s="64">
        <f t="shared" si="60"/>
        <v>6.9444444444444448E-2</v>
      </c>
      <c r="BP388" s="64">
        <f t="shared" si="61"/>
        <v>8.3333333333333329E-2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7">
        <v>4680115884830</v>
      </c>
      <c r="E389" s="678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105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5"/>
      <c r="R389" s="675"/>
      <c r="S389" s="675"/>
      <c r="T389" s="676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7">
        <v>4680115882638</v>
      </c>
      <c r="E390" s="678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5"/>
      <c r="R390" s="675"/>
      <c r="S390" s="675"/>
      <c r="T390" s="676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7">
        <v>4680115884922</v>
      </c>
      <c r="E391" s="678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10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5"/>
      <c r="R391" s="675"/>
      <c r="S391" s="675"/>
      <c r="T391" s="676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7">
        <v>4680115884861</v>
      </c>
      <c r="E392" s="678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10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5"/>
      <c r="R392" s="675"/>
      <c r="S392" s="675"/>
      <c r="T392" s="676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97"/>
      <c r="B393" s="680"/>
      <c r="C393" s="680"/>
      <c r="D393" s="680"/>
      <c r="E393" s="680"/>
      <c r="F393" s="680"/>
      <c r="G393" s="680"/>
      <c r="H393" s="680"/>
      <c r="I393" s="680"/>
      <c r="J393" s="680"/>
      <c r="K393" s="680"/>
      <c r="L393" s="680"/>
      <c r="M393" s="680"/>
      <c r="N393" s="680"/>
      <c r="O393" s="698"/>
      <c r="P393" s="699" t="s">
        <v>87</v>
      </c>
      <c r="Q393" s="700"/>
      <c r="R393" s="700"/>
      <c r="S393" s="700"/>
      <c r="T393" s="700"/>
      <c r="U393" s="700"/>
      <c r="V393" s="701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62.333333333333336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64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1.3919999999999999</v>
      </c>
      <c r="AA393" s="670"/>
      <c r="AB393" s="670"/>
      <c r="AC393" s="670"/>
    </row>
    <row r="394" spans="1:68" x14ac:dyDescent="0.2">
      <c r="A394" s="680"/>
      <c r="B394" s="680"/>
      <c r="C394" s="680"/>
      <c r="D394" s="680"/>
      <c r="E394" s="680"/>
      <c r="F394" s="680"/>
      <c r="G394" s="680"/>
      <c r="H394" s="680"/>
      <c r="I394" s="680"/>
      <c r="J394" s="680"/>
      <c r="K394" s="680"/>
      <c r="L394" s="680"/>
      <c r="M394" s="680"/>
      <c r="N394" s="680"/>
      <c r="O394" s="698"/>
      <c r="P394" s="699" t="s">
        <v>87</v>
      </c>
      <c r="Q394" s="700"/>
      <c r="R394" s="700"/>
      <c r="S394" s="700"/>
      <c r="T394" s="700"/>
      <c r="U394" s="700"/>
      <c r="V394" s="701"/>
      <c r="W394" s="37" t="s">
        <v>68</v>
      </c>
      <c r="X394" s="669">
        <f>IFERROR(SUM(X383:X392),"0")</f>
        <v>935</v>
      </c>
      <c r="Y394" s="669">
        <f>IFERROR(SUM(Y383:Y392),"0")</f>
        <v>960</v>
      </c>
      <c r="Z394" s="37"/>
      <c r="AA394" s="670"/>
      <c r="AB394" s="670"/>
      <c r="AC394" s="670"/>
    </row>
    <row r="395" spans="1:68" ht="14.25" customHeight="1" x14ac:dyDescent="0.25">
      <c r="A395" s="679" t="s">
        <v>133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7">
        <v>4607091383980</v>
      </c>
      <c r="E396" s="678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5"/>
      <c r="R396" s="675"/>
      <c r="S396" s="675"/>
      <c r="T396" s="676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7">
        <v>4607091384178</v>
      </c>
      <c r="E397" s="678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9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5"/>
      <c r="R397" s="675"/>
      <c r="S397" s="675"/>
      <c r="T397" s="676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7"/>
      <c r="B398" s="680"/>
      <c r="C398" s="680"/>
      <c r="D398" s="680"/>
      <c r="E398" s="680"/>
      <c r="F398" s="680"/>
      <c r="G398" s="680"/>
      <c r="H398" s="680"/>
      <c r="I398" s="680"/>
      <c r="J398" s="680"/>
      <c r="K398" s="680"/>
      <c r="L398" s="680"/>
      <c r="M398" s="680"/>
      <c r="N398" s="680"/>
      <c r="O398" s="698"/>
      <c r="P398" s="699" t="s">
        <v>87</v>
      </c>
      <c r="Q398" s="700"/>
      <c r="R398" s="700"/>
      <c r="S398" s="700"/>
      <c r="T398" s="700"/>
      <c r="U398" s="700"/>
      <c r="V398" s="701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98"/>
      <c r="P399" s="699" t="s">
        <v>87</v>
      </c>
      <c r="Q399" s="700"/>
      <c r="R399" s="700"/>
      <c r="S399" s="700"/>
      <c r="T399" s="700"/>
      <c r="U399" s="700"/>
      <c r="V399" s="701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79" t="s">
        <v>63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80"/>
      <c r="R400" s="680"/>
      <c r="S400" s="680"/>
      <c r="T400" s="680"/>
      <c r="U400" s="680"/>
      <c r="V400" s="680"/>
      <c r="W400" s="680"/>
      <c r="X400" s="680"/>
      <c r="Y400" s="680"/>
      <c r="Z400" s="680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7">
        <v>4607091383928</v>
      </c>
      <c r="E401" s="678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991" t="s">
        <v>629</v>
      </c>
      <c r="Q401" s="675"/>
      <c r="R401" s="675"/>
      <c r="S401" s="675"/>
      <c r="T401" s="676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7">
        <v>4607091384260</v>
      </c>
      <c r="E402" s="678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990" t="s">
        <v>633</v>
      </c>
      <c r="Q402" s="675"/>
      <c r="R402" s="675"/>
      <c r="S402" s="675"/>
      <c r="T402" s="676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97"/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98"/>
      <c r="P403" s="699" t="s">
        <v>87</v>
      </c>
      <c r="Q403" s="700"/>
      <c r="R403" s="700"/>
      <c r="S403" s="700"/>
      <c r="T403" s="700"/>
      <c r="U403" s="700"/>
      <c r="V403" s="701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80"/>
      <c r="B404" s="680"/>
      <c r="C404" s="680"/>
      <c r="D404" s="680"/>
      <c r="E404" s="680"/>
      <c r="F404" s="680"/>
      <c r="G404" s="680"/>
      <c r="H404" s="680"/>
      <c r="I404" s="680"/>
      <c r="J404" s="680"/>
      <c r="K404" s="680"/>
      <c r="L404" s="680"/>
      <c r="M404" s="680"/>
      <c r="N404" s="680"/>
      <c r="O404" s="698"/>
      <c r="P404" s="699" t="s">
        <v>87</v>
      </c>
      <c r="Q404" s="700"/>
      <c r="R404" s="700"/>
      <c r="S404" s="700"/>
      <c r="T404" s="700"/>
      <c r="U404" s="700"/>
      <c r="V404" s="701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79" t="s">
        <v>170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7">
        <v>4607091384673</v>
      </c>
      <c r="E406" s="678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932" t="s">
        <v>637</v>
      </c>
      <c r="Q406" s="675"/>
      <c r="R406" s="675"/>
      <c r="S406" s="675"/>
      <c r="T406" s="676"/>
      <c r="U406" s="34"/>
      <c r="V406" s="34"/>
      <c r="W406" s="35" t="s">
        <v>68</v>
      </c>
      <c r="X406" s="667">
        <v>35</v>
      </c>
      <c r="Y406" s="668">
        <f>IFERROR(IF(X406="",0,CEILING((X406/$H406),1)*$H406),"")</f>
        <v>36</v>
      </c>
      <c r="Z406" s="36">
        <f>IFERROR(IF(Y406=0,"",ROUNDUP(Y406/H406,0)*0.01898),"")</f>
        <v>7.5920000000000001E-2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37.018333333333338</v>
      </c>
      <c r="BN406" s="64">
        <f>IFERROR(Y406*I406/H406,"0")</f>
        <v>38.076000000000001</v>
      </c>
      <c r="BO406" s="64">
        <f>IFERROR(1/J406*(X406/H406),"0")</f>
        <v>6.0763888888888888E-2</v>
      </c>
      <c r="BP406" s="64">
        <f>IFERROR(1/J406*(Y406/H406),"0")</f>
        <v>6.25E-2</v>
      </c>
    </row>
    <row r="407" spans="1:68" x14ac:dyDescent="0.2">
      <c r="A407" s="697"/>
      <c r="B407" s="680"/>
      <c r="C407" s="680"/>
      <c r="D407" s="680"/>
      <c r="E407" s="680"/>
      <c r="F407" s="680"/>
      <c r="G407" s="680"/>
      <c r="H407" s="680"/>
      <c r="I407" s="680"/>
      <c r="J407" s="680"/>
      <c r="K407" s="680"/>
      <c r="L407" s="680"/>
      <c r="M407" s="680"/>
      <c r="N407" s="680"/>
      <c r="O407" s="698"/>
      <c r="P407" s="699" t="s">
        <v>87</v>
      </c>
      <c r="Q407" s="700"/>
      <c r="R407" s="700"/>
      <c r="S407" s="700"/>
      <c r="T407" s="700"/>
      <c r="U407" s="700"/>
      <c r="V407" s="701"/>
      <c r="W407" s="37" t="s">
        <v>88</v>
      </c>
      <c r="X407" s="669">
        <f>IFERROR(X406/H406,"0")</f>
        <v>3.8888888888888888</v>
      </c>
      <c r="Y407" s="669">
        <f>IFERROR(Y406/H406,"0")</f>
        <v>4</v>
      </c>
      <c r="Z407" s="669">
        <f>IFERROR(IF(Z406="",0,Z406),"0")</f>
        <v>7.5920000000000001E-2</v>
      </c>
      <c r="AA407" s="670"/>
      <c r="AB407" s="670"/>
      <c r="AC407" s="670"/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98"/>
      <c r="P408" s="699" t="s">
        <v>87</v>
      </c>
      <c r="Q408" s="700"/>
      <c r="R408" s="700"/>
      <c r="S408" s="700"/>
      <c r="T408" s="700"/>
      <c r="U408" s="700"/>
      <c r="V408" s="701"/>
      <c r="W408" s="37" t="s">
        <v>68</v>
      </c>
      <c r="X408" s="669">
        <f>IFERROR(SUM(X406:X406),"0")</f>
        <v>35</v>
      </c>
      <c r="Y408" s="669">
        <f>IFERROR(SUM(Y406:Y406),"0")</f>
        <v>36</v>
      </c>
      <c r="Z408" s="37"/>
      <c r="AA408" s="670"/>
      <c r="AB408" s="670"/>
      <c r="AC408" s="670"/>
    </row>
    <row r="409" spans="1:68" ht="16.5" customHeight="1" x14ac:dyDescent="0.25">
      <c r="A409" s="706" t="s">
        <v>639</v>
      </c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0"/>
      <c r="P409" s="680"/>
      <c r="Q409" s="680"/>
      <c r="R409" s="680"/>
      <c r="S409" s="680"/>
      <c r="T409" s="680"/>
      <c r="U409" s="680"/>
      <c r="V409" s="680"/>
      <c r="W409" s="680"/>
      <c r="X409" s="680"/>
      <c r="Y409" s="680"/>
      <c r="Z409" s="680"/>
      <c r="AA409" s="662"/>
      <c r="AB409" s="662"/>
      <c r="AC409" s="662"/>
    </row>
    <row r="410" spans="1:68" ht="14.25" customHeight="1" x14ac:dyDescent="0.25">
      <c r="A410" s="679" t="s">
        <v>97</v>
      </c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80"/>
      <c r="R410" s="680"/>
      <c r="S410" s="680"/>
      <c r="T410" s="680"/>
      <c r="U410" s="680"/>
      <c r="V410" s="680"/>
      <c r="W410" s="680"/>
      <c r="X410" s="680"/>
      <c r="Y410" s="680"/>
      <c r="Z410" s="680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7">
        <v>4680115881907</v>
      </c>
      <c r="E411" s="678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5"/>
      <c r="R411" s="675"/>
      <c r="S411" s="675"/>
      <c r="T411" s="676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7">
        <v>4680115881907</v>
      </c>
      <c r="E412" s="678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76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5"/>
      <c r="R412" s="675"/>
      <c r="S412" s="675"/>
      <c r="T412" s="676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7">
        <v>4680115884892</v>
      </c>
      <c r="E413" s="678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99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5"/>
      <c r="R413" s="675"/>
      <c r="S413" s="675"/>
      <c r="T413" s="676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7">
        <v>4680115884885</v>
      </c>
      <c r="E414" s="678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5"/>
      <c r="R414" s="675"/>
      <c r="S414" s="675"/>
      <c r="T414" s="676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7">
        <v>4680115884908</v>
      </c>
      <c r="E415" s="678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7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5"/>
      <c r="R415" s="675"/>
      <c r="S415" s="675"/>
      <c r="T415" s="676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97"/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98"/>
      <c r="P416" s="699" t="s">
        <v>87</v>
      </c>
      <c r="Q416" s="700"/>
      <c r="R416" s="700"/>
      <c r="S416" s="700"/>
      <c r="T416" s="700"/>
      <c r="U416" s="700"/>
      <c r="V416" s="701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80"/>
      <c r="B417" s="680"/>
      <c r="C417" s="680"/>
      <c r="D417" s="680"/>
      <c r="E417" s="680"/>
      <c r="F417" s="680"/>
      <c r="G417" s="680"/>
      <c r="H417" s="680"/>
      <c r="I417" s="680"/>
      <c r="J417" s="680"/>
      <c r="K417" s="680"/>
      <c r="L417" s="680"/>
      <c r="M417" s="680"/>
      <c r="N417" s="680"/>
      <c r="O417" s="698"/>
      <c r="P417" s="699" t="s">
        <v>87</v>
      </c>
      <c r="Q417" s="700"/>
      <c r="R417" s="700"/>
      <c r="S417" s="700"/>
      <c r="T417" s="700"/>
      <c r="U417" s="700"/>
      <c r="V417" s="701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79" t="s">
        <v>144</v>
      </c>
      <c r="B418" s="680"/>
      <c r="C418" s="680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80"/>
      <c r="R418" s="680"/>
      <c r="S418" s="680"/>
      <c r="T418" s="680"/>
      <c r="U418" s="680"/>
      <c r="V418" s="680"/>
      <c r="W418" s="680"/>
      <c r="X418" s="680"/>
      <c r="Y418" s="680"/>
      <c r="Z418" s="680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7">
        <v>4607091384802</v>
      </c>
      <c r="E419" s="678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9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5"/>
      <c r="R419" s="675"/>
      <c r="S419" s="675"/>
      <c r="T419" s="676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97"/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98"/>
      <c r="P420" s="699" t="s">
        <v>87</v>
      </c>
      <c r="Q420" s="700"/>
      <c r="R420" s="700"/>
      <c r="S420" s="700"/>
      <c r="T420" s="700"/>
      <c r="U420" s="700"/>
      <c r="V420" s="701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98"/>
      <c r="P421" s="699" t="s">
        <v>87</v>
      </c>
      <c r="Q421" s="700"/>
      <c r="R421" s="700"/>
      <c r="S421" s="700"/>
      <c r="T421" s="700"/>
      <c r="U421" s="700"/>
      <c r="V421" s="701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79" t="s">
        <v>63</v>
      </c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0"/>
      <c r="S422" s="680"/>
      <c r="T422" s="680"/>
      <c r="U422" s="680"/>
      <c r="V422" s="680"/>
      <c r="W422" s="680"/>
      <c r="X422" s="680"/>
      <c r="Y422" s="680"/>
      <c r="Z422" s="680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7">
        <v>4607091384246</v>
      </c>
      <c r="E423" s="678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9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5"/>
      <c r="R423" s="675"/>
      <c r="S423" s="675"/>
      <c r="T423" s="676"/>
      <c r="U423" s="34"/>
      <c r="V423" s="34"/>
      <c r="W423" s="35" t="s">
        <v>68</v>
      </c>
      <c r="X423" s="667">
        <v>625</v>
      </c>
      <c r="Y423" s="668">
        <f>IFERROR(IF(X423="",0,CEILING((X423/$H423),1)*$H423),"")</f>
        <v>630</v>
      </c>
      <c r="Z423" s="36">
        <f>IFERROR(IF(Y423=0,"",ROUNDUP(Y423/H423,0)*0.01898),"")</f>
        <v>1.3286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661.04166666666663</v>
      </c>
      <c r="BN423" s="64">
        <f>IFERROR(Y423*I423/H423,"0")</f>
        <v>666.33</v>
      </c>
      <c r="BO423" s="64">
        <f>IFERROR(1/J423*(X423/H423),"0")</f>
        <v>1.0850694444444444</v>
      </c>
      <c r="BP423" s="64">
        <f>IFERROR(1/J423*(Y423/H423),"0")</f>
        <v>1.09375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7">
        <v>4607091384253</v>
      </c>
      <c r="E424" s="678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97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5"/>
      <c r="R424" s="675"/>
      <c r="S424" s="675"/>
      <c r="T424" s="676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7">
        <v>4607091384253</v>
      </c>
      <c r="E425" s="678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5"/>
      <c r="R425" s="675"/>
      <c r="S425" s="675"/>
      <c r="T425" s="676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7">
        <v>4680115881969</v>
      </c>
      <c r="E426" s="678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97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5"/>
      <c r="R426" s="675"/>
      <c r="S426" s="675"/>
      <c r="T426" s="676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97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98"/>
      <c r="P427" s="699" t="s">
        <v>87</v>
      </c>
      <c r="Q427" s="700"/>
      <c r="R427" s="700"/>
      <c r="S427" s="700"/>
      <c r="T427" s="700"/>
      <c r="U427" s="700"/>
      <c r="V427" s="701"/>
      <c r="W427" s="37" t="s">
        <v>88</v>
      </c>
      <c r="X427" s="669">
        <f>IFERROR(X423/H423,"0")+IFERROR(X424/H424,"0")+IFERROR(X425/H425,"0")+IFERROR(X426/H426,"0")</f>
        <v>69.444444444444443</v>
      </c>
      <c r="Y427" s="669">
        <f>IFERROR(Y423/H423,"0")+IFERROR(Y424/H424,"0")+IFERROR(Y425/H425,"0")+IFERROR(Y426/H426,"0")</f>
        <v>70</v>
      </c>
      <c r="Z427" s="669">
        <f>IFERROR(IF(Z423="",0,Z423),"0")+IFERROR(IF(Z424="",0,Z424),"0")+IFERROR(IF(Z425="",0,Z425),"0")+IFERROR(IF(Z426="",0,Z426),"0")</f>
        <v>1.3286</v>
      </c>
      <c r="AA427" s="670"/>
      <c r="AB427" s="670"/>
      <c r="AC427" s="670"/>
    </row>
    <row r="428" spans="1:68" x14ac:dyDescent="0.2">
      <c r="A428" s="680"/>
      <c r="B428" s="680"/>
      <c r="C428" s="680"/>
      <c r="D428" s="680"/>
      <c r="E428" s="680"/>
      <c r="F428" s="680"/>
      <c r="G428" s="680"/>
      <c r="H428" s="680"/>
      <c r="I428" s="680"/>
      <c r="J428" s="680"/>
      <c r="K428" s="680"/>
      <c r="L428" s="680"/>
      <c r="M428" s="680"/>
      <c r="N428" s="680"/>
      <c r="O428" s="698"/>
      <c r="P428" s="699" t="s">
        <v>87</v>
      </c>
      <c r="Q428" s="700"/>
      <c r="R428" s="700"/>
      <c r="S428" s="700"/>
      <c r="T428" s="700"/>
      <c r="U428" s="700"/>
      <c r="V428" s="701"/>
      <c r="W428" s="37" t="s">
        <v>68</v>
      </c>
      <c r="X428" s="669">
        <f>IFERROR(SUM(X423:X426),"0")</f>
        <v>625</v>
      </c>
      <c r="Y428" s="669">
        <f>IFERROR(SUM(Y423:Y426),"0")</f>
        <v>630</v>
      </c>
      <c r="Z428" s="37"/>
      <c r="AA428" s="670"/>
      <c r="AB428" s="670"/>
      <c r="AC428" s="670"/>
    </row>
    <row r="429" spans="1:68" ht="14.25" customHeight="1" x14ac:dyDescent="0.25">
      <c r="A429" s="679" t="s">
        <v>170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7">
        <v>4607091389357</v>
      </c>
      <c r="E430" s="678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782" t="s">
        <v>667</v>
      </c>
      <c r="Q430" s="675"/>
      <c r="R430" s="675"/>
      <c r="S430" s="675"/>
      <c r="T430" s="676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97"/>
      <c r="B431" s="680"/>
      <c r="C431" s="680"/>
      <c r="D431" s="680"/>
      <c r="E431" s="680"/>
      <c r="F431" s="680"/>
      <c r="G431" s="680"/>
      <c r="H431" s="680"/>
      <c r="I431" s="680"/>
      <c r="J431" s="680"/>
      <c r="K431" s="680"/>
      <c r="L431" s="680"/>
      <c r="M431" s="680"/>
      <c r="N431" s="680"/>
      <c r="O431" s="698"/>
      <c r="P431" s="699" t="s">
        <v>87</v>
      </c>
      <c r="Q431" s="700"/>
      <c r="R431" s="700"/>
      <c r="S431" s="700"/>
      <c r="T431" s="700"/>
      <c r="U431" s="700"/>
      <c r="V431" s="701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80"/>
      <c r="B432" s="680"/>
      <c r="C432" s="680"/>
      <c r="D432" s="680"/>
      <c r="E432" s="680"/>
      <c r="F432" s="680"/>
      <c r="G432" s="680"/>
      <c r="H432" s="680"/>
      <c r="I432" s="680"/>
      <c r="J432" s="680"/>
      <c r="K432" s="680"/>
      <c r="L432" s="680"/>
      <c r="M432" s="680"/>
      <c r="N432" s="680"/>
      <c r="O432" s="698"/>
      <c r="P432" s="699" t="s">
        <v>87</v>
      </c>
      <c r="Q432" s="700"/>
      <c r="R432" s="700"/>
      <c r="S432" s="700"/>
      <c r="T432" s="700"/>
      <c r="U432" s="700"/>
      <c r="V432" s="701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836" t="s">
        <v>669</v>
      </c>
      <c r="B433" s="837"/>
      <c r="C433" s="837"/>
      <c r="D433" s="837"/>
      <c r="E433" s="837"/>
      <c r="F433" s="837"/>
      <c r="G433" s="837"/>
      <c r="H433" s="837"/>
      <c r="I433" s="837"/>
      <c r="J433" s="837"/>
      <c r="K433" s="837"/>
      <c r="L433" s="837"/>
      <c r="M433" s="837"/>
      <c r="N433" s="837"/>
      <c r="O433" s="837"/>
      <c r="P433" s="837"/>
      <c r="Q433" s="837"/>
      <c r="R433" s="837"/>
      <c r="S433" s="837"/>
      <c r="T433" s="837"/>
      <c r="U433" s="837"/>
      <c r="V433" s="837"/>
      <c r="W433" s="837"/>
      <c r="X433" s="837"/>
      <c r="Y433" s="837"/>
      <c r="Z433" s="837"/>
      <c r="AA433" s="48"/>
      <c r="AB433" s="48"/>
      <c r="AC433" s="48"/>
    </row>
    <row r="434" spans="1:68" ht="16.5" customHeight="1" x14ac:dyDescent="0.25">
      <c r="A434" s="706" t="s">
        <v>670</v>
      </c>
      <c r="B434" s="680"/>
      <c r="C434" s="680"/>
      <c r="D434" s="680"/>
      <c r="E434" s="680"/>
      <c r="F434" s="680"/>
      <c r="G434" s="680"/>
      <c r="H434" s="680"/>
      <c r="I434" s="680"/>
      <c r="J434" s="680"/>
      <c r="K434" s="680"/>
      <c r="L434" s="680"/>
      <c r="M434" s="680"/>
      <c r="N434" s="680"/>
      <c r="O434" s="680"/>
      <c r="P434" s="680"/>
      <c r="Q434" s="680"/>
      <c r="R434" s="680"/>
      <c r="S434" s="680"/>
      <c r="T434" s="680"/>
      <c r="U434" s="680"/>
      <c r="V434" s="680"/>
      <c r="W434" s="680"/>
      <c r="X434" s="680"/>
      <c r="Y434" s="680"/>
      <c r="Z434" s="680"/>
      <c r="AA434" s="662"/>
      <c r="AB434" s="662"/>
      <c r="AC434" s="662"/>
    </row>
    <row r="435" spans="1:68" ht="14.25" customHeight="1" x14ac:dyDescent="0.25">
      <c r="A435" s="679" t="s">
        <v>144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7">
        <v>4680115886100</v>
      </c>
      <c r="E436" s="678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713" t="s">
        <v>673</v>
      </c>
      <c r="Q436" s="675"/>
      <c r="R436" s="675"/>
      <c r="S436" s="675"/>
      <c r="T436" s="676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7">
        <v>4680115886117</v>
      </c>
      <c r="E437" s="678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1055" t="s">
        <v>677</v>
      </c>
      <c r="Q437" s="675"/>
      <c r="R437" s="675"/>
      <c r="S437" s="675"/>
      <c r="T437" s="676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7">
        <v>4680115886117</v>
      </c>
      <c r="E438" s="678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909" t="s">
        <v>677</v>
      </c>
      <c r="Q438" s="675"/>
      <c r="R438" s="675"/>
      <c r="S438" s="675"/>
      <c r="T438" s="676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7">
        <v>4680115886124</v>
      </c>
      <c r="E439" s="678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758" t="s">
        <v>682</v>
      </c>
      <c r="Q439" s="675"/>
      <c r="R439" s="675"/>
      <c r="S439" s="675"/>
      <c r="T439" s="676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7">
        <v>4680115883147</v>
      </c>
      <c r="E440" s="678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6" t="s">
        <v>686</v>
      </c>
      <c r="Q440" s="675"/>
      <c r="R440" s="675"/>
      <c r="S440" s="675"/>
      <c r="T440" s="676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7">
        <v>4680115883147</v>
      </c>
      <c r="E441" s="678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6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5"/>
      <c r="R441" s="675"/>
      <c r="S441" s="675"/>
      <c r="T441" s="676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7">
        <v>4607091384338</v>
      </c>
      <c r="E442" s="678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94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5"/>
      <c r="R442" s="675"/>
      <c r="S442" s="675"/>
      <c r="T442" s="676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7">
        <v>4607091389524</v>
      </c>
      <c r="E443" s="678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10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5"/>
      <c r="R443" s="675"/>
      <c r="S443" s="675"/>
      <c r="T443" s="676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7">
        <v>4680115883161</v>
      </c>
      <c r="E444" s="678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687" t="s">
        <v>695</v>
      </c>
      <c r="Q444" s="675"/>
      <c r="R444" s="675"/>
      <c r="S444" s="675"/>
      <c r="T444" s="676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7">
        <v>4680115883161</v>
      </c>
      <c r="E445" s="678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105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5"/>
      <c r="R445" s="675"/>
      <c r="S445" s="675"/>
      <c r="T445" s="676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7">
        <v>4607091389531</v>
      </c>
      <c r="E446" s="678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5"/>
      <c r="R446" s="675"/>
      <c r="S446" s="675"/>
      <c r="T446" s="676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7">
        <v>4607091384345</v>
      </c>
      <c r="E447" s="678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5"/>
      <c r="R447" s="675"/>
      <c r="S447" s="675"/>
      <c r="T447" s="676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97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98"/>
      <c r="P448" s="699" t="s">
        <v>87</v>
      </c>
      <c r="Q448" s="700"/>
      <c r="R448" s="700"/>
      <c r="S448" s="700"/>
      <c r="T448" s="700"/>
      <c r="U448" s="700"/>
      <c r="V448" s="701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98"/>
      <c r="P449" s="699" t="s">
        <v>87</v>
      </c>
      <c r="Q449" s="700"/>
      <c r="R449" s="700"/>
      <c r="S449" s="700"/>
      <c r="T449" s="700"/>
      <c r="U449" s="700"/>
      <c r="V449" s="701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79" t="s">
        <v>63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7">
        <v>4607091384352</v>
      </c>
      <c r="E451" s="678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5"/>
      <c r="R451" s="675"/>
      <c r="S451" s="675"/>
      <c r="T451" s="676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7">
        <v>4607091389654</v>
      </c>
      <c r="E452" s="678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10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5"/>
      <c r="R452" s="675"/>
      <c r="S452" s="675"/>
      <c r="T452" s="676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97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98"/>
      <c r="P453" s="699" t="s">
        <v>87</v>
      </c>
      <c r="Q453" s="700"/>
      <c r="R453" s="700"/>
      <c r="S453" s="700"/>
      <c r="T453" s="700"/>
      <c r="U453" s="700"/>
      <c r="V453" s="701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98"/>
      <c r="P454" s="699" t="s">
        <v>87</v>
      </c>
      <c r="Q454" s="700"/>
      <c r="R454" s="700"/>
      <c r="S454" s="700"/>
      <c r="T454" s="700"/>
      <c r="U454" s="700"/>
      <c r="V454" s="701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706" t="s">
        <v>709</v>
      </c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0"/>
      <c r="P455" s="680"/>
      <c r="Q455" s="680"/>
      <c r="R455" s="680"/>
      <c r="S455" s="680"/>
      <c r="T455" s="680"/>
      <c r="U455" s="680"/>
      <c r="V455" s="680"/>
      <c r="W455" s="680"/>
      <c r="X455" s="680"/>
      <c r="Y455" s="680"/>
      <c r="Z455" s="680"/>
      <c r="AA455" s="662"/>
      <c r="AB455" s="662"/>
      <c r="AC455" s="662"/>
    </row>
    <row r="456" spans="1:68" ht="14.25" customHeight="1" x14ac:dyDescent="0.25">
      <c r="A456" s="679" t="s">
        <v>133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7">
        <v>4680115885240</v>
      </c>
      <c r="E457" s="678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10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5"/>
      <c r="R457" s="675"/>
      <c r="S457" s="675"/>
      <c r="T457" s="676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7">
        <v>4607091389364</v>
      </c>
      <c r="E458" s="678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101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5"/>
      <c r="R458" s="675"/>
      <c r="S458" s="675"/>
      <c r="T458" s="676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97"/>
      <c r="B459" s="680"/>
      <c r="C459" s="680"/>
      <c r="D459" s="680"/>
      <c r="E459" s="680"/>
      <c r="F459" s="680"/>
      <c r="G459" s="680"/>
      <c r="H459" s="680"/>
      <c r="I459" s="680"/>
      <c r="J459" s="680"/>
      <c r="K459" s="680"/>
      <c r="L459" s="680"/>
      <c r="M459" s="680"/>
      <c r="N459" s="680"/>
      <c r="O459" s="698"/>
      <c r="P459" s="699" t="s">
        <v>87</v>
      </c>
      <c r="Q459" s="700"/>
      <c r="R459" s="700"/>
      <c r="S459" s="700"/>
      <c r="T459" s="700"/>
      <c r="U459" s="700"/>
      <c r="V459" s="701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98"/>
      <c r="P460" s="699" t="s">
        <v>87</v>
      </c>
      <c r="Q460" s="700"/>
      <c r="R460" s="700"/>
      <c r="S460" s="700"/>
      <c r="T460" s="700"/>
      <c r="U460" s="700"/>
      <c r="V460" s="701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79" t="s">
        <v>144</v>
      </c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80"/>
      <c r="R461" s="680"/>
      <c r="S461" s="680"/>
      <c r="T461" s="680"/>
      <c r="U461" s="680"/>
      <c r="V461" s="680"/>
      <c r="W461" s="680"/>
      <c r="X461" s="680"/>
      <c r="Y461" s="680"/>
      <c r="Z461" s="680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7">
        <v>4680115886094</v>
      </c>
      <c r="E462" s="678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816" t="s">
        <v>718</v>
      </c>
      <c r="Q462" s="675"/>
      <c r="R462" s="675"/>
      <c r="S462" s="675"/>
      <c r="T462" s="676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7">
        <v>4607091389425</v>
      </c>
      <c r="E463" s="678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7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5"/>
      <c r="R463" s="675"/>
      <c r="S463" s="675"/>
      <c r="T463" s="676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7">
        <v>4680115880771</v>
      </c>
      <c r="E464" s="678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988" t="s">
        <v>725</v>
      </c>
      <c r="Q464" s="675"/>
      <c r="R464" s="675"/>
      <c r="S464" s="675"/>
      <c r="T464" s="676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7">
        <v>4607091389500</v>
      </c>
      <c r="E465" s="678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97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98"/>
      <c r="P466" s="699" t="s">
        <v>87</v>
      </c>
      <c r="Q466" s="700"/>
      <c r="R466" s="700"/>
      <c r="S466" s="700"/>
      <c r="T466" s="700"/>
      <c r="U466" s="700"/>
      <c r="V466" s="701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98"/>
      <c r="P467" s="699" t="s">
        <v>87</v>
      </c>
      <c r="Q467" s="700"/>
      <c r="R467" s="700"/>
      <c r="S467" s="700"/>
      <c r="T467" s="700"/>
      <c r="U467" s="700"/>
      <c r="V467" s="701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706" t="s">
        <v>729</v>
      </c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0"/>
      <c r="P468" s="680"/>
      <c r="Q468" s="680"/>
      <c r="R468" s="680"/>
      <c r="S468" s="680"/>
      <c r="T468" s="680"/>
      <c r="U468" s="680"/>
      <c r="V468" s="680"/>
      <c r="W468" s="680"/>
      <c r="X468" s="680"/>
      <c r="Y468" s="680"/>
      <c r="Z468" s="680"/>
      <c r="AA468" s="662"/>
      <c r="AB468" s="662"/>
      <c r="AC468" s="662"/>
    </row>
    <row r="469" spans="1:68" ht="14.25" customHeight="1" x14ac:dyDescent="0.25">
      <c r="A469" s="679" t="s">
        <v>144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7">
        <v>4680115885189</v>
      </c>
      <c r="E470" s="678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78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5"/>
      <c r="R470" s="675"/>
      <c r="S470" s="675"/>
      <c r="T470" s="676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7">
        <v>4680115885110</v>
      </c>
      <c r="E471" s="678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1007" t="s">
        <v>735</v>
      </c>
      <c r="Q471" s="675"/>
      <c r="R471" s="675"/>
      <c r="S471" s="675"/>
      <c r="T471" s="676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97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98"/>
      <c r="P472" s="699" t="s">
        <v>87</v>
      </c>
      <c r="Q472" s="700"/>
      <c r="R472" s="700"/>
      <c r="S472" s="700"/>
      <c r="T472" s="700"/>
      <c r="U472" s="700"/>
      <c r="V472" s="701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98"/>
      <c r="P473" s="699" t="s">
        <v>87</v>
      </c>
      <c r="Q473" s="700"/>
      <c r="R473" s="700"/>
      <c r="S473" s="700"/>
      <c r="T473" s="700"/>
      <c r="U473" s="700"/>
      <c r="V473" s="701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706" t="s">
        <v>737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2"/>
      <c r="AB474" s="662"/>
      <c r="AC474" s="662"/>
    </row>
    <row r="475" spans="1:68" ht="14.25" customHeight="1" x14ac:dyDescent="0.25">
      <c r="A475" s="679" t="s">
        <v>144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7">
        <v>4680115885103</v>
      </c>
      <c r="E476" s="678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99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5"/>
      <c r="R476" s="675"/>
      <c r="S476" s="675"/>
      <c r="T476" s="676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97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98"/>
      <c r="P477" s="699" t="s">
        <v>87</v>
      </c>
      <c r="Q477" s="700"/>
      <c r="R477" s="700"/>
      <c r="S477" s="700"/>
      <c r="T477" s="700"/>
      <c r="U477" s="700"/>
      <c r="V477" s="701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80"/>
      <c r="B478" s="680"/>
      <c r="C478" s="680"/>
      <c r="D478" s="680"/>
      <c r="E478" s="680"/>
      <c r="F478" s="680"/>
      <c r="G478" s="680"/>
      <c r="H478" s="680"/>
      <c r="I478" s="680"/>
      <c r="J478" s="680"/>
      <c r="K478" s="680"/>
      <c r="L478" s="680"/>
      <c r="M478" s="680"/>
      <c r="N478" s="680"/>
      <c r="O478" s="698"/>
      <c r="P478" s="699" t="s">
        <v>87</v>
      </c>
      <c r="Q478" s="700"/>
      <c r="R478" s="700"/>
      <c r="S478" s="700"/>
      <c r="T478" s="700"/>
      <c r="U478" s="700"/>
      <c r="V478" s="701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79" t="s">
        <v>170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7">
        <v>4680115885509</v>
      </c>
      <c r="E480" s="678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94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5"/>
      <c r="R480" s="675"/>
      <c r="S480" s="675"/>
      <c r="T480" s="676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97"/>
      <c r="B481" s="680"/>
      <c r="C481" s="680"/>
      <c r="D481" s="680"/>
      <c r="E481" s="680"/>
      <c r="F481" s="680"/>
      <c r="G481" s="680"/>
      <c r="H481" s="680"/>
      <c r="I481" s="680"/>
      <c r="J481" s="680"/>
      <c r="K481" s="680"/>
      <c r="L481" s="680"/>
      <c r="M481" s="680"/>
      <c r="N481" s="680"/>
      <c r="O481" s="698"/>
      <c r="P481" s="699" t="s">
        <v>87</v>
      </c>
      <c r="Q481" s="700"/>
      <c r="R481" s="700"/>
      <c r="S481" s="700"/>
      <c r="T481" s="700"/>
      <c r="U481" s="700"/>
      <c r="V481" s="701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80"/>
      <c r="B482" s="680"/>
      <c r="C482" s="680"/>
      <c r="D482" s="680"/>
      <c r="E482" s="680"/>
      <c r="F482" s="680"/>
      <c r="G482" s="680"/>
      <c r="H482" s="680"/>
      <c r="I482" s="680"/>
      <c r="J482" s="680"/>
      <c r="K482" s="680"/>
      <c r="L482" s="680"/>
      <c r="M482" s="680"/>
      <c r="N482" s="680"/>
      <c r="O482" s="698"/>
      <c r="P482" s="699" t="s">
        <v>87</v>
      </c>
      <c r="Q482" s="700"/>
      <c r="R482" s="700"/>
      <c r="S482" s="700"/>
      <c r="T482" s="700"/>
      <c r="U482" s="700"/>
      <c r="V482" s="701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836" t="s">
        <v>744</v>
      </c>
      <c r="B483" s="837"/>
      <c r="C483" s="837"/>
      <c r="D483" s="837"/>
      <c r="E483" s="837"/>
      <c r="F483" s="837"/>
      <c r="G483" s="837"/>
      <c r="H483" s="837"/>
      <c r="I483" s="837"/>
      <c r="J483" s="837"/>
      <c r="K483" s="837"/>
      <c r="L483" s="837"/>
      <c r="M483" s="837"/>
      <c r="N483" s="837"/>
      <c r="O483" s="837"/>
      <c r="P483" s="837"/>
      <c r="Q483" s="837"/>
      <c r="R483" s="837"/>
      <c r="S483" s="837"/>
      <c r="T483" s="837"/>
      <c r="U483" s="837"/>
      <c r="V483" s="837"/>
      <c r="W483" s="837"/>
      <c r="X483" s="837"/>
      <c r="Y483" s="837"/>
      <c r="Z483" s="837"/>
      <c r="AA483" s="48"/>
      <c r="AB483" s="48"/>
      <c r="AC483" s="48"/>
    </row>
    <row r="484" spans="1:68" ht="16.5" customHeight="1" x14ac:dyDescent="0.25">
      <c r="A484" s="706" t="s">
        <v>744</v>
      </c>
      <c r="B484" s="680"/>
      <c r="C484" s="680"/>
      <c r="D484" s="680"/>
      <c r="E484" s="680"/>
      <c r="F484" s="680"/>
      <c r="G484" s="680"/>
      <c r="H484" s="680"/>
      <c r="I484" s="680"/>
      <c r="J484" s="680"/>
      <c r="K484" s="680"/>
      <c r="L484" s="680"/>
      <c r="M484" s="680"/>
      <c r="N484" s="680"/>
      <c r="O484" s="680"/>
      <c r="P484" s="680"/>
      <c r="Q484" s="680"/>
      <c r="R484" s="680"/>
      <c r="S484" s="680"/>
      <c r="T484" s="680"/>
      <c r="U484" s="680"/>
      <c r="V484" s="680"/>
      <c r="W484" s="680"/>
      <c r="X484" s="680"/>
      <c r="Y484" s="680"/>
      <c r="Z484" s="680"/>
      <c r="AA484" s="662"/>
      <c r="AB484" s="662"/>
      <c r="AC484" s="662"/>
    </row>
    <row r="485" spans="1:68" ht="14.25" customHeight="1" x14ac:dyDescent="0.25">
      <c r="A485" s="679" t="s">
        <v>97</v>
      </c>
      <c r="B485" s="680"/>
      <c r="C485" s="680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80"/>
      <c r="R485" s="680"/>
      <c r="S485" s="680"/>
      <c r="T485" s="680"/>
      <c r="U485" s="680"/>
      <c r="V485" s="680"/>
      <c r="W485" s="680"/>
      <c r="X485" s="680"/>
      <c r="Y485" s="680"/>
      <c r="Z485" s="680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7">
        <v>4607091389067</v>
      </c>
      <c r="E486" s="678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5"/>
      <c r="R486" s="675"/>
      <c r="S486" s="675"/>
      <c r="T486" s="676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7">
        <v>4680115885271</v>
      </c>
      <c r="E487" s="678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5"/>
      <c r="R487" s="675"/>
      <c r="S487" s="675"/>
      <c r="T487" s="676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7">
        <v>4680115885226</v>
      </c>
      <c r="E488" s="678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5"/>
      <c r="R488" s="675"/>
      <c r="S488" s="675"/>
      <c r="T488" s="676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7">
        <v>4680115884502</v>
      </c>
      <c r="E489" s="678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5"/>
      <c r="R489" s="675"/>
      <c r="S489" s="675"/>
      <c r="T489" s="676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7">
        <v>4607091389104</v>
      </c>
      <c r="E490" s="678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7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5"/>
      <c r="R490" s="675"/>
      <c r="S490" s="675"/>
      <c r="T490" s="676"/>
      <c r="U490" s="34"/>
      <c r="V490" s="34"/>
      <c r="W490" s="35" t="s">
        <v>68</v>
      </c>
      <c r="X490" s="667">
        <v>510</v>
      </c>
      <c r="Y490" s="668">
        <f t="shared" si="68"/>
        <v>512.16</v>
      </c>
      <c r="Z490" s="36">
        <f t="shared" si="69"/>
        <v>1.16012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544.77272727272714</v>
      </c>
      <c r="BN490" s="64">
        <f t="shared" si="71"/>
        <v>547.07999999999993</v>
      </c>
      <c r="BO490" s="64">
        <f t="shared" si="72"/>
        <v>0.92875874125874125</v>
      </c>
      <c r="BP490" s="64">
        <f t="shared" si="73"/>
        <v>0.9326923076923076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7">
        <v>4680115884519</v>
      </c>
      <c r="E491" s="678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5"/>
      <c r="R491" s="675"/>
      <c r="S491" s="675"/>
      <c r="T491" s="676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7">
        <v>4680115886391</v>
      </c>
      <c r="E492" s="678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983" t="s">
        <v>765</v>
      </c>
      <c r="Q492" s="675"/>
      <c r="R492" s="675"/>
      <c r="S492" s="675"/>
      <c r="T492" s="676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7">
        <v>4680115880603</v>
      </c>
      <c r="E493" s="678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93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5"/>
      <c r="R493" s="675"/>
      <c r="S493" s="675"/>
      <c r="T493" s="676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7">
        <v>4680115880603</v>
      </c>
      <c r="E494" s="678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5"/>
      <c r="R494" s="675"/>
      <c r="S494" s="675"/>
      <c r="T494" s="676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7">
        <v>4680115882782</v>
      </c>
      <c r="E495" s="678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5"/>
      <c r="R495" s="675"/>
      <c r="S495" s="675"/>
      <c r="T495" s="676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7">
        <v>4680115886469</v>
      </c>
      <c r="E496" s="678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905" t="s">
        <v>773</v>
      </c>
      <c r="Q496" s="675"/>
      <c r="R496" s="675"/>
      <c r="S496" s="675"/>
      <c r="T496" s="676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7">
        <v>4680115886483</v>
      </c>
      <c r="E497" s="678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723" t="s">
        <v>776</v>
      </c>
      <c r="Q497" s="675"/>
      <c r="R497" s="675"/>
      <c r="S497" s="675"/>
      <c r="T497" s="676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7">
        <v>4680115885479</v>
      </c>
      <c r="E498" s="678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952" t="s">
        <v>779</v>
      </c>
      <c r="Q498" s="675"/>
      <c r="R498" s="675"/>
      <c r="S498" s="675"/>
      <c r="T498" s="676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7">
        <v>4607091389982</v>
      </c>
      <c r="E499" s="678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73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5"/>
      <c r="R499" s="675"/>
      <c r="S499" s="675"/>
      <c r="T499" s="676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7">
        <v>4607091389982</v>
      </c>
      <c r="E500" s="678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5"/>
      <c r="R500" s="675"/>
      <c r="S500" s="675"/>
      <c r="T500" s="676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7">
        <v>4680115886490</v>
      </c>
      <c r="E501" s="678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92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5"/>
      <c r="R501" s="675"/>
      <c r="S501" s="675"/>
      <c r="T501" s="676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97"/>
      <c r="B502" s="680"/>
      <c r="C502" s="680"/>
      <c r="D502" s="680"/>
      <c r="E502" s="680"/>
      <c r="F502" s="680"/>
      <c r="G502" s="680"/>
      <c r="H502" s="680"/>
      <c r="I502" s="680"/>
      <c r="J502" s="680"/>
      <c r="K502" s="680"/>
      <c r="L502" s="680"/>
      <c r="M502" s="680"/>
      <c r="N502" s="680"/>
      <c r="O502" s="698"/>
      <c r="P502" s="699" t="s">
        <v>87</v>
      </c>
      <c r="Q502" s="700"/>
      <c r="R502" s="700"/>
      <c r="S502" s="700"/>
      <c r="T502" s="700"/>
      <c r="U502" s="700"/>
      <c r="V502" s="701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96.590909090909079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96.999999999999986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1.16012</v>
      </c>
      <c r="AA502" s="670"/>
      <c r="AB502" s="670"/>
      <c r="AC502" s="670"/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98"/>
      <c r="P503" s="699" t="s">
        <v>87</v>
      </c>
      <c r="Q503" s="700"/>
      <c r="R503" s="700"/>
      <c r="S503" s="700"/>
      <c r="T503" s="700"/>
      <c r="U503" s="700"/>
      <c r="V503" s="701"/>
      <c r="W503" s="37" t="s">
        <v>68</v>
      </c>
      <c r="X503" s="669">
        <f>IFERROR(SUM(X486:X501),"0")</f>
        <v>510</v>
      </c>
      <c r="Y503" s="669">
        <f>IFERROR(SUM(Y486:Y501),"0")</f>
        <v>512.16</v>
      </c>
      <c r="Z503" s="37"/>
      <c r="AA503" s="670"/>
      <c r="AB503" s="670"/>
      <c r="AC503" s="670"/>
    </row>
    <row r="504" spans="1:68" ht="14.25" customHeight="1" x14ac:dyDescent="0.25">
      <c r="A504" s="679" t="s">
        <v>133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7">
        <v>4607091388930</v>
      </c>
      <c r="E505" s="678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70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5"/>
      <c r="R505" s="675"/>
      <c r="S505" s="675"/>
      <c r="T505" s="676"/>
      <c r="U505" s="34"/>
      <c r="V505" s="34"/>
      <c r="W505" s="35" t="s">
        <v>68</v>
      </c>
      <c r="X505" s="667">
        <v>63</v>
      </c>
      <c r="Y505" s="668">
        <f>IFERROR(IF(X505="",0,CEILING((X505/$H505),1)*$H505),"")</f>
        <v>63.36</v>
      </c>
      <c r="Z505" s="36">
        <f>IFERROR(IF(Y505=0,"",ROUNDUP(Y505/H505,0)*0.01196),"")</f>
        <v>0.14352000000000001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67.295454545454547</v>
      </c>
      <c r="BN505" s="64">
        <f>IFERROR(Y505*I505/H505,"0")</f>
        <v>67.679999999999993</v>
      </c>
      <c r="BO505" s="64">
        <f>IFERROR(1/J505*(X505/H505),"0")</f>
        <v>0.11472902097902099</v>
      </c>
      <c r="BP505" s="64">
        <f>IFERROR(1/J505*(Y505/H505),"0")</f>
        <v>0.11538461538461539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7">
        <v>4607091388930</v>
      </c>
      <c r="E506" s="678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65" t="s">
        <v>789</v>
      </c>
      <c r="Q506" s="675"/>
      <c r="R506" s="675"/>
      <c r="S506" s="675"/>
      <c r="T506" s="676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7">
        <v>4680115886407</v>
      </c>
      <c r="E507" s="678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710" t="s">
        <v>793</v>
      </c>
      <c r="Q507" s="675"/>
      <c r="R507" s="675"/>
      <c r="S507" s="675"/>
      <c r="T507" s="676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7">
        <v>4680115880054</v>
      </c>
      <c r="E508" s="678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986" t="s">
        <v>796</v>
      </c>
      <c r="Q508" s="675"/>
      <c r="R508" s="675"/>
      <c r="S508" s="675"/>
      <c r="T508" s="676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97"/>
      <c r="B509" s="680"/>
      <c r="C509" s="680"/>
      <c r="D509" s="680"/>
      <c r="E509" s="680"/>
      <c r="F509" s="680"/>
      <c r="G509" s="680"/>
      <c r="H509" s="680"/>
      <c r="I509" s="680"/>
      <c r="J509" s="680"/>
      <c r="K509" s="680"/>
      <c r="L509" s="680"/>
      <c r="M509" s="680"/>
      <c r="N509" s="680"/>
      <c r="O509" s="698"/>
      <c r="P509" s="699" t="s">
        <v>87</v>
      </c>
      <c r="Q509" s="700"/>
      <c r="R509" s="700"/>
      <c r="S509" s="700"/>
      <c r="T509" s="700"/>
      <c r="U509" s="700"/>
      <c r="V509" s="701"/>
      <c r="W509" s="37" t="s">
        <v>88</v>
      </c>
      <c r="X509" s="669">
        <f>IFERROR(X505/H505,"0")+IFERROR(X506/H506,"0")+IFERROR(X507/H507,"0")+IFERROR(X508/H508,"0")</f>
        <v>11.931818181818182</v>
      </c>
      <c r="Y509" s="669">
        <f>IFERROR(Y505/H505,"0")+IFERROR(Y506/H506,"0")+IFERROR(Y507/H507,"0")+IFERROR(Y508/H508,"0")</f>
        <v>12</v>
      </c>
      <c r="Z509" s="669">
        <f>IFERROR(IF(Z505="",0,Z505),"0")+IFERROR(IF(Z506="",0,Z506),"0")+IFERROR(IF(Z507="",0,Z507),"0")+IFERROR(IF(Z508="",0,Z508),"0")</f>
        <v>0.14352000000000001</v>
      </c>
      <c r="AA509" s="670"/>
      <c r="AB509" s="670"/>
      <c r="AC509" s="670"/>
    </row>
    <row r="510" spans="1:68" x14ac:dyDescent="0.2">
      <c r="A510" s="680"/>
      <c r="B510" s="680"/>
      <c r="C510" s="680"/>
      <c r="D510" s="680"/>
      <c r="E510" s="680"/>
      <c r="F510" s="680"/>
      <c r="G510" s="680"/>
      <c r="H510" s="680"/>
      <c r="I510" s="680"/>
      <c r="J510" s="680"/>
      <c r="K510" s="680"/>
      <c r="L510" s="680"/>
      <c r="M510" s="680"/>
      <c r="N510" s="680"/>
      <c r="O510" s="698"/>
      <c r="P510" s="699" t="s">
        <v>87</v>
      </c>
      <c r="Q510" s="700"/>
      <c r="R510" s="700"/>
      <c r="S510" s="700"/>
      <c r="T510" s="700"/>
      <c r="U510" s="700"/>
      <c r="V510" s="701"/>
      <c r="W510" s="37" t="s">
        <v>68</v>
      </c>
      <c r="X510" s="669">
        <f>IFERROR(SUM(X505:X508),"0")</f>
        <v>63</v>
      </c>
      <c r="Y510" s="669">
        <f>IFERROR(SUM(Y505:Y508),"0")</f>
        <v>63.36</v>
      </c>
      <c r="Z510" s="37"/>
      <c r="AA510" s="670"/>
      <c r="AB510" s="670"/>
      <c r="AC510" s="670"/>
    </row>
    <row r="511" spans="1:68" ht="14.25" customHeight="1" x14ac:dyDescent="0.25">
      <c r="A511" s="679" t="s">
        <v>144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80"/>
      <c r="R511" s="680"/>
      <c r="S511" s="680"/>
      <c r="T511" s="680"/>
      <c r="U511" s="680"/>
      <c r="V511" s="680"/>
      <c r="W511" s="680"/>
      <c r="X511" s="680"/>
      <c r="Y511" s="680"/>
      <c r="Z511" s="680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7">
        <v>4680115883116</v>
      </c>
      <c r="E512" s="678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841" t="s">
        <v>799</v>
      </c>
      <c r="Q512" s="675"/>
      <c r="R512" s="675"/>
      <c r="S512" s="675"/>
      <c r="T512" s="676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7">
        <v>4680115883093</v>
      </c>
      <c r="E513" s="678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930" t="s">
        <v>803</v>
      </c>
      <c r="Q513" s="675"/>
      <c r="R513" s="675"/>
      <c r="S513" s="675"/>
      <c r="T513" s="676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7">
        <v>4680115883109</v>
      </c>
      <c r="E514" s="678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93" t="s">
        <v>807</v>
      </c>
      <c r="Q514" s="675"/>
      <c r="R514" s="675"/>
      <c r="S514" s="675"/>
      <c r="T514" s="676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7">
        <v>4680115886438</v>
      </c>
      <c r="E515" s="678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742" t="s">
        <v>811</v>
      </c>
      <c r="Q515" s="675"/>
      <c r="R515" s="675"/>
      <c r="S515" s="675"/>
      <c r="T515" s="676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7">
        <v>4680115882072</v>
      </c>
      <c r="E516" s="678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1" t="s">
        <v>814</v>
      </c>
      <c r="Q516" s="675"/>
      <c r="R516" s="675"/>
      <c r="S516" s="675"/>
      <c r="T516" s="676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7">
        <v>4680115882072</v>
      </c>
      <c r="E517" s="678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868" t="s">
        <v>816</v>
      </c>
      <c r="Q517" s="675"/>
      <c r="R517" s="675"/>
      <c r="S517" s="675"/>
      <c r="T517" s="676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7">
        <v>4680115882072</v>
      </c>
      <c r="E518" s="678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104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5"/>
      <c r="R518" s="675"/>
      <c r="S518" s="675"/>
      <c r="T518" s="676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7">
        <v>4680115882102</v>
      </c>
      <c r="E519" s="678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918" t="s">
        <v>821</v>
      </c>
      <c r="Q519" s="675"/>
      <c r="R519" s="675"/>
      <c r="S519" s="675"/>
      <c r="T519" s="676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7">
        <v>4680115882096</v>
      </c>
      <c r="E520" s="678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10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5"/>
      <c r="R520" s="675"/>
      <c r="S520" s="675"/>
      <c r="T520" s="676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7">
        <v>4680115882096</v>
      </c>
      <c r="E521" s="678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1014" t="s">
        <v>826</v>
      </c>
      <c r="Q521" s="675"/>
      <c r="R521" s="675"/>
      <c r="S521" s="675"/>
      <c r="T521" s="676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7">
        <v>4680115882096</v>
      </c>
      <c r="E522" s="678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10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5"/>
      <c r="R522" s="675"/>
      <c r="S522" s="675"/>
      <c r="T522" s="676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97"/>
      <c r="B523" s="680"/>
      <c r="C523" s="680"/>
      <c r="D523" s="680"/>
      <c r="E523" s="680"/>
      <c r="F523" s="680"/>
      <c r="G523" s="680"/>
      <c r="H523" s="680"/>
      <c r="I523" s="680"/>
      <c r="J523" s="680"/>
      <c r="K523" s="680"/>
      <c r="L523" s="680"/>
      <c r="M523" s="680"/>
      <c r="N523" s="680"/>
      <c r="O523" s="698"/>
      <c r="P523" s="699" t="s">
        <v>87</v>
      </c>
      <c r="Q523" s="700"/>
      <c r="R523" s="700"/>
      <c r="S523" s="700"/>
      <c r="T523" s="700"/>
      <c r="U523" s="700"/>
      <c r="V523" s="701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98"/>
      <c r="P524" s="699" t="s">
        <v>87</v>
      </c>
      <c r="Q524" s="700"/>
      <c r="R524" s="700"/>
      <c r="S524" s="700"/>
      <c r="T524" s="700"/>
      <c r="U524" s="700"/>
      <c r="V524" s="701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79" t="s">
        <v>63</v>
      </c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80"/>
      <c r="R525" s="680"/>
      <c r="S525" s="680"/>
      <c r="T525" s="680"/>
      <c r="U525" s="680"/>
      <c r="V525" s="680"/>
      <c r="W525" s="680"/>
      <c r="X525" s="680"/>
      <c r="Y525" s="680"/>
      <c r="Z525" s="680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7">
        <v>4607091383409</v>
      </c>
      <c r="E526" s="678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5"/>
      <c r="R526" s="675"/>
      <c r="S526" s="675"/>
      <c r="T526" s="676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7">
        <v>4607091383416</v>
      </c>
      <c r="E527" s="678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100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5"/>
      <c r="R527" s="675"/>
      <c r="S527" s="675"/>
      <c r="T527" s="676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7">
        <v>4680115883536</v>
      </c>
      <c r="E528" s="678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71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5"/>
      <c r="R528" s="675"/>
      <c r="S528" s="675"/>
      <c r="T528" s="676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97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98"/>
      <c r="P529" s="699" t="s">
        <v>87</v>
      </c>
      <c r="Q529" s="700"/>
      <c r="R529" s="700"/>
      <c r="S529" s="700"/>
      <c r="T529" s="700"/>
      <c r="U529" s="700"/>
      <c r="V529" s="701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98"/>
      <c r="P530" s="699" t="s">
        <v>87</v>
      </c>
      <c r="Q530" s="700"/>
      <c r="R530" s="700"/>
      <c r="S530" s="700"/>
      <c r="T530" s="700"/>
      <c r="U530" s="700"/>
      <c r="V530" s="701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79" t="s">
        <v>170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80"/>
      <c r="R531" s="680"/>
      <c r="S531" s="680"/>
      <c r="T531" s="680"/>
      <c r="U531" s="680"/>
      <c r="V531" s="680"/>
      <c r="W531" s="680"/>
      <c r="X531" s="680"/>
      <c r="Y531" s="680"/>
      <c r="Z531" s="680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7">
        <v>4680115885936</v>
      </c>
      <c r="E532" s="678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846" t="s">
        <v>839</v>
      </c>
      <c r="Q532" s="675"/>
      <c r="R532" s="675"/>
      <c r="S532" s="675"/>
      <c r="T532" s="676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97"/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98"/>
      <c r="P533" s="699" t="s">
        <v>87</v>
      </c>
      <c r="Q533" s="700"/>
      <c r="R533" s="700"/>
      <c r="S533" s="700"/>
      <c r="T533" s="700"/>
      <c r="U533" s="700"/>
      <c r="V533" s="701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80"/>
      <c r="B534" s="680"/>
      <c r="C534" s="680"/>
      <c r="D534" s="680"/>
      <c r="E534" s="680"/>
      <c r="F534" s="680"/>
      <c r="G534" s="680"/>
      <c r="H534" s="680"/>
      <c r="I534" s="680"/>
      <c r="J534" s="680"/>
      <c r="K534" s="680"/>
      <c r="L534" s="680"/>
      <c r="M534" s="680"/>
      <c r="N534" s="680"/>
      <c r="O534" s="698"/>
      <c r="P534" s="699" t="s">
        <v>87</v>
      </c>
      <c r="Q534" s="700"/>
      <c r="R534" s="700"/>
      <c r="S534" s="700"/>
      <c r="T534" s="700"/>
      <c r="U534" s="700"/>
      <c r="V534" s="701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836" t="s">
        <v>841</v>
      </c>
      <c r="B535" s="837"/>
      <c r="C535" s="837"/>
      <c r="D535" s="837"/>
      <c r="E535" s="837"/>
      <c r="F535" s="837"/>
      <c r="G535" s="837"/>
      <c r="H535" s="837"/>
      <c r="I535" s="837"/>
      <c r="J535" s="837"/>
      <c r="K535" s="837"/>
      <c r="L535" s="837"/>
      <c r="M535" s="837"/>
      <c r="N535" s="837"/>
      <c r="O535" s="837"/>
      <c r="P535" s="837"/>
      <c r="Q535" s="837"/>
      <c r="R535" s="837"/>
      <c r="S535" s="837"/>
      <c r="T535" s="837"/>
      <c r="U535" s="837"/>
      <c r="V535" s="837"/>
      <c r="W535" s="837"/>
      <c r="X535" s="837"/>
      <c r="Y535" s="837"/>
      <c r="Z535" s="837"/>
      <c r="AA535" s="48"/>
      <c r="AB535" s="48"/>
      <c r="AC535" s="48"/>
    </row>
    <row r="536" spans="1:68" ht="16.5" customHeight="1" x14ac:dyDescent="0.25">
      <c r="A536" s="706" t="s">
        <v>841</v>
      </c>
      <c r="B536" s="680"/>
      <c r="C536" s="680"/>
      <c r="D536" s="680"/>
      <c r="E536" s="680"/>
      <c r="F536" s="680"/>
      <c r="G536" s="680"/>
      <c r="H536" s="680"/>
      <c r="I536" s="680"/>
      <c r="J536" s="680"/>
      <c r="K536" s="680"/>
      <c r="L536" s="680"/>
      <c r="M536" s="680"/>
      <c r="N536" s="680"/>
      <c r="O536" s="680"/>
      <c r="P536" s="680"/>
      <c r="Q536" s="680"/>
      <c r="R536" s="680"/>
      <c r="S536" s="680"/>
      <c r="T536" s="680"/>
      <c r="U536" s="680"/>
      <c r="V536" s="680"/>
      <c r="W536" s="680"/>
      <c r="X536" s="680"/>
      <c r="Y536" s="680"/>
      <c r="Z536" s="680"/>
      <c r="AA536" s="662"/>
      <c r="AB536" s="662"/>
      <c r="AC536" s="662"/>
    </row>
    <row r="537" spans="1:68" ht="14.25" customHeight="1" x14ac:dyDescent="0.25">
      <c r="A537" s="679" t="s">
        <v>97</v>
      </c>
      <c r="B537" s="680"/>
      <c r="C537" s="680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80"/>
      <c r="R537" s="680"/>
      <c r="S537" s="680"/>
      <c r="T537" s="680"/>
      <c r="U537" s="680"/>
      <c r="V537" s="680"/>
      <c r="W537" s="680"/>
      <c r="X537" s="680"/>
      <c r="Y537" s="680"/>
      <c r="Z537" s="680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7">
        <v>4640242181011</v>
      </c>
      <c r="E538" s="678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78" t="s">
        <v>844</v>
      </c>
      <c r="Q538" s="675"/>
      <c r="R538" s="675"/>
      <c r="S538" s="675"/>
      <c r="T538" s="676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7">
        <v>4640242180441</v>
      </c>
      <c r="E539" s="678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994" t="s">
        <v>848</v>
      </c>
      <c r="Q539" s="675"/>
      <c r="R539" s="675"/>
      <c r="S539" s="675"/>
      <c r="T539" s="676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7">
        <v>4640242180564</v>
      </c>
      <c r="E540" s="678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62" t="s">
        <v>852</v>
      </c>
      <c r="Q540" s="675"/>
      <c r="R540" s="675"/>
      <c r="S540" s="675"/>
      <c r="T540" s="676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7">
        <v>4640242180922</v>
      </c>
      <c r="E541" s="678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824" t="s">
        <v>856</v>
      </c>
      <c r="Q541" s="675"/>
      <c r="R541" s="675"/>
      <c r="S541" s="675"/>
      <c r="T541" s="676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7">
        <v>4640242180038</v>
      </c>
      <c r="E542" s="678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1009" t="s">
        <v>860</v>
      </c>
      <c r="Q542" s="675"/>
      <c r="R542" s="675"/>
      <c r="S542" s="675"/>
      <c r="T542" s="676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7">
        <v>4640242181172</v>
      </c>
      <c r="E543" s="678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2" t="s">
        <v>863</v>
      </c>
      <c r="Q543" s="675"/>
      <c r="R543" s="675"/>
      <c r="S543" s="675"/>
      <c r="T543" s="676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97"/>
      <c r="B544" s="680"/>
      <c r="C544" s="680"/>
      <c r="D544" s="680"/>
      <c r="E544" s="680"/>
      <c r="F544" s="680"/>
      <c r="G544" s="680"/>
      <c r="H544" s="680"/>
      <c r="I544" s="680"/>
      <c r="J544" s="680"/>
      <c r="K544" s="680"/>
      <c r="L544" s="680"/>
      <c r="M544" s="680"/>
      <c r="N544" s="680"/>
      <c r="O544" s="698"/>
      <c r="P544" s="699" t="s">
        <v>87</v>
      </c>
      <c r="Q544" s="700"/>
      <c r="R544" s="700"/>
      <c r="S544" s="700"/>
      <c r="T544" s="700"/>
      <c r="U544" s="700"/>
      <c r="V544" s="701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80"/>
      <c r="B545" s="680"/>
      <c r="C545" s="680"/>
      <c r="D545" s="680"/>
      <c r="E545" s="680"/>
      <c r="F545" s="680"/>
      <c r="G545" s="680"/>
      <c r="H545" s="680"/>
      <c r="I545" s="680"/>
      <c r="J545" s="680"/>
      <c r="K545" s="680"/>
      <c r="L545" s="680"/>
      <c r="M545" s="680"/>
      <c r="N545" s="680"/>
      <c r="O545" s="698"/>
      <c r="P545" s="699" t="s">
        <v>87</v>
      </c>
      <c r="Q545" s="700"/>
      <c r="R545" s="700"/>
      <c r="S545" s="700"/>
      <c r="T545" s="700"/>
      <c r="U545" s="700"/>
      <c r="V545" s="701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79" t="s">
        <v>133</v>
      </c>
      <c r="B546" s="680"/>
      <c r="C546" s="680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80"/>
      <c r="R546" s="680"/>
      <c r="S546" s="680"/>
      <c r="T546" s="680"/>
      <c r="U546" s="680"/>
      <c r="V546" s="680"/>
      <c r="W546" s="680"/>
      <c r="X546" s="680"/>
      <c r="Y546" s="680"/>
      <c r="Z546" s="680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7">
        <v>4640242180519</v>
      </c>
      <c r="E547" s="678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800" t="s">
        <v>866</v>
      </c>
      <c r="Q547" s="675"/>
      <c r="R547" s="675"/>
      <c r="S547" s="675"/>
      <c r="T547" s="676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7">
        <v>4640242180519</v>
      </c>
      <c r="E548" s="678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951" t="s">
        <v>869</v>
      </c>
      <c r="Q548" s="675"/>
      <c r="R548" s="675"/>
      <c r="S548" s="675"/>
      <c r="T548" s="676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7">
        <v>4640242180526</v>
      </c>
      <c r="E549" s="678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1043" t="s">
        <v>873</v>
      </c>
      <c r="Q549" s="675"/>
      <c r="R549" s="675"/>
      <c r="S549" s="675"/>
      <c r="T549" s="676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7">
        <v>4640242180090</v>
      </c>
      <c r="E550" s="678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1023" t="s">
        <v>876</v>
      </c>
      <c r="Q550" s="675"/>
      <c r="R550" s="675"/>
      <c r="S550" s="675"/>
      <c r="T550" s="676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7">
        <v>4640242181363</v>
      </c>
      <c r="E551" s="678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791" t="s">
        <v>880</v>
      </c>
      <c r="Q551" s="675"/>
      <c r="R551" s="675"/>
      <c r="S551" s="675"/>
      <c r="T551" s="676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97"/>
      <c r="B552" s="680"/>
      <c r="C552" s="680"/>
      <c r="D552" s="680"/>
      <c r="E552" s="680"/>
      <c r="F552" s="680"/>
      <c r="G552" s="680"/>
      <c r="H552" s="680"/>
      <c r="I552" s="680"/>
      <c r="J552" s="680"/>
      <c r="K552" s="680"/>
      <c r="L552" s="680"/>
      <c r="M552" s="680"/>
      <c r="N552" s="680"/>
      <c r="O552" s="698"/>
      <c r="P552" s="699" t="s">
        <v>87</v>
      </c>
      <c r="Q552" s="700"/>
      <c r="R552" s="700"/>
      <c r="S552" s="700"/>
      <c r="T552" s="700"/>
      <c r="U552" s="700"/>
      <c r="V552" s="701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80"/>
      <c r="B553" s="680"/>
      <c r="C553" s="680"/>
      <c r="D553" s="680"/>
      <c r="E553" s="680"/>
      <c r="F553" s="680"/>
      <c r="G553" s="680"/>
      <c r="H553" s="680"/>
      <c r="I553" s="680"/>
      <c r="J553" s="680"/>
      <c r="K553" s="680"/>
      <c r="L553" s="680"/>
      <c r="M553" s="680"/>
      <c r="N553" s="680"/>
      <c r="O553" s="698"/>
      <c r="P553" s="699" t="s">
        <v>87</v>
      </c>
      <c r="Q553" s="700"/>
      <c r="R553" s="700"/>
      <c r="S553" s="700"/>
      <c r="T553" s="700"/>
      <c r="U553" s="700"/>
      <c r="V553" s="701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79" t="s">
        <v>144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7">
        <v>4640242180816</v>
      </c>
      <c r="E555" s="678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796" t="s">
        <v>883</v>
      </c>
      <c r="Q555" s="675"/>
      <c r="R555" s="675"/>
      <c r="S555" s="675"/>
      <c r="T555" s="676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7">
        <v>4640242180595</v>
      </c>
      <c r="E556" s="678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964" t="s">
        <v>887</v>
      </c>
      <c r="Q556" s="675"/>
      <c r="R556" s="675"/>
      <c r="S556" s="675"/>
      <c r="T556" s="676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7">
        <v>4640242181615</v>
      </c>
      <c r="E557" s="678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784" t="s">
        <v>891</v>
      </c>
      <c r="Q557" s="675"/>
      <c r="R557" s="675"/>
      <c r="S557" s="675"/>
      <c r="T557" s="676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7">
        <v>4640242181639</v>
      </c>
      <c r="E558" s="678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88" t="s">
        <v>895</v>
      </c>
      <c r="Q558" s="675"/>
      <c r="R558" s="675"/>
      <c r="S558" s="675"/>
      <c r="T558" s="676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7">
        <v>4640242181622</v>
      </c>
      <c r="E559" s="678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847" t="s">
        <v>899</v>
      </c>
      <c r="Q559" s="675"/>
      <c r="R559" s="675"/>
      <c r="S559" s="675"/>
      <c r="T559" s="676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7">
        <v>4640242180908</v>
      </c>
      <c r="E560" s="678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785" t="s">
        <v>903</v>
      </c>
      <c r="Q560" s="675"/>
      <c r="R560" s="675"/>
      <c r="S560" s="675"/>
      <c r="T560" s="676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7">
        <v>4640242180489</v>
      </c>
      <c r="E561" s="678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852" t="s">
        <v>906</v>
      </c>
      <c r="Q561" s="675"/>
      <c r="R561" s="675"/>
      <c r="S561" s="675"/>
      <c r="T561" s="676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97"/>
      <c r="B562" s="680"/>
      <c r="C562" s="680"/>
      <c r="D562" s="680"/>
      <c r="E562" s="680"/>
      <c r="F562" s="680"/>
      <c r="G562" s="680"/>
      <c r="H562" s="680"/>
      <c r="I562" s="680"/>
      <c r="J562" s="680"/>
      <c r="K562" s="680"/>
      <c r="L562" s="680"/>
      <c r="M562" s="680"/>
      <c r="N562" s="680"/>
      <c r="O562" s="698"/>
      <c r="P562" s="699" t="s">
        <v>87</v>
      </c>
      <c r="Q562" s="700"/>
      <c r="R562" s="700"/>
      <c r="S562" s="700"/>
      <c r="T562" s="700"/>
      <c r="U562" s="700"/>
      <c r="V562" s="701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80"/>
      <c r="B563" s="680"/>
      <c r="C563" s="680"/>
      <c r="D563" s="680"/>
      <c r="E563" s="680"/>
      <c r="F563" s="680"/>
      <c r="G563" s="680"/>
      <c r="H563" s="680"/>
      <c r="I563" s="680"/>
      <c r="J563" s="680"/>
      <c r="K563" s="680"/>
      <c r="L563" s="680"/>
      <c r="M563" s="680"/>
      <c r="N563" s="680"/>
      <c r="O563" s="698"/>
      <c r="P563" s="699" t="s">
        <v>87</v>
      </c>
      <c r="Q563" s="700"/>
      <c r="R563" s="700"/>
      <c r="S563" s="700"/>
      <c r="T563" s="700"/>
      <c r="U563" s="700"/>
      <c r="V563" s="701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79" t="s">
        <v>63</v>
      </c>
      <c r="B564" s="680"/>
      <c r="C564" s="680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80"/>
      <c r="R564" s="680"/>
      <c r="S564" s="680"/>
      <c r="T564" s="680"/>
      <c r="U564" s="680"/>
      <c r="V564" s="680"/>
      <c r="W564" s="680"/>
      <c r="X564" s="680"/>
      <c r="Y564" s="680"/>
      <c r="Z564" s="680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7">
        <v>4640242180533</v>
      </c>
      <c r="E565" s="678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1002" t="s">
        <v>909</v>
      </c>
      <c r="Q565" s="675"/>
      <c r="R565" s="675"/>
      <c r="S565" s="675"/>
      <c r="T565" s="676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7">
        <v>4640242180533</v>
      </c>
      <c r="E566" s="678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79" t="s">
        <v>909</v>
      </c>
      <c r="Q566" s="675"/>
      <c r="R566" s="675"/>
      <c r="S566" s="675"/>
      <c r="T566" s="676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7">
        <v>4640242180540</v>
      </c>
      <c r="E567" s="678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806" t="s">
        <v>914</v>
      </c>
      <c r="Q567" s="675"/>
      <c r="R567" s="675"/>
      <c r="S567" s="675"/>
      <c r="T567" s="676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7">
        <v>4640242181233</v>
      </c>
      <c r="E568" s="678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724" t="s">
        <v>918</v>
      </c>
      <c r="Q568" s="675"/>
      <c r="R568" s="675"/>
      <c r="S568" s="675"/>
      <c r="T568" s="676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7">
        <v>4640242181226</v>
      </c>
      <c r="E569" s="678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811" t="s">
        <v>921</v>
      </c>
      <c r="Q569" s="675"/>
      <c r="R569" s="675"/>
      <c r="S569" s="675"/>
      <c r="T569" s="676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97"/>
      <c r="B570" s="680"/>
      <c r="C570" s="680"/>
      <c r="D570" s="680"/>
      <c r="E570" s="680"/>
      <c r="F570" s="680"/>
      <c r="G570" s="680"/>
      <c r="H570" s="680"/>
      <c r="I570" s="680"/>
      <c r="J570" s="680"/>
      <c r="K570" s="680"/>
      <c r="L570" s="680"/>
      <c r="M570" s="680"/>
      <c r="N570" s="680"/>
      <c r="O570" s="698"/>
      <c r="P570" s="699" t="s">
        <v>87</v>
      </c>
      <c r="Q570" s="700"/>
      <c r="R570" s="700"/>
      <c r="S570" s="700"/>
      <c r="T570" s="700"/>
      <c r="U570" s="700"/>
      <c r="V570" s="701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80"/>
      <c r="B571" s="680"/>
      <c r="C571" s="680"/>
      <c r="D571" s="680"/>
      <c r="E571" s="680"/>
      <c r="F571" s="680"/>
      <c r="G571" s="680"/>
      <c r="H571" s="680"/>
      <c r="I571" s="680"/>
      <c r="J571" s="680"/>
      <c r="K571" s="680"/>
      <c r="L571" s="680"/>
      <c r="M571" s="680"/>
      <c r="N571" s="680"/>
      <c r="O571" s="698"/>
      <c r="P571" s="699" t="s">
        <v>87</v>
      </c>
      <c r="Q571" s="700"/>
      <c r="R571" s="700"/>
      <c r="S571" s="700"/>
      <c r="T571" s="700"/>
      <c r="U571" s="700"/>
      <c r="V571" s="701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79" t="s">
        <v>170</v>
      </c>
      <c r="B572" s="680"/>
      <c r="C572" s="680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80"/>
      <c r="R572" s="680"/>
      <c r="S572" s="680"/>
      <c r="T572" s="680"/>
      <c r="U572" s="680"/>
      <c r="V572" s="680"/>
      <c r="W572" s="680"/>
      <c r="X572" s="680"/>
      <c r="Y572" s="680"/>
      <c r="Z572" s="680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7">
        <v>4640242180120</v>
      </c>
      <c r="E573" s="678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989" t="s">
        <v>924</v>
      </c>
      <c r="Q573" s="675"/>
      <c r="R573" s="675"/>
      <c r="S573" s="675"/>
      <c r="T573" s="676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7">
        <v>4640242180120</v>
      </c>
      <c r="E574" s="678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941" t="s">
        <v>927</v>
      </c>
      <c r="Q574" s="675"/>
      <c r="R574" s="675"/>
      <c r="S574" s="675"/>
      <c r="T574" s="676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7">
        <v>4640242180137</v>
      </c>
      <c r="E575" s="678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789" t="s">
        <v>930</v>
      </c>
      <c r="Q575" s="675"/>
      <c r="R575" s="675"/>
      <c r="S575" s="675"/>
      <c r="T575" s="676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7">
        <v>4640242180137</v>
      </c>
      <c r="E576" s="678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777" t="s">
        <v>933</v>
      </c>
      <c r="Q576" s="675"/>
      <c r="R576" s="675"/>
      <c r="S576" s="675"/>
      <c r="T576" s="676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97"/>
      <c r="B577" s="680"/>
      <c r="C577" s="680"/>
      <c r="D577" s="680"/>
      <c r="E577" s="680"/>
      <c r="F577" s="680"/>
      <c r="G577" s="680"/>
      <c r="H577" s="680"/>
      <c r="I577" s="680"/>
      <c r="J577" s="680"/>
      <c r="K577" s="680"/>
      <c r="L577" s="680"/>
      <c r="M577" s="680"/>
      <c r="N577" s="680"/>
      <c r="O577" s="698"/>
      <c r="P577" s="699" t="s">
        <v>87</v>
      </c>
      <c r="Q577" s="700"/>
      <c r="R577" s="700"/>
      <c r="S577" s="700"/>
      <c r="T577" s="700"/>
      <c r="U577" s="700"/>
      <c r="V577" s="701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98"/>
      <c r="P578" s="699" t="s">
        <v>87</v>
      </c>
      <c r="Q578" s="700"/>
      <c r="R578" s="700"/>
      <c r="S578" s="700"/>
      <c r="T578" s="700"/>
      <c r="U578" s="700"/>
      <c r="V578" s="701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706" t="s">
        <v>934</v>
      </c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0"/>
      <c r="P579" s="680"/>
      <c r="Q579" s="680"/>
      <c r="R579" s="680"/>
      <c r="S579" s="680"/>
      <c r="T579" s="680"/>
      <c r="U579" s="680"/>
      <c r="V579" s="680"/>
      <c r="W579" s="680"/>
      <c r="X579" s="680"/>
      <c r="Y579" s="680"/>
      <c r="Z579" s="680"/>
      <c r="AA579" s="662"/>
      <c r="AB579" s="662"/>
      <c r="AC579" s="662"/>
    </row>
    <row r="580" spans="1:68" ht="14.25" customHeight="1" x14ac:dyDescent="0.25">
      <c r="A580" s="679" t="s">
        <v>97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7">
        <v>4640242180045</v>
      </c>
      <c r="E581" s="678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917" t="s">
        <v>937</v>
      </c>
      <c r="Q581" s="675"/>
      <c r="R581" s="675"/>
      <c r="S581" s="675"/>
      <c r="T581" s="676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97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98"/>
      <c r="P582" s="699" t="s">
        <v>87</v>
      </c>
      <c r="Q582" s="700"/>
      <c r="R582" s="700"/>
      <c r="S582" s="700"/>
      <c r="T582" s="700"/>
      <c r="U582" s="700"/>
      <c r="V582" s="701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98"/>
      <c r="P583" s="699" t="s">
        <v>87</v>
      </c>
      <c r="Q583" s="700"/>
      <c r="R583" s="700"/>
      <c r="S583" s="700"/>
      <c r="T583" s="700"/>
      <c r="U583" s="700"/>
      <c r="V583" s="701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79" t="s">
        <v>133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7">
        <v>4640242180090</v>
      </c>
      <c r="E585" s="678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948" t="s">
        <v>941</v>
      </c>
      <c r="Q585" s="675"/>
      <c r="R585" s="675"/>
      <c r="S585" s="675"/>
      <c r="T585" s="676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97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98"/>
      <c r="P586" s="699" t="s">
        <v>87</v>
      </c>
      <c r="Q586" s="700"/>
      <c r="R586" s="700"/>
      <c r="S586" s="700"/>
      <c r="T586" s="700"/>
      <c r="U586" s="700"/>
      <c r="V586" s="701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98"/>
      <c r="P587" s="699" t="s">
        <v>87</v>
      </c>
      <c r="Q587" s="700"/>
      <c r="R587" s="700"/>
      <c r="S587" s="700"/>
      <c r="T587" s="700"/>
      <c r="U587" s="700"/>
      <c r="V587" s="701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79" t="s">
        <v>144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7">
        <v>4640242180076</v>
      </c>
      <c r="E589" s="678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725" t="s">
        <v>945</v>
      </c>
      <c r="Q589" s="675"/>
      <c r="R589" s="675"/>
      <c r="S589" s="675"/>
      <c r="T589" s="676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97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98"/>
      <c r="P590" s="699" t="s">
        <v>87</v>
      </c>
      <c r="Q590" s="700"/>
      <c r="R590" s="700"/>
      <c r="S590" s="700"/>
      <c r="T590" s="700"/>
      <c r="U590" s="700"/>
      <c r="V590" s="701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98"/>
      <c r="P591" s="699" t="s">
        <v>87</v>
      </c>
      <c r="Q591" s="700"/>
      <c r="R591" s="700"/>
      <c r="S591" s="700"/>
      <c r="T591" s="700"/>
      <c r="U591" s="700"/>
      <c r="V591" s="701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79" t="s">
        <v>63</v>
      </c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80"/>
      <c r="R592" s="680"/>
      <c r="S592" s="680"/>
      <c r="T592" s="680"/>
      <c r="U592" s="680"/>
      <c r="V592" s="680"/>
      <c r="W592" s="680"/>
      <c r="X592" s="680"/>
      <c r="Y592" s="680"/>
      <c r="Z592" s="680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7">
        <v>4640242180113</v>
      </c>
      <c r="E593" s="678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925" t="s">
        <v>949</v>
      </c>
      <c r="Q593" s="675"/>
      <c r="R593" s="675"/>
      <c r="S593" s="675"/>
      <c r="T593" s="676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97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98"/>
      <c r="P594" s="699" t="s">
        <v>87</v>
      </c>
      <c r="Q594" s="700"/>
      <c r="R594" s="700"/>
      <c r="S594" s="700"/>
      <c r="T594" s="700"/>
      <c r="U594" s="700"/>
      <c r="V594" s="701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98"/>
      <c r="P595" s="699" t="s">
        <v>87</v>
      </c>
      <c r="Q595" s="700"/>
      <c r="R595" s="700"/>
      <c r="S595" s="700"/>
      <c r="T595" s="700"/>
      <c r="U595" s="700"/>
      <c r="V595" s="701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691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92"/>
      <c r="P596" s="671" t="s">
        <v>951</v>
      </c>
      <c r="Q596" s="672"/>
      <c r="R596" s="672"/>
      <c r="S596" s="672"/>
      <c r="T596" s="672"/>
      <c r="U596" s="672"/>
      <c r="V596" s="673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4015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4095.72</v>
      </c>
      <c r="Z596" s="37"/>
      <c r="AA596" s="670"/>
      <c r="AB596" s="670"/>
      <c r="AC596" s="670"/>
    </row>
    <row r="597" spans="1:68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92"/>
      <c r="P597" s="671" t="s">
        <v>952</v>
      </c>
      <c r="Q597" s="672"/>
      <c r="R597" s="672"/>
      <c r="S597" s="672"/>
      <c r="T597" s="672"/>
      <c r="U597" s="672"/>
      <c r="V597" s="673"/>
      <c r="W597" s="37" t="s">
        <v>68</v>
      </c>
      <c r="X597" s="669">
        <f>IFERROR(SUM(BM22:BM593),"0")</f>
        <v>4241.909997397498</v>
      </c>
      <c r="Y597" s="669">
        <f>IFERROR(SUM(BN22:BN593),"0")</f>
        <v>4326.5509999999995</v>
      </c>
      <c r="Z597" s="37"/>
      <c r="AA597" s="670"/>
      <c r="AB597" s="670"/>
      <c r="AC597" s="670"/>
    </row>
    <row r="598" spans="1:68" x14ac:dyDescent="0.2">
      <c r="A598" s="680"/>
      <c r="B598" s="680"/>
      <c r="C598" s="680"/>
      <c r="D598" s="680"/>
      <c r="E598" s="680"/>
      <c r="F598" s="680"/>
      <c r="G598" s="680"/>
      <c r="H598" s="680"/>
      <c r="I598" s="680"/>
      <c r="J598" s="680"/>
      <c r="K598" s="680"/>
      <c r="L598" s="680"/>
      <c r="M598" s="680"/>
      <c r="N598" s="680"/>
      <c r="O598" s="692"/>
      <c r="P598" s="671" t="s">
        <v>953</v>
      </c>
      <c r="Q598" s="672"/>
      <c r="R598" s="672"/>
      <c r="S598" s="672"/>
      <c r="T598" s="672"/>
      <c r="U598" s="672"/>
      <c r="V598" s="673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80"/>
      <c r="B599" s="680"/>
      <c r="C599" s="680"/>
      <c r="D599" s="680"/>
      <c r="E599" s="680"/>
      <c r="F599" s="680"/>
      <c r="G599" s="680"/>
      <c r="H599" s="680"/>
      <c r="I599" s="680"/>
      <c r="J599" s="680"/>
      <c r="K599" s="680"/>
      <c r="L599" s="680"/>
      <c r="M599" s="680"/>
      <c r="N599" s="680"/>
      <c r="O599" s="692"/>
      <c r="P599" s="671" t="s">
        <v>955</v>
      </c>
      <c r="Q599" s="672"/>
      <c r="R599" s="672"/>
      <c r="S599" s="672"/>
      <c r="T599" s="672"/>
      <c r="U599" s="672"/>
      <c r="V599" s="673"/>
      <c r="W599" s="37" t="s">
        <v>68</v>
      </c>
      <c r="X599" s="669">
        <f>GrossWeightTotal+PalletQtyTotal*25</f>
        <v>4416.909997397498</v>
      </c>
      <c r="Y599" s="669">
        <f>GrossWeightTotalR+PalletQtyTotalR*25</f>
        <v>4501.5509999999995</v>
      </c>
      <c r="Z599" s="37"/>
      <c r="AA599" s="670"/>
      <c r="AB599" s="670"/>
      <c r="AC599" s="670"/>
    </row>
    <row r="600" spans="1:68" x14ac:dyDescent="0.2">
      <c r="A600" s="680"/>
      <c r="B600" s="680"/>
      <c r="C600" s="680"/>
      <c r="D600" s="680"/>
      <c r="E600" s="680"/>
      <c r="F600" s="680"/>
      <c r="G600" s="680"/>
      <c r="H600" s="680"/>
      <c r="I600" s="680"/>
      <c r="J600" s="680"/>
      <c r="K600" s="680"/>
      <c r="L600" s="680"/>
      <c r="M600" s="680"/>
      <c r="N600" s="680"/>
      <c r="O600" s="692"/>
      <c r="P600" s="671" t="s">
        <v>956</v>
      </c>
      <c r="Q600" s="672"/>
      <c r="R600" s="672"/>
      <c r="S600" s="672"/>
      <c r="T600" s="672"/>
      <c r="U600" s="672"/>
      <c r="V600" s="673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684.17286367286363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696</v>
      </c>
      <c r="Z600" s="37"/>
      <c r="AA600" s="670"/>
      <c r="AB600" s="670"/>
      <c r="AC600" s="670"/>
    </row>
    <row r="601" spans="1:68" ht="14.25" customHeight="1" x14ac:dyDescent="0.2">
      <c r="A601" s="680"/>
      <c r="B601" s="680"/>
      <c r="C601" s="680"/>
      <c r="D601" s="680"/>
      <c r="E601" s="680"/>
      <c r="F601" s="680"/>
      <c r="G601" s="680"/>
      <c r="H601" s="680"/>
      <c r="I601" s="680"/>
      <c r="J601" s="680"/>
      <c r="K601" s="680"/>
      <c r="L601" s="680"/>
      <c r="M601" s="680"/>
      <c r="N601" s="680"/>
      <c r="O601" s="692"/>
      <c r="P601" s="671" t="s">
        <v>957</v>
      </c>
      <c r="Q601" s="672"/>
      <c r="R601" s="672"/>
      <c r="S601" s="672"/>
      <c r="T601" s="672"/>
      <c r="U601" s="672"/>
      <c r="V601" s="673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8.1748899999999995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33" t="s">
        <v>95</v>
      </c>
      <c r="D603" s="734"/>
      <c r="E603" s="734"/>
      <c r="F603" s="734"/>
      <c r="G603" s="734"/>
      <c r="H603" s="735"/>
      <c r="I603" s="733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33" t="s">
        <v>597</v>
      </c>
      <c r="X603" s="735"/>
      <c r="Y603" s="733" t="s">
        <v>669</v>
      </c>
      <c r="Z603" s="734"/>
      <c r="AA603" s="734"/>
      <c r="AB603" s="735"/>
      <c r="AC603" s="664" t="s">
        <v>744</v>
      </c>
      <c r="AD603" s="733" t="s">
        <v>841</v>
      </c>
      <c r="AE603" s="735"/>
      <c r="AF603" s="665"/>
    </row>
    <row r="604" spans="1:68" ht="14.25" customHeight="1" thickTop="1" x14ac:dyDescent="0.2">
      <c r="A604" s="804" t="s">
        <v>960</v>
      </c>
      <c r="B604" s="733" t="s">
        <v>62</v>
      </c>
      <c r="C604" s="733" t="s">
        <v>96</v>
      </c>
      <c r="D604" s="733" t="s">
        <v>115</v>
      </c>
      <c r="E604" s="733" t="s">
        <v>178</v>
      </c>
      <c r="F604" s="733" t="s">
        <v>209</v>
      </c>
      <c r="G604" s="733" t="s">
        <v>252</v>
      </c>
      <c r="H604" s="733" t="s">
        <v>95</v>
      </c>
      <c r="I604" s="733" t="s">
        <v>280</v>
      </c>
      <c r="J604" s="733" t="s">
        <v>326</v>
      </c>
      <c r="K604" s="733" t="s">
        <v>387</v>
      </c>
      <c r="L604" s="733" t="s">
        <v>434</v>
      </c>
      <c r="M604" s="733" t="s">
        <v>452</v>
      </c>
      <c r="N604" s="665"/>
      <c r="O604" s="733" t="s">
        <v>456</v>
      </c>
      <c r="P604" s="733" t="s">
        <v>469</v>
      </c>
      <c r="Q604" s="733" t="s">
        <v>483</v>
      </c>
      <c r="R604" s="733" t="s">
        <v>493</v>
      </c>
      <c r="S604" s="733" t="s">
        <v>497</v>
      </c>
      <c r="T604" s="733" t="s">
        <v>505</v>
      </c>
      <c r="U604" s="733" t="s">
        <v>510</v>
      </c>
      <c r="V604" s="733" t="s">
        <v>584</v>
      </c>
      <c r="W604" s="733" t="s">
        <v>598</v>
      </c>
      <c r="X604" s="733" t="s">
        <v>639</v>
      </c>
      <c r="Y604" s="733" t="s">
        <v>670</v>
      </c>
      <c r="Z604" s="733" t="s">
        <v>709</v>
      </c>
      <c r="AA604" s="733" t="s">
        <v>729</v>
      </c>
      <c r="AB604" s="733" t="s">
        <v>737</v>
      </c>
      <c r="AC604" s="733" t="s">
        <v>744</v>
      </c>
      <c r="AD604" s="733" t="s">
        <v>841</v>
      </c>
      <c r="AE604" s="733" t="s">
        <v>934</v>
      </c>
      <c r="AF604" s="665"/>
    </row>
    <row r="605" spans="1:68" ht="13.5" customHeight="1" thickBot="1" x14ac:dyDescent="0.25">
      <c r="A605" s="805"/>
      <c r="B605" s="743"/>
      <c r="C605" s="743"/>
      <c r="D605" s="743"/>
      <c r="E605" s="743"/>
      <c r="F605" s="743"/>
      <c r="G605" s="743"/>
      <c r="H605" s="743"/>
      <c r="I605" s="743"/>
      <c r="J605" s="743"/>
      <c r="K605" s="743"/>
      <c r="L605" s="743"/>
      <c r="M605" s="743"/>
      <c r="N605" s="665"/>
      <c r="O605" s="743"/>
      <c r="P605" s="743"/>
      <c r="Q605" s="743"/>
      <c r="R605" s="743"/>
      <c r="S605" s="743"/>
      <c r="T605" s="743"/>
      <c r="U605" s="743"/>
      <c r="V605" s="743"/>
      <c r="W605" s="743"/>
      <c r="X605" s="743"/>
      <c r="Y605" s="743"/>
      <c r="Z605" s="743"/>
      <c r="AA605" s="743"/>
      <c r="AB605" s="743"/>
      <c r="AC605" s="743"/>
      <c r="AD605" s="743"/>
      <c r="AE605" s="743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227.40000000000003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136.80000000000001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58.800000000000004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508.2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76.800000000000011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720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45.599999999999994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120.60000000000001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996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630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575.52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365:E365"/>
    <mergeCell ref="P91:V91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2025-04-28T10:50:59Z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