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DC39718C-FA44-401D-9906-F6A5C4237A7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Y246" i="1" s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Y126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6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2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7" i="1" s="1"/>
  <c r="Z22" i="1"/>
  <c r="Y22" i="1"/>
  <c r="P22" i="1"/>
  <c r="H10" i="1"/>
  <c r="F10" i="1"/>
  <c r="J9" i="1"/>
  <c r="F9" i="1"/>
  <c r="A9" i="1"/>
  <c r="A10" i="1" s="1"/>
  <c r="D7" i="1"/>
  <c r="Q6" i="1"/>
  <c r="P2" i="1"/>
  <c r="X599" i="1" l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Z212" i="1" s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1" i="1" s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Z281" i="1"/>
  <c r="BP278" i="1"/>
  <c r="BN278" i="1"/>
  <c r="Z278" i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1" i="1"/>
  <c r="BN441" i="1"/>
  <c r="Z441" i="1"/>
  <c r="Z448" i="1" s="1"/>
  <c r="BP444" i="1"/>
  <c r="BN444" i="1"/>
  <c r="Z444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Z23" i="1"/>
  <c r="Z28" i="1" s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598" i="1" s="1"/>
  <c r="Z37" i="1"/>
  <c r="BN37" i="1"/>
  <c r="Y597" i="1" s="1"/>
  <c r="Y599" i="1" s="1"/>
  <c r="BP37" i="1"/>
  <c r="Z39" i="1"/>
  <c r="BN39" i="1"/>
  <c r="Y42" i="1"/>
  <c r="D606" i="1"/>
  <c r="Z50" i="1"/>
  <c r="Z55" i="1" s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20" i="1"/>
  <c r="Z126" i="1" s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Z158" i="1" s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Y281" i="1"/>
  <c r="Z290" i="1"/>
  <c r="BP286" i="1"/>
  <c r="BN286" i="1"/>
  <c r="Z286" i="1"/>
  <c r="Y290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Z348" i="1" s="1"/>
  <c r="Y348" i="1"/>
  <c r="Z354" i="1"/>
  <c r="BP352" i="1"/>
  <c r="BN352" i="1"/>
  <c r="Z352" i="1"/>
  <c r="Y354" i="1"/>
  <c r="BP465" i="1"/>
  <c r="BN465" i="1"/>
  <c r="Z465" i="1"/>
  <c r="Y467" i="1"/>
  <c r="AA606" i="1"/>
  <c r="Y472" i="1"/>
  <c r="Y473" i="1"/>
  <c r="BP470" i="1"/>
  <c r="BN470" i="1"/>
  <c r="Z470" i="1"/>
  <c r="Z472" i="1" s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Z529" i="1"/>
  <c r="BP527" i="1"/>
  <c r="BN527" i="1"/>
  <c r="Z527" i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Z361" i="1" s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570" i="1" l="1"/>
  <c r="Z502" i="1"/>
  <c r="Z393" i="1"/>
  <c r="Y600" i="1"/>
  <c r="Z180" i="1"/>
  <c r="Y596" i="1"/>
  <c r="Z552" i="1"/>
  <c r="Z523" i="1"/>
  <c r="Z340" i="1"/>
  <c r="Z268" i="1"/>
  <c r="Z258" i="1"/>
  <c r="Z224" i="1"/>
  <c r="Z186" i="1"/>
  <c r="Z102" i="1"/>
  <c r="Z90" i="1"/>
  <c r="Z62" i="1"/>
  <c r="Z41" i="1"/>
  <c r="Z601" i="1" s="1"/>
  <c r="Z416" i="1"/>
  <c r="Z378" i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<sst xmlns="http://schemas.openxmlformats.org/spreadsheetml/2006/main" count="2760" uniqueCount="998">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</sst>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5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20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21</v>
      </c>
      <c r="Q10" s="863"/>
      <c r="R10" s="864"/>
      <c r="U10" s="24" t="s">
        <v>22</v>
      </c>
      <c r="V10" s="715" t="s">
        <v>23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2"/>
      <c r="R11" s="803"/>
      <c r="U11" s="24" t="s">
        <v>26</v>
      </c>
      <c r="V11" s="968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28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29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30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31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32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33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34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35</v>
      </c>
      <c r="B17" s="712" t="s">
        <v>36</v>
      </c>
      <c r="C17" s="819" t="s">
        <v>37</v>
      </c>
      <c r="D17" s="712" t="s">
        <v>38</v>
      </c>
      <c r="E17" s="776"/>
      <c r="F17" s="712" t="s">
        <v>39</v>
      </c>
      <c r="G17" s="712" t="s">
        <v>40</v>
      </c>
      <c r="H17" s="712" t="s">
        <v>41</v>
      </c>
      <c r="I17" s="712" t="s">
        <v>42</v>
      </c>
      <c r="J17" s="712" t="s">
        <v>43</v>
      </c>
      <c r="K17" s="712" t="s">
        <v>44</v>
      </c>
      <c r="L17" s="712" t="s">
        <v>45</v>
      </c>
      <c r="M17" s="712" t="s">
        <v>46</v>
      </c>
      <c r="N17" s="712" t="s">
        <v>47</v>
      </c>
      <c r="O17" s="712" t="s">
        <v>48</v>
      </c>
      <c r="P17" s="712" t="s">
        <v>49</v>
      </c>
      <c r="Q17" s="775"/>
      <c r="R17" s="775"/>
      <c r="S17" s="775"/>
      <c r="T17" s="776"/>
      <c r="U17" s="1043" t="s">
        <v>50</v>
      </c>
      <c r="V17" s="806"/>
      <c r="W17" s="712" t="s">
        <v>51</v>
      </c>
      <c r="X17" s="712" t="s">
        <v>52</v>
      </c>
      <c r="Y17" s="1040" t="s">
        <v>53</v>
      </c>
      <c r="Z17" s="940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7"/>
      <c r="AF17" s="99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60</v>
      </c>
      <c r="V18" s="67" t="s">
        <v>61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62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5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4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87</v>
      </c>
      <c r="Q28" s="689"/>
      <c r="R28" s="689"/>
      <c r="S28" s="689"/>
      <c r="T28" s="689"/>
      <c r="U28" s="689"/>
      <c r="V28" s="690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87</v>
      </c>
      <c r="Q29" s="689"/>
      <c r="R29" s="689"/>
      <c r="S29" s="689"/>
      <c r="T29" s="689"/>
      <c r="U29" s="689"/>
      <c r="V29" s="690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87</v>
      </c>
      <c r="Q32" s="689"/>
      <c r="R32" s="689"/>
      <c r="S32" s="689"/>
      <c r="T32" s="689"/>
      <c r="U32" s="689"/>
      <c r="V32" s="690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87</v>
      </c>
      <c r="Q33" s="689"/>
      <c r="R33" s="689"/>
      <c r="S33" s="689"/>
      <c r="T33" s="689"/>
      <c r="U33" s="689"/>
      <c r="V33" s="690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87</v>
      </c>
      <c r="Q41" s="689"/>
      <c r="R41" s="689"/>
      <c r="S41" s="689"/>
      <c r="T41" s="689"/>
      <c r="U41" s="689"/>
      <c r="V41" s="690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87</v>
      </c>
      <c r="Q42" s="689"/>
      <c r="R42" s="689"/>
      <c r="S42" s="689"/>
      <c r="T42" s="689"/>
      <c r="U42" s="689"/>
      <c r="V42" s="690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customHeight="1" x14ac:dyDescent="0.25">
      <c r="A43" s="684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87</v>
      </c>
      <c r="Q45" s="689"/>
      <c r="R45" s="689"/>
      <c r="S45" s="689"/>
      <c r="T45" s="689"/>
      <c r="U45" s="689"/>
      <c r="V45" s="690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87</v>
      </c>
      <c r="Q46" s="689"/>
      <c r="R46" s="689"/>
      <c r="S46" s="689"/>
      <c r="T46" s="689"/>
      <c r="U46" s="689"/>
      <c r="V46" s="690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87</v>
      </c>
      <c r="Q55" s="689"/>
      <c r="R55" s="689"/>
      <c r="S55" s="689"/>
      <c r="T55" s="689"/>
      <c r="U55" s="689"/>
      <c r="V55" s="690"/>
      <c r="W55" s="37" t="s">
        <v>88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87</v>
      </c>
      <c r="Q56" s="689"/>
      <c r="R56" s="689"/>
      <c r="S56" s="689"/>
      <c r="T56" s="689"/>
      <c r="U56" s="689"/>
      <c r="V56" s="690"/>
      <c r="W56" s="37" t="s">
        <v>68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customHeight="1" x14ac:dyDescent="0.25">
      <c r="A57" s="684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7">
        <v>43</v>
      </c>
      <c r="Y58" s="668">
        <f>IFERROR(IF(X58="",0,CEILING((X58/$H58),1)*$H58),"")</f>
        <v>43.2</v>
      </c>
      <c r="Z58" s="36">
        <f>IFERROR(IF(Y58=0,"",ROUNDUP(Y58/H58,0)*0.01898),"")</f>
        <v>7.5920000000000001E-2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44.731944444444437</v>
      </c>
      <c r="BN58" s="64">
        <f>IFERROR(Y58*I58/H58,"0")</f>
        <v>44.94</v>
      </c>
      <c r="BO58" s="64">
        <f>IFERROR(1/J58*(X58/H58),"0")</f>
        <v>6.2210648148148147E-2</v>
      </c>
      <c r="BP58" s="64">
        <f>IFERROR(1/J58*(Y58/H58),"0")</f>
        <v>6.25E-2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87</v>
      </c>
      <c r="Q62" s="689"/>
      <c r="R62" s="689"/>
      <c r="S62" s="689"/>
      <c r="T62" s="689"/>
      <c r="U62" s="689"/>
      <c r="V62" s="690"/>
      <c r="W62" s="37" t="s">
        <v>88</v>
      </c>
      <c r="X62" s="669">
        <f>IFERROR(X58/H58,"0")+IFERROR(X59/H59,"0")+IFERROR(X60/H60,"0")+IFERROR(X61/H61,"0")</f>
        <v>3.9814814814814814</v>
      </c>
      <c r="Y62" s="669">
        <f>IFERROR(Y58/H58,"0")+IFERROR(Y59/H59,"0")+IFERROR(Y60/H60,"0")+IFERROR(Y61/H61,"0")</f>
        <v>4</v>
      </c>
      <c r="Z62" s="669">
        <f>IFERROR(IF(Z58="",0,Z58),"0")+IFERROR(IF(Z59="",0,Z59),"0")+IFERROR(IF(Z60="",0,Z60),"0")+IFERROR(IF(Z61="",0,Z61),"0")</f>
        <v>7.5920000000000001E-2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87</v>
      </c>
      <c r="Q63" s="689"/>
      <c r="R63" s="689"/>
      <c r="S63" s="689"/>
      <c r="T63" s="689"/>
      <c r="U63" s="689"/>
      <c r="V63" s="690"/>
      <c r="W63" s="37" t="s">
        <v>68</v>
      </c>
      <c r="X63" s="669">
        <f>IFERROR(SUM(X58:X61),"0")</f>
        <v>43</v>
      </c>
      <c r="Y63" s="669">
        <f>IFERROR(SUM(Y58:Y61),"0")</f>
        <v>43.2</v>
      </c>
      <c r="Z63" s="37"/>
      <c r="AA63" s="670"/>
      <c r="AB63" s="670"/>
      <c r="AC63" s="670"/>
    </row>
    <row r="64" spans="1:68" ht="14.25" customHeight="1" x14ac:dyDescent="0.25">
      <c r="A64" s="684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7">
        <v>18</v>
      </c>
      <c r="Y67" s="668">
        <f>IFERROR(IF(X67="",0,CEILING((X67/$H67),1)*$H67),"")</f>
        <v>18</v>
      </c>
      <c r="Z67" s="36">
        <f>IFERROR(IF(Y67=0,"",ROUNDUP(Y67/H67,0)*0.00502),"")</f>
        <v>5.0200000000000002E-2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18.999999999999996</v>
      </c>
      <c r="BN67" s="64">
        <f>IFERROR(Y67*I67/H67,"0")</f>
        <v>18.999999999999996</v>
      </c>
      <c r="BO67" s="64">
        <f>IFERROR(1/J67*(X67/H67),"0")</f>
        <v>4.2735042735042736E-2</v>
      </c>
      <c r="BP67" s="64">
        <f>IFERROR(1/J67*(Y67/H67),"0")</f>
        <v>4.2735042735042736E-2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87</v>
      </c>
      <c r="Q68" s="689"/>
      <c r="R68" s="689"/>
      <c r="S68" s="689"/>
      <c r="T68" s="689"/>
      <c r="U68" s="689"/>
      <c r="V68" s="690"/>
      <c r="W68" s="37" t="s">
        <v>88</v>
      </c>
      <c r="X68" s="669">
        <f>IFERROR(X65/H65,"0")+IFERROR(X66/H66,"0")+IFERROR(X67/H67,"0")</f>
        <v>10</v>
      </c>
      <c r="Y68" s="669">
        <f>IFERROR(Y65/H65,"0")+IFERROR(Y66/H66,"0")+IFERROR(Y67/H67,"0")</f>
        <v>10</v>
      </c>
      <c r="Z68" s="669">
        <f>IFERROR(IF(Z65="",0,Z65),"0")+IFERROR(IF(Z66="",0,Z66),"0")+IFERROR(IF(Z67="",0,Z67),"0")</f>
        <v>5.0200000000000002E-2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87</v>
      </c>
      <c r="Q69" s="689"/>
      <c r="R69" s="689"/>
      <c r="S69" s="689"/>
      <c r="T69" s="689"/>
      <c r="U69" s="689"/>
      <c r="V69" s="690"/>
      <c r="W69" s="37" t="s">
        <v>68</v>
      </c>
      <c r="X69" s="669">
        <f>IFERROR(SUM(X65:X67),"0")</f>
        <v>18</v>
      </c>
      <c r="Y69" s="669">
        <f>IFERROR(SUM(Y65:Y67),"0")</f>
        <v>18</v>
      </c>
      <c r="Z69" s="37"/>
      <c r="AA69" s="670"/>
      <c r="AB69" s="670"/>
      <c r="AC69" s="670"/>
    </row>
    <row r="70" spans="1:68" ht="14.25" customHeight="1" x14ac:dyDescent="0.25">
      <c r="A70" s="684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7">
        <v>6</v>
      </c>
      <c r="Y72" s="668">
        <f t="shared" si="11"/>
        <v>8.4</v>
      </c>
      <c r="Z72" s="36">
        <f>IFERROR(IF(Y72=0,"",ROUNDUP(Y72/H72,0)*0.01898),"")</f>
        <v>1.898E-2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6.3107142857142859</v>
      </c>
      <c r="BN72" s="64">
        <f t="shared" si="13"/>
        <v>8.8350000000000009</v>
      </c>
      <c r="BO72" s="64">
        <f t="shared" si="14"/>
        <v>1.1160714285714286E-2</v>
      </c>
      <c r="BP72" s="64">
        <f t="shared" si="15"/>
        <v>1.5625E-2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87</v>
      </c>
      <c r="Q77" s="689"/>
      <c r="R77" s="689"/>
      <c r="S77" s="689"/>
      <c r="T77" s="689"/>
      <c r="U77" s="689"/>
      <c r="V77" s="690"/>
      <c r="W77" s="37" t="s">
        <v>88</v>
      </c>
      <c r="X77" s="669">
        <f>IFERROR(X71/H71,"0")+IFERROR(X72/H72,"0")+IFERROR(X73/H73,"0")+IFERROR(X74/H74,"0")+IFERROR(X75/H75,"0")+IFERROR(X76/H76,"0")</f>
        <v>0.7142857142857143</v>
      </c>
      <c r="Y77" s="669">
        <f>IFERROR(Y71/H71,"0")+IFERROR(Y72/H72,"0")+IFERROR(Y73/H73,"0")+IFERROR(Y74/H74,"0")+IFERROR(Y75/H75,"0")+IFERROR(Y76/H76,"0")</f>
        <v>1</v>
      </c>
      <c r="Z77" s="669">
        <f>IFERROR(IF(Z71="",0,Z71),"0")+IFERROR(IF(Z72="",0,Z72),"0")+IFERROR(IF(Z73="",0,Z73),"0")+IFERROR(IF(Z74="",0,Z74),"0")+IFERROR(IF(Z75="",0,Z75),"0")+IFERROR(IF(Z76="",0,Z76),"0")</f>
        <v>1.898E-2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87</v>
      </c>
      <c r="Q78" s="689"/>
      <c r="R78" s="689"/>
      <c r="S78" s="689"/>
      <c r="T78" s="689"/>
      <c r="U78" s="689"/>
      <c r="V78" s="690"/>
      <c r="W78" s="37" t="s">
        <v>68</v>
      </c>
      <c r="X78" s="669">
        <f>IFERROR(SUM(X71:X76),"0")</f>
        <v>6</v>
      </c>
      <c r="Y78" s="669">
        <f>IFERROR(SUM(Y71:Y76),"0")</f>
        <v>8.4</v>
      </c>
      <c r="Z78" s="37"/>
      <c r="AA78" s="670"/>
      <c r="AB78" s="670"/>
      <c r="AC78" s="670"/>
    </row>
    <row r="79" spans="1:68" ht="14.25" customHeight="1" x14ac:dyDescent="0.25">
      <c r="A79" s="684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87</v>
      </c>
      <c r="Q83" s="689"/>
      <c r="R83" s="689"/>
      <c r="S83" s="689"/>
      <c r="T83" s="689"/>
      <c r="U83" s="689"/>
      <c r="V83" s="690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87</v>
      </c>
      <c r="Q84" s="689"/>
      <c r="R84" s="689"/>
      <c r="S84" s="689"/>
      <c r="T84" s="689"/>
      <c r="U84" s="689"/>
      <c r="V84" s="690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7">
        <v>53</v>
      </c>
      <c r="Y89" s="668">
        <f>IFERROR(IF(X89="",0,CEILING((X89/$H89),1)*$H89),"")</f>
        <v>54</v>
      </c>
      <c r="Z89" s="36">
        <f>IFERROR(IF(Y89=0,"",ROUNDUP(Y89/H89,0)*0.00902),"")</f>
        <v>0.10824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55.473333333333329</v>
      </c>
      <c r="BN89" s="64">
        <f>IFERROR(Y89*I89/H89,"0")</f>
        <v>56.52</v>
      </c>
      <c r="BO89" s="64">
        <f>IFERROR(1/J89*(X89/H89),"0")</f>
        <v>8.9225589225589236E-2</v>
      </c>
      <c r="BP89" s="64">
        <f>IFERROR(1/J89*(Y89/H89),"0")</f>
        <v>9.0909090909090912E-2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87</v>
      </c>
      <c r="Q90" s="689"/>
      <c r="R90" s="689"/>
      <c r="S90" s="689"/>
      <c r="T90" s="689"/>
      <c r="U90" s="689"/>
      <c r="V90" s="690"/>
      <c r="W90" s="37" t="s">
        <v>88</v>
      </c>
      <c r="X90" s="669">
        <f>IFERROR(X87/H87,"0")+IFERROR(X88/H88,"0")+IFERROR(X89/H89,"0")</f>
        <v>11.777777777777779</v>
      </c>
      <c r="Y90" s="669">
        <f>IFERROR(Y87/H87,"0")+IFERROR(Y88/H88,"0")+IFERROR(Y89/H89,"0")</f>
        <v>12</v>
      </c>
      <c r="Z90" s="669">
        <f>IFERROR(IF(Z87="",0,Z87),"0")+IFERROR(IF(Z88="",0,Z88),"0")+IFERROR(IF(Z89="",0,Z89),"0")</f>
        <v>0.10824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87</v>
      </c>
      <c r="Q91" s="689"/>
      <c r="R91" s="689"/>
      <c r="S91" s="689"/>
      <c r="T91" s="689"/>
      <c r="U91" s="689"/>
      <c r="V91" s="690"/>
      <c r="W91" s="37" t="s">
        <v>68</v>
      </c>
      <c r="X91" s="669">
        <f>IFERROR(SUM(X87:X89),"0")</f>
        <v>53</v>
      </c>
      <c r="Y91" s="669">
        <f>IFERROR(SUM(Y87:Y89),"0")</f>
        <v>54</v>
      </c>
      <c r="Z91" s="37"/>
      <c r="AA91" s="670"/>
      <c r="AB91" s="670"/>
      <c r="AC91" s="670"/>
    </row>
    <row r="92" spans="1:68" ht="14.25" customHeight="1" x14ac:dyDescent="0.25">
      <c r="A92" s="684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46" t="s">
        <v>192</v>
      </c>
      <c r="Q95" s="674"/>
      <c r="R95" s="674"/>
      <c r="S95" s="674"/>
      <c r="T95" s="675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5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71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88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87</v>
      </c>
      <c r="Q102" s="689"/>
      <c r="R102" s="689"/>
      <c r="S102" s="689"/>
      <c r="T102" s="689"/>
      <c r="U102" s="689"/>
      <c r="V102" s="690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87</v>
      </c>
      <c r="Q103" s="689"/>
      <c r="R103" s="689"/>
      <c r="S103" s="689"/>
      <c r="T103" s="689"/>
      <c r="U103" s="689"/>
      <c r="V103" s="690"/>
      <c r="W103" s="37" t="s">
        <v>68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customHeight="1" x14ac:dyDescent="0.25">
      <c r="A104" s="685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7">
        <v>49</v>
      </c>
      <c r="Y106" s="668">
        <f>IFERROR(IF(X106="",0,CEILING((X106/$H106),1)*$H106),"")</f>
        <v>54</v>
      </c>
      <c r="Z106" s="36">
        <f>IFERROR(IF(Y106=0,"",ROUNDUP(Y106/H106,0)*0.01898),"")</f>
        <v>9.4899999999999998E-2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50.973611111111104</v>
      </c>
      <c r="BN106" s="64">
        <f>IFERROR(Y106*I106/H106,"0")</f>
        <v>56.17499999999999</v>
      </c>
      <c r="BO106" s="64">
        <f>IFERROR(1/J106*(X106/H106),"0")</f>
        <v>7.0891203703703692E-2</v>
      </c>
      <c r="BP106" s="64">
        <f>IFERROR(1/J106*(Y106/H106),"0")</f>
        <v>7.8125E-2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7">
        <v>31</v>
      </c>
      <c r="Y108" s="668">
        <f>IFERROR(IF(X108="",0,CEILING((X108/$H108),1)*$H108),"")</f>
        <v>31.5</v>
      </c>
      <c r="Z108" s="36">
        <f>IFERROR(IF(Y108=0,"",ROUNDUP(Y108/H108,0)*0.00902),"")</f>
        <v>6.3140000000000002E-2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32.446666666666665</v>
      </c>
      <c r="BN108" s="64">
        <f>IFERROR(Y108*I108/H108,"0")</f>
        <v>32.97</v>
      </c>
      <c r="BO108" s="64">
        <f>IFERROR(1/J108*(X108/H108),"0")</f>
        <v>5.2188552188552194E-2</v>
      </c>
      <c r="BP108" s="64">
        <f>IFERROR(1/J108*(Y108/H108),"0")</f>
        <v>5.3030303030303032E-2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87</v>
      </c>
      <c r="Q110" s="689"/>
      <c r="R110" s="689"/>
      <c r="S110" s="689"/>
      <c r="T110" s="689"/>
      <c r="U110" s="689"/>
      <c r="V110" s="690"/>
      <c r="W110" s="37" t="s">
        <v>88</v>
      </c>
      <c r="X110" s="669">
        <f>IFERROR(X106/H106,"0")+IFERROR(X107/H107,"0")+IFERROR(X108/H108,"0")+IFERROR(X109/H109,"0")</f>
        <v>11.425925925925926</v>
      </c>
      <c r="Y110" s="669">
        <f>IFERROR(Y106/H106,"0")+IFERROR(Y107/H107,"0")+IFERROR(Y108/H108,"0")+IFERROR(Y109/H109,"0")</f>
        <v>12</v>
      </c>
      <c r="Z110" s="669">
        <f>IFERROR(IF(Z106="",0,Z106),"0")+IFERROR(IF(Z107="",0,Z107),"0")+IFERROR(IF(Z108="",0,Z108),"0")+IFERROR(IF(Z109="",0,Z109),"0")</f>
        <v>0.15804000000000001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87</v>
      </c>
      <c r="Q111" s="689"/>
      <c r="R111" s="689"/>
      <c r="S111" s="689"/>
      <c r="T111" s="689"/>
      <c r="U111" s="689"/>
      <c r="V111" s="690"/>
      <c r="W111" s="37" t="s">
        <v>68</v>
      </c>
      <c r="X111" s="669">
        <f>IFERROR(SUM(X106:X109),"0")</f>
        <v>80</v>
      </c>
      <c r="Y111" s="669">
        <f>IFERROR(SUM(Y106:Y109),"0")</f>
        <v>85.5</v>
      </c>
      <c r="Z111" s="37"/>
      <c r="AA111" s="670"/>
      <c r="AB111" s="670"/>
      <c r="AC111" s="670"/>
    </row>
    <row r="112" spans="1:68" ht="14.25" customHeight="1" x14ac:dyDescent="0.25">
      <c r="A112" s="684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87</v>
      </c>
      <c r="Q116" s="689"/>
      <c r="R116" s="689"/>
      <c r="S116" s="689"/>
      <c r="T116" s="689"/>
      <c r="U116" s="689"/>
      <c r="V116" s="690"/>
      <c r="W116" s="37" t="s">
        <v>88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87</v>
      </c>
      <c r="Q117" s="689"/>
      <c r="R117" s="689"/>
      <c r="S117" s="689"/>
      <c r="T117" s="689"/>
      <c r="U117" s="689"/>
      <c r="V117" s="690"/>
      <c r="W117" s="37" t="s">
        <v>68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10" t="s">
        <v>232</v>
      </c>
      <c r="Q121" s="674"/>
      <c r="R121" s="674"/>
      <c r="S121" s="674"/>
      <c r="T121" s="675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6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14" t="s">
        <v>239</v>
      </c>
      <c r="Q123" s="674"/>
      <c r="R123" s="674"/>
      <c r="S123" s="674"/>
      <c r="T123" s="675"/>
      <c r="U123" s="34"/>
      <c r="V123" s="34"/>
      <c r="W123" s="35" t="s">
        <v>68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87</v>
      </c>
      <c r="Q126" s="689"/>
      <c r="R126" s="689"/>
      <c r="S126" s="689"/>
      <c r="T126" s="689"/>
      <c r="U126" s="689"/>
      <c r="V126" s="690"/>
      <c r="W126" s="37" t="s">
        <v>88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87</v>
      </c>
      <c r="Q127" s="689"/>
      <c r="R127" s="689"/>
      <c r="S127" s="689"/>
      <c r="T127" s="689"/>
      <c r="U127" s="689"/>
      <c r="V127" s="690"/>
      <c r="W127" s="37" t="s">
        <v>68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customHeight="1" x14ac:dyDescent="0.25">
      <c r="A128" s="684" t="s">
        <v>170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87</v>
      </c>
      <c r="Q131" s="689"/>
      <c r="R131" s="689"/>
      <c r="S131" s="689"/>
      <c r="T131" s="689"/>
      <c r="U131" s="689"/>
      <c r="V131" s="690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87</v>
      </c>
      <c r="Q132" s="689"/>
      <c r="R132" s="689"/>
      <c r="S132" s="689"/>
      <c r="T132" s="689"/>
      <c r="U132" s="689"/>
      <c r="V132" s="690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252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87</v>
      </c>
      <c r="Q137" s="689"/>
      <c r="R137" s="689"/>
      <c r="S137" s="689"/>
      <c r="T137" s="689"/>
      <c r="U137" s="689"/>
      <c r="V137" s="690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87</v>
      </c>
      <c r="Q138" s="689"/>
      <c r="R138" s="689"/>
      <c r="S138" s="689"/>
      <c r="T138" s="689"/>
      <c r="U138" s="689"/>
      <c r="V138" s="690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144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87</v>
      </c>
      <c r="Q142" s="689"/>
      <c r="R142" s="689"/>
      <c r="S142" s="689"/>
      <c r="T142" s="689"/>
      <c r="U142" s="689"/>
      <c r="V142" s="690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87</v>
      </c>
      <c r="Q143" s="689"/>
      <c r="R143" s="689"/>
      <c r="S143" s="689"/>
      <c r="T143" s="689"/>
      <c r="U143" s="689"/>
      <c r="V143" s="690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63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87</v>
      </c>
      <c r="Q147" s="689"/>
      <c r="R147" s="689"/>
      <c r="S147" s="689"/>
      <c r="T147" s="689"/>
      <c r="U147" s="689"/>
      <c r="V147" s="690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87</v>
      </c>
      <c r="Q148" s="689"/>
      <c r="R148" s="689"/>
      <c r="S148" s="689"/>
      <c r="T148" s="689"/>
      <c r="U148" s="689"/>
      <c r="V148" s="690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95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97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87</v>
      </c>
      <c r="Q152" s="689"/>
      <c r="R152" s="689"/>
      <c r="S152" s="689"/>
      <c r="T152" s="689"/>
      <c r="U152" s="689"/>
      <c r="V152" s="690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87</v>
      </c>
      <c r="Q153" s="689"/>
      <c r="R153" s="689"/>
      <c r="S153" s="689"/>
      <c r="T153" s="689"/>
      <c r="U153" s="689"/>
      <c r="V153" s="690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144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87</v>
      </c>
      <c r="Q158" s="689"/>
      <c r="R158" s="689"/>
      <c r="S158" s="689"/>
      <c r="T158" s="689"/>
      <c r="U158" s="689"/>
      <c r="V158" s="690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87</v>
      </c>
      <c r="Q159" s="689"/>
      <c r="R159" s="689"/>
      <c r="S159" s="689"/>
      <c r="T159" s="689"/>
      <c r="U159" s="689"/>
      <c r="V159" s="690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63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87</v>
      </c>
      <c r="Q162" s="689"/>
      <c r="R162" s="689"/>
      <c r="S162" s="689"/>
      <c r="T162" s="689"/>
      <c r="U162" s="689"/>
      <c r="V162" s="690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87</v>
      </c>
      <c r="Q163" s="689"/>
      <c r="R163" s="689"/>
      <c r="S163" s="689"/>
      <c r="T163" s="689"/>
      <c r="U163" s="689"/>
      <c r="V163" s="690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279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280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133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87</v>
      </c>
      <c r="Q168" s="689"/>
      <c r="R168" s="689"/>
      <c r="S168" s="689"/>
      <c r="T168" s="689"/>
      <c r="U168" s="689"/>
      <c r="V168" s="690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87</v>
      </c>
      <c r="Q169" s="689"/>
      <c r="R169" s="689"/>
      <c r="S169" s="689"/>
      <c r="T169" s="689"/>
      <c r="U169" s="689"/>
      <c r="V169" s="690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144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68</v>
      </c>
      <c r="X174" s="667">
        <v>41</v>
      </c>
      <c r="Y174" s="668">
        <f t="shared" si="26"/>
        <v>42</v>
      </c>
      <c r="Z174" s="36">
        <f>IFERROR(IF(Y174=0,"",ROUNDUP(Y174/H174,0)*0.00502),"")</f>
        <v>0.1004</v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43.538095238095231</v>
      </c>
      <c r="BN174" s="64">
        <f t="shared" si="28"/>
        <v>44.599999999999994</v>
      </c>
      <c r="BO174" s="64">
        <f t="shared" si="29"/>
        <v>8.3435083435083435E-2</v>
      </c>
      <c r="BP174" s="64">
        <f t="shared" si="30"/>
        <v>8.5470085470085472E-2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70" t="s">
        <v>299</v>
      </c>
      <c r="Q176" s="674"/>
      <c r="R176" s="674"/>
      <c r="S176" s="674"/>
      <c r="T176" s="675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68</v>
      </c>
      <c r="X177" s="667">
        <v>26</v>
      </c>
      <c r="Y177" s="668">
        <f t="shared" si="26"/>
        <v>27.3</v>
      </c>
      <c r="Z177" s="36">
        <f>IFERROR(IF(Y177=0,"",ROUNDUP(Y177/H177,0)*0.00502),"")</f>
        <v>6.5259999999999999E-2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27.238095238095237</v>
      </c>
      <c r="BN177" s="64">
        <f t="shared" si="28"/>
        <v>28.600000000000005</v>
      </c>
      <c r="BO177" s="64">
        <f t="shared" si="29"/>
        <v>5.2910052910052907E-2</v>
      </c>
      <c r="BP177" s="64">
        <f t="shared" si="30"/>
        <v>5.5555555555555559E-2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87</v>
      </c>
      <c r="Q180" s="689"/>
      <c r="R180" s="689"/>
      <c r="S180" s="689"/>
      <c r="T180" s="689"/>
      <c r="U180" s="689"/>
      <c r="V180" s="690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31.904761904761902</v>
      </c>
      <c r="Y180" s="669">
        <f>IFERROR(Y171/H171,"0")+IFERROR(Y172/H172,"0")+IFERROR(Y173/H173,"0")+IFERROR(Y174/H174,"0")+IFERROR(Y175/H175,"0")+IFERROR(Y176/H176,"0")+IFERROR(Y177/H177,"0")+IFERROR(Y178/H178,"0")+IFERROR(Y179/H179,"0")</f>
        <v>33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0.16566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87</v>
      </c>
      <c r="Q181" s="689"/>
      <c r="R181" s="689"/>
      <c r="S181" s="689"/>
      <c r="T181" s="689"/>
      <c r="U181" s="689"/>
      <c r="V181" s="690"/>
      <c r="W181" s="37" t="s">
        <v>68</v>
      </c>
      <c r="X181" s="669">
        <f>IFERROR(SUM(X171:X179),"0")</f>
        <v>67</v>
      </c>
      <c r="Y181" s="669">
        <f>IFERROR(SUM(Y171:Y179),"0")</f>
        <v>69.3</v>
      </c>
      <c r="Z181" s="37"/>
      <c r="AA181" s="670"/>
      <c r="AB181" s="670"/>
      <c r="AC181" s="670"/>
    </row>
    <row r="182" spans="1:68" ht="14.25" customHeight="1" x14ac:dyDescent="0.25">
      <c r="A182" s="684" t="s">
        <v>89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87" t="s">
        <v>312</v>
      </c>
      <c r="Q183" s="674"/>
      <c r="R183" s="674"/>
      <c r="S183" s="674"/>
      <c r="T183" s="675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53" t="s">
        <v>317</v>
      </c>
      <c r="Q184" s="674"/>
      <c r="R184" s="674"/>
      <c r="S184" s="674"/>
      <c r="T184" s="675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42" t="s">
        <v>320</v>
      </c>
      <c r="Q185" s="674"/>
      <c r="R185" s="674"/>
      <c r="S185" s="674"/>
      <c r="T185" s="675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87</v>
      </c>
      <c r="Q186" s="689"/>
      <c r="R186" s="689"/>
      <c r="S186" s="689"/>
      <c r="T186" s="689"/>
      <c r="U186" s="689"/>
      <c r="V186" s="690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87</v>
      </c>
      <c r="Q187" s="689"/>
      <c r="R187" s="689"/>
      <c r="S187" s="689"/>
      <c r="T187" s="689"/>
      <c r="U187" s="689"/>
      <c r="V187" s="690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322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0" t="s">
        <v>325</v>
      </c>
      <c r="Q189" s="674"/>
      <c r="R189" s="674"/>
      <c r="S189" s="674"/>
      <c r="T189" s="675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87</v>
      </c>
      <c r="Q190" s="689"/>
      <c r="R190" s="689"/>
      <c r="S190" s="689"/>
      <c r="T190" s="689"/>
      <c r="U190" s="689"/>
      <c r="V190" s="690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87</v>
      </c>
      <c r="Q191" s="689"/>
      <c r="R191" s="689"/>
      <c r="S191" s="689"/>
      <c r="T191" s="689"/>
      <c r="U191" s="689"/>
      <c r="V191" s="690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326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97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87</v>
      </c>
      <c r="Q196" s="689"/>
      <c r="R196" s="689"/>
      <c r="S196" s="689"/>
      <c r="T196" s="689"/>
      <c r="U196" s="689"/>
      <c r="V196" s="690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87</v>
      </c>
      <c r="Q197" s="689"/>
      <c r="R197" s="689"/>
      <c r="S197" s="689"/>
      <c r="T197" s="689"/>
      <c r="U197" s="689"/>
      <c r="V197" s="690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133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87</v>
      </c>
      <c r="Q201" s="689"/>
      <c r="R201" s="689"/>
      <c r="S201" s="689"/>
      <c r="T201" s="689"/>
      <c r="U201" s="689"/>
      <c r="V201" s="690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87</v>
      </c>
      <c r="Q202" s="689"/>
      <c r="R202" s="689"/>
      <c r="S202" s="689"/>
      <c r="T202" s="689"/>
      <c r="U202" s="689"/>
      <c r="V202" s="690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144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7">
        <v>92</v>
      </c>
      <c r="Y204" s="668">
        <f t="shared" ref="Y204:Y211" si="31">IFERROR(IF(X204="",0,CEILING((X204/$H204),1)*$H204),"")</f>
        <v>97.2</v>
      </c>
      <c r="Z204" s="36">
        <f>IFERROR(IF(Y204=0,"",ROUNDUP(Y204/H204,0)*0.00902),"")</f>
        <v>0.16236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95.577777777777769</v>
      </c>
      <c r="BN204" s="64">
        <f t="shared" ref="BN204:BN211" si="33">IFERROR(Y204*I204/H204,"0")</f>
        <v>100.98</v>
      </c>
      <c r="BO204" s="64">
        <f t="shared" ref="BO204:BO211" si="34">IFERROR(1/J204*(X204/H204),"0")</f>
        <v>0.12906846240179573</v>
      </c>
      <c r="BP204" s="64">
        <f t="shared" ref="BP204:BP211" si="35">IFERROR(1/J204*(Y204/H204),"0")</f>
        <v>0.13636363636363635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7">
        <v>10</v>
      </c>
      <c r="Y208" s="668">
        <f t="shared" si="31"/>
        <v>10.8</v>
      </c>
      <c r="Z208" s="36">
        <f>IFERROR(IF(Y208=0,"",ROUNDUP(Y208/H208,0)*0.00502),"")</f>
        <v>3.0120000000000001E-2</v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10.722222222222223</v>
      </c>
      <c r="BN208" s="64">
        <f t="shared" si="33"/>
        <v>11.58</v>
      </c>
      <c r="BO208" s="64">
        <f t="shared" si="34"/>
        <v>2.3741690408357077E-2</v>
      </c>
      <c r="BP208" s="64">
        <f t="shared" si="35"/>
        <v>2.5641025641025644E-2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68</v>
      </c>
      <c r="X209" s="667">
        <v>12</v>
      </c>
      <c r="Y209" s="668">
        <f t="shared" si="31"/>
        <v>12.6</v>
      </c>
      <c r="Z209" s="36">
        <f>IFERROR(IF(Y209=0,"",ROUNDUP(Y209/H209,0)*0.00502),"")</f>
        <v>3.5140000000000005E-2</v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12.666666666666664</v>
      </c>
      <c r="BN209" s="64">
        <f t="shared" si="33"/>
        <v>13.299999999999999</v>
      </c>
      <c r="BO209" s="64">
        <f t="shared" si="34"/>
        <v>2.8490028490028491E-2</v>
      </c>
      <c r="BP209" s="64">
        <f t="shared" si="35"/>
        <v>2.9914529914529919E-2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68</v>
      </c>
      <c r="X211" s="667">
        <v>5</v>
      </c>
      <c r="Y211" s="668">
        <f t="shared" si="31"/>
        <v>5.4</v>
      </c>
      <c r="Z211" s="36">
        <f>IFERROR(IF(Y211=0,"",ROUNDUP(Y211/H211,0)*0.00502),"")</f>
        <v>1.506E-2</v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5.2777777777777777</v>
      </c>
      <c r="BN211" s="64">
        <f t="shared" si="33"/>
        <v>5.7</v>
      </c>
      <c r="BO211" s="64">
        <f t="shared" si="34"/>
        <v>1.1870845204178538E-2</v>
      </c>
      <c r="BP211" s="64">
        <f t="shared" si="35"/>
        <v>1.2820512820512822E-2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87</v>
      </c>
      <c r="Q212" s="689"/>
      <c r="R212" s="689"/>
      <c r="S212" s="689"/>
      <c r="T212" s="689"/>
      <c r="U212" s="689"/>
      <c r="V212" s="690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32.037037037037031</v>
      </c>
      <c r="Y212" s="669">
        <f>IFERROR(Y204/H204,"0")+IFERROR(Y205/H205,"0")+IFERROR(Y206/H206,"0")+IFERROR(Y207/H207,"0")+IFERROR(Y208/H208,"0")+IFERROR(Y209/H209,"0")+IFERROR(Y210/H210,"0")+IFERROR(Y211/H211,"0")</f>
        <v>34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0.24268000000000001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87</v>
      </c>
      <c r="Q213" s="689"/>
      <c r="R213" s="689"/>
      <c r="S213" s="689"/>
      <c r="T213" s="689"/>
      <c r="U213" s="689"/>
      <c r="V213" s="690"/>
      <c r="W213" s="37" t="s">
        <v>68</v>
      </c>
      <c r="X213" s="669">
        <f>IFERROR(SUM(X204:X211),"0")</f>
        <v>119</v>
      </c>
      <c r="Y213" s="669">
        <f>IFERROR(SUM(Y204:Y211),"0")</f>
        <v>126</v>
      </c>
      <c r="Z213" s="37"/>
      <c r="AA213" s="670"/>
      <c r="AB213" s="670"/>
      <c r="AC213" s="670"/>
    </row>
    <row r="214" spans="1:68" ht="14.25" customHeight="1" x14ac:dyDescent="0.25">
      <c r="A214" s="684" t="s">
        <v>63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7">
        <v>41</v>
      </c>
      <c r="Y220" s="668">
        <f t="shared" si="36"/>
        <v>43.199999999999996</v>
      </c>
      <c r="Z220" s="36">
        <f t="shared" si="41"/>
        <v>0.11718000000000001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45.305</v>
      </c>
      <c r="BN220" s="64">
        <f t="shared" si="38"/>
        <v>47.736000000000004</v>
      </c>
      <c r="BO220" s="64">
        <f t="shared" si="39"/>
        <v>9.3864468864468878E-2</v>
      </c>
      <c r="BP220" s="64">
        <f t="shared" si="40"/>
        <v>9.8901098901098911E-2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68</v>
      </c>
      <c r="X221" s="667">
        <v>34</v>
      </c>
      <c r="Y221" s="668">
        <f t="shared" si="36"/>
        <v>36</v>
      </c>
      <c r="Z221" s="36">
        <f t="shared" si="41"/>
        <v>9.7650000000000001E-2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37.570000000000007</v>
      </c>
      <c r="BN221" s="64">
        <f t="shared" si="38"/>
        <v>39.780000000000008</v>
      </c>
      <c r="BO221" s="64">
        <f t="shared" si="39"/>
        <v>7.7838827838827854E-2</v>
      </c>
      <c r="BP221" s="64">
        <f t="shared" si="40"/>
        <v>8.241758241758243E-2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68</v>
      </c>
      <c r="X222" s="667">
        <v>193</v>
      </c>
      <c r="Y222" s="668">
        <f t="shared" si="36"/>
        <v>194.4</v>
      </c>
      <c r="Z222" s="36">
        <f t="shared" si="41"/>
        <v>0.52731000000000006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213.26500000000001</v>
      </c>
      <c r="BN222" s="64">
        <f t="shared" si="38"/>
        <v>214.81200000000001</v>
      </c>
      <c r="BO222" s="64">
        <f t="shared" si="39"/>
        <v>0.44184981684981689</v>
      </c>
      <c r="BP222" s="64">
        <f t="shared" si="40"/>
        <v>0.44505494505494508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68</v>
      </c>
      <c r="X223" s="667">
        <v>92</v>
      </c>
      <c r="Y223" s="668">
        <f t="shared" si="36"/>
        <v>93.6</v>
      </c>
      <c r="Z223" s="36">
        <f t="shared" si="41"/>
        <v>0.25389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101.89</v>
      </c>
      <c r="BN223" s="64">
        <f t="shared" si="38"/>
        <v>103.66199999999999</v>
      </c>
      <c r="BO223" s="64">
        <f t="shared" si="39"/>
        <v>0.21062271062271065</v>
      </c>
      <c r="BP223" s="64">
        <f t="shared" si="40"/>
        <v>0.2142857142857143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87</v>
      </c>
      <c r="Q224" s="689"/>
      <c r="R224" s="689"/>
      <c r="S224" s="689"/>
      <c r="T224" s="689"/>
      <c r="U224" s="689"/>
      <c r="V224" s="690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150</v>
      </c>
      <c r="Y224" s="669">
        <f>IFERROR(Y215/H215,"0")+IFERROR(Y216/H216,"0")+IFERROR(Y217/H217,"0")+IFERROR(Y218/H218,"0")+IFERROR(Y219/H219,"0")+IFERROR(Y220/H220,"0")+IFERROR(Y221/H221,"0")+IFERROR(Y222/H222,"0")+IFERROR(Y223/H223,"0")</f>
        <v>153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0.99602999999999997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87</v>
      </c>
      <c r="Q225" s="689"/>
      <c r="R225" s="689"/>
      <c r="S225" s="689"/>
      <c r="T225" s="689"/>
      <c r="U225" s="689"/>
      <c r="V225" s="690"/>
      <c r="W225" s="37" t="s">
        <v>68</v>
      </c>
      <c r="X225" s="669">
        <f>IFERROR(SUM(X215:X223),"0")</f>
        <v>360</v>
      </c>
      <c r="Y225" s="669">
        <f>IFERROR(SUM(Y215:Y223),"0")</f>
        <v>367.20000000000005</v>
      </c>
      <c r="Z225" s="37"/>
      <c r="AA225" s="670"/>
      <c r="AB225" s="670"/>
      <c r="AC225" s="670"/>
    </row>
    <row r="226" spans="1:68" ht="14.25" customHeight="1" x14ac:dyDescent="0.25">
      <c r="A226" s="684" t="s">
        <v>170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68</v>
      </c>
      <c r="X227" s="667">
        <v>11</v>
      </c>
      <c r="Y227" s="668">
        <f>IFERROR(IF(X227="",0,CEILING((X227/$H227),1)*$H227),"")</f>
        <v>12</v>
      </c>
      <c r="Z227" s="36">
        <f>IFERROR(IF(Y227=0,"",ROUNDUP(Y227/H227,0)*0.00651),"")</f>
        <v>3.2550000000000003E-2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12.155000000000001</v>
      </c>
      <c r="BN227" s="64">
        <f>IFERROR(Y227*I227/H227,"0")</f>
        <v>13.260000000000002</v>
      </c>
      <c r="BO227" s="64">
        <f>IFERROR(1/J227*(X227/H227),"0")</f>
        <v>2.5183150183150187E-2</v>
      </c>
      <c r="BP227" s="64">
        <f>IFERROR(1/J227*(Y227/H227),"0")</f>
        <v>2.7472527472527476E-2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87</v>
      </c>
      <c r="Q229" s="689"/>
      <c r="R229" s="689"/>
      <c r="S229" s="689"/>
      <c r="T229" s="689"/>
      <c r="U229" s="689"/>
      <c r="V229" s="690"/>
      <c r="W229" s="37" t="s">
        <v>88</v>
      </c>
      <c r="X229" s="669">
        <f>IFERROR(X227/H227,"0")+IFERROR(X228/H228,"0")</f>
        <v>4.5833333333333339</v>
      </c>
      <c r="Y229" s="669">
        <f>IFERROR(Y227/H227,"0")+IFERROR(Y228/H228,"0")</f>
        <v>5</v>
      </c>
      <c r="Z229" s="669">
        <f>IFERROR(IF(Z227="",0,Z227),"0")+IFERROR(IF(Z228="",0,Z228),"0")</f>
        <v>3.2550000000000003E-2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87</v>
      </c>
      <c r="Q230" s="689"/>
      <c r="R230" s="689"/>
      <c r="S230" s="689"/>
      <c r="T230" s="689"/>
      <c r="U230" s="689"/>
      <c r="V230" s="690"/>
      <c r="W230" s="37" t="s">
        <v>68</v>
      </c>
      <c r="X230" s="669">
        <f>IFERROR(SUM(X227:X228),"0")</f>
        <v>11</v>
      </c>
      <c r="Y230" s="669">
        <f>IFERROR(SUM(Y227:Y228),"0")</f>
        <v>12</v>
      </c>
      <c r="Z230" s="37"/>
      <c r="AA230" s="670"/>
      <c r="AB230" s="670"/>
      <c r="AC230" s="670"/>
    </row>
    <row r="231" spans="1:68" ht="16.5" customHeight="1" x14ac:dyDescent="0.25">
      <c r="A231" s="685" t="s">
        <v>387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97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87</v>
      </c>
      <c r="Q241" s="689"/>
      <c r="R241" s="689"/>
      <c r="S241" s="689"/>
      <c r="T241" s="689"/>
      <c r="U241" s="689"/>
      <c r="V241" s="690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87</v>
      </c>
      <c r="Q242" s="689"/>
      <c r="R242" s="689"/>
      <c r="S242" s="689"/>
      <c r="T242" s="689"/>
      <c r="U242" s="689"/>
      <c r="V242" s="690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133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73" t="s">
        <v>409</v>
      </c>
      <c r="Q244" s="674"/>
      <c r="R244" s="674"/>
      <c r="S244" s="674"/>
      <c r="T244" s="675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87</v>
      </c>
      <c r="Q246" s="689"/>
      <c r="R246" s="689"/>
      <c r="S246" s="689"/>
      <c r="T246" s="689"/>
      <c r="U246" s="689"/>
      <c r="V246" s="690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87</v>
      </c>
      <c r="Q247" s="689"/>
      <c r="R247" s="689"/>
      <c r="S247" s="689"/>
      <c r="T247" s="689"/>
      <c r="U247" s="689"/>
      <c r="V247" s="690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412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00" t="s">
        <v>415</v>
      </c>
      <c r="Q249" s="674"/>
      <c r="R249" s="674"/>
      <c r="S249" s="674"/>
      <c r="T249" s="675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87</v>
      </c>
      <c r="Q250" s="689"/>
      <c r="R250" s="689"/>
      <c r="S250" s="689"/>
      <c r="T250" s="689"/>
      <c r="U250" s="689"/>
      <c r="V250" s="690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87</v>
      </c>
      <c r="Q251" s="689"/>
      <c r="R251" s="689"/>
      <c r="S251" s="689"/>
      <c r="T251" s="689"/>
      <c r="U251" s="689"/>
      <c r="V251" s="690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417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4" t="s">
        <v>420</v>
      </c>
      <c r="Q253" s="674"/>
      <c r="R253" s="674"/>
      <c r="S253" s="674"/>
      <c r="T253" s="675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21" t="s">
        <v>424</v>
      </c>
      <c r="Q254" s="674"/>
      <c r="R254" s="674"/>
      <c r="S254" s="674"/>
      <c r="T254" s="675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3" t="s">
        <v>427</v>
      </c>
      <c r="Q255" s="674"/>
      <c r="R255" s="674"/>
      <c r="S255" s="674"/>
      <c r="T255" s="675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5" t="s">
        <v>430</v>
      </c>
      <c r="Q256" s="674"/>
      <c r="R256" s="674"/>
      <c r="S256" s="674"/>
      <c r="T256" s="675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8" t="s">
        <v>433</v>
      </c>
      <c r="Q257" s="674"/>
      <c r="R257" s="674"/>
      <c r="S257" s="674"/>
      <c r="T257" s="675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87</v>
      </c>
      <c r="Q258" s="689"/>
      <c r="R258" s="689"/>
      <c r="S258" s="689"/>
      <c r="T258" s="689"/>
      <c r="U258" s="689"/>
      <c r="V258" s="690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87</v>
      </c>
      <c r="Q259" s="689"/>
      <c r="R259" s="689"/>
      <c r="S259" s="689"/>
      <c r="T259" s="689"/>
      <c r="U259" s="689"/>
      <c r="V259" s="690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434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97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87</v>
      </c>
      <c r="Q268" s="689"/>
      <c r="R268" s="689"/>
      <c r="S268" s="689"/>
      <c r="T268" s="689"/>
      <c r="U268" s="689"/>
      <c r="V268" s="690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87</v>
      </c>
      <c r="Q269" s="689"/>
      <c r="R269" s="689"/>
      <c r="S269" s="689"/>
      <c r="T269" s="689"/>
      <c r="U269" s="689"/>
      <c r="V269" s="690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452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97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87</v>
      </c>
      <c r="Q273" s="689"/>
      <c r="R273" s="689"/>
      <c r="S273" s="689"/>
      <c r="T273" s="689"/>
      <c r="U273" s="689"/>
      <c r="V273" s="690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87</v>
      </c>
      <c r="Q274" s="689"/>
      <c r="R274" s="689"/>
      <c r="S274" s="689"/>
      <c r="T274" s="689"/>
      <c r="U274" s="689"/>
      <c r="V274" s="690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456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97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10" t="s">
        <v>467</v>
      </c>
      <c r="Q280" s="674"/>
      <c r="R280" s="674"/>
      <c r="S280" s="674"/>
      <c r="T280" s="675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87</v>
      </c>
      <c r="Q281" s="689"/>
      <c r="R281" s="689"/>
      <c r="S281" s="689"/>
      <c r="T281" s="689"/>
      <c r="U281" s="689"/>
      <c r="V281" s="690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87</v>
      </c>
      <c r="Q282" s="689"/>
      <c r="R282" s="689"/>
      <c r="S282" s="689"/>
      <c r="T282" s="689"/>
      <c r="U282" s="689"/>
      <c r="V282" s="690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469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68</v>
      </c>
      <c r="X287" s="667">
        <v>3</v>
      </c>
      <c r="Y287" s="668">
        <f>IFERROR(IF(X287="",0,CEILING((X287/$H287),1)*$H287),"")</f>
        <v>4.8</v>
      </c>
      <c r="Z287" s="36">
        <f>IFERROR(IF(Y287=0,"",ROUNDUP(Y287/H287,0)*0.00651),"")</f>
        <v>1.302E-2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3.3150000000000004</v>
      </c>
      <c r="BN287" s="64">
        <f>IFERROR(Y287*I287/H287,"0")</f>
        <v>5.3040000000000003</v>
      </c>
      <c r="BO287" s="64">
        <f>IFERROR(1/J287*(X287/H287),"0")</f>
        <v>6.8681318681318689E-3</v>
      </c>
      <c r="BP287" s="64">
        <f>IFERROR(1/J287*(Y287/H287),"0")</f>
        <v>1.098901098901099E-2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68</v>
      </c>
      <c r="X288" s="667">
        <v>4</v>
      </c>
      <c r="Y288" s="668">
        <f>IFERROR(IF(X288="",0,CEILING((X288/$H288),1)*$H288),"")</f>
        <v>4.8</v>
      </c>
      <c r="Z288" s="36">
        <f>IFERROR(IF(Y288=0,"",ROUNDUP(Y288/H288,0)*0.00651),"")</f>
        <v>1.302E-2</v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4.3000000000000007</v>
      </c>
      <c r="BN288" s="64">
        <f>IFERROR(Y288*I288/H288,"0")</f>
        <v>5.16</v>
      </c>
      <c r="BO288" s="64">
        <f>IFERROR(1/J288*(X288/H288),"0")</f>
        <v>9.1575091575091579E-3</v>
      </c>
      <c r="BP288" s="64">
        <f>IFERROR(1/J288*(Y288/H288),"0")</f>
        <v>1.098901098901099E-2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87</v>
      </c>
      <c r="Q290" s="689"/>
      <c r="R290" s="689"/>
      <c r="S290" s="689"/>
      <c r="T290" s="689"/>
      <c r="U290" s="689"/>
      <c r="V290" s="690"/>
      <c r="W290" s="37" t="s">
        <v>88</v>
      </c>
      <c r="X290" s="669">
        <f>IFERROR(X285/H285,"0")+IFERROR(X286/H286,"0")+IFERROR(X287/H287,"0")+IFERROR(X288/H288,"0")+IFERROR(X289/H289,"0")</f>
        <v>2.916666666666667</v>
      </c>
      <c r="Y290" s="669">
        <f>IFERROR(Y285/H285,"0")+IFERROR(Y286/H286,"0")+IFERROR(Y287/H287,"0")+IFERROR(Y288/H288,"0")+IFERROR(Y289/H289,"0")</f>
        <v>4</v>
      </c>
      <c r="Z290" s="669">
        <f>IFERROR(IF(Z285="",0,Z285),"0")+IFERROR(IF(Z286="",0,Z286),"0")+IFERROR(IF(Z287="",0,Z287),"0")+IFERROR(IF(Z288="",0,Z288),"0")+IFERROR(IF(Z289="",0,Z289),"0")</f>
        <v>2.6040000000000001E-2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87</v>
      </c>
      <c r="Q291" s="689"/>
      <c r="R291" s="689"/>
      <c r="S291" s="689"/>
      <c r="T291" s="689"/>
      <c r="U291" s="689"/>
      <c r="V291" s="690"/>
      <c r="W291" s="37" t="s">
        <v>68</v>
      </c>
      <c r="X291" s="669">
        <f>IFERROR(SUM(X285:X289),"0")</f>
        <v>7</v>
      </c>
      <c r="Y291" s="669">
        <f>IFERROR(SUM(Y285:Y289),"0")</f>
        <v>9.6</v>
      </c>
      <c r="Z291" s="37"/>
      <c r="AA291" s="670"/>
      <c r="AB291" s="670"/>
      <c r="AC291" s="670"/>
    </row>
    <row r="292" spans="1:68" ht="16.5" customHeight="1" x14ac:dyDescent="0.25">
      <c r="A292" s="685" t="s">
        <v>483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97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87</v>
      </c>
      <c r="Q295" s="689"/>
      <c r="R295" s="689"/>
      <c r="S295" s="689"/>
      <c r="T295" s="689"/>
      <c r="U295" s="689"/>
      <c r="V295" s="690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87</v>
      </c>
      <c r="Q296" s="689"/>
      <c r="R296" s="689"/>
      <c r="S296" s="689"/>
      <c r="T296" s="689"/>
      <c r="U296" s="689"/>
      <c r="V296" s="690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87</v>
      </c>
      <c r="Q299" s="689"/>
      <c r="R299" s="689"/>
      <c r="S299" s="689"/>
      <c r="T299" s="689"/>
      <c r="U299" s="689"/>
      <c r="V299" s="690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87</v>
      </c>
      <c r="Q300" s="689"/>
      <c r="R300" s="689"/>
      <c r="S300" s="689"/>
      <c r="T300" s="689"/>
      <c r="U300" s="689"/>
      <c r="V300" s="690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63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87</v>
      </c>
      <c r="Q303" s="689"/>
      <c r="R303" s="689"/>
      <c r="S303" s="689"/>
      <c r="T303" s="689"/>
      <c r="U303" s="689"/>
      <c r="V303" s="690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87</v>
      </c>
      <c r="Q304" s="689"/>
      <c r="R304" s="689"/>
      <c r="S304" s="689"/>
      <c r="T304" s="689"/>
      <c r="U304" s="689"/>
      <c r="V304" s="690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493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63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87</v>
      </c>
      <c r="Q308" s="689"/>
      <c r="R308" s="689"/>
      <c r="S308" s="689"/>
      <c r="T308" s="689"/>
      <c r="U308" s="689"/>
      <c r="V308" s="690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87</v>
      </c>
      <c r="Q309" s="689"/>
      <c r="R309" s="689"/>
      <c r="S309" s="689"/>
      <c r="T309" s="689"/>
      <c r="U309" s="689"/>
      <c r="V309" s="690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497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97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87</v>
      </c>
      <c r="Q313" s="689"/>
      <c r="R313" s="689"/>
      <c r="S313" s="689"/>
      <c r="T313" s="689"/>
      <c r="U313" s="689"/>
      <c r="V313" s="690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87</v>
      </c>
      <c r="Q314" s="689"/>
      <c r="R314" s="689"/>
      <c r="S314" s="689"/>
      <c r="T314" s="689"/>
      <c r="U314" s="689"/>
      <c r="V314" s="690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144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87</v>
      </c>
      <c r="Q318" s="689"/>
      <c r="R318" s="689"/>
      <c r="S318" s="689"/>
      <c r="T318" s="689"/>
      <c r="U318" s="689"/>
      <c r="V318" s="690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87</v>
      </c>
      <c r="Q319" s="689"/>
      <c r="R319" s="689"/>
      <c r="S319" s="689"/>
      <c r="T319" s="689"/>
      <c r="U319" s="689"/>
      <c r="V319" s="690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505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97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87</v>
      </c>
      <c r="Q323" s="689"/>
      <c r="R323" s="689"/>
      <c r="S323" s="689"/>
      <c r="T323" s="689"/>
      <c r="U323" s="689"/>
      <c r="V323" s="690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87</v>
      </c>
      <c r="Q324" s="689"/>
      <c r="R324" s="689"/>
      <c r="S324" s="689"/>
      <c r="T324" s="689"/>
      <c r="U324" s="689"/>
      <c r="V324" s="690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97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87</v>
      </c>
      <c r="Q333" s="689"/>
      <c r="R333" s="689"/>
      <c r="S333" s="689"/>
      <c r="T333" s="689"/>
      <c r="U333" s="689"/>
      <c r="V333" s="690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87</v>
      </c>
      <c r="Q334" s="689"/>
      <c r="R334" s="689"/>
      <c r="S334" s="689"/>
      <c r="T334" s="689"/>
      <c r="U334" s="689"/>
      <c r="V334" s="690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144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87</v>
      </c>
      <c r="Q340" s="689"/>
      <c r="R340" s="689"/>
      <c r="S340" s="689"/>
      <c r="T340" s="689"/>
      <c r="U340" s="689"/>
      <c r="V340" s="690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87</v>
      </c>
      <c r="Q341" s="689"/>
      <c r="R341" s="689"/>
      <c r="S341" s="689"/>
      <c r="T341" s="689"/>
      <c r="U341" s="689"/>
      <c r="V341" s="690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87</v>
      </c>
      <c r="Q348" s="689"/>
      <c r="R348" s="689"/>
      <c r="S348" s="689"/>
      <c r="T348" s="689"/>
      <c r="U348" s="689"/>
      <c r="V348" s="690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87</v>
      </c>
      <c r="Q349" s="689"/>
      <c r="R349" s="689"/>
      <c r="S349" s="689"/>
      <c r="T349" s="689"/>
      <c r="U349" s="689"/>
      <c r="V349" s="690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170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68</v>
      </c>
      <c r="X351" s="667">
        <v>38</v>
      </c>
      <c r="Y351" s="668">
        <f>IFERROR(IF(X351="",0,CEILING((X351/$H351),1)*$H351),"")</f>
        <v>42</v>
      </c>
      <c r="Z351" s="36">
        <f>IFERROR(IF(Y351=0,"",ROUNDUP(Y351/H351,0)*0.01898),"")</f>
        <v>9.4899999999999998E-2</v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40.347857142857144</v>
      </c>
      <c r="BN351" s="64">
        <f>IFERROR(Y351*I351/H351,"0")</f>
        <v>44.594999999999999</v>
      </c>
      <c r="BO351" s="64">
        <f>IFERROR(1/J351*(X351/H351),"0")</f>
        <v>7.0684523809523808E-2</v>
      </c>
      <c r="BP351" s="64">
        <f>IFERROR(1/J351*(Y351/H351),"0")</f>
        <v>7.8125E-2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87</v>
      </c>
      <c r="Q354" s="689"/>
      <c r="R354" s="689"/>
      <c r="S354" s="689"/>
      <c r="T354" s="689"/>
      <c r="U354" s="689"/>
      <c r="V354" s="690"/>
      <c r="W354" s="37" t="s">
        <v>88</v>
      </c>
      <c r="X354" s="669">
        <f>IFERROR(X351/H351,"0")+IFERROR(X352/H352,"0")+IFERROR(X353/H353,"0")</f>
        <v>4.5238095238095237</v>
      </c>
      <c r="Y354" s="669">
        <f>IFERROR(Y351/H351,"0")+IFERROR(Y352/H352,"0")+IFERROR(Y353/H353,"0")</f>
        <v>5</v>
      </c>
      <c r="Z354" s="669">
        <f>IFERROR(IF(Z351="",0,Z351),"0")+IFERROR(IF(Z352="",0,Z352),"0")+IFERROR(IF(Z353="",0,Z353),"0")</f>
        <v>9.4899999999999998E-2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87</v>
      </c>
      <c r="Q355" s="689"/>
      <c r="R355" s="689"/>
      <c r="S355" s="689"/>
      <c r="T355" s="689"/>
      <c r="U355" s="689"/>
      <c r="V355" s="690"/>
      <c r="W355" s="37" t="s">
        <v>68</v>
      </c>
      <c r="X355" s="669">
        <f>IFERROR(SUM(X351:X353),"0")</f>
        <v>38</v>
      </c>
      <c r="Y355" s="669">
        <f>IFERROR(SUM(Y351:Y353),"0")</f>
        <v>42</v>
      </c>
      <c r="Z355" s="37"/>
      <c r="AA355" s="670"/>
      <c r="AB355" s="670"/>
      <c r="AC355" s="670"/>
    </row>
    <row r="356" spans="1:68" ht="14.25" customHeight="1" x14ac:dyDescent="0.25">
      <c r="A356" s="684" t="s">
        <v>89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11" t="s">
        <v>564</v>
      </c>
      <c r="Q357" s="674"/>
      <c r="R357" s="674"/>
      <c r="S357" s="674"/>
      <c r="T357" s="675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20" t="s">
        <v>568</v>
      </c>
      <c r="Q358" s="674"/>
      <c r="R358" s="674"/>
      <c r="S358" s="674"/>
      <c r="T358" s="675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87</v>
      </c>
      <c r="Q361" s="689"/>
      <c r="R361" s="689"/>
      <c r="S361" s="689"/>
      <c r="T361" s="689"/>
      <c r="U361" s="689"/>
      <c r="V361" s="690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87</v>
      </c>
      <c r="Q362" s="689"/>
      <c r="R362" s="689"/>
      <c r="S362" s="689"/>
      <c r="T362" s="689"/>
      <c r="U362" s="689"/>
      <c r="V362" s="690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575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87</v>
      </c>
      <c r="Q367" s="689"/>
      <c r="R367" s="689"/>
      <c r="S367" s="689"/>
      <c r="T367" s="689"/>
      <c r="U367" s="689"/>
      <c r="V367" s="690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87</v>
      </c>
      <c r="Q368" s="689"/>
      <c r="R368" s="689"/>
      <c r="S368" s="689"/>
      <c r="T368" s="689"/>
      <c r="U368" s="689"/>
      <c r="V368" s="690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584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144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68</v>
      </c>
      <c r="X371" s="667">
        <v>5</v>
      </c>
      <c r="Y371" s="668">
        <f>IFERROR(IF(X371="",0,CEILING((X371/$H371),1)*$H371),"")</f>
        <v>5.4</v>
      </c>
      <c r="Z371" s="36">
        <f>IFERROR(IF(Y371=0,"",ROUNDUP(Y371/H371,0)*0.00651),"")</f>
        <v>1.9529999999999999E-2</v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5.6333333333333337</v>
      </c>
      <c r="BN371" s="64">
        <f>IFERROR(Y371*I371/H371,"0")</f>
        <v>6.0839999999999996</v>
      </c>
      <c r="BO371" s="64">
        <f>IFERROR(1/J371*(X371/H371),"0")</f>
        <v>1.5262515262515264E-2</v>
      </c>
      <c r="BP371" s="64">
        <f>IFERROR(1/J371*(Y371/H371),"0")</f>
        <v>1.6483516483516484E-2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87</v>
      </c>
      <c r="Q372" s="689"/>
      <c r="R372" s="689"/>
      <c r="S372" s="689"/>
      <c r="T372" s="689"/>
      <c r="U372" s="689"/>
      <c r="V372" s="690"/>
      <c r="W372" s="37" t="s">
        <v>88</v>
      </c>
      <c r="X372" s="669">
        <f>IFERROR(X371/H371,"0")</f>
        <v>2.7777777777777777</v>
      </c>
      <c r="Y372" s="669">
        <f>IFERROR(Y371/H371,"0")</f>
        <v>3</v>
      </c>
      <c r="Z372" s="669">
        <f>IFERROR(IF(Z371="",0,Z371),"0")</f>
        <v>1.9529999999999999E-2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87</v>
      </c>
      <c r="Q373" s="689"/>
      <c r="R373" s="689"/>
      <c r="S373" s="689"/>
      <c r="T373" s="689"/>
      <c r="U373" s="689"/>
      <c r="V373" s="690"/>
      <c r="W373" s="37" t="s">
        <v>68</v>
      </c>
      <c r="X373" s="669">
        <f>IFERROR(SUM(X371:X371),"0")</f>
        <v>5</v>
      </c>
      <c r="Y373" s="669">
        <f>IFERROR(SUM(Y371:Y371),"0")</f>
        <v>5.4</v>
      </c>
      <c r="Z373" s="37"/>
      <c r="AA373" s="670"/>
      <c r="AB373" s="670"/>
      <c r="AC373" s="670"/>
    </row>
    <row r="374" spans="1:68" ht="14.25" customHeight="1" x14ac:dyDescent="0.25">
      <c r="A374" s="684" t="s">
        <v>63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87</v>
      </c>
      <c r="Q378" s="689"/>
      <c r="R378" s="689"/>
      <c r="S378" s="689"/>
      <c r="T378" s="689"/>
      <c r="U378" s="689"/>
      <c r="V378" s="690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87</v>
      </c>
      <c r="Q379" s="689"/>
      <c r="R379" s="689"/>
      <c r="S379" s="689"/>
      <c r="T379" s="689"/>
      <c r="U379" s="689"/>
      <c r="V379" s="690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597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598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97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87</v>
      </c>
      <c r="Q393" s="689"/>
      <c r="R393" s="689"/>
      <c r="S393" s="689"/>
      <c r="T393" s="689"/>
      <c r="U393" s="689"/>
      <c r="V393" s="690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87</v>
      </c>
      <c r="Q394" s="689"/>
      <c r="R394" s="689"/>
      <c r="S394" s="689"/>
      <c r="T394" s="689"/>
      <c r="U394" s="689"/>
      <c r="V394" s="690"/>
      <c r="W394" s="37" t="s">
        <v>68</v>
      </c>
      <c r="X394" s="669">
        <f>IFERROR(SUM(X383:X392),"0")</f>
        <v>0</v>
      </c>
      <c r="Y394" s="669">
        <f>IFERROR(SUM(Y383:Y392),"0")</f>
        <v>0</v>
      </c>
      <c r="Z394" s="37"/>
      <c r="AA394" s="670"/>
      <c r="AB394" s="670"/>
      <c r="AC394" s="670"/>
    </row>
    <row r="395" spans="1:68" ht="14.25" customHeight="1" x14ac:dyDescent="0.25">
      <c r="A395" s="684" t="s">
        <v>133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68</v>
      </c>
      <c r="X396" s="667">
        <v>89</v>
      </c>
      <c r="Y396" s="668">
        <f>IFERROR(IF(X396="",0,CEILING((X396/$H396),1)*$H396),"")</f>
        <v>90</v>
      </c>
      <c r="Z396" s="36">
        <f>IFERROR(IF(Y396=0,"",ROUNDUP(Y396/H396,0)*0.02175),"")</f>
        <v>0.1305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91.847999999999999</v>
      </c>
      <c r="BN396" s="64">
        <f>IFERROR(Y396*I396/H396,"0")</f>
        <v>92.88000000000001</v>
      </c>
      <c r="BO396" s="64">
        <f>IFERROR(1/J396*(X396/H396),"0")</f>
        <v>0.12361111111111112</v>
      </c>
      <c r="BP396" s="64">
        <f>IFERROR(1/J396*(Y396/H396),"0")</f>
        <v>0.125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87</v>
      </c>
      <c r="Q398" s="689"/>
      <c r="R398" s="689"/>
      <c r="S398" s="689"/>
      <c r="T398" s="689"/>
      <c r="U398" s="689"/>
      <c r="V398" s="690"/>
      <c r="W398" s="37" t="s">
        <v>88</v>
      </c>
      <c r="X398" s="669">
        <f>IFERROR(X396/H396,"0")+IFERROR(X397/H397,"0")</f>
        <v>5.9333333333333336</v>
      </c>
      <c r="Y398" s="669">
        <f>IFERROR(Y396/H396,"0")+IFERROR(Y397/H397,"0")</f>
        <v>6</v>
      </c>
      <c r="Z398" s="669">
        <f>IFERROR(IF(Z396="",0,Z396),"0")+IFERROR(IF(Z397="",0,Z397),"0")</f>
        <v>0.1305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87</v>
      </c>
      <c r="Q399" s="689"/>
      <c r="R399" s="689"/>
      <c r="S399" s="689"/>
      <c r="T399" s="689"/>
      <c r="U399" s="689"/>
      <c r="V399" s="690"/>
      <c r="W399" s="37" t="s">
        <v>68</v>
      </c>
      <c r="X399" s="669">
        <f>IFERROR(SUM(X396:X397),"0")</f>
        <v>89</v>
      </c>
      <c r="Y399" s="669">
        <f>IFERROR(SUM(Y396:Y397),"0")</f>
        <v>90</v>
      </c>
      <c r="Z399" s="37"/>
      <c r="AA399" s="670"/>
      <c r="AB399" s="670"/>
      <c r="AC399" s="670"/>
    </row>
    <row r="400" spans="1:68" ht="14.25" customHeight="1" x14ac:dyDescent="0.25">
      <c r="A400" s="684" t="s">
        <v>63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69" t="s">
        <v>629</v>
      </c>
      <c r="Q401" s="674"/>
      <c r="R401" s="674"/>
      <c r="S401" s="674"/>
      <c r="T401" s="675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68" t="s">
        <v>633</v>
      </c>
      <c r="Q402" s="674"/>
      <c r="R402" s="674"/>
      <c r="S402" s="674"/>
      <c r="T402" s="675"/>
      <c r="U402" s="34"/>
      <c r="V402" s="34"/>
      <c r="W402" s="35" t="s">
        <v>68</v>
      </c>
      <c r="X402" s="667">
        <v>55</v>
      </c>
      <c r="Y402" s="668">
        <f>IFERROR(IF(X402="",0,CEILING((X402/$H402),1)*$H402),"")</f>
        <v>63</v>
      </c>
      <c r="Z402" s="36">
        <f>IFERROR(IF(Y402=0,"",ROUNDUP(Y402/H402,0)*0.01898),"")</f>
        <v>0.13286000000000001</v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58.17166666666666</v>
      </c>
      <c r="BN402" s="64">
        <f>IFERROR(Y402*I402/H402,"0")</f>
        <v>66.632999999999996</v>
      </c>
      <c r="BO402" s="64">
        <f>IFERROR(1/J402*(X402/H402),"0")</f>
        <v>9.5486111111111105E-2</v>
      </c>
      <c r="BP402" s="64">
        <f>IFERROR(1/J402*(Y402/H402),"0")</f>
        <v>0.109375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87</v>
      </c>
      <c r="Q403" s="689"/>
      <c r="R403" s="689"/>
      <c r="S403" s="689"/>
      <c r="T403" s="689"/>
      <c r="U403" s="689"/>
      <c r="V403" s="690"/>
      <c r="W403" s="37" t="s">
        <v>88</v>
      </c>
      <c r="X403" s="669">
        <f>IFERROR(X401/H401,"0")+IFERROR(X402/H402,"0")</f>
        <v>6.1111111111111107</v>
      </c>
      <c r="Y403" s="669">
        <f>IFERROR(Y401/H401,"0")+IFERROR(Y402/H402,"0")</f>
        <v>7</v>
      </c>
      <c r="Z403" s="669">
        <f>IFERROR(IF(Z401="",0,Z401),"0")+IFERROR(IF(Z402="",0,Z402),"0")</f>
        <v>0.13286000000000001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87</v>
      </c>
      <c r="Q404" s="689"/>
      <c r="R404" s="689"/>
      <c r="S404" s="689"/>
      <c r="T404" s="689"/>
      <c r="U404" s="689"/>
      <c r="V404" s="690"/>
      <c r="W404" s="37" t="s">
        <v>68</v>
      </c>
      <c r="X404" s="669">
        <f>IFERROR(SUM(X401:X402),"0")</f>
        <v>55</v>
      </c>
      <c r="Y404" s="669">
        <f>IFERROR(SUM(Y401:Y402),"0")</f>
        <v>63</v>
      </c>
      <c r="Z404" s="37"/>
      <c r="AA404" s="670"/>
      <c r="AB404" s="670"/>
      <c r="AC404" s="670"/>
    </row>
    <row r="405" spans="1:68" ht="14.25" customHeight="1" x14ac:dyDescent="0.25">
      <c r="A405" s="684" t="s">
        <v>170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15" t="s">
        <v>637</v>
      </c>
      <c r="Q406" s="674"/>
      <c r="R406" s="674"/>
      <c r="S406" s="674"/>
      <c r="T406" s="675"/>
      <c r="U406" s="34"/>
      <c r="V406" s="34"/>
      <c r="W406" s="35" t="s">
        <v>68</v>
      </c>
      <c r="X406" s="667">
        <v>149</v>
      </c>
      <c r="Y406" s="668">
        <f>IFERROR(IF(X406="",0,CEILING((X406/$H406),1)*$H406),"")</f>
        <v>153</v>
      </c>
      <c r="Z406" s="36">
        <f>IFERROR(IF(Y406=0,"",ROUNDUP(Y406/H406,0)*0.01898),"")</f>
        <v>0.32266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157.59233333333336</v>
      </c>
      <c r="BN406" s="64">
        <f>IFERROR(Y406*I406/H406,"0")</f>
        <v>161.82299999999998</v>
      </c>
      <c r="BO406" s="64">
        <f>IFERROR(1/J406*(X406/H406),"0")</f>
        <v>0.25868055555555558</v>
      </c>
      <c r="BP406" s="64">
        <f>IFERROR(1/J406*(Y406/H406),"0")</f>
        <v>0.265625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87</v>
      </c>
      <c r="Q407" s="689"/>
      <c r="R407" s="689"/>
      <c r="S407" s="689"/>
      <c r="T407" s="689"/>
      <c r="U407" s="689"/>
      <c r="V407" s="690"/>
      <c r="W407" s="37" t="s">
        <v>88</v>
      </c>
      <c r="X407" s="669">
        <f>IFERROR(X406/H406,"0")</f>
        <v>16.555555555555557</v>
      </c>
      <c r="Y407" s="669">
        <f>IFERROR(Y406/H406,"0")</f>
        <v>17</v>
      </c>
      <c r="Z407" s="669">
        <f>IFERROR(IF(Z406="",0,Z406),"0")</f>
        <v>0.32266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87</v>
      </c>
      <c r="Q408" s="689"/>
      <c r="R408" s="689"/>
      <c r="S408" s="689"/>
      <c r="T408" s="689"/>
      <c r="U408" s="689"/>
      <c r="V408" s="690"/>
      <c r="W408" s="37" t="s">
        <v>68</v>
      </c>
      <c r="X408" s="669">
        <f>IFERROR(SUM(X406:X406),"0")</f>
        <v>149</v>
      </c>
      <c r="Y408" s="669">
        <f>IFERROR(SUM(Y406:Y406),"0")</f>
        <v>153</v>
      </c>
      <c r="Z408" s="37"/>
      <c r="AA408" s="670"/>
      <c r="AB408" s="670"/>
      <c r="AC408" s="670"/>
    </row>
    <row r="409" spans="1:68" ht="16.5" customHeight="1" x14ac:dyDescent="0.25">
      <c r="A409" s="685" t="s">
        <v>639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87</v>
      </c>
      <c r="Q416" s="689"/>
      <c r="R416" s="689"/>
      <c r="S416" s="689"/>
      <c r="T416" s="689"/>
      <c r="U416" s="689"/>
      <c r="V416" s="690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87</v>
      </c>
      <c r="Q417" s="689"/>
      <c r="R417" s="689"/>
      <c r="S417" s="689"/>
      <c r="T417" s="689"/>
      <c r="U417" s="689"/>
      <c r="V417" s="690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144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87</v>
      </c>
      <c r="Q420" s="689"/>
      <c r="R420" s="689"/>
      <c r="S420" s="689"/>
      <c r="T420" s="689"/>
      <c r="U420" s="689"/>
      <c r="V420" s="690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87</v>
      </c>
      <c r="Q421" s="689"/>
      <c r="R421" s="689"/>
      <c r="S421" s="689"/>
      <c r="T421" s="689"/>
      <c r="U421" s="689"/>
      <c r="V421" s="690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63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87</v>
      </c>
      <c r="Q427" s="689"/>
      <c r="R427" s="689"/>
      <c r="S427" s="689"/>
      <c r="T427" s="689"/>
      <c r="U427" s="689"/>
      <c r="V427" s="690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87</v>
      </c>
      <c r="Q428" s="689"/>
      <c r="R428" s="689"/>
      <c r="S428" s="689"/>
      <c r="T428" s="689"/>
      <c r="U428" s="689"/>
      <c r="V428" s="690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170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6" t="s">
        <v>667</v>
      </c>
      <c r="Q430" s="674"/>
      <c r="R430" s="674"/>
      <c r="S430" s="674"/>
      <c r="T430" s="675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87</v>
      </c>
      <c r="Q431" s="689"/>
      <c r="R431" s="689"/>
      <c r="S431" s="689"/>
      <c r="T431" s="689"/>
      <c r="U431" s="689"/>
      <c r="V431" s="690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87</v>
      </c>
      <c r="Q432" s="689"/>
      <c r="R432" s="689"/>
      <c r="S432" s="689"/>
      <c r="T432" s="689"/>
      <c r="U432" s="689"/>
      <c r="V432" s="690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669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670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144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31" t="s">
        <v>673</v>
      </c>
      <c r="Q436" s="674"/>
      <c r="R436" s="674"/>
      <c r="S436" s="674"/>
      <c r="T436" s="675"/>
      <c r="U436" s="34"/>
      <c r="V436" s="34"/>
      <c r="W436" s="35" t="s">
        <v>68</v>
      </c>
      <c r="X436" s="667">
        <v>7</v>
      </c>
      <c r="Y436" s="668">
        <f t="shared" ref="Y436:Y447" si="62">IFERROR(IF(X436="",0,CEILING((X436/$H436),1)*$H436),"")</f>
        <v>10.8</v>
      </c>
      <c r="Z436" s="36">
        <f>IFERROR(IF(Y436=0,"",ROUNDUP(Y436/H436,0)*0.00902),"")</f>
        <v>1.804E-2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7.2722222222222221</v>
      </c>
      <c r="BN436" s="64">
        <f t="shared" ref="BN436:BN447" si="64">IFERROR(Y436*I436/H436,"0")</f>
        <v>11.22</v>
      </c>
      <c r="BO436" s="64">
        <f t="shared" ref="BO436:BO447" si="65">IFERROR(1/J436*(X436/H436),"0")</f>
        <v>9.8204264870931542E-3</v>
      </c>
      <c r="BP436" s="64">
        <f t="shared" ref="BP436:BP447" si="66">IFERROR(1/J436*(Y436/H436),"0")</f>
        <v>1.5151515151515152E-2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77" t="s">
        <v>677</v>
      </c>
      <c r="Q437" s="674"/>
      <c r="R437" s="674"/>
      <c r="S437" s="674"/>
      <c r="T437" s="675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59" t="s">
        <v>677</v>
      </c>
      <c r="Q438" s="674"/>
      <c r="R438" s="674"/>
      <c r="S438" s="674"/>
      <c r="T438" s="675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15" t="s">
        <v>682</v>
      </c>
      <c r="Q439" s="674"/>
      <c r="R439" s="674"/>
      <c r="S439" s="674"/>
      <c r="T439" s="675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9" t="s">
        <v>686</v>
      </c>
      <c r="Q440" s="674"/>
      <c r="R440" s="674"/>
      <c r="S440" s="674"/>
      <c r="T440" s="675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4"/>
      <c r="R441" s="674"/>
      <c r="S441" s="674"/>
      <c r="T441" s="675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54" t="s">
        <v>695</v>
      </c>
      <c r="Q444" s="674"/>
      <c r="R444" s="674"/>
      <c r="S444" s="674"/>
      <c r="T444" s="675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72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4"/>
      <c r="R445" s="674"/>
      <c r="S445" s="674"/>
      <c r="T445" s="675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7">
        <v>30</v>
      </c>
      <c r="Y446" s="668">
        <f t="shared" si="62"/>
        <v>31.5</v>
      </c>
      <c r="Z446" s="36">
        <f t="shared" si="67"/>
        <v>7.5300000000000006E-2</v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31.857142857142858</v>
      </c>
      <c r="BN446" s="64">
        <f t="shared" si="64"/>
        <v>33.450000000000003</v>
      </c>
      <c r="BO446" s="64">
        <f t="shared" si="65"/>
        <v>6.1050061050061055E-2</v>
      </c>
      <c r="BP446" s="64">
        <f t="shared" si="66"/>
        <v>6.4102564102564111E-2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87</v>
      </c>
      <c r="Q448" s="689"/>
      <c r="R448" s="689"/>
      <c r="S448" s="689"/>
      <c r="T448" s="689"/>
      <c r="U448" s="689"/>
      <c r="V448" s="690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15.582010582010581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17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9.3340000000000006E-2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87</v>
      </c>
      <c r="Q449" s="689"/>
      <c r="R449" s="689"/>
      <c r="S449" s="689"/>
      <c r="T449" s="689"/>
      <c r="U449" s="689"/>
      <c r="V449" s="690"/>
      <c r="W449" s="37" t="s">
        <v>68</v>
      </c>
      <c r="X449" s="669">
        <f>IFERROR(SUM(X436:X447),"0")</f>
        <v>37</v>
      </c>
      <c r="Y449" s="669">
        <f>IFERROR(SUM(Y436:Y447),"0")</f>
        <v>42.3</v>
      </c>
      <c r="Z449" s="37"/>
      <c r="AA449" s="670"/>
      <c r="AB449" s="670"/>
      <c r="AC449" s="670"/>
    </row>
    <row r="450" spans="1:68" ht="14.25" customHeight="1" x14ac:dyDescent="0.25">
      <c r="A450" s="684" t="s">
        <v>63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87</v>
      </c>
      <c r="Q453" s="689"/>
      <c r="R453" s="689"/>
      <c r="S453" s="689"/>
      <c r="T453" s="689"/>
      <c r="U453" s="689"/>
      <c r="V453" s="690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87</v>
      </c>
      <c r="Q454" s="689"/>
      <c r="R454" s="689"/>
      <c r="S454" s="689"/>
      <c r="T454" s="689"/>
      <c r="U454" s="689"/>
      <c r="V454" s="690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709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133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87</v>
      </c>
      <c r="Q459" s="689"/>
      <c r="R459" s="689"/>
      <c r="S459" s="689"/>
      <c r="T459" s="689"/>
      <c r="U459" s="689"/>
      <c r="V459" s="690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87</v>
      </c>
      <c r="Q460" s="689"/>
      <c r="R460" s="689"/>
      <c r="S460" s="689"/>
      <c r="T460" s="689"/>
      <c r="U460" s="689"/>
      <c r="V460" s="690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144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5" t="s">
        <v>718</v>
      </c>
      <c r="Q462" s="674"/>
      <c r="R462" s="674"/>
      <c r="S462" s="674"/>
      <c r="T462" s="675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66" t="s">
        <v>725</v>
      </c>
      <c r="Q464" s="674"/>
      <c r="R464" s="674"/>
      <c r="S464" s="674"/>
      <c r="T464" s="675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87</v>
      </c>
      <c r="Q466" s="689"/>
      <c r="R466" s="689"/>
      <c r="S466" s="689"/>
      <c r="T466" s="689"/>
      <c r="U466" s="689"/>
      <c r="V466" s="690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87</v>
      </c>
      <c r="Q467" s="689"/>
      <c r="R467" s="689"/>
      <c r="S467" s="689"/>
      <c r="T467" s="689"/>
      <c r="U467" s="689"/>
      <c r="V467" s="690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729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60" t="s">
        <v>735</v>
      </c>
      <c r="Q471" s="674"/>
      <c r="R471" s="674"/>
      <c r="S471" s="674"/>
      <c r="T471" s="675"/>
      <c r="U471" s="34"/>
      <c r="V471" s="34"/>
      <c r="W471" s="35" t="s">
        <v>68</v>
      </c>
      <c r="X471" s="667">
        <v>3</v>
      </c>
      <c r="Y471" s="668">
        <f>IFERROR(IF(X471="",0,CEILING((X471/$H471),1)*$H471),"")</f>
        <v>3.5999999999999996</v>
      </c>
      <c r="Z471" s="36">
        <f>IFERROR(IF(Y471=0,"",ROUNDUP(Y471/H471,0)*0.00651),"")</f>
        <v>1.9529999999999999E-2</v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5.2500000000000009</v>
      </c>
      <c r="BN471" s="64">
        <f>IFERROR(Y471*I471/H471,"0")</f>
        <v>6.3</v>
      </c>
      <c r="BO471" s="64">
        <f>IFERROR(1/J471*(X471/H471),"0")</f>
        <v>1.3736263736263738E-2</v>
      </c>
      <c r="BP471" s="64">
        <f>IFERROR(1/J471*(Y471/H471),"0")</f>
        <v>1.6483516483516484E-2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87</v>
      </c>
      <c r="Q472" s="689"/>
      <c r="R472" s="689"/>
      <c r="S472" s="689"/>
      <c r="T472" s="689"/>
      <c r="U472" s="689"/>
      <c r="V472" s="690"/>
      <c r="W472" s="37" t="s">
        <v>88</v>
      </c>
      <c r="X472" s="669">
        <f>IFERROR(X470/H470,"0")+IFERROR(X471/H471,"0")</f>
        <v>2.5</v>
      </c>
      <c r="Y472" s="669">
        <f>IFERROR(Y470/H470,"0")+IFERROR(Y471/H471,"0")</f>
        <v>3</v>
      </c>
      <c r="Z472" s="669">
        <f>IFERROR(IF(Z470="",0,Z470),"0")+IFERROR(IF(Z471="",0,Z471),"0")</f>
        <v>1.9529999999999999E-2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87</v>
      </c>
      <c r="Q473" s="689"/>
      <c r="R473" s="689"/>
      <c r="S473" s="689"/>
      <c r="T473" s="689"/>
      <c r="U473" s="689"/>
      <c r="V473" s="690"/>
      <c r="W473" s="37" t="s">
        <v>68</v>
      </c>
      <c r="X473" s="669">
        <f>IFERROR(SUM(X470:X471),"0")</f>
        <v>3</v>
      </c>
      <c r="Y473" s="669">
        <f>IFERROR(SUM(Y470:Y471),"0")</f>
        <v>3.5999999999999996</v>
      </c>
      <c r="Z473" s="37"/>
      <c r="AA473" s="670"/>
      <c r="AB473" s="670"/>
      <c r="AC473" s="670"/>
    </row>
    <row r="474" spans="1:68" ht="16.5" customHeight="1" x14ac:dyDescent="0.25">
      <c r="A474" s="685" t="s">
        <v>737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144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87</v>
      </c>
      <c r="Q477" s="689"/>
      <c r="R477" s="689"/>
      <c r="S477" s="689"/>
      <c r="T477" s="689"/>
      <c r="U477" s="689"/>
      <c r="V477" s="690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87</v>
      </c>
      <c r="Q478" s="689"/>
      <c r="R478" s="689"/>
      <c r="S478" s="689"/>
      <c r="T478" s="689"/>
      <c r="U478" s="689"/>
      <c r="V478" s="690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170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87</v>
      </c>
      <c r="Q481" s="689"/>
      <c r="R481" s="689"/>
      <c r="S481" s="689"/>
      <c r="T481" s="689"/>
      <c r="U481" s="689"/>
      <c r="V481" s="690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87</v>
      </c>
      <c r="Q482" s="689"/>
      <c r="R482" s="689"/>
      <c r="S482" s="689"/>
      <c r="T482" s="689"/>
      <c r="U482" s="689"/>
      <c r="V482" s="690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744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744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97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68</v>
      </c>
      <c r="X486" s="667">
        <v>94</v>
      </c>
      <c r="Y486" s="668">
        <f t="shared" ref="Y486:Y501" si="68">IFERROR(IF(X486="",0,CEILING((X486/$H486),1)*$H486),"")</f>
        <v>95.04</v>
      </c>
      <c r="Z486" s="36">
        <f t="shared" ref="Z486:Z491" si="69">IFERROR(IF(Y486=0,"",ROUNDUP(Y486/H486,0)*0.01196),"")</f>
        <v>0.21528</v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100.40909090909089</v>
      </c>
      <c r="BN486" s="64">
        <f t="shared" ref="BN486:BN501" si="71">IFERROR(Y486*I486/H486,"0")</f>
        <v>101.52000000000001</v>
      </c>
      <c r="BO486" s="64">
        <f t="shared" ref="BO486:BO501" si="72">IFERROR(1/J486*(X486/H486),"0")</f>
        <v>0.17118298368298368</v>
      </c>
      <c r="BP486" s="64">
        <f t="shared" ref="BP486:BP501" si="73">IFERROR(1/J486*(Y486/H486),"0")</f>
        <v>0.17307692307692307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68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83" t="s">
        <v>765</v>
      </c>
      <c r="Q492" s="674"/>
      <c r="R492" s="674"/>
      <c r="S492" s="674"/>
      <c r="T492" s="675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57" t="s">
        <v>773</v>
      </c>
      <c r="Q496" s="674"/>
      <c r="R496" s="674"/>
      <c r="S496" s="674"/>
      <c r="T496" s="675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20" t="s">
        <v>776</v>
      </c>
      <c r="Q497" s="674"/>
      <c r="R497" s="674"/>
      <c r="S497" s="674"/>
      <c r="T497" s="675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796" t="s">
        <v>779</v>
      </c>
      <c r="Q498" s="674"/>
      <c r="R498" s="674"/>
      <c r="S498" s="674"/>
      <c r="T498" s="675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87</v>
      </c>
      <c r="Q502" s="689"/>
      <c r="R502" s="689"/>
      <c r="S502" s="689"/>
      <c r="T502" s="689"/>
      <c r="U502" s="689"/>
      <c r="V502" s="690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17.803030303030301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18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0.21528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87</v>
      </c>
      <c r="Q503" s="689"/>
      <c r="R503" s="689"/>
      <c r="S503" s="689"/>
      <c r="T503" s="689"/>
      <c r="U503" s="689"/>
      <c r="V503" s="690"/>
      <c r="W503" s="37" t="s">
        <v>68</v>
      </c>
      <c r="X503" s="669">
        <f>IFERROR(SUM(X486:X501),"0")</f>
        <v>94</v>
      </c>
      <c r="Y503" s="669">
        <f>IFERROR(SUM(Y486:Y501),"0")</f>
        <v>95.04</v>
      </c>
      <c r="Z503" s="37"/>
      <c r="AA503" s="670"/>
      <c r="AB503" s="670"/>
      <c r="AC503" s="670"/>
    </row>
    <row r="504" spans="1:68" ht="14.25" customHeight="1" x14ac:dyDescent="0.25">
      <c r="A504" s="684" t="s">
        <v>133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68</v>
      </c>
      <c r="X505" s="667">
        <v>32</v>
      </c>
      <c r="Y505" s="668">
        <f>IFERROR(IF(X505="",0,CEILING((X505/$H505),1)*$H505),"")</f>
        <v>36.96</v>
      </c>
      <c r="Z505" s="36">
        <f>IFERROR(IF(Y505=0,"",ROUNDUP(Y505/H505,0)*0.01196),"")</f>
        <v>8.3720000000000003E-2</v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34.18181818181818</v>
      </c>
      <c r="BN505" s="64">
        <f>IFERROR(Y505*I505/H505,"0")</f>
        <v>39.479999999999997</v>
      </c>
      <c r="BO505" s="64">
        <f>IFERROR(1/J505*(X505/H505),"0")</f>
        <v>5.8275058275058279E-2</v>
      </c>
      <c r="BP505" s="64">
        <f>IFERROR(1/J505*(Y505/H505),"0")</f>
        <v>6.7307692307692318E-2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900" t="s">
        <v>789</v>
      </c>
      <c r="Q506" s="674"/>
      <c r="R506" s="674"/>
      <c r="S506" s="674"/>
      <c r="T506" s="675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50" t="s">
        <v>793</v>
      </c>
      <c r="Q507" s="674"/>
      <c r="R507" s="674"/>
      <c r="S507" s="674"/>
      <c r="T507" s="675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64" t="s">
        <v>796</v>
      </c>
      <c r="Q508" s="674"/>
      <c r="R508" s="674"/>
      <c r="S508" s="674"/>
      <c r="T508" s="675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87</v>
      </c>
      <c r="Q509" s="689"/>
      <c r="R509" s="689"/>
      <c r="S509" s="689"/>
      <c r="T509" s="689"/>
      <c r="U509" s="689"/>
      <c r="V509" s="690"/>
      <c r="W509" s="37" t="s">
        <v>88</v>
      </c>
      <c r="X509" s="669">
        <f>IFERROR(X505/H505,"0")+IFERROR(X506/H506,"0")+IFERROR(X507/H507,"0")+IFERROR(X508/H508,"0")</f>
        <v>6.0606060606060606</v>
      </c>
      <c r="Y509" s="669">
        <f>IFERROR(Y505/H505,"0")+IFERROR(Y506/H506,"0")+IFERROR(Y507/H507,"0")+IFERROR(Y508/H508,"0")</f>
        <v>7</v>
      </c>
      <c r="Z509" s="669">
        <f>IFERROR(IF(Z505="",0,Z505),"0")+IFERROR(IF(Z506="",0,Z506),"0")+IFERROR(IF(Z507="",0,Z507),"0")+IFERROR(IF(Z508="",0,Z508),"0")</f>
        <v>8.3720000000000003E-2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87</v>
      </c>
      <c r="Q510" s="689"/>
      <c r="R510" s="689"/>
      <c r="S510" s="689"/>
      <c r="T510" s="689"/>
      <c r="U510" s="689"/>
      <c r="V510" s="690"/>
      <c r="W510" s="37" t="s">
        <v>68</v>
      </c>
      <c r="X510" s="669">
        <f>IFERROR(SUM(X505:X508),"0")</f>
        <v>32</v>
      </c>
      <c r="Y510" s="669">
        <f>IFERROR(SUM(Y505:Y508),"0")</f>
        <v>36.96</v>
      </c>
      <c r="Z510" s="37"/>
      <c r="AA510" s="670"/>
      <c r="AB510" s="670"/>
      <c r="AC510" s="670"/>
    </row>
    <row r="511" spans="1:68" ht="14.25" customHeight="1" x14ac:dyDescent="0.25">
      <c r="A511" s="684" t="s">
        <v>144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22" t="s">
        <v>799</v>
      </c>
      <c r="Q512" s="674"/>
      <c r="R512" s="674"/>
      <c r="S512" s="674"/>
      <c r="T512" s="675"/>
      <c r="U512" s="34"/>
      <c r="V512" s="34"/>
      <c r="W512" s="35" t="s">
        <v>68</v>
      </c>
      <c r="X512" s="667">
        <v>53</v>
      </c>
      <c r="Y512" s="668">
        <f t="shared" ref="Y512:Y522" si="74">IFERROR(IF(X512="",0,CEILING((X512/$H512),1)*$H512),"")</f>
        <v>58.080000000000005</v>
      </c>
      <c r="Z512" s="36">
        <f>IFERROR(IF(Y512=0,"",ROUNDUP(Y512/H512,0)*0.01196),"")</f>
        <v>0.13156000000000001</v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56.613636363636353</v>
      </c>
      <c r="BN512" s="64">
        <f t="shared" ref="BN512:BN522" si="76">IFERROR(Y512*I512/H512,"0")</f>
        <v>62.040000000000006</v>
      </c>
      <c r="BO512" s="64">
        <f t="shared" ref="BO512:BO522" si="77">IFERROR(1/J512*(X512/H512),"0")</f>
        <v>9.6518065268065265E-2</v>
      </c>
      <c r="BP512" s="64">
        <f t="shared" ref="BP512:BP522" si="78">IFERROR(1/J512*(Y512/H512),"0")</f>
        <v>0.10576923076923078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3" t="s">
        <v>803</v>
      </c>
      <c r="Q513" s="674"/>
      <c r="R513" s="674"/>
      <c r="S513" s="674"/>
      <c r="T513" s="675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66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12" t="s">
        <v>811</v>
      </c>
      <c r="Q515" s="674"/>
      <c r="R515" s="674"/>
      <c r="S515" s="674"/>
      <c r="T515" s="675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2" t="s">
        <v>814</v>
      </c>
      <c r="Q516" s="674"/>
      <c r="R516" s="674"/>
      <c r="S516" s="674"/>
      <c r="T516" s="675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4" t="s">
        <v>816</v>
      </c>
      <c r="Q517" s="674"/>
      <c r="R517" s="674"/>
      <c r="S517" s="674"/>
      <c r="T517" s="675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44" t="s">
        <v>821</v>
      </c>
      <c r="Q519" s="674"/>
      <c r="R519" s="674"/>
      <c r="S519" s="674"/>
      <c r="T519" s="675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29" t="s">
        <v>826</v>
      </c>
      <c r="Q521" s="674"/>
      <c r="R521" s="674"/>
      <c r="S521" s="674"/>
      <c r="T521" s="675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87</v>
      </c>
      <c r="Q523" s="689"/>
      <c r="R523" s="689"/>
      <c r="S523" s="689"/>
      <c r="T523" s="689"/>
      <c r="U523" s="689"/>
      <c r="V523" s="690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10.037878787878787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11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0.13156000000000001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87</v>
      </c>
      <c r="Q524" s="689"/>
      <c r="R524" s="689"/>
      <c r="S524" s="689"/>
      <c r="T524" s="689"/>
      <c r="U524" s="689"/>
      <c r="V524" s="690"/>
      <c r="W524" s="37" t="s">
        <v>68</v>
      </c>
      <c r="X524" s="669">
        <f>IFERROR(SUM(X512:X522),"0")</f>
        <v>53</v>
      </c>
      <c r="Y524" s="669">
        <f>IFERROR(SUM(Y512:Y522),"0")</f>
        <v>58.080000000000005</v>
      </c>
      <c r="Z524" s="37"/>
      <c r="AA524" s="670"/>
      <c r="AB524" s="670"/>
      <c r="AC524" s="670"/>
    </row>
    <row r="525" spans="1:68" ht="14.25" customHeight="1" x14ac:dyDescent="0.25">
      <c r="A525" s="684" t="s">
        <v>63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87</v>
      </c>
      <c r="Q529" s="689"/>
      <c r="R529" s="689"/>
      <c r="S529" s="689"/>
      <c r="T529" s="689"/>
      <c r="U529" s="689"/>
      <c r="V529" s="690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87</v>
      </c>
      <c r="Q530" s="689"/>
      <c r="R530" s="689"/>
      <c r="S530" s="689"/>
      <c r="T530" s="689"/>
      <c r="U530" s="689"/>
      <c r="V530" s="690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170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06" t="s">
        <v>839</v>
      </c>
      <c r="Q532" s="674"/>
      <c r="R532" s="674"/>
      <c r="S532" s="674"/>
      <c r="T532" s="675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87</v>
      </c>
      <c r="Q533" s="689"/>
      <c r="R533" s="689"/>
      <c r="S533" s="689"/>
      <c r="T533" s="689"/>
      <c r="U533" s="689"/>
      <c r="V533" s="690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87</v>
      </c>
      <c r="Q534" s="689"/>
      <c r="R534" s="689"/>
      <c r="S534" s="689"/>
      <c r="T534" s="689"/>
      <c r="U534" s="689"/>
      <c r="V534" s="690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841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841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97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91" t="s">
        <v>844</v>
      </c>
      <c r="Q538" s="674"/>
      <c r="R538" s="674"/>
      <c r="S538" s="674"/>
      <c r="T538" s="675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0" t="s">
        <v>848</v>
      </c>
      <c r="Q539" s="674"/>
      <c r="R539" s="674"/>
      <c r="S539" s="674"/>
      <c r="T539" s="675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7" t="s">
        <v>852</v>
      </c>
      <c r="Q540" s="674"/>
      <c r="R540" s="674"/>
      <c r="S540" s="674"/>
      <c r="T540" s="675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32" t="s">
        <v>856</v>
      </c>
      <c r="Q541" s="674"/>
      <c r="R541" s="674"/>
      <c r="S541" s="674"/>
      <c r="T541" s="675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62" t="s">
        <v>860</v>
      </c>
      <c r="Q542" s="674"/>
      <c r="R542" s="674"/>
      <c r="S542" s="674"/>
      <c r="T542" s="675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3" t="s">
        <v>863</v>
      </c>
      <c r="Q543" s="674"/>
      <c r="R543" s="674"/>
      <c r="S543" s="674"/>
      <c r="T543" s="675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87</v>
      </c>
      <c r="Q544" s="689"/>
      <c r="R544" s="689"/>
      <c r="S544" s="689"/>
      <c r="T544" s="689"/>
      <c r="U544" s="689"/>
      <c r="V544" s="690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87</v>
      </c>
      <c r="Q545" s="689"/>
      <c r="R545" s="689"/>
      <c r="S545" s="689"/>
      <c r="T545" s="689"/>
      <c r="U545" s="689"/>
      <c r="V545" s="690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133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75" t="s">
        <v>866</v>
      </c>
      <c r="Q547" s="674"/>
      <c r="R547" s="674"/>
      <c r="S547" s="674"/>
      <c r="T547" s="675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795" t="s">
        <v>869</v>
      </c>
      <c r="Q548" s="674"/>
      <c r="R548" s="674"/>
      <c r="S548" s="674"/>
      <c r="T548" s="675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10" t="s">
        <v>873</v>
      </c>
      <c r="Q549" s="674"/>
      <c r="R549" s="674"/>
      <c r="S549" s="674"/>
      <c r="T549" s="675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38" t="s">
        <v>876</v>
      </c>
      <c r="Q550" s="674"/>
      <c r="R550" s="674"/>
      <c r="S550" s="674"/>
      <c r="T550" s="675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7" t="s">
        <v>880</v>
      </c>
      <c r="Q551" s="674"/>
      <c r="R551" s="674"/>
      <c r="S551" s="674"/>
      <c r="T551" s="675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87</v>
      </c>
      <c r="Q552" s="689"/>
      <c r="R552" s="689"/>
      <c r="S552" s="689"/>
      <c r="T552" s="689"/>
      <c r="U552" s="689"/>
      <c r="V552" s="690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87</v>
      </c>
      <c r="Q553" s="689"/>
      <c r="R553" s="689"/>
      <c r="S553" s="689"/>
      <c r="T553" s="689"/>
      <c r="U553" s="689"/>
      <c r="V553" s="690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144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62" t="s">
        <v>883</v>
      </c>
      <c r="Q555" s="674"/>
      <c r="R555" s="674"/>
      <c r="S555" s="674"/>
      <c r="T555" s="675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85" t="s">
        <v>887</v>
      </c>
      <c r="Q556" s="674"/>
      <c r="R556" s="674"/>
      <c r="S556" s="674"/>
      <c r="T556" s="675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67" t="s">
        <v>891</v>
      </c>
      <c r="Q557" s="674"/>
      <c r="R557" s="674"/>
      <c r="S557" s="674"/>
      <c r="T557" s="675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9" t="s">
        <v>895</v>
      </c>
      <c r="Q558" s="674"/>
      <c r="R558" s="674"/>
      <c r="S558" s="674"/>
      <c r="T558" s="675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7" t="s">
        <v>899</v>
      </c>
      <c r="Q559" s="674"/>
      <c r="R559" s="674"/>
      <c r="S559" s="674"/>
      <c r="T559" s="675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9" t="s">
        <v>903</v>
      </c>
      <c r="Q560" s="674"/>
      <c r="R560" s="674"/>
      <c r="S560" s="674"/>
      <c r="T560" s="675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12" t="s">
        <v>906</v>
      </c>
      <c r="Q561" s="674"/>
      <c r="R561" s="674"/>
      <c r="S561" s="674"/>
      <c r="T561" s="675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87</v>
      </c>
      <c r="Q562" s="689"/>
      <c r="R562" s="689"/>
      <c r="S562" s="689"/>
      <c r="T562" s="689"/>
      <c r="U562" s="689"/>
      <c r="V562" s="690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87</v>
      </c>
      <c r="Q563" s="689"/>
      <c r="R563" s="689"/>
      <c r="S563" s="689"/>
      <c r="T563" s="689"/>
      <c r="U563" s="689"/>
      <c r="V563" s="690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63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4" t="s">
        <v>909</v>
      </c>
      <c r="Q565" s="674"/>
      <c r="R565" s="674"/>
      <c r="S565" s="674"/>
      <c r="T565" s="675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903" t="s">
        <v>909</v>
      </c>
      <c r="Q566" s="674"/>
      <c r="R566" s="674"/>
      <c r="S566" s="674"/>
      <c r="T566" s="675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5" t="s">
        <v>914</v>
      </c>
      <c r="Q567" s="674"/>
      <c r="R567" s="674"/>
      <c r="S567" s="674"/>
      <c r="T567" s="675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21" t="s">
        <v>918</v>
      </c>
      <c r="Q568" s="674"/>
      <c r="R568" s="674"/>
      <c r="S568" s="674"/>
      <c r="T568" s="675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50" t="s">
        <v>921</v>
      </c>
      <c r="Q569" s="674"/>
      <c r="R569" s="674"/>
      <c r="S569" s="674"/>
      <c r="T569" s="675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87</v>
      </c>
      <c r="Q570" s="689"/>
      <c r="R570" s="689"/>
      <c r="S570" s="689"/>
      <c r="T570" s="689"/>
      <c r="U570" s="689"/>
      <c r="V570" s="690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87</v>
      </c>
      <c r="Q571" s="689"/>
      <c r="R571" s="689"/>
      <c r="S571" s="689"/>
      <c r="T571" s="689"/>
      <c r="U571" s="689"/>
      <c r="V571" s="690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170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67" t="s">
        <v>924</v>
      </c>
      <c r="Q573" s="674"/>
      <c r="R573" s="674"/>
      <c r="S573" s="674"/>
      <c r="T573" s="675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08" t="s">
        <v>927</v>
      </c>
      <c r="Q574" s="674"/>
      <c r="R574" s="674"/>
      <c r="S574" s="674"/>
      <c r="T574" s="675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73" t="s">
        <v>930</v>
      </c>
      <c r="Q575" s="674"/>
      <c r="R575" s="674"/>
      <c r="S575" s="674"/>
      <c r="T575" s="675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81" t="s">
        <v>933</v>
      </c>
      <c r="Q576" s="674"/>
      <c r="R576" s="674"/>
      <c r="S576" s="674"/>
      <c r="T576" s="675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87</v>
      </c>
      <c r="Q577" s="689"/>
      <c r="R577" s="689"/>
      <c r="S577" s="689"/>
      <c r="T577" s="689"/>
      <c r="U577" s="689"/>
      <c r="V577" s="690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87</v>
      </c>
      <c r="Q578" s="689"/>
      <c r="R578" s="689"/>
      <c r="S578" s="689"/>
      <c r="T578" s="689"/>
      <c r="U578" s="689"/>
      <c r="V578" s="690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934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43" t="s">
        <v>937</v>
      </c>
      <c r="Q581" s="674"/>
      <c r="R581" s="674"/>
      <c r="S581" s="674"/>
      <c r="T581" s="675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87</v>
      </c>
      <c r="Q582" s="689"/>
      <c r="R582" s="689"/>
      <c r="S582" s="689"/>
      <c r="T582" s="689"/>
      <c r="U582" s="689"/>
      <c r="V582" s="690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87</v>
      </c>
      <c r="Q583" s="689"/>
      <c r="R583" s="689"/>
      <c r="S583" s="689"/>
      <c r="T583" s="689"/>
      <c r="U583" s="689"/>
      <c r="V583" s="690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133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792" t="s">
        <v>941</v>
      </c>
      <c r="Q585" s="674"/>
      <c r="R585" s="674"/>
      <c r="S585" s="674"/>
      <c r="T585" s="675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87</v>
      </c>
      <c r="Q586" s="689"/>
      <c r="R586" s="689"/>
      <c r="S586" s="689"/>
      <c r="T586" s="689"/>
      <c r="U586" s="689"/>
      <c r="V586" s="690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87</v>
      </c>
      <c r="Q587" s="689"/>
      <c r="R587" s="689"/>
      <c r="S587" s="689"/>
      <c r="T587" s="689"/>
      <c r="U587" s="689"/>
      <c r="V587" s="690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22" t="s">
        <v>945</v>
      </c>
      <c r="Q589" s="674"/>
      <c r="R589" s="674"/>
      <c r="S589" s="674"/>
      <c r="T589" s="675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87</v>
      </c>
      <c r="Q590" s="689"/>
      <c r="R590" s="689"/>
      <c r="S590" s="689"/>
      <c r="T590" s="689"/>
      <c r="U590" s="689"/>
      <c r="V590" s="690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87</v>
      </c>
      <c r="Q591" s="689"/>
      <c r="R591" s="689"/>
      <c r="S591" s="689"/>
      <c r="T591" s="689"/>
      <c r="U591" s="689"/>
      <c r="V591" s="690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63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26" t="s">
        <v>949</v>
      </c>
      <c r="Q593" s="674"/>
      <c r="R593" s="674"/>
      <c r="S593" s="674"/>
      <c r="T593" s="675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87</v>
      </c>
      <c r="Q594" s="689"/>
      <c r="R594" s="689"/>
      <c r="S594" s="689"/>
      <c r="T594" s="689"/>
      <c r="U594" s="689"/>
      <c r="V594" s="690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87</v>
      </c>
      <c r="Q595" s="689"/>
      <c r="R595" s="689"/>
      <c r="S595" s="689"/>
      <c r="T595" s="689"/>
      <c r="U595" s="689"/>
      <c r="V595" s="690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951</v>
      </c>
      <c r="Q596" s="805"/>
      <c r="R596" s="805"/>
      <c r="S596" s="805"/>
      <c r="T596" s="805"/>
      <c r="U596" s="805"/>
      <c r="V596" s="806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1319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1382.58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952</v>
      </c>
      <c r="Q597" s="805"/>
      <c r="R597" s="805"/>
      <c r="S597" s="805"/>
      <c r="T597" s="805"/>
      <c r="U597" s="805"/>
      <c r="V597" s="806"/>
      <c r="W597" s="37" t="s">
        <v>68</v>
      </c>
      <c r="X597" s="669">
        <f>IFERROR(SUM(BM22:BM593),"0")</f>
        <v>1410.9340057720055</v>
      </c>
      <c r="Y597" s="669">
        <f>IFERROR(SUM(BN22:BN593),"0")</f>
        <v>1478.9390000000001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953</v>
      </c>
      <c r="Q598" s="805"/>
      <c r="R598" s="805"/>
      <c r="S598" s="805"/>
      <c r="T598" s="805"/>
      <c r="U598" s="805"/>
      <c r="V598" s="806"/>
      <c r="W598" s="37" t="s">
        <v>954</v>
      </c>
      <c r="X598" s="38">
        <f>ROUNDUP(SUM(BO22:BO593),0)</f>
        <v>3</v>
      </c>
      <c r="Y598" s="38">
        <f>ROUNDUP(SUM(BP22:BP593),0)</f>
        <v>3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955</v>
      </c>
      <c r="Q599" s="805"/>
      <c r="R599" s="805"/>
      <c r="S599" s="805"/>
      <c r="T599" s="805"/>
      <c r="U599" s="805"/>
      <c r="V599" s="806"/>
      <c r="W599" s="37" t="s">
        <v>68</v>
      </c>
      <c r="X599" s="669">
        <f>GrossWeightTotal+PalletQtyTotal*25</f>
        <v>1485.9340057720055</v>
      </c>
      <c r="Y599" s="669">
        <f>GrossWeightTotalR+PalletQtyTotalR*25</f>
        <v>1553.9390000000001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956</v>
      </c>
      <c r="Q600" s="805"/>
      <c r="R600" s="805"/>
      <c r="S600" s="805"/>
      <c r="T600" s="805"/>
      <c r="U600" s="805"/>
      <c r="V600" s="806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347.22638287638284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362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957</v>
      </c>
      <c r="Q601" s="805"/>
      <c r="R601" s="805"/>
      <c r="S601" s="805"/>
      <c r="T601" s="805"/>
      <c r="U601" s="805"/>
      <c r="V601" s="806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3.11822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698" t="s">
        <v>95</v>
      </c>
      <c r="D603" s="758"/>
      <c r="E603" s="758"/>
      <c r="F603" s="758"/>
      <c r="G603" s="758"/>
      <c r="H603" s="759"/>
      <c r="I603" s="698" t="s">
        <v>279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597</v>
      </c>
      <c r="X603" s="759"/>
      <c r="Y603" s="698" t="s">
        <v>669</v>
      </c>
      <c r="Z603" s="758"/>
      <c r="AA603" s="758"/>
      <c r="AB603" s="759"/>
      <c r="AC603" s="664" t="s">
        <v>744</v>
      </c>
      <c r="AD603" s="698" t="s">
        <v>841</v>
      </c>
      <c r="AE603" s="759"/>
      <c r="AF603" s="665"/>
    </row>
    <row r="604" spans="1:68" ht="14.25" customHeight="1" thickTop="1" x14ac:dyDescent="0.2">
      <c r="A604" s="943" t="s">
        <v>960</v>
      </c>
      <c r="B604" s="698" t="s">
        <v>62</v>
      </c>
      <c r="C604" s="698" t="s">
        <v>96</v>
      </c>
      <c r="D604" s="698" t="s">
        <v>115</v>
      </c>
      <c r="E604" s="698" t="s">
        <v>178</v>
      </c>
      <c r="F604" s="698" t="s">
        <v>209</v>
      </c>
      <c r="G604" s="698" t="s">
        <v>252</v>
      </c>
      <c r="H604" s="698" t="s">
        <v>95</v>
      </c>
      <c r="I604" s="698" t="s">
        <v>280</v>
      </c>
      <c r="J604" s="698" t="s">
        <v>326</v>
      </c>
      <c r="K604" s="698" t="s">
        <v>387</v>
      </c>
      <c r="L604" s="698" t="s">
        <v>434</v>
      </c>
      <c r="M604" s="698" t="s">
        <v>452</v>
      </c>
      <c r="N604" s="665"/>
      <c r="O604" s="698" t="s">
        <v>456</v>
      </c>
      <c r="P604" s="698" t="s">
        <v>469</v>
      </c>
      <c r="Q604" s="698" t="s">
        <v>483</v>
      </c>
      <c r="R604" s="698" t="s">
        <v>493</v>
      </c>
      <c r="S604" s="698" t="s">
        <v>497</v>
      </c>
      <c r="T604" s="698" t="s">
        <v>505</v>
      </c>
      <c r="U604" s="698" t="s">
        <v>510</v>
      </c>
      <c r="V604" s="698" t="s">
        <v>584</v>
      </c>
      <c r="W604" s="698" t="s">
        <v>598</v>
      </c>
      <c r="X604" s="698" t="s">
        <v>639</v>
      </c>
      <c r="Y604" s="698" t="s">
        <v>670</v>
      </c>
      <c r="Z604" s="698" t="s">
        <v>709</v>
      </c>
      <c r="AA604" s="698" t="s">
        <v>729</v>
      </c>
      <c r="AB604" s="698" t="s">
        <v>737</v>
      </c>
      <c r="AC604" s="698" t="s">
        <v>744</v>
      </c>
      <c r="AD604" s="698" t="s">
        <v>841</v>
      </c>
      <c r="AE604" s="698" t="s">
        <v>934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69.600000000000009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54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85.5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69.3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505.20000000000005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9.6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42</v>
      </c>
      <c r="V606" s="46">
        <f>IFERROR(Y371*1,"0")+IFERROR(Y375*1,"0")+IFERROR(Y376*1,"0")+IFERROR(Y377*1,"0")</f>
        <v>5.4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306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42.3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3.5999999999999996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190.08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2025-04-25T07:35:12Z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