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A9EB20E6-B95E-43AB-8DAB-2CF2270C086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Z273" i="1" s="1"/>
  <c r="Y272" i="1"/>
  <c r="M60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Y246" i="1" s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Y126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6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6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6" i="1" s="1"/>
  <c r="P37" i="1"/>
  <c r="X33" i="1"/>
  <c r="X32" i="1"/>
  <c r="BO31" i="1"/>
  <c r="BM31" i="1"/>
  <c r="Y31" i="1"/>
  <c r="Y32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7" i="1" s="1"/>
  <c r="Z22" i="1"/>
  <c r="Y22" i="1"/>
  <c r="P22" i="1"/>
  <c r="H10" i="1"/>
  <c r="F10" i="1"/>
  <c r="J9" i="1"/>
  <c r="F9" i="1"/>
  <c r="A9" i="1"/>
  <c r="A10" i="1" s="1"/>
  <c r="D7" i="1"/>
  <c r="Q6" i="1"/>
  <c r="P2" i="1"/>
  <c r="Z55" i="1" l="1"/>
  <c r="Z126" i="1"/>
  <c r="Z147" i="1"/>
  <c r="Z398" i="1"/>
  <c r="Z77" i="1"/>
  <c r="Z246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Z212" i="1" s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Z281" i="1" s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Z416" i="1" s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Z448" i="1" s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X599" i="1" s="1"/>
  <c r="Z23" i="1"/>
  <c r="Z28" i="1" s="1"/>
  <c r="BN23" i="1"/>
  <c r="Y597" i="1" s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Z41" i="1" s="1"/>
  <c r="BN37" i="1"/>
  <c r="BP37" i="1"/>
  <c r="Y598" i="1" s="1"/>
  <c r="Z39" i="1"/>
  <c r="BN39" i="1"/>
  <c r="Y42" i="1"/>
  <c r="D606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Z186" i="1" s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Z241" i="1" s="1"/>
  <c r="BP240" i="1"/>
  <c r="BN240" i="1"/>
  <c r="Z240" i="1"/>
  <c r="Y242" i="1"/>
  <c r="BP245" i="1"/>
  <c r="BN245" i="1"/>
  <c r="Z245" i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Z268" i="1" s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Z348" i="1" s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6" i="1"/>
  <c r="BP462" i="1"/>
  <c r="BN462" i="1"/>
  <c r="Z462" i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Y599" i="1" l="1"/>
  <c r="Z552" i="1"/>
  <c r="Z523" i="1"/>
  <c r="Z340" i="1"/>
  <c r="Z258" i="1"/>
  <c r="Z224" i="1"/>
  <c r="Z378" i="1"/>
  <c r="Z570" i="1"/>
  <c r="Z502" i="1"/>
  <c r="Z466" i="1"/>
  <c r="Z393" i="1"/>
  <c r="Z361" i="1"/>
  <c r="Z472" i="1"/>
  <c r="Z158" i="1"/>
  <c r="Z110" i="1"/>
  <c r="Z83" i="1"/>
  <c r="Z601" i="1" s="1"/>
  <c r="Y600" i="1"/>
  <c r="Z427" i="1"/>
  <c r="Z180" i="1"/>
  <c r="Y596" i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<sst xmlns="http://schemas.openxmlformats.org/spreadsheetml/2006/main" count="2760" uniqueCount="998">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</sst>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79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20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21</v>
      </c>
      <c r="Q10" s="863"/>
      <c r="R10" s="864"/>
      <c r="U10" s="24" t="s">
        <v>22</v>
      </c>
      <c r="V10" s="715" t="s">
        <v>23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2"/>
      <c r="R11" s="803"/>
      <c r="U11" s="24" t="s">
        <v>26</v>
      </c>
      <c r="V11" s="968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28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29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30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31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32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33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34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35</v>
      </c>
      <c r="B17" s="712" t="s">
        <v>36</v>
      </c>
      <c r="C17" s="819" t="s">
        <v>37</v>
      </c>
      <c r="D17" s="712" t="s">
        <v>38</v>
      </c>
      <c r="E17" s="776"/>
      <c r="F17" s="712" t="s">
        <v>39</v>
      </c>
      <c r="G17" s="712" t="s">
        <v>40</v>
      </c>
      <c r="H17" s="712" t="s">
        <v>41</v>
      </c>
      <c r="I17" s="712" t="s">
        <v>42</v>
      </c>
      <c r="J17" s="712" t="s">
        <v>43</v>
      </c>
      <c r="K17" s="712" t="s">
        <v>44</v>
      </c>
      <c r="L17" s="712" t="s">
        <v>45</v>
      </c>
      <c r="M17" s="712" t="s">
        <v>46</v>
      </c>
      <c r="N17" s="712" t="s">
        <v>47</v>
      </c>
      <c r="O17" s="712" t="s">
        <v>48</v>
      </c>
      <c r="P17" s="712" t="s">
        <v>49</v>
      </c>
      <c r="Q17" s="775"/>
      <c r="R17" s="775"/>
      <c r="S17" s="775"/>
      <c r="T17" s="776"/>
      <c r="U17" s="1043" t="s">
        <v>50</v>
      </c>
      <c r="V17" s="806"/>
      <c r="W17" s="712" t="s">
        <v>51</v>
      </c>
      <c r="X17" s="712" t="s">
        <v>52</v>
      </c>
      <c r="Y17" s="1040" t="s">
        <v>53</v>
      </c>
      <c r="Z17" s="940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7"/>
      <c r="AF17" s="99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60</v>
      </c>
      <c r="V18" s="67" t="s">
        <v>61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62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5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4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87</v>
      </c>
      <c r="Q28" s="689"/>
      <c r="R28" s="689"/>
      <c r="S28" s="689"/>
      <c r="T28" s="689"/>
      <c r="U28" s="689"/>
      <c r="V28" s="690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87</v>
      </c>
      <c r="Q29" s="689"/>
      <c r="R29" s="689"/>
      <c r="S29" s="689"/>
      <c r="T29" s="689"/>
      <c r="U29" s="689"/>
      <c r="V29" s="690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87</v>
      </c>
      <c r="Q32" s="689"/>
      <c r="R32" s="689"/>
      <c r="S32" s="689"/>
      <c r="T32" s="689"/>
      <c r="U32" s="689"/>
      <c r="V32" s="690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87</v>
      </c>
      <c r="Q33" s="689"/>
      <c r="R33" s="689"/>
      <c r="S33" s="689"/>
      <c r="T33" s="689"/>
      <c r="U33" s="689"/>
      <c r="V33" s="690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7">
        <v>108</v>
      </c>
      <c r="Y37" s="668">
        <f>IFERROR(IF(X37="",0,CEILING((X37/$H37),1)*$H37),"")</f>
        <v>108</v>
      </c>
      <c r="Z37" s="36">
        <f>IFERROR(IF(Y37=0,"",ROUNDUP(Y37/H37,0)*0.01898),"")</f>
        <v>0.1898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112.34999999999998</v>
      </c>
      <c r="BN37" s="64">
        <f>IFERROR(Y37*I37/H37,"0")</f>
        <v>112.34999999999998</v>
      </c>
      <c r="BO37" s="64">
        <f>IFERROR(1/J37*(X37/H37),"0")</f>
        <v>0.15625</v>
      </c>
      <c r="BP37" s="64">
        <f>IFERROR(1/J37*(Y37/H37),"0")</f>
        <v>0.15625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87</v>
      </c>
      <c r="Q41" s="689"/>
      <c r="R41" s="689"/>
      <c r="S41" s="689"/>
      <c r="T41" s="689"/>
      <c r="U41" s="689"/>
      <c r="V41" s="690"/>
      <c r="W41" s="37" t="s">
        <v>88</v>
      </c>
      <c r="X41" s="669">
        <f>IFERROR(X37/H37,"0")+IFERROR(X38/H38,"0")+IFERROR(X39/H39,"0")+IFERROR(X40/H40,"0")</f>
        <v>10</v>
      </c>
      <c r="Y41" s="669">
        <f>IFERROR(Y37/H37,"0")+IFERROR(Y38/H38,"0")+IFERROR(Y39/H39,"0")+IFERROR(Y40/H40,"0")</f>
        <v>10</v>
      </c>
      <c r="Z41" s="669">
        <f>IFERROR(IF(Z37="",0,Z37),"0")+IFERROR(IF(Z38="",0,Z38),"0")+IFERROR(IF(Z39="",0,Z39),"0")+IFERROR(IF(Z40="",0,Z40),"0")</f>
        <v>0.1898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87</v>
      </c>
      <c r="Q42" s="689"/>
      <c r="R42" s="689"/>
      <c r="S42" s="689"/>
      <c r="T42" s="689"/>
      <c r="U42" s="689"/>
      <c r="V42" s="690"/>
      <c r="W42" s="37" t="s">
        <v>68</v>
      </c>
      <c r="X42" s="669">
        <f>IFERROR(SUM(X37:X40),"0")</f>
        <v>108</v>
      </c>
      <c r="Y42" s="669">
        <f>IFERROR(SUM(Y37:Y40),"0")</f>
        <v>108</v>
      </c>
      <c r="Z42" s="37"/>
      <c r="AA42" s="670"/>
      <c r="AB42" s="670"/>
      <c r="AC42" s="670"/>
    </row>
    <row r="43" spans="1:68" ht="14.25" customHeight="1" x14ac:dyDescent="0.25">
      <c r="A43" s="684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87</v>
      </c>
      <c r="Q45" s="689"/>
      <c r="R45" s="689"/>
      <c r="S45" s="689"/>
      <c r="T45" s="689"/>
      <c r="U45" s="689"/>
      <c r="V45" s="690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87</v>
      </c>
      <c r="Q46" s="689"/>
      <c r="R46" s="689"/>
      <c r="S46" s="689"/>
      <c r="T46" s="689"/>
      <c r="U46" s="689"/>
      <c r="V46" s="690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7">
        <v>10</v>
      </c>
      <c r="Y49" s="668">
        <f t="shared" ref="Y49:Y54" si="6">IFERROR(IF(X49="",0,CEILING((X49/$H49),1)*$H49),"")</f>
        <v>11.2</v>
      </c>
      <c r="Z49" s="36">
        <f>IFERROR(IF(Y49=0,"",ROUNDUP(Y49/H49,0)*0.01898),"")</f>
        <v>1.898E-2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10.388392857142858</v>
      </c>
      <c r="BN49" s="64">
        <f t="shared" ref="BN49:BN54" si="8">IFERROR(Y49*I49/H49,"0")</f>
        <v>11.635</v>
      </c>
      <c r="BO49" s="64">
        <f t="shared" ref="BO49:BO54" si="9">IFERROR(1/J49*(X49/H49),"0")</f>
        <v>1.3950892857142858E-2</v>
      </c>
      <c r="BP49" s="64">
        <f t="shared" ref="BP49:BP54" si="10">IFERROR(1/J49*(Y49/H49),"0")</f>
        <v>1.5625E-2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7">
        <v>22</v>
      </c>
      <c r="Y52" s="668">
        <f t="shared" si="6"/>
        <v>24</v>
      </c>
      <c r="Z52" s="36">
        <f>IFERROR(IF(Y52=0,"",ROUNDUP(Y52/H52,0)*0.00902),"")</f>
        <v>5.4120000000000001E-2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23.155000000000001</v>
      </c>
      <c r="BN52" s="64">
        <f t="shared" si="8"/>
        <v>25.259999999999998</v>
      </c>
      <c r="BO52" s="64">
        <f t="shared" si="9"/>
        <v>4.1666666666666671E-2</v>
      </c>
      <c r="BP52" s="64">
        <f t="shared" si="10"/>
        <v>4.5454545454545456E-2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87</v>
      </c>
      <c r="Q55" s="689"/>
      <c r="R55" s="689"/>
      <c r="S55" s="689"/>
      <c r="T55" s="689"/>
      <c r="U55" s="689"/>
      <c r="V55" s="690"/>
      <c r="W55" s="37" t="s">
        <v>88</v>
      </c>
      <c r="X55" s="669">
        <f>IFERROR(X49/H49,"0")+IFERROR(X50/H50,"0")+IFERROR(X51/H51,"0")+IFERROR(X52/H52,"0")+IFERROR(X53/H53,"0")+IFERROR(X54/H54,"0")</f>
        <v>6.3928571428571432</v>
      </c>
      <c r="Y55" s="669">
        <f>IFERROR(Y49/H49,"0")+IFERROR(Y50/H50,"0")+IFERROR(Y51/H51,"0")+IFERROR(Y52/H52,"0")+IFERROR(Y53/H53,"0")+IFERROR(Y54/H54,"0")</f>
        <v>7</v>
      </c>
      <c r="Z55" s="669">
        <f>IFERROR(IF(Z49="",0,Z49),"0")+IFERROR(IF(Z50="",0,Z50),"0")+IFERROR(IF(Z51="",0,Z51),"0")+IFERROR(IF(Z52="",0,Z52),"0")+IFERROR(IF(Z53="",0,Z53),"0")+IFERROR(IF(Z54="",0,Z54),"0")</f>
        <v>7.3099999999999998E-2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87</v>
      </c>
      <c r="Q56" s="689"/>
      <c r="R56" s="689"/>
      <c r="S56" s="689"/>
      <c r="T56" s="689"/>
      <c r="U56" s="689"/>
      <c r="V56" s="690"/>
      <c r="W56" s="37" t="s">
        <v>68</v>
      </c>
      <c r="X56" s="669">
        <f>IFERROR(SUM(X49:X54),"0")</f>
        <v>32</v>
      </c>
      <c r="Y56" s="669">
        <f>IFERROR(SUM(Y49:Y54),"0")</f>
        <v>35.200000000000003</v>
      </c>
      <c r="Z56" s="37"/>
      <c r="AA56" s="670"/>
      <c r="AB56" s="670"/>
      <c r="AC56" s="670"/>
    </row>
    <row r="57" spans="1:68" ht="14.25" customHeight="1" x14ac:dyDescent="0.25">
      <c r="A57" s="684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87</v>
      </c>
      <c r="Q62" s="689"/>
      <c r="R62" s="689"/>
      <c r="S62" s="689"/>
      <c r="T62" s="689"/>
      <c r="U62" s="689"/>
      <c r="V62" s="690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87</v>
      </c>
      <c r="Q63" s="689"/>
      <c r="R63" s="689"/>
      <c r="S63" s="689"/>
      <c r="T63" s="689"/>
      <c r="U63" s="689"/>
      <c r="V63" s="690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customHeight="1" x14ac:dyDescent="0.25">
      <c r="A64" s="684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7">
        <v>2</v>
      </c>
      <c r="Y66" s="668">
        <f>IFERROR(IF(X66="",0,CEILING((X66/$H66),1)*$H66),"")</f>
        <v>3.6</v>
      </c>
      <c r="Z66" s="36">
        <f>IFERROR(IF(Y66=0,"",ROUNDUP(Y66/H66,0)*0.00502),"")</f>
        <v>1.004E-2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2.1111111111111112</v>
      </c>
      <c r="BN66" s="64">
        <f>IFERROR(Y66*I66/H66,"0")</f>
        <v>3.8</v>
      </c>
      <c r="BO66" s="64">
        <f>IFERROR(1/J66*(X66/H66),"0")</f>
        <v>4.7483380816714157E-3</v>
      </c>
      <c r="BP66" s="64">
        <f>IFERROR(1/J66*(Y66/H66),"0")</f>
        <v>8.5470085470085479E-3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87</v>
      </c>
      <c r="Q68" s="689"/>
      <c r="R68" s="689"/>
      <c r="S68" s="689"/>
      <c r="T68" s="689"/>
      <c r="U68" s="689"/>
      <c r="V68" s="690"/>
      <c r="W68" s="37" t="s">
        <v>88</v>
      </c>
      <c r="X68" s="669">
        <f>IFERROR(X65/H65,"0")+IFERROR(X66/H66,"0")+IFERROR(X67/H67,"0")</f>
        <v>1.1111111111111112</v>
      </c>
      <c r="Y68" s="669">
        <f>IFERROR(Y65/H65,"0")+IFERROR(Y66/H66,"0")+IFERROR(Y67/H67,"0")</f>
        <v>2</v>
      </c>
      <c r="Z68" s="669">
        <f>IFERROR(IF(Z65="",0,Z65),"0")+IFERROR(IF(Z66="",0,Z66),"0")+IFERROR(IF(Z67="",0,Z67),"0")</f>
        <v>1.004E-2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87</v>
      </c>
      <c r="Q69" s="689"/>
      <c r="R69" s="689"/>
      <c r="S69" s="689"/>
      <c r="T69" s="689"/>
      <c r="U69" s="689"/>
      <c r="V69" s="690"/>
      <c r="W69" s="37" t="s">
        <v>68</v>
      </c>
      <c r="X69" s="669">
        <f>IFERROR(SUM(X65:X67),"0")</f>
        <v>2</v>
      </c>
      <c r="Y69" s="669">
        <f>IFERROR(SUM(Y65:Y67),"0")</f>
        <v>3.6</v>
      </c>
      <c r="Z69" s="37"/>
      <c r="AA69" s="670"/>
      <c r="AB69" s="670"/>
      <c r="AC69" s="670"/>
    </row>
    <row r="70" spans="1:68" ht="14.25" customHeight="1" x14ac:dyDescent="0.25">
      <c r="A70" s="684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87</v>
      </c>
      <c r="Q77" s="689"/>
      <c r="R77" s="689"/>
      <c r="S77" s="689"/>
      <c r="T77" s="689"/>
      <c r="U77" s="689"/>
      <c r="V77" s="690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87</v>
      </c>
      <c r="Q78" s="689"/>
      <c r="R78" s="689"/>
      <c r="S78" s="689"/>
      <c r="T78" s="689"/>
      <c r="U78" s="689"/>
      <c r="V78" s="690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7">
        <v>14</v>
      </c>
      <c r="Y81" s="668">
        <f>IFERROR(IF(X81="",0,CEILING((X81/$H81),1)*$H81),"")</f>
        <v>16.8</v>
      </c>
      <c r="Z81" s="36">
        <f>IFERROR(IF(Y81=0,"",ROUNDUP(Y81/H81,0)*0.01898),"")</f>
        <v>3.7960000000000001E-2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14.865</v>
      </c>
      <c r="BN81" s="64">
        <f>IFERROR(Y81*I81/H81,"0")</f>
        <v>17.838000000000001</v>
      </c>
      <c r="BO81" s="64">
        <f>IFERROR(1/J81*(X81/H81),"0")</f>
        <v>2.6041666666666664E-2</v>
      </c>
      <c r="BP81" s="64">
        <f>IFERROR(1/J81*(Y81/H81),"0")</f>
        <v>3.125E-2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87</v>
      </c>
      <c r="Q83" s="689"/>
      <c r="R83" s="689"/>
      <c r="S83" s="689"/>
      <c r="T83" s="689"/>
      <c r="U83" s="689"/>
      <c r="V83" s="690"/>
      <c r="W83" s="37" t="s">
        <v>88</v>
      </c>
      <c r="X83" s="669">
        <f>IFERROR(X80/H80,"0")+IFERROR(X81/H81,"0")+IFERROR(X82/H82,"0")</f>
        <v>1.6666666666666665</v>
      </c>
      <c r="Y83" s="669">
        <f>IFERROR(Y80/H80,"0")+IFERROR(Y81/H81,"0")+IFERROR(Y82/H82,"0")</f>
        <v>2</v>
      </c>
      <c r="Z83" s="669">
        <f>IFERROR(IF(Z80="",0,Z80),"0")+IFERROR(IF(Z81="",0,Z81),"0")+IFERROR(IF(Z82="",0,Z82),"0")</f>
        <v>3.7960000000000001E-2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87</v>
      </c>
      <c r="Q84" s="689"/>
      <c r="R84" s="689"/>
      <c r="S84" s="689"/>
      <c r="T84" s="689"/>
      <c r="U84" s="689"/>
      <c r="V84" s="690"/>
      <c r="W84" s="37" t="s">
        <v>68</v>
      </c>
      <c r="X84" s="669">
        <f>IFERROR(SUM(X80:X82),"0")</f>
        <v>14</v>
      </c>
      <c r="Y84" s="669">
        <f>IFERROR(SUM(Y80:Y82),"0")</f>
        <v>16.8</v>
      </c>
      <c r="Z84" s="37"/>
      <c r="AA84" s="670"/>
      <c r="AB84" s="670"/>
      <c r="AC84" s="670"/>
    </row>
    <row r="85" spans="1:68" ht="16.5" customHeight="1" x14ac:dyDescent="0.25">
      <c r="A85" s="685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7">
        <v>65</v>
      </c>
      <c r="Y87" s="668">
        <f>IFERROR(IF(X87="",0,CEILING((X87/$H87),1)*$H87),"")</f>
        <v>75.600000000000009</v>
      </c>
      <c r="Z87" s="36">
        <f>IFERROR(IF(Y87=0,"",ROUNDUP(Y87/H87,0)*0.01898),"")</f>
        <v>0.13286000000000001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67.618055555555543</v>
      </c>
      <c r="BN87" s="64">
        <f>IFERROR(Y87*I87/H87,"0")</f>
        <v>78.64500000000001</v>
      </c>
      <c r="BO87" s="64">
        <f>IFERROR(1/J87*(X87/H87),"0")</f>
        <v>9.4039351851851846E-2</v>
      </c>
      <c r="BP87" s="64">
        <f>IFERROR(1/J87*(Y87/H87),"0")</f>
        <v>0.109375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7">
        <v>16</v>
      </c>
      <c r="Y89" s="668">
        <f>IFERROR(IF(X89="",0,CEILING((X89/$H89),1)*$H89),"")</f>
        <v>18</v>
      </c>
      <c r="Z89" s="36">
        <f>IFERROR(IF(Y89=0,"",ROUNDUP(Y89/H89,0)*0.00902),"")</f>
        <v>3.6080000000000001E-2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16.746666666666666</v>
      </c>
      <c r="BN89" s="64">
        <f>IFERROR(Y89*I89/H89,"0")</f>
        <v>18.84</v>
      </c>
      <c r="BO89" s="64">
        <f>IFERROR(1/J89*(X89/H89),"0")</f>
        <v>2.6936026936026935E-2</v>
      </c>
      <c r="BP89" s="64">
        <f>IFERROR(1/J89*(Y89/H89),"0")</f>
        <v>3.0303030303030304E-2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87</v>
      </c>
      <c r="Q90" s="689"/>
      <c r="R90" s="689"/>
      <c r="S90" s="689"/>
      <c r="T90" s="689"/>
      <c r="U90" s="689"/>
      <c r="V90" s="690"/>
      <c r="W90" s="37" t="s">
        <v>88</v>
      </c>
      <c r="X90" s="669">
        <f>IFERROR(X87/H87,"0")+IFERROR(X88/H88,"0")+IFERROR(X89/H89,"0")</f>
        <v>9.5740740740740726</v>
      </c>
      <c r="Y90" s="669">
        <f>IFERROR(Y87/H87,"0")+IFERROR(Y88/H88,"0")+IFERROR(Y89/H89,"0")</f>
        <v>11</v>
      </c>
      <c r="Z90" s="669">
        <f>IFERROR(IF(Z87="",0,Z87),"0")+IFERROR(IF(Z88="",0,Z88),"0")+IFERROR(IF(Z89="",0,Z89),"0")</f>
        <v>0.16894000000000001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87</v>
      </c>
      <c r="Q91" s="689"/>
      <c r="R91" s="689"/>
      <c r="S91" s="689"/>
      <c r="T91" s="689"/>
      <c r="U91" s="689"/>
      <c r="V91" s="690"/>
      <c r="W91" s="37" t="s">
        <v>68</v>
      </c>
      <c r="X91" s="669">
        <f>IFERROR(SUM(X87:X89),"0")</f>
        <v>81</v>
      </c>
      <c r="Y91" s="669">
        <f>IFERROR(SUM(Y87:Y89),"0")</f>
        <v>93.600000000000009</v>
      </c>
      <c r="Z91" s="37"/>
      <c r="AA91" s="670"/>
      <c r="AB91" s="670"/>
      <c r="AC91" s="670"/>
    </row>
    <row r="92" spans="1:68" ht="14.25" customHeight="1" x14ac:dyDescent="0.25">
      <c r="A92" s="684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68</v>
      </c>
      <c r="X93" s="667">
        <v>53</v>
      </c>
      <c r="Y93" s="668">
        <f t="shared" ref="Y93:Y101" si="16">IFERROR(IF(X93="",0,CEILING((X93/$H93),1)*$H93),"")</f>
        <v>58.800000000000004</v>
      </c>
      <c r="Z93" s="36">
        <f>IFERROR(IF(Y93=0,"",ROUNDUP(Y93/H93,0)*0.01898),"")</f>
        <v>0.13286000000000001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56.274642857142858</v>
      </c>
      <c r="BN93" s="64">
        <f t="shared" ref="BN93:BN101" si="18">IFERROR(Y93*I93/H93,"0")</f>
        <v>62.433000000000007</v>
      </c>
      <c r="BO93" s="64">
        <f t="shared" ref="BO93:BO101" si="19">IFERROR(1/J93*(X93/H93),"0")</f>
        <v>9.8586309523809521E-2</v>
      </c>
      <c r="BP93" s="64">
        <f t="shared" ref="BP93:BP101" si="20">IFERROR(1/J93*(Y93/H93),"0")</f>
        <v>0.109375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46" t="s">
        <v>192</v>
      </c>
      <c r="Q95" s="674"/>
      <c r="R95" s="674"/>
      <c r="S95" s="674"/>
      <c r="T95" s="675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5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71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88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87</v>
      </c>
      <c r="Q102" s="689"/>
      <c r="R102" s="689"/>
      <c r="S102" s="689"/>
      <c r="T102" s="689"/>
      <c r="U102" s="689"/>
      <c r="V102" s="690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6.3095238095238093</v>
      </c>
      <c r="Y102" s="669">
        <f>IFERROR(Y93/H93,"0")+IFERROR(Y94/H94,"0")+IFERROR(Y95/H95,"0")+IFERROR(Y96/H96,"0")+IFERROR(Y97/H97,"0")+IFERROR(Y98/H98,"0")+IFERROR(Y99/H99,"0")+IFERROR(Y100/H100,"0")+IFERROR(Y101/H101,"0")</f>
        <v>7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0.13286000000000001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87</v>
      </c>
      <c r="Q103" s="689"/>
      <c r="R103" s="689"/>
      <c r="S103" s="689"/>
      <c r="T103" s="689"/>
      <c r="U103" s="689"/>
      <c r="V103" s="690"/>
      <c r="W103" s="37" t="s">
        <v>68</v>
      </c>
      <c r="X103" s="669">
        <f>IFERROR(SUM(X93:X101),"0")</f>
        <v>53</v>
      </c>
      <c r="Y103" s="669">
        <f>IFERROR(SUM(Y93:Y101),"0")</f>
        <v>58.800000000000004</v>
      </c>
      <c r="Z103" s="37"/>
      <c r="AA103" s="670"/>
      <c r="AB103" s="670"/>
      <c r="AC103" s="670"/>
    </row>
    <row r="104" spans="1:68" ht="16.5" customHeight="1" x14ac:dyDescent="0.25">
      <c r="A104" s="685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7">
        <v>47</v>
      </c>
      <c r="Y108" s="668">
        <f>IFERROR(IF(X108="",0,CEILING((X108/$H108),1)*$H108),"")</f>
        <v>49.5</v>
      </c>
      <c r="Z108" s="36">
        <f>IFERROR(IF(Y108=0,"",ROUNDUP(Y108/H108,0)*0.00902),"")</f>
        <v>9.9220000000000003E-2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49.193333333333335</v>
      </c>
      <c r="BN108" s="64">
        <f>IFERROR(Y108*I108/H108,"0")</f>
        <v>51.81</v>
      </c>
      <c r="BO108" s="64">
        <f>IFERROR(1/J108*(X108/H108),"0")</f>
        <v>7.9124579124579125E-2</v>
      </c>
      <c r="BP108" s="64">
        <f>IFERROR(1/J108*(Y108/H108),"0")</f>
        <v>8.3333333333333343E-2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87</v>
      </c>
      <c r="Q110" s="689"/>
      <c r="R110" s="689"/>
      <c r="S110" s="689"/>
      <c r="T110" s="689"/>
      <c r="U110" s="689"/>
      <c r="V110" s="690"/>
      <c r="W110" s="37" t="s">
        <v>88</v>
      </c>
      <c r="X110" s="669">
        <f>IFERROR(X106/H106,"0")+IFERROR(X107/H107,"0")+IFERROR(X108/H108,"0")+IFERROR(X109/H109,"0")</f>
        <v>10.444444444444445</v>
      </c>
      <c r="Y110" s="669">
        <f>IFERROR(Y106/H106,"0")+IFERROR(Y107/H107,"0")+IFERROR(Y108/H108,"0")+IFERROR(Y109/H109,"0")</f>
        <v>11</v>
      </c>
      <c r="Z110" s="669">
        <f>IFERROR(IF(Z106="",0,Z106),"0")+IFERROR(IF(Z107="",0,Z107),"0")+IFERROR(IF(Z108="",0,Z108),"0")+IFERROR(IF(Z109="",0,Z109),"0")</f>
        <v>9.9220000000000003E-2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87</v>
      </c>
      <c r="Q111" s="689"/>
      <c r="R111" s="689"/>
      <c r="S111" s="689"/>
      <c r="T111" s="689"/>
      <c r="U111" s="689"/>
      <c r="V111" s="690"/>
      <c r="W111" s="37" t="s">
        <v>68</v>
      </c>
      <c r="X111" s="669">
        <f>IFERROR(SUM(X106:X109),"0")</f>
        <v>47</v>
      </c>
      <c r="Y111" s="669">
        <f>IFERROR(SUM(Y106:Y109),"0")</f>
        <v>49.5</v>
      </c>
      <c r="Z111" s="37"/>
      <c r="AA111" s="670"/>
      <c r="AB111" s="670"/>
      <c r="AC111" s="670"/>
    </row>
    <row r="112" spans="1:68" ht="14.25" customHeight="1" x14ac:dyDescent="0.25">
      <c r="A112" s="684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7">
        <v>44</v>
      </c>
      <c r="Y113" s="668">
        <f>IFERROR(IF(X113="",0,CEILING((X113/$H113),1)*$H113),"")</f>
        <v>54</v>
      </c>
      <c r="Z113" s="36">
        <f>IFERROR(IF(Y113=0,"",ROUNDUP(Y113/H113,0)*0.01898),"")</f>
        <v>9.4899999999999998E-2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45.772222222222219</v>
      </c>
      <c r="BN113" s="64">
        <f>IFERROR(Y113*I113/H113,"0")</f>
        <v>56.17499999999999</v>
      </c>
      <c r="BO113" s="64">
        <f>IFERROR(1/J113*(X113/H113),"0")</f>
        <v>6.3657407407407399E-2</v>
      </c>
      <c r="BP113" s="64">
        <f>IFERROR(1/J113*(Y113/H113),"0")</f>
        <v>7.8125E-2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87</v>
      </c>
      <c r="Q116" s="689"/>
      <c r="R116" s="689"/>
      <c r="S116" s="689"/>
      <c r="T116" s="689"/>
      <c r="U116" s="689"/>
      <c r="V116" s="690"/>
      <c r="W116" s="37" t="s">
        <v>88</v>
      </c>
      <c r="X116" s="669">
        <f>IFERROR(X113/H113,"0")+IFERROR(X114/H114,"0")+IFERROR(X115/H115,"0")</f>
        <v>4.0740740740740735</v>
      </c>
      <c r="Y116" s="669">
        <f>IFERROR(Y113/H113,"0")+IFERROR(Y114/H114,"0")+IFERROR(Y115/H115,"0")</f>
        <v>5</v>
      </c>
      <c r="Z116" s="669">
        <f>IFERROR(IF(Z113="",0,Z113),"0")+IFERROR(IF(Z114="",0,Z114),"0")+IFERROR(IF(Z115="",0,Z115),"0")</f>
        <v>9.4899999999999998E-2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87</v>
      </c>
      <c r="Q117" s="689"/>
      <c r="R117" s="689"/>
      <c r="S117" s="689"/>
      <c r="T117" s="689"/>
      <c r="U117" s="689"/>
      <c r="V117" s="690"/>
      <c r="W117" s="37" t="s">
        <v>68</v>
      </c>
      <c r="X117" s="669">
        <f>IFERROR(SUM(X113:X115),"0")</f>
        <v>44</v>
      </c>
      <c r="Y117" s="669">
        <f>IFERROR(SUM(Y113:Y115),"0")</f>
        <v>54</v>
      </c>
      <c r="Z117" s="37"/>
      <c r="AA117" s="670"/>
      <c r="AB117" s="670"/>
      <c r="AC117" s="670"/>
    </row>
    <row r="118" spans="1:68" ht="14.25" customHeight="1" x14ac:dyDescent="0.25">
      <c r="A118" s="684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7">
        <v>108</v>
      </c>
      <c r="Y120" s="668">
        <f t="shared" si="21"/>
        <v>109.2</v>
      </c>
      <c r="Z120" s="36">
        <f>IFERROR(IF(Y120=0,"",ROUNDUP(Y120/H120,0)*0.01898),"")</f>
        <v>0.24674000000000001</v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114.59571428571428</v>
      </c>
      <c r="BN120" s="64">
        <f t="shared" si="23"/>
        <v>115.869</v>
      </c>
      <c r="BO120" s="64">
        <f t="shared" si="24"/>
        <v>0.20089285714285712</v>
      </c>
      <c r="BP120" s="64">
        <f t="shared" si="25"/>
        <v>0.203125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10" t="s">
        <v>232</v>
      </c>
      <c r="Q121" s="674"/>
      <c r="R121" s="674"/>
      <c r="S121" s="674"/>
      <c r="T121" s="675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6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14" t="s">
        <v>239</v>
      </c>
      <c r="Q123" s="674"/>
      <c r="R123" s="674"/>
      <c r="S123" s="674"/>
      <c r="T123" s="675"/>
      <c r="U123" s="34"/>
      <c r="V123" s="34"/>
      <c r="W123" s="35" t="s">
        <v>68</v>
      </c>
      <c r="X123" s="667">
        <v>180</v>
      </c>
      <c r="Y123" s="668">
        <f t="shared" si="21"/>
        <v>180.9</v>
      </c>
      <c r="Z123" s="36">
        <f>IFERROR(IF(Y123=0,"",ROUNDUP(Y123/H123,0)*0.00651),"")</f>
        <v>0.43617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196.79999999999998</v>
      </c>
      <c r="BN123" s="64">
        <f t="shared" si="23"/>
        <v>197.78399999999999</v>
      </c>
      <c r="BO123" s="64">
        <f t="shared" si="24"/>
        <v>0.36630036630036628</v>
      </c>
      <c r="BP123" s="64">
        <f t="shared" si="25"/>
        <v>0.36813186813186816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87</v>
      </c>
      <c r="Q126" s="689"/>
      <c r="R126" s="689"/>
      <c r="S126" s="689"/>
      <c r="T126" s="689"/>
      <c r="U126" s="689"/>
      <c r="V126" s="690"/>
      <c r="W126" s="37" t="s">
        <v>88</v>
      </c>
      <c r="X126" s="669">
        <f>IFERROR(X119/H119,"0")+IFERROR(X120/H120,"0")+IFERROR(X121/H121,"0")+IFERROR(X122/H122,"0")+IFERROR(X123/H123,"0")+IFERROR(X124/H124,"0")+IFERROR(X125/H125,"0")</f>
        <v>79.523809523809518</v>
      </c>
      <c r="Y126" s="669">
        <f>IFERROR(Y119/H119,"0")+IFERROR(Y120/H120,"0")+IFERROR(Y121/H121,"0")+IFERROR(Y122/H122,"0")+IFERROR(Y123/H123,"0")+IFERROR(Y124/H124,"0")+IFERROR(Y125/H125,"0")</f>
        <v>80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0.68291000000000002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87</v>
      </c>
      <c r="Q127" s="689"/>
      <c r="R127" s="689"/>
      <c r="S127" s="689"/>
      <c r="T127" s="689"/>
      <c r="U127" s="689"/>
      <c r="V127" s="690"/>
      <c r="W127" s="37" t="s">
        <v>68</v>
      </c>
      <c r="X127" s="669">
        <f>IFERROR(SUM(X119:X125),"0")</f>
        <v>288</v>
      </c>
      <c r="Y127" s="669">
        <f>IFERROR(SUM(Y119:Y125),"0")</f>
        <v>290.10000000000002</v>
      </c>
      <c r="Z127" s="37"/>
      <c r="AA127" s="670"/>
      <c r="AB127" s="670"/>
      <c r="AC127" s="670"/>
    </row>
    <row r="128" spans="1:68" ht="14.25" customHeight="1" x14ac:dyDescent="0.25">
      <c r="A128" s="684" t="s">
        <v>170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87</v>
      </c>
      <c r="Q131" s="689"/>
      <c r="R131" s="689"/>
      <c r="S131" s="689"/>
      <c r="T131" s="689"/>
      <c r="U131" s="689"/>
      <c r="V131" s="690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87</v>
      </c>
      <c r="Q132" s="689"/>
      <c r="R132" s="689"/>
      <c r="S132" s="689"/>
      <c r="T132" s="689"/>
      <c r="U132" s="689"/>
      <c r="V132" s="690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252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97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87</v>
      </c>
      <c r="Q137" s="689"/>
      <c r="R137" s="689"/>
      <c r="S137" s="689"/>
      <c r="T137" s="689"/>
      <c r="U137" s="689"/>
      <c r="V137" s="690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87</v>
      </c>
      <c r="Q138" s="689"/>
      <c r="R138" s="689"/>
      <c r="S138" s="689"/>
      <c r="T138" s="689"/>
      <c r="U138" s="689"/>
      <c r="V138" s="690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144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87</v>
      </c>
      <c r="Q142" s="689"/>
      <c r="R142" s="689"/>
      <c r="S142" s="689"/>
      <c r="T142" s="689"/>
      <c r="U142" s="689"/>
      <c r="V142" s="690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87</v>
      </c>
      <c r="Q143" s="689"/>
      <c r="R143" s="689"/>
      <c r="S143" s="689"/>
      <c r="T143" s="689"/>
      <c r="U143" s="689"/>
      <c r="V143" s="690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63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87</v>
      </c>
      <c r="Q147" s="689"/>
      <c r="R147" s="689"/>
      <c r="S147" s="689"/>
      <c r="T147" s="689"/>
      <c r="U147" s="689"/>
      <c r="V147" s="690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87</v>
      </c>
      <c r="Q148" s="689"/>
      <c r="R148" s="689"/>
      <c r="S148" s="689"/>
      <c r="T148" s="689"/>
      <c r="U148" s="689"/>
      <c r="V148" s="690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95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97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87</v>
      </c>
      <c r="Q152" s="689"/>
      <c r="R152" s="689"/>
      <c r="S152" s="689"/>
      <c r="T152" s="689"/>
      <c r="U152" s="689"/>
      <c r="V152" s="690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87</v>
      </c>
      <c r="Q153" s="689"/>
      <c r="R153" s="689"/>
      <c r="S153" s="689"/>
      <c r="T153" s="689"/>
      <c r="U153" s="689"/>
      <c r="V153" s="690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144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87</v>
      </c>
      <c r="Q158" s="689"/>
      <c r="R158" s="689"/>
      <c r="S158" s="689"/>
      <c r="T158" s="689"/>
      <c r="U158" s="689"/>
      <c r="V158" s="690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87</v>
      </c>
      <c r="Q159" s="689"/>
      <c r="R159" s="689"/>
      <c r="S159" s="689"/>
      <c r="T159" s="689"/>
      <c r="U159" s="689"/>
      <c r="V159" s="690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63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87</v>
      </c>
      <c r="Q162" s="689"/>
      <c r="R162" s="689"/>
      <c r="S162" s="689"/>
      <c r="T162" s="689"/>
      <c r="U162" s="689"/>
      <c r="V162" s="690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87</v>
      </c>
      <c r="Q163" s="689"/>
      <c r="R163" s="689"/>
      <c r="S163" s="689"/>
      <c r="T163" s="689"/>
      <c r="U163" s="689"/>
      <c r="V163" s="690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279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280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133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87</v>
      </c>
      <c r="Q168" s="689"/>
      <c r="R168" s="689"/>
      <c r="S168" s="689"/>
      <c r="T168" s="689"/>
      <c r="U168" s="689"/>
      <c r="V168" s="690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87</v>
      </c>
      <c r="Q169" s="689"/>
      <c r="R169" s="689"/>
      <c r="S169" s="689"/>
      <c r="T169" s="689"/>
      <c r="U169" s="689"/>
      <c r="V169" s="690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144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68</v>
      </c>
      <c r="X173" s="667">
        <v>5</v>
      </c>
      <c r="Y173" s="668">
        <f t="shared" si="26"/>
        <v>8.4</v>
      </c>
      <c r="Z173" s="36">
        <f>IFERROR(IF(Y173=0,"",ROUNDUP(Y173/H173,0)*0.00902),"")</f>
        <v>1.804E-2</v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5.25</v>
      </c>
      <c r="BN173" s="64">
        <f t="shared" si="28"/>
        <v>8.82</v>
      </c>
      <c r="BO173" s="64">
        <f t="shared" si="29"/>
        <v>9.0187590187590181E-3</v>
      </c>
      <c r="BP173" s="64">
        <f t="shared" si="30"/>
        <v>1.5151515151515152E-2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70" t="s">
        <v>299</v>
      </c>
      <c r="Q176" s="674"/>
      <c r="R176" s="674"/>
      <c r="S176" s="674"/>
      <c r="T176" s="675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68</v>
      </c>
      <c r="X177" s="667">
        <v>47</v>
      </c>
      <c r="Y177" s="668">
        <f t="shared" si="26"/>
        <v>48.300000000000004</v>
      </c>
      <c r="Z177" s="36">
        <f>IFERROR(IF(Y177=0,"",ROUNDUP(Y177/H177,0)*0.00502),"")</f>
        <v>0.11546000000000001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49.238095238095241</v>
      </c>
      <c r="BN177" s="64">
        <f t="shared" si="28"/>
        <v>50.600000000000009</v>
      </c>
      <c r="BO177" s="64">
        <f t="shared" si="29"/>
        <v>9.5645095645095643E-2</v>
      </c>
      <c r="BP177" s="64">
        <f t="shared" si="30"/>
        <v>9.8290598290598302E-2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87</v>
      </c>
      <c r="Q180" s="689"/>
      <c r="R180" s="689"/>
      <c r="S180" s="689"/>
      <c r="T180" s="689"/>
      <c r="U180" s="689"/>
      <c r="V180" s="690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23.571428571428569</v>
      </c>
      <c r="Y180" s="669">
        <f>IFERROR(Y171/H171,"0")+IFERROR(Y172/H172,"0")+IFERROR(Y173/H173,"0")+IFERROR(Y174/H174,"0")+IFERROR(Y175/H175,"0")+IFERROR(Y176/H176,"0")+IFERROR(Y177/H177,"0")+IFERROR(Y178/H178,"0")+IFERROR(Y179/H179,"0")</f>
        <v>25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0.13350000000000001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87</v>
      </c>
      <c r="Q181" s="689"/>
      <c r="R181" s="689"/>
      <c r="S181" s="689"/>
      <c r="T181" s="689"/>
      <c r="U181" s="689"/>
      <c r="V181" s="690"/>
      <c r="W181" s="37" t="s">
        <v>68</v>
      </c>
      <c r="X181" s="669">
        <f>IFERROR(SUM(X171:X179),"0")</f>
        <v>52</v>
      </c>
      <c r="Y181" s="669">
        <f>IFERROR(SUM(Y171:Y179),"0")</f>
        <v>56.7</v>
      </c>
      <c r="Z181" s="37"/>
      <c r="AA181" s="670"/>
      <c r="AB181" s="670"/>
      <c r="AC181" s="670"/>
    </row>
    <row r="182" spans="1:68" ht="14.25" customHeight="1" x14ac:dyDescent="0.25">
      <c r="A182" s="684" t="s">
        <v>89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87" t="s">
        <v>312</v>
      </c>
      <c r="Q183" s="674"/>
      <c r="R183" s="674"/>
      <c r="S183" s="674"/>
      <c r="T183" s="675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53" t="s">
        <v>317</v>
      </c>
      <c r="Q184" s="674"/>
      <c r="R184" s="674"/>
      <c r="S184" s="674"/>
      <c r="T184" s="675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42" t="s">
        <v>320</v>
      </c>
      <c r="Q185" s="674"/>
      <c r="R185" s="674"/>
      <c r="S185" s="674"/>
      <c r="T185" s="675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87</v>
      </c>
      <c r="Q186" s="689"/>
      <c r="R186" s="689"/>
      <c r="S186" s="689"/>
      <c r="T186" s="689"/>
      <c r="U186" s="689"/>
      <c r="V186" s="690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87</v>
      </c>
      <c r="Q187" s="689"/>
      <c r="R187" s="689"/>
      <c r="S187" s="689"/>
      <c r="T187" s="689"/>
      <c r="U187" s="689"/>
      <c r="V187" s="690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322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0" t="s">
        <v>325</v>
      </c>
      <c r="Q189" s="674"/>
      <c r="R189" s="674"/>
      <c r="S189" s="674"/>
      <c r="T189" s="675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87</v>
      </c>
      <c r="Q190" s="689"/>
      <c r="R190" s="689"/>
      <c r="S190" s="689"/>
      <c r="T190" s="689"/>
      <c r="U190" s="689"/>
      <c r="V190" s="690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87</v>
      </c>
      <c r="Q191" s="689"/>
      <c r="R191" s="689"/>
      <c r="S191" s="689"/>
      <c r="T191" s="689"/>
      <c r="U191" s="689"/>
      <c r="V191" s="690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326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97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87</v>
      </c>
      <c r="Q196" s="689"/>
      <c r="R196" s="689"/>
      <c r="S196" s="689"/>
      <c r="T196" s="689"/>
      <c r="U196" s="689"/>
      <c r="V196" s="690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87</v>
      </c>
      <c r="Q197" s="689"/>
      <c r="R197" s="689"/>
      <c r="S197" s="689"/>
      <c r="T197" s="689"/>
      <c r="U197" s="689"/>
      <c r="V197" s="690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133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87</v>
      </c>
      <c r="Q201" s="689"/>
      <c r="R201" s="689"/>
      <c r="S201" s="689"/>
      <c r="T201" s="689"/>
      <c r="U201" s="689"/>
      <c r="V201" s="690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87</v>
      </c>
      <c r="Q202" s="689"/>
      <c r="R202" s="689"/>
      <c r="S202" s="689"/>
      <c r="T202" s="689"/>
      <c r="U202" s="689"/>
      <c r="V202" s="690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144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68</v>
      </c>
      <c r="X209" s="667">
        <v>12</v>
      </c>
      <c r="Y209" s="668">
        <f t="shared" si="31"/>
        <v>12.6</v>
      </c>
      <c r="Z209" s="36">
        <f>IFERROR(IF(Y209=0,"",ROUNDUP(Y209/H209,0)*0.00502),"")</f>
        <v>3.5140000000000005E-2</v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12.666666666666664</v>
      </c>
      <c r="BN209" s="64">
        <f t="shared" si="33"/>
        <v>13.299999999999999</v>
      </c>
      <c r="BO209" s="64">
        <f t="shared" si="34"/>
        <v>2.8490028490028491E-2</v>
      </c>
      <c r="BP209" s="64">
        <f t="shared" si="35"/>
        <v>2.9914529914529919E-2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87</v>
      </c>
      <c r="Q212" s="689"/>
      <c r="R212" s="689"/>
      <c r="S212" s="689"/>
      <c r="T212" s="689"/>
      <c r="U212" s="689"/>
      <c r="V212" s="690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6.6666666666666661</v>
      </c>
      <c r="Y212" s="669">
        <f>IFERROR(Y204/H204,"0")+IFERROR(Y205/H205,"0")+IFERROR(Y206/H206,"0")+IFERROR(Y207/H207,"0")+IFERROR(Y208/H208,"0")+IFERROR(Y209/H209,"0")+IFERROR(Y210/H210,"0")+IFERROR(Y211/H211,"0")</f>
        <v>7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3.5140000000000005E-2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87</v>
      </c>
      <c r="Q213" s="689"/>
      <c r="R213" s="689"/>
      <c r="S213" s="689"/>
      <c r="T213" s="689"/>
      <c r="U213" s="689"/>
      <c r="V213" s="690"/>
      <c r="W213" s="37" t="s">
        <v>68</v>
      </c>
      <c r="X213" s="669">
        <f>IFERROR(SUM(X204:X211),"0")</f>
        <v>12</v>
      </c>
      <c r="Y213" s="669">
        <f>IFERROR(SUM(Y204:Y211),"0")</f>
        <v>12.6</v>
      </c>
      <c r="Z213" s="37"/>
      <c r="AA213" s="670"/>
      <c r="AB213" s="670"/>
      <c r="AC213" s="670"/>
    </row>
    <row r="214" spans="1:68" ht="14.25" customHeight="1" x14ac:dyDescent="0.25">
      <c r="A214" s="684" t="s">
        <v>63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7">
        <v>5</v>
      </c>
      <c r="Y217" s="668">
        <f t="shared" si="36"/>
        <v>8.6999999999999993</v>
      </c>
      <c r="Z217" s="36">
        <f>IFERROR(IF(Y217=0,"",ROUNDUP(Y217/H217,0)*0.01898),"")</f>
        <v>1.898E-2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5.2982758620689658</v>
      </c>
      <c r="BN217" s="64">
        <f t="shared" si="38"/>
        <v>9.2189999999999994</v>
      </c>
      <c r="BO217" s="64">
        <f t="shared" si="39"/>
        <v>8.9798850574712655E-3</v>
      </c>
      <c r="BP217" s="64">
        <f t="shared" si="40"/>
        <v>1.5625E-2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7">
        <v>180</v>
      </c>
      <c r="Y220" s="668">
        <f t="shared" si="36"/>
        <v>180</v>
      </c>
      <c r="Z220" s="36">
        <f t="shared" si="41"/>
        <v>0.48825000000000002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198.9</v>
      </c>
      <c r="BN220" s="64">
        <f t="shared" si="38"/>
        <v>198.9</v>
      </c>
      <c r="BO220" s="64">
        <f t="shared" si="39"/>
        <v>0.41208791208791212</v>
      </c>
      <c r="BP220" s="64">
        <f t="shared" si="40"/>
        <v>0.41208791208791212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68</v>
      </c>
      <c r="X221" s="667">
        <v>160</v>
      </c>
      <c r="Y221" s="668">
        <f t="shared" si="36"/>
        <v>160.79999999999998</v>
      </c>
      <c r="Z221" s="36">
        <f t="shared" si="41"/>
        <v>0.43617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176.80000000000004</v>
      </c>
      <c r="BN221" s="64">
        <f t="shared" si="38"/>
        <v>177.684</v>
      </c>
      <c r="BO221" s="64">
        <f t="shared" si="39"/>
        <v>0.36630036630036633</v>
      </c>
      <c r="BP221" s="64">
        <f t="shared" si="40"/>
        <v>0.36813186813186816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68</v>
      </c>
      <c r="X222" s="667">
        <v>162</v>
      </c>
      <c r="Y222" s="668">
        <f t="shared" si="36"/>
        <v>163.19999999999999</v>
      </c>
      <c r="Z222" s="36">
        <f t="shared" si="41"/>
        <v>0.44268000000000002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179.01000000000002</v>
      </c>
      <c r="BN222" s="64">
        <f t="shared" si="38"/>
        <v>180.33600000000001</v>
      </c>
      <c r="BO222" s="64">
        <f t="shared" si="39"/>
        <v>0.37087912087912089</v>
      </c>
      <c r="BP222" s="64">
        <f t="shared" si="40"/>
        <v>0.37362637362637363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68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87</v>
      </c>
      <c r="Q224" s="689"/>
      <c r="R224" s="689"/>
      <c r="S224" s="689"/>
      <c r="T224" s="689"/>
      <c r="U224" s="689"/>
      <c r="V224" s="690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209.74137931034483</v>
      </c>
      <c r="Y224" s="669">
        <f>IFERROR(Y215/H215,"0")+IFERROR(Y216/H216,"0")+IFERROR(Y217/H217,"0")+IFERROR(Y218/H218,"0")+IFERROR(Y219/H219,"0")+IFERROR(Y220/H220,"0")+IFERROR(Y221/H221,"0")+IFERROR(Y222/H222,"0")+IFERROR(Y223/H223,"0")</f>
        <v>211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1.38608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87</v>
      </c>
      <c r="Q225" s="689"/>
      <c r="R225" s="689"/>
      <c r="S225" s="689"/>
      <c r="T225" s="689"/>
      <c r="U225" s="689"/>
      <c r="V225" s="690"/>
      <c r="W225" s="37" t="s">
        <v>68</v>
      </c>
      <c r="X225" s="669">
        <f>IFERROR(SUM(X215:X223),"0")</f>
        <v>507</v>
      </c>
      <c r="Y225" s="669">
        <f>IFERROR(SUM(Y215:Y223),"0")</f>
        <v>512.70000000000005</v>
      </c>
      <c r="Z225" s="37"/>
      <c r="AA225" s="670"/>
      <c r="AB225" s="670"/>
      <c r="AC225" s="670"/>
    </row>
    <row r="226" spans="1:68" ht="14.25" customHeight="1" x14ac:dyDescent="0.25">
      <c r="A226" s="684" t="s">
        <v>170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68</v>
      </c>
      <c r="X227" s="667">
        <v>18</v>
      </c>
      <c r="Y227" s="668">
        <f>IFERROR(IF(X227="",0,CEILING((X227/$H227),1)*$H227),"")</f>
        <v>19.2</v>
      </c>
      <c r="Z227" s="36">
        <f>IFERROR(IF(Y227=0,"",ROUNDUP(Y227/H227,0)*0.00651),"")</f>
        <v>5.2080000000000001E-2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19.890000000000004</v>
      </c>
      <c r="BN227" s="64">
        <f>IFERROR(Y227*I227/H227,"0")</f>
        <v>21.216000000000001</v>
      </c>
      <c r="BO227" s="64">
        <f>IFERROR(1/J227*(X227/H227),"0")</f>
        <v>4.1208791208791215E-2</v>
      </c>
      <c r="BP227" s="64">
        <f>IFERROR(1/J227*(Y227/H227),"0")</f>
        <v>4.3956043956043959E-2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87</v>
      </c>
      <c r="Q229" s="689"/>
      <c r="R229" s="689"/>
      <c r="S229" s="689"/>
      <c r="T229" s="689"/>
      <c r="U229" s="689"/>
      <c r="V229" s="690"/>
      <c r="W229" s="37" t="s">
        <v>88</v>
      </c>
      <c r="X229" s="669">
        <f>IFERROR(X227/H227,"0")+IFERROR(X228/H228,"0")</f>
        <v>7.5</v>
      </c>
      <c r="Y229" s="669">
        <f>IFERROR(Y227/H227,"0")+IFERROR(Y228/H228,"0")</f>
        <v>8</v>
      </c>
      <c r="Z229" s="669">
        <f>IFERROR(IF(Z227="",0,Z227),"0")+IFERROR(IF(Z228="",0,Z228),"0")</f>
        <v>5.2080000000000001E-2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87</v>
      </c>
      <c r="Q230" s="689"/>
      <c r="R230" s="689"/>
      <c r="S230" s="689"/>
      <c r="T230" s="689"/>
      <c r="U230" s="689"/>
      <c r="V230" s="690"/>
      <c r="W230" s="37" t="s">
        <v>68</v>
      </c>
      <c r="X230" s="669">
        <f>IFERROR(SUM(X227:X228),"0")</f>
        <v>18</v>
      </c>
      <c r="Y230" s="669">
        <f>IFERROR(SUM(Y227:Y228),"0")</f>
        <v>19.2</v>
      </c>
      <c r="Z230" s="37"/>
      <c r="AA230" s="670"/>
      <c r="AB230" s="670"/>
      <c r="AC230" s="670"/>
    </row>
    <row r="231" spans="1:68" ht="16.5" customHeight="1" x14ac:dyDescent="0.25">
      <c r="A231" s="685" t="s">
        <v>387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97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87</v>
      </c>
      <c r="Q241" s="689"/>
      <c r="R241" s="689"/>
      <c r="S241" s="689"/>
      <c r="T241" s="689"/>
      <c r="U241" s="689"/>
      <c r="V241" s="690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87</v>
      </c>
      <c r="Q242" s="689"/>
      <c r="R242" s="689"/>
      <c r="S242" s="689"/>
      <c r="T242" s="689"/>
      <c r="U242" s="689"/>
      <c r="V242" s="690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133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73" t="s">
        <v>409</v>
      </c>
      <c r="Q244" s="674"/>
      <c r="R244" s="674"/>
      <c r="S244" s="674"/>
      <c r="T244" s="675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87</v>
      </c>
      <c r="Q246" s="689"/>
      <c r="R246" s="689"/>
      <c r="S246" s="689"/>
      <c r="T246" s="689"/>
      <c r="U246" s="689"/>
      <c r="V246" s="690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87</v>
      </c>
      <c r="Q247" s="689"/>
      <c r="R247" s="689"/>
      <c r="S247" s="689"/>
      <c r="T247" s="689"/>
      <c r="U247" s="689"/>
      <c r="V247" s="690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412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00" t="s">
        <v>415</v>
      </c>
      <c r="Q249" s="674"/>
      <c r="R249" s="674"/>
      <c r="S249" s="674"/>
      <c r="T249" s="675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87</v>
      </c>
      <c r="Q250" s="689"/>
      <c r="R250" s="689"/>
      <c r="S250" s="689"/>
      <c r="T250" s="689"/>
      <c r="U250" s="689"/>
      <c r="V250" s="690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87</v>
      </c>
      <c r="Q251" s="689"/>
      <c r="R251" s="689"/>
      <c r="S251" s="689"/>
      <c r="T251" s="689"/>
      <c r="U251" s="689"/>
      <c r="V251" s="690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417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4" t="s">
        <v>420</v>
      </c>
      <c r="Q253" s="674"/>
      <c r="R253" s="674"/>
      <c r="S253" s="674"/>
      <c r="T253" s="675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21" t="s">
        <v>424</v>
      </c>
      <c r="Q254" s="674"/>
      <c r="R254" s="674"/>
      <c r="S254" s="674"/>
      <c r="T254" s="675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3" t="s">
        <v>427</v>
      </c>
      <c r="Q255" s="674"/>
      <c r="R255" s="674"/>
      <c r="S255" s="674"/>
      <c r="T255" s="675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5" t="s">
        <v>430</v>
      </c>
      <c r="Q256" s="674"/>
      <c r="R256" s="674"/>
      <c r="S256" s="674"/>
      <c r="T256" s="675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8" t="s">
        <v>433</v>
      </c>
      <c r="Q257" s="674"/>
      <c r="R257" s="674"/>
      <c r="S257" s="674"/>
      <c r="T257" s="675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87</v>
      </c>
      <c r="Q258" s="689"/>
      <c r="R258" s="689"/>
      <c r="S258" s="689"/>
      <c r="T258" s="689"/>
      <c r="U258" s="689"/>
      <c r="V258" s="690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87</v>
      </c>
      <c r="Q259" s="689"/>
      <c r="R259" s="689"/>
      <c r="S259" s="689"/>
      <c r="T259" s="689"/>
      <c r="U259" s="689"/>
      <c r="V259" s="690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434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97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87</v>
      </c>
      <c r="Q268" s="689"/>
      <c r="R268" s="689"/>
      <c r="S268" s="689"/>
      <c r="T268" s="689"/>
      <c r="U268" s="689"/>
      <c r="V268" s="690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87</v>
      </c>
      <c r="Q269" s="689"/>
      <c r="R269" s="689"/>
      <c r="S269" s="689"/>
      <c r="T269" s="689"/>
      <c r="U269" s="689"/>
      <c r="V269" s="690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452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97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87</v>
      </c>
      <c r="Q273" s="689"/>
      <c r="R273" s="689"/>
      <c r="S273" s="689"/>
      <c r="T273" s="689"/>
      <c r="U273" s="689"/>
      <c r="V273" s="690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87</v>
      </c>
      <c r="Q274" s="689"/>
      <c r="R274" s="689"/>
      <c r="S274" s="689"/>
      <c r="T274" s="689"/>
      <c r="U274" s="689"/>
      <c r="V274" s="690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456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97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10" t="s">
        <v>467</v>
      </c>
      <c r="Q280" s="674"/>
      <c r="R280" s="674"/>
      <c r="S280" s="674"/>
      <c r="T280" s="675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87</v>
      </c>
      <c r="Q281" s="689"/>
      <c r="R281" s="689"/>
      <c r="S281" s="689"/>
      <c r="T281" s="689"/>
      <c r="U281" s="689"/>
      <c r="V281" s="690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87</v>
      </c>
      <c r="Q282" s="689"/>
      <c r="R282" s="689"/>
      <c r="S282" s="689"/>
      <c r="T282" s="689"/>
      <c r="U282" s="689"/>
      <c r="V282" s="690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469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68</v>
      </c>
      <c r="X287" s="667">
        <v>28</v>
      </c>
      <c r="Y287" s="668">
        <f>IFERROR(IF(X287="",0,CEILING((X287/$H287),1)*$H287),"")</f>
        <v>28.799999999999997</v>
      </c>
      <c r="Z287" s="36">
        <f>IFERROR(IF(Y287=0,"",ROUNDUP(Y287/H287,0)*0.00651),"")</f>
        <v>7.8119999999999995E-2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30.94</v>
      </c>
      <c r="BN287" s="64">
        <f>IFERROR(Y287*I287/H287,"0")</f>
        <v>31.824000000000002</v>
      </c>
      <c r="BO287" s="64">
        <f>IFERROR(1/J287*(X287/H287),"0")</f>
        <v>6.4102564102564111E-2</v>
      </c>
      <c r="BP287" s="64">
        <f>IFERROR(1/J287*(Y287/H287),"0")</f>
        <v>6.5934065934065936E-2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68</v>
      </c>
      <c r="X288" s="667">
        <v>83</v>
      </c>
      <c r="Y288" s="668">
        <f>IFERROR(IF(X288="",0,CEILING((X288/$H288),1)*$H288),"")</f>
        <v>84</v>
      </c>
      <c r="Z288" s="36">
        <f>IFERROR(IF(Y288=0,"",ROUNDUP(Y288/H288,0)*0.00651),"")</f>
        <v>0.22785</v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89.225000000000009</v>
      </c>
      <c r="BN288" s="64">
        <f>IFERROR(Y288*I288/H288,"0")</f>
        <v>90.3</v>
      </c>
      <c r="BO288" s="64">
        <f>IFERROR(1/J288*(X288/H288),"0")</f>
        <v>0.19001831501831504</v>
      </c>
      <c r="BP288" s="64">
        <f>IFERROR(1/J288*(Y288/H288),"0")</f>
        <v>0.19230769230769232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87</v>
      </c>
      <c r="Q290" s="689"/>
      <c r="R290" s="689"/>
      <c r="S290" s="689"/>
      <c r="T290" s="689"/>
      <c r="U290" s="689"/>
      <c r="V290" s="690"/>
      <c r="W290" s="37" t="s">
        <v>88</v>
      </c>
      <c r="X290" s="669">
        <f>IFERROR(X285/H285,"0")+IFERROR(X286/H286,"0")+IFERROR(X287/H287,"0")+IFERROR(X288/H288,"0")+IFERROR(X289/H289,"0")</f>
        <v>46.25</v>
      </c>
      <c r="Y290" s="669">
        <f>IFERROR(Y285/H285,"0")+IFERROR(Y286/H286,"0")+IFERROR(Y287/H287,"0")+IFERROR(Y288/H288,"0")+IFERROR(Y289/H289,"0")</f>
        <v>47</v>
      </c>
      <c r="Z290" s="669">
        <f>IFERROR(IF(Z285="",0,Z285),"0")+IFERROR(IF(Z286="",0,Z286),"0")+IFERROR(IF(Z287="",0,Z287),"0")+IFERROR(IF(Z288="",0,Z288),"0")+IFERROR(IF(Z289="",0,Z289),"0")</f>
        <v>0.30596999999999996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87</v>
      </c>
      <c r="Q291" s="689"/>
      <c r="R291" s="689"/>
      <c r="S291" s="689"/>
      <c r="T291" s="689"/>
      <c r="U291" s="689"/>
      <c r="V291" s="690"/>
      <c r="W291" s="37" t="s">
        <v>68</v>
      </c>
      <c r="X291" s="669">
        <f>IFERROR(SUM(X285:X289),"0")</f>
        <v>111</v>
      </c>
      <c r="Y291" s="669">
        <f>IFERROR(SUM(Y285:Y289),"0")</f>
        <v>112.8</v>
      </c>
      <c r="Z291" s="37"/>
      <c r="AA291" s="670"/>
      <c r="AB291" s="670"/>
      <c r="AC291" s="670"/>
    </row>
    <row r="292" spans="1:68" ht="16.5" customHeight="1" x14ac:dyDescent="0.25">
      <c r="A292" s="685" t="s">
        <v>483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97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87</v>
      </c>
      <c r="Q295" s="689"/>
      <c r="R295" s="689"/>
      <c r="S295" s="689"/>
      <c r="T295" s="689"/>
      <c r="U295" s="689"/>
      <c r="V295" s="690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87</v>
      </c>
      <c r="Q296" s="689"/>
      <c r="R296" s="689"/>
      <c r="S296" s="689"/>
      <c r="T296" s="689"/>
      <c r="U296" s="689"/>
      <c r="V296" s="690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87</v>
      </c>
      <c r="Q299" s="689"/>
      <c r="R299" s="689"/>
      <c r="S299" s="689"/>
      <c r="T299" s="689"/>
      <c r="U299" s="689"/>
      <c r="V299" s="690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87</v>
      </c>
      <c r="Q300" s="689"/>
      <c r="R300" s="689"/>
      <c r="S300" s="689"/>
      <c r="T300" s="689"/>
      <c r="U300" s="689"/>
      <c r="V300" s="690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63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87</v>
      </c>
      <c r="Q303" s="689"/>
      <c r="R303" s="689"/>
      <c r="S303" s="689"/>
      <c r="T303" s="689"/>
      <c r="U303" s="689"/>
      <c r="V303" s="690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87</v>
      </c>
      <c r="Q304" s="689"/>
      <c r="R304" s="689"/>
      <c r="S304" s="689"/>
      <c r="T304" s="689"/>
      <c r="U304" s="689"/>
      <c r="V304" s="690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493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63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87</v>
      </c>
      <c r="Q308" s="689"/>
      <c r="R308" s="689"/>
      <c r="S308" s="689"/>
      <c r="T308" s="689"/>
      <c r="U308" s="689"/>
      <c r="V308" s="690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87</v>
      </c>
      <c r="Q309" s="689"/>
      <c r="R309" s="689"/>
      <c r="S309" s="689"/>
      <c r="T309" s="689"/>
      <c r="U309" s="689"/>
      <c r="V309" s="690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497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97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87</v>
      </c>
      <c r="Q313" s="689"/>
      <c r="R313" s="689"/>
      <c r="S313" s="689"/>
      <c r="T313" s="689"/>
      <c r="U313" s="689"/>
      <c r="V313" s="690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87</v>
      </c>
      <c r="Q314" s="689"/>
      <c r="R314" s="689"/>
      <c r="S314" s="689"/>
      <c r="T314" s="689"/>
      <c r="U314" s="689"/>
      <c r="V314" s="690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144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87</v>
      </c>
      <c r="Q318" s="689"/>
      <c r="R318" s="689"/>
      <c r="S318" s="689"/>
      <c r="T318" s="689"/>
      <c r="U318" s="689"/>
      <c r="V318" s="690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87</v>
      </c>
      <c r="Q319" s="689"/>
      <c r="R319" s="689"/>
      <c r="S319" s="689"/>
      <c r="T319" s="689"/>
      <c r="U319" s="689"/>
      <c r="V319" s="690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505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97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87</v>
      </c>
      <c r="Q323" s="689"/>
      <c r="R323" s="689"/>
      <c r="S323" s="689"/>
      <c r="T323" s="689"/>
      <c r="U323" s="689"/>
      <c r="V323" s="690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87</v>
      </c>
      <c r="Q324" s="689"/>
      <c r="R324" s="689"/>
      <c r="S324" s="689"/>
      <c r="T324" s="689"/>
      <c r="U324" s="689"/>
      <c r="V324" s="690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510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97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87</v>
      </c>
      <c r="Q333" s="689"/>
      <c r="R333" s="689"/>
      <c r="S333" s="689"/>
      <c r="T333" s="689"/>
      <c r="U333" s="689"/>
      <c r="V333" s="690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87</v>
      </c>
      <c r="Q334" s="689"/>
      <c r="R334" s="689"/>
      <c r="S334" s="689"/>
      <c r="T334" s="689"/>
      <c r="U334" s="689"/>
      <c r="V334" s="690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144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87</v>
      </c>
      <c r="Q340" s="689"/>
      <c r="R340" s="689"/>
      <c r="S340" s="689"/>
      <c r="T340" s="689"/>
      <c r="U340" s="689"/>
      <c r="V340" s="690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87</v>
      </c>
      <c r="Q341" s="689"/>
      <c r="R341" s="689"/>
      <c r="S341" s="689"/>
      <c r="T341" s="689"/>
      <c r="U341" s="689"/>
      <c r="V341" s="690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87</v>
      </c>
      <c r="Q348" s="689"/>
      <c r="R348" s="689"/>
      <c r="S348" s="689"/>
      <c r="T348" s="689"/>
      <c r="U348" s="689"/>
      <c r="V348" s="690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87</v>
      </c>
      <c r="Q349" s="689"/>
      <c r="R349" s="689"/>
      <c r="S349" s="689"/>
      <c r="T349" s="689"/>
      <c r="U349" s="689"/>
      <c r="V349" s="690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170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87</v>
      </c>
      <c r="Q354" s="689"/>
      <c r="R354" s="689"/>
      <c r="S354" s="689"/>
      <c r="T354" s="689"/>
      <c r="U354" s="689"/>
      <c r="V354" s="690"/>
      <c r="W354" s="37" t="s">
        <v>88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87</v>
      </c>
      <c r="Q355" s="689"/>
      <c r="R355" s="689"/>
      <c r="S355" s="689"/>
      <c r="T355" s="689"/>
      <c r="U355" s="689"/>
      <c r="V355" s="690"/>
      <c r="W355" s="37" t="s">
        <v>68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customHeight="1" x14ac:dyDescent="0.25">
      <c r="A356" s="684" t="s">
        <v>89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11" t="s">
        <v>564</v>
      </c>
      <c r="Q357" s="674"/>
      <c r="R357" s="674"/>
      <c r="S357" s="674"/>
      <c r="T357" s="675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20" t="s">
        <v>568</v>
      </c>
      <c r="Q358" s="674"/>
      <c r="R358" s="674"/>
      <c r="S358" s="674"/>
      <c r="T358" s="675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68</v>
      </c>
      <c r="X359" s="667">
        <v>5</v>
      </c>
      <c r="Y359" s="668">
        <f>IFERROR(IF(X359="",0,CEILING((X359/$H359),1)*$H359),"")</f>
        <v>5.0999999999999996</v>
      </c>
      <c r="Z359" s="36">
        <f>IFERROR(IF(Y359=0,"",ROUNDUP(Y359/H359,0)*0.00651),"")</f>
        <v>1.302E-2</v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5.7941176470588243</v>
      </c>
      <c r="BN359" s="64">
        <f>IFERROR(Y359*I359/H359,"0")</f>
        <v>5.91</v>
      </c>
      <c r="BO359" s="64">
        <f>IFERROR(1/J359*(X359/H359),"0")</f>
        <v>1.0773540185304893E-2</v>
      </c>
      <c r="BP359" s="64">
        <f>IFERROR(1/J359*(Y359/H359),"0")</f>
        <v>1.098901098901099E-2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87</v>
      </c>
      <c r="Q361" s="689"/>
      <c r="R361" s="689"/>
      <c r="S361" s="689"/>
      <c r="T361" s="689"/>
      <c r="U361" s="689"/>
      <c r="V361" s="690"/>
      <c r="W361" s="37" t="s">
        <v>88</v>
      </c>
      <c r="X361" s="669">
        <f>IFERROR(X357/H357,"0")+IFERROR(X358/H358,"0")+IFERROR(X359/H359,"0")+IFERROR(X360/H360,"0")</f>
        <v>1.9607843137254903</v>
      </c>
      <c r="Y361" s="669">
        <f>IFERROR(Y357/H357,"0")+IFERROR(Y358/H358,"0")+IFERROR(Y359/H359,"0")+IFERROR(Y360/H360,"0")</f>
        <v>2</v>
      </c>
      <c r="Z361" s="669">
        <f>IFERROR(IF(Z357="",0,Z357),"0")+IFERROR(IF(Z358="",0,Z358),"0")+IFERROR(IF(Z359="",0,Z359),"0")+IFERROR(IF(Z360="",0,Z360),"0")</f>
        <v>1.302E-2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87</v>
      </c>
      <c r="Q362" s="689"/>
      <c r="R362" s="689"/>
      <c r="S362" s="689"/>
      <c r="T362" s="689"/>
      <c r="U362" s="689"/>
      <c r="V362" s="690"/>
      <c r="W362" s="37" t="s">
        <v>68</v>
      </c>
      <c r="X362" s="669">
        <f>IFERROR(SUM(X357:X360),"0")</f>
        <v>5</v>
      </c>
      <c r="Y362" s="669">
        <f>IFERROR(SUM(Y357:Y360),"0")</f>
        <v>5.0999999999999996</v>
      </c>
      <c r="Z362" s="37"/>
      <c r="AA362" s="670"/>
      <c r="AB362" s="670"/>
      <c r="AC362" s="670"/>
    </row>
    <row r="363" spans="1:68" ht="14.25" customHeight="1" x14ac:dyDescent="0.25">
      <c r="A363" s="684" t="s">
        <v>575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87</v>
      </c>
      <c r="Q367" s="689"/>
      <c r="R367" s="689"/>
      <c r="S367" s="689"/>
      <c r="T367" s="689"/>
      <c r="U367" s="689"/>
      <c r="V367" s="690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87</v>
      </c>
      <c r="Q368" s="689"/>
      <c r="R368" s="689"/>
      <c r="S368" s="689"/>
      <c r="T368" s="689"/>
      <c r="U368" s="689"/>
      <c r="V368" s="690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584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144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87</v>
      </c>
      <c r="Q372" s="689"/>
      <c r="R372" s="689"/>
      <c r="S372" s="689"/>
      <c r="T372" s="689"/>
      <c r="U372" s="689"/>
      <c r="V372" s="690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87</v>
      </c>
      <c r="Q373" s="689"/>
      <c r="R373" s="689"/>
      <c r="S373" s="689"/>
      <c r="T373" s="689"/>
      <c r="U373" s="689"/>
      <c r="V373" s="690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63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87</v>
      </c>
      <c r="Q378" s="689"/>
      <c r="R378" s="689"/>
      <c r="S378" s="689"/>
      <c r="T378" s="689"/>
      <c r="U378" s="689"/>
      <c r="V378" s="690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87</v>
      </c>
      <c r="Q379" s="689"/>
      <c r="R379" s="689"/>
      <c r="S379" s="689"/>
      <c r="T379" s="689"/>
      <c r="U379" s="689"/>
      <c r="V379" s="690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597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598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97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7">
        <v>800</v>
      </c>
      <c r="Y383" s="668">
        <f t="shared" ref="Y383:Y392" si="57">IFERROR(IF(X383="",0,CEILING((X383/$H383),1)*$H383),"")</f>
        <v>810</v>
      </c>
      <c r="Z383" s="36">
        <f>IFERROR(IF(Y383=0,"",ROUNDUP(Y383/H383,0)*0.02175),"")</f>
        <v>1.1744999999999999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825.6</v>
      </c>
      <c r="BN383" s="64">
        <f t="shared" ref="BN383:BN392" si="59">IFERROR(Y383*I383/H383,"0")</f>
        <v>835.92000000000007</v>
      </c>
      <c r="BO383" s="64">
        <f t="shared" ref="BO383:BO392" si="60">IFERROR(1/J383*(X383/H383),"0")</f>
        <v>1.1111111111111112</v>
      </c>
      <c r="BP383" s="64">
        <f t="shared" ref="BP383:BP392" si="61">IFERROR(1/J383*(Y383/H383),"0")</f>
        <v>1.125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87</v>
      </c>
      <c r="Q393" s="689"/>
      <c r="R393" s="689"/>
      <c r="S393" s="689"/>
      <c r="T393" s="689"/>
      <c r="U393" s="689"/>
      <c r="V393" s="690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53.333333333333336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54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1.1744999999999999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87</v>
      </c>
      <c r="Q394" s="689"/>
      <c r="R394" s="689"/>
      <c r="S394" s="689"/>
      <c r="T394" s="689"/>
      <c r="U394" s="689"/>
      <c r="V394" s="690"/>
      <c r="W394" s="37" t="s">
        <v>68</v>
      </c>
      <c r="X394" s="669">
        <f>IFERROR(SUM(X383:X392),"0")</f>
        <v>800</v>
      </c>
      <c r="Y394" s="669">
        <f>IFERROR(SUM(Y383:Y392),"0")</f>
        <v>810</v>
      </c>
      <c r="Z394" s="37"/>
      <c r="AA394" s="670"/>
      <c r="AB394" s="670"/>
      <c r="AC394" s="670"/>
    </row>
    <row r="395" spans="1:68" ht="14.25" customHeight="1" x14ac:dyDescent="0.25">
      <c r="A395" s="684" t="s">
        <v>133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68</v>
      </c>
      <c r="X396" s="667">
        <v>200</v>
      </c>
      <c r="Y396" s="668">
        <f>IFERROR(IF(X396="",0,CEILING((X396/$H396),1)*$H396),"")</f>
        <v>210</v>
      </c>
      <c r="Z396" s="36">
        <f>IFERROR(IF(Y396=0,"",ROUNDUP(Y396/H396,0)*0.02175),"")</f>
        <v>0.30449999999999999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206.4</v>
      </c>
      <c r="BN396" s="64">
        <f>IFERROR(Y396*I396/H396,"0")</f>
        <v>216.72</v>
      </c>
      <c r="BO396" s="64">
        <f>IFERROR(1/J396*(X396/H396),"0")</f>
        <v>0.27777777777777779</v>
      </c>
      <c r="BP396" s="64">
        <f>IFERROR(1/J396*(Y396/H396),"0")</f>
        <v>0.29166666666666663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87</v>
      </c>
      <c r="Q398" s="689"/>
      <c r="R398" s="689"/>
      <c r="S398" s="689"/>
      <c r="T398" s="689"/>
      <c r="U398" s="689"/>
      <c r="V398" s="690"/>
      <c r="W398" s="37" t="s">
        <v>88</v>
      </c>
      <c r="X398" s="669">
        <f>IFERROR(X396/H396,"0")+IFERROR(X397/H397,"0")</f>
        <v>13.333333333333334</v>
      </c>
      <c r="Y398" s="669">
        <f>IFERROR(Y396/H396,"0")+IFERROR(Y397/H397,"0")</f>
        <v>14</v>
      </c>
      <c r="Z398" s="669">
        <f>IFERROR(IF(Z396="",0,Z396),"0")+IFERROR(IF(Z397="",0,Z397),"0")</f>
        <v>0.30449999999999999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87</v>
      </c>
      <c r="Q399" s="689"/>
      <c r="R399" s="689"/>
      <c r="S399" s="689"/>
      <c r="T399" s="689"/>
      <c r="U399" s="689"/>
      <c r="V399" s="690"/>
      <c r="W399" s="37" t="s">
        <v>68</v>
      </c>
      <c r="X399" s="669">
        <f>IFERROR(SUM(X396:X397),"0")</f>
        <v>200</v>
      </c>
      <c r="Y399" s="669">
        <f>IFERROR(SUM(Y396:Y397),"0")</f>
        <v>210</v>
      </c>
      <c r="Z399" s="37"/>
      <c r="AA399" s="670"/>
      <c r="AB399" s="670"/>
      <c r="AC399" s="670"/>
    </row>
    <row r="400" spans="1:68" ht="14.25" customHeight="1" x14ac:dyDescent="0.25">
      <c r="A400" s="684" t="s">
        <v>63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69" t="s">
        <v>629</v>
      </c>
      <c r="Q401" s="674"/>
      <c r="R401" s="674"/>
      <c r="S401" s="674"/>
      <c r="T401" s="675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68" t="s">
        <v>633</v>
      </c>
      <c r="Q402" s="674"/>
      <c r="R402" s="674"/>
      <c r="S402" s="674"/>
      <c r="T402" s="675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87</v>
      </c>
      <c r="Q403" s="689"/>
      <c r="R403" s="689"/>
      <c r="S403" s="689"/>
      <c r="T403" s="689"/>
      <c r="U403" s="689"/>
      <c r="V403" s="690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87</v>
      </c>
      <c r="Q404" s="689"/>
      <c r="R404" s="689"/>
      <c r="S404" s="689"/>
      <c r="T404" s="689"/>
      <c r="U404" s="689"/>
      <c r="V404" s="690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170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15" t="s">
        <v>637</v>
      </c>
      <c r="Q406" s="674"/>
      <c r="R406" s="674"/>
      <c r="S406" s="674"/>
      <c r="T406" s="675"/>
      <c r="U406" s="34"/>
      <c r="V406" s="34"/>
      <c r="W406" s="35" t="s">
        <v>68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87</v>
      </c>
      <c r="Q407" s="689"/>
      <c r="R407" s="689"/>
      <c r="S407" s="689"/>
      <c r="T407" s="689"/>
      <c r="U407" s="689"/>
      <c r="V407" s="690"/>
      <c r="W407" s="37" t="s">
        <v>88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87</v>
      </c>
      <c r="Q408" s="689"/>
      <c r="R408" s="689"/>
      <c r="S408" s="689"/>
      <c r="T408" s="689"/>
      <c r="U408" s="689"/>
      <c r="V408" s="690"/>
      <c r="W408" s="37" t="s">
        <v>68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639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87</v>
      </c>
      <c r="Q416" s="689"/>
      <c r="R416" s="689"/>
      <c r="S416" s="689"/>
      <c r="T416" s="689"/>
      <c r="U416" s="689"/>
      <c r="V416" s="690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87</v>
      </c>
      <c r="Q417" s="689"/>
      <c r="R417" s="689"/>
      <c r="S417" s="689"/>
      <c r="T417" s="689"/>
      <c r="U417" s="689"/>
      <c r="V417" s="690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144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87</v>
      </c>
      <c r="Q420" s="689"/>
      <c r="R420" s="689"/>
      <c r="S420" s="689"/>
      <c r="T420" s="689"/>
      <c r="U420" s="689"/>
      <c r="V420" s="690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87</v>
      </c>
      <c r="Q421" s="689"/>
      <c r="R421" s="689"/>
      <c r="S421" s="689"/>
      <c r="T421" s="689"/>
      <c r="U421" s="689"/>
      <c r="V421" s="690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63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87</v>
      </c>
      <c r="Q427" s="689"/>
      <c r="R427" s="689"/>
      <c r="S427" s="689"/>
      <c r="T427" s="689"/>
      <c r="U427" s="689"/>
      <c r="V427" s="690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87</v>
      </c>
      <c r="Q428" s="689"/>
      <c r="R428" s="689"/>
      <c r="S428" s="689"/>
      <c r="T428" s="689"/>
      <c r="U428" s="689"/>
      <c r="V428" s="690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84" t="s">
        <v>170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6" t="s">
        <v>667</v>
      </c>
      <c r="Q430" s="674"/>
      <c r="R430" s="674"/>
      <c r="S430" s="674"/>
      <c r="T430" s="675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87</v>
      </c>
      <c r="Q431" s="689"/>
      <c r="R431" s="689"/>
      <c r="S431" s="689"/>
      <c r="T431" s="689"/>
      <c r="U431" s="689"/>
      <c r="V431" s="690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87</v>
      </c>
      <c r="Q432" s="689"/>
      <c r="R432" s="689"/>
      <c r="S432" s="689"/>
      <c r="T432" s="689"/>
      <c r="U432" s="689"/>
      <c r="V432" s="690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669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670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144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31" t="s">
        <v>673</v>
      </c>
      <c r="Q436" s="674"/>
      <c r="R436" s="674"/>
      <c r="S436" s="674"/>
      <c r="T436" s="675"/>
      <c r="U436" s="34"/>
      <c r="V436" s="34"/>
      <c r="W436" s="35" t="s">
        <v>68</v>
      </c>
      <c r="X436" s="667">
        <v>5</v>
      </c>
      <c r="Y436" s="668">
        <f t="shared" ref="Y436:Y447" si="62">IFERROR(IF(X436="",0,CEILING((X436/$H436),1)*$H436),"")</f>
        <v>5.4</v>
      </c>
      <c r="Z436" s="36">
        <f>IFERROR(IF(Y436=0,"",ROUNDUP(Y436/H436,0)*0.00902),"")</f>
        <v>9.0200000000000002E-3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5.1944444444444446</v>
      </c>
      <c r="BN436" s="64">
        <f t="shared" ref="BN436:BN447" si="64">IFERROR(Y436*I436/H436,"0")</f>
        <v>5.61</v>
      </c>
      <c r="BO436" s="64">
        <f t="shared" ref="BO436:BO447" si="65">IFERROR(1/J436*(X436/H436),"0")</f>
        <v>7.0145903479236806E-3</v>
      </c>
      <c r="BP436" s="64">
        <f t="shared" ref="BP436:BP447" si="66">IFERROR(1/J436*(Y436/H436),"0")</f>
        <v>7.575757575757576E-3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77" t="s">
        <v>677</v>
      </c>
      <c r="Q437" s="674"/>
      <c r="R437" s="674"/>
      <c r="S437" s="674"/>
      <c r="T437" s="675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59" t="s">
        <v>677</v>
      </c>
      <c r="Q438" s="674"/>
      <c r="R438" s="674"/>
      <c r="S438" s="674"/>
      <c r="T438" s="675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15" t="s">
        <v>682</v>
      </c>
      <c r="Q439" s="674"/>
      <c r="R439" s="674"/>
      <c r="S439" s="674"/>
      <c r="T439" s="675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9" t="s">
        <v>686</v>
      </c>
      <c r="Q440" s="674"/>
      <c r="R440" s="674"/>
      <c r="S440" s="674"/>
      <c r="T440" s="675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4"/>
      <c r="R441" s="674"/>
      <c r="S441" s="674"/>
      <c r="T441" s="675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54" t="s">
        <v>695</v>
      </c>
      <c r="Q444" s="674"/>
      <c r="R444" s="674"/>
      <c r="S444" s="674"/>
      <c r="T444" s="675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72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4"/>
      <c r="R445" s="674"/>
      <c r="S445" s="674"/>
      <c r="T445" s="675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7">
        <v>14</v>
      </c>
      <c r="Y446" s="668">
        <f t="shared" si="62"/>
        <v>14.700000000000001</v>
      </c>
      <c r="Z446" s="36">
        <f t="shared" si="67"/>
        <v>3.5140000000000005E-2</v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14.866666666666665</v>
      </c>
      <c r="BN446" s="64">
        <f t="shared" si="64"/>
        <v>15.61</v>
      </c>
      <c r="BO446" s="64">
        <f t="shared" si="65"/>
        <v>2.8490028490028491E-2</v>
      </c>
      <c r="BP446" s="64">
        <f t="shared" si="66"/>
        <v>2.9914529914529919E-2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87</v>
      </c>
      <c r="Q448" s="689"/>
      <c r="R448" s="689"/>
      <c r="S448" s="689"/>
      <c r="T448" s="689"/>
      <c r="U448" s="689"/>
      <c r="V448" s="690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7.5925925925925917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8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4.4160000000000005E-2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87</v>
      </c>
      <c r="Q449" s="689"/>
      <c r="R449" s="689"/>
      <c r="S449" s="689"/>
      <c r="T449" s="689"/>
      <c r="U449" s="689"/>
      <c r="V449" s="690"/>
      <c r="W449" s="37" t="s">
        <v>68</v>
      </c>
      <c r="X449" s="669">
        <f>IFERROR(SUM(X436:X447),"0")</f>
        <v>19</v>
      </c>
      <c r="Y449" s="669">
        <f>IFERROR(SUM(Y436:Y447),"0")</f>
        <v>20.100000000000001</v>
      </c>
      <c r="Z449" s="37"/>
      <c r="AA449" s="670"/>
      <c r="AB449" s="670"/>
      <c r="AC449" s="670"/>
    </row>
    <row r="450" spans="1:68" ht="14.25" customHeight="1" x14ac:dyDescent="0.25">
      <c r="A450" s="684" t="s">
        <v>63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87</v>
      </c>
      <c r="Q453" s="689"/>
      <c r="R453" s="689"/>
      <c r="S453" s="689"/>
      <c r="T453" s="689"/>
      <c r="U453" s="689"/>
      <c r="V453" s="690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87</v>
      </c>
      <c r="Q454" s="689"/>
      <c r="R454" s="689"/>
      <c r="S454" s="689"/>
      <c r="T454" s="689"/>
      <c r="U454" s="689"/>
      <c r="V454" s="690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709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133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87</v>
      </c>
      <c r="Q459" s="689"/>
      <c r="R459" s="689"/>
      <c r="S459" s="689"/>
      <c r="T459" s="689"/>
      <c r="U459" s="689"/>
      <c r="V459" s="690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87</v>
      </c>
      <c r="Q460" s="689"/>
      <c r="R460" s="689"/>
      <c r="S460" s="689"/>
      <c r="T460" s="689"/>
      <c r="U460" s="689"/>
      <c r="V460" s="690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144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5" t="s">
        <v>718</v>
      </c>
      <c r="Q462" s="674"/>
      <c r="R462" s="674"/>
      <c r="S462" s="674"/>
      <c r="T462" s="675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66" t="s">
        <v>725</v>
      </c>
      <c r="Q464" s="674"/>
      <c r="R464" s="674"/>
      <c r="S464" s="674"/>
      <c r="T464" s="675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87</v>
      </c>
      <c r="Q466" s="689"/>
      <c r="R466" s="689"/>
      <c r="S466" s="689"/>
      <c r="T466" s="689"/>
      <c r="U466" s="689"/>
      <c r="V466" s="690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87</v>
      </c>
      <c r="Q467" s="689"/>
      <c r="R467" s="689"/>
      <c r="S467" s="689"/>
      <c r="T467" s="689"/>
      <c r="U467" s="689"/>
      <c r="V467" s="690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729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60" t="s">
        <v>735</v>
      </c>
      <c r="Q471" s="674"/>
      <c r="R471" s="674"/>
      <c r="S471" s="674"/>
      <c r="T471" s="675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87</v>
      </c>
      <c r="Q472" s="689"/>
      <c r="R472" s="689"/>
      <c r="S472" s="689"/>
      <c r="T472" s="689"/>
      <c r="U472" s="689"/>
      <c r="V472" s="690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87</v>
      </c>
      <c r="Q473" s="689"/>
      <c r="R473" s="689"/>
      <c r="S473" s="689"/>
      <c r="T473" s="689"/>
      <c r="U473" s="689"/>
      <c r="V473" s="690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737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144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87</v>
      </c>
      <c r="Q477" s="689"/>
      <c r="R477" s="689"/>
      <c r="S477" s="689"/>
      <c r="T477" s="689"/>
      <c r="U477" s="689"/>
      <c r="V477" s="690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87</v>
      </c>
      <c r="Q478" s="689"/>
      <c r="R478" s="689"/>
      <c r="S478" s="689"/>
      <c r="T478" s="689"/>
      <c r="U478" s="689"/>
      <c r="V478" s="690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170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87</v>
      </c>
      <c r="Q481" s="689"/>
      <c r="R481" s="689"/>
      <c r="S481" s="689"/>
      <c r="T481" s="689"/>
      <c r="U481" s="689"/>
      <c r="V481" s="690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87</v>
      </c>
      <c r="Q482" s="689"/>
      <c r="R482" s="689"/>
      <c r="S482" s="689"/>
      <c r="T482" s="689"/>
      <c r="U482" s="689"/>
      <c r="V482" s="690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744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744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97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68</v>
      </c>
      <c r="X490" s="667">
        <v>40</v>
      </c>
      <c r="Y490" s="668">
        <f t="shared" si="68"/>
        <v>42.24</v>
      </c>
      <c r="Z490" s="36">
        <f t="shared" si="69"/>
        <v>9.5680000000000001E-2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42.727272727272727</v>
      </c>
      <c r="BN490" s="64">
        <f t="shared" si="71"/>
        <v>45.12</v>
      </c>
      <c r="BO490" s="64">
        <f t="shared" si="72"/>
        <v>7.2843822843822847E-2</v>
      </c>
      <c r="BP490" s="64">
        <f t="shared" si="73"/>
        <v>7.6923076923076927E-2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83" t="s">
        <v>765</v>
      </c>
      <c r="Q492" s="674"/>
      <c r="R492" s="674"/>
      <c r="S492" s="674"/>
      <c r="T492" s="675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7">
        <v>65</v>
      </c>
      <c r="Y493" s="668">
        <f t="shared" si="68"/>
        <v>68.400000000000006</v>
      </c>
      <c r="Z493" s="36">
        <f>IFERROR(IF(Y493=0,"",ROUNDUP(Y493/H493,0)*0.00902),"")</f>
        <v>0.17138</v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68.791666666666671</v>
      </c>
      <c r="BN493" s="64">
        <f t="shared" si="71"/>
        <v>72.390000000000015</v>
      </c>
      <c r="BO493" s="64">
        <f t="shared" si="72"/>
        <v>0.13678451178451179</v>
      </c>
      <c r="BP493" s="64">
        <f t="shared" si="73"/>
        <v>0.14393939393939395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57" t="s">
        <v>773</v>
      </c>
      <c r="Q496" s="674"/>
      <c r="R496" s="674"/>
      <c r="S496" s="674"/>
      <c r="T496" s="675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20" t="s">
        <v>776</v>
      </c>
      <c r="Q497" s="674"/>
      <c r="R497" s="674"/>
      <c r="S497" s="674"/>
      <c r="T497" s="675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796" t="s">
        <v>779</v>
      </c>
      <c r="Q498" s="674"/>
      <c r="R498" s="674"/>
      <c r="S498" s="674"/>
      <c r="T498" s="675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87</v>
      </c>
      <c r="Q502" s="689"/>
      <c r="R502" s="689"/>
      <c r="S502" s="689"/>
      <c r="T502" s="689"/>
      <c r="U502" s="689"/>
      <c r="V502" s="690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25.631313131313128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27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0.26706000000000002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87</v>
      </c>
      <c r="Q503" s="689"/>
      <c r="R503" s="689"/>
      <c r="S503" s="689"/>
      <c r="T503" s="689"/>
      <c r="U503" s="689"/>
      <c r="V503" s="690"/>
      <c r="W503" s="37" t="s">
        <v>68</v>
      </c>
      <c r="X503" s="669">
        <f>IFERROR(SUM(X486:X501),"0")</f>
        <v>105</v>
      </c>
      <c r="Y503" s="669">
        <f>IFERROR(SUM(Y486:Y501),"0")</f>
        <v>110.64000000000001</v>
      </c>
      <c r="Z503" s="37"/>
      <c r="AA503" s="670"/>
      <c r="AB503" s="670"/>
      <c r="AC503" s="670"/>
    </row>
    <row r="504" spans="1:68" ht="14.25" customHeight="1" x14ac:dyDescent="0.25">
      <c r="A504" s="684" t="s">
        <v>133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900" t="s">
        <v>789</v>
      </c>
      <c r="Q506" s="674"/>
      <c r="R506" s="674"/>
      <c r="S506" s="674"/>
      <c r="T506" s="675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50" t="s">
        <v>793</v>
      </c>
      <c r="Q507" s="674"/>
      <c r="R507" s="674"/>
      <c r="S507" s="674"/>
      <c r="T507" s="675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64" t="s">
        <v>796</v>
      </c>
      <c r="Q508" s="674"/>
      <c r="R508" s="674"/>
      <c r="S508" s="674"/>
      <c r="T508" s="675"/>
      <c r="U508" s="34"/>
      <c r="V508" s="34"/>
      <c r="W508" s="35" t="s">
        <v>68</v>
      </c>
      <c r="X508" s="667">
        <v>12</v>
      </c>
      <c r="Y508" s="668">
        <f>IFERROR(IF(X508="",0,CEILING((X508/$H508),1)*$H508),"")</f>
        <v>14.399999999999999</v>
      </c>
      <c r="Z508" s="36">
        <f>IFERROR(IF(Y508=0,"",ROUNDUP(Y508/H508,0)*0.00902),"")</f>
        <v>2.7060000000000001E-2</v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17.324999999999999</v>
      </c>
      <c r="BN508" s="64">
        <f>IFERROR(Y508*I508/H508,"0")</f>
        <v>20.79</v>
      </c>
      <c r="BO508" s="64">
        <f>IFERROR(1/J508*(X508/H508),"0")</f>
        <v>1.893939393939394E-2</v>
      </c>
      <c r="BP508" s="64">
        <f>IFERROR(1/J508*(Y508/H508),"0")</f>
        <v>2.2727272727272728E-2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87</v>
      </c>
      <c r="Q509" s="689"/>
      <c r="R509" s="689"/>
      <c r="S509" s="689"/>
      <c r="T509" s="689"/>
      <c r="U509" s="689"/>
      <c r="V509" s="690"/>
      <c r="W509" s="37" t="s">
        <v>88</v>
      </c>
      <c r="X509" s="669">
        <f>IFERROR(X505/H505,"0")+IFERROR(X506/H506,"0")+IFERROR(X507/H507,"0")+IFERROR(X508/H508,"0")</f>
        <v>2.5</v>
      </c>
      <c r="Y509" s="669">
        <f>IFERROR(Y505/H505,"0")+IFERROR(Y506/H506,"0")+IFERROR(Y507/H507,"0")+IFERROR(Y508/H508,"0")</f>
        <v>3</v>
      </c>
      <c r="Z509" s="669">
        <f>IFERROR(IF(Z505="",0,Z505),"0")+IFERROR(IF(Z506="",0,Z506),"0")+IFERROR(IF(Z507="",0,Z507),"0")+IFERROR(IF(Z508="",0,Z508),"0")</f>
        <v>2.7060000000000001E-2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87</v>
      </c>
      <c r="Q510" s="689"/>
      <c r="R510" s="689"/>
      <c r="S510" s="689"/>
      <c r="T510" s="689"/>
      <c r="U510" s="689"/>
      <c r="V510" s="690"/>
      <c r="W510" s="37" t="s">
        <v>68</v>
      </c>
      <c r="X510" s="669">
        <f>IFERROR(SUM(X505:X508),"0")</f>
        <v>12</v>
      </c>
      <c r="Y510" s="669">
        <f>IFERROR(SUM(Y505:Y508),"0")</f>
        <v>14.399999999999999</v>
      </c>
      <c r="Z510" s="37"/>
      <c r="AA510" s="670"/>
      <c r="AB510" s="670"/>
      <c r="AC510" s="670"/>
    </row>
    <row r="511" spans="1:68" ht="14.25" customHeight="1" x14ac:dyDescent="0.25">
      <c r="A511" s="684" t="s">
        <v>144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22" t="s">
        <v>799</v>
      </c>
      <c r="Q512" s="674"/>
      <c r="R512" s="674"/>
      <c r="S512" s="674"/>
      <c r="T512" s="675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3" t="s">
        <v>803</v>
      </c>
      <c r="Q513" s="674"/>
      <c r="R513" s="674"/>
      <c r="S513" s="674"/>
      <c r="T513" s="675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66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12" t="s">
        <v>811</v>
      </c>
      <c r="Q515" s="674"/>
      <c r="R515" s="674"/>
      <c r="S515" s="674"/>
      <c r="T515" s="675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2" t="s">
        <v>814</v>
      </c>
      <c r="Q516" s="674"/>
      <c r="R516" s="674"/>
      <c r="S516" s="674"/>
      <c r="T516" s="675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4" t="s">
        <v>816</v>
      </c>
      <c r="Q517" s="674"/>
      <c r="R517" s="674"/>
      <c r="S517" s="674"/>
      <c r="T517" s="675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44" t="s">
        <v>821</v>
      </c>
      <c r="Q519" s="674"/>
      <c r="R519" s="674"/>
      <c r="S519" s="674"/>
      <c r="T519" s="675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29" t="s">
        <v>826</v>
      </c>
      <c r="Q521" s="674"/>
      <c r="R521" s="674"/>
      <c r="S521" s="674"/>
      <c r="T521" s="675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87</v>
      </c>
      <c r="Q523" s="689"/>
      <c r="R523" s="689"/>
      <c r="S523" s="689"/>
      <c r="T523" s="689"/>
      <c r="U523" s="689"/>
      <c r="V523" s="690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87</v>
      </c>
      <c r="Q524" s="689"/>
      <c r="R524" s="689"/>
      <c r="S524" s="689"/>
      <c r="T524" s="689"/>
      <c r="U524" s="689"/>
      <c r="V524" s="690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customHeight="1" x14ac:dyDescent="0.25">
      <c r="A525" s="684" t="s">
        <v>63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87</v>
      </c>
      <c r="Q529" s="689"/>
      <c r="R529" s="689"/>
      <c r="S529" s="689"/>
      <c r="T529" s="689"/>
      <c r="U529" s="689"/>
      <c r="V529" s="690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87</v>
      </c>
      <c r="Q530" s="689"/>
      <c r="R530" s="689"/>
      <c r="S530" s="689"/>
      <c r="T530" s="689"/>
      <c r="U530" s="689"/>
      <c r="V530" s="690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170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06" t="s">
        <v>839</v>
      </c>
      <c r="Q532" s="674"/>
      <c r="R532" s="674"/>
      <c r="S532" s="674"/>
      <c r="T532" s="675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87</v>
      </c>
      <c r="Q533" s="689"/>
      <c r="R533" s="689"/>
      <c r="S533" s="689"/>
      <c r="T533" s="689"/>
      <c r="U533" s="689"/>
      <c r="V533" s="690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87</v>
      </c>
      <c r="Q534" s="689"/>
      <c r="R534" s="689"/>
      <c r="S534" s="689"/>
      <c r="T534" s="689"/>
      <c r="U534" s="689"/>
      <c r="V534" s="690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841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841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97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91" t="s">
        <v>844</v>
      </c>
      <c r="Q538" s="674"/>
      <c r="R538" s="674"/>
      <c r="S538" s="674"/>
      <c r="T538" s="675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0" t="s">
        <v>848</v>
      </c>
      <c r="Q539" s="674"/>
      <c r="R539" s="674"/>
      <c r="S539" s="674"/>
      <c r="T539" s="675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7" t="s">
        <v>852</v>
      </c>
      <c r="Q540" s="674"/>
      <c r="R540" s="674"/>
      <c r="S540" s="674"/>
      <c r="T540" s="675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32" t="s">
        <v>856</v>
      </c>
      <c r="Q541" s="674"/>
      <c r="R541" s="674"/>
      <c r="S541" s="674"/>
      <c r="T541" s="675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62" t="s">
        <v>860</v>
      </c>
      <c r="Q542" s="674"/>
      <c r="R542" s="674"/>
      <c r="S542" s="674"/>
      <c r="T542" s="675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3" t="s">
        <v>863</v>
      </c>
      <c r="Q543" s="674"/>
      <c r="R543" s="674"/>
      <c r="S543" s="674"/>
      <c r="T543" s="675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87</v>
      </c>
      <c r="Q544" s="689"/>
      <c r="R544" s="689"/>
      <c r="S544" s="689"/>
      <c r="T544" s="689"/>
      <c r="U544" s="689"/>
      <c r="V544" s="690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87</v>
      </c>
      <c r="Q545" s="689"/>
      <c r="R545" s="689"/>
      <c r="S545" s="689"/>
      <c r="T545" s="689"/>
      <c r="U545" s="689"/>
      <c r="V545" s="690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133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75" t="s">
        <v>866</v>
      </c>
      <c r="Q547" s="674"/>
      <c r="R547" s="674"/>
      <c r="S547" s="674"/>
      <c r="T547" s="675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795" t="s">
        <v>869</v>
      </c>
      <c r="Q548" s="674"/>
      <c r="R548" s="674"/>
      <c r="S548" s="674"/>
      <c r="T548" s="675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10" t="s">
        <v>873</v>
      </c>
      <c r="Q549" s="674"/>
      <c r="R549" s="674"/>
      <c r="S549" s="674"/>
      <c r="T549" s="675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38" t="s">
        <v>876</v>
      </c>
      <c r="Q550" s="674"/>
      <c r="R550" s="674"/>
      <c r="S550" s="674"/>
      <c r="T550" s="675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7" t="s">
        <v>880</v>
      </c>
      <c r="Q551" s="674"/>
      <c r="R551" s="674"/>
      <c r="S551" s="674"/>
      <c r="T551" s="675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87</v>
      </c>
      <c r="Q552" s="689"/>
      <c r="R552" s="689"/>
      <c r="S552" s="689"/>
      <c r="T552" s="689"/>
      <c r="U552" s="689"/>
      <c r="V552" s="690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87</v>
      </c>
      <c r="Q553" s="689"/>
      <c r="R553" s="689"/>
      <c r="S553" s="689"/>
      <c r="T553" s="689"/>
      <c r="U553" s="689"/>
      <c r="V553" s="690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144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62" t="s">
        <v>883</v>
      </c>
      <c r="Q555" s="674"/>
      <c r="R555" s="674"/>
      <c r="S555" s="674"/>
      <c r="T555" s="675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85" t="s">
        <v>887</v>
      </c>
      <c r="Q556" s="674"/>
      <c r="R556" s="674"/>
      <c r="S556" s="674"/>
      <c r="T556" s="675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67" t="s">
        <v>891</v>
      </c>
      <c r="Q557" s="674"/>
      <c r="R557" s="674"/>
      <c r="S557" s="674"/>
      <c r="T557" s="675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9" t="s">
        <v>895</v>
      </c>
      <c r="Q558" s="674"/>
      <c r="R558" s="674"/>
      <c r="S558" s="674"/>
      <c r="T558" s="675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7" t="s">
        <v>899</v>
      </c>
      <c r="Q559" s="674"/>
      <c r="R559" s="674"/>
      <c r="S559" s="674"/>
      <c r="T559" s="675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9" t="s">
        <v>903</v>
      </c>
      <c r="Q560" s="674"/>
      <c r="R560" s="674"/>
      <c r="S560" s="674"/>
      <c r="T560" s="675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12" t="s">
        <v>906</v>
      </c>
      <c r="Q561" s="674"/>
      <c r="R561" s="674"/>
      <c r="S561" s="674"/>
      <c r="T561" s="675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87</v>
      </c>
      <c r="Q562" s="689"/>
      <c r="R562" s="689"/>
      <c r="S562" s="689"/>
      <c r="T562" s="689"/>
      <c r="U562" s="689"/>
      <c r="V562" s="690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87</v>
      </c>
      <c r="Q563" s="689"/>
      <c r="R563" s="689"/>
      <c r="S563" s="689"/>
      <c r="T563" s="689"/>
      <c r="U563" s="689"/>
      <c r="V563" s="690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63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4" t="s">
        <v>909</v>
      </c>
      <c r="Q565" s="674"/>
      <c r="R565" s="674"/>
      <c r="S565" s="674"/>
      <c r="T565" s="675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903" t="s">
        <v>909</v>
      </c>
      <c r="Q566" s="674"/>
      <c r="R566" s="674"/>
      <c r="S566" s="674"/>
      <c r="T566" s="675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5" t="s">
        <v>914</v>
      </c>
      <c r="Q567" s="674"/>
      <c r="R567" s="674"/>
      <c r="S567" s="674"/>
      <c r="T567" s="675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21" t="s">
        <v>918</v>
      </c>
      <c r="Q568" s="674"/>
      <c r="R568" s="674"/>
      <c r="S568" s="674"/>
      <c r="T568" s="675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50" t="s">
        <v>921</v>
      </c>
      <c r="Q569" s="674"/>
      <c r="R569" s="674"/>
      <c r="S569" s="674"/>
      <c r="T569" s="675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87</v>
      </c>
      <c r="Q570" s="689"/>
      <c r="R570" s="689"/>
      <c r="S570" s="689"/>
      <c r="T570" s="689"/>
      <c r="U570" s="689"/>
      <c r="V570" s="690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87</v>
      </c>
      <c r="Q571" s="689"/>
      <c r="R571" s="689"/>
      <c r="S571" s="689"/>
      <c r="T571" s="689"/>
      <c r="U571" s="689"/>
      <c r="V571" s="690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170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67" t="s">
        <v>924</v>
      </c>
      <c r="Q573" s="674"/>
      <c r="R573" s="674"/>
      <c r="S573" s="674"/>
      <c r="T573" s="675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08" t="s">
        <v>927</v>
      </c>
      <c r="Q574" s="674"/>
      <c r="R574" s="674"/>
      <c r="S574" s="674"/>
      <c r="T574" s="675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73" t="s">
        <v>930</v>
      </c>
      <c r="Q575" s="674"/>
      <c r="R575" s="674"/>
      <c r="S575" s="674"/>
      <c r="T575" s="675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81" t="s">
        <v>933</v>
      </c>
      <c r="Q576" s="674"/>
      <c r="R576" s="674"/>
      <c r="S576" s="674"/>
      <c r="T576" s="675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87</v>
      </c>
      <c r="Q577" s="689"/>
      <c r="R577" s="689"/>
      <c r="S577" s="689"/>
      <c r="T577" s="689"/>
      <c r="U577" s="689"/>
      <c r="V577" s="690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87</v>
      </c>
      <c r="Q578" s="689"/>
      <c r="R578" s="689"/>
      <c r="S578" s="689"/>
      <c r="T578" s="689"/>
      <c r="U578" s="689"/>
      <c r="V578" s="690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934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97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43" t="s">
        <v>937</v>
      </c>
      <c r="Q581" s="674"/>
      <c r="R581" s="674"/>
      <c r="S581" s="674"/>
      <c r="T581" s="675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87</v>
      </c>
      <c r="Q582" s="689"/>
      <c r="R582" s="689"/>
      <c r="S582" s="689"/>
      <c r="T582" s="689"/>
      <c r="U582" s="689"/>
      <c r="V582" s="690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87</v>
      </c>
      <c r="Q583" s="689"/>
      <c r="R583" s="689"/>
      <c r="S583" s="689"/>
      <c r="T583" s="689"/>
      <c r="U583" s="689"/>
      <c r="V583" s="690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133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792" t="s">
        <v>941</v>
      </c>
      <c r="Q585" s="674"/>
      <c r="R585" s="674"/>
      <c r="S585" s="674"/>
      <c r="T585" s="675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87</v>
      </c>
      <c r="Q586" s="689"/>
      <c r="R586" s="689"/>
      <c r="S586" s="689"/>
      <c r="T586" s="689"/>
      <c r="U586" s="689"/>
      <c r="V586" s="690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87</v>
      </c>
      <c r="Q587" s="689"/>
      <c r="R587" s="689"/>
      <c r="S587" s="689"/>
      <c r="T587" s="689"/>
      <c r="U587" s="689"/>
      <c r="V587" s="690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22" t="s">
        <v>945</v>
      </c>
      <c r="Q589" s="674"/>
      <c r="R589" s="674"/>
      <c r="S589" s="674"/>
      <c r="T589" s="675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87</v>
      </c>
      <c r="Q590" s="689"/>
      <c r="R590" s="689"/>
      <c r="S590" s="689"/>
      <c r="T590" s="689"/>
      <c r="U590" s="689"/>
      <c r="V590" s="690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87</v>
      </c>
      <c r="Q591" s="689"/>
      <c r="R591" s="689"/>
      <c r="S591" s="689"/>
      <c r="T591" s="689"/>
      <c r="U591" s="689"/>
      <c r="V591" s="690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63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26" t="s">
        <v>949</v>
      </c>
      <c r="Q593" s="674"/>
      <c r="R593" s="674"/>
      <c r="S593" s="674"/>
      <c r="T593" s="675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87</v>
      </c>
      <c r="Q594" s="689"/>
      <c r="R594" s="689"/>
      <c r="S594" s="689"/>
      <c r="T594" s="689"/>
      <c r="U594" s="689"/>
      <c r="V594" s="690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87</v>
      </c>
      <c r="Q595" s="689"/>
      <c r="R595" s="689"/>
      <c r="S595" s="689"/>
      <c r="T595" s="689"/>
      <c r="U595" s="689"/>
      <c r="V595" s="690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951</v>
      </c>
      <c r="Q596" s="805"/>
      <c r="R596" s="805"/>
      <c r="S596" s="805"/>
      <c r="T596" s="805"/>
      <c r="U596" s="805"/>
      <c r="V596" s="806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2510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2593.8399999999997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952</v>
      </c>
      <c r="Q597" s="805"/>
      <c r="R597" s="805"/>
      <c r="S597" s="805"/>
      <c r="T597" s="805"/>
      <c r="U597" s="805"/>
      <c r="V597" s="806"/>
      <c r="W597" s="37" t="s">
        <v>68</v>
      </c>
      <c r="X597" s="669">
        <f>IFERROR(SUM(BM22:BM593),"0")</f>
        <v>2663.7873448078285</v>
      </c>
      <c r="Y597" s="669">
        <f>IFERROR(SUM(BN22:BN593),"0")</f>
        <v>2752.7079999999996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953</v>
      </c>
      <c r="Q598" s="805"/>
      <c r="R598" s="805"/>
      <c r="S598" s="805"/>
      <c r="T598" s="805"/>
      <c r="U598" s="805"/>
      <c r="V598" s="806"/>
      <c r="W598" s="37" t="s">
        <v>954</v>
      </c>
      <c r="X598" s="38">
        <f>ROUNDUP(SUM(BO22:BO593),0)</f>
        <v>5</v>
      </c>
      <c r="Y598" s="38">
        <f>ROUNDUP(SUM(BP22:BP593),0)</f>
        <v>5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955</v>
      </c>
      <c r="Q599" s="805"/>
      <c r="R599" s="805"/>
      <c r="S599" s="805"/>
      <c r="T599" s="805"/>
      <c r="U599" s="805"/>
      <c r="V599" s="806"/>
      <c r="W599" s="37" t="s">
        <v>68</v>
      </c>
      <c r="X599" s="669">
        <f>GrossWeightTotal+PalletQtyTotal*25</f>
        <v>2788.7873448078285</v>
      </c>
      <c r="Y599" s="669">
        <f>GrossWeightTotalR+PalletQtyTotalR*25</f>
        <v>2877.7079999999996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956</v>
      </c>
      <c r="Q600" s="805"/>
      <c r="R600" s="805"/>
      <c r="S600" s="805"/>
      <c r="T600" s="805"/>
      <c r="U600" s="805"/>
      <c r="V600" s="806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527.17739209929869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541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957</v>
      </c>
      <c r="Q601" s="805"/>
      <c r="R601" s="805"/>
      <c r="S601" s="805"/>
      <c r="T601" s="805"/>
      <c r="U601" s="805"/>
      <c r="V601" s="806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5.2327999999999992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698" t="s">
        <v>95</v>
      </c>
      <c r="D603" s="758"/>
      <c r="E603" s="758"/>
      <c r="F603" s="758"/>
      <c r="G603" s="758"/>
      <c r="H603" s="759"/>
      <c r="I603" s="698" t="s">
        <v>279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597</v>
      </c>
      <c r="X603" s="759"/>
      <c r="Y603" s="698" t="s">
        <v>669</v>
      </c>
      <c r="Z603" s="758"/>
      <c r="AA603" s="758"/>
      <c r="AB603" s="759"/>
      <c r="AC603" s="664" t="s">
        <v>744</v>
      </c>
      <c r="AD603" s="698" t="s">
        <v>841</v>
      </c>
      <c r="AE603" s="759"/>
      <c r="AF603" s="665"/>
    </row>
    <row r="604" spans="1:68" ht="14.25" customHeight="1" thickTop="1" x14ac:dyDescent="0.2">
      <c r="A604" s="943" t="s">
        <v>960</v>
      </c>
      <c r="B604" s="698" t="s">
        <v>62</v>
      </c>
      <c r="C604" s="698" t="s">
        <v>96</v>
      </c>
      <c r="D604" s="698" t="s">
        <v>115</v>
      </c>
      <c r="E604" s="698" t="s">
        <v>178</v>
      </c>
      <c r="F604" s="698" t="s">
        <v>209</v>
      </c>
      <c r="G604" s="698" t="s">
        <v>252</v>
      </c>
      <c r="H604" s="698" t="s">
        <v>95</v>
      </c>
      <c r="I604" s="698" t="s">
        <v>280</v>
      </c>
      <c r="J604" s="698" t="s">
        <v>326</v>
      </c>
      <c r="K604" s="698" t="s">
        <v>387</v>
      </c>
      <c r="L604" s="698" t="s">
        <v>434</v>
      </c>
      <c r="M604" s="698" t="s">
        <v>452</v>
      </c>
      <c r="N604" s="665"/>
      <c r="O604" s="698" t="s">
        <v>456</v>
      </c>
      <c r="P604" s="698" t="s">
        <v>469</v>
      </c>
      <c r="Q604" s="698" t="s">
        <v>483</v>
      </c>
      <c r="R604" s="698" t="s">
        <v>493</v>
      </c>
      <c r="S604" s="698" t="s">
        <v>497</v>
      </c>
      <c r="T604" s="698" t="s">
        <v>505</v>
      </c>
      <c r="U604" s="698" t="s">
        <v>510</v>
      </c>
      <c r="V604" s="698" t="s">
        <v>584</v>
      </c>
      <c r="W604" s="698" t="s">
        <v>598</v>
      </c>
      <c r="X604" s="698" t="s">
        <v>639</v>
      </c>
      <c r="Y604" s="698" t="s">
        <v>670</v>
      </c>
      <c r="Z604" s="698" t="s">
        <v>709</v>
      </c>
      <c r="AA604" s="698" t="s">
        <v>729</v>
      </c>
      <c r="AB604" s="698" t="s">
        <v>737</v>
      </c>
      <c r="AC604" s="698" t="s">
        <v>744</v>
      </c>
      <c r="AD604" s="698" t="s">
        <v>841</v>
      </c>
      <c r="AE604" s="698" t="s">
        <v>934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108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55.600000000000009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152.4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393.6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56.7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544.5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112.8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5.0999999999999996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1020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20.100000000000001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125.04000000000002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2025-04-25T07:30:55Z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