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59EDC9EC-5155-4A0C-AF0C-9F20669D7DF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P528" i="1"/>
  <c r="BO528" i="1"/>
  <c r="BN528" i="1"/>
  <c r="BM528" i="1"/>
  <c r="Z528" i="1"/>
  <c r="Y528" i="1"/>
  <c r="P528" i="1"/>
  <c r="BO527" i="1"/>
  <c r="BM527" i="1"/>
  <c r="Y527" i="1"/>
  <c r="P527" i="1"/>
  <c r="BP526" i="1"/>
  <c r="BO526" i="1"/>
  <c r="BN526" i="1"/>
  <c r="BM526" i="1"/>
  <c r="Z526" i="1"/>
  <c r="Y526" i="1"/>
  <c r="P526" i="1"/>
  <c r="X524" i="1"/>
  <c r="X523" i="1"/>
  <c r="BP522" i="1"/>
  <c r="BO522" i="1"/>
  <c r="BN522" i="1"/>
  <c r="BM522" i="1"/>
  <c r="Z522" i="1"/>
  <c r="Y522" i="1"/>
  <c r="P522" i="1"/>
  <c r="BO521" i="1"/>
  <c r="BM521" i="1"/>
  <c r="Y521" i="1"/>
  <c r="BO520" i="1"/>
  <c r="BM520" i="1"/>
  <c r="Y520" i="1"/>
  <c r="P520" i="1"/>
  <c r="BP519" i="1"/>
  <c r="BO519" i="1"/>
  <c r="BN519" i="1"/>
  <c r="BM519" i="1"/>
  <c r="Z519" i="1"/>
  <c r="Y519" i="1"/>
  <c r="BP518" i="1"/>
  <c r="BO518" i="1"/>
  <c r="BN518" i="1"/>
  <c r="BM518" i="1"/>
  <c r="Z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Y509" i="1"/>
  <c r="X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BP505" i="1"/>
  <c r="BO505" i="1"/>
  <c r="BN505" i="1"/>
  <c r="BM505" i="1"/>
  <c r="Z505" i="1"/>
  <c r="Z509" i="1" s="1"/>
  <c r="Y505" i="1"/>
  <c r="Y510" i="1" s="1"/>
  <c r="P505" i="1"/>
  <c r="X503" i="1"/>
  <c r="X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P457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BP439" i="1"/>
  <c r="BO439" i="1"/>
  <c r="BN439" i="1"/>
  <c r="BM439" i="1"/>
  <c r="Z439" i="1"/>
  <c r="Y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BP436" i="1"/>
  <c r="BO436" i="1"/>
  <c r="BN436" i="1"/>
  <c r="BM436" i="1"/>
  <c r="Z436" i="1"/>
  <c r="Y436" i="1"/>
  <c r="X432" i="1"/>
  <c r="X431" i="1"/>
  <c r="BO430" i="1"/>
  <c r="BM430" i="1"/>
  <c r="Y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Y403" i="1"/>
  <c r="X403" i="1"/>
  <c r="BP402" i="1"/>
  <c r="BO402" i="1"/>
  <c r="BN402" i="1"/>
  <c r="BM402" i="1"/>
  <c r="Z402" i="1"/>
  <c r="Y402" i="1"/>
  <c r="BP401" i="1"/>
  <c r="BO401" i="1"/>
  <c r="BN401" i="1"/>
  <c r="BM401" i="1"/>
  <c r="Z401" i="1"/>
  <c r="Z403" i="1" s="1"/>
  <c r="Y401" i="1"/>
  <c r="Y404" i="1" s="1"/>
  <c r="X399" i="1"/>
  <c r="X398" i="1"/>
  <c r="BO397" i="1"/>
  <c r="BM397" i="1"/>
  <c r="Y397" i="1"/>
  <c r="P397" i="1"/>
  <c r="BP396" i="1"/>
  <c r="BO396" i="1"/>
  <c r="BN396" i="1"/>
  <c r="BM396" i="1"/>
  <c r="Z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BO357" i="1"/>
  <c r="BM357" i="1"/>
  <c r="Y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4" i="1"/>
  <c r="Y323" i="1"/>
  <c r="X323" i="1"/>
  <c r="BP322" i="1"/>
  <c r="BO322" i="1"/>
  <c r="BN322" i="1"/>
  <c r="BM322" i="1"/>
  <c r="Z322" i="1"/>
  <c r="Z323" i="1" s="1"/>
  <c r="Y322" i="1"/>
  <c r="T606" i="1" s="1"/>
  <c r="P322" i="1"/>
  <c r="X319" i="1"/>
  <c r="Y318" i="1"/>
  <c r="X318" i="1"/>
  <c r="BP317" i="1"/>
  <c r="BO317" i="1"/>
  <c r="BN317" i="1"/>
  <c r="BM317" i="1"/>
  <c r="Z317" i="1"/>
  <c r="Y317" i="1"/>
  <c r="P317" i="1"/>
  <c r="BO316" i="1"/>
  <c r="BN316" i="1"/>
  <c r="BM316" i="1"/>
  <c r="Z316" i="1"/>
  <c r="Z318" i="1" s="1"/>
  <c r="Y316" i="1"/>
  <c r="P316" i="1"/>
  <c r="X314" i="1"/>
  <c r="Y313" i="1"/>
  <c r="X313" i="1"/>
  <c r="BP312" i="1"/>
  <c r="BO312" i="1"/>
  <c r="BN312" i="1"/>
  <c r="BM312" i="1"/>
  <c r="Z312" i="1"/>
  <c r="Z313" i="1" s="1"/>
  <c r="Y312" i="1"/>
  <c r="S606" i="1" s="1"/>
  <c r="P312" i="1"/>
  <c r="X309" i="1"/>
  <c r="Y308" i="1"/>
  <c r="X308" i="1"/>
  <c r="BP307" i="1"/>
  <c r="BO307" i="1"/>
  <c r="BN307" i="1"/>
  <c r="BM307" i="1"/>
  <c r="Z307" i="1"/>
  <c r="Z308" i="1" s="1"/>
  <c r="Y307" i="1"/>
  <c r="R606" i="1" s="1"/>
  <c r="P307" i="1"/>
  <c r="X304" i="1"/>
  <c r="Y303" i="1"/>
  <c r="X303" i="1"/>
  <c r="BP302" i="1"/>
  <c r="BO302" i="1"/>
  <c r="BN302" i="1"/>
  <c r="BM302" i="1"/>
  <c r="Z302" i="1"/>
  <c r="Z303" i="1" s="1"/>
  <c r="Y302" i="1"/>
  <c r="Y304" i="1" s="1"/>
  <c r="P302" i="1"/>
  <c r="X300" i="1"/>
  <c r="Y299" i="1"/>
  <c r="X299" i="1"/>
  <c r="BP298" i="1"/>
  <c r="BO298" i="1"/>
  <c r="BN298" i="1"/>
  <c r="BM298" i="1"/>
  <c r="Z298" i="1"/>
  <c r="Z299" i="1" s="1"/>
  <c r="Y298" i="1"/>
  <c r="Y300" i="1" s="1"/>
  <c r="P298" i="1"/>
  <c r="X296" i="1"/>
  <c r="Y295" i="1"/>
  <c r="X295" i="1"/>
  <c r="BP294" i="1"/>
  <c r="BO294" i="1"/>
  <c r="BN294" i="1"/>
  <c r="BM294" i="1"/>
  <c r="Z294" i="1"/>
  <c r="Z295" i="1" s="1"/>
  <c r="Y294" i="1"/>
  <c r="Q606" i="1" s="1"/>
  <c r="P294" i="1"/>
  <c r="X291" i="1"/>
  <c r="X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Y273" i="1"/>
  <c r="X273" i="1"/>
  <c r="BP272" i="1"/>
  <c r="BO272" i="1"/>
  <c r="BN272" i="1"/>
  <c r="BM272" i="1"/>
  <c r="Z272" i="1"/>
  <c r="Z273" i="1" s="1"/>
  <c r="Y272" i="1"/>
  <c r="M606" i="1" s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Y250" i="1"/>
  <c r="X250" i="1"/>
  <c r="BP249" i="1"/>
  <c r="BO249" i="1"/>
  <c r="BN249" i="1"/>
  <c r="BM249" i="1"/>
  <c r="Z249" i="1"/>
  <c r="Z250" i="1" s="1"/>
  <c r="Y249" i="1"/>
  <c r="Y251" i="1" s="1"/>
  <c r="X247" i="1"/>
  <c r="X246" i="1"/>
  <c r="BO245" i="1"/>
  <c r="BM245" i="1"/>
  <c r="Y245" i="1"/>
  <c r="P245" i="1"/>
  <c r="BP244" i="1"/>
  <c r="BO244" i="1"/>
  <c r="BN244" i="1"/>
  <c r="BM244" i="1"/>
  <c r="Z244" i="1"/>
  <c r="Y244" i="1"/>
  <c r="Y246" i="1" s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X230" i="1"/>
  <c r="Y229" i="1"/>
  <c r="X229" i="1"/>
  <c r="BP228" i="1"/>
  <c r="BO228" i="1"/>
  <c r="BN228" i="1"/>
  <c r="BM228" i="1"/>
  <c r="Z228" i="1"/>
  <c r="Y228" i="1"/>
  <c r="P228" i="1"/>
  <c r="BO227" i="1"/>
  <c r="BM227" i="1"/>
  <c r="Y227" i="1"/>
  <c r="P227" i="1"/>
  <c r="X225" i="1"/>
  <c r="X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X213" i="1"/>
  <c r="X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X202" i="1"/>
  <c r="Y201" i="1"/>
  <c r="X201" i="1"/>
  <c r="BP200" i="1"/>
  <c r="BO200" i="1"/>
  <c r="BN200" i="1"/>
  <c r="BM200" i="1"/>
  <c r="Z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P194" i="1"/>
  <c r="BO194" i="1"/>
  <c r="BN194" i="1"/>
  <c r="BM194" i="1"/>
  <c r="Z194" i="1"/>
  <c r="Y194" i="1"/>
  <c r="P194" i="1"/>
  <c r="X191" i="1"/>
  <c r="Y190" i="1"/>
  <c r="X190" i="1"/>
  <c r="BP189" i="1"/>
  <c r="BO189" i="1"/>
  <c r="BN189" i="1"/>
  <c r="BM189" i="1"/>
  <c r="Z189" i="1"/>
  <c r="Z190" i="1" s="1"/>
  <c r="Y189" i="1"/>
  <c r="Y191" i="1" s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Y158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BP146" i="1" s="1"/>
  <c r="P146" i="1"/>
  <c r="BP145" i="1"/>
  <c r="BO145" i="1"/>
  <c r="BN145" i="1"/>
  <c r="BM145" i="1"/>
  <c r="Z145" i="1"/>
  <c r="Y145" i="1"/>
  <c r="Y147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Y143" i="1" s="1"/>
  <c r="P140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P119" i="1"/>
  <c r="BO119" i="1"/>
  <c r="BN119" i="1"/>
  <c r="BM119" i="1"/>
  <c r="Z119" i="1"/>
  <c r="Y119" i="1"/>
  <c r="Y126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6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Y102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6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6" i="1" s="1"/>
  <c r="P37" i="1"/>
  <c r="X33" i="1"/>
  <c r="X32" i="1"/>
  <c r="BO31" i="1"/>
  <c r="BM31" i="1"/>
  <c r="Y31" i="1"/>
  <c r="Y32" i="1" s="1"/>
  <c r="P31" i="1"/>
  <c r="X29" i="1"/>
  <c r="X28" i="1"/>
  <c r="X600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7" i="1" s="1"/>
  <c r="Z22" i="1"/>
  <c r="Y22" i="1"/>
  <c r="P22" i="1"/>
  <c r="H10" i="1"/>
  <c r="F10" i="1"/>
  <c r="J9" i="1"/>
  <c r="F9" i="1"/>
  <c r="A9" i="1"/>
  <c r="A10" i="1" s="1"/>
  <c r="D7" i="1"/>
  <c r="Q6" i="1"/>
  <c r="P2" i="1"/>
  <c r="X599" i="1" l="1"/>
  <c r="Y56" i="1"/>
  <c r="Y68" i="1"/>
  <c r="Y84" i="1"/>
  <c r="Y103" i="1"/>
  <c r="Y127" i="1"/>
  <c r="Y131" i="1"/>
  <c r="Y142" i="1"/>
  <c r="Y148" i="1"/>
  <c r="Y159" i="1"/>
  <c r="Y168" i="1"/>
  <c r="BP167" i="1"/>
  <c r="BN167" i="1"/>
  <c r="Z167" i="1"/>
  <c r="Z168" i="1" s="1"/>
  <c r="Y169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Z212" i="1" s="1"/>
  <c r="BP209" i="1"/>
  <c r="BN209" i="1"/>
  <c r="Z209" i="1"/>
  <c r="BP234" i="1"/>
  <c r="BN234" i="1"/>
  <c r="Z234" i="1"/>
  <c r="BP254" i="1"/>
  <c r="BN254" i="1"/>
  <c r="Z254" i="1"/>
  <c r="BP278" i="1"/>
  <c r="BN278" i="1"/>
  <c r="Z278" i="1"/>
  <c r="Z281" i="1" s="1"/>
  <c r="BP288" i="1"/>
  <c r="BN288" i="1"/>
  <c r="Z288" i="1"/>
  <c r="BP366" i="1"/>
  <c r="BN366" i="1"/>
  <c r="Z366" i="1"/>
  <c r="V606" i="1"/>
  <c r="Y372" i="1"/>
  <c r="BP371" i="1"/>
  <c r="BN371" i="1"/>
  <c r="Z371" i="1"/>
  <c r="Z372" i="1" s="1"/>
  <c r="Y29" i="1"/>
  <c r="Y33" i="1"/>
  <c r="Y41" i="1"/>
  <c r="Y62" i="1"/>
  <c r="Y78" i="1"/>
  <c r="Y91" i="1"/>
  <c r="Y110" i="1"/>
  <c r="Y116" i="1"/>
  <c r="Y138" i="1"/>
  <c r="Y153" i="1"/>
  <c r="Y162" i="1"/>
  <c r="BP161" i="1"/>
  <c r="Y163" i="1"/>
  <c r="Y181" i="1"/>
  <c r="BP171" i="1"/>
  <c r="BN171" i="1"/>
  <c r="Z171" i="1"/>
  <c r="BP217" i="1"/>
  <c r="BN217" i="1"/>
  <c r="Z217" i="1"/>
  <c r="BP221" i="1"/>
  <c r="BN221" i="1"/>
  <c r="Z221" i="1"/>
  <c r="BP238" i="1"/>
  <c r="BN238" i="1"/>
  <c r="Z238" i="1"/>
  <c r="BP256" i="1"/>
  <c r="BN256" i="1"/>
  <c r="Z256" i="1"/>
  <c r="BP264" i="1"/>
  <c r="BN264" i="1"/>
  <c r="Z264" i="1"/>
  <c r="Y268" i="1"/>
  <c r="BP358" i="1"/>
  <c r="BN358" i="1"/>
  <c r="Z358" i="1"/>
  <c r="Y368" i="1"/>
  <c r="Y373" i="1"/>
  <c r="Y378" i="1"/>
  <c r="BP375" i="1"/>
  <c r="BN375" i="1"/>
  <c r="Z375" i="1"/>
  <c r="Y379" i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Z427" i="1" s="1"/>
  <c r="Y427" i="1"/>
  <c r="Y431" i="1"/>
  <c r="BP430" i="1"/>
  <c r="BN430" i="1"/>
  <c r="Z430" i="1"/>
  <c r="Z431" i="1" s="1"/>
  <c r="Y432" i="1"/>
  <c r="BP441" i="1"/>
  <c r="BN441" i="1"/>
  <c r="Z441" i="1"/>
  <c r="Z448" i="1" s="1"/>
  <c r="BP444" i="1"/>
  <c r="BN444" i="1"/>
  <c r="Z444" i="1"/>
  <c r="Y448" i="1"/>
  <c r="BP452" i="1"/>
  <c r="BN452" i="1"/>
  <c r="Z452" i="1"/>
  <c r="Z453" i="1" s="1"/>
  <c r="Y454" i="1"/>
  <c r="Y460" i="1"/>
  <c r="BP457" i="1"/>
  <c r="BN457" i="1"/>
  <c r="Z457" i="1"/>
  <c r="Z459" i="1" s="1"/>
  <c r="Y459" i="1"/>
  <c r="I606" i="1"/>
  <c r="H9" i="1"/>
  <c r="B606" i="1"/>
  <c r="X598" i="1"/>
  <c r="Z23" i="1"/>
  <c r="Z28" i="1" s="1"/>
  <c r="BN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Y598" i="1" s="1"/>
  <c r="Z37" i="1"/>
  <c r="BN37" i="1"/>
  <c r="Y597" i="1" s="1"/>
  <c r="Y599" i="1" s="1"/>
  <c r="BP37" i="1"/>
  <c r="Z39" i="1"/>
  <c r="BN39" i="1"/>
  <c r="Y42" i="1"/>
  <c r="D606" i="1"/>
  <c r="Z50" i="1"/>
  <c r="Z55" i="1" s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Z83" i="1" s="1"/>
  <c r="BN80" i="1"/>
  <c r="BP80" i="1"/>
  <c r="Z82" i="1"/>
  <c r="BN82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20" i="1"/>
  <c r="Z126" i="1" s="1"/>
  <c r="BN120" i="1"/>
  <c r="Z121" i="1"/>
  <c r="BN121" i="1"/>
  <c r="Z122" i="1"/>
  <c r="BN122" i="1"/>
  <c r="Z123" i="1"/>
  <c r="BN123" i="1"/>
  <c r="Z125" i="1"/>
  <c r="BN125" i="1"/>
  <c r="Z129" i="1"/>
  <c r="Z131" i="1" s="1"/>
  <c r="BN129" i="1"/>
  <c r="BP129" i="1"/>
  <c r="G606" i="1"/>
  <c r="Z136" i="1"/>
  <c r="Z137" i="1" s="1"/>
  <c r="BN136" i="1"/>
  <c r="Y137" i="1"/>
  <c r="Z140" i="1"/>
  <c r="Z142" i="1" s="1"/>
  <c r="BN140" i="1"/>
  <c r="BP140" i="1"/>
  <c r="Z146" i="1"/>
  <c r="Z147" i="1" s="1"/>
  <c r="BN146" i="1"/>
  <c r="Z151" i="1"/>
  <c r="Z152" i="1" s="1"/>
  <c r="BN151" i="1"/>
  <c r="BP151" i="1"/>
  <c r="Y152" i="1"/>
  <c r="Z155" i="1"/>
  <c r="Z158" i="1" s="1"/>
  <c r="BN155" i="1"/>
  <c r="BP155" i="1"/>
  <c r="Z157" i="1"/>
  <c r="BN157" i="1"/>
  <c r="Z161" i="1"/>
  <c r="Z162" i="1" s="1"/>
  <c r="BN161" i="1"/>
  <c r="BP173" i="1"/>
  <c r="BN173" i="1"/>
  <c r="Z173" i="1"/>
  <c r="BP176" i="1"/>
  <c r="BN176" i="1"/>
  <c r="Z176" i="1"/>
  <c r="Y180" i="1"/>
  <c r="Y186" i="1"/>
  <c r="BP183" i="1"/>
  <c r="BN183" i="1"/>
  <c r="Z183" i="1"/>
  <c r="BP185" i="1"/>
  <c r="BN185" i="1"/>
  <c r="Z185" i="1"/>
  <c r="Y187" i="1"/>
  <c r="BP195" i="1"/>
  <c r="BN195" i="1"/>
  <c r="Z195" i="1"/>
  <c r="Z196" i="1" s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13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Z241" i="1" s="1"/>
  <c r="Y242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9" i="1"/>
  <c r="BP262" i="1"/>
  <c r="BN262" i="1"/>
  <c r="Z262" i="1"/>
  <c r="BP266" i="1"/>
  <c r="BN266" i="1"/>
  <c r="Z266" i="1"/>
  <c r="Y281" i="1"/>
  <c r="Z290" i="1"/>
  <c r="BP286" i="1"/>
  <c r="BN286" i="1"/>
  <c r="Z286" i="1"/>
  <c r="Y290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Y340" i="1"/>
  <c r="BP344" i="1"/>
  <c r="BN344" i="1"/>
  <c r="Z344" i="1"/>
  <c r="Z348" i="1" s="1"/>
  <c r="Y348" i="1"/>
  <c r="Z354" i="1"/>
  <c r="BP352" i="1"/>
  <c r="BN352" i="1"/>
  <c r="Z352" i="1"/>
  <c r="Y354" i="1"/>
  <c r="BP465" i="1"/>
  <c r="BN465" i="1"/>
  <c r="Z465" i="1"/>
  <c r="Y467" i="1"/>
  <c r="AA606" i="1"/>
  <c r="Y472" i="1"/>
  <c r="Y473" i="1"/>
  <c r="BP470" i="1"/>
  <c r="BN470" i="1"/>
  <c r="Z470" i="1"/>
  <c r="Z472" i="1" s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Z529" i="1"/>
  <c r="BP527" i="1"/>
  <c r="BN527" i="1"/>
  <c r="Z527" i="1"/>
  <c r="Y529" i="1"/>
  <c r="Z606" i="1"/>
  <c r="J606" i="1"/>
  <c r="Y196" i="1"/>
  <c r="K606" i="1"/>
  <c r="Y241" i="1"/>
  <c r="Y274" i="1"/>
  <c r="O606" i="1"/>
  <c r="Y282" i="1"/>
  <c r="P606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Z361" i="1" s="1"/>
  <c r="BP360" i="1"/>
  <c r="BN360" i="1"/>
  <c r="Z360" i="1"/>
  <c r="Y362" i="1"/>
  <c r="Y367" i="1"/>
  <c r="BP364" i="1"/>
  <c r="BN364" i="1"/>
  <c r="Z364" i="1"/>
  <c r="Z367" i="1" s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3" i="1"/>
  <c r="BN443" i="1"/>
  <c r="Z443" i="1"/>
  <c r="BP446" i="1"/>
  <c r="BN446" i="1"/>
  <c r="Z446" i="1"/>
  <c r="Y453" i="1"/>
  <c r="Y466" i="1"/>
  <c r="BP462" i="1"/>
  <c r="BN462" i="1"/>
  <c r="Z462" i="1"/>
  <c r="Z466" i="1" s="1"/>
  <c r="BP471" i="1"/>
  <c r="BN471" i="1"/>
  <c r="Z471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570" i="1" l="1"/>
  <c r="Z502" i="1"/>
  <c r="Z393" i="1"/>
  <c r="Y600" i="1"/>
  <c r="Z180" i="1"/>
  <c r="Y596" i="1"/>
  <c r="Z552" i="1"/>
  <c r="Z523" i="1"/>
  <c r="Z340" i="1"/>
  <c r="Z268" i="1"/>
  <c r="Z258" i="1"/>
  <c r="Z224" i="1"/>
  <c r="Z186" i="1"/>
  <c r="Z102" i="1"/>
  <c r="Z90" i="1"/>
  <c r="Z62" i="1"/>
  <c r="Z601" i="1" s="1"/>
  <c r="Z41" i="1"/>
  <c r="Z416" i="1"/>
  <c r="Z378" i="1"/>
</calcChain>
</file>

<file path=xl/sharedStrings.xml><?xml version="1.0" encoding="utf-8"?>
<sst xmlns="http://schemas.openxmlformats.org/spreadsheetml/2006/main" count="2760" uniqueCount="998">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</sst>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8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5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37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9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6"/>
  <sheetViews>
    <sheetView showGridLines="0" tabSelected="1" topLeftCell="A583" zoomScaleNormal="100" zoomScaleSheetLayoutView="100" workbookViewId="0">
      <selection activeCell="AA602" sqref="AA602"/>
    </sheetView>
  </sheetViews>
  <sheetFormatPr defaultColWidth="9.140625" defaultRowHeight="12.75" x14ac:dyDescent="0.2"/>
  <cols>
    <col min="1" max="1" width="9.140625" style="6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5" customWidth="1"/>
    <col min="19" max="19" width="6.140625" style="6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5" customWidth="1"/>
    <col min="25" max="25" width="11" style="665" customWidth="1"/>
    <col min="26" max="26" width="10" style="665" customWidth="1"/>
    <col min="27" max="27" width="11.5703125" style="665" customWidth="1"/>
    <col min="28" max="28" width="10.42578125" style="665" customWidth="1"/>
    <col min="29" max="29" width="30" style="6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5" customWidth="1"/>
    <col min="34" max="34" width="9.140625" style="665" customWidth="1"/>
    <col min="35" max="16384" width="9.140625" style="665"/>
  </cols>
  <sheetData>
    <row r="1" spans="1:32" s="661" customFormat="1" ht="45" customHeight="1" x14ac:dyDescent="0.2">
      <c r="A1" s="41"/>
      <c r="B1" s="41"/>
      <c r="C1" s="41"/>
      <c r="D1" s="749" t="s">
        <v>0</v>
      </c>
      <c r="E1" s="704"/>
      <c r="F1" s="704"/>
      <c r="G1" s="12" t="s">
        <v>1</v>
      </c>
      <c r="H1" s="749" t="s">
        <v>2</v>
      </c>
      <c r="I1" s="704"/>
      <c r="J1" s="704"/>
      <c r="K1" s="704"/>
      <c r="L1" s="704"/>
      <c r="M1" s="704"/>
      <c r="N1" s="704"/>
      <c r="O1" s="704"/>
      <c r="P1" s="704"/>
      <c r="Q1" s="704"/>
      <c r="R1" s="703" t="s">
        <v>3</v>
      </c>
      <c r="S1" s="704"/>
      <c r="T1" s="70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6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6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1" customFormat="1" ht="23.45" customHeight="1" x14ac:dyDescent="0.2">
      <c r="A5" s="804" t="s">
        <v>8</v>
      </c>
      <c r="B5" s="805"/>
      <c r="C5" s="806"/>
      <c r="D5" s="756"/>
      <c r="E5" s="757"/>
      <c r="F5" s="1002" t="s">
        <v>9</v>
      </c>
      <c r="G5" s="806"/>
      <c r="H5" s="756"/>
      <c r="I5" s="942"/>
      <c r="J5" s="942"/>
      <c r="K5" s="942"/>
      <c r="L5" s="942"/>
      <c r="M5" s="757"/>
      <c r="N5" s="58"/>
      <c r="P5" s="24" t="s">
        <v>10</v>
      </c>
      <c r="Q5" s="1017">
        <v>45773</v>
      </c>
      <c r="R5" s="803"/>
      <c r="T5" s="853" t="s">
        <v>11</v>
      </c>
      <c r="U5" s="854"/>
      <c r="V5" s="856" t="s">
        <v>12</v>
      </c>
      <c r="W5" s="803"/>
      <c r="AB5" s="51"/>
      <c r="AC5" s="51"/>
      <c r="AD5" s="51"/>
      <c r="AE5" s="51"/>
    </row>
    <row r="6" spans="1:32" s="661" customFormat="1" ht="24" customHeight="1" x14ac:dyDescent="0.2">
      <c r="A6" s="804" t="s">
        <v>13</v>
      </c>
      <c r="B6" s="805"/>
      <c r="C6" s="806"/>
      <c r="D6" s="947" t="s">
        <v>14</v>
      </c>
      <c r="E6" s="948"/>
      <c r="F6" s="948"/>
      <c r="G6" s="948"/>
      <c r="H6" s="948"/>
      <c r="I6" s="948"/>
      <c r="J6" s="948"/>
      <c r="K6" s="948"/>
      <c r="L6" s="948"/>
      <c r="M6" s="803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Суббота</v>
      </c>
      <c r="R6" s="672"/>
      <c r="T6" s="862" t="s">
        <v>16</v>
      </c>
      <c r="U6" s="854"/>
      <c r="V6" s="926" t="s">
        <v>17</v>
      </c>
      <c r="W6" s="716"/>
      <c r="AB6" s="51"/>
      <c r="AC6" s="51"/>
      <c r="AD6" s="51"/>
      <c r="AE6" s="51"/>
    </row>
    <row r="7" spans="1:32" s="661" customFormat="1" ht="21.75" hidden="1" customHeight="1" x14ac:dyDescent="0.2">
      <c r="A7" s="55"/>
      <c r="B7" s="55"/>
      <c r="C7" s="55"/>
      <c r="D7" s="725" t="str">
        <f>IFERROR(VLOOKUP(DeliveryAddress,Table,3,0),1)</f>
        <v>1</v>
      </c>
      <c r="E7" s="726"/>
      <c r="F7" s="726"/>
      <c r="G7" s="726"/>
      <c r="H7" s="726"/>
      <c r="I7" s="726"/>
      <c r="J7" s="726"/>
      <c r="K7" s="726"/>
      <c r="L7" s="726"/>
      <c r="M7" s="727"/>
      <c r="N7" s="60"/>
      <c r="P7" s="24"/>
      <c r="Q7" s="42"/>
      <c r="R7" s="42"/>
      <c r="T7" s="679"/>
      <c r="U7" s="854"/>
      <c r="V7" s="927"/>
      <c r="W7" s="928"/>
      <c r="AB7" s="51"/>
      <c r="AC7" s="51"/>
      <c r="AD7" s="51"/>
      <c r="AE7" s="51"/>
    </row>
    <row r="8" spans="1:32" s="661" customFormat="1" ht="25.5" customHeight="1" x14ac:dyDescent="0.2">
      <c r="A8" s="1044" t="s">
        <v>18</v>
      </c>
      <c r="B8" s="689"/>
      <c r="C8" s="690"/>
      <c r="D8" s="735"/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19</v>
      </c>
      <c r="Q8" s="811">
        <v>0.41666666666666669</v>
      </c>
      <c r="R8" s="727"/>
      <c r="T8" s="679"/>
      <c r="U8" s="854"/>
      <c r="V8" s="927"/>
      <c r="W8" s="928"/>
      <c r="AB8" s="51"/>
      <c r="AC8" s="51"/>
      <c r="AD8" s="51"/>
      <c r="AE8" s="51"/>
    </row>
    <row r="9" spans="1:32" s="661" customFormat="1" ht="39.950000000000003" customHeight="1" x14ac:dyDescent="0.2">
      <c r="A9" s="82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2"/>
      <c r="E9" s="687"/>
      <c r="F9" s="82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6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659"/>
      <c r="P9" s="26" t="s">
        <v>20</v>
      </c>
      <c r="Q9" s="797"/>
      <c r="R9" s="798"/>
      <c r="T9" s="679"/>
      <c r="U9" s="854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61" customFormat="1" ht="26.45" customHeight="1" x14ac:dyDescent="0.2">
      <c r="A10" s="82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2"/>
      <c r="E10" s="687"/>
      <c r="F10" s="82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8" t="str">
        <f>IFERROR(VLOOKUP($D$10,Proxy,2,FALSE),"")</f>
        <v/>
      </c>
      <c r="I10" s="679"/>
      <c r="J10" s="679"/>
      <c r="K10" s="679"/>
      <c r="L10" s="679"/>
      <c r="M10" s="679"/>
      <c r="N10" s="660"/>
      <c r="P10" s="26" t="s">
        <v>21</v>
      </c>
      <c r="Q10" s="863"/>
      <c r="R10" s="864"/>
      <c r="U10" s="24" t="s">
        <v>22</v>
      </c>
      <c r="V10" s="715" t="s">
        <v>23</v>
      </c>
      <c r="W10" s="716"/>
      <c r="X10" s="44"/>
      <c r="Y10" s="44"/>
      <c r="Z10" s="44"/>
      <c r="AA10" s="44"/>
      <c r="AB10" s="51"/>
      <c r="AC10" s="51"/>
      <c r="AD10" s="51"/>
      <c r="AE10" s="51"/>
    </row>
    <row r="11" spans="1:32" s="661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2"/>
      <c r="R11" s="803"/>
      <c r="U11" s="24" t="s">
        <v>26</v>
      </c>
      <c r="V11" s="968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61" customFormat="1" ht="18.600000000000001" customHeight="1" x14ac:dyDescent="0.2">
      <c r="A12" s="849" t="s">
        <v>28</v>
      </c>
      <c r="B12" s="805"/>
      <c r="C12" s="805"/>
      <c r="D12" s="805"/>
      <c r="E12" s="805"/>
      <c r="F12" s="805"/>
      <c r="G12" s="805"/>
      <c r="H12" s="805"/>
      <c r="I12" s="805"/>
      <c r="J12" s="805"/>
      <c r="K12" s="805"/>
      <c r="L12" s="805"/>
      <c r="M12" s="806"/>
      <c r="N12" s="62"/>
      <c r="P12" s="24" t="s">
        <v>29</v>
      </c>
      <c r="Q12" s="811"/>
      <c r="R12" s="727"/>
      <c r="S12" s="23"/>
      <c r="U12" s="24"/>
      <c r="V12" s="704"/>
      <c r="W12" s="679"/>
      <c r="AB12" s="51"/>
      <c r="AC12" s="51"/>
      <c r="AD12" s="51"/>
      <c r="AE12" s="51"/>
    </row>
    <row r="13" spans="1:32" s="661" customFormat="1" ht="23.25" customHeight="1" x14ac:dyDescent="0.2">
      <c r="A13" s="849" t="s">
        <v>30</v>
      </c>
      <c r="B13" s="805"/>
      <c r="C13" s="805"/>
      <c r="D13" s="805"/>
      <c r="E13" s="805"/>
      <c r="F13" s="805"/>
      <c r="G13" s="805"/>
      <c r="H13" s="805"/>
      <c r="I13" s="805"/>
      <c r="J13" s="805"/>
      <c r="K13" s="805"/>
      <c r="L13" s="805"/>
      <c r="M13" s="806"/>
      <c r="N13" s="62"/>
      <c r="O13" s="26"/>
      <c r="P13" s="26" t="s">
        <v>31</v>
      </c>
      <c r="Q13" s="968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1" customFormat="1" ht="18.600000000000001" customHeight="1" x14ac:dyDescent="0.2">
      <c r="A14" s="849" t="s">
        <v>32</v>
      </c>
      <c r="B14" s="805"/>
      <c r="C14" s="805"/>
      <c r="D14" s="805"/>
      <c r="E14" s="805"/>
      <c r="F14" s="805"/>
      <c r="G14" s="805"/>
      <c r="H14" s="805"/>
      <c r="I14" s="805"/>
      <c r="J14" s="805"/>
      <c r="K14" s="805"/>
      <c r="L14" s="805"/>
      <c r="M14" s="80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1" customFormat="1" ht="22.5" customHeight="1" x14ac:dyDescent="0.2">
      <c r="A15" s="884" t="s">
        <v>33</v>
      </c>
      <c r="B15" s="805"/>
      <c r="C15" s="805"/>
      <c r="D15" s="805"/>
      <c r="E15" s="805"/>
      <c r="F15" s="805"/>
      <c r="G15" s="805"/>
      <c r="H15" s="805"/>
      <c r="I15" s="805"/>
      <c r="J15" s="805"/>
      <c r="K15" s="805"/>
      <c r="L15" s="805"/>
      <c r="M15" s="806"/>
      <c r="N15" s="63"/>
      <c r="P15" s="835" t="s">
        <v>34</v>
      </c>
      <c r="Q15" s="704"/>
      <c r="R15" s="704"/>
      <c r="S15" s="704"/>
      <c r="T15" s="70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2" t="s">
        <v>35</v>
      </c>
      <c r="B17" s="712" t="s">
        <v>36</v>
      </c>
      <c r="C17" s="819" t="s">
        <v>37</v>
      </c>
      <c r="D17" s="712" t="s">
        <v>38</v>
      </c>
      <c r="E17" s="776"/>
      <c r="F17" s="712" t="s">
        <v>39</v>
      </c>
      <c r="G17" s="712" t="s">
        <v>40</v>
      </c>
      <c r="H17" s="712" t="s">
        <v>41</v>
      </c>
      <c r="I17" s="712" t="s">
        <v>42</v>
      </c>
      <c r="J17" s="712" t="s">
        <v>43</v>
      </c>
      <c r="K17" s="712" t="s">
        <v>44</v>
      </c>
      <c r="L17" s="712" t="s">
        <v>45</v>
      </c>
      <c r="M17" s="712" t="s">
        <v>46</v>
      </c>
      <c r="N17" s="712" t="s">
        <v>47</v>
      </c>
      <c r="O17" s="712" t="s">
        <v>48</v>
      </c>
      <c r="P17" s="712" t="s">
        <v>49</v>
      </c>
      <c r="Q17" s="775"/>
      <c r="R17" s="775"/>
      <c r="S17" s="775"/>
      <c r="T17" s="776"/>
      <c r="U17" s="1043" t="s">
        <v>50</v>
      </c>
      <c r="V17" s="806"/>
      <c r="W17" s="712" t="s">
        <v>51</v>
      </c>
      <c r="X17" s="712" t="s">
        <v>52</v>
      </c>
      <c r="Y17" s="1040" t="s">
        <v>53</v>
      </c>
      <c r="Z17" s="940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7"/>
      <c r="AF17" s="998"/>
      <c r="AG17" s="66"/>
      <c r="BD17" s="65" t="s">
        <v>59</v>
      </c>
    </row>
    <row r="18" spans="1:68" ht="14.25" customHeight="1" x14ac:dyDescent="0.2">
      <c r="A18" s="713"/>
      <c r="B18" s="713"/>
      <c r="C18" s="713"/>
      <c r="D18" s="777"/>
      <c r="E18" s="779"/>
      <c r="F18" s="713"/>
      <c r="G18" s="713"/>
      <c r="H18" s="713"/>
      <c r="I18" s="713"/>
      <c r="J18" s="713"/>
      <c r="K18" s="713"/>
      <c r="L18" s="713"/>
      <c r="M18" s="713"/>
      <c r="N18" s="713"/>
      <c r="O18" s="713"/>
      <c r="P18" s="777"/>
      <c r="Q18" s="778"/>
      <c r="R18" s="778"/>
      <c r="S18" s="778"/>
      <c r="T18" s="779"/>
      <c r="U18" s="67" t="s">
        <v>60</v>
      </c>
      <c r="V18" s="67" t="s">
        <v>61</v>
      </c>
      <c r="W18" s="713"/>
      <c r="X18" s="713"/>
      <c r="Y18" s="1041"/>
      <c r="Z18" s="941"/>
      <c r="AA18" s="917"/>
      <c r="AB18" s="917"/>
      <c r="AC18" s="917"/>
      <c r="AD18" s="999"/>
      <c r="AE18" s="1000"/>
      <c r="AF18" s="1001"/>
      <c r="AG18" s="66"/>
      <c r="BD18" s="65"/>
    </row>
    <row r="19" spans="1:68" ht="27.75" customHeight="1" x14ac:dyDescent="0.2">
      <c r="A19" s="682" t="s">
        <v>62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customHeight="1" x14ac:dyDescent="0.25">
      <c r="A20" s="685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2"/>
      <c r="AB20" s="662"/>
      <c r="AC20" s="662"/>
    </row>
    <row r="21" spans="1:68" ht="14.25" customHeight="1" x14ac:dyDescent="0.25">
      <c r="A21" s="684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3"/>
      <c r="AB21" s="663"/>
      <c r="AC21" s="663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71">
        <v>4680115885912</v>
      </c>
      <c r="E22" s="672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4"/>
      <c r="R22" s="674"/>
      <c r="S22" s="674"/>
      <c r="T22" s="675"/>
      <c r="U22" s="34"/>
      <c r="V22" s="34"/>
      <c r="W22" s="35" t="s">
        <v>68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71">
        <v>4607091388237</v>
      </c>
      <c r="E23" s="672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4"/>
      <c r="R23" s="674"/>
      <c r="S23" s="674"/>
      <c r="T23" s="675"/>
      <c r="U23" s="34"/>
      <c r="V23" s="34"/>
      <c r="W23" s="35" t="s">
        <v>68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71">
        <v>4680115886230</v>
      </c>
      <c r="E24" s="672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75" t="s">
        <v>75</v>
      </c>
      <c r="Q24" s="674"/>
      <c r="R24" s="674"/>
      <c r="S24" s="674"/>
      <c r="T24" s="675"/>
      <c r="U24" s="34"/>
      <c r="V24" s="34"/>
      <c r="W24" s="35" t="s">
        <v>68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71">
        <v>4680115886247</v>
      </c>
      <c r="E25" s="672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4" t="s">
        <v>79</v>
      </c>
      <c r="Q25" s="674"/>
      <c r="R25" s="674"/>
      <c r="S25" s="674"/>
      <c r="T25" s="675"/>
      <c r="U25" s="34"/>
      <c r="V25" s="34"/>
      <c r="W25" s="35" t="s">
        <v>68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71">
        <v>4680115885905</v>
      </c>
      <c r="E26" s="672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4"/>
      <c r="R26" s="674"/>
      <c r="S26" s="674"/>
      <c r="T26" s="675"/>
      <c r="U26" s="34"/>
      <c r="V26" s="34"/>
      <c r="W26" s="35" t="s">
        <v>68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71">
        <v>4607091388244</v>
      </c>
      <c r="E27" s="672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4"/>
      <c r="R27" s="674"/>
      <c r="S27" s="674"/>
      <c r="T27" s="675"/>
      <c r="U27" s="34"/>
      <c r="V27" s="34"/>
      <c r="W27" s="35" t="s">
        <v>68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8" t="s">
        <v>87</v>
      </c>
      <c r="Q28" s="689"/>
      <c r="R28" s="689"/>
      <c r="S28" s="689"/>
      <c r="T28" s="689"/>
      <c r="U28" s="689"/>
      <c r="V28" s="690"/>
      <c r="W28" s="37" t="s">
        <v>88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8" t="s">
        <v>87</v>
      </c>
      <c r="Q29" s="689"/>
      <c r="R29" s="689"/>
      <c r="S29" s="689"/>
      <c r="T29" s="689"/>
      <c r="U29" s="689"/>
      <c r="V29" s="690"/>
      <c r="W29" s="37" t="s">
        <v>68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customHeight="1" x14ac:dyDescent="0.25">
      <c r="A30" s="684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3"/>
      <c r="AB30" s="663"/>
      <c r="AC30" s="663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71">
        <v>4607091388503</v>
      </c>
      <c r="E31" s="672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4"/>
      <c r="R31" s="674"/>
      <c r="S31" s="674"/>
      <c r="T31" s="675"/>
      <c r="U31" s="34"/>
      <c r="V31" s="34"/>
      <c r="W31" s="35" t="s">
        <v>68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8" t="s">
        <v>87</v>
      </c>
      <c r="Q32" s="689"/>
      <c r="R32" s="689"/>
      <c r="S32" s="689"/>
      <c r="T32" s="689"/>
      <c r="U32" s="689"/>
      <c r="V32" s="690"/>
      <c r="W32" s="37" t="s">
        <v>88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8" t="s">
        <v>87</v>
      </c>
      <c r="Q33" s="689"/>
      <c r="R33" s="689"/>
      <c r="S33" s="689"/>
      <c r="T33" s="689"/>
      <c r="U33" s="689"/>
      <c r="V33" s="690"/>
      <c r="W33" s="37" t="s">
        <v>68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customHeight="1" x14ac:dyDescent="0.2">
      <c r="A34" s="682" t="s">
        <v>95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48"/>
      <c r="AB34" s="48"/>
      <c r="AC34" s="48"/>
    </row>
    <row r="35" spans="1:68" ht="16.5" customHeight="1" x14ac:dyDescent="0.25">
      <c r="A35" s="685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2"/>
      <c r="AB35" s="662"/>
      <c r="AC35" s="662"/>
    </row>
    <row r="36" spans="1:68" ht="14.25" customHeight="1" x14ac:dyDescent="0.25">
      <c r="A36" s="684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3"/>
      <c r="AB36" s="663"/>
      <c r="AC36" s="663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71">
        <v>4607091385670</v>
      </c>
      <c r="E37" s="672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4"/>
      <c r="R37" s="674"/>
      <c r="S37" s="674"/>
      <c r="T37" s="675"/>
      <c r="U37" s="34"/>
      <c r="V37" s="34"/>
      <c r="W37" s="35" t="s">
        <v>68</v>
      </c>
      <c r="X37" s="667">
        <v>0</v>
      </c>
      <c r="Y37" s="668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71">
        <v>4607091385687</v>
      </c>
      <c r="E38" s="672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4"/>
      <c r="R38" s="674"/>
      <c r="S38" s="674"/>
      <c r="T38" s="675"/>
      <c r="U38" s="34"/>
      <c r="V38" s="34"/>
      <c r="W38" s="35" t="s">
        <v>68</v>
      </c>
      <c r="X38" s="667">
        <v>0</v>
      </c>
      <c r="Y38" s="668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71">
        <v>4680115882539</v>
      </c>
      <c r="E39" s="672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4"/>
      <c r="R39" s="674"/>
      <c r="S39" s="674"/>
      <c r="T39" s="675"/>
      <c r="U39" s="34"/>
      <c r="V39" s="34"/>
      <c r="W39" s="35" t="s">
        <v>68</v>
      </c>
      <c r="X39" s="667">
        <v>41</v>
      </c>
      <c r="Y39" s="668">
        <f>IFERROR(IF(X39="",0,CEILING((X39/$H39),1)*$H39),"")</f>
        <v>44.400000000000006</v>
      </c>
      <c r="Z39" s="36">
        <f>IFERROR(IF(Y39=0,"",ROUNDUP(Y39/H39,0)*0.00902),"")</f>
        <v>0.10824</v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43.327027027027029</v>
      </c>
      <c r="BN39" s="64">
        <f>IFERROR(Y39*I39/H39,"0")</f>
        <v>46.920000000000009</v>
      </c>
      <c r="BO39" s="64">
        <f>IFERROR(1/J39*(X39/H39),"0")</f>
        <v>8.3947583947583948E-2</v>
      </c>
      <c r="BP39" s="64">
        <f>IFERROR(1/J39*(Y39/H39),"0")</f>
        <v>9.0909090909090925E-2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71">
        <v>4680115883949</v>
      </c>
      <c r="E40" s="672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4"/>
      <c r="R40" s="674"/>
      <c r="S40" s="674"/>
      <c r="T40" s="675"/>
      <c r="U40" s="34"/>
      <c r="V40" s="34"/>
      <c r="W40" s="35" t="s">
        <v>68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8" t="s">
        <v>87</v>
      </c>
      <c r="Q41" s="689"/>
      <c r="R41" s="689"/>
      <c r="S41" s="689"/>
      <c r="T41" s="689"/>
      <c r="U41" s="689"/>
      <c r="V41" s="690"/>
      <c r="W41" s="37" t="s">
        <v>88</v>
      </c>
      <c r="X41" s="669">
        <f>IFERROR(X37/H37,"0")+IFERROR(X38/H38,"0")+IFERROR(X39/H39,"0")+IFERROR(X40/H40,"0")</f>
        <v>11.081081081081081</v>
      </c>
      <c r="Y41" s="669">
        <f>IFERROR(Y37/H37,"0")+IFERROR(Y38/H38,"0")+IFERROR(Y39/H39,"0")+IFERROR(Y40/H40,"0")</f>
        <v>12.000000000000002</v>
      </c>
      <c r="Z41" s="669">
        <f>IFERROR(IF(Z37="",0,Z37),"0")+IFERROR(IF(Z38="",0,Z38),"0")+IFERROR(IF(Z39="",0,Z39),"0")+IFERROR(IF(Z40="",0,Z40),"0")</f>
        <v>0.10824</v>
      </c>
      <c r="AA41" s="670"/>
      <c r="AB41" s="670"/>
      <c r="AC41" s="670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8" t="s">
        <v>87</v>
      </c>
      <c r="Q42" s="689"/>
      <c r="R42" s="689"/>
      <c r="S42" s="689"/>
      <c r="T42" s="689"/>
      <c r="U42" s="689"/>
      <c r="V42" s="690"/>
      <c r="W42" s="37" t="s">
        <v>68</v>
      </c>
      <c r="X42" s="669">
        <f>IFERROR(SUM(X37:X40),"0")</f>
        <v>41</v>
      </c>
      <c r="Y42" s="669">
        <f>IFERROR(SUM(Y37:Y40),"0")</f>
        <v>44.400000000000006</v>
      </c>
      <c r="Z42" s="37"/>
      <c r="AA42" s="670"/>
      <c r="AB42" s="670"/>
      <c r="AC42" s="670"/>
    </row>
    <row r="43" spans="1:68" ht="14.25" customHeight="1" x14ac:dyDescent="0.25">
      <c r="A43" s="684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3"/>
      <c r="AB43" s="663"/>
      <c r="AC43" s="663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71">
        <v>4680115884915</v>
      </c>
      <c r="E44" s="672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4"/>
      <c r="R44" s="674"/>
      <c r="S44" s="674"/>
      <c r="T44" s="675"/>
      <c r="U44" s="34"/>
      <c r="V44" s="34"/>
      <c r="W44" s="35" t="s">
        <v>68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8" t="s">
        <v>87</v>
      </c>
      <c r="Q45" s="689"/>
      <c r="R45" s="689"/>
      <c r="S45" s="689"/>
      <c r="T45" s="689"/>
      <c r="U45" s="689"/>
      <c r="V45" s="690"/>
      <c r="W45" s="37" t="s">
        <v>88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8" t="s">
        <v>87</v>
      </c>
      <c r="Q46" s="689"/>
      <c r="R46" s="689"/>
      <c r="S46" s="689"/>
      <c r="T46" s="689"/>
      <c r="U46" s="689"/>
      <c r="V46" s="690"/>
      <c r="W46" s="37" t="s">
        <v>68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customHeight="1" x14ac:dyDescent="0.25">
      <c r="A47" s="685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2"/>
      <c r="AB47" s="662"/>
      <c r="AC47" s="662"/>
    </row>
    <row r="48" spans="1:68" ht="14.25" customHeight="1" x14ac:dyDescent="0.25">
      <c r="A48" s="684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3"/>
      <c r="AB48" s="663"/>
      <c r="AC48" s="663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71">
        <v>4680115885882</v>
      </c>
      <c r="E49" s="672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4"/>
      <c r="R49" s="674"/>
      <c r="S49" s="674"/>
      <c r="T49" s="675"/>
      <c r="U49" s="34"/>
      <c r="V49" s="34"/>
      <c r="W49" s="35" t="s">
        <v>68</v>
      </c>
      <c r="X49" s="667">
        <v>133</v>
      </c>
      <c r="Y49" s="668">
        <f t="shared" ref="Y49:Y54" si="6">IFERROR(IF(X49="",0,CEILING((X49/$H49),1)*$H49),"")</f>
        <v>134.39999999999998</v>
      </c>
      <c r="Z49" s="36">
        <f>IFERROR(IF(Y49=0,"",ROUNDUP(Y49/H49,0)*0.01898),"")</f>
        <v>0.22776000000000002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138.16562500000001</v>
      </c>
      <c r="BN49" s="64">
        <f t="shared" ref="BN49:BN54" si="8">IFERROR(Y49*I49/H49,"0")</f>
        <v>139.61999999999998</v>
      </c>
      <c r="BO49" s="64">
        <f t="shared" ref="BO49:BO54" si="9">IFERROR(1/J49*(X49/H49),"0")</f>
        <v>0.185546875</v>
      </c>
      <c r="BP49" s="64">
        <f t="shared" ref="BP49:BP54" si="10">IFERROR(1/J49*(Y49/H49),"0")</f>
        <v>0.18749999999999997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71">
        <v>4680115881426</v>
      </c>
      <c r="E50" s="672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4"/>
      <c r="R50" s="674"/>
      <c r="S50" s="674"/>
      <c r="T50" s="675"/>
      <c r="U50" s="34"/>
      <c r="V50" s="34"/>
      <c r="W50" s="35" t="s">
        <v>68</v>
      </c>
      <c r="X50" s="667">
        <v>0</v>
      </c>
      <c r="Y50" s="668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71">
        <v>4680115880283</v>
      </c>
      <c r="E51" s="672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8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4"/>
      <c r="R51" s="674"/>
      <c r="S51" s="674"/>
      <c r="T51" s="675"/>
      <c r="U51" s="34"/>
      <c r="V51" s="34"/>
      <c r="W51" s="35" t="s">
        <v>68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71">
        <v>4680115881525</v>
      </c>
      <c r="E52" s="672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4"/>
      <c r="R52" s="674"/>
      <c r="S52" s="674"/>
      <c r="T52" s="675"/>
      <c r="U52" s="34"/>
      <c r="V52" s="34"/>
      <c r="W52" s="35" t="s">
        <v>68</v>
      </c>
      <c r="X52" s="667">
        <v>47</v>
      </c>
      <c r="Y52" s="668">
        <f t="shared" si="6"/>
        <v>48</v>
      </c>
      <c r="Z52" s="36">
        <f>IFERROR(IF(Y52=0,"",ROUNDUP(Y52/H52,0)*0.00902),"")</f>
        <v>0.10824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49.467500000000001</v>
      </c>
      <c r="BN52" s="64">
        <f t="shared" si="8"/>
        <v>50.519999999999996</v>
      </c>
      <c r="BO52" s="64">
        <f t="shared" si="9"/>
        <v>8.9015151515151519E-2</v>
      </c>
      <c r="BP52" s="64">
        <f t="shared" si="10"/>
        <v>9.0909090909090912E-2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71">
        <v>4680115885899</v>
      </c>
      <c r="E53" s="672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4"/>
      <c r="R53" s="674"/>
      <c r="S53" s="674"/>
      <c r="T53" s="675"/>
      <c r="U53" s="34"/>
      <c r="V53" s="34"/>
      <c r="W53" s="35" t="s">
        <v>68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71">
        <v>4680115881419</v>
      </c>
      <c r="E54" s="672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4"/>
      <c r="R54" s="674"/>
      <c r="S54" s="674"/>
      <c r="T54" s="675"/>
      <c r="U54" s="34"/>
      <c r="V54" s="34"/>
      <c r="W54" s="35" t="s">
        <v>68</v>
      </c>
      <c r="X54" s="667">
        <v>0</v>
      </c>
      <c r="Y54" s="668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8" t="s">
        <v>87</v>
      </c>
      <c r="Q55" s="689"/>
      <c r="R55" s="689"/>
      <c r="S55" s="689"/>
      <c r="T55" s="689"/>
      <c r="U55" s="689"/>
      <c r="V55" s="690"/>
      <c r="W55" s="37" t="s">
        <v>88</v>
      </c>
      <c r="X55" s="669">
        <f>IFERROR(X49/H49,"0")+IFERROR(X50/H50,"0")+IFERROR(X51/H51,"0")+IFERROR(X52/H52,"0")+IFERROR(X53/H53,"0")+IFERROR(X54/H54,"0")</f>
        <v>23.625</v>
      </c>
      <c r="Y55" s="669">
        <f>IFERROR(Y49/H49,"0")+IFERROR(Y50/H50,"0")+IFERROR(Y51/H51,"0")+IFERROR(Y52/H52,"0")+IFERROR(Y53/H53,"0")+IFERROR(Y54/H54,"0")</f>
        <v>24</v>
      </c>
      <c r="Z55" s="669">
        <f>IFERROR(IF(Z49="",0,Z49),"0")+IFERROR(IF(Z50="",0,Z50),"0")+IFERROR(IF(Z51="",0,Z51),"0")+IFERROR(IF(Z52="",0,Z52),"0")+IFERROR(IF(Z53="",0,Z53),"0")+IFERROR(IF(Z54="",0,Z54),"0")</f>
        <v>0.33600000000000002</v>
      </c>
      <c r="AA55" s="670"/>
      <c r="AB55" s="670"/>
      <c r="AC55" s="670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8" t="s">
        <v>87</v>
      </c>
      <c r="Q56" s="689"/>
      <c r="R56" s="689"/>
      <c r="S56" s="689"/>
      <c r="T56" s="689"/>
      <c r="U56" s="689"/>
      <c r="V56" s="690"/>
      <c r="W56" s="37" t="s">
        <v>68</v>
      </c>
      <c r="X56" s="669">
        <f>IFERROR(SUM(X49:X54),"0")</f>
        <v>180</v>
      </c>
      <c r="Y56" s="669">
        <f>IFERROR(SUM(Y49:Y54),"0")</f>
        <v>182.39999999999998</v>
      </c>
      <c r="Z56" s="37"/>
      <c r="AA56" s="670"/>
      <c r="AB56" s="670"/>
      <c r="AC56" s="670"/>
    </row>
    <row r="57" spans="1:68" ht="14.25" customHeight="1" x14ac:dyDescent="0.25">
      <c r="A57" s="684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3"/>
      <c r="AB57" s="663"/>
      <c r="AC57" s="663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71">
        <v>4680115881440</v>
      </c>
      <c r="E58" s="672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4"/>
      <c r="R58" s="674"/>
      <c r="S58" s="674"/>
      <c r="T58" s="675"/>
      <c r="U58" s="34"/>
      <c r="V58" s="34"/>
      <c r="W58" s="35" t="s">
        <v>68</v>
      </c>
      <c r="X58" s="667">
        <v>0</v>
      </c>
      <c r="Y58" s="668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71">
        <v>4680115882751</v>
      </c>
      <c r="E59" s="672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4"/>
      <c r="R59" s="674"/>
      <c r="S59" s="674"/>
      <c r="T59" s="675"/>
      <c r="U59" s="34"/>
      <c r="V59" s="34"/>
      <c r="W59" s="35" t="s">
        <v>68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71">
        <v>4680115885950</v>
      </c>
      <c r="E60" s="672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4"/>
      <c r="R60" s="674"/>
      <c r="S60" s="674"/>
      <c r="T60" s="675"/>
      <c r="U60" s="34"/>
      <c r="V60" s="34"/>
      <c r="W60" s="35" t="s">
        <v>68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71">
        <v>4680115881433</v>
      </c>
      <c r="E61" s="672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4"/>
      <c r="R61" s="674"/>
      <c r="S61" s="674"/>
      <c r="T61" s="675"/>
      <c r="U61" s="34"/>
      <c r="V61" s="34"/>
      <c r="W61" s="35" t="s">
        <v>68</v>
      </c>
      <c r="X61" s="667">
        <v>0</v>
      </c>
      <c r="Y61" s="66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8" t="s">
        <v>87</v>
      </c>
      <c r="Q62" s="689"/>
      <c r="R62" s="689"/>
      <c r="S62" s="689"/>
      <c r="T62" s="689"/>
      <c r="U62" s="689"/>
      <c r="V62" s="690"/>
      <c r="W62" s="37" t="s">
        <v>88</v>
      </c>
      <c r="X62" s="669">
        <f>IFERROR(X58/H58,"0")+IFERROR(X59/H59,"0")+IFERROR(X60/H60,"0")+IFERROR(X61/H61,"0")</f>
        <v>0</v>
      </c>
      <c r="Y62" s="669">
        <f>IFERROR(Y58/H58,"0")+IFERROR(Y59/H59,"0")+IFERROR(Y60/H60,"0")+IFERROR(Y61/H61,"0")</f>
        <v>0</v>
      </c>
      <c r="Z62" s="669">
        <f>IFERROR(IF(Z58="",0,Z58),"0")+IFERROR(IF(Z59="",0,Z59),"0")+IFERROR(IF(Z60="",0,Z60),"0")+IFERROR(IF(Z61="",0,Z61),"0")</f>
        <v>0</v>
      </c>
      <c r="AA62" s="670"/>
      <c r="AB62" s="670"/>
      <c r="AC62" s="670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8" t="s">
        <v>87</v>
      </c>
      <c r="Q63" s="689"/>
      <c r="R63" s="689"/>
      <c r="S63" s="689"/>
      <c r="T63" s="689"/>
      <c r="U63" s="689"/>
      <c r="V63" s="690"/>
      <c r="W63" s="37" t="s">
        <v>68</v>
      </c>
      <c r="X63" s="669">
        <f>IFERROR(SUM(X58:X61),"0")</f>
        <v>0</v>
      </c>
      <c r="Y63" s="669">
        <f>IFERROR(SUM(Y58:Y61),"0")</f>
        <v>0</v>
      </c>
      <c r="Z63" s="37"/>
      <c r="AA63" s="670"/>
      <c r="AB63" s="670"/>
      <c r="AC63" s="670"/>
    </row>
    <row r="64" spans="1:68" ht="14.25" customHeight="1" x14ac:dyDescent="0.25">
      <c r="A64" s="684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3"/>
      <c r="AB64" s="663"/>
      <c r="AC64" s="663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71">
        <v>4680115885073</v>
      </c>
      <c r="E65" s="672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4"/>
      <c r="R65" s="674"/>
      <c r="S65" s="674"/>
      <c r="T65" s="675"/>
      <c r="U65" s="34"/>
      <c r="V65" s="34"/>
      <c r="W65" s="35" t="s">
        <v>68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71">
        <v>4680115885059</v>
      </c>
      <c r="E66" s="672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4"/>
      <c r="R66" s="674"/>
      <c r="S66" s="674"/>
      <c r="T66" s="675"/>
      <c r="U66" s="34"/>
      <c r="V66" s="34"/>
      <c r="W66" s="35" t="s">
        <v>68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71">
        <v>4680115885097</v>
      </c>
      <c r="E67" s="672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4"/>
      <c r="R67" s="674"/>
      <c r="S67" s="674"/>
      <c r="T67" s="675"/>
      <c r="U67" s="34"/>
      <c r="V67" s="34"/>
      <c r="W67" s="35" t="s">
        <v>68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8" t="s">
        <v>87</v>
      </c>
      <c r="Q68" s="689"/>
      <c r="R68" s="689"/>
      <c r="S68" s="689"/>
      <c r="T68" s="689"/>
      <c r="U68" s="689"/>
      <c r="V68" s="690"/>
      <c r="W68" s="37" t="s">
        <v>88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8" t="s">
        <v>87</v>
      </c>
      <c r="Q69" s="689"/>
      <c r="R69" s="689"/>
      <c r="S69" s="689"/>
      <c r="T69" s="689"/>
      <c r="U69" s="689"/>
      <c r="V69" s="690"/>
      <c r="W69" s="37" t="s">
        <v>68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customHeight="1" x14ac:dyDescent="0.25">
      <c r="A70" s="684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3"/>
      <c r="AB70" s="663"/>
      <c r="AC70" s="663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71">
        <v>4680115881891</v>
      </c>
      <c r="E71" s="672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4"/>
      <c r="R71" s="674"/>
      <c r="S71" s="674"/>
      <c r="T71" s="675"/>
      <c r="U71" s="34"/>
      <c r="V71" s="34"/>
      <c r="W71" s="35" t="s">
        <v>68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71">
        <v>4680115885769</v>
      </c>
      <c r="E72" s="672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4"/>
      <c r="R72" s="674"/>
      <c r="S72" s="674"/>
      <c r="T72" s="675"/>
      <c r="U72" s="34"/>
      <c r="V72" s="34"/>
      <c r="W72" s="35" t="s">
        <v>68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71">
        <v>4680115884410</v>
      </c>
      <c r="E73" s="672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6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4"/>
      <c r="R73" s="674"/>
      <c r="S73" s="674"/>
      <c r="T73" s="675"/>
      <c r="U73" s="34"/>
      <c r="V73" s="34"/>
      <c r="W73" s="35" t="s">
        <v>68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71">
        <v>4680115884311</v>
      </c>
      <c r="E74" s="672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4"/>
      <c r="R74" s="674"/>
      <c r="S74" s="674"/>
      <c r="T74" s="675"/>
      <c r="U74" s="34"/>
      <c r="V74" s="34"/>
      <c r="W74" s="35" t="s">
        <v>68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71">
        <v>4680115885929</v>
      </c>
      <c r="E75" s="672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4"/>
      <c r="R75" s="674"/>
      <c r="S75" s="674"/>
      <c r="T75" s="675"/>
      <c r="U75" s="34"/>
      <c r="V75" s="34"/>
      <c r="W75" s="35" t="s">
        <v>68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71">
        <v>4680115884403</v>
      </c>
      <c r="E76" s="672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4"/>
      <c r="R76" s="674"/>
      <c r="S76" s="674"/>
      <c r="T76" s="675"/>
      <c r="U76" s="34"/>
      <c r="V76" s="34"/>
      <c r="W76" s="35" t="s">
        <v>68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8" t="s">
        <v>87</v>
      </c>
      <c r="Q77" s="689"/>
      <c r="R77" s="689"/>
      <c r="S77" s="689"/>
      <c r="T77" s="689"/>
      <c r="U77" s="689"/>
      <c r="V77" s="690"/>
      <c r="W77" s="37" t="s">
        <v>88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8" t="s">
        <v>87</v>
      </c>
      <c r="Q78" s="689"/>
      <c r="R78" s="689"/>
      <c r="S78" s="689"/>
      <c r="T78" s="689"/>
      <c r="U78" s="689"/>
      <c r="V78" s="690"/>
      <c r="W78" s="37" t="s">
        <v>68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customHeight="1" x14ac:dyDescent="0.25">
      <c r="A79" s="684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3"/>
      <c r="AB79" s="663"/>
      <c r="AC79" s="663"/>
    </row>
    <row r="80" spans="1:68" ht="37.5" customHeight="1" x14ac:dyDescent="0.25">
      <c r="A80" s="54" t="s">
        <v>171</v>
      </c>
      <c r="B80" s="54" t="s">
        <v>172</v>
      </c>
      <c r="C80" s="31">
        <v>4301060366</v>
      </c>
      <c r="D80" s="671">
        <v>4680115881532</v>
      </c>
      <c r="E80" s="672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4"/>
      <c r="R80" s="674"/>
      <c r="S80" s="674"/>
      <c r="T80" s="675"/>
      <c r="U80" s="34"/>
      <c r="V80" s="34"/>
      <c r="W80" s="35" t="s">
        <v>68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4301060371</v>
      </c>
      <c r="D81" s="671">
        <v>4680115881532</v>
      </c>
      <c r="E81" s="672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14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4"/>
      <c r="R81" s="674"/>
      <c r="S81" s="674"/>
      <c r="T81" s="675"/>
      <c r="U81" s="34"/>
      <c r="V81" s="34"/>
      <c r="W81" s="35" t="s">
        <v>68</v>
      </c>
      <c r="X81" s="667">
        <v>33</v>
      </c>
      <c r="Y81" s="668">
        <f>IFERROR(IF(X81="",0,CEILING((X81/$H81),1)*$H81),"")</f>
        <v>33.6</v>
      </c>
      <c r="Z81" s="36">
        <f>IFERROR(IF(Y81=0,"",ROUNDUP(Y81/H81,0)*0.01898),"")</f>
        <v>7.5920000000000001E-2</v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35.038928571428571</v>
      </c>
      <c r="BN81" s="64">
        <f>IFERROR(Y81*I81/H81,"0")</f>
        <v>35.676000000000002</v>
      </c>
      <c r="BO81" s="64">
        <f>IFERROR(1/J81*(X81/H81),"0")</f>
        <v>6.1383928571428568E-2</v>
      </c>
      <c r="BP81" s="64">
        <f>IFERROR(1/J81*(Y81/H81),"0")</f>
        <v>6.25E-2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71">
        <v>4680115881464</v>
      </c>
      <c r="E82" s="672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4"/>
      <c r="R82" s="674"/>
      <c r="S82" s="674"/>
      <c r="T82" s="675"/>
      <c r="U82" s="34"/>
      <c r="V82" s="34"/>
      <c r="W82" s="35" t="s">
        <v>68</v>
      </c>
      <c r="X82" s="667">
        <v>12</v>
      </c>
      <c r="Y82" s="668">
        <f>IFERROR(IF(X82="",0,CEILING((X82/$H82),1)*$H82),"")</f>
        <v>12</v>
      </c>
      <c r="Z82" s="36">
        <f>IFERROR(IF(Y82=0,"",ROUNDUP(Y82/H82,0)*0.00902),"")</f>
        <v>4.5100000000000001E-2</v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13.05</v>
      </c>
      <c r="BN82" s="64">
        <f>IFERROR(Y82*I82/H82,"0")</f>
        <v>13.05</v>
      </c>
      <c r="BO82" s="64">
        <f>IFERROR(1/J82*(X82/H82),"0")</f>
        <v>3.787878787878788E-2</v>
      </c>
      <c r="BP82" s="64">
        <f>IFERROR(1/J82*(Y82/H82),"0")</f>
        <v>3.787878787878788E-2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8" t="s">
        <v>87</v>
      </c>
      <c r="Q83" s="689"/>
      <c r="R83" s="689"/>
      <c r="S83" s="689"/>
      <c r="T83" s="689"/>
      <c r="U83" s="689"/>
      <c r="V83" s="690"/>
      <c r="W83" s="37" t="s">
        <v>88</v>
      </c>
      <c r="X83" s="669">
        <f>IFERROR(X80/H80,"0")+IFERROR(X81/H81,"0")+IFERROR(X82/H82,"0")</f>
        <v>8.9285714285714288</v>
      </c>
      <c r="Y83" s="669">
        <f>IFERROR(Y80/H80,"0")+IFERROR(Y81/H81,"0")+IFERROR(Y82/H82,"0")</f>
        <v>9</v>
      </c>
      <c r="Z83" s="669">
        <f>IFERROR(IF(Z80="",0,Z80),"0")+IFERROR(IF(Z81="",0,Z81),"0")+IFERROR(IF(Z82="",0,Z82),"0")</f>
        <v>0.12102</v>
      </c>
      <c r="AA83" s="670"/>
      <c r="AB83" s="670"/>
      <c r="AC83" s="670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8" t="s">
        <v>87</v>
      </c>
      <c r="Q84" s="689"/>
      <c r="R84" s="689"/>
      <c r="S84" s="689"/>
      <c r="T84" s="689"/>
      <c r="U84" s="689"/>
      <c r="V84" s="690"/>
      <c r="W84" s="37" t="s">
        <v>68</v>
      </c>
      <c r="X84" s="669">
        <f>IFERROR(SUM(X80:X82),"0")</f>
        <v>45</v>
      </c>
      <c r="Y84" s="669">
        <f>IFERROR(SUM(Y80:Y82),"0")</f>
        <v>45.6</v>
      </c>
      <c r="Z84" s="37"/>
      <c r="AA84" s="670"/>
      <c r="AB84" s="670"/>
      <c r="AC84" s="670"/>
    </row>
    <row r="85" spans="1:68" ht="16.5" customHeight="1" x14ac:dyDescent="0.25">
      <c r="A85" s="685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2"/>
      <c r="AB85" s="662"/>
      <c r="AC85" s="662"/>
    </row>
    <row r="86" spans="1:68" ht="14.25" customHeight="1" x14ac:dyDescent="0.25">
      <c r="A86" s="684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3"/>
      <c r="AB86" s="663"/>
      <c r="AC86" s="663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71">
        <v>4680115881327</v>
      </c>
      <c r="E87" s="672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4"/>
      <c r="R87" s="674"/>
      <c r="S87" s="674"/>
      <c r="T87" s="675"/>
      <c r="U87" s="34"/>
      <c r="V87" s="34"/>
      <c r="W87" s="35" t="s">
        <v>68</v>
      </c>
      <c r="X87" s="667">
        <v>0</v>
      </c>
      <c r="Y87" s="668">
        <f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71">
        <v>4680115881518</v>
      </c>
      <c r="E88" s="672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8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4"/>
      <c r="R88" s="674"/>
      <c r="S88" s="674"/>
      <c r="T88" s="675"/>
      <c r="U88" s="34"/>
      <c r="V88" s="34"/>
      <c r="W88" s="35" t="s">
        <v>68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71">
        <v>4680115881303</v>
      </c>
      <c r="E89" s="672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4"/>
      <c r="R89" s="674"/>
      <c r="S89" s="674"/>
      <c r="T89" s="675"/>
      <c r="U89" s="34"/>
      <c r="V89" s="34"/>
      <c r="W89" s="35" t="s">
        <v>68</v>
      </c>
      <c r="X89" s="667">
        <v>0</v>
      </c>
      <c r="Y89" s="66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8" t="s">
        <v>87</v>
      </c>
      <c r="Q90" s="689"/>
      <c r="R90" s="689"/>
      <c r="S90" s="689"/>
      <c r="T90" s="689"/>
      <c r="U90" s="689"/>
      <c r="V90" s="690"/>
      <c r="W90" s="37" t="s">
        <v>88</v>
      </c>
      <c r="X90" s="669">
        <f>IFERROR(X87/H87,"0")+IFERROR(X88/H88,"0")+IFERROR(X89/H89,"0")</f>
        <v>0</v>
      </c>
      <c r="Y90" s="669">
        <f>IFERROR(Y87/H87,"0")+IFERROR(Y88/H88,"0")+IFERROR(Y89/H89,"0")</f>
        <v>0</v>
      </c>
      <c r="Z90" s="669">
        <f>IFERROR(IF(Z87="",0,Z87),"0")+IFERROR(IF(Z88="",0,Z88),"0")+IFERROR(IF(Z89="",0,Z89),"0")</f>
        <v>0</v>
      </c>
      <c r="AA90" s="670"/>
      <c r="AB90" s="670"/>
      <c r="AC90" s="670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8" t="s">
        <v>87</v>
      </c>
      <c r="Q91" s="689"/>
      <c r="R91" s="689"/>
      <c r="S91" s="689"/>
      <c r="T91" s="689"/>
      <c r="U91" s="689"/>
      <c r="V91" s="690"/>
      <c r="W91" s="37" t="s">
        <v>68</v>
      </c>
      <c r="X91" s="669">
        <f>IFERROR(SUM(X87:X89),"0")</f>
        <v>0</v>
      </c>
      <c r="Y91" s="669">
        <f>IFERROR(SUM(Y87:Y89),"0")</f>
        <v>0</v>
      </c>
      <c r="Z91" s="37"/>
      <c r="AA91" s="670"/>
      <c r="AB91" s="670"/>
      <c r="AC91" s="670"/>
    </row>
    <row r="92" spans="1:68" ht="14.25" customHeight="1" x14ac:dyDescent="0.25">
      <c r="A92" s="684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3"/>
      <c r="AB92" s="663"/>
      <c r="AC92" s="663"/>
    </row>
    <row r="93" spans="1:68" ht="27" customHeight="1" x14ac:dyDescent="0.25">
      <c r="A93" s="54" t="s">
        <v>187</v>
      </c>
      <c r="B93" s="54" t="s">
        <v>188</v>
      </c>
      <c r="C93" s="31">
        <v>4301051546</v>
      </c>
      <c r="D93" s="671">
        <v>4607091386967</v>
      </c>
      <c r="E93" s="672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100</v>
      </c>
      <c r="L93" s="32"/>
      <c r="M93" s="33" t="s">
        <v>106</v>
      </c>
      <c r="N93" s="33"/>
      <c r="O93" s="32">
        <v>45</v>
      </c>
      <c r="P93" s="95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4"/>
      <c r="R93" s="674"/>
      <c r="S93" s="674"/>
      <c r="T93" s="675"/>
      <c r="U93" s="34"/>
      <c r="V93" s="34"/>
      <c r="W93" s="35" t="s">
        <v>68</v>
      </c>
      <c r="X93" s="667">
        <v>0</v>
      </c>
      <c r="Y93" s="668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189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190</v>
      </c>
      <c r="C94" s="31">
        <v>4301051437</v>
      </c>
      <c r="D94" s="671">
        <v>4607091386967</v>
      </c>
      <c r="E94" s="672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4"/>
      <c r="R94" s="674"/>
      <c r="S94" s="674"/>
      <c r="T94" s="675"/>
      <c r="U94" s="34"/>
      <c r="V94" s="34"/>
      <c r="W94" s="35" t="s">
        <v>68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189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customHeight="1" x14ac:dyDescent="0.25">
      <c r="A95" s="54" t="s">
        <v>187</v>
      </c>
      <c r="B95" s="54" t="s">
        <v>191</v>
      </c>
      <c r="C95" s="31">
        <v>4301051712</v>
      </c>
      <c r="D95" s="671">
        <v>4607091386967</v>
      </c>
      <c r="E95" s="672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100</v>
      </c>
      <c r="L95" s="32"/>
      <c r="M95" s="33" t="s">
        <v>129</v>
      </c>
      <c r="N95" s="33"/>
      <c r="O95" s="32">
        <v>45</v>
      </c>
      <c r="P95" s="746" t="s">
        <v>192</v>
      </c>
      <c r="Q95" s="674"/>
      <c r="R95" s="674"/>
      <c r="S95" s="674"/>
      <c r="T95" s="675"/>
      <c r="U95" s="34"/>
      <c r="V95" s="34"/>
      <c r="W95" s="35" t="s">
        <v>68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71">
        <v>4680115884953</v>
      </c>
      <c r="E96" s="672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5" t="s">
        <v>196</v>
      </c>
      <c r="Q96" s="674"/>
      <c r="R96" s="674"/>
      <c r="S96" s="674"/>
      <c r="T96" s="675"/>
      <c r="U96" s="34"/>
      <c r="V96" s="34"/>
      <c r="W96" s="35" t="s">
        <v>68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71">
        <v>4607091385731</v>
      </c>
      <c r="E97" s="672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71" t="s">
        <v>200</v>
      </c>
      <c r="Q97" s="674"/>
      <c r="R97" s="674"/>
      <c r="S97" s="674"/>
      <c r="T97" s="675"/>
      <c r="U97" s="34"/>
      <c r="V97" s="34"/>
      <c r="W97" s="35" t="s">
        <v>68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193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71">
        <v>4607091385731</v>
      </c>
      <c r="E98" s="672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88" t="s">
        <v>202</v>
      </c>
      <c r="Q98" s="674"/>
      <c r="R98" s="674"/>
      <c r="S98" s="674"/>
      <c r="T98" s="675"/>
      <c r="U98" s="34"/>
      <c r="V98" s="34"/>
      <c r="W98" s="35" t="s">
        <v>68</v>
      </c>
      <c r="X98" s="667">
        <v>0</v>
      </c>
      <c r="Y98" s="668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189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71">
        <v>4680115880894</v>
      </c>
      <c r="E99" s="672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4"/>
      <c r="R99" s="674"/>
      <c r="S99" s="674"/>
      <c r="T99" s="675"/>
      <c r="U99" s="34"/>
      <c r="V99" s="34"/>
      <c r="W99" s="35" t="s">
        <v>68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4301051439</v>
      </c>
      <c r="D100" s="671">
        <v>4680115880214</v>
      </c>
      <c r="E100" s="672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105</v>
      </c>
      <c r="L100" s="32"/>
      <c r="M100" s="33" t="s">
        <v>106</v>
      </c>
      <c r="N100" s="33"/>
      <c r="O100" s="32">
        <v>45</v>
      </c>
      <c r="P100" s="73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4"/>
      <c r="R100" s="674"/>
      <c r="S100" s="674"/>
      <c r="T100" s="675"/>
      <c r="U100" s="34"/>
      <c r="V100" s="34"/>
      <c r="W100" s="35" t="s">
        <v>68</v>
      </c>
      <c r="X100" s="667">
        <v>92</v>
      </c>
      <c r="Y100" s="668">
        <f t="shared" si="16"/>
        <v>94.5</v>
      </c>
      <c r="Z100" s="36">
        <f>IFERROR(IF(Y100=0,"",ROUNDUP(Y100/H100,0)*0.00902),"")</f>
        <v>0.31569999999999998</v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101.81333333333333</v>
      </c>
      <c r="BN100" s="64">
        <f t="shared" si="18"/>
        <v>104.57999999999998</v>
      </c>
      <c r="BO100" s="64">
        <f t="shared" si="19"/>
        <v>0.25813692480359146</v>
      </c>
      <c r="BP100" s="64">
        <f t="shared" si="20"/>
        <v>0.26515151515151514</v>
      </c>
    </row>
    <row r="101" spans="1:68" ht="27" customHeight="1" x14ac:dyDescent="0.25">
      <c r="A101" s="54" t="s">
        <v>206</v>
      </c>
      <c r="B101" s="54" t="s">
        <v>208</v>
      </c>
      <c r="C101" s="31">
        <v>4301051687</v>
      </c>
      <c r="D101" s="671">
        <v>4680115880214</v>
      </c>
      <c r="E101" s="672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66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4"/>
      <c r="R101" s="674"/>
      <c r="S101" s="674"/>
      <c r="T101" s="675"/>
      <c r="U101" s="34"/>
      <c r="V101" s="34"/>
      <c r="W101" s="35" t="s">
        <v>68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8" t="s">
        <v>87</v>
      </c>
      <c r="Q102" s="689"/>
      <c r="R102" s="689"/>
      <c r="S102" s="689"/>
      <c r="T102" s="689"/>
      <c r="U102" s="689"/>
      <c r="V102" s="690"/>
      <c r="W102" s="37" t="s">
        <v>88</v>
      </c>
      <c r="X102" s="669">
        <f>IFERROR(X93/H93,"0")+IFERROR(X94/H94,"0")+IFERROR(X95/H95,"0")+IFERROR(X96/H96,"0")+IFERROR(X97/H97,"0")+IFERROR(X98/H98,"0")+IFERROR(X99/H99,"0")+IFERROR(X100/H100,"0")+IFERROR(X101/H101,"0")</f>
        <v>34.074074074074069</v>
      </c>
      <c r="Y102" s="669">
        <f>IFERROR(Y93/H93,"0")+IFERROR(Y94/H94,"0")+IFERROR(Y95/H95,"0")+IFERROR(Y96/H96,"0")+IFERROR(Y97/H97,"0")+IFERROR(Y98/H98,"0")+IFERROR(Y99/H99,"0")+IFERROR(Y100/H100,"0")+IFERROR(Y101/H101,"0")</f>
        <v>35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0.31569999999999998</v>
      </c>
      <c r="AA102" s="670"/>
      <c r="AB102" s="670"/>
      <c r="AC102" s="670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8" t="s">
        <v>87</v>
      </c>
      <c r="Q103" s="689"/>
      <c r="R103" s="689"/>
      <c r="S103" s="689"/>
      <c r="T103" s="689"/>
      <c r="U103" s="689"/>
      <c r="V103" s="690"/>
      <c r="W103" s="37" t="s">
        <v>68</v>
      </c>
      <c r="X103" s="669">
        <f>IFERROR(SUM(X93:X101),"0")</f>
        <v>92</v>
      </c>
      <c r="Y103" s="669">
        <f>IFERROR(SUM(Y93:Y101),"0")</f>
        <v>94.5</v>
      </c>
      <c r="Z103" s="37"/>
      <c r="AA103" s="670"/>
      <c r="AB103" s="670"/>
      <c r="AC103" s="670"/>
    </row>
    <row r="104" spans="1:68" ht="16.5" customHeight="1" x14ac:dyDescent="0.25">
      <c r="A104" s="685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2"/>
      <c r="AB104" s="662"/>
      <c r="AC104" s="662"/>
    </row>
    <row r="105" spans="1:68" ht="14.25" customHeight="1" x14ac:dyDescent="0.25">
      <c r="A105" s="684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3"/>
      <c r="AB105" s="663"/>
      <c r="AC105" s="663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71">
        <v>4680115882133</v>
      </c>
      <c r="E106" s="672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4"/>
      <c r="R106" s="674"/>
      <c r="S106" s="674"/>
      <c r="T106" s="675"/>
      <c r="U106" s="34"/>
      <c r="V106" s="34"/>
      <c r="W106" s="35" t="s">
        <v>68</v>
      </c>
      <c r="X106" s="667">
        <v>0</v>
      </c>
      <c r="Y106" s="668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71">
        <v>4680115880269</v>
      </c>
      <c r="E107" s="672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4"/>
      <c r="R107" s="674"/>
      <c r="S107" s="674"/>
      <c r="T107" s="675"/>
      <c r="U107" s="34"/>
      <c r="V107" s="34"/>
      <c r="W107" s="35" t="s">
        <v>68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71">
        <v>4680115880429</v>
      </c>
      <c r="E108" s="672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4"/>
      <c r="R108" s="674"/>
      <c r="S108" s="674"/>
      <c r="T108" s="675"/>
      <c r="U108" s="34"/>
      <c r="V108" s="34"/>
      <c r="W108" s="35" t="s">
        <v>68</v>
      </c>
      <c r="X108" s="667">
        <v>28</v>
      </c>
      <c r="Y108" s="668">
        <f>IFERROR(IF(X108="",0,CEILING((X108/$H108),1)*$H108),"")</f>
        <v>31.5</v>
      </c>
      <c r="Z108" s="36">
        <f>IFERROR(IF(Y108=0,"",ROUNDUP(Y108/H108,0)*0.00902),"")</f>
        <v>6.3140000000000002E-2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29.306666666666665</v>
      </c>
      <c r="BN108" s="64">
        <f>IFERROR(Y108*I108/H108,"0")</f>
        <v>32.97</v>
      </c>
      <c r="BO108" s="64">
        <f>IFERROR(1/J108*(X108/H108),"0")</f>
        <v>4.7138047138047139E-2</v>
      </c>
      <c r="BP108" s="64">
        <f>IFERROR(1/J108*(Y108/H108),"0")</f>
        <v>5.3030303030303032E-2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71">
        <v>4680115881457</v>
      </c>
      <c r="E109" s="672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4"/>
      <c r="R109" s="674"/>
      <c r="S109" s="674"/>
      <c r="T109" s="675"/>
      <c r="U109" s="34"/>
      <c r="V109" s="34"/>
      <c r="W109" s="35" t="s">
        <v>68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8" t="s">
        <v>87</v>
      </c>
      <c r="Q110" s="689"/>
      <c r="R110" s="689"/>
      <c r="S110" s="689"/>
      <c r="T110" s="689"/>
      <c r="U110" s="689"/>
      <c r="V110" s="690"/>
      <c r="W110" s="37" t="s">
        <v>88</v>
      </c>
      <c r="X110" s="669">
        <f>IFERROR(X106/H106,"0")+IFERROR(X107/H107,"0")+IFERROR(X108/H108,"0")+IFERROR(X109/H109,"0")</f>
        <v>6.2222222222222223</v>
      </c>
      <c r="Y110" s="669">
        <f>IFERROR(Y106/H106,"0")+IFERROR(Y107/H107,"0")+IFERROR(Y108/H108,"0")+IFERROR(Y109/H109,"0")</f>
        <v>7</v>
      </c>
      <c r="Z110" s="669">
        <f>IFERROR(IF(Z106="",0,Z106),"0")+IFERROR(IF(Z107="",0,Z107),"0")+IFERROR(IF(Z108="",0,Z108),"0")+IFERROR(IF(Z109="",0,Z109),"0")</f>
        <v>6.3140000000000002E-2</v>
      </c>
      <c r="AA110" s="670"/>
      <c r="AB110" s="670"/>
      <c r="AC110" s="670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8" t="s">
        <v>87</v>
      </c>
      <c r="Q111" s="689"/>
      <c r="R111" s="689"/>
      <c r="S111" s="689"/>
      <c r="T111" s="689"/>
      <c r="U111" s="689"/>
      <c r="V111" s="690"/>
      <c r="W111" s="37" t="s">
        <v>68</v>
      </c>
      <c r="X111" s="669">
        <f>IFERROR(SUM(X106:X109),"0")</f>
        <v>28</v>
      </c>
      <c r="Y111" s="669">
        <f>IFERROR(SUM(Y106:Y109),"0")</f>
        <v>31.5</v>
      </c>
      <c r="Z111" s="37"/>
      <c r="AA111" s="670"/>
      <c r="AB111" s="670"/>
      <c r="AC111" s="670"/>
    </row>
    <row r="112" spans="1:68" ht="14.25" customHeight="1" x14ac:dyDescent="0.25">
      <c r="A112" s="684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3"/>
      <c r="AB112" s="663"/>
      <c r="AC112" s="663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71">
        <v>4680115881488</v>
      </c>
      <c r="E113" s="672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4"/>
      <c r="R113" s="674"/>
      <c r="S113" s="674"/>
      <c r="T113" s="675"/>
      <c r="U113" s="34"/>
      <c r="V113" s="34"/>
      <c r="W113" s="35" t="s">
        <v>68</v>
      </c>
      <c r="X113" s="667">
        <v>254</v>
      </c>
      <c r="Y113" s="668">
        <f>IFERROR(IF(X113="",0,CEILING((X113/$H113),1)*$H113),"")</f>
        <v>259.20000000000005</v>
      </c>
      <c r="Z113" s="36">
        <f>IFERROR(IF(Y113=0,"",ROUNDUP(Y113/H113,0)*0.01898),"")</f>
        <v>0.45552000000000004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264.23055555555555</v>
      </c>
      <c r="BN113" s="64">
        <f>IFERROR(Y113*I113/H113,"0")</f>
        <v>269.64000000000004</v>
      </c>
      <c r="BO113" s="64">
        <f>IFERROR(1/J113*(X113/H113),"0")</f>
        <v>0.3674768518518518</v>
      </c>
      <c r="BP113" s="64">
        <f>IFERROR(1/J113*(Y113/H113),"0")</f>
        <v>0.37500000000000006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71">
        <v>4680115882775</v>
      </c>
      <c r="E114" s="672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4"/>
      <c r="R114" s="674"/>
      <c r="S114" s="674"/>
      <c r="T114" s="675"/>
      <c r="U114" s="34"/>
      <c r="V114" s="34"/>
      <c r="W114" s="35" t="s">
        <v>68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71">
        <v>4680115880658</v>
      </c>
      <c r="E115" s="672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4"/>
      <c r="R115" s="674"/>
      <c r="S115" s="674"/>
      <c r="T115" s="675"/>
      <c r="U115" s="34"/>
      <c r="V115" s="34"/>
      <c r="W115" s="35" t="s">
        <v>68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8" t="s">
        <v>87</v>
      </c>
      <c r="Q116" s="689"/>
      <c r="R116" s="689"/>
      <c r="S116" s="689"/>
      <c r="T116" s="689"/>
      <c r="U116" s="689"/>
      <c r="V116" s="690"/>
      <c r="W116" s="37" t="s">
        <v>88</v>
      </c>
      <c r="X116" s="669">
        <f>IFERROR(X113/H113,"0")+IFERROR(X114/H114,"0")+IFERROR(X115/H115,"0")</f>
        <v>23.518518518518515</v>
      </c>
      <c r="Y116" s="669">
        <f>IFERROR(Y113/H113,"0")+IFERROR(Y114/H114,"0")+IFERROR(Y115/H115,"0")</f>
        <v>24.000000000000004</v>
      </c>
      <c r="Z116" s="669">
        <f>IFERROR(IF(Z113="",0,Z113),"0")+IFERROR(IF(Z114="",0,Z114),"0")+IFERROR(IF(Z115="",0,Z115),"0")</f>
        <v>0.45552000000000004</v>
      </c>
      <c r="AA116" s="670"/>
      <c r="AB116" s="670"/>
      <c r="AC116" s="670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8" t="s">
        <v>87</v>
      </c>
      <c r="Q117" s="689"/>
      <c r="R117" s="689"/>
      <c r="S117" s="689"/>
      <c r="T117" s="689"/>
      <c r="U117" s="689"/>
      <c r="V117" s="690"/>
      <c r="W117" s="37" t="s">
        <v>68</v>
      </c>
      <c r="X117" s="669">
        <f>IFERROR(SUM(X113:X115),"0")</f>
        <v>254</v>
      </c>
      <c r="Y117" s="669">
        <f>IFERROR(SUM(Y113:Y115),"0")</f>
        <v>259.20000000000005</v>
      </c>
      <c r="Z117" s="37"/>
      <c r="AA117" s="670"/>
      <c r="AB117" s="670"/>
      <c r="AC117" s="670"/>
    </row>
    <row r="118" spans="1:68" ht="14.25" customHeight="1" x14ac:dyDescent="0.25">
      <c r="A118" s="684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3"/>
      <c r="AB118" s="663"/>
      <c r="AC118" s="663"/>
    </row>
    <row r="119" spans="1:68" ht="37.5" customHeight="1" x14ac:dyDescent="0.25">
      <c r="A119" s="54" t="s">
        <v>226</v>
      </c>
      <c r="B119" s="54" t="s">
        <v>227</v>
      </c>
      <c r="C119" s="31">
        <v>4301051360</v>
      </c>
      <c r="D119" s="671">
        <v>4607091385168</v>
      </c>
      <c r="E119" s="672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100</v>
      </c>
      <c r="L119" s="32"/>
      <c r="M119" s="33" t="s">
        <v>106</v>
      </c>
      <c r="N119" s="33"/>
      <c r="O119" s="32">
        <v>45</v>
      </c>
      <c r="P119" s="81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4"/>
      <c r="R119" s="674"/>
      <c r="S119" s="674"/>
      <c r="T119" s="675"/>
      <c r="U119" s="34"/>
      <c r="V119" s="34"/>
      <c r="W119" s="35" t="s">
        <v>68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228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226</v>
      </c>
      <c r="B120" s="54" t="s">
        <v>229</v>
      </c>
      <c r="C120" s="31">
        <v>4301051625</v>
      </c>
      <c r="D120" s="671">
        <v>4607091385168</v>
      </c>
      <c r="E120" s="672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5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4"/>
      <c r="R120" s="674"/>
      <c r="S120" s="674"/>
      <c r="T120" s="675"/>
      <c r="U120" s="34"/>
      <c r="V120" s="34"/>
      <c r="W120" s="35" t="s">
        <v>68</v>
      </c>
      <c r="X120" s="667">
        <v>0</v>
      </c>
      <c r="Y120" s="668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230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16.5" customHeight="1" x14ac:dyDescent="0.25">
      <c r="A121" s="54" t="s">
        <v>226</v>
      </c>
      <c r="B121" s="54" t="s">
        <v>231</v>
      </c>
      <c r="C121" s="31">
        <v>4301051724</v>
      </c>
      <c r="D121" s="671">
        <v>4607091385168</v>
      </c>
      <c r="E121" s="672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100</v>
      </c>
      <c r="L121" s="32"/>
      <c r="M121" s="33" t="s">
        <v>129</v>
      </c>
      <c r="N121" s="33"/>
      <c r="O121" s="32">
        <v>45</v>
      </c>
      <c r="P121" s="1010" t="s">
        <v>232</v>
      </c>
      <c r="Q121" s="674"/>
      <c r="R121" s="674"/>
      <c r="S121" s="674"/>
      <c r="T121" s="675"/>
      <c r="U121" s="34"/>
      <c r="V121" s="34"/>
      <c r="W121" s="35" t="s">
        <v>68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71">
        <v>4607091383256</v>
      </c>
      <c r="E122" s="672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6" t="s">
        <v>236</v>
      </c>
      <c r="Q122" s="674"/>
      <c r="R122" s="674"/>
      <c r="S122" s="674"/>
      <c r="T122" s="675"/>
      <c r="U122" s="34"/>
      <c r="V122" s="34"/>
      <c r="W122" s="35" t="s">
        <v>68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237</v>
      </c>
      <c r="B123" s="54" t="s">
        <v>238</v>
      </c>
      <c r="C123" s="31">
        <v>4301051721</v>
      </c>
      <c r="D123" s="671">
        <v>4607091385748</v>
      </c>
      <c r="E123" s="672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66</v>
      </c>
      <c r="L123" s="32"/>
      <c r="M123" s="33" t="s">
        <v>129</v>
      </c>
      <c r="N123" s="33"/>
      <c r="O123" s="32">
        <v>45</v>
      </c>
      <c r="P123" s="1014" t="s">
        <v>239</v>
      </c>
      <c r="Q123" s="674"/>
      <c r="R123" s="674"/>
      <c r="S123" s="674"/>
      <c r="T123" s="675"/>
      <c r="U123" s="34"/>
      <c r="V123" s="34"/>
      <c r="W123" s="35" t="s">
        <v>68</v>
      </c>
      <c r="X123" s="667">
        <v>113</v>
      </c>
      <c r="Y123" s="668">
        <f t="shared" si="21"/>
        <v>113.4</v>
      </c>
      <c r="Z123" s="36">
        <f>IFERROR(IF(Y123=0,"",ROUNDUP(Y123/H123,0)*0.00651),"")</f>
        <v>0.27342</v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123.54666666666667</v>
      </c>
      <c r="BN123" s="64">
        <f t="shared" si="23"/>
        <v>123.98399999999999</v>
      </c>
      <c r="BO123" s="64">
        <f t="shared" si="24"/>
        <v>0.22995522995522996</v>
      </c>
      <c r="BP123" s="64">
        <f t="shared" si="25"/>
        <v>0.23076923076923078</v>
      </c>
    </row>
    <row r="124" spans="1:68" ht="27" customHeight="1" x14ac:dyDescent="0.25">
      <c r="A124" s="54" t="s">
        <v>240</v>
      </c>
      <c r="B124" s="54" t="s">
        <v>241</v>
      </c>
      <c r="C124" s="31">
        <v>4301051740</v>
      </c>
      <c r="D124" s="671">
        <v>4680115884533</v>
      </c>
      <c r="E124" s="672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66</v>
      </c>
      <c r="L124" s="32"/>
      <c r="M124" s="33" t="s">
        <v>106</v>
      </c>
      <c r="N124" s="33"/>
      <c r="O124" s="32">
        <v>45</v>
      </c>
      <c r="P124" s="10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4"/>
      <c r="R124" s="674"/>
      <c r="S124" s="674"/>
      <c r="T124" s="675"/>
      <c r="U124" s="34"/>
      <c r="V124" s="34"/>
      <c r="W124" s="35" t="s">
        <v>68</v>
      </c>
      <c r="X124" s="667">
        <v>0</v>
      </c>
      <c r="Y124" s="668">
        <f t="shared" si="21"/>
        <v>0</v>
      </c>
      <c r="Z124" s="36" t="str">
        <f>IFERROR(IF(Y124=0,"",ROUNDUP(Y124/H124,0)*0.00651),"")</f>
        <v/>
      </c>
      <c r="AA124" s="56"/>
      <c r="AB124" s="57"/>
      <c r="AC124" s="185" t="s">
        <v>242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243</v>
      </c>
      <c r="B125" s="54" t="s">
        <v>244</v>
      </c>
      <c r="C125" s="31">
        <v>4301051480</v>
      </c>
      <c r="D125" s="671">
        <v>4680115882645</v>
      </c>
      <c r="E125" s="672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66</v>
      </c>
      <c r="L125" s="32"/>
      <c r="M125" s="33" t="s">
        <v>67</v>
      </c>
      <c r="N125" s="33"/>
      <c r="O125" s="32">
        <v>40</v>
      </c>
      <c r="P125" s="96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4"/>
      <c r="R125" s="674"/>
      <c r="S125" s="674"/>
      <c r="T125" s="675"/>
      <c r="U125" s="34"/>
      <c r="V125" s="34"/>
      <c r="W125" s="35" t="s">
        <v>68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245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78"/>
      <c r="B126" s="679"/>
      <c r="C126" s="679"/>
      <c r="D126" s="679"/>
      <c r="E126" s="679"/>
      <c r="F126" s="679"/>
      <c r="G126" s="679"/>
      <c r="H126" s="679"/>
      <c r="I126" s="679"/>
      <c r="J126" s="679"/>
      <c r="K126" s="679"/>
      <c r="L126" s="679"/>
      <c r="M126" s="679"/>
      <c r="N126" s="679"/>
      <c r="O126" s="680"/>
      <c r="P126" s="688" t="s">
        <v>87</v>
      </c>
      <c r="Q126" s="689"/>
      <c r="R126" s="689"/>
      <c r="S126" s="689"/>
      <c r="T126" s="689"/>
      <c r="U126" s="689"/>
      <c r="V126" s="690"/>
      <c r="W126" s="37" t="s">
        <v>88</v>
      </c>
      <c r="X126" s="669">
        <f>IFERROR(X119/H119,"0")+IFERROR(X120/H120,"0")+IFERROR(X121/H121,"0")+IFERROR(X122/H122,"0")+IFERROR(X123/H123,"0")+IFERROR(X124/H124,"0")+IFERROR(X125/H125,"0")</f>
        <v>41.851851851851848</v>
      </c>
      <c r="Y126" s="669">
        <f>IFERROR(Y119/H119,"0")+IFERROR(Y120/H120,"0")+IFERROR(Y121/H121,"0")+IFERROR(Y122/H122,"0")+IFERROR(Y123/H123,"0")+IFERROR(Y124/H124,"0")+IFERROR(Y125/H125,"0")</f>
        <v>42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0.27342</v>
      </c>
      <c r="AA126" s="670"/>
      <c r="AB126" s="670"/>
      <c r="AC126" s="670"/>
    </row>
    <row r="127" spans="1:68" x14ac:dyDescent="0.2">
      <c r="A127" s="679"/>
      <c r="B127" s="679"/>
      <c r="C127" s="679"/>
      <c r="D127" s="679"/>
      <c r="E127" s="679"/>
      <c r="F127" s="679"/>
      <c r="G127" s="679"/>
      <c r="H127" s="679"/>
      <c r="I127" s="679"/>
      <c r="J127" s="679"/>
      <c r="K127" s="679"/>
      <c r="L127" s="679"/>
      <c r="M127" s="679"/>
      <c r="N127" s="679"/>
      <c r="O127" s="680"/>
      <c r="P127" s="688" t="s">
        <v>87</v>
      </c>
      <c r="Q127" s="689"/>
      <c r="R127" s="689"/>
      <c r="S127" s="689"/>
      <c r="T127" s="689"/>
      <c r="U127" s="689"/>
      <c r="V127" s="690"/>
      <c r="W127" s="37" t="s">
        <v>68</v>
      </c>
      <c r="X127" s="669">
        <f>IFERROR(SUM(X119:X125),"0")</f>
        <v>113</v>
      </c>
      <c r="Y127" s="669">
        <f>IFERROR(SUM(Y119:Y125),"0")</f>
        <v>113.4</v>
      </c>
      <c r="Z127" s="37"/>
      <c r="AA127" s="670"/>
      <c r="AB127" s="670"/>
      <c r="AC127" s="670"/>
    </row>
    <row r="128" spans="1:68" ht="14.25" customHeight="1" x14ac:dyDescent="0.25">
      <c r="A128" s="684" t="s">
        <v>170</v>
      </c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79"/>
      <c r="P128" s="679"/>
      <c r="Q128" s="679"/>
      <c r="R128" s="679"/>
      <c r="S128" s="679"/>
      <c r="T128" s="679"/>
      <c r="U128" s="679"/>
      <c r="V128" s="679"/>
      <c r="W128" s="679"/>
      <c r="X128" s="679"/>
      <c r="Y128" s="679"/>
      <c r="Z128" s="679"/>
      <c r="AA128" s="663"/>
      <c r="AB128" s="663"/>
      <c r="AC128" s="663"/>
    </row>
    <row r="129" spans="1:68" ht="37.5" customHeight="1" x14ac:dyDescent="0.25">
      <c r="A129" s="54" t="s">
        <v>246</v>
      </c>
      <c r="B129" s="54" t="s">
        <v>247</v>
      </c>
      <c r="C129" s="31">
        <v>4301060356</v>
      </c>
      <c r="D129" s="671">
        <v>4680115882652</v>
      </c>
      <c r="E129" s="672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66</v>
      </c>
      <c r="L129" s="32"/>
      <c r="M129" s="33" t="s">
        <v>67</v>
      </c>
      <c r="N129" s="33"/>
      <c r="O129" s="32">
        <v>40</v>
      </c>
      <c r="P129" s="780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4"/>
      <c r="R129" s="674"/>
      <c r="S129" s="674"/>
      <c r="T129" s="675"/>
      <c r="U129" s="34"/>
      <c r="V129" s="34"/>
      <c r="W129" s="35" t="s">
        <v>68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248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249</v>
      </c>
      <c r="B130" s="54" t="s">
        <v>250</v>
      </c>
      <c r="C130" s="31">
        <v>4301060317</v>
      </c>
      <c r="D130" s="671">
        <v>4680115880238</v>
      </c>
      <c r="E130" s="672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66</v>
      </c>
      <c r="L130" s="32"/>
      <c r="M130" s="33" t="s">
        <v>106</v>
      </c>
      <c r="N130" s="33"/>
      <c r="O130" s="32">
        <v>40</v>
      </c>
      <c r="P130" s="95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4"/>
      <c r="R130" s="674"/>
      <c r="S130" s="674"/>
      <c r="T130" s="675"/>
      <c r="U130" s="34"/>
      <c r="V130" s="34"/>
      <c r="W130" s="35" t="s">
        <v>68</v>
      </c>
      <c r="X130" s="667">
        <v>0</v>
      </c>
      <c r="Y130" s="668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251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78"/>
      <c r="B131" s="679"/>
      <c r="C131" s="679"/>
      <c r="D131" s="679"/>
      <c r="E131" s="679"/>
      <c r="F131" s="679"/>
      <c r="G131" s="679"/>
      <c r="H131" s="679"/>
      <c r="I131" s="679"/>
      <c r="J131" s="679"/>
      <c r="K131" s="679"/>
      <c r="L131" s="679"/>
      <c r="M131" s="679"/>
      <c r="N131" s="679"/>
      <c r="O131" s="680"/>
      <c r="P131" s="688" t="s">
        <v>87</v>
      </c>
      <c r="Q131" s="689"/>
      <c r="R131" s="689"/>
      <c r="S131" s="689"/>
      <c r="T131" s="689"/>
      <c r="U131" s="689"/>
      <c r="V131" s="690"/>
      <c r="W131" s="37" t="s">
        <v>88</v>
      </c>
      <c r="X131" s="669">
        <f>IFERROR(X129/H129,"0")+IFERROR(X130/H130,"0")</f>
        <v>0</v>
      </c>
      <c r="Y131" s="669">
        <f>IFERROR(Y129/H129,"0")+IFERROR(Y130/H130,"0")</f>
        <v>0</v>
      </c>
      <c r="Z131" s="669">
        <f>IFERROR(IF(Z129="",0,Z129),"0")+IFERROR(IF(Z130="",0,Z130),"0")</f>
        <v>0</v>
      </c>
      <c r="AA131" s="670"/>
      <c r="AB131" s="670"/>
      <c r="AC131" s="670"/>
    </row>
    <row r="132" spans="1:68" x14ac:dyDescent="0.2">
      <c r="A132" s="679"/>
      <c r="B132" s="679"/>
      <c r="C132" s="679"/>
      <c r="D132" s="679"/>
      <c r="E132" s="679"/>
      <c r="F132" s="679"/>
      <c r="G132" s="679"/>
      <c r="H132" s="679"/>
      <c r="I132" s="679"/>
      <c r="J132" s="679"/>
      <c r="K132" s="679"/>
      <c r="L132" s="679"/>
      <c r="M132" s="679"/>
      <c r="N132" s="679"/>
      <c r="O132" s="680"/>
      <c r="P132" s="688" t="s">
        <v>87</v>
      </c>
      <c r="Q132" s="689"/>
      <c r="R132" s="689"/>
      <c r="S132" s="689"/>
      <c r="T132" s="689"/>
      <c r="U132" s="689"/>
      <c r="V132" s="690"/>
      <c r="W132" s="37" t="s">
        <v>68</v>
      </c>
      <c r="X132" s="669">
        <f>IFERROR(SUM(X129:X130),"0")</f>
        <v>0</v>
      </c>
      <c r="Y132" s="669">
        <f>IFERROR(SUM(Y129:Y130),"0")</f>
        <v>0</v>
      </c>
      <c r="Z132" s="37"/>
      <c r="AA132" s="670"/>
      <c r="AB132" s="670"/>
      <c r="AC132" s="670"/>
    </row>
    <row r="133" spans="1:68" ht="16.5" customHeight="1" x14ac:dyDescent="0.25">
      <c r="A133" s="685" t="s">
        <v>252</v>
      </c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79"/>
      <c r="P133" s="679"/>
      <c r="Q133" s="679"/>
      <c r="R133" s="679"/>
      <c r="S133" s="679"/>
      <c r="T133" s="679"/>
      <c r="U133" s="679"/>
      <c r="V133" s="679"/>
      <c r="W133" s="679"/>
      <c r="X133" s="679"/>
      <c r="Y133" s="679"/>
      <c r="Z133" s="679"/>
      <c r="AA133" s="662"/>
      <c r="AB133" s="662"/>
      <c r="AC133" s="662"/>
    </row>
    <row r="134" spans="1:68" ht="14.25" customHeight="1" x14ac:dyDescent="0.25">
      <c r="A134" s="684" t="s">
        <v>97</v>
      </c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79"/>
      <c r="P134" s="679"/>
      <c r="Q134" s="679"/>
      <c r="R134" s="679"/>
      <c r="S134" s="679"/>
      <c r="T134" s="679"/>
      <c r="U134" s="679"/>
      <c r="V134" s="679"/>
      <c r="W134" s="679"/>
      <c r="X134" s="679"/>
      <c r="Y134" s="679"/>
      <c r="Z134" s="679"/>
      <c r="AA134" s="663"/>
      <c r="AB134" s="663"/>
      <c r="AC134" s="663"/>
    </row>
    <row r="135" spans="1:68" ht="27" customHeight="1" x14ac:dyDescent="0.25">
      <c r="A135" s="54" t="s">
        <v>253</v>
      </c>
      <c r="B135" s="54" t="s">
        <v>254</v>
      </c>
      <c r="C135" s="31">
        <v>4301011564</v>
      </c>
      <c r="D135" s="671">
        <v>4680115882577</v>
      </c>
      <c r="E135" s="672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66</v>
      </c>
      <c r="L135" s="32"/>
      <c r="M135" s="33" t="s">
        <v>92</v>
      </c>
      <c r="N135" s="33"/>
      <c r="O135" s="32">
        <v>90</v>
      </c>
      <c r="P135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4"/>
      <c r="R135" s="674"/>
      <c r="S135" s="674"/>
      <c r="T135" s="675"/>
      <c r="U135" s="34"/>
      <c r="V135" s="34"/>
      <c r="W135" s="35" t="s">
        <v>68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255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253</v>
      </c>
      <c r="B136" s="54" t="s">
        <v>256</v>
      </c>
      <c r="C136" s="31">
        <v>4301011562</v>
      </c>
      <c r="D136" s="671">
        <v>4680115882577</v>
      </c>
      <c r="E136" s="672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66</v>
      </c>
      <c r="L136" s="32"/>
      <c r="M136" s="33" t="s">
        <v>92</v>
      </c>
      <c r="N136" s="33"/>
      <c r="O136" s="32">
        <v>90</v>
      </c>
      <c r="P136" s="10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4"/>
      <c r="R136" s="674"/>
      <c r="S136" s="674"/>
      <c r="T136" s="675"/>
      <c r="U136" s="34"/>
      <c r="V136" s="34"/>
      <c r="W136" s="35" t="s">
        <v>68</v>
      </c>
      <c r="X136" s="667">
        <v>0</v>
      </c>
      <c r="Y136" s="66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x14ac:dyDescent="0.2">
      <c r="A137" s="678"/>
      <c r="B137" s="679"/>
      <c r="C137" s="679"/>
      <c r="D137" s="679"/>
      <c r="E137" s="679"/>
      <c r="F137" s="679"/>
      <c r="G137" s="679"/>
      <c r="H137" s="679"/>
      <c r="I137" s="679"/>
      <c r="J137" s="679"/>
      <c r="K137" s="679"/>
      <c r="L137" s="679"/>
      <c r="M137" s="679"/>
      <c r="N137" s="679"/>
      <c r="O137" s="680"/>
      <c r="P137" s="688" t="s">
        <v>87</v>
      </c>
      <c r="Q137" s="689"/>
      <c r="R137" s="689"/>
      <c r="S137" s="689"/>
      <c r="T137" s="689"/>
      <c r="U137" s="689"/>
      <c r="V137" s="690"/>
      <c r="W137" s="37" t="s">
        <v>88</v>
      </c>
      <c r="X137" s="669">
        <f>IFERROR(X135/H135,"0")+IFERROR(X136/H136,"0")</f>
        <v>0</v>
      </c>
      <c r="Y137" s="669">
        <f>IFERROR(Y135/H135,"0")+IFERROR(Y136/H136,"0")</f>
        <v>0</v>
      </c>
      <c r="Z137" s="669">
        <f>IFERROR(IF(Z135="",0,Z135),"0")+IFERROR(IF(Z136="",0,Z136),"0")</f>
        <v>0</v>
      </c>
      <c r="AA137" s="670"/>
      <c r="AB137" s="670"/>
      <c r="AC137" s="670"/>
    </row>
    <row r="138" spans="1:68" x14ac:dyDescent="0.2">
      <c r="A138" s="679"/>
      <c r="B138" s="679"/>
      <c r="C138" s="679"/>
      <c r="D138" s="679"/>
      <c r="E138" s="679"/>
      <c r="F138" s="679"/>
      <c r="G138" s="679"/>
      <c r="H138" s="679"/>
      <c r="I138" s="679"/>
      <c r="J138" s="679"/>
      <c r="K138" s="679"/>
      <c r="L138" s="679"/>
      <c r="M138" s="679"/>
      <c r="N138" s="679"/>
      <c r="O138" s="680"/>
      <c r="P138" s="688" t="s">
        <v>87</v>
      </c>
      <c r="Q138" s="689"/>
      <c r="R138" s="689"/>
      <c r="S138" s="689"/>
      <c r="T138" s="689"/>
      <c r="U138" s="689"/>
      <c r="V138" s="690"/>
      <c r="W138" s="37" t="s">
        <v>68</v>
      </c>
      <c r="X138" s="669">
        <f>IFERROR(SUM(X135:X136),"0")</f>
        <v>0</v>
      </c>
      <c r="Y138" s="669">
        <f>IFERROR(SUM(Y135:Y136),"0")</f>
        <v>0</v>
      </c>
      <c r="Z138" s="37"/>
      <c r="AA138" s="670"/>
      <c r="AB138" s="670"/>
      <c r="AC138" s="670"/>
    </row>
    <row r="139" spans="1:68" ht="14.25" customHeight="1" x14ac:dyDescent="0.25">
      <c r="A139" s="684" t="s">
        <v>144</v>
      </c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79"/>
      <c r="P139" s="679"/>
      <c r="Q139" s="679"/>
      <c r="R139" s="679"/>
      <c r="S139" s="679"/>
      <c r="T139" s="679"/>
      <c r="U139" s="679"/>
      <c r="V139" s="679"/>
      <c r="W139" s="679"/>
      <c r="X139" s="679"/>
      <c r="Y139" s="679"/>
      <c r="Z139" s="679"/>
      <c r="AA139" s="663"/>
      <c r="AB139" s="663"/>
      <c r="AC139" s="663"/>
    </row>
    <row r="140" spans="1:68" ht="27" customHeight="1" x14ac:dyDescent="0.25">
      <c r="A140" s="54" t="s">
        <v>257</v>
      </c>
      <c r="B140" s="54" t="s">
        <v>258</v>
      </c>
      <c r="C140" s="31">
        <v>4301031235</v>
      </c>
      <c r="D140" s="671">
        <v>4680115883444</v>
      </c>
      <c r="E140" s="672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66</v>
      </c>
      <c r="L140" s="32"/>
      <c r="M140" s="33" t="s">
        <v>92</v>
      </c>
      <c r="N140" s="33"/>
      <c r="O140" s="32">
        <v>90</v>
      </c>
      <c r="P140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4"/>
      <c r="R140" s="674"/>
      <c r="S140" s="674"/>
      <c r="T140" s="675"/>
      <c r="U140" s="34"/>
      <c r="V140" s="34"/>
      <c r="W140" s="35" t="s">
        <v>68</v>
      </c>
      <c r="X140" s="667">
        <v>0</v>
      </c>
      <c r="Y140" s="668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7" t="s">
        <v>259</v>
      </c>
      <c r="AG140" s="64"/>
      <c r="AJ140" s="68"/>
      <c r="AK140" s="68">
        <v>0</v>
      </c>
      <c r="BB140" s="19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257</v>
      </c>
      <c r="B141" s="54" t="s">
        <v>260</v>
      </c>
      <c r="C141" s="31">
        <v>4301031234</v>
      </c>
      <c r="D141" s="671">
        <v>4680115883444</v>
      </c>
      <c r="E141" s="672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66</v>
      </c>
      <c r="L141" s="32"/>
      <c r="M141" s="33" t="s">
        <v>92</v>
      </c>
      <c r="N141" s="33"/>
      <c r="O141" s="32">
        <v>90</v>
      </c>
      <c r="P141" s="89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4"/>
      <c r="R141" s="674"/>
      <c r="S141" s="674"/>
      <c r="T141" s="675"/>
      <c r="U141" s="34"/>
      <c r="V141" s="34"/>
      <c r="W141" s="35" t="s">
        <v>68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78"/>
      <c r="B142" s="679"/>
      <c r="C142" s="679"/>
      <c r="D142" s="679"/>
      <c r="E142" s="679"/>
      <c r="F142" s="679"/>
      <c r="G142" s="679"/>
      <c r="H142" s="679"/>
      <c r="I142" s="679"/>
      <c r="J142" s="679"/>
      <c r="K142" s="679"/>
      <c r="L142" s="679"/>
      <c r="M142" s="679"/>
      <c r="N142" s="679"/>
      <c r="O142" s="680"/>
      <c r="P142" s="688" t="s">
        <v>87</v>
      </c>
      <c r="Q142" s="689"/>
      <c r="R142" s="689"/>
      <c r="S142" s="689"/>
      <c r="T142" s="689"/>
      <c r="U142" s="689"/>
      <c r="V142" s="690"/>
      <c r="W142" s="37" t="s">
        <v>88</v>
      </c>
      <c r="X142" s="669">
        <f>IFERROR(X140/H140,"0")+IFERROR(X141/H141,"0")</f>
        <v>0</v>
      </c>
      <c r="Y142" s="669">
        <f>IFERROR(Y140/H140,"0")+IFERROR(Y141/H141,"0")</f>
        <v>0</v>
      </c>
      <c r="Z142" s="669">
        <f>IFERROR(IF(Z140="",0,Z140),"0")+IFERROR(IF(Z141="",0,Z141),"0")</f>
        <v>0</v>
      </c>
      <c r="AA142" s="670"/>
      <c r="AB142" s="670"/>
      <c r="AC142" s="670"/>
    </row>
    <row r="143" spans="1:68" x14ac:dyDescent="0.2">
      <c r="A143" s="679"/>
      <c r="B143" s="679"/>
      <c r="C143" s="679"/>
      <c r="D143" s="679"/>
      <c r="E143" s="679"/>
      <c r="F143" s="679"/>
      <c r="G143" s="679"/>
      <c r="H143" s="679"/>
      <c r="I143" s="679"/>
      <c r="J143" s="679"/>
      <c r="K143" s="679"/>
      <c r="L143" s="679"/>
      <c r="M143" s="679"/>
      <c r="N143" s="679"/>
      <c r="O143" s="680"/>
      <c r="P143" s="688" t="s">
        <v>87</v>
      </c>
      <c r="Q143" s="689"/>
      <c r="R143" s="689"/>
      <c r="S143" s="689"/>
      <c r="T143" s="689"/>
      <c r="U143" s="689"/>
      <c r="V143" s="690"/>
      <c r="W143" s="37" t="s">
        <v>68</v>
      </c>
      <c r="X143" s="669">
        <f>IFERROR(SUM(X140:X141),"0")</f>
        <v>0</v>
      </c>
      <c r="Y143" s="669">
        <f>IFERROR(SUM(Y140:Y141),"0")</f>
        <v>0</v>
      </c>
      <c r="Z143" s="37"/>
      <c r="AA143" s="670"/>
      <c r="AB143" s="670"/>
      <c r="AC143" s="670"/>
    </row>
    <row r="144" spans="1:68" ht="14.25" customHeight="1" x14ac:dyDescent="0.25">
      <c r="A144" s="684" t="s">
        <v>63</v>
      </c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79"/>
      <c r="P144" s="679"/>
      <c r="Q144" s="679"/>
      <c r="R144" s="679"/>
      <c r="S144" s="679"/>
      <c r="T144" s="679"/>
      <c r="U144" s="679"/>
      <c r="V144" s="679"/>
      <c r="W144" s="679"/>
      <c r="X144" s="679"/>
      <c r="Y144" s="679"/>
      <c r="Z144" s="679"/>
      <c r="AA144" s="663"/>
      <c r="AB144" s="663"/>
      <c r="AC144" s="663"/>
    </row>
    <row r="145" spans="1:68" ht="16.5" customHeight="1" x14ac:dyDescent="0.25">
      <c r="A145" s="54" t="s">
        <v>261</v>
      </c>
      <c r="B145" s="54" t="s">
        <v>262</v>
      </c>
      <c r="C145" s="31">
        <v>4301051477</v>
      </c>
      <c r="D145" s="671">
        <v>4680115882584</v>
      </c>
      <c r="E145" s="672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66</v>
      </c>
      <c r="L145" s="32"/>
      <c r="M145" s="33" t="s">
        <v>92</v>
      </c>
      <c r="N145" s="33"/>
      <c r="O145" s="32">
        <v>60</v>
      </c>
      <c r="P145" s="72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4"/>
      <c r="R145" s="674"/>
      <c r="S145" s="674"/>
      <c r="T145" s="675"/>
      <c r="U145" s="34"/>
      <c r="V145" s="34"/>
      <c r="W145" s="35" t="s">
        <v>68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255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261</v>
      </c>
      <c r="B146" s="54" t="s">
        <v>263</v>
      </c>
      <c r="C146" s="31">
        <v>4301051476</v>
      </c>
      <c r="D146" s="671">
        <v>4680115882584</v>
      </c>
      <c r="E146" s="672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66</v>
      </c>
      <c r="L146" s="32"/>
      <c r="M146" s="33" t="s">
        <v>92</v>
      </c>
      <c r="N146" s="33"/>
      <c r="O146" s="32">
        <v>60</v>
      </c>
      <c r="P146" s="100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4"/>
      <c r="R146" s="674"/>
      <c r="S146" s="674"/>
      <c r="T146" s="675"/>
      <c r="U146" s="34"/>
      <c r="V146" s="34"/>
      <c r="W146" s="35" t="s">
        <v>68</v>
      </c>
      <c r="X146" s="667">
        <v>0</v>
      </c>
      <c r="Y146" s="668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x14ac:dyDescent="0.2">
      <c r="A147" s="678"/>
      <c r="B147" s="679"/>
      <c r="C147" s="679"/>
      <c r="D147" s="679"/>
      <c r="E147" s="679"/>
      <c r="F147" s="679"/>
      <c r="G147" s="679"/>
      <c r="H147" s="679"/>
      <c r="I147" s="679"/>
      <c r="J147" s="679"/>
      <c r="K147" s="679"/>
      <c r="L147" s="679"/>
      <c r="M147" s="679"/>
      <c r="N147" s="679"/>
      <c r="O147" s="680"/>
      <c r="P147" s="688" t="s">
        <v>87</v>
      </c>
      <c r="Q147" s="689"/>
      <c r="R147" s="689"/>
      <c r="S147" s="689"/>
      <c r="T147" s="689"/>
      <c r="U147" s="689"/>
      <c r="V147" s="690"/>
      <c r="W147" s="37" t="s">
        <v>88</v>
      </c>
      <c r="X147" s="669">
        <f>IFERROR(X145/H145,"0")+IFERROR(X146/H146,"0")</f>
        <v>0</v>
      </c>
      <c r="Y147" s="669">
        <f>IFERROR(Y145/H145,"0")+IFERROR(Y146/H146,"0")</f>
        <v>0</v>
      </c>
      <c r="Z147" s="669">
        <f>IFERROR(IF(Z145="",0,Z145),"0")+IFERROR(IF(Z146="",0,Z146),"0")</f>
        <v>0</v>
      </c>
      <c r="AA147" s="670"/>
      <c r="AB147" s="670"/>
      <c r="AC147" s="670"/>
    </row>
    <row r="148" spans="1:68" x14ac:dyDescent="0.2">
      <c r="A148" s="679"/>
      <c r="B148" s="679"/>
      <c r="C148" s="679"/>
      <c r="D148" s="679"/>
      <c r="E148" s="679"/>
      <c r="F148" s="679"/>
      <c r="G148" s="679"/>
      <c r="H148" s="679"/>
      <c r="I148" s="679"/>
      <c r="J148" s="679"/>
      <c r="K148" s="679"/>
      <c r="L148" s="679"/>
      <c r="M148" s="679"/>
      <c r="N148" s="679"/>
      <c r="O148" s="680"/>
      <c r="P148" s="688" t="s">
        <v>87</v>
      </c>
      <c r="Q148" s="689"/>
      <c r="R148" s="689"/>
      <c r="S148" s="689"/>
      <c r="T148" s="689"/>
      <c r="U148" s="689"/>
      <c r="V148" s="690"/>
      <c r="W148" s="37" t="s">
        <v>68</v>
      </c>
      <c r="X148" s="669">
        <f>IFERROR(SUM(X145:X146),"0")</f>
        <v>0</v>
      </c>
      <c r="Y148" s="669">
        <f>IFERROR(SUM(Y145:Y146),"0")</f>
        <v>0</v>
      </c>
      <c r="Z148" s="37"/>
      <c r="AA148" s="670"/>
      <c r="AB148" s="670"/>
      <c r="AC148" s="670"/>
    </row>
    <row r="149" spans="1:68" ht="16.5" customHeight="1" x14ac:dyDescent="0.25">
      <c r="A149" s="685" t="s">
        <v>95</v>
      </c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79"/>
      <c r="P149" s="679"/>
      <c r="Q149" s="679"/>
      <c r="R149" s="679"/>
      <c r="S149" s="679"/>
      <c r="T149" s="679"/>
      <c r="U149" s="679"/>
      <c r="V149" s="679"/>
      <c r="W149" s="679"/>
      <c r="X149" s="679"/>
      <c r="Y149" s="679"/>
      <c r="Z149" s="679"/>
      <c r="AA149" s="662"/>
      <c r="AB149" s="662"/>
      <c r="AC149" s="662"/>
    </row>
    <row r="150" spans="1:68" ht="14.25" customHeight="1" x14ac:dyDescent="0.25">
      <c r="A150" s="684" t="s">
        <v>97</v>
      </c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79"/>
      <c r="P150" s="679"/>
      <c r="Q150" s="679"/>
      <c r="R150" s="679"/>
      <c r="S150" s="679"/>
      <c r="T150" s="679"/>
      <c r="U150" s="679"/>
      <c r="V150" s="679"/>
      <c r="W150" s="679"/>
      <c r="X150" s="679"/>
      <c r="Y150" s="679"/>
      <c r="Z150" s="679"/>
      <c r="AA150" s="663"/>
      <c r="AB150" s="663"/>
      <c r="AC150" s="663"/>
    </row>
    <row r="151" spans="1:68" ht="27" customHeight="1" x14ac:dyDescent="0.25">
      <c r="A151" s="54" t="s">
        <v>264</v>
      </c>
      <c r="B151" s="54" t="s">
        <v>265</v>
      </c>
      <c r="C151" s="31">
        <v>4301011705</v>
      </c>
      <c r="D151" s="671">
        <v>4607091384604</v>
      </c>
      <c r="E151" s="672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105</v>
      </c>
      <c r="L151" s="32"/>
      <c r="M151" s="33" t="s">
        <v>101</v>
      </c>
      <c r="N151" s="33"/>
      <c r="O151" s="32">
        <v>50</v>
      </c>
      <c r="P151" s="104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4"/>
      <c r="R151" s="674"/>
      <c r="S151" s="674"/>
      <c r="T151" s="675"/>
      <c r="U151" s="34"/>
      <c r="V151" s="34"/>
      <c r="W151" s="35" t="s">
        <v>68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266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78"/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80"/>
      <c r="P152" s="688" t="s">
        <v>87</v>
      </c>
      <c r="Q152" s="689"/>
      <c r="R152" s="689"/>
      <c r="S152" s="689"/>
      <c r="T152" s="689"/>
      <c r="U152" s="689"/>
      <c r="V152" s="690"/>
      <c r="W152" s="37" t="s">
        <v>88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x14ac:dyDescent="0.2">
      <c r="A153" s="679"/>
      <c r="B153" s="679"/>
      <c r="C153" s="679"/>
      <c r="D153" s="679"/>
      <c r="E153" s="679"/>
      <c r="F153" s="679"/>
      <c r="G153" s="679"/>
      <c r="H153" s="679"/>
      <c r="I153" s="679"/>
      <c r="J153" s="679"/>
      <c r="K153" s="679"/>
      <c r="L153" s="679"/>
      <c r="M153" s="679"/>
      <c r="N153" s="679"/>
      <c r="O153" s="680"/>
      <c r="P153" s="688" t="s">
        <v>87</v>
      </c>
      <c r="Q153" s="689"/>
      <c r="R153" s="689"/>
      <c r="S153" s="689"/>
      <c r="T153" s="689"/>
      <c r="U153" s="689"/>
      <c r="V153" s="690"/>
      <c r="W153" s="37" t="s">
        <v>68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customHeight="1" x14ac:dyDescent="0.25">
      <c r="A154" s="684" t="s">
        <v>144</v>
      </c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79"/>
      <c r="P154" s="679"/>
      <c r="Q154" s="679"/>
      <c r="R154" s="679"/>
      <c r="S154" s="679"/>
      <c r="T154" s="679"/>
      <c r="U154" s="679"/>
      <c r="V154" s="679"/>
      <c r="W154" s="679"/>
      <c r="X154" s="679"/>
      <c r="Y154" s="679"/>
      <c r="Z154" s="679"/>
      <c r="AA154" s="663"/>
      <c r="AB154" s="663"/>
      <c r="AC154" s="663"/>
    </row>
    <row r="155" spans="1:68" ht="16.5" customHeight="1" x14ac:dyDescent="0.25">
      <c r="A155" s="54" t="s">
        <v>267</v>
      </c>
      <c r="B155" s="54" t="s">
        <v>268</v>
      </c>
      <c r="C155" s="31">
        <v>4301030895</v>
      </c>
      <c r="D155" s="671">
        <v>4607091387667</v>
      </c>
      <c r="E155" s="672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100</v>
      </c>
      <c r="L155" s="32"/>
      <c r="M155" s="33" t="s">
        <v>101</v>
      </c>
      <c r="N155" s="33"/>
      <c r="O155" s="32">
        <v>40</v>
      </c>
      <c r="P155" s="69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4"/>
      <c r="R155" s="674"/>
      <c r="S155" s="674"/>
      <c r="T155" s="675"/>
      <c r="U155" s="34"/>
      <c r="V155" s="34"/>
      <c r="W155" s="35" t="s">
        <v>68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269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270</v>
      </c>
      <c r="B156" s="54" t="s">
        <v>271</v>
      </c>
      <c r="C156" s="31">
        <v>4301030961</v>
      </c>
      <c r="D156" s="671">
        <v>4607091387636</v>
      </c>
      <c r="E156" s="672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66</v>
      </c>
      <c r="L156" s="32"/>
      <c r="M156" s="33" t="s">
        <v>67</v>
      </c>
      <c r="N156" s="33"/>
      <c r="O156" s="32">
        <v>40</v>
      </c>
      <c r="P156" s="9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4"/>
      <c r="R156" s="674"/>
      <c r="S156" s="674"/>
      <c r="T156" s="675"/>
      <c r="U156" s="34"/>
      <c r="V156" s="34"/>
      <c r="W156" s="35" t="s">
        <v>68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272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customHeight="1" x14ac:dyDescent="0.25">
      <c r="A157" s="54" t="s">
        <v>273</v>
      </c>
      <c r="B157" s="54" t="s">
        <v>274</v>
      </c>
      <c r="C157" s="31">
        <v>4301030963</v>
      </c>
      <c r="D157" s="671">
        <v>4607091382426</v>
      </c>
      <c r="E157" s="672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100</v>
      </c>
      <c r="L157" s="32"/>
      <c r="M157" s="33" t="s">
        <v>67</v>
      </c>
      <c r="N157" s="33"/>
      <c r="O157" s="32">
        <v>40</v>
      </c>
      <c r="P157" s="9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4"/>
      <c r="R157" s="674"/>
      <c r="S157" s="674"/>
      <c r="T157" s="675"/>
      <c r="U157" s="34"/>
      <c r="V157" s="34"/>
      <c r="W157" s="35" t="s">
        <v>68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275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78"/>
      <c r="B158" s="679"/>
      <c r="C158" s="679"/>
      <c r="D158" s="679"/>
      <c r="E158" s="679"/>
      <c r="F158" s="679"/>
      <c r="G158" s="679"/>
      <c r="H158" s="679"/>
      <c r="I158" s="679"/>
      <c r="J158" s="679"/>
      <c r="K158" s="679"/>
      <c r="L158" s="679"/>
      <c r="M158" s="679"/>
      <c r="N158" s="679"/>
      <c r="O158" s="680"/>
      <c r="P158" s="688" t="s">
        <v>87</v>
      </c>
      <c r="Q158" s="689"/>
      <c r="R158" s="689"/>
      <c r="S158" s="689"/>
      <c r="T158" s="689"/>
      <c r="U158" s="689"/>
      <c r="V158" s="690"/>
      <c r="W158" s="37" t="s">
        <v>88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x14ac:dyDescent="0.2">
      <c r="A159" s="679"/>
      <c r="B159" s="679"/>
      <c r="C159" s="679"/>
      <c r="D159" s="679"/>
      <c r="E159" s="679"/>
      <c r="F159" s="679"/>
      <c r="G159" s="679"/>
      <c r="H159" s="679"/>
      <c r="I159" s="679"/>
      <c r="J159" s="679"/>
      <c r="K159" s="679"/>
      <c r="L159" s="679"/>
      <c r="M159" s="679"/>
      <c r="N159" s="679"/>
      <c r="O159" s="680"/>
      <c r="P159" s="688" t="s">
        <v>87</v>
      </c>
      <c r="Q159" s="689"/>
      <c r="R159" s="689"/>
      <c r="S159" s="689"/>
      <c r="T159" s="689"/>
      <c r="U159" s="689"/>
      <c r="V159" s="690"/>
      <c r="W159" s="37" t="s">
        <v>68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customHeight="1" x14ac:dyDescent="0.25">
      <c r="A160" s="684" t="s">
        <v>63</v>
      </c>
      <c r="B160" s="679"/>
      <c r="C160" s="679"/>
      <c r="D160" s="679"/>
      <c r="E160" s="679"/>
      <c r="F160" s="679"/>
      <c r="G160" s="679"/>
      <c r="H160" s="679"/>
      <c r="I160" s="679"/>
      <c r="J160" s="679"/>
      <c r="K160" s="679"/>
      <c r="L160" s="679"/>
      <c r="M160" s="679"/>
      <c r="N160" s="679"/>
      <c r="O160" s="679"/>
      <c r="P160" s="679"/>
      <c r="Q160" s="679"/>
      <c r="R160" s="679"/>
      <c r="S160" s="679"/>
      <c r="T160" s="679"/>
      <c r="U160" s="679"/>
      <c r="V160" s="679"/>
      <c r="W160" s="679"/>
      <c r="X160" s="679"/>
      <c r="Y160" s="679"/>
      <c r="Z160" s="679"/>
      <c r="AA160" s="663"/>
      <c r="AB160" s="663"/>
      <c r="AC160" s="663"/>
    </row>
    <row r="161" spans="1:68" ht="16.5" customHeight="1" x14ac:dyDescent="0.25">
      <c r="A161" s="54" t="s">
        <v>276</v>
      </c>
      <c r="B161" s="54" t="s">
        <v>277</v>
      </c>
      <c r="C161" s="31">
        <v>4301051653</v>
      </c>
      <c r="D161" s="671">
        <v>4607091386264</v>
      </c>
      <c r="E161" s="672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66</v>
      </c>
      <c r="L161" s="32"/>
      <c r="M161" s="33" t="s">
        <v>106</v>
      </c>
      <c r="N161" s="33"/>
      <c r="O161" s="32">
        <v>31</v>
      </c>
      <c r="P161" s="104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4"/>
      <c r="R161" s="674"/>
      <c r="S161" s="674"/>
      <c r="T161" s="675"/>
      <c r="U161" s="34"/>
      <c r="V161" s="34"/>
      <c r="W161" s="35" t="s">
        <v>68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278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78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8" t="s">
        <v>87</v>
      </c>
      <c r="Q162" s="689"/>
      <c r="R162" s="689"/>
      <c r="S162" s="689"/>
      <c r="T162" s="689"/>
      <c r="U162" s="689"/>
      <c r="V162" s="690"/>
      <c r="W162" s="37" t="s">
        <v>88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x14ac:dyDescent="0.2">
      <c r="A163" s="679"/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80"/>
      <c r="P163" s="688" t="s">
        <v>87</v>
      </c>
      <c r="Q163" s="689"/>
      <c r="R163" s="689"/>
      <c r="S163" s="689"/>
      <c r="T163" s="689"/>
      <c r="U163" s="689"/>
      <c r="V163" s="690"/>
      <c r="W163" s="37" t="s">
        <v>68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customHeight="1" x14ac:dyDescent="0.2">
      <c r="A164" s="682" t="s">
        <v>279</v>
      </c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683"/>
      <c r="O164" s="683"/>
      <c r="P164" s="683"/>
      <c r="Q164" s="683"/>
      <c r="R164" s="683"/>
      <c r="S164" s="683"/>
      <c r="T164" s="683"/>
      <c r="U164" s="683"/>
      <c r="V164" s="683"/>
      <c r="W164" s="683"/>
      <c r="X164" s="683"/>
      <c r="Y164" s="683"/>
      <c r="Z164" s="683"/>
      <c r="AA164" s="48"/>
      <c r="AB164" s="48"/>
      <c r="AC164" s="48"/>
    </row>
    <row r="165" spans="1:68" ht="16.5" customHeight="1" x14ac:dyDescent="0.25">
      <c r="A165" s="685" t="s">
        <v>280</v>
      </c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79"/>
      <c r="P165" s="679"/>
      <c r="Q165" s="679"/>
      <c r="R165" s="679"/>
      <c r="S165" s="679"/>
      <c r="T165" s="679"/>
      <c r="U165" s="679"/>
      <c r="V165" s="679"/>
      <c r="W165" s="679"/>
      <c r="X165" s="679"/>
      <c r="Y165" s="679"/>
      <c r="Z165" s="679"/>
      <c r="AA165" s="662"/>
      <c r="AB165" s="662"/>
      <c r="AC165" s="662"/>
    </row>
    <row r="166" spans="1:68" ht="14.25" customHeight="1" x14ac:dyDescent="0.25">
      <c r="A166" s="684" t="s">
        <v>133</v>
      </c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79"/>
      <c r="P166" s="679"/>
      <c r="Q166" s="679"/>
      <c r="R166" s="679"/>
      <c r="S166" s="679"/>
      <c r="T166" s="679"/>
      <c r="U166" s="679"/>
      <c r="V166" s="679"/>
      <c r="W166" s="679"/>
      <c r="X166" s="679"/>
      <c r="Y166" s="679"/>
      <c r="Z166" s="679"/>
      <c r="AA166" s="663"/>
      <c r="AB166" s="663"/>
      <c r="AC166" s="663"/>
    </row>
    <row r="167" spans="1:68" ht="27" customHeight="1" x14ac:dyDescent="0.25">
      <c r="A167" s="54" t="s">
        <v>281</v>
      </c>
      <c r="B167" s="54" t="s">
        <v>282</v>
      </c>
      <c r="C167" s="31">
        <v>4301020323</v>
      </c>
      <c r="D167" s="671">
        <v>4680115886223</v>
      </c>
      <c r="E167" s="672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147</v>
      </c>
      <c r="L167" s="32"/>
      <c r="M167" s="33" t="s">
        <v>67</v>
      </c>
      <c r="N167" s="33"/>
      <c r="O167" s="32">
        <v>40</v>
      </c>
      <c r="P167" s="8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4"/>
      <c r="R167" s="674"/>
      <c r="S167" s="674"/>
      <c r="T167" s="675"/>
      <c r="U167" s="34"/>
      <c r="V167" s="34"/>
      <c r="W167" s="35" t="s">
        <v>68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283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8"/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80"/>
      <c r="P168" s="688" t="s">
        <v>87</v>
      </c>
      <c r="Q168" s="689"/>
      <c r="R168" s="689"/>
      <c r="S168" s="689"/>
      <c r="T168" s="689"/>
      <c r="U168" s="689"/>
      <c r="V168" s="690"/>
      <c r="W168" s="37" t="s">
        <v>88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x14ac:dyDescent="0.2">
      <c r="A169" s="679"/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80"/>
      <c r="P169" s="688" t="s">
        <v>87</v>
      </c>
      <c r="Q169" s="689"/>
      <c r="R169" s="689"/>
      <c r="S169" s="689"/>
      <c r="T169" s="689"/>
      <c r="U169" s="689"/>
      <c r="V169" s="690"/>
      <c r="W169" s="37" t="s">
        <v>68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customHeight="1" x14ac:dyDescent="0.25">
      <c r="A170" s="684" t="s">
        <v>144</v>
      </c>
      <c r="B170" s="679"/>
      <c r="C170" s="679"/>
      <c r="D170" s="679"/>
      <c r="E170" s="679"/>
      <c r="F170" s="679"/>
      <c r="G170" s="679"/>
      <c r="H170" s="679"/>
      <c r="I170" s="679"/>
      <c r="J170" s="679"/>
      <c r="K170" s="679"/>
      <c r="L170" s="679"/>
      <c r="M170" s="679"/>
      <c r="N170" s="679"/>
      <c r="O170" s="679"/>
      <c r="P170" s="679"/>
      <c r="Q170" s="679"/>
      <c r="R170" s="679"/>
      <c r="S170" s="679"/>
      <c r="T170" s="679"/>
      <c r="U170" s="679"/>
      <c r="V170" s="679"/>
      <c r="W170" s="679"/>
      <c r="X170" s="679"/>
      <c r="Y170" s="679"/>
      <c r="Z170" s="679"/>
      <c r="AA170" s="663"/>
      <c r="AB170" s="663"/>
      <c r="AC170" s="663"/>
    </row>
    <row r="171" spans="1:68" ht="27" customHeight="1" x14ac:dyDescent="0.25">
      <c r="A171" s="54" t="s">
        <v>284</v>
      </c>
      <c r="B171" s="54" t="s">
        <v>285</v>
      </c>
      <c r="C171" s="31">
        <v>4301031191</v>
      </c>
      <c r="D171" s="671">
        <v>4680115880993</v>
      </c>
      <c r="E171" s="672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105</v>
      </c>
      <c r="L171" s="32"/>
      <c r="M171" s="33" t="s">
        <v>67</v>
      </c>
      <c r="N171" s="33"/>
      <c r="O171" s="32">
        <v>40</v>
      </c>
      <c r="P171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4"/>
      <c r="R171" s="674"/>
      <c r="S171" s="674"/>
      <c r="T171" s="675"/>
      <c r="U171" s="34"/>
      <c r="V171" s="34"/>
      <c r="W171" s="35" t="s">
        <v>68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286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287</v>
      </c>
      <c r="B172" s="54" t="s">
        <v>288</v>
      </c>
      <c r="C172" s="31">
        <v>4301031204</v>
      </c>
      <c r="D172" s="671">
        <v>4680115881761</v>
      </c>
      <c r="E172" s="672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105</v>
      </c>
      <c r="L172" s="32"/>
      <c r="M172" s="33" t="s">
        <v>67</v>
      </c>
      <c r="N172" s="33"/>
      <c r="O172" s="32">
        <v>40</v>
      </c>
      <c r="P172" s="7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4"/>
      <c r="R172" s="674"/>
      <c r="S172" s="674"/>
      <c r="T172" s="675"/>
      <c r="U172" s="34"/>
      <c r="V172" s="34"/>
      <c r="W172" s="35" t="s">
        <v>68</v>
      </c>
      <c r="X172" s="667">
        <v>0</v>
      </c>
      <c r="Y172" s="668">
        <f t="shared" si="26"/>
        <v>0</v>
      </c>
      <c r="Z172" s="36" t="str">
        <f>IFERROR(IF(Y172=0,"",ROUNDUP(Y172/H172,0)*0.00902),"")</f>
        <v/>
      </c>
      <c r="AA172" s="56"/>
      <c r="AB172" s="57"/>
      <c r="AC172" s="219" t="s">
        <v>289</v>
      </c>
      <c r="AG172" s="64"/>
      <c r="AJ172" s="68"/>
      <c r="AK172" s="68">
        <v>0</v>
      </c>
      <c r="BB172" s="220" t="s">
        <v>1</v>
      </c>
      <c r="BM172" s="64">
        <f t="shared" si="27"/>
        <v>0</v>
      </c>
      <c r="BN172" s="64">
        <f t="shared" si="28"/>
        <v>0</v>
      </c>
      <c r="BO172" s="64">
        <f t="shared" si="29"/>
        <v>0</v>
      </c>
      <c r="BP172" s="64">
        <f t="shared" si="30"/>
        <v>0</v>
      </c>
    </row>
    <row r="173" spans="1:68" ht="27" customHeight="1" x14ac:dyDescent="0.25">
      <c r="A173" s="54" t="s">
        <v>290</v>
      </c>
      <c r="B173" s="54" t="s">
        <v>291</v>
      </c>
      <c r="C173" s="31">
        <v>4301031201</v>
      </c>
      <c r="D173" s="671">
        <v>4680115881563</v>
      </c>
      <c r="E173" s="672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105</v>
      </c>
      <c r="L173" s="32"/>
      <c r="M173" s="33" t="s">
        <v>67</v>
      </c>
      <c r="N173" s="33"/>
      <c r="O173" s="32">
        <v>40</v>
      </c>
      <c r="P173" s="7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4"/>
      <c r="R173" s="674"/>
      <c r="S173" s="674"/>
      <c r="T173" s="675"/>
      <c r="U173" s="34"/>
      <c r="V173" s="34"/>
      <c r="W173" s="35" t="s">
        <v>68</v>
      </c>
      <c r="X173" s="667">
        <v>0</v>
      </c>
      <c r="Y173" s="668">
        <f t="shared" si="26"/>
        <v>0</v>
      </c>
      <c r="Z173" s="36" t="str">
        <f>IFERROR(IF(Y173=0,"",ROUNDUP(Y173/H173,0)*0.00902),"")</f>
        <v/>
      </c>
      <c r="AA173" s="56"/>
      <c r="AB173" s="57"/>
      <c r="AC173" s="221" t="s">
        <v>292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293</v>
      </c>
      <c r="B174" s="54" t="s">
        <v>294</v>
      </c>
      <c r="C174" s="31">
        <v>4301031199</v>
      </c>
      <c r="D174" s="671">
        <v>4680115880986</v>
      </c>
      <c r="E174" s="672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147</v>
      </c>
      <c r="L174" s="32"/>
      <c r="M174" s="33" t="s">
        <v>67</v>
      </c>
      <c r="N174" s="33"/>
      <c r="O174" s="32">
        <v>40</v>
      </c>
      <c r="P174" s="10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4"/>
      <c r="R174" s="674"/>
      <c r="S174" s="674"/>
      <c r="T174" s="675"/>
      <c r="U174" s="34"/>
      <c r="V174" s="34"/>
      <c r="W174" s="35" t="s">
        <v>68</v>
      </c>
      <c r="X174" s="667">
        <v>0</v>
      </c>
      <c r="Y174" s="668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286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27" customHeight="1" x14ac:dyDescent="0.25">
      <c r="A175" s="54" t="s">
        <v>295</v>
      </c>
      <c r="B175" s="54" t="s">
        <v>296</v>
      </c>
      <c r="C175" s="31">
        <v>4301031205</v>
      </c>
      <c r="D175" s="671">
        <v>4680115881785</v>
      </c>
      <c r="E175" s="672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147</v>
      </c>
      <c r="L175" s="32"/>
      <c r="M175" s="33" t="s">
        <v>67</v>
      </c>
      <c r="N175" s="33"/>
      <c r="O175" s="32">
        <v>40</v>
      </c>
      <c r="P175" s="9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4"/>
      <c r="R175" s="674"/>
      <c r="S175" s="674"/>
      <c r="T175" s="675"/>
      <c r="U175" s="34"/>
      <c r="V175" s="34"/>
      <c r="W175" s="35" t="s">
        <v>68</v>
      </c>
      <c r="X175" s="667">
        <v>0</v>
      </c>
      <c r="Y175" s="668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289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4301031399</v>
      </c>
      <c r="D176" s="671">
        <v>4680115886537</v>
      </c>
      <c r="E176" s="672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147</v>
      </c>
      <c r="L176" s="32"/>
      <c r="M176" s="33" t="s">
        <v>67</v>
      </c>
      <c r="N176" s="33"/>
      <c r="O176" s="32">
        <v>40</v>
      </c>
      <c r="P176" s="970" t="s">
        <v>299</v>
      </c>
      <c r="Q176" s="674"/>
      <c r="R176" s="674"/>
      <c r="S176" s="674"/>
      <c r="T176" s="675"/>
      <c r="U176" s="34"/>
      <c r="V176" s="34"/>
      <c r="W176" s="35" t="s">
        <v>68</v>
      </c>
      <c r="X176" s="667">
        <v>21</v>
      </c>
      <c r="Y176" s="668">
        <f t="shared" si="26"/>
        <v>21.6</v>
      </c>
      <c r="Z176" s="36">
        <f>IFERROR(IF(Y176=0,"",ROUNDUP(Y176/H176,0)*0.00502),"")</f>
        <v>6.0240000000000002E-2</v>
      </c>
      <c r="AA176" s="56"/>
      <c r="AB176" s="57"/>
      <c r="AC176" s="227" t="s">
        <v>300</v>
      </c>
      <c r="AG176" s="64"/>
      <c r="AJ176" s="68"/>
      <c r="AK176" s="68">
        <v>0</v>
      </c>
      <c r="BB176" s="228" t="s">
        <v>1</v>
      </c>
      <c r="BM176" s="64">
        <f t="shared" si="27"/>
        <v>22.516666666666666</v>
      </c>
      <c r="BN176" s="64">
        <f t="shared" si="28"/>
        <v>23.16</v>
      </c>
      <c r="BO176" s="64">
        <f t="shared" si="29"/>
        <v>4.9857549857549859E-2</v>
      </c>
      <c r="BP176" s="64">
        <f t="shared" si="30"/>
        <v>5.1282051282051287E-2</v>
      </c>
    </row>
    <row r="177" spans="1:68" ht="37.5" customHeight="1" x14ac:dyDescent="0.25">
      <c r="A177" s="54" t="s">
        <v>301</v>
      </c>
      <c r="B177" s="54" t="s">
        <v>302</v>
      </c>
      <c r="C177" s="31">
        <v>4301031202</v>
      </c>
      <c r="D177" s="671">
        <v>4680115881679</v>
      </c>
      <c r="E177" s="672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4"/>
      <c r="R177" s="674"/>
      <c r="S177" s="674"/>
      <c r="T177" s="675"/>
      <c r="U177" s="34"/>
      <c r="V177" s="34"/>
      <c r="W177" s="35" t="s">
        <v>68</v>
      </c>
      <c r="X177" s="667">
        <v>0</v>
      </c>
      <c r="Y177" s="668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292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ht="27" customHeight="1" x14ac:dyDescent="0.25">
      <c r="A178" s="54" t="s">
        <v>303</v>
      </c>
      <c r="B178" s="54" t="s">
        <v>304</v>
      </c>
      <c r="C178" s="31">
        <v>4301031158</v>
      </c>
      <c r="D178" s="671">
        <v>4680115880191</v>
      </c>
      <c r="E178" s="672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66</v>
      </c>
      <c r="L178" s="32"/>
      <c r="M178" s="33" t="s">
        <v>67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4"/>
      <c r="R178" s="674"/>
      <c r="S178" s="674"/>
      <c r="T178" s="675"/>
      <c r="U178" s="34"/>
      <c r="V178" s="34"/>
      <c r="W178" s="35" t="s">
        <v>68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292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4301031245</v>
      </c>
      <c r="D179" s="671">
        <v>4680115883963</v>
      </c>
      <c r="E179" s="672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4"/>
      <c r="R179" s="674"/>
      <c r="S179" s="674"/>
      <c r="T179" s="675"/>
      <c r="U179" s="34"/>
      <c r="V179" s="34"/>
      <c r="W179" s="35" t="s">
        <v>68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78"/>
      <c r="B180" s="679"/>
      <c r="C180" s="679"/>
      <c r="D180" s="679"/>
      <c r="E180" s="679"/>
      <c r="F180" s="679"/>
      <c r="G180" s="679"/>
      <c r="H180" s="679"/>
      <c r="I180" s="679"/>
      <c r="J180" s="679"/>
      <c r="K180" s="679"/>
      <c r="L180" s="679"/>
      <c r="M180" s="679"/>
      <c r="N180" s="679"/>
      <c r="O180" s="680"/>
      <c r="P180" s="688" t="s">
        <v>87</v>
      </c>
      <c r="Q180" s="689"/>
      <c r="R180" s="689"/>
      <c r="S180" s="689"/>
      <c r="T180" s="689"/>
      <c r="U180" s="689"/>
      <c r="V180" s="690"/>
      <c r="W180" s="37" t="s">
        <v>88</v>
      </c>
      <c r="X180" s="669">
        <f>IFERROR(X171/H171,"0")+IFERROR(X172/H172,"0")+IFERROR(X173/H173,"0")+IFERROR(X174/H174,"0")+IFERROR(X175/H175,"0")+IFERROR(X176/H176,"0")+IFERROR(X177/H177,"0")+IFERROR(X178/H178,"0")+IFERROR(X179/H179,"0")</f>
        <v>11.666666666666666</v>
      </c>
      <c r="Y180" s="669">
        <f>IFERROR(Y171/H171,"0")+IFERROR(Y172/H172,"0")+IFERROR(Y173/H173,"0")+IFERROR(Y174/H174,"0")+IFERROR(Y175/H175,"0")+IFERROR(Y176/H176,"0")+IFERROR(Y177/H177,"0")+IFERROR(Y178/H178,"0")+IFERROR(Y179/H179,"0")</f>
        <v>12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6.0240000000000002E-2</v>
      </c>
      <c r="AA180" s="670"/>
      <c r="AB180" s="670"/>
      <c r="AC180" s="670"/>
    </row>
    <row r="181" spans="1:68" x14ac:dyDescent="0.2">
      <c r="A181" s="679"/>
      <c r="B181" s="679"/>
      <c r="C181" s="679"/>
      <c r="D181" s="679"/>
      <c r="E181" s="679"/>
      <c r="F181" s="679"/>
      <c r="G181" s="679"/>
      <c r="H181" s="679"/>
      <c r="I181" s="679"/>
      <c r="J181" s="679"/>
      <c r="K181" s="679"/>
      <c r="L181" s="679"/>
      <c r="M181" s="679"/>
      <c r="N181" s="679"/>
      <c r="O181" s="680"/>
      <c r="P181" s="688" t="s">
        <v>87</v>
      </c>
      <c r="Q181" s="689"/>
      <c r="R181" s="689"/>
      <c r="S181" s="689"/>
      <c r="T181" s="689"/>
      <c r="U181" s="689"/>
      <c r="V181" s="690"/>
      <c r="W181" s="37" t="s">
        <v>68</v>
      </c>
      <c r="X181" s="669">
        <f>IFERROR(SUM(X171:X179),"0")</f>
        <v>21</v>
      </c>
      <c r="Y181" s="669">
        <f>IFERROR(SUM(Y171:Y179),"0")</f>
        <v>21.6</v>
      </c>
      <c r="Z181" s="37"/>
      <c r="AA181" s="670"/>
      <c r="AB181" s="670"/>
      <c r="AC181" s="670"/>
    </row>
    <row r="182" spans="1:68" ht="14.25" customHeight="1" x14ac:dyDescent="0.25">
      <c r="A182" s="684" t="s">
        <v>89</v>
      </c>
      <c r="B182" s="679"/>
      <c r="C182" s="679"/>
      <c r="D182" s="679"/>
      <c r="E182" s="679"/>
      <c r="F182" s="679"/>
      <c r="G182" s="679"/>
      <c r="H182" s="679"/>
      <c r="I182" s="679"/>
      <c r="J182" s="679"/>
      <c r="K182" s="679"/>
      <c r="L182" s="679"/>
      <c r="M182" s="679"/>
      <c r="N182" s="679"/>
      <c r="O182" s="679"/>
      <c r="P182" s="679"/>
      <c r="Q182" s="679"/>
      <c r="R182" s="679"/>
      <c r="S182" s="679"/>
      <c r="T182" s="679"/>
      <c r="U182" s="679"/>
      <c r="V182" s="679"/>
      <c r="W182" s="679"/>
      <c r="X182" s="679"/>
      <c r="Y182" s="679"/>
      <c r="Z182" s="679"/>
      <c r="AA182" s="663"/>
      <c r="AB182" s="663"/>
      <c r="AC182" s="663"/>
    </row>
    <row r="183" spans="1:68" ht="27" customHeight="1" x14ac:dyDescent="0.25">
      <c r="A183" s="54" t="s">
        <v>308</v>
      </c>
      <c r="B183" s="54" t="s">
        <v>309</v>
      </c>
      <c r="C183" s="31">
        <v>4301032051</v>
      </c>
      <c r="D183" s="671">
        <v>4680115886742</v>
      </c>
      <c r="E183" s="672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310</v>
      </c>
      <c r="L183" s="32"/>
      <c r="M183" s="33" t="s">
        <v>311</v>
      </c>
      <c r="N183" s="33"/>
      <c r="O183" s="32">
        <v>90</v>
      </c>
      <c r="P183" s="987" t="s">
        <v>312</v>
      </c>
      <c r="Q183" s="674"/>
      <c r="R183" s="674"/>
      <c r="S183" s="674"/>
      <c r="T183" s="675"/>
      <c r="U183" s="34"/>
      <c r="V183" s="34"/>
      <c r="W183" s="35" t="s">
        <v>68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313</v>
      </c>
      <c r="AC183" s="235" t="s">
        <v>314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315</v>
      </c>
      <c r="B184" s="54" t="s">
        <v>316</v>
      </c>
      <c r="C184" s="31">
        <v>4301032052</v>
      </c>
      <c r="D184" s="671">
        <v>4680115886766</v>
      </c>
      <c r="E184" s="672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310</v>
      </c>
      <c r="L184" s="32"/>
      <c r="M184" s="33" t="s">
        <v>311</v>
      </c>
      <c r="N184" s="33"/>
      <c r="O184" s="32">
        <v>90</v>
      </c>
      <c r="P184" s="753" t="s">
        <v>317</v>
      </c>
      <c r="Q184" s="674"/>
      <c r="R184" s="674"/>
      <c r="S184" s="674"/>
      <c r="T184" s="675"/>
      <c r="U184" s="34"/>
      <c r="V184" s="34"/>
      <c r="W184" s="35" t="s">
        <v>68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313</v>
      </c>
      <c r="AC184" s="237" t="s">
        <v>314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318</v>
      </c>
      <c r="B185" s="54" t="s">
        <v>319</v>
      </c>
      <c r="C185" s="31">
        <v>4301032053</v>
      </c>
      <c r="D185" s="671">
        <v>4680115886780</v>
      </c>
      <c r="E185" s="672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310</v>
      </c>
      <c r="L185" s="32"/>
      <c r="M185" s="33" t="s">
        <v>311</v>
      </c>
      <c r="N185" s="33"/>
      <c r="O185" s="32">
        <v>60</v>
      </c>
      <c r="P185" s="842" t="s">
        <v>320</v>
      </c>
      <c r="Q185" s="674"/>
      <c r="R185" s="674"/>
      <c r="S185" s="674"/>
      <c r="T185" s="675"/>
      <c r="U185" s="34"/>
      <c r="V185" s="34"/>
      <c r="W185" s="35" t="s">
        <v>68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321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678"/>
      <c r="B186" s="679"/>
      <c r="C186" s="679"/>
      <c r="D186" s="679"/>
      <c r="E186" s="679"/>
      <c r="F186" s="679"/>
      <c r="G186" s="679"/>
      <c r="H186" s="679"/>
      <c r="I186" s="679"/>
      <c r="J186" s="679"/>
      <c r="K186" s="679"/>
      <c r="L186" s="679"/>
      <c r="M186" s="679"/>
      <c r="N186" s="679"/>
      <c r="O186" s="680"/>
      <c r="P186" s="688" t="s">
        <v>87</v>
      </c>
      <c r="Q186" s="689"/>
      <c r="R186" s="689"/>
      <c r="S186" s="689"/>
      <c r="T186" s="689"/>
      <c r="U186" s="689"/>
      <c r="V186" s="690"/>
      <c r="W186" s="37" t="s">
        <v>88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x14ac:dyDescent="0.2">
      <c r="A187" s="679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8" t="s">
        <v>87</v>
      </c>
      <c r="Q187" s="689"/>
      <c r="R187" s="689"/>
      <c r="S187" s="689"/>
      <c r="T187" s="689"/>
      <c r="U187" s="689"/>
      <c r="V187" s="690"/>
      <c r="W187" s="37" t="s">
        <v>68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customHeight="1" x14ac:dyDescent="0.25">
      <c r="A188" s="684" t="s">
        <v>322</v>
      </c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79"/>
      <c r="P188" s="679"/>
      <c r="Q188" s="679"/>
      <c r="R188" s="679"/>
      <c r="S188" s="679"/>
      <c r="T188" s="679"/>
      <c r="U188" s="679"/>
      <c r="V188" s="679"/>
      <c r="W188" s="679"/>
      <c r="X188" s="679"/>
      <c r="Y188" s="679"/>
      <c r="Z188" s="679"/>
      <c r="AA188" s="663"/>
      <c r="AB188" s="663"/>
      <c r="AC188" s="663"/>
    </row>
    <row r="189" spans="1:68" ht="27" customHeight="1" x14ac:dyDescent="0.25">
      <c r="A189" s="54" t="s">
        <v>323</v>
      </c>
      <c r="B189" s="54" t="s">
        <v>324</v>
      </c>
      <c r="C189" s="31">
        <v>4301170013</v>
      </c>
      <c r="D189" s="671">
        <v>4680115886797</v>
      </c>
      <c r="E189" s="672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310</v>
      </c>
      <c r="L189" s="32"/>
      <c r="M189" s="33" t="s">
        <v>311</v>
      </c>
      <c r="N189" s="33"/>
      <c r="O189" s="32">
        <v>90</v>
      </c>
      <c r="P189" s="790" t="s">
        <v>325</v>
      </c>
      <c r="Q189" s="674"/>
      <c r="R189" s="674"/>
      <c r="S189" s="674"/>
      <c r="T189" s="675"/>
      <c r="U189" s="34"/>
      <c r="V189" s="34"/>
      <c r="W189" s="35" t="s">
        <v>68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313</v>
      </c>
      <c r="AC189" s="241" t="s">
        <v>314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x14ac:dyDescent="0.2">
      <c r="A190" s="678"/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80"/>
      <c r="P190" s="688" t="s">
        <v>87</v>
      </c>
      <c r="Q190" s="689"/>
      <c r="R190" s="689"/>
      <c r="S190" s="689"/>
      <c r="T190" s="689"/>
      <c r="U190" s="689"/>
      <c r="V190" s="690"/>
      <c r="W190" s="37" t="s">
        <v>88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x14ac:dyDescent="0.2">
      <c r="A191" s="679"/>
      <c r="B191" s="679"/>
      <c r="C191" s="679"/>
      <c r="D191" s="679"/>
      <c r="E191" s="679"/>
      <c r="F191" s="679"/>
      <c r="G191" s="679"/>
      <c r="H191" s="679"/>
      <c r="I191" s="679"/>
      <c r="J191" s="679"/>
      <c r="K191" s="679"/>
      <c r="L191" s="679"/>
      <c r="M191" s="679"/>
      <c r="N191" s="679"/>
      <c r="O191" s="680"/>
      <c r="P191" s="688" t="s">
        <v>87</v>
      </c>
      <c r="Q191" s="689"/>
      <c r="R191" s="689"/>
      <c r="S191" s="689"/>
      <c r="T191" s="689"/>
      <c r="U191" s="689"/>
      <c r="V191" s="690"/>
      <c r="W191" s="37" t="s">
        <v>68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customHeight="1" x14ac:dyDescent="0.25">
      <c r="A192" s="685" t="s">
        <v>326</v>
      </c>
      <c r="B192" s="679"/>
      <c r="C192" s="679"/>
      <c r="D192" s="679"/>
      <c r="E192" s="679"/>
      <c r="F192" s="679"/>
      <c r="G192" s="679"/>
      <c r="H192" s="679"/>
      <c r="I192" s="679"/>
      <c r="J192" s="679"/>
      <c r="K192" s="679"/>
      <c r="L192" s="679"/>
      <c r="M192" s="679"/>
      <c r="N192" s="679"/>
      <c r="O192" s="679"/>
      <c r="P192" s="679"/>
      <c r="Q192" s="679"/>
      <c r="R192" s="679"/>
      <c r="S192" s="679"/>
      <c r="T192" s="679"/>
      <c r="U192" s="679"/>
      <c r="V192" s="679"/>
      <c r="W192" s="679"/>
      <c r="X192" s="679"/>
      <c r="Y192" s="679"/>
      <c r="Z192" s="679"/>
      <c r="AA192" s="662"/>
      <c r="AB192" s="662"/>
      <c r="AC192" s="662"/>
    </row>
    <row r="193" spans="1:68" ht="14.25" customHeight="1" x14ac:dyDescent="0.25">
      <c r="A193" s="684" t="s">
        <v>97</v>
      </c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79"/>
      <c r="P193" s="679"/>
      <c r="Q193" s="679"/>
      <c r="R193" s="679"/>
      <c r="S193" s="679"/>
      <c r="T193" s="679"/>
      <c r="U193" s="679"/>
      <c r="V193" s="679"/>
      <c r="W193" s="679"/>
      <c r="X193" s="679"/>
      <c r="Y193" s="679"/>
      <c r="Z193" s="679"/>
      <c r="AA193" s="663"/>
      <c r="AB193" s="663"/>
      <c r="AC193" s="663"/>
    </row>
    <row r="194" spans="1:68" ht="16.5" customHeight="1" x14ac:dyDescent="0.25">
      <c r="A194" s="54" t="s">
        <v>327</v>
      </c>
      <c r="B194" s="54" t="s">
        <v>328</v>
      </c>
      <c r="C194" s="31">
        <v>4301011450</v>
      </c>
      <c r="D194" s="671">
        <v>4680115881402</v>
      </c>
      <c r="E194" s="672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100</v>
      </c>
      <c r="L194" s="32"/>
      <c r="M194" s="33" t="s">
        <v>101</v>
      </c>
      <c r="N194" s="33"/>
      <c r="O194" s="32">
        <v>55</v>
      </c>
      <c r="P194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4"/>
      <c r="R194" s="674"/>
      <c r="S194" s="674"/>
      <c r="T194" s="675"/>
      <c r="U194" s="34"/>
      <c r="V194" s="34"/>
      <c r="W194" s="35" t="s">
        <v>68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329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customHeight="1" x14ac:dyDescent="0.25">
      <c r="A195" s="54" t="s">
        <v>330</v>
      </c>
      <c r="B195" s="54" t="s">
        <v>331</v>
      </c>
      <c r="C195" s="31">
        <v>4301011768</v>
      </c>
      <c r="D195" s="671">
        <v>4680115881396</v>
      </c>
      <c r="E195" s="672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66</v>
      </c>
      <c r="L195" s="32"/>
      <c r="M195" s="33" t="s">
        <v>101</v>
      </c>
      <c r="N195" s="33"/>
      <c r="O195" s="32">
        <v>55</v>
      </c>
      <c r="P195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4"/>
      <c r="R195" s="674"/>
      <c r="S195" s="674"/>
      <c r="T195" s="675"/>
      <c r="U195" s="34"/>
      <c r="V195" s="34"/>
      <c r="W195" s="35" t="s">
        <v>68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329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x14ac:dyDescent="0.2">
      <c r="A196" s="678"/>
      <c r="B196" s="679"/>
      <c r="C196" s="679"/>
      <c r="D196" s="679"/>
      <c r="E196" s="679"/>
      <c r="F196" s="679"/>
      <c r="G196" s="679"/>
      <c r="H196" s="679"/>
      <c r="I196" s="679"/>
      <c r="J196" s="679"/>
      <c r="K196" s="679"/>
      <c r="L196" s="679"/>
      <c r="M196" s="679"/>
      <c r="N196" s="679"/>
      <c r="O196" s="680"/>
      <c r="P196" s="688" t="s">
        <v>87</v>
      </c>
      <c r="Q196" s="689"/>
      <c r="R196" s="689"/>
      <c r="S196" s="689"/>
      <c r="T196" s="689"/>
      <c r="U196" s="689"/>
      <c r="V196" s="690"/>
      <c r="W196" s="37" t="s">
        <v>88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x14ac:dyDescent="0.2">
      <c r="A197" s="679"/>
      <c r="B197" s="679"/>
      <c r="C197" s="679"/>
      <c r="D197" s="679"/>
      <c r="E197" s="679"/>
      <c r="F197" s="679"/>
      <c r="G197" s="679"/>
      <c r="H197" s="679"/>
      <c r="I197" s="679"/>
      <c r="J197" s="679"/>
      <c r="K197" s="679"/>
      <c r="L197" s="679"/>
      <c r="M197" s="679"/>
      <c r="N197" s="679"/>
      <c r="O197" s="680"/>
      <c r="P197" s="688" t="s">
        <v>87</v>
      </c>
      <c r="Q197" s="689"/>
      <c r="R197" s="689"/>
      <c r="S197" s="689"/>
      <c r="T197" s="689"/>
      <c r="U197" s="689"/>
      <c r="V197" s="690"/>
      <c r="W197" s="37" t="s">
        <v>68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customHeight="1" x14ac:dyDescent="0.25">
      <c r="A198" s="684" t="s">
        <v>133</v>
      </c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79"/>
      <c r="P198" s="679"/>
      <c r="Q198" s="679"/>
      <c r="R198" s="679"/>
      <c r="S198" s="679"/>
      <c r="T198" s="679"/>
      <c r="U198" s="679"/>
      <c r="V198" s="679"/>
      <c r="W198" s="679"/>
      <c r="X198" s="679"/>
      <c r="Y198" s="679"/>
      <c r="Z198" s="679"/>
      <c r="AA198" s="663"/>
      <c r="AB198" s="663"/>
      <c r="AC198" s="663"/>
    </row>
    <row r="199" spans="1:68" ht="16.5" customHeight="1" x14ac:dyDescent="0.25">
      <c r="A199" s="54" t="s">
        <v>332</v>
      </c>
      <c r="B199" s="54" t="s">
        <v>333</v>
      </c>
      <c r="C199" s="31">
        <v>4301020262</v>
      </c>
      <c r="D199" s="671">
        <v>4680115882935</v>
      </c>
      <c r="E199" s="672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100</v>
      </c>
      <c r="L199" s="32"/>
      <c r="M199" s="33" t="s">
        <v>106</v>
      </c>
      <c r="N199" s="33"/>
      <c r="O199" s="32">
        <v>50</v>
      </c>
      <c r="P199" s="10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4"/>
      <c r="R199" s="674"/>
      <c r="S199" s="674"/>
      <c r="T199" s="675"/>
      <c r="U199" s="34"/>
      <c r="V199" s="34"/>
      <c r="W199" s="35" t="s">
        <v>68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334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customHeight="1" x14ac:dyDescent="0.25">
      <c r="A200" s="54" t="s">
        <v>335</v>
      </c>
      <c r="B200" s="54" t="s">
        <v>336</v>
      </c>
      <c r="C200" s="31">
        <v>4301020220</v>
      </c>
      <c r="D200" s="671">
        <v>4680115880764</v>
      </c>
      <c r="E200" s="672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66</v>
      </c>
      <c r="L200" s="32"/>
      <c r="M200" s="33" t="s">
        <v>101</v>
      </c>
      <c r="N200" s="33"/>
      <c r="O200" s="32">
        <v>50</v>
      </c>
      <c r="P200" s="103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4"/>
      <c r="R200" s="674"/>
      <c r="S200" s="674"/>
      <c r="T200" s="675"/>
      <c r="U200" s="34"/>
      <c r="V200" s="34"/>
      <c r="W200" s="35" t="s">
        <v>68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334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x14ac:dyDescent="0.2">
      <c r="A201" s="678"/>
      <c r="B201" s="679"/>
      <c r="C201" s="679"/>
      <c r="D201" s="679"/>
      <c r="E201" s="679"/>
      <c r="F201" s="679"/>
      <c r="G201" s="679"/>
      <c r="H201" s="679"/>
      <c r="I201" s="679"/>
      <c r="J201" s="679"/>
      <c r="K201" s="679"/>
      <c r="L201" s="679"/>
      <c r="M201" s="679"/>
      <c r="N201" s="679"/>
      <c r="O201" s="680"/>
      <c r="P201" s="688" t="s">
        <v>87</v>
      </c>
      <c r="Q201" s="689"/>
      <c r="R201" s="689"/>
      <c r="S201" s="689"/>
      <c r="T201" s="689"/>
      <c r="U201" s="689"/>
      <c r="V201" s="690"/>
      <c r="W201" s="37" t="s">
        <v>88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x14ac:dyDescent="0.2">
      <c r="A202" s="679"/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80"/>
      <c r="P202" s="688" t="s">
        <v>87</v>
      </c>
      <c r="Q202" s="689"/>
      <c r="R202" s="689"/>
      <c r="S202" s="689"/>
      <c r="T202" s="689"/>
      <c r="U202" s="689"/>
      <c r="V202" s="690"/>
      <c r="W202" s="37" t="s">
        <v>68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customHeight="1" x14ac:dyDescent="0.25">
      <c r="A203" s="684" t="s">
        <v>144</v>
      </c>
      <c r="B203" s="679"/>
      <c r="C203" s="679"/>
      <c r="D203" s="679"/>
      <c r="E203" s="679"/>
      <c r="F203" s="679"/>
      <c r="G203" s="679"/>
      <c r="H203" s="679"/>
      <c r="I203" s="679"/>
      <c r="J203" s="679"/>
      <c r="K203" s="679"/>
      <c r="L203" s="679"/>
      <c r="M203" s="679"/>
      <c r="N203" s="679"/>
      <c r="O203" s="679"/>
      <c r="P203" s="679"/>
      <c r="Q203" s="679"/>
      <c r="R203" s="679"/>
      <c r="S203" s="679"/>
      <c r="T203" s="679"/>
      <c r="U203" s="679"/>
      <c r="V203" s="679"/>
      <c r="W203" s="679"/>
      <c r="X203" s="679"/>
      <c r="Y203" s="679"/>
      <c r="Z203" s="679"/>
      <c r="AA203" s="663"/>
      <c r="AB203" s="663"/>
      <c r="AC203" s="663"/>
    </row>
    <row r="204" spans="1:68" ht="27" customHeight="1" x14ac:dyDescent="0.25">
      <c r="A204" s="54" t="s">
        <v>337</v>
      </c>
      <c r="B204" s="54" t="s">
        <v>338</v>
      </c>
      <c r="C204" s="31">
        <v>4301031224</v>
      </c>
      <c r="D204" s="671">
        <v>4680115882683</v>
      </c>
      <c r="E204" s="672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4"/>
      <c r="R204" s="674"/>
      <c r="S204" s="674"/>
      <c r="T204" s="675"/>
      <c r="U204" s="34"/>
      <c r="V204" s="34"/>
      <c r="W204" s="35" t="s">
        <v>68</v>
      </c>
      <c r="X204" s="667">
        <v>0</v>
      </c>
      <c r="Y204" s="668">
        <f t="shared" ref="Y204:Y211" si="31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51" t="s">
        <v>339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0</v>
      </c>
      <c r="BN204" s="64">
        <f t="shared" ref="BN204:BN211" si="33">IFERROR(Y204*I204/H204,"0")</f>
        <v>0</v>
      </c>
      <c r="BO204" s="64">
        <f t="shared" ref="BO204:BO211" si="34">IFERROR(1/J204*(X204/H204),"0")</f>
        <v>0</v>
      </c>
      <c r="BP204" s="64">
        <f t="shared" ref="BP204:BP211" si="35">IFERROR(1/J204*(Y204/H204),"0")</f>
        <v>0</v>
      </c>
    </row>
    <row r="205" spans="1:68" ht="27" customHeight="1" x14ac:dyDescent="0.25">
      <c r="A205" s="54" t="s">
        <v>340</v>
      </c>
      <c r="B205" s="54" t="s">
        <v>341</v>
      </c>
      <c r="C205" s="31">
        <v>4301031230</v>
      </c>
      <c r="D205" s="671">
        <v>4680115882690</v>
      </c>
      <c r="E205" s="672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105</v>
      </c>
      <c r="L205" s="32"/>
      <c r="M205" s="33" t="s">
        <v>67</v>
      </c>
      <c r="N205" s="33"/>
      <c r="O205" s="32">
        <v>40</v>
      </c>
      <c r="P205" s="80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4"/>
      <c r="R205" s="674"/>
      <c r="S205" s="674"/>
      <c r="T205" s="675"/>
      <c r="U205" s="34"/>
      <c r="V205" s="34"/>
      <c r="W205" s="35" t="s">
        <v>68</v>
      </c>
      <c r="X205" s="667">
        <v>0</v>
      </c>
      <c r="Y205" s="668">
        <f t="shared" si="31"/>
        <v>0</v>
      </c>
      <c r="Z205" s="36" t="str">
        <f>IFERROR(IF(Y205=0,"",ROUNDUP(Y205/H205,0)*0.00902),"")</f>
        <v/>
      </c>
      <c r="AA205" s="56"/>
      <c r="AB205" s="57"/>
      <c r="AC205" s="253" t="s">
        <v>342</v>
      </c>
      <c r="AG205" s="64"/>
      <c r="AJ205" s="68"/>
      <c r="AK205" s="68">
        <v>0</v>
      </c>
      <c r="BB205" s="254" t="s">
        <v>1</v>
      </c>
      <c r="BM205" s="64">
        <f t="shared" si="32"/>
        <v>0</v>
      </c>
      <c r="BN205" s="64">
        <f t="shared" si="33"/>
        <v>0</v>
      </c>
      <c r="BO205" s="64">
        <f t="shared" si="34"/>
        <v>0</v>
      </c>
      <c r="BP205" s="64">
        <f t="shared" si="35"/>
        <v>0</v>
      </c>
    </row>
    <row r="206" spans="1:68" ht="27" customHeight="1" x14ac:dyDescent="0.25">
      <c r="A206" s="54" t="s">
        <v>343</v>
      </c>
      <c r="B206" s="54" t="s">
        <v>344</v>
      </c>
      <c r="C206" s="31">
        <v>4301031220</v>
      </c>
      <c r="D206" s="671">
        <v>4680115882669</v>
      </c>
      <c r="E206" s="672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105</v>
      </c>
      <c r="L206" s="32"/>
      <c r="M206" s="33" t="s">
        <v>67</v>
      </c>
      <c r="N206" s="33"/>
      <c r="O206" s="32">
        <v>40</v>
      </c>
      <c r="P206" s="8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4"/>
      <c r="R206" s="674"/>
      <c r="S206" s="674"/>
      <c r="T206" s="675"/>
      <c r="U206" s="34"/>
      <c r="V206" s="34"/>
      <c r="W206" s="35" t="s">
        <v>68</v>
      </c>
      <c r="X206" s="667">
        <v>0</v>
      </c>
      <c r="Y206" s="668">
        <f t="shared" si="31"/>
        <v>0</v>
      </c>
      <c r="Z206" s="36" t="str">
        <f>IFERROR(IF(Y206=0,"",ROUNDUP(Y206/H206,0)*0.00902),"")</f>
        <v/>
      </c>
      <c r="AA206" s="56"/>
      <c r="AB206" s="57"/>
      <c r="AC206" s="255" t="s">
        <v>345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4301031221</v>
      </c>
      <c r="D207" s="671">
        <v>4680115882676</v>
      </c>
      <c r="E207" s="672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105</v>
      </c>
      <c r="L207" s="32"/>
      <c r="M207" s="33" t="s">
        <v>67</v>
      </c>
      <c r="N207" s="33"/>
      <c r="O207" s="32">
        <v>40</v>
      </c>
      <c r="P207" s="90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4"/>
      <c r="R207" s="674"/>
      <c r="S207" s="674"/>
      <c r="T207" s="675"/>
      <c r="U207" s="34"/>
      <c r="V207" s="34"/>
      <c r="W207" s="35" t="s">
        <v>68</v>
      </c>
      <c r="X207" s="667">
        <v>0</v>
      </c>
      <c r="Y207" s="668">
        <f t="shared" si="31"/>
        <v>0</v>
      </c>
      <c r="Z207" s="36" t="str">
        <f>IFERROR(IF(Y207=0,"",ROUNDUP(Y207/H207,0)*0.00902),"")</f>
        <v/>
      </c>
      <c r="AA207" s="56"/>
      <c r="AB207" s="57"/>
      <c r="AC207" s="257" t="s">
        <v>348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4301031223</v>
      </c>
      <c r="D208" s="671">
        <v>4680115884014</v>
      </c>
      <c r="E208" s="672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4"/>
      <c r="R208" s="674"/>
      <c r="S208" s="674"/>
      <c r="T208" s="675"/>
      <c r="U208" s="34"/>
      <c r="V208" s="34"/>
      <c r="W208" s="35" t="s">
        <v>68</v>
      </c>
      <c r="X208" s="667">
        <v>0</v>
      </c>
      <c r="Y208" s="668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339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4301031222</v>
      </c>
      <c r="D209" s="671">
        <v>4680115884007</v>
      </c>
      <c r="E209" s="672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147</v>
      </c>
      <c r="L209" s="32"/>
      <c r="M209" s="33" t="s">
        <v>67</v>
      </c>
      <c r="N209" s="33"/>
      <c r="O209" s="32">
        <v>40</v>
      </c>
      <c r="P209" s="72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4"/>
      <c r="R209" s="674"/>
      <c r="S209" s="674"/>
      <c r="T209" s="675"/>
      <c r="U209" s="34"/>
      <c r="V209" s="34"/>
      <c r="W209" s="35" t="s">
        <v>68</v>
      </c>
      <c r="X209" s="667">
        <v>8</v>
      </c>
      <c r="Y209" s="668">
        <f t="shared" si="31"/>
        <v>9</v>
      </c>
      <c r="Z209" s="36">
        <f>IFERROR(IF(Y209=0,"",ROUNDUP(Y209/H209,0)*0.00502),"")</f>
        <v>2.5100000000000001E-2</v>
      </c>
      <c r="AA209" s="56"/>
      <c r="AB209" s="57"/>
      <c r="AC209" s="261" t="s">
        <v>342</v>
      </c>
      <c r="AG209" s="64"/>
      <c r="AJ209" s="68"/>
      <c r="AK209" s="68">
        <v>0</v>
      </c>
      <c r="BB209" s="262" t="s">
        <v>1</v>
      </c>
      <c r="BM209" s="64">
        <f t="shared" si="32"/>
        <v>8.4444444444444446</v>
      </c>
      <c r="BN209" s="64">
        <f t="shared" si="33"/>
        <v>9.4999999999999982</v>
      </c>
      <c r="BO209" s="64">
        <f t="shared" si="34"/>
        <v>1.8993352326685663E-2</v>
      </c>
      <c r="BP209" s="64">
        <f t="shared" si="35"/>
        <v>2.1367521367521368E-2</v>
      </c>
    </row>
    <row r="210" spans="1:68" ht="27" customHeight="1" x14ac:dyDescent="0.25">
      <c r="A210" s="54" t="s">
        <v>353</v>
      </c>
      <c r="B210" s="54" t="s">
        <v>354</v>
      </c>
      <c r="C210" s="31">
        <v>4301031229</v>
      </c>
      <c r="D210" s="671">
        <v>4680115884038</v>
      </c>
      <c r="E210" s="672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147</v>
      </c>
      <c r="L210" s="32"/>
      <c r="M210" s="33" t="s">
        <v>67</v>
      </c>
      <c r="N210" s="33"/>
      <c r="O210" s="32">
        <v>40</v>
      </c>
      <c r="P210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4"/>
      <c r="R210" s="674"/>
      <c r="S210" s="674"/>
      <c r="T210" s="675"/>
      <c r="U210" s="34"/>
      <c r="V210" s="34"/>
      <c r="W210" s="35" t="s">
        <v>68</v>
      </c>
      <c r="X210" s="667">
        <v>0</v>
      </c>
      <c r="Y210" s="668">
        <f t="shared" si="31"/>
        <v>0</v>
      </c>
      <c r="Z210" s="36" t="str">
        <f>IFERROR(IF(Y210=0,"",ROUNDUP(Y210/H210,0)*0.00502),"")</f>
        <v/>
      </c>
      <c r="AA210" s="56"/>
      <c r="AB210" s="57"/>
      <c r="AC210" s="263" t="s">
        <v>345</v>
      </c>
      <c r="AG210" s="64"/>
      <c r="AJ210" s="68"/>
      <c r="AK210" s="68">
        <v>0</v>
      </c>
      <c r="BB210" s="264" t="s">
        <v>1</v>
      </c>
      <c r="BM210" s="64">
        <f t="shared" si="32"/>
        <v>0</v>
      </c>
      <c r="BN210" s="64">
        <f t="shared" si="33"/>
        <v>0</v>
      </c>
      <c r="BO210" s="64">
        <f t="shared" si="34"/>
        <v>0</v>
      </c>
      <c r="BP210" s="64">
        <f t="shared" si="35"/>
        <v>0</v>
      </c>
    </row>
    <row r="211" spans="1:68" ht="27" customHeight="1" x14ac:dyDescent="0.25">
      <c r="A211" s="54" t="s">
        <v>355</v>
      </c>
      <c r="B211" s="54" t="s">
        <v>356</v>
      </c>
      <c r="C211" s="31">
        <v>4301031225</v>
      </c>
      <c r="D211" s="671">
        <v>4680115884021</v>
      </c>
      <c r="E211" s="672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147</v>
      </c>
      <c r="L211" s="32"/>
      <c r="M211" s="33" t="s">
        <v>67</v>
      </c>
      <c r="N211" s="33"/>
      <c r="O211" s="32">
        <v>40</v>
      </c>
      <c r="P211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4"/>
      <c r="R211" s="674"/>
      <c r="S211" s="674"/>
      <c r="T211" s="675"/>
      <c r="U211" s="34"/>
      <c r="V211" s="34"/>
      <c r="W211" s="35" t="s">
        <v>68</v>
      </c>
      <c r="X211" s="667">
        <v>0</v>
      </c>
      <c r="Y211" s="668">
        <f t="shared" si="31"/>
        <v>0</v>
      </c>
      <c r="Z211" s="36" t="str">
        <f>IFERROR(IF(Y211=0,"",ROUNDUP(Y211/H211,0)*0.00502),"")</f>
        <v/>
      </c>
      <c r="AA211" s="56"/>
      <c r="AB211" s="57"/>
      <c r="AC211" s="265" t="s">
        <v>348</v>
      </c>
      <c r="AG211" s="64"/>
      <c r="AJ211" s="68"/>
      <c r="AK211" s="68">
        <v>0</v>
      </c>
      <c r="BB211" s="266" t="s">
        <v>1</v>
      </c>
      <c r="BM211" s="64">
        <f t="shared" si="32"/>
        <v>0</v>
      </c>
      <c r="BN211" s="64">
        <f t="shared" si="33"/>
        <v>0</v>
      </c>
      <c r="BO211" s="64">
        <f t="shared" si="34"/>
        <v>0</v>
      </c>
      <c r="BP211" s="64">
        <f t="shared" si="35"/>
        <v>0</v>
      </c>
    </row>
    <row r="212" spans="1:68" x14ac:dyDescent="0.2">
      <c r="A212" s="678"/>
      <c r="B212" s="679"/>
      <c r="C212" s="679"/>
      <c r="D212" s="679"/>
      <c r="E212" s="679"/>
      <c r="F212" s="679"/>
      <c r="G212" s="679"/>
      <c r="H212" s="679"/>
      <c r="I212" s="679"/>
      <c r="J212" s="679"/>
      <c r="K212" s="679"/>
      <c r="L212" s="679"/>
      <c r="M212" s="679"/>
      <c r="N212" s="679"/>
      <c r="O212" s="680"/>
      <c r="P212" s="688" t="s">
        <v>87</v>
      </c>
      <c r="Q212" s="689"/>
      <c r="R212" s="689"/>
      <c r="S212" s="689"/>
      <c r="T212" s="689"/>
      <c r="U212" s="689"/>
      <c r="V212" s="690"/>
      <c r="W212" s="37" t="s">
        <v>88</v>
      </c>
      <c r="X212" s="669">
        <f>IFERROR(X204/H204,"0")+IFERROR(X205/H205,"0")+IFERROR(X206/H206,"0")+IFERROR(X207/H207,"0")+IFERROR(X208/H208,"0")+IFERROR(X209/H209,"0")+IFERROR(X210/H210,"0")+IFERROR(X211/H211,"0")</f>
        <v>4.4444444444444446</v>
      </c>
      <c r="Y212" s="669">
        <f>IFERROR(Y204/H204,"0")+IFERROR(Y205/H205,"0")+IFERROR(Y206/H206,"0")+IFERROR(Y207/H207,"0")+IFERROR(Y208/H208,"0")+IFERROR(Y209/H209,"0")+IFERROR(Y210/H210,"0")+IFERROR(Y211/H211,"0")</f>
        <v>5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2.5100000000000001E-2</v>
      </c>
      <c r="AA212" s="670"/>
      <c r="AB212" s="670"/>
      <c r="AC212" s="670"/>
    </row>
    <row r="213" spans="1:68" x14ac:dyDescent="0.2">
      <c r="A213" s="679"/>
      <c r="B213" s="679"/>
      <c r="C213" s="679"/>
      <c r="D213" s="679"/>
      <c r="E213" s="679"/>
      <c r="F213" s="679"/>
      <c r="G213" s="679"/>
      <c r="H213" s="679"/>
      <c r="I213" s="679"/>
      <c r="J213" s="679"/>
      <c r="K213" s="679"/>
      <c r="L213" s="679"/>
      <c r="M213" s="679"/>
      <c r="N213" s="679"/>
      <c r="O213" s="680"/>
      <c r="P213" s="688" t="s">
        <v>87</v>
      </c>
      <c r="Q213" s="689"/>
      <c r="R213" s="689"/>
      <c r="S213" s="689"/>
      <c r="T213" s="689"/>
      <c r="U213" s="689"/>
      <c r="V213" s="690"/>
      <c r="W213" s="37" t="s">
        <v>68</v>
      </c>
      <c r="X213" s="669">
        <f>IFERROR(SUM(X204:X211),"0")</f>
        <v>8</v>
      </c>
      <c r="Y213" s="669">
        <f>IFERROR(SUM(Y204:Y211),"0")</f>
        <v>9</v>
      </c>
      <c r="Z213" s="37"/>
      <c r="AA213" s="670"/>
      <c r="AB213" s="670"/>
      <c r="AC213" s="670"/>
    </row>
    <row r="214" spans="1:68" ht="14.25" customHeight="1" x14ac:dyDescent="0.25">
      <c r="A214" s="684" t="s">
        <v>63</v>
      </c>
      <c r="B214" s="679"/>
      <c r="C214" s="679"/>
      <c r="D214" s="679"/>
      <c r="E214" s="679"/>
      <c r="F214" s="679"/>
      <c r="G214" s="679"/>
      <c r="H214" s="679"/>
      <c r="I214" s="679"/>
      <c r="J214" s="679"/>
      <c r="K214" s="679"/>
      <c r="L214" s="679"/>
      <c r="M214" s="679"/>
      <c r="N214" s="679"/>
      <c r="O214" s="679"/>
      <c r="P214" s="679"/>
      <c r="Q214" s="679"/>
      <c r="R214" s="679"/>
      <c r="S214" s="679"/>
      <c r="T214" s="679"/>
      <c r="U214" s="679"/>
      <c r="V214" s="679"/>
      <c r="W214" s="679"/>
      <c r="X214" s="679"/>
      <c r="Y214" s="679"/>
      <c r="Z214" s="679"/>
      <c r="AA214" s="663"/>
      <c r="AB214" s="663"/>
      <c r="AC214" s="663"/>
    </row>
    <row r="215" spans="1:68" ht="27" customHeight="1" x14ac:dyDescent="0.25">
      <c r="A215" s="54" t="s">
        <v>357</v>
      </c>
      <c r="B215" s="54" t="s">
        <v>358</v>
      </c>
      <c r="C215" s="31">
        <v>4301051408</v>
      </c>
      <c r="D215" s="671">
        <v>4680115881594</v>
      </c>
      <c r="E215" s="672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100</v>
      </c>
      <c r="L215" s="32"/>
      <c r="M215" s="33" t="s">
        <v>106</v>
      </c>
      <c r="N215" s="33"/>
      <c r="O215" s="32">
        <v>40</v>
      </c>
      <c r="P215" s="70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4"/>
      <c r="R215" s="674"/>
      <c r="S215" s="674"/>
      <c r="T215" s="675"/>
      <c r="U215" s="34"/>
      <c r="V215" s="34"/>
      <c r="W215" s="35" t="s">
        <v>68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359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customHeight="1" x14ac:dyDescent="0.25">
      <c r="A216" s="54" t="s">
        <v>360</v>
      </c>
      <c r="B216" s="54" t="s">
        <v>361</v>
      </c>
      <c r="C216" s="31">
        <v>4301051411</v>
      </c>
      <c r="D216" s="671">
        <v>4680115881617</v>
      </c>
      <c r="E216" s="672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100</v>
      </c>
      <c r="L216" s="32"/>
      <c r="M216" s="33" t="s">
        <v>106</v>
      </c>
      <c r="N216" s="33"/>
      <c r="O216" s="32">
        <v>40</v>
      </c>
      <c r="P216" s="86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4"/>
      <c r="R216" s="674"/>
      <c r="S216" s="674"/>
      <c r="T216" s="675"/>
      <c r="U216" s="34"/>
      <c r="V216" s="34"/>
      <c r="W216" s="35" t="s">
        <v>68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363</v>
      </c>
      <c r="B217" s="54" t="s">
        <v>364</v>
      </c>
      <c r="C217" s="31">
        <v>4301051656</v>
      </c>
      <c r="D217" s="671">
        <v>4680115880573</v>
      </c>
      <c r="E217" s="672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100</v>
      </c>
      <c r="L217" s="32"/>
      <c r="M217" s="33" t="s">
        <v>106</v>
      </c>
      <c r="N217" s="33"/>
      <c r="O217" s="32">
        <v>45</v>
      </c>
      <c r="P217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4"/>
      <c r="R217" s="674"/>
      <c r="S217" s="674"/>
      <c r="T217" s="675"/>
      <c r="U217" s="34"/>
      <c r="V217" s="34"/>
      <c r="W217" s="35" t="s">
        <v>68</v>
      </c>
      <c r="X217" s="667">
        <v>0</v>
      </c>
      <c r="Y217" s="668">
        <f t="shared" si="36"/>
        <v>0</v>
      </c>
      <c r="Z217" s="36" t="str">
        <f>IFERROR(IF(Y217=0,"",ROUNDUP(Y217/H217,0)*0.01898),"")</f>
        <v/>
      </c>
      <c r="AA217" s="56"/>
      <c r="AB217" s="57"/>
      <c r="AC217" s="271" t="s">
        <v>365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4301051407</v>
      </c>
      <c r="D218" s="671">
        <v>4680115882195</v>
      </c>
      <c r="E218" s="672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40</v>
      </c>
      <c r="P218" s="104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4"/>
      <c r="R218" s="674"/>
      <c r="S218" s="674"/>
      <c r="T218" s="675"/>
      <c r="U218" s="34"/>
      <c r="V218" s="34"/>
      <c r="W218" s="35" t="s">
        <v>68</v>
      </c>
      <c r="X218" s="667">
        <v>67</v>
      </c>
      <c r="Y218" s="668">
        <f t="shared" si="36"/>
        <v>67.2</v>
      </c>
      <c r="Z218" s="36">
        <f t="shared" ref="Z218:Z223" si="41">IFERROR(IF(Y218=0,"",ROUNDUP(Y218/H218,0)*0.00651),"")</f>
        <v>0.18228</v>
      </c>
      <c r="AA218" s="56"/>
      <c r="AB218" s="57"/>
      <c r="AC218" s="273" t="s">
        <v>359</v>
      </c>
      <c r="AG218" s="64"/>
      <c r="AJ218" s="68"/>
      <c r="AK218" s="68">
        <v>0</v>
      </c>
      <c r="BB218" s="274" t="s">
        <v>1</v>
      </c>
      <c r="BM218" s="64">
        <f t="shared" si="37"/>
        <v>74.537499999999994</v>
      </c>
      <c r="BN218" s="64">
        <f t="shared" si="38"/>
        <v>74.760000000000005</v>
      </c>
      <c r="BO218" s="64">
        <f t="shared" si="39"/>
        <v>0.1533882783882784</v>
      </c>
      <c r="BP218" s="64">
        <f t="shared" si="40"/>
        <v>0.15384615384615388</v>
      </c>
    </row>
    <row r="219" spans="1:68" ht="27" customHeight="1" x14ac:dyDescent="0.25">
      <c r="A219" s="54" t="s">
        <v>368</v>
      </c>
      <c r="B219" s="54" t="s">
        <v>369</v>
      </c>
      <c r="C219" s="31">
        <v>4301051752</v>
      </c>
      <c r="D219" s="671">
        <v>4680115882607</v>
      </c>
      <c r="E219" s="672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45</v>
      </c>
      <c r="P219" s="8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4"/>
      <c r="R219" s="674"/>
      <c r="S219" s="674"/>
      <c r="T219" s="675"/>
      <c r="U219" s="34"/>
      <c r="V219" s="34"/>
      <c r="W219" s="35" t="s">
        <v>68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370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4301051666</v>
      </c>
      <c r="D220" s="671">
        <v>4680115880092</v>
      </c>
      <c r="E220" s="672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45</v>
      </c>
      <c r="P220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4"/>
      <c r="R220" s="674"/>
      <c r="S220" s="674"/>
      <c r="T220" s="675"/>
      <c r="U220" s="34"/>
      <c r="V220" s="34"/>
      <c r="W220" s="35" t="s">
        <v>68</v>
      </c>
      <c r="X220" s="667">
        <v>160</v>
      </c>
      <c r="Y220" s="668">
        <f t="shared" si="36"/>
        <v>160.79999999999998</v>
      </c>
      <c r="Z220" s="36">
        <f t="shared" si="41"/>
        <v>0.43617</v>
      </c>
      <c r="AA220" s="56"/>
      <c r="AB220" s="57"/>
      <c r="AC220" s="277" t="s">
        <v>365</v>
      </c>
      <c r="AG220" s="64"/>
      <c r="AJ220" s="68"/>
      <c r="AK220" s="68">
        <v>0</v>
      </c>
      <c r="BB220" s="278" t="s">
        <v>1</v>
      </c>
      <c r="BM220" s="64">
        <f t="shared" si="37"/>
        <v>176.80000000000004</v>
      </c>
      <c r="BN220" s="64">
        <f t="shared" si="38"/>
        <v>177.684</v>
      </c>
      <c r="BO220" s="64">
        <f t="shared" si="39"/>
        <v>0.36630036630036633</v>
      </c>
      <c r="BP220" s="64">
        <f t="shared" si="40"/>
        <v>0.36813186813186816</v>
      </c>
    </row>
    <row r="221" spans="1:68" ht="27" customHeight="1" x14ac:dyDescent="0.25">
      <c r="A221" s="54" t="s">
        <v>373</v>
      </c>
      <c r="B221" s="54" t="s">
        <v>374</v>
      </c>
      <c r="C221" s="31">
        <v>4301051668</v>
      </c>
      <c r="D221" s="671">
        <v>4680115880221</v>
      </c>
      <c r="E221" s="672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66</v>
      </c>
      <c r="L221" s="32"/>
      <c r="M221" s="33" t="s">
        <v>106</v>
      </c>
      <c r="N221" s="33"/>
      <c r="O221" s="32">
        <v>45</v>
      </c>
      <c r="P221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4"/>
      <c r="R221" s="674"/>
      <c r="S221" s="674"/>
      <c r="T221" s="675"/>
      <c r="U221" s="34"/>
      <c r="V221" s="34"/>
      <c r="W221" s="35" t="s">
        <v>68</v>
      </c>
      <c r="X221" s="667">
        <v>100</v>
      </c>
      <c r="Y221" s="668">
        <f t="shared" si="36"/>
        <v>100.8</v>
      </c>
      <c r="Z221" s="36">
        <f t="shared" si="41"/>
        <v>0.27342</v>
      </c>
      <c r="AA221" s="56"/>
      <c r="AB221" s="57"/>
      <c r="AC221" s="279" t="s">
        <v>365</v>
      </c>
      <c r="AG221" s="64"/>
      <c r="AJ221" s="68"/>
      <c r="AK221" s="68">
        <v>0</v>
      </c>
      <c r="BB221" s="280" t="s">
        <v>1</v>
      </c>
      <c r="BM221" s="64">
        <f t="shared" si="37"/>
        <v>110.5</v>
      </c>
      <c r="BN221" s="64">
        <f t="shared" si="38"/>
        <v>111.384</v>
      </c>
      <c r="BO221" s="64">
        <f t="shared" si="39"/>
        <v>0.22893772893772898</v>
      </c>
      <c r="BP221" s="64">
        <f t="shared" si="40"/>
        <v>0.23076923076923078</v>
      </c>
    </row>
    <row r="222" spans="1:68" ht="27" customHeight="1" x14ac:dyDescent="0.25">
      <c r="A222" s="54" t="s">
        <v>375</v>
      </c>
      <c r="B222" s="54" t="s">
        <v>376</v>
      </c>
      <c r="C222" s="31">
        <v>4301051945</v>
      </c>
      <c r="D222" s="671">
        <v>4680115880504</v>
      </c>
      <c r="E222" s="672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66</v>
      </c>
      <c r="L222" s="32"/>
      <c r="M222" s="33" t="s">
        <v>129</v>
      </c>
      <c r="N222" s="33"/>
      <c r="O222" s="32">
        <v>40</v>
      </c>
      <c r="P222" s="93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4"/>
      <c r="R222" s="674"/>
      <c r="S222" s="674"/>
      <c r="T222" s="675"/>
      <c r="U222" s="34"/>
      <c r="V222" s="34"/>
      <c r="W222" s="35" t="s">
        <v>68</v>
      </c>
      <c r="X222" s="667">
        <v>0</v>
      </c>
      <c r="Y222" s="668">
        <f t="shared" si="36"/>
        <v>0</v>
      </c>
      <c r="Z222" s="36" t="str">
        <f t="shared" si="41"/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37"/>
        <v>0</v>
      </c>
      <c r="BN222" s="64">
        <f t="shared" si="38"/>
        <v>0</v>
      </c>
      <c r="BO222" s="64">
        <f t="shared" si="39"/>
        <v>0</v>
      </c>
      <c r="BP222" s="64">
        <f t="shared" si="4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4301051410</v>
      </c>
      <c r="D223" s="671">
        <v>4680115882164</v>
      </c>
      <c r="E223" s="672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66</v>
      </c>
      <c r="L223" s="32"/>
      <c r="M223" s="33" t="s">
        <v>106</v>
      </c>
      <c r="N223" s="33"/>
      <c r="O223" s="32">
        <v>40</v>
      </c>
      <c r="P223" s="7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4"/>
      <c r="R223" s="674"/>
      <c r="S223" s="674"/>
      <c r="T223" s="675"/>
      <c r="U223" s="34"/>
      <c r="V223" s="34"/>
      <c r="W223" s="35" t="s">
        <v>68</v>
      </c>
      <c r="X223" s="667">
        <v>56</v>
      </c>
      <c r="Y223" s="668">
        <f t="shared" si="36"/>
        <v>57.599999999999994</v>
      </c>
      <c r="Z223" s="36">
        <f t="shared" si="41"/>
        <v>0.15623999999999999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37"/>
        <v>62.019999999999996</v>
      </c>
      <c r="BN223" s="64">
        <f t="shared" si="38"/>
        <v>63.792000000000002</v>
      </c>
      <c r="BO223" s="64">
        <f t="shared" si="39"/>
        <v>0.12820512820512822</v>
      </c>
      <c r="BP223" s="64">
        <f t="shared" si="40"/>
        <v>0.13186813186813187</v>
      </c>
    </row>
    <row r="224" spans="1:68" x14ac:dyDescent="0.2">
      <c r="A224" s="678"/>
      <c r="B224" s="679"/>
      <c r="C224" s="679"/>
      <c r="D224" s="679"/>
      <c r="E224" s="679"/>
      <c r="F224" s="679"/>
      <c r="G224" s="679"/>
      <c r="H224" s="679"/>
      <c r="I224" s="679"/>
      <c r="J224" s="679"/>
      <c r="K224" s="679"/>
      <c r="L224" s="679"/>
      <c r="M224" s="679"/>
      <c r="N224" s="679"/>
      <c r="O224" s="680"/>
      <c r="P224" s="688" t="s">
        <v>87</v>
      </c>
      <c r="Q224" s="689"/>
      <c r="R224" s="689"/>
      <c r="S224" s="689"/>
      <c r="T224" s="689"/>
      <c r="U224" s="689"/>
      <c r="V224" s="690"/>
      <c r="W224" s="37" t="s">
        <v>88</v>
      </c>
      <c r="X224" s="669">
        <f>IFERROR(X215/H215,"0")+IFERROR(X216/H216,"0")+IFERROR(X217/H217,"0")+IFERROR(X218/H218,"0")+IFERROR(X219/H219,"0")+IFERROR(X220/H220,"0")+IFERROR(X221/H221,"0")+IFERROR(X222/H222,"0")+IFERROR(X223/H223,"0")</f>
        <v>159.58333333333334</v>
      </c>
      <c r="Y224" s="669">
        <f>IFERROR(Y215/H215,"0")+IFERROR(Y216/H216,"0")+IFERROR(Y217/H217,"0")+IFERROR(Y218/H218,"0")+IFERROR(Y219/H219,"0")+IFERROR(Y220/H220,"0")+IFERROR(Y221/H221,"0")+IFERROR(Y222/H222,"0")+IFERROR(Y223/H223,"0")</f>
        <v>161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1.0481099999999999</v>
      </c>
      <c r="AA224" s="670"/>
      <c r="AB224" s="670"/>
      <c r="AC224" s="670"/>
    </row>
    <row r="225" spans="1:68" x14ac:dyDescent="0.2">
      <c r="A225" s="679"/>
      <c r="B225" s="679"/>
      <c r="C225" s="679"/>
      <c r="D225" s="679"/>
      <c r="E225" s="679"/>
      <c r="F225" s="679"/>
      <c r="G225" s="679"/>
      <c r="H225" s="679"/>
      <c r="I225" s="679"/>
      <c r="J225" s="679"/>
      <c r="K225" s="679"/>
      <c r="L225" s="679"/>
      <c r="M225" s="679"/>
      <c r="N225" s="679"/>
      <c r="O225" s="680"/>
      <c r="P225" s="688" t="s">
        <v>87</v>
      </c>
      <c r="Q225" s="689"/>
      <c r="R225" s="689"/>
      <c r="S225" s="689"/>
      <c r="T225" s="689"/>
      <c r="U225" s="689"/>
      <c r="V225" s="690"/>
      <c r="W225" s="37" t="s">
        <v>68</v>
      </c>
      <c r="X225" s="669">
        <f>IFERROR(SUM(X215:X223),"0")</f>
        <v>383</v>
      </c>
      <c r="Y225" s="669">
        <f>IFERROR(SUM(Y215:Y223),"0")</f>
        <v>386.4</v>
      </c>
      <c r="Z225" s="37"/>
      <c r="AA225" s="670"/>
      <c r="AB225" s="670"/>
      <c r="AC225" s="670"/>
    </row>
    <row r="226" spans="1:68" ht="14.25" customHeight="1" x14ac:dyDescent="0.25">
      <c r="A226" s="684" t="s">
        <v>170</v>
      </c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79"/>
      <c r="P226" s="679"/>
      <c r="Q226" s="679"/>
      <c r="R226" s="679"/>
      <c r="S226" s="679"/>
      <c r="T226" s="679"/>
      <c r="U226" s="679"/>
      <c r="V226" s="679"/>
      <c r="W226" s="679"/>
      <c r="X226" s="679"/>
      <c r="Y226" s="679"/>
      <c r="Z226" s="679"/>
      <c r="AA226" s="663"/>
      <c r="AB226" s="663"/>
      <c r="AC226" s="663"/>
    </row>
    <row r="227" spans="1:68" ht="27" customHeight="1" x14ac:dyDescent="0.25">
      <c r="A227" s="54" t="s">
        <v>381</v>
      </c>
      <c r="B227" s="54" t="s">
        <v>382</v>
      </c>
      <c r="C227" s="31">
        <v>4301060463</v>
      </c>
      <c r="D227" s="671">
        <v>4680115880818</v>
      </c>
      <c r="E227" s="672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66</v>
      </c>
      <c r="L227" s="32"/>
      <c r="M227" s="33" t="s">
        <v>129</v>
      </c>
      <c r="N227" s="33"/>
      <c r="O227" s="32">
        <v>40</v>
      </c>
      <c r="P227" s="9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4"/>
      <c r="R227" s="674"/>
      <c r="S227" s="674"/>
      <c r="T227" s="675"/>
      <c r="U227" s="34"/>
      <c r="V227" s="34"/>
      <c r="W227" s="35" t="s">
        <v>68</v>
      </c>
      <c r="X227" s="667">
        <v>12</v>
      </c>
      <c r="Y227" s="668">
        <f>IFERROR(IF(X227="",0,CEILING((X227/$H227),1)*$H227),"")</f>
        <v>12</v>
      </c>
      <c r="Z227" s="36">
        <f>IFERROR(IF(Y227=0,"",ROUNDUP(Y227/H227,0)*0.00651),"")</f>
        <v>3.2550000000000003E-2</v>
      </c>
      <c r="AA227" s="56"/>
      <c r="AB227" s="57"/>
      <c r="AC227" s="285" t="s">
        <v>383</v>
      </c>
      <c r="AG227" s="64"/>
      <c r="AJ227" s="68"/>
      <c r="AK227" s="68">
        <v>0</v>
      </c>
      <c r="BB227" s="286" t="s">
        <v>1</v>
      </c>
      <c r="BM227" s="64">
        <f>IFERROR(X227*I227/H227,"0")</f>
        <v>13.260000000000002</v>
      </c>
      <c r="BN227" s="64">
        <f>IFERROR(Y227*I227/H227,"0")</f>
        <v>13.260000000000002</v>
      </c>
      <c r="BO227" s="64">
        <f>IFERROR(1/J227*(X227/H227),"0")</f>
        <v>2.7472527472527476E-2</v>
      </c>
      <c r="BP227" s="64">
        <f>IFERROR(1/J227*(Y227/H227),"0")</f>
        <v>2.7472527472527476E-2</v>
      </c>
    </row>
    <row r="228" spans="1:68" ht="27" customHeight="1" x14ac:dyDescent="0.25">
      <c r="A228" s="54" t="s">
        <v>384</v>
      </c>
      <c r="B228" s="54" t="s">
        <v>385</v>
      </c>
      <c r="C228" s="31">
        <v>4301060389</v>
      </c>
      <c r="D228" s="671">
        <v>4680115880801</v>
      </c>
      <c r="E228" s="672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66</v>
      </c>
      <c r="L228" s="32"/>
      <c r="M228" s="33" t="s">
        <v>106</v>
      </c>
      <c r="N228" s="33"/>
      <c r="O228" s="32">
        <v>40</v>
      </c>
      <c r="P228" s="102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4"/>
      <c r="R228" s="674"/>
      <c r="S228" s="674"/>
      <c r="T228" s="675"/>
      <c r="U228" s="34"/>
      <c r="V228" s="34"/>
      <c r="W228" s="35" t="s">
        <v>68</v>
      </c>
      <c r="X228" s="667">
        <v>20</v>
      </c>
      <c r="Y228" s="668">
        <f>IFERROR(IF(X228="",0,CEILING((X228/$H228),1)*$H228),"")</f>
        <v>21.599999999999998</v>
      </c>
      <c r="Z228" s="36">
        <f>IFERROR(IF(Y228=0,"",ROUNDUP(Y228/H228,0)*0.00651),"")</f>
        <v>5.8590000000000003E-2</v>
      </c>
      <c r="AA228" s="56"/>
      <c r="AB228" s="57"/>
      <c r="AC228" s="287" t="s">
        <v>386</v>
      </c>
      <c r="AG228" s="64"/>
      <c r="AJ228" s="68"/>
      <c r="AK228" s="68">
        <v>0</v>
      </c>
      <c r="BB228" s="288" t="s">
        <v>1</v>
      </c>
      <c r="BM228" s="64">
        <f>IFERROR(X228*I228/H228,"0")</f>
        <v>22.100000000000005</v>
      </c>
      <c r="BN228" s="64">
        <f>IFERROR(Y228*I228/H228,"0")</f>
        <v>23.868000000000002</v>
      </c>
      <c r="BO228" s="64">
        <f>IFERROR(1/J228*(X228/H228),"0")</f>
        <v>4.5787545787545791E-2</v>
      </c>
      <c r="BP228" s="64">
        <f>IFERROR(1/J228*(Y228/H228),"0")</f>
        <v>4.9450549450549455E-2</v>
      </c>
    </row>
    <row r="229" spans="1:68" x14ac:dyDescent="0.2">
      <c r="A229" s="678"/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80"/>
      <c r="P229" s="688" t="s">
        <v>87</v>
      </c>
      <c r="Q229" s="689"/>
      <c r="R229" s="689"/>
      <c r="S229" s="689"/>
      <c r="T229" s="689"/>
      <c r="U229" s="689"/>
      <c r="V229" s="690"/>
      <c r="W229" s="37" t="s">
        <v>88</v>
      </c>
      <c r="X229" s="669">
        <f>IFERROR(X227/H227,"0")+IFERROR(X228/H228,"0")</f>
        <v>13.333333333333334</v>
      </c>
      <c r="Y229" s="669">
        <f>IFERROR(Y227/H227,"0")+IFERROR(Y228/H228,"0")</f>
        <v>14</v>
      </c>
      <c r="Z229" s="669">
        <f>IFERROR(IF(Z227="",0,Z227),"0")+IFERROR(IF(Z228="",0,Z228),"0")</f>
        <v>9.1139999999999999E-2</v>
      </c>
      <c r="AA229" s="670"/>
      <c r="AB229" s="670"/>
      <c r="AC229" s="670"/>
    </row>
    <row r="230" spans="1:68" x14ac:dyDescent="0.2">
      <c r="A230" s="679"/>
      <c r="B230" s="679"/>
      <c r="C230" s="679"/>
      <c r="D230" s="679"/>
      <c r="E230" s="679"/>
      <c r="F230" s="679"/>
      <c r="G230" s="679"/>
      <c r="H230" s="679"/>
      <c r="I230" s="679"/>
      <c r="J230" s="679"/>
      <c r="K230" s="679"/>
      <c r="L230" s="679"/>
      <c r="M230" s="679"/>
      <c r="N230" s="679"/>
      <c r="O230" s="680"/>
      <c r="P230" s="688" t="s">
        <v>87</v>
      </c>
      <c r="Q230" s="689"/>
      <c r="R230" s="689"/>
      <c r="S230" s="689"/>
      <c r="T230" s="689"/>
      <c r="U230" s="689"/>
      <c r="V230" s="690"/>
      <c r="W230" s="37" t="s">
        <v>68</v>
      </c>
      <c r="X230" s="669">
        <f>IFERROR(SUM(X227:X228),"0")</f>
        <v>32</v>
      </c>
      <c r="Y230" s="669">
        <f>IFERROR(SUM(Y227:Y228),"0")</f>
        <v>33.599999999999994</v>
      </c>
      <c r="Z230" s="37"/>
      <c r="AA230" s="670"/>
      <c r="AB230" s="670"/>
      <c r="AC230" s="670"/>
    </row>
    <row r="231" spans="1:68" ht="16.5" customHeight="1" x14ac:dyDescent="0.25">
      <c r="A231" s="685" t="s">
        <v>387</v>
      </c>
      <c r="B231" s="679"/>
      <c r="C231" s="679"/>
      <c r="D231" s="679"/>
      <c r="E231" s="679"/>
      <c r="F231" s="679"/>
      <c r="G231" s="679"/>
      <c r="H231" s="679"/>
      <c r="I231" s="679"/>
      <c r="J231" s="679"/>
      <c r="K231" s="679"/>
      <c r="L231" s="679"/>
      <c r="M231" s="679"/>
      <c r="N231" s="679"/>
      <c r="O231" s="679"/>
      <c r="P231" s="679"/>
      <c r="Q231" s="679"/>
      <c r="R231" s="679"/>
      <c r="S231" s="679"/>
      <c r="T231" s="679"/>
      <c r="U231" s="679"/>
      <c r="V231" s="679"/>
      <c r="W231" s="679"/>
      <c r="X231" s="679"/>
      <c r="Y231" s="679"/>
      <c r="Z231" s="679"/>
      <c r="AA231" s="662"/>
      <c r="AB231" s="662"/>
      <c r="AC231" s="662"/>
    </row>
    <row r="232" spans="1:68" ht="14.25" customHeight="1" x14ac:dyDescent="0.25">
      <c r="A232" s="684" t="s">
        <v>97</v>
      </c>
      <c r="B232" s="679"/>
      <c r="C232" s="679"/>
      <c r="D232" s="679"/>
      <c r="E232" s="679"/>
      <c r="F232" s="679"/>
      <c r="G232" s="679"/>
      <c r="H232" s="679"/>
      <c r="I232" s="679"/>
      <c r="J232" s="679"/>
      <c r="K232" s="679"/>
      <c r="L232" s="679"/>
      <c r="M232" s="679"/>
      <c r="N232" s="679"/>
      <c r="O232" s="679"/>
      <c r="P232" s="679"/>
      <c r="Q232" s="679"/>
      <c r="R232" s="679"/>
      <c r="S232" s="679"/>
      <c r="T232" s="679"/>
      <c r="U232" s="679"/>
      <c r="V232" s="679"/>
      <c r="W232" s="679"/>
      <c r="X232" s="679"/>
      <c r="Y232" s="679"/>
      <c r="Z232" s="679"/>
      <c r="AA232" s="663"/>
      <c r="AB232" s="663"/>
      <c r="AC232" s="663"/>
    </row>
    <row r="233" spans="1:68" ht="27" customHeight="1" x14ac:dyDescent="0.25">
      <c r="A233" s="54" t="s">
        <v>388</v>
      </c>
      <c r="B233" s="54" t="s">
        <v>389</v>
      </c>
      <c r="C233" s="31">
        <v>4301011826</v>
      </c>
      <c r="D233" s="671">
        <v>4680115884137</v>
      </c>
      <c r="E233" s="672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4"/>
      <c r="R233" s="674"/>
      <c r="S233" s="674"/>
      <c r="T233" s="675"/>
      <c r="U233" s="34"/>
      <c r="V233" s="34"/>
      <c r="W233" s="35" t="s">
        <v>68</v>
      </c>
      <c r="X233" s="667">
        <v>50</v>
      </c>
      <c r="Y233" s="668">
        <f t="shared" ref="Y233:Y240" si="42">IFERROR(IF(X233="",0,CEILING((X233/$H233),1)*$H233),"")</f>
        <v>58</v>
      </c>
      <c r="Z233" s="36">
        <f>IFERROR(IF(Y233=0,"",ROUNDUP(Y233/H233,0)*0.01898),"")</f>
        <v>9.4899999999999998E-2</v>
      </c>
      <c r="AA233" s="56"/>
      <c r="AB233" s="57"/>
      <c r="AC233" s="289" t="s">
        <v>390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51.875</v>
      </c>
      <c r="BN233" s="64">
        <f t="shared" ref="BN233:BN240" si="44">IFERROR(Y233*I233/H233,"0")</f>
        <v>60.174999999999997</v>
      </c>
      <c r="BO233" s="64">
        <f t="shared" ref="BO233:BO240" si="45">IFERROR(1/J233*(X233/H233),"0")</f>
        <v>6.7349137931034489E-2</v>
      </c>
      <c r="BP233" s="64">
        <f t="shared" ref="BP233:BP240" si="46">IFERROR(1/J233*(Y233/H233),"0")</f>
        <v>7.8125E-2</v>
      </c>
    </row>
    <row r="234" spans="1:68" ht="27" customHeight="1" x14ac:dyDescent="0.25">
      <c r="A234" s="54" t="s">
        <v>388</v>
      </c>
      <c r="B234" s="54" t="s">
        <v>391</v>
      </c>
      <c r="C234" s="31">
        <v>4301011942</v>
      </c>
      <c r="D234" s="671">
        <v>4680115884137</v>
      </c>
      <c r="E234" s="672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100</v>
      </c>
      <c r="L234" s="32"/>
      <c r="M234" s="33" t="s">
        <v>392</v>
      </c>
      <c r="N234" s="33"/>
      <c r="O234" s="32">
        <v>55</v>
      </c>
      <c r="P234" s="724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4"/>
      <c r="R234" s="674"/>
      <c r="S234" s="674"/>
      <c r="T234" s="675"/>
      <c r="U234" s="34"/>
      <c r="V234" s="34"/>
      <c r="W234" s="35" t="s">
        <v>68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393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4301011724</v>
      </c>
      <c r="D235" s="671">
        <v>4680115884236</v>
      </c>
      <c r="E235" s="672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100</v>
      </c>
      <c r="L235" s="32"/>
      <c r="M235" s="33" t="s">
        <v>101</v>
      </c>
      <c r="N235" s="33"/>
      <c r="O235" s="32">
        <v>55</v>
      </c>
      <c r="P235" s="89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4"/>
      <c r="R235" s="674"/>
      <c r="S235" s="674"/>
      <c r="T235" s="675"/>
      <c r="U235" s="34"/>
      <c r="V235" s="34"/>
      <c r="W235" s="35" t="s">
        <v>68</v>
      </c>
      <c r="X235" s="667">
        <v>0</v>
      </c>
      <c r="Y235" s="668">
        <f t="shared" si="42"/>
        <v>0</v>
      </c>
      <c r="Z235" s="36" t="str">
        <f>IFERROR(IF(Y235=0,"",ROUNDUP(Y235/H235,0)*0.01898),"")</f>
        <v/>
      </c>
      <c r="AA235" s="56"/>
      <c r="AB235" s="57"/>
      <c r="AC235" s="293" t="s">
        <v>396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397</v>
      </c>
      <c r="B236" s="54" t="s">
        <v>398</v>
      </c>
      <c r="C236" s="31">
        <v>4301011721</v>
      </c>
      <c r="D236" s="671">
        <v>4680115884175</v>
      </c>
      <c r="E236" s="672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100</v>
      </c>
      <c r="L236" s="32"/>
      <c r="M236" s="33" t="s">
        <v>101</v>
      </c>
      <c r="N236" s="33"/>
      <c r="O236" s="32">
        <v>55</v>
      </c>
      <c r="P236" s="72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4"/>
      <c r="R236" s="674"/>
      <c r="S236" s="674"/>
      <c r="T236" s="675"/>
      <c r="U236" s="34"/>
      <c r="V236" s="34"/>
      <c r="W236" s="35" t="s">
        <v>68</v>
      </c>
      <c r="X236" s="667">
        <v>0</v>
      </c>
      <c r="Y236" s="668">
        <f t="shared" si="42"/>
        <v>0</v>
      </c>
      <c r="Z236" s="36" t="str">
        <f>IFERROR(IF(Y236=0,"",ROUNDUP(Y236/H236,0)*0.01898),"")</f>
        <v/>
      </c>
      <c r="AA236" s="56"/>
      <c r="AB236" s="57"/>
      <c r="AC236" s="295" t="s">
        <v>399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397</v>
      </c>
      <c r="B237" s="54" t="s">
        <v>400</v>
      </c>
      <c r="C237" s="31">
        <v>4301011941</v>
      </c>
      <c r="D237" s="671">
        <v>4680115884175</v>
      </c>
      <c r="E237" s="672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100</v>
      </c>
      <c r="L237" s="32"/>
      <c r="M237" s="33" t="s">
        <v>392</v>
      </c>
      <c r="N237" s="33"/>
      <c r="O237" s="32">
        <v>55</v>
      </c>
      <c r="P237" s="73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4"/>
      <c r="R237" s="674"/>
      <c r="S237" s="674"/>
      <c r="T237" s="675"/>
      <c r="U237" s="34"/>
      <c r="V237" s="34"/>
      <c r="W237" s="35" t="s">
        <v>68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393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401</v>
      </c>
      <c r="B238" s="54" t="s">
        <v>402</v>
      </c>
      <c r="C238" s="31">
        <v>4301011824</v>
      </c>
      <c r="D238" s="671">
        <v>4680115884144</v>
      </c>
      <c r="E238" s="672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105</v>
      </c>
      <c r="L238" s="32"/>
      <c r="M238" s="33" t="s">
        <v>101</v>
      </c>
      <c r="N238" s="33"/>
      <c r="O238" s="32">
        <v>55</v>
      </c>
      <c r="P238" s="8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4"/>
      <c r="R238" s="674"/>
      <c r="S238" s="674"/>
      <c r="T238" s="675"/>
      <c r="U238" s="34"/>
      <c r="V238" s="34"/>
      <c r="W238" s="35" t="s">
        <v>68</v>
      </c>
      <c r="X238" s="667">
        <v>0</v>
      </c>
      <c r="Y238" s="668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390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ht="27" customHeight="1" x14ac:dyDescent="0.25">
      <c r="A239" s="54" t="s">
        <v>403</v>
      </c>
      <c r="B239" s="54" t="s">
        <v>404</v>
      </c>
      <c r="C239" s="31">
        <v>4301011726</v>
      </c>
      <c r="D239" s="671">
        <v>4680115884182</v>
      </c>
      <c r="E239" s="672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105</v>
      </c>
      <c r="L239" s="32"/>
      <c r="M239" s="33" t="s">
        <v>101</v>
      </c>
      <c r="N239" s="33"/>
      <c r="O239" s="32">
        <v>55</v>
      </c>
      <c r="P239" s="83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4"/>
      <c r="R239" s="674"/>
      <c r="S239" s="674"/>
      <c r="T239" s="675"/>
      <c r="U239" s="34"/>
      <c r="V239" s="34"/>
      <c r="W239" s="35" t="s">
        <v>68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396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405</v>
      </c>
      <c r="B240" s="54" t="s">
        <v>406</v>
      </c>
      <c r="C240" s="31">
        <v>4301011722</v>
      </c>
      <c r="D240" s="671">
        <v>4680115884205</v>
      </c>
      <c r="E240" s="672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105</v>
      </c>
      <c r="L240" s="32"/>
      <c r="M240" s="33" t="s">
        <v>101</v>
      </c>
      <c r="N240" s="33"/>
      <c r="O240" s="32">
        <v>55</v>
      </c>
      <c r="P240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4"/>
      <c r="R240" s="674"/>
      <c r="S240" s="674"/>
      <c r="T240" s="675"/>
      <c r="U240" s="34"/>
      <c r="V240" s="34"/>
      <c r="W240" s="35" t="s">
        <v>68</v>
      </c>
      <c r="X240" s="667">
        <v>0</v>
      </c>
      <c r="Y240" s="668">
        <f t="shared" si="42"/>
        <v>0</v>
      </c>
      <c r="Z240" s="36" t="str">
        <f>IFERROR(IF(Y240=0,"",ROUNDUP(Y240/H240,0)*0.00902),"")</f>
        <v/>
      </c>
      <c r="AA240" s="56"/>
      <c r="AB240" s="57"/>
      <c r="AC240" s="303" t="s">
        <v>399</v>
      </c>
      <c r="AG240" s="64"/>
      <c r="AJ240" s="68"/>
      <c r="AK240" s="68">
        <v>0</v>
      </c>
      <c r="BB240" s="304" t="s">
        <v>1</v>
      </c>
      <c r="BM240" s="64">
        <f t="shared" si="43"/>
        <v>0</v>
      </c>
      <c r="BN240" s="64">
        <f t="shared" si="44"/>
        <v>0</v>
      </c>
      <c r="BO240" s="64">
        <f t="shared" si="45"/>
        <v>0</v>
      </c>
      <c r="BP240" s="64">
        <f t="shared" si="46"/>
        <v>0</v>
      </c>
    </row>
    <row r="241" spans="1:68" x14ac:dyDescent="0.2">
      <c r="A241" s="678"/>
      <c r="B241" s="679"/>
      <c r="C241" s="679"/>
      <c r="D241" s="679"/>
      <c r="E241" s="679"/>
      <c r="F241" s="679"/>
      <c r="G241" s="679"/>
      <c r="H241" s="679"/>
      <c r="I241" s="679"/>
      <c r="J241" s="679"/>
      <c r="K241" s="679"/>
      <c r="L241" s="679"/>
      <c r="M241" s="679"/>
      <c r="N241" s="679"/>
      <c r="O241" s="680"/>
      <c r="P241" s="688" t="s">
        <v>87</v>
      </c>
      <c r="Q241" s="689"/>
      <c r="R241" s="689"/>
      <c r="S241" s="689"/>
      <c r="T241" s="689"/>
      <c r="U241" s="689"/>
      <c r="V241" s="690"/>
      <c r="W241" s="37" t="s">
        <v>88</v>
      </c>
      <c r="X241" s="669">
        <f>IFERROR(X233/H233,"0")+IFERROR(X234/H234,"0")+IFERROR(X235/H235,"0")+IFERROR(X236/H236,"0")+IFERROR(X237/H237,"0")+IFERROR(X238/H238,"0")+IFERROR(X239/H239,"0")+IFERROR(X240/H240,"0")</f>
        <v>4.3103448275862073</v>
      </c>
      <c r="Y241" s="669">
        <f>IFERROR(Y233/H233,"0")+IFERROR(Y234/H234,"0")+IFERROR(Y235/H235,"0")+IFERROR(Y236/H236,"0")+IFERROR(Y237/H237,"0")+IFERROR(Y238/H238,"0")+IFERROR(Y239/H239,"0")+IFERROR(Y240/H240,"0")</f>
        <v>5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9.4899999999999998E-2</v>
      </c>
      <c r="AA241" s="670"/>
      <c r="AB241" s="670"/>
      <c r="AC241" s="670"/>
    </row>
    <row r="242" spans="1:68" x14ac:dyDescent="0.2">
      <c r="A242" s="679"/>
      <c r="B242" s="679"/>
      <c r="C242" s="679"/>
      <c r="D242" s="679"/>
      <c r="E242" s="679"/>
      <c r="F242" s="679"/>
      <c r="G242" s="679"/>
      <c r="H242" s="679"/>
      <c r="I242" s="679"/>
      <c r="J242" s="679"/>
      <c r="K242" s="679"/>
      <c r="L242" s="679"/>
      <c r="M242" s="679"/>
      <c r="N242" s="679"/>
      <c r="O242" s="680"/>
      <c r="P242" s="688" t="s">
        <v>87</v>
      </c>
      <c r="Q242" s="689"/>
      <c r="R242" s="689"/>
      <c r="S242" s="689"/>
      <c r="T242" s="689"/>
      <c r="U242" s="689"/>
      <c r="V242" s="690"/>
      <c r="W242" s="37" t="s">
        <v>68</v>
      </c>
      <c r="X242" s="669">
        <f>IFERROR(SUM(X233:X240),"0")</f>
        <v>50</v>
      </c>
      <c r="Y242" s="669">
        <f>IFERROR(SUM(Y233:Y240),"0")</f>
        <v>58</v>
      </c>
      <c r="Z242" s="37"/>
      <c r="AA242" s="670"/>
      <c r="AB242" s="670"/>
      <c r="AC242" s="670"/>
    </row>
    <row r="243" spans="1:68" ht="14.25" customHeight="1" x14ac:dyDescent="0.25">
      <c r="A243" s="684" t="s">
        <v>133</v>
      </c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79"/>
      <c r="P243" s="679"/>
      <c r="Q243" s="679"/>
      <c r="R243" s="679"/>
      <c r="S243" s="679"/>
      <c r="T243" s="679"/>
      <c r="U243" s="679"/>
      <c r="V243" s="679"/>
      <c r="W243" s="679"/>
      <c r="X243" s="679"/>
      <c r="Y243" s="679"/>
      <c r="Z243" s="679"/>
      <c r="AA243" s="663"/>
      <c r="AB243" s="663"/>
      <c r="AC243" s="663"/>
    </row>
    <row r="244" spans="1:68" ht="27" customHeight="1" x14ac:dyDescent="0.25">
      <c r="A244" s="54" t="s">
        <v>407</v>
      </c>
      <c r="B244" s="54" t="s">
        <v>408</v>
      </c>
      <c r="C244" s="31">
        <v>4301020377</v>
      </c>
      <c r="D244" s="671">
        <v>4680115885981</v>
      </c>
      <c r="E244" s="672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147</v>
      </c>
      <c r="L244" s="32"/>
      <c r="M244" s="33" t="s">
        <v>106</v>
      </c>
      <c r="N244" s="33"/>
      <c r="O244" s="32">
        <v>50</v>
      </c>
      <c r="P244" s="673" t="s">
        <v>409</v>
      </c>
      <c r="Q244" s="674"/>
      <c r="R244" s="674"/>
      <c r="S244" s="674"/>
      <c r="T244" s="675"/>
      <c r="U244" s="34"/>
      <c r="V244" s="34"/>
      <c r="W244" s="35" t="s">
        <v>68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410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407</v>
      </c>
      <c r="B245" s="54" t="s">
        <v>411</v>
      </c>
      <c r="C245" s="31">
        <v>4301020340</v>
      </c>
      <c r="D245" s="671">
        <v>4680115885721</v>
      </c>
      <c r="E245" s="672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147</v>
      </c>
      <c r="L245" s="32"/>
      <c r="M245" s="33" t="s">
        <v>106</v>
      </c>
      <c r="N245" s="33"/>
      <c r="O245" s="32">
        <v>50</v>
      </c>
      <c r="P245" s="87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4"/>
      <c r="R245" s="674"/>
      <c r="S245" s="674"/>
      <c r="T245" s="675"/>
      <c r="U245" s="34"/>
      <c r="V245" s="34"/>
      <c r="W245" s="35" t="s">
        <v>68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410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x14ac:dyDescent="0.2">
      <c r="A246" s="678"/>
      <c r="B246" s="679"/>
      <c r="C246" s="679"/>
      <c r="D246" s="679"/>
      <c r="E246" s="679"/>
      <c r="F246" s="679"/>
      <c r="G246" s="679"/>
      <c r="H246" s="679"/>
      <c r="I246" s="679"/>
      <c r="J246" s="679"/>
      <c r="K246" s="679"/>
      <c r="L246" s="679"/>
      <c r="M246" s="679"/>
      <c r="N246" s="679"/>
      <c r="O246" s="680"/>
      <c r="P246" s="688" t="s">
        <v>87</v>
      </c>
      <c r="Q246" s="689"/>
      <c r="R246" s="689"/>
      <c r="S246" s="689"/>
      <c r="T246" s="689"/>
      <c r="U246" s="689"/>
      <c r="V246" s="690"/>
      <c r="W246" s="37" t="s">
        <v>88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x14ac:dyDescent="0.2">
      <c r="A247" s="679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8" t="s">
        <v>87</v>
      </c>
      <c r="Q247" s="689"/>
      <c r="R247" s="689"/>
      <c r="S247" s="689"/>
      <c r="T247" s="689"/>
      <c r="U247" s="689"/>
      <c r="V247" s="690"/>
      <c r="W247" s="37" t="s">
        <v>68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customHeight="1" x14ac:dyDescent="0.25">
      <c r="A248" s="684" t="s">
        <v>412</v>
      </c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79"/>
      <c r="P248" s="679"/>
      <c r="Q248" s="679"/>
      <c r="R248" s="679"/>
      <c r="S248" s="679"/>
      <c r="T248" s="679"/>
      <c r="U248" s="679"/>
      <c r="V248" s="679"/>
      <c r="W248" s="679"/>
      <c r="X248" s="679"/>
      <c r="Y248" s="679"/>
      <c r="Z248" s="679"/>
      <c r="AA248" s="663"/>
      <c r="AB248" s="663"/>
      <c r="AC248" s="663"/>
    </row>
    <row r="249" spans="1:68" ht="27" customHeight="1" x14ac:dyDescent="0.25">
      <c r="A249" s="54" t="s">
        <v>413</v>
      </c>
      <c r="B249" s="54" t="s">
        <v>414</v>
      </c>
      <c r="C249" s="31">
        <v>4301040361</v>
      </c>
      <c r="D249" s="671">
        <v>4680115886803</v>
      </c>
      <c r="E249" s="672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310</v>
      </c>
      <c r="L249" s="32"/>
      <c r="M249" s="33" t="s">
        <v>311</v>
      </c>
      <c r="N249" s="33"/>
      <c r="O249" s="32">
        <v>45</v>
      </c>
      <c r="P249" s="700" t="s">
        <v>415</v>
      </c>
      <c r="Q249" s="674"/>
      <c r="R249" s="674"/>
      <c r="S249" s="674"/>
      <c r="T249" s="675"/>
      <c r="U249" s="34"/>
      <c r="V249" s="34"/>
      <c r="W249" s="35" t="s">
        <v>68</v>
      </c>
      <c r="X249" s="667">
        <v>0</v>
      </c>
      <c r="Y249" s="66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9" t="s">
        <v>416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678"/>
      <c r="B250" s="679"/>
      <c r="C250" s="679"/>
      <c r="D250" s="679"/>
      <c r="E250" s="679"/>
      <c r="F250" s="679"/>
      <c r="G250" s="679"/>
      <c r="H250" s="679"/>
      <c r="I250" s="679"/>
      <c r="J250" s="679"/>
      <c r="K250" s="679"/>
      <c r="L250" s="679"/>
      <c r="M250" s="679"/>
      <c r="N250" s="679"/>
      <c r="O250" s="680"/>
      <c r="P250" s="688" t="s">
        <v>87</v>
      </c>
      <c r="Q250" s="689"/>
      <c r="R250" s="689"/>
      <c r="S250" s="689"/>
      <c r="T250" s="689"/>
      <c r="U250" s="689"/>
      <c r="V250" s="690"/>
      <c r="W250" s="37" t="s">
        <v>88</v>
      </c>
      <c r="X250" s="669">
        <f>IFERROR(X249/H249,"0")</f>
        <v>0</v>
      </c>
      <c r="Y250" s="669">
        <f>IFERROR(Y249/H249,"0")</f>
        <v>0</v>
      </c>
      <c r="Z250" s="669">
        <f>IFERROR(IF(Z249="",0,Z249),"0")</f>
        <v>0</v>
      </c>
      <c r="AA250" s="670"/>
      <c r="AB250" s="670"/>
      <c r="AC250" s="670"/>
    </row>
    <row r="251" spans="1:68" x14ac:dyDescent="0.2">
      <c r="A251" s="679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8" t="s">
        <v>87</v>
      </c>
      <c r="Q251" s="689"/>
      <c r="R251" s="689"/>
      <c r="S251" s="689"/>
      <c r="T251" s="689"/>
      <c r="U251" s="689"/>
      <c r="V251" s="690"/>
      <c r="W251" s="37" t="s">
        <v>68</v>
      </c>
      <c r="X251" s="669">
        <f>IFERROR(SUM(X249:X249),"0")</f>
        <v>0</v>
      </c>
      <c r="Y251" s="669">
        <f>IFERROR(SUM(Y249:Y249),"0")</f>
        <v>0</v>
      </c>
      <c r="Z251" s="37"/>
      <c r="AA251" s="670"/>
      <c r="AB251" s="670"/>
      <c r="AC251" s="670"/>
    </row>
    <row r="252" spans="1:68" ht="14.25" customHeight="1" x14ac:dyDescent="0.25">
      <c r="A252" s="684" t="s">
        <v>417</v>
      </c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79"/>
      <c r="P252" s="679"/>
      <c r="Q252" s="679"/>
      <c r="R252" s="679"/>
      <c r="S252" s="679"/>
      <c r="T252" s="679"/>
      <c r="U252" s="679"/>
      <c r="V252" s="679"/>
      <c r="W252" s="679"/>
      <c r="X252" s="679"/>
      <c r="Y252" s="679"/>
      <c r="Z252" s="679"/>
      <c r="AA252" s="663"/>
      <c r="AB252" s="663"/>
      <c r="AC252" s="663"/>
    </row>
    <row r="253" spans="1:68" ht="27" customHeight="1" x14ac:dyDescent="0.25">
      <c r="A253" s="54" t="s">
        <v>418</v>
      </c>
      <c r="B253" s="54" t="s">
        <v>419</v>
      </c>
      <c r="C253" s="31">
        <v>4301041004</v>
      </c>
      <c r="D253" s="671">
        <v>4680115886704</v>
      </c>
      <c r="E253" s="672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1004" t="s">
        <v>420</v>
      </c>
      <c r="Q253" s="674"/>
      <c r="R253" s="674"/>
      <c r="S253" s="674"/>
      <c r="T253" s="675"/>
      <c r="U253" s="34"/>
      <c r="V253" s="34"/>
      <c r="W253" s="35" t="s">
        <v>68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313</v>
      </c>
      <c r="AC253" s="311" t="s">
        <v>421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422</v>
      </c>
      <c r="B254" s="54" t="s">
        <v>423</v>
      </c>
      <c r="C254" s="31">
        <v>4301041007</v>
      </c>
      <c r="D254" s="671">
        <v>4680115886735</v>
      </c>
      <c r="E254" s="672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921" t="s">
        <v>424</v>
      </c>
      <c r="Q254" s="674"/>
      <c r="R254" s="674"/>
      <c r="S254" s="674"/>
      <c r="T254" s="675"/>
      <c r="U254" s="34"/>
      <c r="V254" s="34"/>
      <c r="W254" s="35" t="s">
        <v>68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313</v>
      </c>
      <c r="AC254" s="313" t="s">
        <v>421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425</v>
      </c>
      <c r="B255" s="54" t="s">
        <v>426</v>
      </c>
      <c r="C255" s="31">
        <v>4301041006</v>
      </c>
      <c r="D255" s="671">
        <v>4680115886728</v>
      </c>
      <c r="E255" s="672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310</v>
      </c>
      <c r="L255" s="32"/>
      <c r="M255" s="33" t="s">
        <v>311</v>
      </c>
      <c r="N255" s="33"/>
      <c r="O255" s="32">
        <v>90</v>
      </c>
      <c r="P255" s="773" t="s">
        <v>427</v>
      </c>
      <c r="Q255" s="674"/>
      <c r="R255" s="674"/>
      <c r="S255" s="674"/>
      <c r="T255" s="675"/>
      <c r="U255" s="34"/>
      <c r="V255" s="34"/>
      <c r="W255" s="35" t="s">
        <v>68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313</v>
      </c>
      <c r="AC255" s="315" t="s">
        <v>421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428</v>
      </c>
      <c r="B256" s="54" t="s">
        <v>429</v>
      </c>
      <c r="C256" s="31">
        <v>4301041005</v>
      </c>
      <c r="D256" s="671">
        <v>4680115886711</v>
      </c>
      <c r="E256" s="672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310</v>
      </c>
      <c r="L256" s="32"/>
      <c r="M256" s="33" t="s">
        <v>311</v>
      </c>
      <c r="N256" s="33"/>
      <c r="O256" s="32">
        <v>90</v>
      </c>
      <c r="P256" s="925" t="s">
        <v>430</v>
      </c>
      <c r="Q256" s="674"/>
      <c r="R256" s="674"/>
      <c r="S256" s="674"/>
      <c r="T256" s="675"/>
      <c r="U256" s="34"/>
      <c r="V256" s="34"/>
      <c r="W256" s="35" t="s">
        <v>68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313</v>
      </c>
      <c r="AC256" s="317" t="s">
        <v>421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431</v>
      </c>
      <c r="B257" s="54" t="s">
        <v>432</v>
      </c>
      <c r="C257" s="31">
        <v>4301041003</v>
      </c>
      <c r="D257" s="671">
        <v>4680115886681</v>
      </c>
      <c r="E257" s="672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310</v>
      </c>
      <c r="L257" s="32"/>
      <c r="M257" s="33" t="s">
        <v>311</v>
      </c>
      <c r="N257" s="33"/>
      <c r="O257" s="32">
        <v>90</v>
      </c>
      <c r="P257" s="938" t="s">
        <v>433</v>
      </c>
      <c r="Q257" s="674"/>
      <c r="R257" s="674"/>
      <c r="S257" s="674"/>
      <c r="T257" s="675"/>
      <c r="U257" s="34"/>
      <c r="V257" s="34"/>
      <c r="W257" s="35" t="s">
        <v>68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421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678"/>
      <c r="B258" s="679"/>
      <c r="C258" s="679"/>
      <c r="D258" s="679"/>
      <c r="E258" s="679"/>
      <c r="F258" s="679"/>
      <c r="G258" s="679"/>
      <c r="H258" s="679"/>
      <c r="I258" s="679"/>
      <c r="J258" s="679"/>
      <c r="K258" s="679"/>
      <c r="L258" s="679"/>
      <c r="M258" s="679"/>
      <c r="N258" s="679"/>
      <c r="O258" s="680"/>
      <c r="P258" s="688" t="s">
        <v>87</v>
      </c>
      <c r="Q258" s="689"/>
      <c r="R258" s="689"/>
      <c r="S258" s="689"/>
      <c r="T258" s="689"/>
      <c r="U258" s="689"/>
      <c r="V258" s="690"/>
      <c r="W258" s="37" t="s">
        <v>88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x14ac:dyDescent="0.2">
      <c r="A259" s="679"/>
      <c r="B259" s="679"/>
      <c r="C259" s="679"/>
      <c r="D259" s="679"/>
      <c r="E259" s="679"/>
      <c r="F259" s="679"/>
      <c r="G259" s="679"/>
      <c r="H259" s="679"/>
      <c r="I259" s="679"/>
      <c r="J259" s="679"/>
      <c r="K259" s="679"/>
      <c r="L259" s="679"/>
      <c r="M259" s="679"/>
      <c r="N259" s="679"/>
      <c r="O259" s="680"/>
      <c r="P259" s="688" t="s">
        <v>87</v>
      </c>
      <c r="Q259" s="689"/>
      <c r="R259" s="689"/>
      <c r="S259" s="689"/>
      <c r="T259" s="689"/>
      <c r="U259" s="689"/>
      <c r="V259" s="690"/>
      <c r="W259" s="37" t="s">
        <v>68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customHeight="1" x14ac:dyDescent="0.25">
      <c r="A260" s="685" t="s">
        <v>434</v>
      </c>
      <c r="B260" s="679"/>
      <c r="C260" s="679"/>
      <c r="D260" s="679"/>
      <c r="E260" s="679"/>
      <c r="F260" s="679"/>
      <c r="G260" s="679"/>
      <c r="H260" s="679"/>
      <c r="I260" s="679"/>
      <c r="J260" s="679"/>
      <c r="K260" s="679"/>
      <c r="L260" s="679"/>
      <c r="M260" s="679"/>
      <c r="N260" s="679"/>
      <c r="O260" s="679"/>
      <c r="P260" s="679"/>
      <c r="Q260" s="679"/>
      <c r="R260" s="679"/>
      <c r="S260" s="679"/>
      <c r="T260" s="679"/>
      <c r="U260" s="679"/>
      <c r="V260" s="679"/>
      <c r="W260" s="679"/>
      <c r="X260" s="679"/>
      <c r="Y260" s="679"/>
      <c r="Z260" s="679"/>
      <c r="AA260" s="662"/>
      <c r="AB260" s="662"/>
      <c r="AC260" s="662"/>
    </row>
    <row r="261" spans="1:68" ht="14.25" customHeight="1" x14ac:dyDescent="0.25">
      <c r="A261" s="684" t="s">
        <v>97</v>
      </c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79"/>
      <c r="P261" s="679"/>
      <c r="Q261" s="679"/>
      <c r="R261" s="679"/>
      <c r="S261" s="679"/>
      <c r="T261" s="679"/>
      <c r="U261" s="679"/>
      <c r="V261" s="679"/>
      <c r="W261" s="679"/>
      <c r="X261" s="679"/>
      <c r="Y261" s="679"/>
      <c r="Z261" s="679"/>
      <c r="AA261" s="663"/>
      <c r="AB261" s="663"/>
      <c r="AC261" s="663"/>
    </row>
    <row r="262" spans="1:68" ht="27" customHeight="1" x14ac:dyDescent="0.25">
      <c r="A262" s="54" t="s">
        <v>435</v>
      </c>
      <c r="B262" s="54" t="s">
        <v>436</v>
      </c>
      <c r="C262" s="31">
        <v>4301011855</v>
      </c>
      <c r="D262" s="671">
        <v>4680115885837</v>
      </c>
      <c r="E262" s="672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100</v>
      </c>
      <c r="L262" s="32"/>
      <c r="M262" s="33" t="s">
        <v>101</v>
      </c>
      <c r="N262" s="33"/>
      <c r="O262" s="32">
        <v>55</v>
      </c>
      <c r="P262" s="10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4"/>
      <c r="R262" s="674"/>
      <c r="S262" s="674"/>
      <c r="T262" s="675"/>
      <c r="U262" s="34"/>
      <c r="V262" s="34"/>
      <c r="W262" s="35" t="s">
        <v>68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437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customHeight="1" x14ac:dyDescent="0.25">
      <c r="A263" s="54" t="s">
        <v>438</v>
      </c>
      <c r="B263" s="54" t="s">
        <v>439</v>
      </c>
      <c r="C263" s="31">
        <v>4301011850</v>
      </c>
      <c r="D263" s="671">
        <v>4680115885806</v>
      </c>
      <c r="E263" s="672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100</v>
      </c>
      <c r="L263" s="32"/>
      <c r="M263" s="33" t="s">
        <v>101</v>
      </c>
      <c r="N263" s="33"/>
      <c r="O263" s="32">
        <v>55</v>
      </c>
      <c r="P263" s="102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4"/>
      <c r="R263" s="674"/>
      <c r="S263" s="674"/>
      <c r="T263" s="675"/>
      <c r="U263" s="34"/>
      <c r="V263" s="34"/>
      <c r="W263" s="35" t="s">
        <v>68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440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438</v>
      </c>
      <c r="B264" s="54" t="s">
        <v>441</v>
      </c>
      <c r="C264" s="31">
        <v>4301011910</v>
      </c>
      <c r="D264" s="671">
        <v>4680115885806</v>
      </c>
      <c r="E264" s="672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100</v>
      </c>
      <c r="L264" s="32"/>
      <c r="M264" s="33" t="s">
        <v>392</v>
      </c>
      <c r="N264" s="33"/>
      <c r="O264" s="32">
        <v>55</v>
      </c>
      <c r="P264" s="82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4"/>
      <c r="R264" s="674"/>
      <c r="S264" s="674"/>
      <c r="T264" s="675"/>
      <c r="U264" s="34"/>
      <c r="V264" s="34"/>
      <c r="W264" s="35" t="s">
        <v>68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442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customHeight="1" x14ac:dyDescent="0.25">
      <c r="A265" s="54" t="s">
        <v>443</v>
      </c>
      <c r="B265" s="54" t="s">
        <v>444</v>
      </c>
      <c r="C265" s="31">
        <v>4301011853</v>
      </c>
      <c r="D265" s="671">
        <v>4680115885851</v>
      </c>
      <c r="E265" s="672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55</v>
      </c>
      <c r="P265" s="7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4"/>
      <c r="R265" s="674"/>
      <c r="S265" s="674"/>
      <c r="T265" s="675"/>
      <c r="U265" s="34"/>
      <c r="V265" s="34"/>
      <c r="W265" s="35" t="s">
        <v>68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445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customHeight="1" x14ac:dyDescent="0.25">
      <c r="A266" s="54" t="s">
        <v>446</v>
      </c>
      <c r="B266" s="54" t="s">
        <v>447</v>
      </c>
      <c r="C266" s="31">
        <v>4301011852</v>
      </c>
      <c r="D266" s="671">
        <v>4680115885844</v>
      </c>
      <c r="E266" s="672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105</v>
      </c>
      <c r="L266" s="32"/>
      <c r="M266" s="33" t="s">
        <v>101</v>
      </c>
      <c r="N266" s="33"/>
      <c r="O266" s="32">
        <v>55</v>
      </c>
      <c r="P266" s="7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4"/>
      <c r="R266" s="674"/>
      <c r="S266" s="674"/>
      <c r="T266" s="675"/>
      <c r="U266" s="34"/>
      <c r="V266" s="34"/>
      <c r="W266" s="35" t="s">
        <v>68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448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customHeight="1" x14ac:dyDescent="0.25">
      <c r="A267" s="54" t="s">
        <v>449</v>
      </c>
      <c r="B267" s="54" t="s">
        <v>450</v>
      </c>
      <c r="C267" s="31">
        <v>4301011851</v>
      </c>
      <c r="D267" s="671">
        <v>4680115885820</v>
      </c>
      <c r="E267" s="672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105</v>
      </c>
      <c r="L267" s="32"/>
      <c r="M267" s="33" t="s">
        <v>101</v>
      </c>
      <c r="N267" s="33"/>
      <c r="O267" s="32">
        <v>55</v>
      </c>
      <c r="P267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4"/>
      <c r="R267" s="674"/>
      <c r="S267" s="674"/>
      <c r="T267" s="675"/>
      <c r="U267" s="34"/>
      <c r="V267" s="34"/>
      <c r="W267" s="35" t="s">
        <v>68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451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x14ac:dyDescent="0.2">
      <c r="A268" s="678"/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80"/>
      <c r="P268" s="688" t="s">
        <v>87</v>
      </c>
      <c r="Q268" s="689"/>
      <c r="R268" s="689"/>
      <c r="S268" s="689"/>
      <c r="T268" s="689"/>
      <c r="U268" s="689"/>
      <c r="V268" s="690"/>
      <c r="W268" s="37" t="s">
        <v>88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x14ac:dyDescent="0.2">
      <c r="A269" s="679"/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80"/>
      <c r="P269" s="688" t="s">
        <v>87</v>
      </c>
      <c r="Q269" s="689"/>
      <c r="R269" s="689"/>
      <c r="S269" s="689"/>
      <c r="T269" s="689"/>
      <c r="U269" s="689"/>
      <c r="V269" s="690"/>
      <c r="W269" s="37" t="s">
        <v>68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customHeight="1" x14ac:dyDescent="0.25">
      <c r="A270" s="685" t="s">
        <v>452</v>
      </c>
      <c r="B270" s="679"/>
      <c r="C270" s="679"/>
      <c r="D270" s="679"/>
      <c r="E270" s="679"/>
      <c r="F270" s="679"/>
      <c r="G270" s="679"/>
      <c r="H270" s="679"/>
      <c r="I270" s="679"/>
      <c r="J270" s="679"/>
      <c r="K270" s="679"/>
      <c r="L270" s="679"/>
      <c r="M270" s="679"/>
      <c r="N270" s="679"/>
      <c r="O270" s="679"/>
      <c r="P270" s="679"/>
      <c r="Q270" s="679"/>
      <c r="R270" s="679"/>
      <c r="S270" s="679"/>
      <c r="T270" s="679"/>
      <c r="U270" s="679"/>
      <c r="V270" s="679"/>
      <c r="W270" s="679"/>
      <c r="X270" s="679"/>
      <c r="Y270" s="679"/>
      <c r="Z270" s="679"/>
      <c r="AA270" s="662"/>
      <c r="AB270" s="662"/>
      <c r="AC270" s="662"/>
    </row>
    <row r="271" spans="1:68" ht="14.25" customHeight="1" x14ac:dyDescent="0.25">
      <c r="A271" s="684" t="s">
        <v>97</v>
      </c>
      <c r="B271" s="679"/>
      <c r="C271" s="679"/>
      <c r="D271" s="679"/>
      <c r="E271" s="679"/>
      <c r="F271" s="679"/>
      <c r="G271" s="679"/>
      <c r="H271" s="679"/>
      <c r="I271" s="679"/>
      <c r="J271" s="679"/>
      <c r="K271" s="679"/>
      <c r="L271" s="679"/>
      <c r="M271" s="679"/>
      <c r="N271" s="679"/>
      <c r="O271" s="679"/>
      <c r="P271" s="679"/>
      <c r="Q271" s="679"/>
      <c r="R271" s="679"/>
      <c r="S271" s="679"/>
      <c r="T271" s="679"/>
      <c r="U271" s="679"/>
      <c r="V271" s="679"/>
      <c r="W271" s="679"/>
      <c r="X271" s="679"/>
      <c r="Y271" s="679"/>
      <c r="Z271" s="679"/>
      <c r="AA271" s="663"/>
      <c r="AB271" s="663"/>
      <c r="AC271" s="663"/>
    </row>
    <row r="272" spans="1:68" ht="37.5" customHeight="1" x14ac:dyDescent="0.25">
      <c r="A272" s="54" t="s">
        <v>453</v>
      </c>
      <c r="B272" s="54" t="s">
        <v>454</v>
      </c>
      <c r="C272" s="31">
        <v>4301011876</v>
      </c>
      <c r="D272" s="671">
        <v>4680115885707</v>
      </c>
      <c r="E272" s="672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100</v>
      </c>
      <c r="L272" s="32"/>
      <c r="M272" s="33" t="s">
        <v>101</v>
      </c>
      <c r="N272" s="33"/>
      <c r="O272" s="32">
        <v>31</v>
      </c>
      <c r="P272" s="84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4"/>
      <c r="R272" s="674"/>
      <c r="S272" s="674"/>
      <c r="T272" s="675"/>
      <c r="U272" s="34"/>
      <c r="V272" s="34"/>
      <c r="W272" s="35" t="s">
        <v>68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455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8" t="s">
        <v>87</v>
      </c>
      <c r="Q273" s="689"/>
      <c r="R273" s="689"/>
      <c r="S273" s="689"/>
      <c r="T273" s="689"/>
      <c r="U273" s="689"/>
      <c r="V273" s="690"/>
      <c r="W273" s="37" t="s">
        <v>88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8" t="s">
        <v>87</v>
      </c>
      <c r="Q274" s="689"/>
      <c r="R274" s="689"/>
      <c r="S274" s="689"/>
      <c r="T274" s="689"/>
      <c r="U274" s="689"/>
      <c r="V274" s="690"/>
      <c r="W274" s="37" t="s">
        <v>68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customHeight="1" x14ac:dyDescent="0.25">
      <c r="A275" s="685" t="s">
        <v>456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2"/>
      <c r="AB275" s="662"/>
      <c r="AC275" s="662"/>
    </row>
    <row r="276" spans="1:68" ht="14.25" customHeight="1" x14ac:dyDescent="0.25">
      <c r="A276" s="684" t="s">
        <v>97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3"/>
      <c r="AB276" s="663"/>
      <c r="AC276" s="663"/>
    </row>
    <row r="277" spans="1:68" ht="27" customHeight="1" x14ac:dyDescent="0.25">
      <c r="A277" s="54" t="s">
        <v>457</v>
      </c>
      <c r="B277" s="54" t="s">
        <v>458</v>
      </c>
      <c r="C277" s="31">
        <v>4301011223</v>
      </c>
      <c r="D277" s="671">
        <v>4607091383423</v>
      </c>
      <c r="E277" s="672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100</v>
      </c>
      <c r="L277" s="32"/>
      <c r="M277" s="33" t="s">
        <v>106</v>
      </c>
      <c r="N277" s="33"/>
      <c r="O277" s="32">
        <v>35</v>
      </c>
      <c r="P277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4"/>
      <c r="R277" s="674"/>
      <c r="S277" s="674"/>
      <c r="T277" s="675"/>
      <c r="U277" s="34"/>
      <c r="V277" s="34"/>
      <c r="W277" s="35" t="s">
        <v>68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102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459</v>
      </c>
      <c r="B278" s="54" t="s">
        <v>460</v>
      </c>
      <c r="C278" s="31">
        <v>4301012099</v>
      </c>
      <c r="D278" s="671">
        <v>4680115885691</v>
      </c>
      <c r="E278" s="672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100</v>
      </c>
      <c r="L278" s="32"/>
      <c r="M278" s="33" t="s">
        <v>106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4"/>
      <c r="R278" s="674"/>
      <c r="S278" s="674"/>
      <c r="T278" s="675"/>
      <c r="U278" s="34"/>
      <c r="V278" s="34"/>
      <c r="W278" s="35" t="s">
        <v>68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461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462</v>
      </c>
      <c r="B279" s="54" t="s">
        <v>463</v>
      </c>
      <c r="C279" s="31">
        <v>4301012098</v>
      </c>
      <c r="D279" s="671">
        <v>4680115885660</v>
      </c>
      <c r="E279" s="672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100</v>
      </c>
      <c r="L279" s="32"/>
      <c r="M279" s="33" t="s">
        <v>106</v>
      </c>
      <c r="N279" s="33"/>
      <c r="O279" s="32">
        <v>35</v>
      </c>
      <c r="P279" s="9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4"/>
      <c r="R279" s="674"/>
      <c r="S279" s="674"/>
      <c r="T279" s="675"/>
      <c r="U279" s="34"/>
      <c r="V279" s="34"/>
      <c r="W279" s="35" t="s">
        <v>68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464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465</v>
      </c>
      <c r="B280" s="54" t="s">
        <v>466</v>
      </c>
      <c r="C280" s="31">
        <v>4301012176</v>
      </c>
      <c r="D280" s="671">
        <v>4680115886773</v>
      </c>
      <c r="E280" s="672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100</v>
      </c>
      <c r="L280" s="32"/>
      <c r="M280" s="33" t="s">
        <v>101</v>
      </c>
      <c r="N280" s="33"/>
      <c r="O280" s="32">
        <v>31</v>
      </c>
      <c r="P280" s="810" t="s">
        <v>467</v>
      </c>
      <c r="Q280" s="674"/>
      <c r="R280" s="674"/>
      <c r="S280" s="674"/>
      <c r="T280" s="675"/>
      <c r="U280" s="34"/>
      <c r="V280" s="34"/>
      <c r="W280" s="35" t="s">
        <v>68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468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678"/>
      <c r="B281" s="679"/>
      <c r="C281" s="679"/>
      <c r="D281" s="679"/>
      <c r="E281" s="679"/>
      <c r="F281" s="679"/>
      <c r="G281" s="679"/>
      <c r="H281" s="679"/>
      <c r="I281" s="679"/>
      <c r="J281" s="679"/>
      <c r="K281" s="679"/>
      <c r="L281" s="679"/>
      <c r="M281" s="679"/>
      <c r="N281" s="679"/>
      <c r="O281" s="680"/>
      <c r="P281" s="688" t="s">
        <v>87</v>
      </c>
      <c r="Q281" s="689"/>
      <c r="R281" s="689"/>
      <c r="S281" s="689"/>
      <c r="T281" s="689"/>
      <c r="U281" s="689"/>
      <c r="V281" s="690"/>
      <c r="W281" s="37" t="s">
        <v>88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x14ac:dyDescent="0.2">
      <c r="A282" s="679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8" t="s">
        <v>87</v>
      </c>
      <c r="Q282" s="689"/>
      <c r="R282" s="689"/>
      <c r="S282" s="689"/>
      <c r="T282" s="689"/>
      <c r="U282" s="689"/>
      <c r="V282" s="690"/>
      <c r="W282" s="37" t="s">
        <v>68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customHeight="1" x14ac:dyDescent="0.25">
      <c r="A283" s="685" t="s">
        <v>469</v>
      </c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79"/>
      <c r="P283" s="679"/>
      <c r="Q283" s="679"/>
      <c r="R283" s="679"/>
      <c r="S283" s="679"/>
      <c r="T283" s="679"/>
      <c r="U283" s="679"/>
      <c r="V283" s="679"/>
      <c r="W283" s="679"/>
      <c r="X283" s="679"/>
      <c r="Y283" s="679"/>
      <c r="Z283" s="679"/>
      <c r="AA283" s="662"/>
      <c r="AB283" s="662"/>
      <c r="AC283" s="662"/>
    </row>
    <row r="284" spans="1:68" ht="14.25" customHeight="1" x14ac:dyDescent="0.25">
      <c r="A284" s="684" t="s">
        <v>63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3"/>
      <c r="AB284" s="663"/>
      <c r="AC284" s="663"/>
    </row>
    <row r="285" spans="1:68" ht="37.5" customHeight="1" x14ac:dyDescent="0.25">
      <c r="A285" s="54" t="s">
        <v>470</v>
      </c>
      <c r="B285" s="54" t="s">
        <v>471</v>
      </c>
      <c r="C285" s="31">
        <v>4301051940</v>
      </c>
      <c r="D285" s="671">
        <v>4680115881037</v>
      </c>
      <c r="E285" s="672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105</v>
      </c>
      <c r="L285" s="32"/>
      <c r="M285" s="33" t="s">
        <v>129</v>
      </c>
      <c r="N285" s="33"/>
      <c r="O285" s="32">
        <v>40</v>
      </c>
      <c r="P285" s="847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4"/>
      <c r="R285" s="674"/>
      <c r="S285" s="674"/>
      <c r="T285" s="675"/>
      <c r="U285" s="34"/>
      <c r="V285" s="34"/>
      <c r="W285" s="35" t="s">
        <v>68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472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473</v>
      </c>
      <c r="B286" s="54" t="s">
        <v>474</v>
      </c>
      <c r="C286" s="31">
        <v>4301051893</v>
      </c>
      <c r="D286" s="671">
        <v>4680115886186</v>
      </c>
      <c r="E286" s="672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66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4"/>
      <c r="R286" s="674"/>
      <c r="S286" s="674"/>
      <c r="T286" s="675"/>
      <c r="U286" s="34"/>
      <c r="V286" s="34"/>
      <c r="W286" s="35" t="s">
        <v>68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475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476</v>
      </c>
      <c r="B287" s="54" t="s">
        <v>477</v>
      </c>
      <c r="C287" s="31">
        <v>4301051795</v>
      </c>
      <c r="D287" s="671">
        <v>4680115881228</v>
      </c>
      <c r="E287" s="672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66</v>
      </c>
      <c r="L287" s="32"/>
      <c r="M287" s="33" t="s">
        <v>129</v>
      </c>
      <c r="N287" s="33"/>
      <c r="O287" s="32">
        <v>40</v>
      </c>
      <c r="P287" s="7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4"/>
      <c r="R287" s="674"/>
      <c r="S287" s="674"/>
      <c r="T287" s="675"/>
      <c r="U287" s="34"/>
      <c r="V287" s="34"/>
      <c r="W287" s="35" t="s">
        <v>68</v>
      </c>
      <c r="X287" s="667">
        <v>41</v>
      </c>
      <c r="Y287" s="668">
        <f>IFERROR(IF(X287="",0,CEILING((X287/$H287),1)*$H287),"")</f>
        <v>43.199999999999996</v>
      </c>
      <c r="Z287" s="36">
        <f>IFERROR(IF(Y287=0,"",ROUNDUP(Y287/H287,0)*0.00651),"")</f>
        <v>0.11718000000000001</v>
      </c>
      <c r="AA287" s="56"/>
      <c r="AB287" s="57"/>
      <c r="AC287" s="347" t="s">
        <v>472</v>
      </c>
      <c r="AG287" s="64"/>
      <c r="AJ287" s="68"/>
      <c r="AK287" s="68">
        <v>0</v>
      </c>
      <c r="BB287" s="348" t="s">
        <v>1</v>
      </c>
      <c r="BM287" s="64">
        <f>IFERROR(X287*I287/H287,"0")</f>
        <v>45.305</v>
      </c>
      <c r="BN287" s="64">
        <f>IFERROR(Y287*I287/H287,"0")</f>
        <v>47.736000000000004</v>
      </c>
      <c r="BO287" s="64">
        <f>IFERROR(1/J287*(X287/H287),"0")</f>
        <v>9.3864468864468878E-2</v>
      </c>
      <c r="BP287" s="64">
        <f>IFERROR(1/J287*(Y287/H287),"0")</f>
        <v>9.8901098901098911E-2</v>
      </c>
    </row>
    <row r="288" spans="1:68" ht="37.5" customHeight="1" x14ac:dyDescent="0.25">
      <c r="A288" s="54" t="s">
        <v>478</v>
      </c>
      <c r="B288" s="54" t="s">
        <v>479</v>
      </c>
      <c r="C288" s="31">
        <v>4301051388</v>
      </c>
      <c r="D288" s="671">
        <v>4680115881211</v>
      </c>
      <c r="E288" s="672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66</v>
      </c>
      <c r="L288" s="32"/>
      <c r="M288" s="33" t="s">
        <v>106</v>
      </c>
      <c r="N288" s="33"/>
      <c r="O288" s="32">
        <v>45</v>
      </c>
      <c r="P288" s="10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4"/>
      <c r="R288" s="674"/>
      <c r="S288" s="674"/>
      <c r="T288" s="675"/>
      <c r="U288" s="34"/>
      <c r="V288" s="34"/>
      <c r="W288" s="35" t="s">
        <v>68</v>
      </c>
      <c r="X288" s="667">
        <v>123</v>
      </c>
      <c r="Y288" s="668">
        <f>IFERROR(IF(X288="",0,CEILING((X288/$H288),1)*$H288),"")</f>
        <v>124.8</v>
      </c>
      <c r="Z288" s="36">
        <f>IFERROR(IF(Y288=0,"",ROUNDUP(Y288/H288,0)*0.00651),"")</f>
        <v>0.33851999999999999</v>
      </c>
      <c r="AA288" s="56"/>
      <c r="AB288" s="57"/>
      <c r="AC288" s="349" t="s">
        <v>480</v>
      </c>
      <c r="AG288" s="64"/>
      <c r="AJ288" s="68"/>
      <c r="AK288" s="68">
        <v>0</v>
      </c>
      <c r="BB288" s="350" t="s">
        <v>1</v>
      </c>
      <c r="BM288" s="64">
        <f>IFERROR(X288*I288/H288,"0")</f>
        <v>132.22500000000002</v>
      </c>
      <c r="BN288" s="64">
        <f>IFERROR(Y288*I288/H288,"0")</f>
        <v>134.16</v>
      </c>
      <c r="BO288" s="64">
        <f>IFERROR(1/J288*(X288/H288),"0")</f>
        <v>0.28159340659340659</v>
      </c>
      <c r="BP288" s="64">
        <f>IFERROR(1/J288*(Y288/H288),"0")</f>
        <v>0.28571428571428575</v>
      </c>
    </row>
    <row r="289" spans="1:68" ht="27" customHeight="1" x14ac:dyDescent="0.25">
      <c r="A289" s="54" t="s">
        <v>481</v>
      </c>
      <c r="B289" s="54" t="s">
        <v>482</v>
      </c>
      <c r="C289" s="31">
        <v>4301051386</v>
      </c>
      <c r="D289" s="671">
        <v>4680115881020</v>
      </c>
      <c r="E289" s="672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105</v>
      </c>
      <c r="L289" s="32"/>
      <c r="M289" s="33" t="s">
        <v>106</v>
      </c>
      <c r="N289" s="33"/>
      <c r="O289" s="32">
        <v>45</v>
      </c>
      <c r="P289" s="827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4"/>
      <c r="R289" s="674"/>
      <c r="S289" s="674"/>
      <c r="T289" s="675"/>
      <c r="U289" s="34"/>
      <c r="V289" s="34"/>
      <c r="W289" s="35" t="s">
        <v>68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475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78"/>
      <c r="B290" s="679"/>
      <c r="C290" s="679"/>
      <c r="D290" s="679"/>
      <c r="E290" s="679"/>
      <c r="F290" s="679"/>
      <c r="G290" s="679"/>
      <c r="H290" s="679"/>
      <c r="I290" s="679"/>
      <c r="J290" s="679"/>
      <c r="K290" s="679"/>
      <c r="L290" s="679"/>
      <c r="M290" s="679"/>
      <c r="N290" s="679"/>
      <c r="O290" s="680"/>
      <c r="P290" s="688" t="s">
        <v>87</v>
      </c>
      <c r="Q290" s="689"/>
      <c r="R290" s="689"/>
      <c r="S290" s="689"/>
      <c r="T290" s="689"/>
      <c r="U290" s="689"/>
      <c r="V290" s="690"/>
      <c r="W290" s="37" t="s">
        <v>88</v>
      </c>
      <c r="X290" s="669">
        <f>IFERROR(X285/H285,"0")+IFERROR(X286/H286,"0")+IFERROR(X287/H287,"0")+IFERROR(X288/H288,"0")+IFERROR(X289/H289,"0")</f>
        <v>68.333333333333343</v>
      </c>
      <c r="Y290" s="669">
        <f>IFERROR(Y285/H285,"0")+IFERROR(Y286/H286,"0")+IFERROR(Y287/H287,"0")+IFERROR(Y288/H288,"0")+IFERROR(Y289/H289,"0")</f>
        <v>70</v>
      </c>
      <c r="Z290" s="669">
        <f>IFERROR(IF(Z285="",0,Z285),"0")+IFERROR(IF(Z286="",0,Z286),"0")+IFERROR(IF(Z287="",0,Z287),"0")+IFERROR(IF(Z288="",0,Z288),"0")+IFERROR(IF(Z289="",0,Z289),"0")</f>
        <v>0.45569999999999999</v>
      </c>
      <c r="AA290" s="670"/>
      <c r="AB290" s="670"/>
      <c r="AC290" s="670"/>
    </row>
    <row r="291" spans="1:68" x14ac:dyDescent="0.2">
      <c r="A291" s="679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8" t="s">
        <v>87</v>
      </c>
      <c r="Q291" s="689"/>
      <c r="R291" s="689"/>
      <c r="S291" s="689"/>
      <c r="T291" s="689"/>
      <c r="U291" s="689"/>
      <c r="V291" s="690"/>
      <c r="W291" s="37" t="s">
        <v>68</v>
      </c>
      <c r="X291" s="669">
        <f>IFERROR(SUM(X285:X289),"0")</f>
        <v>164</v>
      </c>
      <c r="Y291" s="669">
        <f>IFERROR(SUM(Y285:Y289),"0")</f>
        <v>168</v>
      </c>
      <c r="Z291" s="37"/>
      <c r="AA291" s="670"/>
      <c r="AB291" s="670"/>
      <c r="AC291" s="670"/>
    </row>
    <row r="292" spans="1:68" ht="16.5" customHeight="1" x14ac:dyDescent="0.25">
      <c r="A292" s="685" t="s">
        <v>483</v>
      </c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79"/>
      <c r="P292" s="679"/>
      <c r="Q292" s="679"/>
      <c r="R292" s="679"/>
      <c r="S292" s="679"/>
      <c r="T292" s="679"/>
      <c r="U292" s="679"/>
      <c r="V292" s="679"/>
      <c r="W292" s="679"/>
      <c r="X292" s="679"/>
      <c r="Y292" s="679"/>
      <c r="Z292" s="679"/>
      <c r="AA292" s="662"/>
      <c r="AB292" s="662"/>
      <c r="AC292" s="662"/>
    </row>
    <row r="293" spans="1:68" ht="14.25" customHeight="1" x14ac:dyDescent="0.25">
      <c r="A293" s="684" t="s">
        <v>97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3"/>
      <c r="AB293" s="663"/>
      <c r="AC293" s="663"/>
    </row>
    <row r="294" spans="1:68" ht="27" customHeight="1" x14ac:dyDescent="0.25">
      <c r="A294" s="54" t="s">
        <v>484</v>
      </c>
      <c r="B294" s="54" t="s">
        <v>485</v>
      </c>
      <c r="C294" s="31">
        <v>4301011306</v>
      </c>
      <c r="D294" s="671">
        <v>4607091389296</v>
      </c>
      <c r="E294" s="672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3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4"/>
      <c r="R294" s="674"/>
      <c r="S294" s="674"/>
      <c r="T294" s="675"/>
      <c r="U294" s="34"/>
      <c r="V294" s="34"/>
      <c r="W294" s="35" t="s">
        <v>68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486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8" t="s">
        <v>87</v>
      </c>
      <c r="Q295" s="689"/>
      <c r="R295" s="689"/>
      <c r="S295" s="689"/>
      <c r="T295" s="689"/>
      <c r="U295" s="689"/>
      <c r="V295" s="690"/>
      <c r="W295" s="37" t="s">
        <v>88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8" t="s">
        <v>87</v>
      </c>
      <c r="Q296" s="689"/>
      <c r="R296" s="689"/>
      <c r="S296" s="689"/>
      <c r="T296" s="689"/>
      <c r="U296" s="689"/>
      <c r="V296" s="690"/>
      <c r="W296" s="37" t="s">
        <v>68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customHeight="1" x14ac:dyDescent="0.25">
      <c r="A297" s="684" t="s">
        <v>144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3"/>
      <c r="AB297" s="663"/>
      <c r="AC297" s="663"/>
    </row>
    <row r="298" spans="1:68" ht="27" customHeight="1" x14ac:dyDescent="0.25">
      <c r="A298" s="54" t="s">
        <v>487</v>
      </c>
      <c r="B298" s="54" t="s">
        <v>488</v>
      </c>
      <c r="C298" s="31">
        <v>4301031307</v>
      </c>
      <c r="D298" s="671">
        <v>4680115880344</v>
      </c>
      <c r="E298" s="672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147</v>
      </c>
      <c r="L298" s="32"/>
      <c r="M298" s="33" t="s">
        <v>67</v>
      </c>
      <c r="N298" s="33"/>
      <c r="O298" s="32">
        <v>40</v>
      </c>
      <c r="P298" s="9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4"/>
      <c r="R298" s="674"/>
      <c r="S298" s="674"/>
      <c r="T298" s="675"/>
      <c r="U298" s="34"/>
      <c r="V298" s="34"/>
      <c r="W298" s="35" t="s">
        <v>68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489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678"/>
      <c r="B299" s="679"/>
      <c r="C299" s="679"/>
      <c r="D299" s="679"/>
      <c r="E299" s="679"/>
      <c r="F299" s="679"/>
      <c r="G299" s="679"/>
      <c r="H299" s="679"/>
      <c r="I299" s="679"/>
      <c r="J299" s="679"/>
      <c r="K299" s="679"/>
      <c r="L299" s="679"/>
      <c r="M299" s="679"/>
      <c r="N299" s="679"/>
      <c r="O299" s="680"/>
      <c r="P299" s="688" t="s">
        <v>87</v>
      </c>
      <c r="Q299" s="689"/>
      <c r="R299" s="689"/>
      <c r="S299" s="689"/>
      <c r="T299" s="689"/>
      <c r="U299" s="689"/>
      <c r="V299" s="690"/>
      <c r="W299" s="37" t="s">
        <v>88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x14ac:dyDescent="0.2">
      <c r="A300" s="679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8" t="s">
        <v>87</v>
      </c>
      <c r="Q300" s="689"/>
      <c r="R300" s="689"/>
      <c r="S300" s="689"/>
      <c r="T300" s="689"/>
      <c r="U300" s="689"/>
      <c r="V300" s="690"/>
      <c r="W300" s="37" t="s">
        <v>68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customHeight="1" x14ac:dyDescent="0.25">
      <c r="A301" s="684" t="s">
        <v>63</v>
      </c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79"/>
      <c r="P301" s="679"/>
      <c r="Q301" s="679"/>
      <c r="R301" s="679"/>
      <c r="S301" s="679"/>
      <c r="T301" s="679"/>
      <c r="U301" s="679"/>
      <c r="V301" s="679"/>
      <c r="W301" s="679"/>
      <c r="X301" s="679"/>
      <c r="Y301" s="679"/>
      <c r="Z301" s="679"/>
      <c r="AA301" s="663"/>
      <c r="AB301" s="663"/>
      <c r="AC301" s="663"/>
    </row>
    <row r="302" spans="1:68" ht="27" customHeight="1" x14ac:dyDescent="0.25">
      <c r="A302" s="54" t="s">
        <v>490</v>
      </c>
      <c r="B302" s="54" t="s">
        <v>491</v>
      </c>
      <c r="C302" s="31">
        <v>4301051782</v>
      </c>
      <c r="D302" s="671">
        <v>4680115884618</v>
      </c>
      <c r="E302" s="672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105</v>
      </c>
      <c r="L302" s="32"/>
      <c r="M302" s="33" t="s">
        <v>106</v>
      </c>
      <c r="N302" s="33"/>
      <c r="O302" s="32">
        <v>45</v>
      </c>
      <c r="P302" s="6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4"/>
      <c r="R302" s="674"/>
      <c r="S302" s="674"/>
      <c r="T302" s="675"/>
      <c r="U302" s="34"/>
      <c r="V302" s="34"/>
      <c r="W302" s="35" t="s">
        <v>68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492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678"/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80"/>
      <c r="P303" s="688" t="s">
        <v>87</v>
      </c>
      <c r="Q303" s="689"/>
      <c r="R303" s="689"/>
      <c r="S303" s="689"/>
      <c r="T303" s="689"/>
      <c r="U303" s="689"/>
      <c r="V303" s="690"/>
      <c r="W303" s="37" t="s">
        <v>88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x14ac:dyDescent="0.2">
      <c r="A304" s="679"/>
      <c r="B304" s="679"/>
      <c r="C304" s="679"/>
      <c r="D304" s="679"/>
      <c r="E304" s="679"/>
      <c r="F304" s="679"/>
      <c r="G304" s="679"/>
      <c r="H304" s="679"/>
      <c r="I304" s="679"/>
      <c r="J304" s="679"/>
      <c r="K304" s="679"/>
      <c r="L304" s="679"/>
      <c r="M304" s="679"/>
      <c r="N304" s="679"/>
      <c r="O304" s="680"/>
      <c r="P304" s="688" t="s">
        <v>87</v>
      </c>
      <c r="Q304" s="689"/>
      <c r="R304" s="689"/>
      <c r="S304" s="689"/>
      <c r="T304" s="689"/>
      <c r="U304" s="689"/>
      <c r="V304" s="690"/>
      <c r="W304" s="37" t="s">
        <v>68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customHeight="1" x14ac:dyDescent="0.25">
      <c r="A305" s="685" t="s">
        <v>493</v>
      </c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79"/>
      <c r="P305" s="679"/>
      <c r="Q305" s="679"/>
      <c r="R305" s="679"/>
      <c r="S305" s="679"/>
      <c r="T305" s="679"/>
      <c r="U305" s="679"/>
      <c r="V305" s="679"/>
      <c r="W305" s="679"/>
      <c r="X305" s="679"/>
      <c r="Y305" s="679"/>
      <c r="Z305" s="679"/>
      <c r="AA305" s="662"/>
      <c r="AB305" s="662"/>
      <c r="AC305" s="662"/>
    </row>
    <row r="306" spans="1:68" ht="14.25" customHeight="1" x14ac:dyDescent="0.25">
      <c r="A306" s="684" t="s">
        <v>63</v>
      </c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79"/>
      <c r="P306" s="679"/>
      <c r="Q306" s="679"/>
      <c r="R306" s="679"/>
      <c r="S306" s="679"/>
      <c r="T306" s="679"/>
      <c r="U306" s="679"/>
      <c r="V306" s="679"/>
      <c r="W306" s="679"/>
      <c r="X306" s="679"/>
      <c r="Y306" s="679"/>
      <c r="Z306" s="679"/>
      <c r="AA306" s="663"/>
      <c r="AB306" s="663"/>
      <c r="AC306" s="663"/>
    </row>
    <row r="307" spans="1:68" ht="27" customHeight="1" x14ac:dyDescent="0.25">
      <c r="A307" s="54" t="s">
        <v>494</v>
      </c>
      <c r="B307" s="54" t="s">
        <v>495</v>
      </c>
      <c r="C307" s="31">
        <v>4301051277</v>
      </c>
      <c r="D307" s="671">
        <v>4680115880511</v>
      </c>
      <c r="E307" s="672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66</v>
      </c>
      <c r="L307" s="32"/>
      <c r="M307" s="33" t="s">
        <v>106</v>
      </c>
      <c r="N307" s="33"/>
      <c r="O307" s="32">
        <v>40</v>
      </c>
      <c r="P307" s="105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4"/>
      <c r="R307" s="674"/>
      <c r="S307" s="674"/>
      <c r="T307" s="675"/>
      <c r="U307" s="34"/>
      <c r="V307" s="34"/>
      <c r="W307" s="35" t="s">
        <v>68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496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x14ac:dyDescent="0.2">
      <c r="A308" s="678"/>
      <c r="B308" s="679"/>
      <c r="C308" s="679"/>
      <c r="D308" s="679"/>
      <c r="E308" s="679"/>
      <c r="F308" s="679"/>
      <c r="G308" s="679"/>
      <c r="H308" s="679"/>
      <c r="I308" s="679"/>
      <c r="J308" s="679"/>
      <c r="K308" s="679"/>
      <c r="L308" s="679"/>
      <c r="M308" s="679"/>
      <c r="N308" s="679"/>
      <c r="O308" s="680"/>
      <c r="P308" s="688" t="s">
        <v>87</v>
      </c>
      <c r="Q308" s="689"/>
      <c r="R308" s="689"/>
      <c r="S308" s="689"/>
      <c r="T308" s="689"/>
      <c r="U308" s="689"/>
      <c r="V308" s="690"/>
      <c r="W308" s="37" t="s">
        <v>88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x14ac:dyDescent="0.2">
      <c r="A309" s="679"/>
      <c r="B309" s="679"/>
      <c r="C309" s="679"/>
      <c r="D309" s="679"/>
      <c r="E309" s="679"/>
      <c r="F309" s="679"/>
      <c r="G309" s="679"/>
      <c r="H309" s="679"/>
      <c r="I309" s="679"/>
      <c r="J309" s="679"/>
      <c r="K309" s="679"/>
      <c r="L309" s="679"/>
      <c r="M309" s="679"/>
      <c r="N309" s="679"/>
      <c r="O309" s="680"/>
      <c r="P309" s="688" t="s">
        <v>87</v>
      </c>
      <c r="Q309" s="689"/>
      <c r="R309" s="689"/>
      <c r="S309" s="689"/>
      <c r="T309" s="689"/>
      <c r="U309" s="689"/>
      <c r="V309" s="690"/>
      <c r="W309" s="37" t="s">
        <v>68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customHeight="1" x14ac:dyDescent="0.25">
      <c r="A310" s="685" t="s">
        <v>497</v>
      </c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79"/>
      <c r="P310" s="679"/>
      <c r="Q310" s="679"/>
      <c r="R310" s="679"/>
      <c r="S310" s="679"/>
      <c r="T310" s="679"/>
      <c r="U310" s="679"/>
      <c r="V310" s="679"/>
      <c r="W310" s="679"/>
      <c r="X310" s="679"/>
      <c r="Y310" s="679"/>
      <c r="Z310" s="679"/>
      <c r="AA310" s="662"/>
      <c r="AB310" s="662"/>
      <c r="AC310" s="662"/>
    </row>
    <row r="311" spans="1:68" ht="14.25" customHeight="1" x14ac:dyDescent="0.25">
      <c r="A311" s="684" t="s">
        <v>97</v>
      </c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79"/>
      <c r="P311" s="679"/>
      <c r="Q311" s="679"/>
      <c r="R311" s="679"/>
      <c r="S311" s="679"/>
      <c r="T311" s="679"/>
      <c r="U311" s="679"/>
      <c r="V311" s="679"/>
      <c r="W311" s="679"/>
      <c r="X311" s="679"/>
      <c r="Y311" s="679"/>
      <c r="Z311" s="679"/>
      <c r="AA311" s="663"/>
      <c r="AB311" s="663"/>
      <c r="AC311" s="663"/>
    </row>
    <row r="312" spans="1:68" ht="27" customHeight="1" x14ac:dyDescent="0.25">
      <c r="A312" s="54" t="s">
        <v>498</v>
      </c>
      <c r="B312" s="54" t="s">
        <v>499</v>
      </c>
      <c r="C312" s="31">
        <v>4301011594</v>
      </c>
      <c r="D312" s="671">
        <v>4680115883413</v>
      </c>
      <c r="E312" s="672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105</v>
      </c>
      <c r="L312" s="32"/>
      <c r="M312" s="33" t="s">
        <v>101</v>
      </c>
      <c r="N312" s="33"/>
      <c r="O312" s="32">
        <v>55</v>
      </c>
      <c r="P312" s="79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4"/>
      <c r="R312" s="674"/>
      <c r="S312" s="674"/>
      <c r="T312" s="675"/>
      <c r="U312" s="34"/>
      <c r="V312" s="34"/>
      <c r="W312" s="35" t="s">
        <v>68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455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678"/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80"/>
      <c r="P313" s="688" t="s">
        <v>87</v>
      </c>
      <c r="Q313" s="689"/>
      <c r="R313" s="689"/>
      <c r="S313" s="689"/>
      <c r="T313" s="689"/>
      <c r="U313" s="689"/>
      <c r="V313" s="690"/>
      <c r="W313" s="37" t="s">
        <v>88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x14ac:dyDescent="0.2">
      <c r="A314" s="679"/>
      <c r="B314" s="679"/>
      <c r="C314" s="679"/>
      <c r="D314" s="679"/>
      <c r="E314" s="679"/>
      <c r="F314" s="679"/>
      <c r="G314" s="679"/>
      <c r="H314" s="679"/>
      <c r="I314" s="679"/>
      <c r="J314" s="679"/>
      <c r="K314" s="679"/>
      <c r="L314" s="679"/>
      <c r="M314" s="679"/>
      <c r="N314" s="679"/>
      <c r="O314" s="680"/>
      <c r="P314" s="688" t="s">
        <v>87</v>
      </c>
      <c r="Q314" s="689"/>
      <c r="R314" s="689"/>
      <c r="S314" s="689"/>
      <c r="T314" s="689"/>
      <c r="U314" s="689"/>
      <c r="V314" s="690"/>
      <c r="W314" s="37" t="s">
        <v>68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customHeight="1" x14ac:dyDescent="0.25">
      <c r="A315" s="684" t="s">
        <v>144</v>
      </c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79"/>
      <c r="P315" s="679"/>
      <c r="Q315" s="679"/>
      <c r="R315" s="679"/>
      <c r="S315" s="679"/>
      <c r="T315" s="679"/>
      <c r="U315" s="679"/>
      <c r="V315" s="679"/>
      <c r="W315" s="679"/>
      <c r="X315" s="679"/>
      <c r="Y315" s="679"/>
      <c r="Z315" s="679"/>
      <c r="AA315" s="663"/>
      <c r="AB315" s="663"/>
      <c r="AC315" s="663"/>
    </row>
    <row r="316" spans="1:68" ht="27" customHeight="1" x14ac:dyDescent="0.25">
      <c r="A316" s="54" t="s">
        <v>500</v>
      </c>
      <c r="B316" s="54" t="s">
        <v>501</v>
      </c>
      <c r="C316" s="31">
        <v>4301031305</v>
      </c>
      <c r="D316" s="671">
        <v>4607091389845</v>
      </c>
      <c r="E316" s="672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147</v>
      </c>
      <c r="L316" s="32"/>
      <c r="M316" s="33" t="s">
        <v>67</v>
      </c>
      <c r="N316" s="33"/>
      <c r="O316" s="32">
        <v>40</v>
      </c>
      <c r="P316" s="71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4"/>
      <c r="R316" s="674"/>
      <c r="S316" s="674"/>
      <c r="T316" s="675"/>
      <c r="U316" s="34"/>
      <c r="V316" s="34"/>
      <c r="W316" s="35" t="s">
        <v>68</v>
      </c>
      <c r="X316" s="667">
        <v>0</v>
      </c>
      <c r="Y316" s="668">
        <f>IFERROR(IF(X316="",0,CEILING((X316/$H316),1)*$H316),"")</f>
        <v>0</v>
      </c>
      <c r="Z316" s="36" t="str">
        <f>IFERROR(IF(Y316=0,"",ROUNDUP(Y316/H316,0)*0.00502),"")</f>
        <v/>
      </c>
      <c r="AA316" s="56"/>
      <c r="AB316" s="57"/>
      <c r="AC316" s="363" t="s">
        <v>502</v>
      </c>
      <c r="AG316" s="64"/>
      <c r="AJ316" s="68"/>
      <c r="AK316" s="68">
        <v>0</v>
      </c>
      <c r="BB316" s="36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503</v>
      </c>
      <c r="B317" s="54" t="s">
        <v>504</v>
      </c>
      <c r="C317" s="31">
        <v>4301031306</v>
      </c>
      <c r="D317" s="671">
        <v>4680115882881</v>
      </c>
      <c r="E317" s="672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147</v>
      </c>
      <c r="L317" s="32"/>
      <c r="M317" s="33" t="s">
        <v>67</v>
      </c>
      <c r="N317" s="33"/>
      <c r="O317" s="32">
        <v>40</v>
      </c>
      <c r="P317" s="1008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4"/>
      <c r="R317" s="674"/>
      <c r="S317" s="674"/>
      <c r="T317" s="675"/>
      <c r="U317" s="34"/>
      <c r="V317" s="34"/>
      <c r="W317" s="35" t="s">
        <v>68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502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78"/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80"/>
      <c r="P318" s="688" t="s">
        <v>87</v>
      </c>
      <c r="Q318" s="689"/>
      <c r="R318" s="689"/>
      <c r="S318" s="689"/>
      <c r="T318" s="689"/>
      <c r="U318" s="689"/>
      <c r="V318" s="690"/>
      <c r="W318" s="37" t="s">
        <v>88</v>
      </c>
      <c r="X318" s="669">
        <f>IFERROR(X316/H316,"0")+IFERROR(X317/H317,"0")</f>
        <v>0</v>
      </c>
      <c r="Y318" s="669">
        <f>IFERROR(Y316/H316,"0")+IFERROR(Y317/H317,"0")</f>
        <v>0</v>
      </c>
      <c r="Z318" s="669">
        <f>IFERROR(IF(Z316="",0,Z316),"0")+IFERROR(IF(Z317="",0,Z317),"0")</f>
        <v>0</v>
      </c>
      <c r="AA318" s="670"/>
      <c r="AB318" s="670"/>
      <c r="AC318" s="670"/>
    </row>
    <row r="319" spans="1:68" x14ac:dyDescent="0.2">
      <c r="A319" s="679"/>
      <c r="B319" s="679"/>
      <c r="C319" s="679"/>
      <c r="D319" s="679"/>
      <c r="E319" s="679"/>
      <c r="F319" s="679"/>
      <c r="G319" s="679"/>
      <c r="H319" s="679"/>
      <c r="I319" s="679"/>
      <c r="J319" s="679"/>
      <c r="K319" s="679"/>
      <c r="L319" s="679"/>
      <c r="M319" s="679"/>
      <c r="N319" s="679"/>
      <c r="O319" s="680"/>
      <c r="P319" s="688" t="s">
        <v>87</v>
      </c>
      <c r="Q319" s="689"/>
      <c r="R319" s="689"/>
      <c r="S319" s="689"/>
      <c r="T319" s="689"/>
      <c r="U319" s="689"/>
      <c r="V319" s="690"/>
      <c r="W319" s="37" t="s">
        <v>68</v>
      </c>
      <c r="X319" s="669">
        <f>IFERROR(SUM(X316:X317),"0")</f>
        <v>0</v>
      </c>
      <c r="Y319" s="669">
        <f>IFERROR(SUM(Y316:Y317),"0")</f>
        <v>0</v>
      </c>
      <c r="Z319" s="37"/>
      <c r="AA319" s="670"/>
      <c r="AB319" s="670"/>
      <c r="AC319" s="670"/>
    </row>
    <row r="320" spans="1:68" ht="16.5" customHeight="1" x14ac:dyDescent="0.25">
      <c r="A320" s="685" t="s">
        <v>505</v>
      </c>
      <c r="B320" s="679"/>
      <c r="C320" s="679"/>
      <c r="D320" s="679"/>
      <c r="E320" s="679"/>
      <c r="F320" s="679"/>
      <c r="G320" s="679"/>
      <c r="H320" s="679"/>
      <c r="I320" s="679"/>
      <c r="J320" s="679"/>
      <c r="K320" s="679"/>
      <c r="L320" s="679"/>
      <c r="M320" s="679"/>
      <c r="N320" s="679"/>
      <c r="O320" s="679"/>
      <c r="P320" s="679"/>
      <c r="Q320" s="679"/>
      <c r="R320" s="679"/>
      <c r="S320" s="679"/>
      <c r="T320" s="679"/>
      <c r="U320" s="679"/>
      <c r="V320" s="679"/>
      <c r="W320" s="679"/>
      <c r="X320" s="679"/>
      <c r="Y320" s="679"/>
      <c r="Z320" s="679"/>
      <c r="AA320" s="662"/>
      <c r="AB320" s="662"/>
      <c r="AC320" s="662"/>
    </row>
    <row r="321" spans="1:68" ht="14.25" customHeight="1" x14ac:dyDescent="0.25">
      <c r="A321" s="684" t="s">
        <v>97</v>
      </c>
      <c r="B321" s="679"/>
      <c r="C321" s="679"/>
      <c r="D321" s="679"/>
      <c r="E321" s="679"/>
      <c r="F321" s="679"/>
      <c r="G321" s="679"/>
      <c r="H321" s="679"/>
      <c r="I321" s="679"/>
      <c r="J321" s="679"/>
      <c r="K321" s="679"/>
      <c r="L321" s="679"/>
      <c r="M321" s="679"/>
      <c r="N321" s="679"/>
      <c r="O321" s="679"/>
      <c r="P321" s="679"/>
      <c r="Q321" s="679"/>
      <c r="R321" s="679"/>
      <c r="S321" s="679"/>
      <c r="T321" s="679"/>
      <c r="U321" s="679"/>
      <c r="V321" s="679"/>
      <c r="W321" s="679"/>
      <c r="X321" s="679"/>
      <c r="Y321" s="679"/>
      <c r="Z321" s="679"/>
      <c r="AA321" s="663"/>
      <c r="AB321" s="663"/>
      <c r="AC321" s="663"/>
    </row>
    <row r="322" spans="1:68" ht="27" customHeight="1" x14ac:dyDescent="0.25">
      <c r="A322" s="54" t="s">
        <v>506</v>
      </c>
      <c r="B322" s="54" t="s">
        <v>507</v>
      </c>
      <c r="C322" s="31">
        <v>4301011662</v>
      </c>
      <c r="D322" s="671">
        <v>4680115883703</v>
      </c>
      <c r="E322" s="672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4"/>
      <c r="R322" s="674"/>
      <c r="S322" s="674"/>
      <c r="T322" s="675"/>
      <c r="U322" s="34"/>
      <c r="V322" s="34"/>
      <c r="W322" s="35" t="s">
        <v>68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508</v>
      </c>
      <c r="AB322" s="57"/>
      <c r="AC322" s="367" t="s">
        <v>509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678"/>
      <c r="B323" s="679"/>
      <c r="C323" s="679"/>
      <c r="D323" s="679"/>
      <c r="E323" s="679"/>
      <c r="F323" s="679"/>
      <c r="G323" s="679"/>
      <c r="H323" s="679"/>
      <c r="I323" s="679"/>
      <c r="J323" s="679"/>
      <c r="K323" s="679"/>
      <c r="L323" s="679"/>
      <c r="M323" s="679"/>
      <c r="N323" s="679"/>
      <c r="O323" s="680"/>
      <c r="P323" s="688" t="s">
        <v>87</v>
      </c>
      <c r="Q323" s="689"/>
      <c r="R323" s="689"/>
      <c r="S323" s="689"/>
      <c r="T323" s="689"/>
      <c r="U323" s="689"/>
      <c r="V323" s="690"/>
      <c r="W323" s="37" t="s">
        <v>88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x14ac:dyDescent="0.2">
      <c r="A324" s="679"/>
      <c r="B324" s="679"/>
      <c r="C324" s="679"/>
      <c r="D324" s="679"/>
      <c r="E324" s="679"/>
      <c r="F324" s="679"/>
      <c r="G324" s="679"/>
      <c r="H324" s="679"/>
      <c r="I324" s="679"/>
      <c r="J324" s="679"/>
      <c r="K324" s="679"/>
      <c r="L324" s="679"/>
      <c r="M324" s="679"/>
      <c r="N324" s="679"/>
      <c r="O324" s="680"/>
      <c r="P324" s="688" t="s">
        <v>87</v>
      </c>
      <c r="Q324" s="689"/>
      <c r="R324" s="689"/>
      <c r="S324" s="689"/>
      <c r="T324" s="689"/>
      <c r="U324" s="689"/>
      <c r="V324" s="690"/>
      <c r="W324" s="37" t="s">
        <v>68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customHeight="1" x14ac:dyDescent="0.25">
      <c r="A325" s="685" t="s">
        <v>510</v>
      </c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79"/>
      <c r="P325" s="679"/>
      <c r="Q325" s="679"/>
      <c r="R325" s="679"/>
      <c r="S325" s="679"/>
      <c r="T325" s="679"/>
      <c r="U325" s="679"/>
      <c r="V325" s="679"/>
      <c r="W325" s="679"/>
      <c r="X325" s="679"/>
      <c r="Y325" s="679"/>
      <c r="Z325" s="679"/>
      <c r="AA325" s="662"/>
      <c r="AB325" s="662"/>
      <c r="AC325" s="662"/>
    </row>
    <row r="326" spans="1:68" ht="14.25" customHeight="1" x14ac:dyDescent="0.25">
      <c r="A326" s="684" t="s">
        <v>97</v>
      </c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79"/>
      <c r="P326" s="679"/>
      <c r="Q326" s="679"/>
      <c r="R326" s="679"/>
      <c r="S326" s="679"/>
      <c r="T326" s="679"/>
      <c r="U326" s="679"/>
      <c r="V326" s="679"/>
      <c r="W326" s="679"/>
      <c r="X326" s="679"/>
      <c r="Y326" s="679"/>
      <c r="Z326" s="679"/>
      <c r="AA326" s="663"/>
      <c r="AB326" s="663"/>
      <c r="AC326" s="663"/>
    </row>
    <row r="327" spans="1:68" ht="27" customHeight="1" x14ac:dyDescent="0.25">
      <c r="A327" s="54" t="s">
        <v>511</v>
      </c>
      <c r="B327" s="54" t="s">
        <v>512</v>
      </c>
      <c r="C327" s="31">
        <v>4301012024</v>
      </c>
      <c r="D327" s="671">
        <v>4680115885615</v>
      </c>
      <c r="E327" s="672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100</v>
      </c>
      <c r="L327" s="32"/>
      <c r="M327" s="33" t="s">
        <v>106</v>
      </c>
      <c r="N327" s="33"/>
      <c r="O327" s="32">
        <v>55</v>
      </c>
      <c r="P327" s="91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4"/>
      <c r="R327" s="674"/>
      <c r="S327" s="674"/>
      <c r="T327" s="675"/>
      <c r="U327" s="34"/>
      <c r="V327" s="34"/>
      <c r="W327" s="35" t="s">
        <v>68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513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customHeight="1" x14ac:dyDescent="0.25">
      <c r="A328" s="54" t="s">
        <v>514</v>
      </c>
      <c r="B328" s="54" t="s">
        <v>515</v>
      </c>
      <c r="C328" s="31">
        <v>4301012016</v>
      </c>
      <c r="D328" s="671">
        <v>4680115885554</v>
      </c>
      <c r="E328" s="672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100</v>
      </c>
      <c r="L328" s="32"/>
      <c r="M328" s="33" t="s">
        <v>106</v>
      </c>
      <c r="N328" s="33"/>
      <c r="O328" s="32">
        <v>55</v>
      </c>
      <c r="P328" s="69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4"/>
      <c r="R328" s="674"/>
      <c r="S328" s="674"/>
      <c r="T328" s="675"/>
      <c r="U328" s="34"/>
      <c r="V328" s="34"/>
      <c r="W328" s="35" t="s">
        <v>68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516</v>
      </c>
      <c r="AG328" s="64"/>
      <c r="AJ328" s="68"/>
      <c r="AK328" s="68">
        <v>0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customHeight="1" x14ac:dyDescent="0.25">
      <c r="A329" s="54" t="s">
        <v>514</v>
      </c>
      <c r="B329" s="54" t="s">
        <v>517</v>
      </c>
      <c r="C329" s="31">
        <v>4301011911</v>
      </c>
      <c r="D329" s="671">
        <v>4680115885554</v>
      </c>
      <c r="E329" s="672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100</v>
      </c>
      <c r="L329" s="32"/>
      <c r="M329" s="33" t="s">
        <v>392</v>
      </c>
      <c r="N329" s="33"/>
      <c r="O329" s="32">
        <v>55</v>
      </c>
      <c r="P329" s="74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4"/>
      <c r="R329" s="674"/>
      <c r="S329" s="674"/>
      <c r="T329" s="675"/>
      <c r="U329" s="34"/>
      <c r="V329" s="34"/>
      <c r="W329" s="35" t="s">
        <v>68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518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customHeight="1" x14ac:dyDescent="0.25">
      <c r="A330" s="54" t="s">
        <v>519</v>
      </c>
      <c r="B330" s="54" t="s">
        <v>520</v>
      </c>
      <c r="C330" s="31">
        <v>4301011858</v>
      </c>
      <c r="D330" s="671">
        <v>4680115885646</v>
      </c>
      <c r="E330" s="672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100</v>
      </c>
      <c r="L330" s="32"/>
      <c r="M330" s="33" t="s">
        <v>101</v>
      </c>
      <c r="N330" s="33"/>
      <c r="O330" s="32">
        <v>55</v>
      </c>
      <c r="P330" s="90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4"/>
      <c r="R330" s="674"/>
      <c r="S330" s="674"/>
      <c r="T330" s="675"/>
      <c r="U330" s="34"/>
      <c r="V330" s="34"/>
      <c r="W330" s="35" t="s">
        <v>68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521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customHeight="1" x14ac:dyDescent="0.25">
      <c r="A331" s="54" t="s">
        <v>522</v>
      </c>
      <c r="B331" s="54" t="s">
        <v>523</v>
      </c>
      <c r="C331" s="31">
        <v>4301011857</v>
      </c>
      <c r="D331" s="671">
        <v>4680115885622</v>
      </c>
      <c r="E331" s="672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105</v>
      </c>
      <c r="L331" s="32"/>
      <c r="M331" s="33" t="s">
        <v>101</v>
      </c>
      <c r="N331" s="33"/>
      <c r="O331" s="32">
        <v>55</v>
      </c>
      <c r="P331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4"/>
      <c r="R331" s="674"/>
      <c r="S331" s="674"/>
      <c r="T331" s="675"/>
      <c r="U331" s="34"/>
      <c r="V331" s="34"/>
      <c r="W331" s="35" t="s">
        <v>68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524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customHeight="1" x14ac:dyDescent="0.25">
      <c r="A332" s="54" t="s">
        <v>525</v>
      </c>
      <c r="B332" s="54" t="s">
        <v>526</v>
      </c>
      <c r="C332" s="31">
        <v>4301011859</v>
      </c>
      <c r="D332" s="671">
        <v>4680115885608</v>
      </c>
      <c r="E332" s="672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105</v>
      </c>
      <c r="L332" s="32"/>
      <c r="M332" s="33" t="s">
        <v>101</v>
      </c>
      <c r="N332" s="33"/>
      <c r="O332" s="32">
        <v>55</v>
      </c>
      <c r="P332" s="9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4"/>
      <c r="R332" s="674"/>
      <c r="S332" s="674"/>
      <c r="T332" s="675"/>
      <c r="U332" s="34"/>
      <c r="V332" s="34"/>
      <c r="W332" s="35" t="s">
        <v>68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516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x14ac:dyDescent="0.2">
      <c r="A333" s="678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8" t="s">
        <v>87</v>
      </c>
      <c r="Q333" s="689"/>
      <c r="R333" s="689"/>
      <c r="S333" s="689"/>
      <c r="T333" s="689"/>
      <c r="U333" s="689"/>
      <c r="V333" s="690"/>
      <c r="W333" s="37" t="s">
        <v>88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x14ac:dyDescent="0.2">
      <c r="A334" s="679"/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80"/>
      <c r="P334" s="688" t="s">
        <v>87</v>
      </c>
      <c r="Q334" s="689"/>
      <c r="R334" s="689"/>
      <c r="S334" s="689"/>
      <c r="T334" s="689"/>
      <c r="U334" s="689"/>
      <c r="V334" s="690"/>
      <c r="W334" s="37" t="s">
        <v>68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customHeight="1" x14ac:dyDescent="0.25">
      <c r="A335" s="684" t="s">
        <v>144</v>
      </c>
      <c r="B335" s="679"/>
      <c r="C335" s="679"/>
      <c r="D335" s="679"/>
      <c r="E335" s="679"/>
      <c r="F335" s="679"/>
      <c r="G335" s="679"/>
      <c r="H335" s="679"/>
      <c r="I335" s="679"/>
      <c r="J335" s="679"/>
      <c r="K335" s="679"/>
      <c r="L335" s="679"/>
      <c r="M335" s="679"/>
      <c r="N335" s="679"/>
      <c r="O335" s="679"/>
      <c r="P335" s="679"/>
      <c r="Q335" s="679"/>
      <c r="R335" s="679"/>
      <c r="S335" s="679"/>
      <c r="T335" s="679"/>
      <c r="U335" s="679"/>
      <c r="V335" s="679"/>
      <c r="W335" s="679"/>
      <c r="X335" s="679"/>
      <c r="Y335" s="679"/>
      <c r="Z335" s="679"/>
      <c r="AA335" s="663"/>
      <c r="AB335" s="663"/>
      <c r="AC335" s="663"/>
    </row>
    <row r="336" spans="1:68" ht="27" customHeight="1" x14ac:dyDescent="0.25">
      <c r="A336" s="54" t="s">
        <v>527</v>
      </c>
      <c r="B336" s="54" t="s">
        <v>528</v>
      </c>
      <c r="C336" s="31">
        <v>4301030878</v>
      </c>
      <c r="D336" s="671">
        <v>4607091387193</v>
      </c>
      <c r="E336" s="672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105</v>
      </c>
      <c r="L336" s="32"/>
      <c r="M336" s="33" t="s">
        <v>67</v>
      </c>
      <c r="N336" s="33"/>
      <c r="O336" s="32">
        <v>35</v>
      </c>
      <c r="P336" s="9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4"/>
      <c r="R336" s="674"/>
      <c r="S336" s="674"/>
      <c r="T336" s="675"/>
      <c r="U336" s="34"/>
      <c r="V336" s="34"/>
      <c r="W336" s="35" t="s">
        <v>68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529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530</v>
      </c>
      <c r="B337" s="54" t="s">
        <v>531</v>
      </c>
      <c r="C337" s="31">
        <v>4301031153</v>
      </c>
      <c r="D337" s="671">
        <v>4607091387230</v>
      </c>
      <c r="E337" s="672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105</v>
      </c>
      <c r="L337" s="32"/>
      <c r="M337" s="33" t="s">
        <v>67</v>
      </c>
      <c r="N337" s="33"/>
      <c r="O337" s="32">
        <v>40</v>
      </c>
      <c r="P337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4"/>
      <c r="R337" s="674"/>
      <c r="S337" s="674"/>
      <c r="T337" s="675"/>
      <c r="U337" s="34"/>
      <c r="V337" s="34"/>
      <c r="W337" s="35" t="s">
        <v>68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533</v>
      </c>
      <c r="B338" s="54" t="s">
        <v>534</v>
      </c>
      <c r="C338" s="31">
        <v>4301031154</v>
      </c>
      <c r="D338" s="671">
        <v>4607091387292</v>
      </c>
      <c r="E338" s="672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105</v>
      </c>
      <c r="L338" s="32"/>
      <c r="M338" s="33" t="s">
        <v>67</v>
      </c>
      <c r="N338" s="33"/>
      <c r="O338" s="32">
        <v>45</v>
      </c>
      <c r="P338" s="10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4"/>
      <c r="R338" s="674"/>
      <c r="S338" s="674"/>
      <c r="T338" s="675"/>
      <c r="U338" s="34"/>
      <c r="V338" s="34"/>
      <c r="W338" s="35" t="s">
        <v>68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535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536</v>
      </c>
      <c r="B339" s="54" t="s">
        <v>537</v>
      </c>
      <c r="C339" s="31">
        <v>4301031152</v>
      </c>
      <c r="D339" s="671">
        <v>4607091387285</v>
      </c>
      <c r="E339" s="672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147</v>
      </c>
      <c r="L339" s="32"/>
      <c r="M339" s="33" t="s">
        <v>67</v>
      </c>
      <c r="N339" s="33"/>
      <c r="O339" s="32">
        <v>40</v>
      </c>
      <c r="P339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4"/>
      <c r="R339" s="674"/>
      <c r="S339" s="674"/>
      <c r="T339" s="675"/>
      <c r="U339" s="34"/>
      <c r="V339" s="34"/>
      <c r="W339" s="35" t="s">
        <v>68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8" t="s">
        <v>87</v>
      </c>
      <c r="Q340" s="689"/>
      <c r="R340" s="689"/>
      <c r="S340" s="689"/>
      <c r="T340" s="689"/>
      <c r="U340" s="689"/>
      <c r="V340" s="690"/>
      <c r="W340" s="37" t="s">
        <v>88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8" t="s">
        <v>87</v>
      </c>
      <c r="Q341" s="689"/>
      <c r="R341" s="689"/>
      <c r="S341" s="689"/>
      <c r="T341" s="689"/>
      <c r="U341" s="689"/>
      <c r="V341" s="690"/>
      <c r="W341" s="37" t="s">
        <v>68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customHeight="1" x14ac:dyDescent="0.25">
      <c r="A342" s="684" t="s">
        <v>63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3"/>
      <c r="AB342" s="663"/>
      <c r="AC342" s="663"/>
    </row>
    <row r="343" spans="1:68" ht="27" customHeight="1" x14ac:dyDescent="0.25">
      <c r="A343" s="54" t="s">
        <v>538</v>
      </c>
      <c r="B343" s="54" t="s">
        <v>539</v>
      </c>
      <c r="C343" s="31">
        <v>4301051100</v>
      </c>
      <c r="D343" s="671">
        <v>4607091387766</v>
      </c>
      <c r="E343" s="672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40</v>
      </c>
      <c r="P343" s="92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4"/>
      <c r="R343" s="674"/>
      <c r="S343" s="674"/>
      <c r="T343" s="675"/>
      <c r="U343" s="34"/>
      <c r="V343" s="34"/>
      <c r="W343" s="35" t="s">
        <v>68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540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541</v>
      </c>
      <c r="B344" s="54" t="s">
        <v>542</v>
      </c>
      <c r="C344" s="31">
        <v>4301051818</v>
      </c>
      <c r="D344" s="671">
        <v>4607091387957</v>
      </c>
      <c r="E344" s="672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40</v>
      </c>
      <c r="P344" s="101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4"/>
      <c r="R344" s="674"/>
      <c r="S344" s="674"/>
      <c r="T344" s="675"/>
      <c r="U344" s="34"/>
      <c r="V344" s="34"/>
      <c r="W344" s="35" t="s">
        <v>68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543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544</v>
      </c>
      <c r="B345" s="54" t="s">
        <v>545</v>
      </c>
      <c r="C345" s="31">
        <v>4301051819</v>
      </c>
      <c r="D345" s="671">
        <v>4607091387964</v>
      </c>
      <c r="E345" s="672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100</v>
      </c>
      <c r="L345" s="32"/>
      <c r="M345" s="33" t="s">
        <v>106</v>
      </c>
      <c r="N345" s="33"/>
      <c r="O345" s="32">
        <v>40</v>
      </c>
      <c r="P345" s="9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4"/>
      <c r="R345" s="674"/>
      <c r="S345" s="674"/>
      <c r="T345" s="675"/>
      <c r="U345" s="34"/>
      <c r="V345" s="34"/>
      <c r="W345" s="35" t="s">
        <v>68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546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547</v>
      </c>
      <c r="B346" s="54" t="s">
        <v>548</v>
      </c>
      <c r="C346" s="31">
        <v>4301051734</v>
      </c>
      <c r="D346" s="671">
        <v>4680115884588</v>
      </c>
      <c r="E346" s="672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66</v>
      </c>
      <c r="L346" s="32"/>
      <c r="M346" s="33" t="s">
        <v>106</v>
      </c>
      <c r="N346" s="33"/>
      <c r="O346" s="32">
        <v>40</v>
      </c>
      <c r="P346" s="96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4"/>
      <c r="R346" s="674"/>
      <c r="S346" s="674"/>
      <c r="T346" s="675"/>
      <c r="U346" s="34"/>
      <c r="V346" s="34"/>
      <c r="W346" s="35" t="s">
        <v>68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549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550</v>
      </c>
      <c r="B347" s="54" t="s">
        <v>551</v>
      </c>
      <c r="C347" s="31">
        <v>4301051578</v>
      </c>
      <c r="D347" s="671">
        <v>4607091387513</v>
      </c>
      <c r="E347" s="672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66</v>
      </c>
      <c r="L347" s="32"/>
      <c r="M347" s="33" t="s">
        <v>129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4"/>
      <c r="R347" s="674"/>
      <c r="S347" s="674"/>
      <c r="T347" s="675"/>
      <c r="U347" s="34"/>
      <c r="V347" s="34"/>
      <c r="W347" s="35" t="s">
        <v>68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552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x14ac:dyDescent="0.2">
      <c r="A348" s="678"/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80"/>
      <c r="P348" s="688" t="s">
        <v>87</v>
      </c>
      <c r="Q348" s="689"/>
      <c r="R348" s="689"/>
      <c r="S348" s="689"/>
      <c r="T348" s="689"/>
      <c r="U348" s="689"/>
      <c r="V348" s="690"/>
      <c r="W348" s="37" t="s">
        <v>88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x14ac:dyDescent="0.2">
      <c r="A349" s="679"/>
      <c r="B349" s="679"/>
      <c r="C349" s="679"/>
      <c r="D349" s="679"/>
      <c r="E349" s="679"/>
      <c r="F349" s="679"/>
      <c r="G349" s="679"/>
      <c r="H349" s="679"/>
      <c r="I349" s="679"/>
      <c r="J349" s="679"/>
      <c r="K349" s="679"/>
      <c r="L349" s="679"/>
      <c r="M349" s="679"/>
      <c r="N349" s="679"/>
      <c r="O349" s="680"/>
      <c r="P349" s="688" t="s">
        <v>87</v>
      </c>
      <c r="Q349" s="689"/>
      <c r="R349" s="689"/>
      <c r="S349" s="689"/>
      <c r="T349" s="689"/>
      <c r="U349" s="689"/>
      <c r="V349" s="690"/>
      <c r="W349" s="37" t="s">
        <v>68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customHeight="1" x14ac:dyDescent="0.25">
      <c r="A350" s="684" t="s">
        <v>170</v>
      </c>
      <c r="B350" s="679"/>
      <c r="C350" s="679"/>
      <c r="D350" s="679"/>
      <c r="E350" s="679"/>
      <c r="F350" s="679"/>
      <c r="G350" s="679"/>
      <c r="H350" s="679"/>
      <c r="I350" s="679"/>
      <c r="J350" s="679"/>
      <c r="K350" s="679"/>
      <c r="L350" s="679"/>
      <c r="M350" s="679"/>
      <c r="N350" s="679"/>
      <c r="O350" s="679"/>
      <c r="P350" s="679"/>
      <c r="Q350" s="679"/>
      <c r="R350" s="679"/>
      <c r="S350" s="679"/>
      <c r="T350" s="679"/>
      <c r="U350" s="679"/>
      <c r="V350" s="679"/>
      <c r="W350" s="679"/>
      <c r="X350" s="679"/>
      <c r="Y350" s="679"/>
      <c r="Z350" s="679"/>
      <c r="AA350" s="663"/>
      <c r="AB350" s="663"/>
      <c r="AC350" s="663"/>
    </row>
    <row r="351" spans="1:68" ht="27" customHeight="1" x14ac:dyDescent="0.25">
      <c r="A351" s="54" t="s">
        <v>553</v>
      </c>
      <c r="B351" s="54" t="s">
        <v>554</v>
      </c>
      <c r="C351" s="31">
        <v>4301060387</v>
      </c>
      <c r="D351" s="671">
        <v>4607091380880</v>
      </c>
      <c r="E351" s="672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100</v>
      </c>
      <c r="L351" s="32"/>
      <c r="M351" s="33" t="s">
        <v>106</v>
      </c>
      <c r="N351" s="33"/>
      <c r="O351" s="32">
        <v>30</v>
      </c>
      <c r="P351" s="8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4"/>
      <c r="R351" s="674"/>
      <c r="S351" s="674"/>
      <c r="T351" s="675"/>
      <c r="U351" s="34"/>
      <c r="V351" s="34"/>
      <c r="W351" s="35" t="s">
        <v>68</v>
      </c>
      <c r="X351" s="667">
        <v>51</v>
      </c>
      <c r="Y351" s="668">
        <f>IFERROR(IF(X351="",0,CEILING((X351/$H351),1)*$H351),"")</f>
        <v>58.800000000000004</v>
      </c>
      <c r="Z351" s="36">
        <f>IFERROR(IF(Y351=0,"",ROUNDUP(Y351/H351,0)*0.01898),"")</f>
        <v>0.13286000000000001</v>
      </c>
      <c r="AA351" s="56"/>
      <c r="AB351" s="57"/>
      <c r="AC351" s="399" t="s">
        <v>555</v>
      </c>
      <c r="AG351" s="64"/>
      <c r="AJ351" s="68"/>
      <c r="AK351" s="68">
        <v>0</v>
      </c>
      <c r="BB351" s="400" t="s">
        <v>1</v>
      </c>
      <c r="BM351" s="64">
        <f>IFERROR(X351*I351/H351,"0")</f>
        <v>54.151071428571427</v>
      </c>
      <c r="BN351" s="64">
        <f>IFERROR(Y351*I351/H351,"0")</f>
        <v>62.433000000000007</v>
      </c>
      <c r="BO351" s="64">
        <f>IFERROR(1/J351*(X351/H351),"0")</f>
        <v>9.4866071428571425E-2</v>
      </c>
      <c r="BP351" s="64">
        <f>IFERROR(1/J351*(Y351/H351),"0")</f>
        <v>0.109375</v>
      </c>
    </row>
    <row r="352" spans="1:68" ht="27" customHeight="1" x14ac:dyDescent="0.25">
      <c r="A352" s="54" t="s">
        <v>556</v>
      </c>
      <c r="B352" s="54" t="s">
        <v>557</v>
      </c>
      <c r="C352" s="31">
        <v>4301060406</v>
      </c>
      <c r="D352" s="671">
        <v>4607091384482</v>
      </c>
      <c r="E352" s="672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100</v>
      </c>
      <c r="L352" s="32"/>
      <c r="M352" s="33" t="s">
        <v>106</v>
      </c>
      <c r="N352" s="33"/>
      <c r="O352" s="32">
        <v>30</v>
      </c>
      <c r="P352" s="7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4"/>
      <c r="R352" s="674"/>
      <c r="S352" s="674"/>
      <c r="T352" s="675"/>
      <c r="U352" s="34"/>
      <c r="V352" s="34"/>
      <c r="W352" s="35" t="s">
        <v>68</v>
      </c>
      <c r="X352" s="667">
        <v>100</v>
      </c>
      <c r="Y352" s="668">
        <f>IFERROR(IF(X352="",0,CEILING((X352/$H352),1)*$H352),"")</f>
        <v>101.39999999999999</v>
      </c>
      <c r="Z352" s="36">
        <f>IFERROR(IF(Y352=0,"",ROUNDUP(Y352/H352,0)*0.01898),"")</f>
        <v>0.24674000000000001</v>
      </c>
      <c r="AA352" s="56"/>
      <c r="AB352" s="57"/>
      <c r="AC352" s="401" t="s">
        <v>558</v>
      </c>
      <c r="AG352" s="64"/>
      <c r="AJ352" s="68"/>
      <c r="AK352" s="68">
        <v>0</v>
      </c>
      <c r="BB352" s="402" t="s">
        <v>1</v>
      </c>
      <c r="BM352" s="64">
        <f>IFERROR(X352*I352/H352,"0")</f>
        <v>106.65384615384617</v>
      </c>
      <c r="BN352" s="64">
        <f>IFERROR(Y352*I352/H352,"0")</f>
        <v>108.14700000000001</v>
      </c>
      <c r="BO352" s="64">
        <f>IFERROR(1/J352*(X352/H352),"0")</f>
        <v>0.20032051282051283</v>
      </c>
      <c r="BP352" s="64">
        <f>IFERROR(1/J352*(Y352/H352),"0")</f>
        <v>0.203125</v>
      </c>
    </row>
    <row r="353" spans="1:68" ht="16.5" customHeight="1" x14ac:dyDescent="0.25">
      <c r="A353" s="54" t="s">
        <v>559</v>
      </c>
      <c r="B353" s="54" t="s">
        <v>560</v>
      </c>
      <c r="C353" s="31">
        <v>4301060484</v>
      </c>
      <c r="D353" s="671">
        <v>4607091380897</v>
      </c>
      <c r="E353" s="672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100</v>
      </c>
      <c r="L353" s="32"/>
      <c r="M353" s="33" t="s">
        <v>129</v>
      </c>
      <c r="N353" s="33"/>
      <c r="O353" s="32">
        <v>30</v>
      </c>
      <c r="P353" s="8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4"/>
      <c r="R353" s="674"/>
      <c r="S353" s="674"/>
      <c r="T353" s="675"/>
      <c r="U353" s="34"/>
      <c r="V353" s="34"/>
      <c r="W353" s="35" t="s">
        <v>68</v>
      </c>
      <c r="X353" s="667">
        <v>36</v>
      </c>
      <c r="Y353" s="668">
        <f>IFERROR(IF(X353="",0,CEILING((X353/$H353),1)*$H353),"")</f>
        <v>42</v>
      </c>
      <c r="Z353" s="36">
        <f>IFERROR(IF(Y353=0,"",ROUNDUP(Y353/H353,0)*0.01898),"")</f>
        <v>9.4899999999999998E-2</v>
      </c>
      <c r="AA353" s="56"/>
      <c r="AB353" s="57"/>
      <c r="AC353" s="403" t="s">
        <v>561</v>
      </c>
      <c r="AG353" s="64"/>
      <c r="AJ353" s="68"/>
      <c r="AK353" s="68">
        <v>0</v>
      </c>
      <c r="BB353" s="404" t="s">
        <v>1</v>
      </c>
      <c r="BM353" s="64">
        <f>IFERROR(X353*I353/H353,"0")</f>
        <v>38.224285714285713</v>
      </c>
      <c r="BN353" s="64">
        <f>IFERROR(Y353*I353/H353,"0")</f>
        <v>44.594999999999999</v>
      </c>
      <c r="BO353" s="64">
        <f>IFERROR(1/J353*(X353/H353),"0")</f>
        <v>6.6964285714285712E-2</v>
      </c>
      <c r="BP353" s="64">
        <f>IFERROR(1/J353*(Y353/H353),"0")</f>
        <v>7.8125E-2</v>
      </c>
    </row>
    <row r="354" spans="1:68" x14ac:dyDescent="0.2">
      <c r="A354" s="678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8" t="s">
        <v>87</v>
      </c>
      <c r="Q354" s="689"/>
      <c r="R354" s="689"/>
      <c r="S354" s="689"/>
      <c r="T354" s="689"/>
      <c r="U354" s="689"/>
      <c r="V354" s="690"/>
      <c r="W354" s="37" t="s">
        <v>88</v>
      </c>
      <c r="X354" s="669">
        <f>IFERROR(X351/H351,"0")+IFERROR(X352/H352,"0")+IFERROR(X353/H353,"0")</f>
        <v>23.177655677655679</v>
      </c>
      <c r="Y354" s="669">
        <f>IFERROR(Y351/H351,"0")+IFERROR(Y352/H352,"0")+IFERROR(Y353/H353,"0")</f>
        <v>25</v>
      </c>
      <c r="Z354" s="669">
        <f>IFERROR(IF(Z351="",0,Z351),"0")+IFERROR(IF(Z352="",0,Z352),"0")+IFERROR(IF(Z353="",0,Z353),"0")</f>
        <v>0.47450000000000003</v>
      </c>
      <c r="AA354" s="670"/>
      <c r="AB354" s="670"/>
      <c r="AC354" s="670"/>
    </row>
    <row r="355" spans="1:68" x14ac:dyDescent="0.2">
      <c r="A355" s="679"/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80"/>
      <c r="P355" s="688" t="s">
        <v>87</v>
      </c>
      <c r="Q355" s="689"/>
      <c r="R355" s="689"/>
      <c r="S355" s="689"/>
      <c r="T355" s="689"/>
      <c r="U355" s="689"/>
      <c r="V355" s="690"/>
      <c r="W355" s="37" t="s">
        <v>68</v>
      </c>
      <c r="X355" s="669">
        <f>IFERROR(SUM(X351:X353),"0")</f>
        <v>187</v>
      </c>
      <c r="Y355" s="669">
        <f>IFERROR(SUM(Y351:Y353),"0")</f>
        <v>202.2</v>
      </c>
      <c r="Z355" s="37"/>
      <c r="AA355" s="670"/>
      <c r="AB355" s="670"/>
      <c r="AC355" s="670"/>
    </row>
    <row r="356" spans="1:68" ht="14.25" customHeight="1" x14ac:dyDescent="0.25">
      <c r="A356" s="684" t="s">
        <v>89</v>
      </c>
      <c r="B356" s="679"/>
      <c r="C356" s="679"/>
      <c r="D356" s="679"/>
      <c r="E356" s="679"/>
      <c r="F356" s="679"/>
      <c r="G356" s="679"/>
      <c r="H356" s="679"/>
      <c r="I356" s="679"/>
      <c r="J356" s="679"/>
      <c r="K356" s="679"/>
      <c r="L356" s="679"/>
      <c r="M356" s="679"/>
      <c r="N356" s="679"/>
      <c r="O356" s="679"/>
      <c r="P356" s="679"/>
      <c r="Q356" s="679"/>
      <c r="R356" s="679"/>
      <c r="S356" s="679"/>
      <c r="T356" s="679"/>
      <c r="U356" s="679"/>
      <c r="V356" s="679"/>
      <c r="W356" s="679"/>
      <c r="X356" s="679"/>
      <c r="Y356" s="679"/>
      <c r="Z356" s="679"/>
      <c r="AA356" s="663"/>
      <c r="AB356" s="663"/>
      <c r="AC356" s="663"/>
    </row>
    <row r="357" spans="1:68" ht="27" customHeight="1" x14ac:dyDescent="0.25">
      <c r="A357" s="54" t="s">
        <v>562</v>
      </c>
      <c r="B357" s="54" t="s">
        <v>563</v>
      </c>
      <c r="C357" s="31">
        <v>4301032055</v>
      </c>
      <c r="D357" s="671">
        <v>4680115886476</v>
      </c>
      <c r="E357" s="672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105</v>
      </c>
      <c r="L357" s="32"/>
      <c r="M357" s="33" t="s">
        <v>92</v>
      </c>
      <c r="N357" s="33"/>
      <c r="O357" s="32">
        <v>180</v>
      </c>
      <c r="P357" s="1011" t="s">
        <v>564</v>
      </c>
      <c r="Q357" s="674"/>
      <c r="R357" s="674"/>
      <c r="S357" s="674"/>
      <c r="T357" s="675"/>
      <c r="U357" s="34"/>
      <c r="V357" s="34"/>
      <c r="W357" s="35" t="s">
        <v>68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565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566</v>
      </c>
      <c r="B358" s="54" t="s">
        <v>567</v>
      </c>
      <c r="C358" s="31">
        <v>4301030232</v>
      </c>
      <c r="D358" s="671">
        <v>4607091388374</v>
      </c>
      <c r="E358" s="672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105</v>
      </c>
      <c r="L358" s="32"/>
      <c r="M358" s="33" t="s">
        <v>92</v>
      </c>
      <c r="N358" s="33"/>
      <c r="O358" s="32">
        <v>180</v>
      </c>
      <c r="P358" s="820" t="s">
        <v>568</v>
      </c>
      <c r="Q358" s="674"/>
      <c r="R358" s="674"/>
      <c r="S358" s="674"/>
      <c r="T358" s="675"/>
      <c r="U358" s="34"/>
      <c r="V358" s="34"/>
      <c r="W358" s="35" t="s">
        <v>68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569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570</v>
      </c>
      <c r="B359" s="54" t="s">
        <v>571</v>
      </c>
      <c r="C359" s="31">
        <v>4301032015</v>
      </c>
      <c r="D359" s="671">
        <v>4607091383102</v>
      </c>
      <c r="E359" s="672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66</v>
      </c>
      <c r="L359" s="32"/>
      <c r="M359" s="33" t="s">
        <v>92</v>
      </c>
      <c r="N359" s="33"/>
      <c r="O359" s="32">
        <v>180</v>
      </c>
      <c r="P359" s="9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4"/>
      <c r="R359" s="674"/>
      <c r="S359" s="674"/>
      <c r="T359" s="675"/>
      <c r="U359" s="34"/>
      <c r="V359" s="34"/>
      <c r="W359" s="35" t="s">
        <v>68</v>
      </c>
      <c r="X359" s="667">
        <v>0</v>
      </c>
      <c r="Y359" s="668">
        <f>IFERROR(IF(X359="",0,CEILING((X359/$H359),1)*$H359),"")</f>
        <v>0</v>
      </c>
      <c r="Z359" s="36" t="str">
        <f>IFERROR(IF(Y359=0,"",ROUNDUP(Y359/H359,0)*0.00651),"")</f>
        <v/>
      </c>
      <c r="AA359" s="56"/>
      <c r="AB359" s="57"/>
      <c r="AC359" s="409" t="s">
        <v>572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573</v>
      </c>
      <c r="B360" s="54" t="s">
        <v>574</v>
      </c>
      <c r="C360" s="31">
        <v>4301030233</v>
      </c>
      <c r="D360" s="671">
        <v>4607091388404</v>
      </c>
      <c r="E360" s="672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66</v>
      </c>
      <c r="L360" s="32"/>
      <c r="M360" s="33" t="s">
        <v>92</v>
      </c>
      <c r="N360" s="33"/>
      <c r="O360" s="32">
        <v>180</v>
      </c>
      <c r="P360" s="10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4"/>
      <c r="R360" s="674"/>
      <c r="S360" s="674"/>
      <c r="T360" s="675"/>
      <c r="U360" s="34"/>
      <c r="V360" s="34"/>
      <c r="W360" s="35" t="s">
        <v>68</v>
      </c>
      <c r="X360" s="667">
        <v>0</v>
      </c>
      <c r="Y360" s="668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569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78"/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80"/>
      <c r="P361" s="688" t="s">
        <v>87</v>
      </c>
      <c r="Q361" s="689"/>
      <c r="R361" s="689"/>
      <c r="S361" s="689"/>
      <c r="T361" s="689"/>
      <c r="U361" s="689"/>
      <c r="V361" s="690"/>
      <c r="W361" s="37" t="s">
        <v>88</v>
      </c>
      <c r="X361" s="669">
        <f>IFERROR(X357/H357,"0")+IFERROR(X358/H358,"0")+IFERROR(X359/H359,"0")+IFERROR(X360/H360,"0")</f>
        <v>0</v>
      </c>
      <c r="Y361" s="669">
        <f>IFERROR(Y357/H357,"0")+IFERROR(Y358/H358,"0")+IFERROR(Y359/H359,"0")+IFERROR(Y360/H360,"0")</f>
        <v>0</v>
      </c>
      <c r="Z361" s="669">
        <f>IFERROR(IF(Z357="",0,Z357),"0")+IFERROR(IF(Z358="",0,Z358),"0")+IFERROR(IF(Z359="",0,Z359),"0")+IFERROR(IF(Z360="",0,Z360),"0")</f>
        <v>0</v>
      </c>
      <c r="AA361" s="670"/>
      <c r="AB361" s="670"/>
      <c r="AC361" s="670"/>
    </row>
    <row r="362" spans="1:68" x14ac:dyDescent="0.2">
      <c r="A362" s="679"/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80"/>
      <c r="P362" s="688" t="s">
        <v>87</v>
      </c>
      <c r="Q362" s="689"/>
      <c r="R362" s="689"/>
      <c r="S362" s="689"/>
      <c r="T362" s="689"/>
      <c r="U362" s="689"/>
      <c r="V362" s="690"/>
      <c r="W362" s="37" t="s">
        <v>68</v>
      </c>
      <c r="X362" s="669">
        <f>IFERROR(SUM(X357:X360),"0")</f>
        <v>0</v>
      </c>
      <c r="Y362" s="669">
        <f>IFERROR(SUM(Y357:Y360),"0")</f>
        <v>0</v>
      </c>
      <c r="Z362" s="37"/>
      <c r="AA362" s="670"/>
      <c r="AB362" s="670"/>
      <c r="AC362" s="670"/>
    </row>
    <row r="363" spans="1:68" ht="14.25" customHeight="1" x14ac:dyDescent="0.25">
      <c r="A363" s="684" t="s">
        <v>575</v>
      </c>
      <c r="B363" s="679"/>
      <c r="C363" s="679"/>
      <c r="D363" s="679"/>
      <c r="E363" s="679"/>
      <c r="F363" s="679"/>
      <c r="G363" s="679"/>
      <c r="H363" s="679"/>
      <c r="I363" s="679"/>
      <c r="J363" s="679"/>
      <c r="K363" s="679"/>
      <c r="L363" s="679"/>
      <c r="M363" s="679"/>
      <c r="N363" s="679"/>
      <c r="O363" s="679"/>
      <c r="P363" s="679"/>
      <c r="Q363" s="679"/>
      <c r="R363" s="679"/>
      <c r="S363" s="679"/>
      <c r="T363" s="679"/>
      <c r="U363" s="679"/>
      <c r="V363" s="679"/>
      <c r="W363" s="679"/>
      <c r="X363" s="679"/>
      <c r="Y363" s="679"/>
      <c r="Z363" s="679"/>
      <c r="AA363" s="663"/>
      <c r="AB363" s="663"/>
      <c r="AC363" s="663"/>
    </row>
    <row r="364" spans="1:68" ht="16.5" customHeight="1" x14ac:dyDescent="0.25">
      <c r="A364" s="54" t="s">
        <v>576</v>
      </c>
      <c r="B364" s="54" t="s">
        <v>577</v>
      </c>
      <c r="C364" s="31">
        <v>4301180007</v>
      </c>
      <c r="D364" s="671">
        <v>4680115881808</v>
      </c>
      <c r="E364" s="672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66</v>
      </c>
      <c r="L364" s="32"/>
      <c r="M364" s="33" t="s">
        <v>578</v>
      </c>
      <c r="N364" s="33"/>
      <c r="O364" s="32">
        <v>730</v>
      </c>
      <c r="P364" s="9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4"/>
      <c r="R364" s="674"/>
      <c r="S364" s="674"/>
      <c r="T364" s="675"/>
      <c r="U364" s="34"/>
      <c r="V364" s="34"/>
      <c r="W364" s="35" t="s">
        <v>68</v>
      </c>
      <c r="X364" s="667">
        <v>0</v>
      </c>
      <c r="Y364" s="668">
        <f>IFERROR(IF(X364="",0,CEILING((X364/$H364),1)*$H364),"")</f>
        <v>0</v>
      </c>
      <c r="Z364" s="36" t="str">
        <f>IFERROR(IF(Y364=0,"",ROUNDUP(Y364/H364,0)*0.00474),"")</f>
        <v/>
      </c>
      <c r="AA364" s="56"/>
      <c r="AB364" s="57"/>
      <c r="AC364" s="413" t="s">
        <v>579</v>
      </c>
      <c r="AG364" s="64"/>
      <c r="AJ364" s="68"/>
      <c r="AK364" s="68">
        <v>0</v>
      </c>
      <c r="BB364" s="41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580</v>
      </c>
      <c r="B365" s="54" t="s">
        <v>581</v>
      </c>
      <c r="C365" s="31">
        <v>4301180006</v>
      </c>
      <c r="D365" s="671">
        <v>4680115881822</v>
      </c>
      <c r="E365" s="672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66</v>
      </c>
      <c r="L365" s="32"/>
      <c r="M365" s="33" t="s">
        <v>578</v>
      </c>
      <c r="N365" s="33"/>
      <c r="O365" s="32">
        <v>730</v>
      </c>
      <c r="P365" s="98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4"/>
      <c r="R365" s="674"/>
      <c r="S365" s="674"/>
      <c r="T365" s="675"/>
      <c r="U365" s="34"/>
      <c r="V365" s="34"/>
      <c r="W365" s="35" t="s">
        <v>68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579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582</v>
      </c>
      <c r="B366" s="54" t="s">
        <v>583</v>
      </c>
      <c r="C366" s="31">
        <v>4301180001</v>
      </c>
      <c r="D366" s="671">
        <v>4680115880016</v>
      </c>
      <c r="E366" s="672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66</v>
      </c>
      <c r="L366" s="32"/>
      <c r="M366" s="33" t="s">
        <v>578</v>
      </c>
      <c r="N366" s="33"/>
      <c r="O366" s="32">
        <v>730</v>
      </c>
      <c r="P366" s="71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4"/>
      <c r="R366" s="674"/>
      <c r="S366" s="674"/>
      <c r="T366" s="675"/>
      <c r="U366" s="34"/>
      <c r="V366" s="34"/>
      <c r="W366" s="35" t="s">
        <v>68</v>
      </c>
      <c r="X366" s="667">
        <v>0</v>
      </c>
      <c r="Y366" s="668">
        <f>IFERROR(IF(X366="",0,CEILING((X366/$H366),1)*$H366),"")</f>
        <v>0</v>
      </c>
      <c r="Z366" s="36" t="str">
        <f>IFERROR(IF(Y366=0,"",ROUNDUP(Y366/H366,0)*0.00474),"")</f>
        <v/>
      </c>
      <c r="AA366" s="56"/>
      <c r="AB366" s="57"/>
      <c r="AC366" s="417" t="s">
        <v>579</v>
      </c>
      <c r="AG366" s="64"/>
      <c r="AJ366" s="68"/>
      <c r="AK366" s="68">
        <v>0</v>
      </c>
      <c r="BB366" s="418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78"/>
      <c r="B367" s="679"/>
      <c r="C367" s="679"/>
      <c r="D367" s="679"/>
      <c r="E367" s="679"/>
      <c r="F367" s="679"/>
      <c r="G367" s="679"/>
      <c r="H367" s="679"/>
      <c r="I367" s="679"/>
      <c r="J367" s="679"/>
      <c r="K367" s="679"/>
      <c r="L367" s="679"/>
      <c r="M367" s="679"/>
      <c r="N367" s="679"/>
      <c r="O367" s="680"/>
      <c r="P367" s="688" t="s">
        <v>87</v>
      </c>
      <c r="Q367" s="689"/>
      <c r="R367" s="689"/>
      <c r="S367" s="689"/>
      <c r="T367" s="689"/>
      <c r="U367" s="689"/>
      <c r="V367" s="690"/>
      <c r="W367" s="37" t="s">
        <v>88</v>
      </c>
      <c r="X367" s="669">
        <f>IFERROR(X364/H364,"0")+IFERROR(X365/H365,"0")+IFERROR(X366/H366,"0")</f>
        <v>0</v>
      </c>
      <c r="Y367" s="669">
        <f>IFERROR(Y364/H364,"0")+IFERROR(Y365/H365,"0")+IFERROR(Y366/H366,"0")</f>
        <v>0</v>
      </c>
      <c r="Z367" s="669">
        <f>IFERROR(IF(Z364="",0,Z364),"0")+IFERROR(IF(Z365="",0,Z365),"0")+IFERROR(IF(Z366="",0,Z366),"0")</f>
        <v>0</v>
      </c>
      <c r="AA367" s="670"/>
      <c r="AB367" s="670"/>
      <c r="AC367" s="670"/>
    </row>
    <row r="368" spans="1:68" x14ac:dyDescent="0.2">
      <c r="A368" s="679"/>
      <c r="B368" s="679"/>
      <c r="C368" s="679"/>
      <c r="D368" s="679"/>
      <c r="E368" s="679"/>
      <c r="F368" s="679"/>
      <c r="G368" s="679"/>
      <c r="H368" s="679"/>
      <c r="I368" s="679"/>
      <c r="J368" s="679"/>
      <c r="K368" s="679"/>
      <c r="L368" s="679"/>
      <c r="M368" s="679"/>
      <c r="N368" s="679"/>
      <c r="O368" s="680"/>
      <c r="P368" s="688" t="s">
        <v>87</v>
      </c>
      <c r="Q368" s="689"/>
      <c r="R368" s="689"/>
      <c r="S368" s="689"/>
      <c r="T368" s="689"/>
      <c r="U368" s="689"/>
      <c r="V368" s="690"/>
      <c r="W368" s="37" t="s">
        <v>68</v>
      </c>
      <c r="X368" s="669">
        <f>IFERROR(SUM(X364:X366),"0")</f>
        <v>0</v>
      </c>
      <c r="Y368" s="669">
        <f>IFERROR(SUM(Y364:Y366),"0")</f>
        <v>0</v>
      </c>
      <c r="Z368" s="37"/>
      <c r="AA368" s="670"/>
      <c r="AB368" s="670"/>
      <c r="AC368" s="670"/>
    </row>
    <row r="369" spans="1:68" ht="16.5" customHeight="1" x14ac:dyDescent="0.25">
      <c r="A369" s="685" t="s">
        <v>584</v>
      </c>
      <c r="B369" s="679"/>
      <c r="C369" s="679"/>
      <c r="D369" s="679"/>
      <c r="E369" s="679"/>
      <c r="F369" s="679"/>
      <c r="G369" s="679"/>
      <c r="H369" s="679"/>
      <c r="I369" s="679"/>
      <c r="J369" s="679"/>
      <c r="K369" s="679"/>
      <c r="L369" s="679"/>
      <c r="M369" s="679"/>
      <c r="N369" s="679"/>
      <c r="O369" s="679"/>
      <c r="P369" s="679"/>
      <c r="Q369" s="679"/>
      <c r="R369" s="679"/>
      <c r="S369" s="679"/>
      <c r="T369" s="679"/>
      <c r="U369" s="679"/>
      <c r="V369" s="679"/>
      <c r="W369" s="679"/>
      <c r="X369" s="679"/>
      <c r="Y369" s="679"/>
      <c r="Z369" s="679"/>
      <c r="AA369" s="662"/>
      <c r="AB369" s="662"/>
      <c r="AC369" s="662"/>
    </row>
    <row r="370" spans="1:68" ht="14.25" customHeight="1" x14ac:dyDescent="0.25">
      <c r="A370" s="684" t="s">
        <v>144</v>
      </c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79"/>
      <c r="P370" s="679"/>
      <c r="Q370" s="679"/>
      <c r="R370" s="679"/>
      <c r="S370" s="679"/>
      <c r="T370" s="679"/>
      <c r="U370" s="679"/>
      <c r="V370" s="679"/>
      <c r="W370" s="679"/>
      <c r="X370" s="679"/>
      <c r="Y370" s="679"/>
      <c r="Z370" s="679"/>
      <c r="AA370" s="663"/>
      <c r="AB370" s="663"/>
      <c r="AC370" s="663"/>
    </row>
    <row r="371" spans="1:68" ht="27" customHeight="1" x14ac:dyDescent="0.25">
      <c r="A371" s="54" t="s">
        <v>585</v>
      </c>
      <c r="B371" s="54" t="s">
        <v>586</v>
      </c>
      <c r="C371" s="31">
        <v>4301031066</v>
      </c>
      <c r="D371" s="671">
        <v>4607091383836</v>
      </c>
      <c r="E371" s="672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66</v>
      </c>
      <c r="L371" s="32"/>
      <c r="M371" s="33" t="s">
        <v>67</v>
      </c>
      <c r="N371" s="33"/>
      <c r="O371" s="32">
        <v>40</v>
      </c>
      <c r="P371" s="818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4"/>
      <c r="R371" s="674"/>
      <c r="S371" s="674"/>
      <c r="T371" s="675"/>
      <c r="U371" s="34"/>
      <c r="V371" s="34"/>
      <c r="W371" s="35" t="s">
        <v>68</v>
      </c>
      <c r="X371" s="667">
        <v>0</v>
      </c>
      <c r="Y371" s="668">
        <f>IFERROR(IF(X371="",0,CEILING((X371/$H371),1)*$H371),"")</f>
        <v>0</v>
      </c>
      <c r="Z371" s="36" t="str">
        <f>IFERROR(IF(Y371=0,"",ROUNDUP(Y371/H371,0)*0.00651),"")</f>
        <v/>
      </c>
      <c r="AA371" s="56"/>
      <c r="AB371" s="57"/>
      <c r="AC371" s="419" t="s">
        <v>587</v>
      </c>
      <c r="AG371" s="64"/>
      <c r="AJ371" s="68"/>
      <c r="AK371" s="68">
        <v>0</v>
      </c>
      <c r="BB371" s="42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678"/>
      <c r="B372" s="679"/>
      <c r="C372" s="679"/>
      <c r="D372" s="679"/>
      <c r="E372" s="679"/>
      <c r="F372" s="679"/>
      <c r="G372" s="679"/>
      <c r="H372" s="679"/>
      <c r="I372" s="679"/>
      <c r="J372" s="679"/>
      <c r="K372" s="679"/>
      <c r="L372" s="679"/>
      <c r="M372" s="679"/>
      <c r="N372" s="679"/>
      <c r="O372" s="680"/>
      <c r="P372" s="688" t="s">
        <v>87</v>
      </c>
      <c r="Q372" s="689"/>
      <c r="R372" s="689"/>
      <c r="S372" s="689"/>
      <c r="T372" s="689"/>
      <c r="U372" s="689"/>
      <c r="V372" s="690"/>
      <c r="W372" s="37" t="s">
        <v>88</v>
      </c>
      <c r="X372" s="669">
        <f>IFERROR(X371/H371,"0")</f>
        <v>0</v>
      </c>
      <c r="Y372" s="669">
        <f>IFERROR(Y371/H371,"0")</f>
        <v>0</v>
      </c>
      <c r="Z372" s="669">
        <f>IFERROR(IF(Z371="",0,Z371),"0")</f>
        <v>0</v>
      </c>
      <c r="AA372" s="670"/>
      <c r="AB372" s="670"/>
      <c r="AC372" s="670"/>
    </row>
    <row r="373" spans="1:68" x14ac:dyDescent="0.2">
      <c r="A373" s="679"/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80"/>
      <c r="P373" s="688" t="s">
        <v>87</v>
      </c>
      <c r="Q373" s="689"/>
      <c r="R373" s="689"/>
      <c r="S373" s="689"/>
      <c r="T373" s="689"/>
      <c r="U373" s="689"/>
      <c r="V373" s="690"/>
      <c r="W373" s="37" t="s">
        <v>68</v>
      </c>
      <c r="X373" s="669">
        <f>IFERROR(SUM(X371:X371),"0")</f>
        <v>0</v>
      </c>
      <c r="Y373" s="669">
        <f>IFERROR(SUM(Y371:Y371),"0")</f>
        <v>0</v>
      </c>
      <c r="Z373" s="37"/>
      <c r="AA373" s="670"/>
      <c r="AB373" s="670"/>
      <c r="AC373" s="670"/>
    </row>
    <row r="374" spans="1:68" ht="14.25" customHeight="1" x14ac:dyDescent="0.25">
      <c r="A374" s="684" t="s">
        <v>63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3"/>
      <c r="AB374" s="663"/>
      <c r="AC374" s="663"/>
    </row>
    <row r="375" spans="1:68" ht="27" customHeight="1" x14ac:dyDescent="0.25">
      <c r="A375" s="54" t="s">
        <v>588</v>
      </c>
      <c r="B375" s="54" t="s">
        <v>589</v>
      </c>
      <c r="C375" s="31">
        <v>4301051489</v>
      </c>
      <c r="D375" s="671">
        <v>4607091387919</v>
      </c>
      <c r="E375" s="672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100</v>
      </c>
      <c r="L375" s="32"/>
      <c r="M375" s="33" t="s">
        <v>129</v>
      </c>
      <c r="N375" s="33"/>
      <c r="O375" s="32">
        <v>45</v>
      </c>
      <c r="P375" s="8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4"/>
      <c r="R375" s="674"/>
      <c r="S375" s="674"/>
      <c r="T375" s="675"/>
      <c r="U375" s="34"/>
      <c r="V375" s="34"/>
      <c r="W375" s="35" t="s">
        <v>68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590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591</v>
      </c>
      <c r="B376" s="54" t="s">
        <v>592</v>
      </c>
      <c r="C376" s="31">
        <v>4301051461</v>
      </c>
      <c r="D376" s="671">
        <v>4680115883604</v>
      </c>
      <c r="E376" s="672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66</v>
      </c>
      <c r="L376" s="32"/>
      <c r="M376" s="33" t="s">
        <v>106</v>
      </c>
      <c r="N376" s="33"/>
      <c r="O376" s="32">
        <v>45</v>
      </c>
      <c r="P376" s="8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4"/>
      <c r="R376" s="674"/>
      <c r="S376" s="674"/>
      <c r="T376" s="675"/>
      <c r="U376" s="34"/>
      <c r="V376" s="34"/>
      <c r="W376" s="35" t="s">
        <v>68</v>
      </c>
      <c r="X376" s="667">
        <v>0</v>
      </c>
      <c r="Y376" s="66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23" t="s">
        <v>593</v>
      </c>
      <c r="AG376" s="64"/>
      <c r="AJ376" s="68"/>
      <c r="AK376" s="68">
        <v>0</v>
      </c>
      <c r="BB376" s="424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594</v>
      </c>
      <c r="B377" s="54" t="s">
        <v>595</v>
      </c>
      <c r="C377" s="31">
        <v>4301051864</v>
      </c>
      <c r="D377" s="671">
        <v>4680115883567</v>
      </c>
      <c r="E377" s="672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66</v>
      </c>
      <c r="L377" s="32"/>
      <c r="M377" s="33" t="s">
        <v>129</v>
      </c>
      <c r="N377" s="33"/>
      <c r="O377" s="32">
        <v>40</v>
      </c>
      <c r="P377" s="8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4"/>
      <c r="R377" s="674"/>
      <c r="S377" s="674"/>
      <c r="T377" s="675"/>
      <c r="U377" s="34"/>
      <c r="V377" s="34"/>
      <c r="W377" s="35" t="s">
        <v>68</v>
      </c>
      <c r="X377" s="667">
        <v>0</v>
      </c>
      <c r="Y377" s="668">
        <f>IFERROR(IF(X377="",0,CEILING((X377/$H377),1)*$H377),"")</f>
        <v>0</v>
      </c>
      <c r="Z377" s="36" t="str">
        <f>IFERROR(IF(Y377=0,"",ROUNDUP(Y377/H377,0)*0.00651),"")</f>
        <v/>
      </c>
      <c r="AA377" s="56"/>
      <c r="AB377" s="57"/>
      <c r="AC377" s="425" t="s">
        <v>596</v>
      </c>
      <c r="AG377" s="64"/>
      <c r="AJ377" s="68"/>
      <c r="AK377" s="68">
        <v>0</v>
      </c>
      <c r="BB377" s="42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678"/>
      <c r="B378" s="679"/>
      <c r="C378" s="679"/>
      <c r="D378" s="679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80"/>
      <c r="P378" s="688" t="s">
        <v>87</v>
      </c>
      <c r="Q378" s="689"/>
      <c r="R378" s="689"/>
      <c r="S378" s="689"/>
      <c r="T378" s="689"/>
      <c r="U378" s="689"/>
      <c r="V378" s="690"/>
      <c r="W378" s="37" t="s">
        <v>88</v>
      </c>
      <c r="X378" s="669">
        <f>IFERROR(X375/H375,"0")+IFERROR(X376/H376,"0")+IFERROR(X377/H377,"0")</f>
        <v>0</v>
      </c>
      <c r="Y378" s="669">
        <f>IFERROR(Y375/H375,"0")+IFERROR(Y376/H376,"0")+IFERROR(Y377/H377,"0")</f>
        <v>0</v>
      </c>
      <c r="Z378" s="669">
        <f>IFERROR(IF(Z375="",0,Z375),"0")+IFERROR(IF(Z376="",0,Z376),"0")+IFERROR(IF(Z377="",0,Z377),"0")</f>
        <v>0</v>
      </c>
      <c r="AA378" s="670"/>
      <c r="AB378" s="670"/>
      <c r="AC378" s="670"/>
    </row>
    <row r="379" spans="1:68" x14ac:dyDescent="0.2">
      <c r="A379" s="679"/>
      <c r="B379" s="679"/>
      <c r="C379" s="679"/>
      <c r="D379" s="679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80"/>
      <c r="P379" s="688" t="s">
        <v>87</v>
      </c>
      <c r="Q379" s="689"/>
      <c r="R379" s="689"/>
      <c r="S379" s="689"/>
      <c r="T379" s="689"/>
      <c r="U379" s="689"/>
      <c r="V379" s="690"/>
      <c r="W379" s="37" t="s">
        <v>68</v>
      </c>
      <c r="X379" s="669">
        <f>IFERROR(SUM(X375:X377),"0")</f>
        <v>0</v>
      </c>
      <c r="Y379" s="669">
        <f>IFERROR(SUM(Y375:Y377),"0")</f>
        <v>0</v>
      </c>
      <c r="Z379" s="37"/>
      <c r="AA379" s="670"/>
      <c r="AB379" s="670"/>
      <c r="AC379" s="670"/>
    </row>
    <row r="380" spans="1:68" ht="27.75" customHeight="1" x14ac:dyDescent="0.2">
      <c r="A380" s="682" t="s">
        <v>597</v>
      </c>
      <c r="B380" s="683"/>
      <c r="C380" s="683"/>
      <c r="D380" s="683"/>
      <c r="E380" s="683"/>
      <c r="F380" s="683"/>
      <c r="G380" s="683"/>
      <c r="H380" s="683"/>
      <c r="I380" s="683"/>
      <c r="J380" s="683"/>
      <c r="K380" s="683"/>
      <c r="L380" s="683"/>
      <c r="M380" s="683"/>
      <c r="N380" s="683"/>
      <c r="O380" s="683"/>
      <c r="P380" s="683"/>
      <c r="Q380" s="683"/>
      <c r="R380" s="683"/>
      <c r="S380" s="683"/>
      <c r="T380" s="683"/>
      <c r="U380" s="683"/>
      <c r="V380" s="683"/>
      <c r="W380" s="683"/>
      <c r="X380" s="683"/>
      <c r="Y380" s="683"/>
      <c r="Z380" s="683"/>
      <c r="AA380" s="48"/>
      <c r="AB380" s="48"/>
      <c r="AC380" s="48"/>
    </row>
    <row r="381" spans="1:68" ht="16.5" customHeight="1" x14ac:dyDescent="0.25">
      <c r="A381" s="685" t="s">
        <v>598</v>
      </c>
      <c r="B381" s="679"/>
      <c r="C381" s="679"/>
      <c r="D381" s="679"/>
      <c r="E381" s="679"/>
      <c r="F381" s="679"/>
      <c r="G381" s="679"/>
      <c r="H381" s="679"/>
      <c r="I381" s="679"/>
      <c r="J381" s="679"/>
      <c r="K381" s="679"/>
      <c r="L381" s="679"/>
      <c r="M381" s="679"/>
      <c r="N381" s="679"/>
      <c r="O381" s="679"/>
      <c r="P381" s="679"/>
      <c r="Q381" s="679"/>
      <c r="R381" s="679"/>
      <c r="S381" s="679"/>
      <c r="T381" s="679"/>
      <c r="U381" s="679"/>
      <c r="V381" s="679"/>
      <c r="W381" s="679"/>
      <c r="X381" s="679"/>
      <c r="Y381" s="679"/>
      <c r="Z381" s="679"/>
      <c r="AA381" s="662"/>
      <c r="AB381" s="662"/>
      <c r="AC381" s="662"/>
    </row>
    <row r="382" spans="1:68" ht="14.25" customHeight="1" x14ac:dyDescent="0.25">
      <c r="A382" s="684" t="s">
        <v>97</v>
      </c>
      <c r="B382" s="679"/>
      <c r="C382" s="679"/>
      <c r="D382" s="679"/>
      <c r="E382" s="679"/>
      <c r="F382" s="679"/>
      <c r="G382" s="679"/>
      <c r="H382" s="679"/>
      <c r="I382" s="679"/>
      <c r="J382" s="679"/>
      <c r="K382" s="679"/>
      <c r="L382" s="679"/>
      <c r="M382" s="679"/>
      <c r="N382" s="679"/>
      <c r="O382" s="679"/>
      <c r="P382" s="679"/>
      <c r="Q382" s="679"/>
      <c r="R382" s="679"/>
      <c r="S382" s="679"/>
      <c r="T382" s="679"/>
      <c r="U382" s="679"/>
      <c r="V382" s="679"/>
      <c r="W382" s="679"/>
      <c r="X382" s="679"/>
      <c r="Y382" s="679"/>
      <c r="Z382" s="679"/>
      <c r="AA382" s="663"/>
      <c r="AB382" s="663"/>
      <c r="AC382" s="663"/>
    </row>
    <row r="383" spans="1:68" ht="37.5" customHeight="1" x14ac:dyDescent="0.25">
      <c r="A383" s="54" t="s">
        <v>599</v>
      </c>
      <c r="B383" s="54" t="s">
        <v>600</v>
      </c>
      <c r="C383" s="31">
        <v>4301011869</v>
      </c>
      <c r="D383" s="671">
        <v>4680115884847</v>
      </c>
      <c r="E383" s="672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100</v>
      </c>
      <c r="L383" s="32"/>
      <c r="M383" s="33" t="s">
        <v>67</v>
      </c>
      <c r="N383" s="33"/>
      <c r="O383" s="32">
        <v>60</v>
      </c>
      <c r="P383" s="10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4"/>
      <c r="R383" s="674"/>
      <c r="S383" s="674"/>
      <c r="T383" s="675"/>
      <c r="U383" s="34"/>
      <c r="V383" s="34"/>
      <c r="W383" s="35" t="s">
        <v>68</v>
      </c>
      <c r="X383" s="667">
        <v>1200</v>
      </c>
      <c r="Y383" s="668">
        <f t="shared" ref="Y383:Y392" si="57">IFERROR(IF(X383="",0,CEILING((X383/$H383),1)*$H383),"")</f>
        <v>1200</v>
      </c>
      <c r="Z383" s="36">
        <f>IFERROR(IF(Y383=0,"",ROUNDUP(Y383/H383,0)*0.02175),"")</f>
        <v>1.7399999999999998</v>
      </c>
      <c r="AA383" s="56"/>
      <c r="AB383" s="57"/>
      <c r="AC383" s="427" t="s">
        <v>601</v>
      </c>
      <c r="AG383" s="64"/>
      <c r="AJ383" s="68"/>
      <c r="AK383" s="68">
        <v>0</v>
      </c>
      <c r="BB383" s="428" t="s">
        <v>1</v>
      </c>
      <c r="BM383" s="64">
        <f t="shared" ref="BM383:BM392" si="58">IFERROR(X383*I383/H383,"0")</f>
        <v>1238.4000000000001</v>
      </c>
      <c r="BN383" s="64">
        <f t="shared" ref="BN383:BN392" si="59">IFERROR(Y383*I383/H383,"0")</f>
        <v>1238.4000000000001</v>
      </c>
      <c r="BO383" s="64">
        <f t="shared" ref="BO383:BO392" si="60">IFERROR(1/J383*(X383/H383),"0")</f>
        <v>1.6666666666666665</v>
      </c>
      <c r="BP383" s="64">
        <f t="shared" ref="BP383:BP392" si="61">IFERROR(1/J383*(Y383/H383),"0")</f>
        <v>1.6666666666666665</v>
      </c>
    </row>
    <row r="384" spans="1:68" ht="27" customHeight="1" x14ac:dyDescent="0.25">
      <c r="A384" s="54" t="s">
        <v>599</v>
      </c>
      <c r="B384" s="54" t="s">
        <v>602</v>
      </c>
      <c r="C384" s="31">
        <v>4301011946</v>
      </c>
      <c r="D384" s="671">
        <v>4680115884847</v>
      </c>
      <c r="E384" s="672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100</v>
      </c>
      <c r="L384" s="32"/>
      <c r="M384" s="33" t="s">
        <v>392</v>
      </c>
      <c r="N384" s="33"/>
      <c r="O384" s="32">
        <v>60</v>
      </c>
      <c r="P384" s="69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4"/>
      <c r="R384" s="674"/>
      <c r="S384" s="674"/>
      <c r="T384" s="675"/>
      <c r="U384" s="34"/>
      <c r="V384" s="34"/>
      <c r="W384" s="35" t="s">
        <v>68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603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604</v>
      </c>
      <c r="B385" s="54" t="s">
        <v>605</v>
      </c>
      <c r="C385" s="31">
        <v>4301011870</v>
      </c>
      <c r="D385" s="671">
        <v>4680115884854</v>
      </c>
      <c r="E385" s="672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100</v>
      </c>
      <c r="L385" s="32"/>
      <c r="M385" s="33" t="s">
        <v>67</v>
      </c>
      <c r="N385" s="33"/>
      <c r="O385" s="32">
        <v>60</v>
      </c>
      <c r="P385" s="10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4"/>
      <c r="R385" s="674"/>
      <c r="S385" s="674"/>
      <c r="T385" s="675"/>
      <c r="U385" s="34"/>
      <c r="V385" s="34"/>
      <c r="W385" s="35" t="s">
        <v>68</v>
      </c>
      <c r="X385" s="667">
        <v>400</v>
      </c>
      <c r="Y385" s="668">
        <f t="shared" si="57"/>
        <v>405</v>
      </c>
      <c r="Z385" s="36">
        <f>IFERROR(IF(Y385=0,"",ROUNDUP(Y385/H385,0)*0.02175),"")</f>
        <v>0.58724999999999994</v>
      </c>
      <c r="AA385" s="56"/>
      <c r="AB385" s="57"/>
      <c r="AC385" s="431" t="s">
        <v>606</v>
      </c>
      <c r="AG385" s="64"/>
      <c r="AJ385" s="68"/>
      <c r="AK385" s="68">
        <v>0</v>
      </c>
      <c r="BB385" s="432" t="s">
        <v>1</v>
      </c>
      <c r="BM385" s="64">
        <f t="shared" si="58"/>
        <v>412.8</v>
      </c>
      <c r="BN385" s="64">
        <f t="shared" si="59"/>
        <v>417.96000000000004</v>
      </c>
      <c r="BO385" s="64">
        <f t="shared" si="60"/>
        <v>0.55555555555555558</v>
      </c>
      <c r="BP385" s="64">
        <f t="shared" si="61"/>
        <v>0.5625</v>
      </c>
    </row>
    <row r="386" spans="1:68" ht="27" customHeight="1" x14ac:dyDescent="0.25">
      <c r="A386" s="54" t="s">
        <v>604</v>
      </c>
      <c r="B386" s="54" t="s">
        <v>607</v>
      </c>
      <c r="C386" s="31">
        <v>4301011947</v>
      </c>
      <c r="D386" s="671">
        <v>4680115884854</v>
      </c>
      <c r="E386" s="672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100</v>
      </c>
      <c r="L386" s="32"/>
      <c r="M386" s="33" t="s">
        <v>392</v>
      </c>
      <c r="N386" s="33"/>
      <c r="O386" s="32">
        <v>60</v>
      </c>
      <c r="P386" s="70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4"/>
      <c r="R386" s="674"/>
      <c r="S386" s="674"/>
      <c r="T386" s="675"/>
      <c r="U386" s="34"/>
      <c r="V386" s="34"/>
      <c r="W386" s="35" t="s">
        <v>68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603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customHeight="1" x14ac:dyDescent="0.25">
      <c r="A387" s="54" t="s">
        <v>608</v>
      </c>
      <c r="B387" s="54" t="s">
        <v>609</v>
      </c>
      <c r="C387" s="31">
        <v>4301011832</v>
      </c>
      <c r="D387" s="671">
        <v>4607091383997</v>
      </c>
      <c r="E387" s="672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100</v>
      </c>
      <c r="L387" s="32"/>
      <c r="M387" s="33" t="s">
        <v>129</v>
      </c>
      <c r="N387" s="33"/>
      <c r="O387" s="32">
        <v>60</v>
      </c>
      <c r="P387" s="86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4"/>
      <c r="R387" s="674"/>
      <c r="S387" s="674"/>
      <c r="T387" s="675"/>
      <c r="U387" s="34"/>
      <c r="V387" s="34"/>
      <c r="W387" s="35" t="s">
        <v>68</v>
      </c>
      <c r="X387" s="667">
        <v>145</v>
      </c>
      <c r="Y387" s="668">
        <f t="shared" si="57"/>
        <v>150</v>
      </c>
      <c r="Z387" s="36">
        <f>IFERROR(IF(Y387=0,"",ROUNDUP(Y387/H387,0)*0.02175),"")</f>
        <v>0.21749999999999997</v>
      </c>
      <c r="AA387" s="56"/>
      <c r="AB387" s="57"/>
      <c r="AC387" s="435" t="s">
        <v>610</v>
      </c>
      <c r="AG387" s="64"/>
      <c r="AJ387" s="68"/>
      <c r="AK387" s="68">
        <v>0</v>
      </c>
      <c r="BB387" s="436" t="s">
        <v>1</v>
      </c>
      <c r="BM387" s="64">
        <f t="shared" si="58"/>
        <v>149.63999999999999</v>
      </c>
      <c r="BN387" s="64">
        <f t="shared" si="59"/>
        <v>154.80000000000001</v>
      </c>
      <c r="BO387" s="64">
        <f t="shared" si="60"/>
        <v>0.20138888888888887</v>
      </c>
      <c r="BP387" s="64">
        <f t="shared" si="61"/>
        <v>0.20833333333333331</v>
      </c>
    </row>
    <row r="388" spans="1:68" ht="37.5" customHeight="1" x14ac:dyDescent="0.25">
      <c r="A388" s="54" t="s">
        <v>611</v>
      </c>
      <c r="B388" s="54" t="s">
        <v>612</v>
      </c>
      <c r="C388" s="31">
        <v>4301011867</v>
      </c>
      <c r="D388" s="671">
        <v>4680115884830</v>
      </c>
      <c r="E388" s="672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100</v>
      </c>
      <c r="L388" s="32"/>
      <c r="M388" s="33" t="s">
        <v>67</v>
      </c>
      <c r="N388" s="33"/>
      <c r="O388" s="32">
        <v>60</v>
      </c>
      <c r="P388" s="9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4"/>
      <c r="R388" s="674"/>
      <c r="S388" s="674"/>
      <c r="T388" s="675"/>
      <c r="U388" s="34"/>
      <c r="V388" s="34"/>
      <c r="W388" s="35" t="s">
        <v>68</v>
      </c>
      <c r="X388" s="667">
        <v>450</v>
      </c>
      <c r="Y388" s="668">
        <f t="shared" si="57"/>
        <v>450</v>
      </c>
      <c r="Z388" s="36">
        <f>IFERROR(IF(Y388=0,"",ROUNDUP(Y388/H388,0)*0.02175),"")</f>
        <v>0.65249999999999997</v>
      </c>
      <c r="AA388" s="56"/>
      <c r="AB388" s="57"/>
      <c r="AC388" s="437" t="s">
        <v>613</v>
      </c>
      <c r="AG388" s="64"/>
      <c r="AJ388" s="68"/>
      <c r="AK388" s="68">
        <v>0</v>
      </c>
      <c r="BB388" s="438" t="s">
        <v>1</v>
      </c>
      <c r="BM388" s="64">
        <f t="shared" si="58"/>
        <v>464.4</v>
      </c>
      <c r="BN388" s="64">
        <f t="shared" si="59"/>
        <v>464.4</v>
      </c>
      <c r="BO388" s="64">
        <f t="shared" si="60"/>
        <v>0.625</v>
      </c>
      <c r="BP388" s="64">
        <f t="shared" si="61"/>
        <v>0.625</v>
      </c>
    </row>
    <row r="389" spans="1:68" ht="27" customHeight="1" x14ac:dyDescent="0.25">
      <c r="A389" s="54" t="s">
        <v>611</v>
      </c>
      <c r="B389" s="54" t="s">
        <v>614</v>
      </c>
      <c r="C389" s="31">
        <v>4301011943</v>
      </c>
      <c r="D389" s="671">
        <v>4680115884830</v>
      </c>
      <c r="E389" s="672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100</v>
      </c>
      <c r="L389" s="32"/>
      <c r="M389" s="33" t="s">
        <v>392</v>
      </c>
      <c r="N389" s="33"/>
      <c r="O389" s="32">
        <v>60</v>
      </c>
      <c r="P389" s="69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4"/>
      <c r="R389" s="674"/>
      <c r="S389" s="674"/>
      <c r="T389" s="675"/>
      <c r="U389" s="34"/>
      <c r="V389" s="34"/>
      <c r="W389" s="35" t="s">
        <v>68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603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customHeight="1" x14ac:dyDescent="0.25">
      <c r="A390" s="54" t="s">
        <v>615</v>
      </c>
      <c r="B390" s="54" t="s">
        <v>616</v>
      </c>
      <c r="C390" s="31">
        <v>4301011433</v>
      </c>
      <c r="D390" s="671">
        <v>4680115882638</v>
      </c>
      <c r="E390" s="672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105</v>
      </c>
      <c r="L390" s="32"/>
      <c r="M390" s="33" t="s">
        <v>101</v>
      </c>
      <c r="N390" s="33"/>
      <c r="O390" s="32">
        <v>90</v>
      </c>
      <c r="P390" s="9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4"/>
      <c r="R390" s="674"/>
      <c r="S390" s="674"/>
      <c r="T390" s="675"/>
      <c r="U390" s="34"/>
      <c r="V390" s="34"/>
      <c r="W390" s="35" t="s">
        <v>68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617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customHeight="1" x14ac:dyDescent="0.25">
      <c r="A391" s="54" t="s">
        <v>618</v>
      </c>
      <c r="B391" s="54" t="s">
        <v>619</v>
      </c>
      <c r="C391" s="31">
        <v>4301011952</v>
      </c>
      <c r="D391" s="671">
        <v>4680115884922</v>
      </c>
      <c r="E391" s="672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105</v>
      </c>
      <c r="L391" s="32"/>
      <c r="M391" s="33" t="s">
        <v>67</v>
      </c>
      <c r="N391" s="33"/>
      <c r="O391" s="32">
        <v>60</v>
      </c>
      <c r="P39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4"/>
      <c r="R391" s="674"/>
      <c r="S391" s="674"/>
      <c r="T391" s="675"/>
      <c r="U391" s="34"/>
      <c r="V391" s="34"/>
      <c r="W391" s="35" t="s">
        <v>68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606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620</v>
      </c>
      <c r="B392" s="54" t="s">
        <v>621</v>
      </c>
      <c r="C392" s="31">
        <v>4301011868</v>
      </c>
      <c r="D392" s="671">
        <v>4680115884861</v>
      </c>
      <c r="E392" s="672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105</v>
      </c>
      <c r="L392" s="32"/>
      <c r="M392" s="33" t="s">
        <v>67</v>
      </c>
      <c r="N392" s="33"/>
      <c r="O392" s="32">
        <v>60</v>
      </c>
      <c r="P392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4"/>
      <c r="R392" s="674"/>
      <c r="S392" s="674"/>
      <c r="T392" s="675"/>
      <c r="U392" s="34"/>
      <c r="V392" s="34"/>
      <c r="W392" s="35" t="s">
        <v>68</v>
      </c>
      <c r="X392" s="667">
        <v>0</v>
      </c>
      <c r="Y392" s="668">
        <f t="shared" si="57"/>
        <v>0</v>
      </c>
      <c r="Z392" s="36" t="str">
        <f>IFERROR(IF(Y392=0,"",ROUNDUP(Y392/H392,0)*0.00902),"")</f>
        <v/>
      </c>
      <c r="AA392" s="56"/>
      <c r="AB392" s="57"/>
      <c r="AC392" s="445" t="s">
        <v>613</v>
      </c>
      <c r="AG392" s="64"/>
      <c r="AJ392" s="68"/>
      <c r="AK392" s="68">
        <v>0</v>
      </c>
      <c r="BB392" s="446" t="s">
        <v>1</v>
      </c>
      <c r="BM392" s="64">
        <f t="shared" si="58"/>
        <v>0</v>
      </c>
      <c r="BN392" s="64">
        <f t="shared" si="59"/>
        <v>0</v>
      </c>
      <c r="BO392" s="64">
        <f t="shared" si="60"/>
        <v>0</v>
      </c>
      <c r="BP392" s="64">
        <f t="shared" si="61"/>
        <v>0</v>
      </c>
    </row>
    <row r="393" spans="1:68" x14ac:dyDescent="0.2">
      <c r="A393" s="678"/>
      <c r="B393" s="679"/>
      <c r="C393" s="679"/>
      <c r="D393" s="679"/>
      <c r="E393" s="679"/>
      <c r="F393" s="679"/>
      <c r="G393" s="679"/>
      <c r="H393" s="679"/>
      <c r="I393" s="679"/>
      <c r="J393" s="679"/>
      <c r="K393" s="679"/>
      <c r="L393" s="679"/>
      <c r="M393" s="679"/>
      <c r="N393" s="679"/>
      <c r="O393" s="680"/>
      <c r="P393" s="688" t="s">
        <v>87</v>
      </c>
      <c r="Q393" s="689"/>
      <c r="R393" s="689"/>
      <c r="S393" s="689"/>
      <c r="T393" s="689"/>
      <c r="U393" s="689"/>
      <c r="V393" s="690"/>
      <c r="W393" s="37" t="s">
        <v>88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146.33333333333334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147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3.1972499999999995</v>
      </c>
      <c r="AA393" s="670"/>
      <c r="AB393" s="670"/>
      <c r="AC393" s="670"/>
    </row>
    <row r="394" spans="1:68" x14ac:dyDescent="0.2">
      <c r="A394" s="679"/>
      <c r="B394" s="679"/>
      <c r="C394" s="679"/>
      <c r="D394" s="679"/>
      <c r="E394" s="679"/>
      <c r="F394" s="679"/>
      <c r="G394" s="679"/>
      <c r="H394" s="679"/>
      <c r="I394" s="679"/>
      <c r="J394" s="679"/>
      <c r="K394" s="679"/>
      <c r="L394" s="679"/>
      <c r="M394" s="679"/>
      <c r="N394" s="679"/>
      <c r="O394" s="680"/>
      <c r="P394" s="688" t="s">
        <v>87</v>
      </c>
      <c r="Q394" s="689"/>
      <c r="R394" s="689"/>
      <c r="S394" s="689"/>
      <c r="T394" s="689"/>
      <c r="U394" s="689"/>
      <c r="V394" s="690"/>
      <c r="W394" s="37" t="s">
        <v>68</v>
      </c>
      <c r="X394" s="669">
        <f>IFERROR(SUM(X383:X392),"0")</f>
        <v>2195</v>
      </c>
      <c r="Y394" s="669">
        <f>IFERROR(SUM(Y383:Y392),"0")</f>
        <v>2205</v>
      </c>
      <c r="Z394" s="37"/>
      <c r="AA394" s="670"/>
      <c r="AB394" s="670"/>
      <c r="AC394" s="670"/>
    </row>
    <row r="395" spans="1:68" ht="14.25" customHeight="1" x14ac:dyDescent="0.25">
      <c r="A395" s="684" t="s">
        <v>133</v>
      </c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79"/>
      <c r="P395" s="679"/>
      <c r="Q395" s="679"/>
      <c r="R395" s="679"/>
      <c r="S395" s="679"/>
      <c r="T395" s="679"/>
      <c r="U395" s="679"/>
      <c r="V395" s="679"/>
      <c r="W395" s="679"/>
      <c r="X395" s="679"/>
      <c r="Y395" s="679"/>
      <c r="Z395" s="679"/>
      <c r="AA395" s="663"/>
      <c r="AB395" s="663"/>
      <c r="AC395" s="663"/>
    </row>
    <row r="396" spans="1:68" ht="27" customHeight="1" x14ac:dyDescent="0.25">
      <c r="A396" s="54" t="s">
        <v>622</v>
      </c>
      <c r="B396" s="54" t="s">
        <v>623</v>
      </c>
      <c r="C396" s="31">
        <v>4301020178</v>
      </c>
      <c r="D396" s="671">
        <v>4607091383980</v>
      </c>
      <c r="E396" s="672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100</v>
      </c>
      <c r="L396" s="32"/>
      <c r="M396" s="33" t="s">
        <v>101</v>
      </c>
      <c r="N396" s="33"/>
      <c r="O396" s="32">
        <v>50</v>
      </c>
      <c r="P396" s="9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4"/>
      <c r="R396" s="674"/>
      <c r="S396" s="674"/>
      <c r="T396" s="675"/>
      <c r="U396" s="34"/>
      <c r="V396" s="34"/>
      <c r="W396" s="35" t="s">
        <v>68</v>
      </c>
      <c r="X396" s="667">
        <v>0</v>
      </c>
      <c r="Y396" s="668">
        <f>IFERROR(IF(X396="",0,CEILING((X396/$H396),1)*$H396),"")</f>
        <v>0</v>
      </c>
      <c r="Z396" s="36" t="str">
        <f>IFERROR(IF(Y396=0,"",ROUNDUP(Y396/H396,0)*0.02175),"")</f>
        <v/>
      </c>
      <c r="AA396" s="56"/>
      <c r="AB396" s="57"/>
      <c r="AC396" s="447" t="s">
        <v>624</v>
      </c>
      <c r="AG396" s="64"/>
      <c r="AJ396" s="68"/>
      <c r="AK396" s="68">
        <v>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16.5" customHeight="1" x14ac:dyDescent="0.25">
      <c r="A397" s="54" t="s">
        <v>625</v>
      </c>
      <c r="B397" s="54" t="s">
        <v>626</v>
      </c>
      <c r="C397" s="31">
        <v>4301020179</v>
      </c>
      <c r="D397" s="671">
        <v>4607091384178</v>
      </c>
      <c r="E397" s="672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105</v>
      </c>
      <c r="L397" s="32"/>
      <c r="M397" s="33" t="s">
        <v>101</v>
      </c>
      <c r="N397" s="33"/>
      <c r="O397" s="32">
        <v>50</v>
      </c>
      <c r="P39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4"/>
      <c r="R397" s="674"/>
      <c r="S397" s="674"/>
      <c r="T397" s="675"/>
      <c r="U397" s="34"/>
      <c r="V397" s="34"/>
      <c r="W397" s="35" t="s">
        <v>68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624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78"/>
      <c r="B398" s="679"/>
      <c r="C398" s="679"/>
      <c r="D398" s="679"/>
      <c r="E398" s="679"/>
      <c r="F398" s="679"/>
      <c r="G398" s="679"/>
      <c r="H398" s="679"/>
      <c r="I398" s="679"/>
      <c r="J398" s="679"/>
      <c r="K398" s="679"/>
      <c r="L398" s="679"/>
      <c r="M398" s="679"/>
      <c r="N398" s="679"/>
      <c r="O398" s="680"/>
      <c r="P398" s="688" t="s">
        <v>87</v>
      </c>
      <c r="Q398" s="689"/>
      <c r="R398" s="689"/>
      <c r="S398" s="689"/>
      <c r="T398" s="689"/>
      <c r="U398" s="689"/>
      <c r="V398" s="690"/>
      <c r="W398" s="37" t="s">
        <v>88</v>
      </c>
      <c r="X398" s="669">
        <f>IFERROR(X396/H396,"0")+IFERROR(X397/H397,"0")</f>
        <v>0</v>
      </c>
      <c r="Y398" s="669">
        <f>IFERROR(Y396/H396,"0")+IFERROR(Y397/H397,"0")</f>
        <v>0</v>
      </c>
      <c r="Z398" s="669">
        <f>IFERROR(IF(Z396="",0,Z396),"0")+IFERROR(IF(Z397="",0,Z397),"0")</f>
        <v>0</v>
      </c>
      <c r="AA398" s="670"/>
      <c r="AB398" s="670"/>
      <c r="AC398" s="670"/>
    </row>
    <row r="399" spans="1:68" x14ac:dyDescent="0.2">
      <c r="A399" s="679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8" t="s">
        <v>87</v>
      </c>
      <c r="Q399" s="689"/>
      <c r="R399" s="689"/>
      <c r="S399" s="689"/>
      <c r="T399" s="689"/>
      <c r="U399" s="689"/>
      <c r="V399" s="690"/>
      <c r="W399" s="37" t="s">
        <v>68</v>
      </c>
      <c r="X399" s="669">
        <f>IFERROR(SUM(X396:X397),"0")</f>
        <v>0</v>
      </c>
      <c r="Y399" s="669">
        <f>IFERROR(SUM(Y396:Y397),"0")</f>
        <v>0</v>
      </c>
      <c r="Z399" s="37"/>
      <c r="AA399" s="670"/>
      <c r="AB399" s="670"/>
      <c r="AC399" s="670"/>
    </row>
    <row r="400" spans="1:68" ht="14.25" customHeight="1" x14ac:dyDescent="0.25">
      <c r="A400" s="684" t="s">
        <v>63</v>
      </c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79"/>
      <c r="P400" s="679"/>
      <c r="Q400" s="679"/>
      <c r="R400" s="679"/>
      <c r="S400" s="679"/>
      <c r="T400" s="679"/>
      <c r="U400" s="679"/>
      <c r="V400" s="679"/>
      <c r="W400" s="679"/>
      <c r="X400" s="679"/>
      <c r="Y400" s="679"/>
      <c r="Z400" s="679"/>
      <c r="AA400" s="663"/>
      <c r="AB400" s="663"/>
      <c r="AC400" s="663"/>
    </row>
    <row r="401" spans="1:68" ht="27" customHeight="1" x14ac:dyDescent="0.25">
      <c r="A401" s="54" t="s">
        <v>627</v>
      </c>
      <c r="B401" s="54" t="s">
        <v>628</v>
      </c>
      <c r="C401" s="31">
        <v>4301051903</v>
      </c>
      <c r="D401" s="671">
        <v>4607091383928</v>
      </c>
      <c r="E401" s="672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100</v>
      </c>
      <c r="L401" s="32"/>
      <c r="M401" s="33" t="s">
        <v>106</v>
      </c>
      <c r="N401" s="33"/>
      <c r="O401" s="32">
        <v>40</v>
      </c>
      <c r="P401" s="769" t="s">
        <v>629</v>
      </c>
      <c r="Q401" s="674"/>
      <c r="R401" s="674"/>
      <c r="S401" s="674"/>
      <c r="T401" s="675"/>
      <c r="U401" s="34"/>
      <c r="V401" s="34"/>
      <c r="W401" s="35" t="s">
        <v>68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630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631</v>
      </c>
      <c r="B402" s="54" t="s">
        <v>632</v>
      </c>
      <c r="C402" s="31">
        <v>4301051897</v>
      </c>
      <c r="D402" s="671">
        <v>4607091384260</v>
      </c>
      <c r="E402" s="672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100</v>
      </c>
      <c r="L402" s="32"/>
      <c r="M402" s="33" t="s">
        <v>106</v>
      </c>
      <c r="N402" s="33"/>
      <c r="O402" s="32">
        <v>40</v>
      </c>
      <c r="P402" s="768" t="s">
        <v>633</v>
      </c>
      <c r="Q402" s="674"/>
      <c r="R402" s="674"/>
      <c r="S402" s="674"/>
      <c r="T402" s="675"/>
      <c r="U402" s="34"/>
      <c r="V402" s="34"/>
      <c r="W402" s="35" t="s">
        <v>68</v>
      </c>
      <c r="X402" s="667">
        <v>0</v>
      </c>
      <c r="Y402" s="668">
        <f>IFERROR(IF(X402="",0,CEILING((X402/$H402),1)*$H402),"")</f>
        <v>0</v>
      </c>
      <c r="Z402" s="36" t="str">
        <f>IFERROR(IF(Y402=0,"",ROUNDUP(Y402/H402,0)*0.01898),"")</f>
        <v/>
      </c>
      <c r="AA402" s="56"/>
      <c r="AB402" s="57"/>
      <c r="AC402" s="453" t="s">
        <v>634</v>
      </c>
      <c r="AG402" s="64"/>
      <c r="AJ402" s="68"/>
      <c r="AK402" s="68">
        <v>0</v>
      </c>
      <c r="BB402" s="45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678"/>
      <c r="B403" s="679"/>
      <c r="C403" s="679"/>
      <c r="D403" s="679"/>
      <c r="E403" s="679"/>
      <c r="F403" s="679"/>
      <c r="G403" s="679"/>
      <c r="H403" s="679"/>
      <c r="I403" s="679"/>
      <c r="J403" s="679"/>
      <c r="K403" s="679"/>
      <c r="L403" s="679"/>
      <c r="M403" s="679"/>
      <c r="N403" s="679"/>
      <c r="O403" s="680"/>
      <c r="P403" s="688" t="s">
        <v>87</v>
      </c>
      <c r="Q403" s="689"/>
      <c r="R403" s="689"/>
      <c r="S403" s="689"/>
      <c r="T403" s="689"/>
      <c r="U403" s="689"/>
      <c r="V403" s="690"/>
      <c r="W403" s="37" t="s">
        <v>88</v>
      </c>
      <c r="X403" s="669">
        <f>IFERROR(X401/H401,"0")+IFERROR(X402/H402,"0")</f>
        <v>0</v>
      </c>
      <c r="Y403" s="669">
        <f>IFERROR(Y401/H401,"0")+IFERROR(Y402/H402,"0")</f>
        <v>0</v>
      </c>
      <c r="Z403" s="669">
        <f>IFERROR(IF(Z401="",0,Z401),"0")+IFERROR(IF(Z402="",0,Z402),"0")</f>
        <v>0</v>
      </c>
      <c r="AA403" s="670"/>
      <c r="AB403" s="670"/>
      <c r="AC403" s="670"/>
    </row>
    <row r="404" spans="1:68" x14ac:dyDescent="0.2">
      <c r="A404" s="679"/>
      <c r="B404" s="679"/>
      <c r="C404" s="679"/>
      <c r="D404" s="679"/>
      <c r="E404" s="679"/>
      <c r="F404" s="679"/>
      <c r="G404" s="679"/>
      <c r="H404" s="679"/>
      <c r="I404" s="679"/>
      <c r="J404" s="679"/>
      <c r="K404" s="679"/>
      <c r="L404" s="679"/>
      <c r="M404" s="679"/>
      <c r="N404" s="679"/>
      <c r="O404" s="680"/>
      <c r="P404" s="688" t="s">
        <v>87</v>
      </c>
      <c r="Q404" s="689"/>
      <c r="R404" s="689"/>
      <c r="S404" s="689"/>
      <c r="T404" s="689"/>
      <c r="U404" s="689"/>
      <c r="V404" s="690"/>
      <c r="W404" s="37" t="s">
        <v>68</v>
      </c>
      <c r="X404" s="669">
        <f>IFERROR(SUM(X401:X402),"0")</f>
        <v>0</v>
      </c>
      <c r="Y404" s="669">
        <f>IFERROR(SUM(Y401:Y402),"0")</f>
        <v>0</v>
      </c>
      <c r="Z404" s="37"/>
      <c r="AA404" s="670"/>
      <c r="AB404" s="670"/>
      <c r="AC404" s="670"/>
    </row>
    <row r="405" spans="1:68" ht="14.25" customHeight="1" x14ac:dyDescent="0.25">
      <c r="A405" s="684" t="s">
        <v>170</v>
      </c>
      <c r="B405" s="679"/>
      <c r="C405" s="679"/>
      <c r="D405" s="679"/>
      <c r="E405" s="679"/>
      <c r="F405" s="679"/>
      <c r="G405" s="679"/>
      <c r="H405" s="679"/>
      <c r="I405" s="679"/>
      <c r="J405" s="679"/>
      <c r="K405" s="679"/>
      <c r="L405" s="679"/>
      <c r="M405" s="679"/>
      <c r="N405" s="679"/>
      <c r="O405" s="679"/>
      <c r="P405" s="679"/>
      <c r="Q405" s="679"/>
      <c r="R405" s="679"/>
      <c r="S405" s="679"/>
      <c r="T405" s="679"/>
      <c r="U405" s="679"/>
      <c r="V405" s="679"/>
      <c r="W405" s="679"/>
      <c r="X405" s="679"/>
      <c r="Y405" s="679"/>
      <c r="Z405" s="679"/>
      <c r="AA405" s="663"/>
      <c r="AB405" s="663"/>
      <c r="AC405" s="663"/>
    </row>
    <row r="406" spans="1:68" ht="27" customHeight="1" x14ac:dyDescent="0.25">
      <c r="A406" s="54" t="s">
        <v>635</v>
      </c>
      <c r="B406" s="54" t="s">
        <v>636</v>
      </c>
      <c r="C406" s="31">
        <v>4301060439</v>
      </c>
      <c r="D406" s="671">
        <v>4607091384673</v>
      </c>
      <c r="E406" s="672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100</v>
      </c>
      <c r="L406" s="32"/>
      <c r="M406" s="33" t="s">
        <v>106</v>
      </c>
      <c r="N406" s="33"/>
      <c r="O406" s="32">
        <v>30</v>
      </c>
      <c r="P406" s="815" t="s">
        <v>637</v>
      </c>
      <c r="Q406" s="674"/>
      <c r="R406" s="674"/>
      <c r="S406" s="674"/>
      <c r="T406" s="675"/>
      <c r="U406" s="34"/>
      <c r="V406" s="34"/>
      <c r="W406" s="35" t="s">
        <v>68</v>
      </c>
      <c r="X406" s="667">
        <v>25</v>
      </c>
      <c r="Y406" s="668">
        <f>IFERROR(IF(X406="",0,CEILING((X406/$H406),1)*$H406),"")</f>
        <v>27</v>
      </c>
      <c r="Z406" s="36">
        <f>IFERROR(IF(Y406=0,"",ROUNDUP(Y406/H406,0)*0.01898),"")</f>
        <v>5.6940000000000004E-2</v>
      </c>
      <c r="AA406" s="56"/>
      <c r="AB406" s="57"/>
      <c r="AC406" s="455" t="s">
        <v>638</v>
      </c>
      <c r="AG406" s="64"/>
      <c r="AJ406" s="68"/>
      <c r="AK406" s="68">
        <v>0</v>
      </c>
      <c r="BB406" s="456" t="s">
        <v>1</v>
      </c>
      <c r="BM406" s="64">
        <f>IFERROR(X406*I406/H406,"0")</f>
        <v>26.441666666666666</v>
      </c>
      <c r="BN406" s="64">
        <f>IFERROR(Y406*I406/H406,"0")</f>
        <v>28.556999999999999</v>
      </c>
      <c r="BO406" s="64">
        <f>IFERROR(1/J406*(X406/H406),"0")</f>
        <v>4.3402777777777776E-2</v>
      </c>
      <c r="BP406" s="64">
        <f>IFERROR(1/J406*(Y406/H406),"0")</f>
        <v>4.6875E-2</v>
      </c>
    </row>
    <row r="407" spans="1:68" x14ac:dyDescent="0.2">
      <c r="A407" s="678"/>
      <c r="B407" s="679"/>
      <c r="C407" s="679"/>
      <c r="D407" s="679"/>
      <c r="E407" s="679"/>
      <c r="F407" s="679"/>
      <c r="G407" s="679"/>
      <c r="H407" s="679"/>
      <c r="I407" s="679"/>
      <c r="J407" s="679"/>
      <c r="K407" s="679"/>
      <c r="L407" s="679"/>
      <c r="M407" s="679"/>
      <c r="N407" s="679"/>
      <c r="O407" s="680"/>
      <c r="P407" s="688" t="s">
        <v>87</v>
      </c>
      <c r="Q407" s="689"/>
      <c r="R407" s="689"/>
      <c r="S407" s="689"/>
      <c r="T407" s="689"/>
      <c r="U407" s="689"/>
      <c r="V407" s="690"/>
      <c r="W407" s="37" t="s">
        <v>88</v>
      </c>
      <c r="X407" s="669">
        <f>IFERROR(X406/H406,"0")</f>
        <v>2.7777777777777777</v>
      </c>
      <c r="Y407" s="669">
        <f>IFERROR(Y406/H406,"0")</f>
        <v>3</v>
      </c>
      <c r="Z407" s="669">
        <f>IFERROR(IF(Z406="",0,Z406),"0")</f>
        <v>5.6940000000000004E-2</v>
      </c>
      <c r="AA407" s="670"/>
      <c r="AB407" s="670"/>
      <c r="AC407" s="670"/>
    </row>
    <row r="408" spans="1:68" x14ac:dyDescent="0.2">
      <c r="A408" s="679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8" t="s">
        <v>87</v>
      </c>
      <c r="Q408" s="689"/>
      <c r="R408" s="689"/>
      <c r="S408" s="689"/>
      <c r="T408" s="689"/>
      <c r="U408" s="689"/>
      <c r="V408" s="690"/>
      <c r="W408" s="37" t="s">
        <v>68</v>
      </c>
      <c r="X408" s="669">
        <f>IFERROR(SUM(X406:X406),"0")</f>
        <v>25</v>
      </c>
      <c r="Y408" s="669">
        <f>IFERROR(SUM(Y406:Y406),"0")</f>
        <v>27</v>
      </c>
      <c r="Z408" s="37"/>
      <c r="AA408" s="670"/>
      <c r="AB408" s="670"/>
      <c r="AC408" s="670"/>
    </row>
    <row r="409" spans="1:68" ht="16.5" customHeight="1" x14ac:dyDescent="0.25">
      <c r="A409" s="685" t="s">
        <v>639</v>
      </c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79"/>
      <c r="P409" s="679"/>
      <c r="Q409" s="679"/>
      <c r="R409" s="679"/>
      <c r="S409" s="679"/>
      <c r="T409" s="679"/>
      <c r="U409" s="679"/>
      <c r="V409" s="679"/>
      <c r="W409" s="679"/>
      <c r="X409" s="679"/>
      <c r="Y409" s="679"/>
      <c r="Z409" s="679"/>
      <c r="AA409" s="662"/>
      <c r="AB409" s="662"/>
      <c r="AC409" s="662"/>
    </row>
    <row r="410" spans="1:68" ht="14.25" customHeight="1" x14ac:dyDescent="0.25">
      <c r="A410" s="684" t="s">
        <v>97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3"/>
      <c r="AB410" s="663"/>
      <c r="AC410" s="663"/>
    </row>
    <row r="411" spans="1:68" ht="27" customHeight="1" x14ac:dyDescent="0.25">
      <c r="A411" s="54" t="s">
        <v>640</v>
      </c>
      <c r="B411" s="54" t="s">
        <v>641</v>
      </c>
      <c r="C411" s="31">
        <v>4301011483</v>
      </c>
      <c r="D411" s="671">
        <v>4680115881907</v>
      </c>
      <c r="E411" s="672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100</v>
      </c>
      <c r="L411" s="32"/>
      <c r="M411" s="33" t="s">
        <v>67</v>
      </c>
      <c r="N411" s="33"/>
      <c r="O411" s="32">
        <v>60</v>
      </c>
      <c r="P411" s="812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4"/>
      <c r="R411" s="674"/>
      <c r="S411" s="674"/>
      <c r="T411" s="675"/>
      <c r="U411" s="34"/>
      <c r="V411" s="34"/>
      <c r="W411" s="35" t="s">
        <v>68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642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customHeight="1" x14ac:dyDescent="0.25">
      <c r="A412" s="54" t="s">
        <v>640</v>
      </c>
      <c r="B412" s="54" t="s">
        <v>643</v>
      </c>
      <c r="C412" s="31">
        <v>4301011873</v>
      </c>
      <c r="D412" s="671">
        <v>4680115881907</v>
      </c>
      <c r="E412" s="672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100</v>
      </c>
      <c r="L412" s="32"/>
      <c r="M412" s="33" t="s">
        <v>67</v>
      </c>
      <c r="N412" s="33"/>
      <c r="O412" s="32">
        <v>60</v>
      </c>
      <c r="P412" s="99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4"/>
      <c r="R412" s="674"/>
      <c r="S412" s="674"/>
      <c r="T412" s="675"/>
      <c r="U412" s="34"/>
      <c r="V412" s="34"/>
      <c r="W412" s="35" t="s">
        <v>68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644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customHeight="1" x14ac:dyDescent="0.25">
      <c r="A413" s="54" t="s">
        <v>645</v>
      </c>
      <c r="B413" s="54" t="s">
        <v>646</v>
      </c>
      <c r="C413" s="31">
        <v>4301011874</v>
      </c>
      <c r="D413" s="671">
        <v>4680115884892</v>
      </c>
      <c r="E413" s="672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100</v>
      </c>
      <c r="L413" s="32"/>
      <c r="M413" s="33" t="s">
        <v>67</v>
      </c>
      <c r="N413" s="33"/>
      <c r="O413" s="32">
        <v>60</v>
      </c>
      <c r="P413" s="754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4"/>
      <c r="R413" s="674"/>
      <c r="S413" s="674"/>
      <c r="T413" s="675"/>
      <c r="U413" s="34"/>
      <c r="V413" s="34"/>
      <c r="W413" s="35" t="s">
        <v>68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647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648</v>
      </c>
      <c r="B414" s="54" t="s">
        <v>649</v>
      </c>
      <c r="C414" s="31">
        <v>4301011875</v>
      </c>
      <c r="D414" s="671">
        <v>4680115884885</v>
      </c>
      <c r="E414" s="672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100</v>
      </c>
      <c r="L414" s="32"/>
      <c r="M414" s="33" t="s">
        <v>67</v>
      </c>
      <c r="N414" s="33"/>
      <c r="O414" s="32">
        <v>60</v>
      </c>
      <c r="P414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4"/>
      <c r="R414" s="674"/>
      <c r="S414" s="674"/>
      <c r="T414" s="675"/>
      <c r="U414" s="34"/>
      <c r="V414" s="34"/>
      <c r="W414" s="35" t="s">
        <v>68</v>
      </c>
      <c r="X414" s="667">
        <v>0</v>
      </c>
      <c r="Y414" s="66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63" t="s">
        <v>647</v>
      </c>
      <c r="AG414" s="64"/>
      <c r="AJ414" s="68"/>
      <c r="AK414" s="68">
        <v>0</v>
      </c>
      <c r="BB414" s="46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37.5" customHeight="1" x14ac:dyDescent="0.25">
      <c r="A415" s="54" t="s">
        <v>650</v>
      </c>
      <c r="B415" s="54" t="s">
        <v>651</v>
      </c>
      <c r="C415" s="31">
        <v>4301011871</v>
      </c>
      <c r="D415" s="671">
        <v>4680115884908</v>
      </c>
      <c r="E415" s="672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105</v>
      </c>
      <c r="L415" s="32"/>
      <c r="M415" s="33" t="s">
        <v>67</v>
      </c>
      <c r="N415" s="33"/>
      <c r="O415" s="32">
        <v>60</v>
      </c>
      <c r="P415" s="98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4"/>
      <c r="R415" s="674"/>
      <c r="S415" s="674"/>
      <c r="T415" s="675"/>
      <c r="U415" s="34"/>
      <c r="V415" s="34"/>
      <c r="W415" s="35" t="s">
        <v>68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647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78"/>
      <c r="B416" s="679"/>
      <c r="C416" s="679"/>
      <c r="D416" s="679"/>
      <c r="E416" s="679"/>
      <c r="F416" s="679"/>
      <c r="G416" s="679"/>
      <c r="H416" s="679"/>
      <c r="I416" s="679"/>
      <c r="J416" s="679"/>
      <c r="K416" s="679"/>
      <c r="L416" s="679"/>
      <c r="M416" s="679"/>
      <c r="N416" s="679"/>
      <c r="O416" s="680"/>
      <c r="P416" s="688" t="s">
        <v>87</v>
      </c>
      <c r="Q416" s="689"/>
      <c r="R416" s="689"/>
      <c r="S416" s="689"/>
      <c r="T416" s="689"/>
      <c r="U416" s="689"/>
      <c r="V416" s="690"/>
      <c r="W416" s="37" t="s">
        <v>88</v>
      </c>
      <c r="X416" s="669">
        <f>IFERROR(X411/H411,"0")+IFERROR(X412/H412,"0")+IFERROR(X413/H413,"0")+IFERROR(X414/H414,"0")+IFERROR(X415/H415,"0")</f>
        <v>0</v>
      </c>
      <c r="Y416" s="669">
        <f>IFERROR(Y411/H411,"0")+IFERROR(Y412/H412,"0")+IFERROR(Y413/H413,"0")+IFERROR(Y414/H414,"0")+IFERROR(Y415/H415,"0")</f>
        <v>0</v>
      </c>
      <c r="Z416" s="669">
        <f>IFERROR(IF(Z411="",0,Z411),"0")+IFERROR(IF(Z412="",0,Z412),"0")+IFERROR(IF(Z413="",0,Z413),"0")+IFERROR(IF(Z414="",0,Z414),"0")+IFERROR(IF(Z415="",0,Z415),"0")</f>
        <v>0</v>
      </c>
      <c r="AA416" s="670"/>
      <c r="AB416" s="670"/>
      <c r="AC416" s="670"/>
    </row>
    <row r="417" spans="1:68" x14ac:dyDescent="0.2">
      <c r="A417" s="679"/>
      <c r="B417" s="679"/>
      <c r="C417" s="679"/>
      <c r="D417" s="679"/>
      <c r="E417" s="679"/>
      <c r="F417" s="679"/>
      <c r="G417" s="679"/>
      <c r="H417" s="679"/>
      <c r="I417" s="679"/>
      <c r="J417" s="679"/>
      <c r="K417" s="679"/>
      <c r="L417" s="679"/>
      <c r="M417" s="679"/>
      <c r="N417" s="679"/>
      <c r="O417" s="680"/>
      <c r="P417" s="688" t="s">
        <v>87</v>
      </c>
      <c r="Q417" s="689"/>
      <c r="R417" s="689"/>
      <c r="S417" s="689"/>
      <c r="T417" s="689"/>
      <c r="U417" s="689"/>
      <c r="V417" s="690"/>
      <c r="W417" s="37" t="s">
        <v>68</v>
      </c>
      <c r="X417" s="669">
        <f>IFERROR(SUM(X411:X415),"0")</f>
        <v>0</v>
      </c>
      <c r="Y417" s="669">
        <f>IFERROR(SUM(Y411:Y415),"0")</f>
        <v>0</v>
      </c>
      <c r="Z417" s="37"/>
      <c r="AA417" s="670"/>
      <c r="AB417" s="670"/>
      <c r="AC417" s="670"/>
    </row>
    <row r="418" spans="1:68" ht="14.25" customHeight="1" x14ac:dyDescent="0.25">
      <c r="A418" s="684" t="s">
        <v>144</v>
      </c>
      <c r="B418" s="679"/>
      <c r="C418" s="679"/>
      <c r="D418" s="679"/>
      <c r="E418" s="679"/>
      <c r="F418" s="679"/>
      <c r="G418" s="679"/>
      <c r="H418" s="679"/>
      <c r="I418" s="679"/>
      <c r="J418" s="679"/>
      <c r="K418" s="679"/>
      <c r="L418" s="679"/>
      <c r="M418" s="679"/>
      <c r="N418" s="679"/>
      <c r="O418" s="679"/>
      <c r="P418" s="679"/>
      <c r="Q418" s="679"/>
      <c r="R418" s="679"/>
      <c r="S418" s="679"/>
      <c r="T418" s="679"/>
      <c r="U418" s="679"/>
      <c r="V418" s="679"/>
      <c r="W418" s="679"/>
      <c r="X418" s="679"/>
      <c r="Y418" s="679"/>
      <c r="Z418" s="679"/>
      <c r="AA418" s="663"/>
      <c r="AB418" s="663"/>
      <c r="AC418" s="663"/>
    </row>
    <row r="419" spans="1:68" ht="27" customHeight="1" x14ac:dyDescent="0.25">
      <c r="A419" s="54" t="s">
        <v>652</v>
      </c>
      <c r="B419" s="54" t="s">
        <v>653</v>
      </c>
      <c r="C419" s="31">
        <v>4301031303</v>
      </c>
      <c r="D419" s="671">
        <v>4607091384802</v>
      </c>
      <c r="E419" s="672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105</v>
      </c>
      <c r="L419" s="32"/>
      <c r="M419" s="33" t="s">
        <v>67</v>
      </c>
      <c r="N419" s="33"/>
      <c r="O419" s="32">
        <v>35</v>
      </c>
      <c r="P419" s="83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4"/>
      <c r="R419" s="674"/>
      <c r="S419" s="674"/>
      <c r="T419" s="675"/>
      <c r="U419" s="34"/>
      <c r="V419" s="34"/>
      <c r="W419" s="35" t="s">
        <v>68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678"/>
      <c r="B420" s="679"/>
      <c r="C420" s="679"/>
      <c r="D420" s="679"/>
      <c r="E420" s="679"/>
      <c r="F420" s="679"/>
      <c r="G420" s="679"/>
      <c r="H420" s="679"/>
      <c r="I420" s="679"/>
      <c r="J420" s="679"/>
      <c r="K420" s="679"/>
      <c r="L420" s="679"/>
      <c r="M420" s="679"/>
      <c r="N420" s="679"/>
      <c r="O420" s="680"/>
      <c r="P420" s="688" t="s">
        <v>87</v>
      </c>
      <c r="Q420" s="689"/>
      <c r="R420" s="689"/>
      <c r="S420" s="689"/>
      <c r="T420" s="689"/>
      <c r="U420" s="689"/>
      <c r="V420" s="690"/>
      <c r="W420" s="37" t="s">
        <v>88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x14ac:dyDescent="0.2">
      <c r="A421" s="679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8" t="s">
        <v>87</v>
      </c>
      <c r="Q421" s="689"/>
      <c r="R421" s="689"/>
      <c r="S421" s="689"/>
      <c r="T421" s="689"/>
      <c r="U421" s="689"/>
      <c r="V421" s="690"/>
      <c r="W421" s="37" t="s">
        <v>68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customHeight="1" x14ac:dyDescent="0.25">
      <c r="A422" s="684" t="s">
        <v>63</v>
      </c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79"/>
      <c r="P422" s="679"/>
      <c r="Q422" s="679"/>
      <c r="R422" s="679"/>
      <c r="S422" s="679"/>
      <c r="T422" s="679"/>
      <c r="U422" s="679"/>
      <c r="V422" s="679"/>
      <c r="W422" s="679"/>
      <c r="X422" s="679"/>
      <c r="Y422" s="679"/>
      <c r="Z422" s="679"/>
      <c r="AA422" s="663"/>
      <c r="AB422" s="663"/>
      <c r="AC422" s="663"/>
    </row>
    <row r="423" spans="1:68" ht="27" customHeight="1" x14ac:dyDescent="0.25">
      <c r="A423" s="54" t="s">
        <v>655</v>
      </c>
      <c r="B423" s="54" t="s">
        <v>656</v>
      </c>
      <c r="C423" s="31">
        <v>4301051899</v>
      </c>
      <c r="D423" s="671">
        <v>4607091384246</v>
      </c>
      <c r="E423" s="672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100</v>
      </c>
      <c r="L423" s="32"/>
      <c r="M423" s="33" t="s">
        <v>106</v>
      </c>
      <c r="N423" s="33"/>
      <c r="O423" s="32">
        <v>40</v>
      </c>
      <c r="P423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4"/>
      <c r="R423" s="674"/>
      <c r="S423" s="674"/>
      <c r="T423" s="675"/>
      <c r="U423" s="34"/>
      <c r="V423" s="34"/>
      <c r="W423" s="35" t="s">
        <v>68</v>
      </c>
      <c r="X423" s="667">
        <v>0</v>
      </c>
      <c r="Y423" s="668">
        <f>IFERROR(IF(X423="",0,CEILING((X423/$H423),1)*$H423),"")</f>
        <v>0</v>
      </c>
      <c r="Z423" s="36" t="str">
        <f>IFERROR(IF(Y423=0,"",ROUNDUP(Y423/H423,0)*0.01898),"")</f>
        <v/>
      </c>
      <c r="AA423" s="56"/>
      <c r="AB423" s="57"/>
      <c r="AC423" s="469" t="s">
        <v>657</v>
      </c>
      <c r="AG423" s="64"/>
      <c r="AJ423" s="68"/>
      <c r="AK423" s="68">
        <v>0</v>
      </c>
      <c r="BB423" s="47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customHeight="1" x14ac:dyDescent="0.25">
      <c r="A424" s="54" t="s">
        <v>658</v>
      </c>
      <c r="B424" s="54" t="s">
        <v>659</v>
      </c>
      <c r="C424" s="31">
        <v>4301051297</v>
      </c>
      <c r="D424" s="671">
        <v>4607091384253</v>
      </c>
      <c r="E424" s="672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66</v>
      </c>
      <c r="L424" s="32"/>
      <c r="M424" s="33" t="s">
        <v>67</v>
      </c>
      <c r="N424" s="33"/>
      <c r="O424" s="32">
        <v>40</v>
      </c>
      <c r="P424" s="852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4"/>
      <c r="R424" s="674"/>
      <c r="S424" s="674"/>
      <c r="T424" s="675"/>
      <c r="U424" s="34"/>
      <c r="V424" s="34"/>
      <c r="W424" s="35" t="s">
        <v>68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658</v>
      </c>
      <c r="B425" s="54" t="s">
        <v>661</v>
      </c>
      <c r="C425" s="31">
        <v>4301051660</v>
      </c>
      <c r="D425" s="671">
        <v>4607091384253</v>
      </c>
      <c r="E425" s="672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66</v>
      </c>
      <c r="L425" s="32"/>
      <c r="M425" s="33" t="s">
        <v>106</v>
      </c>
      <c r="N425" s="33"/>
      <c r="O425" s="32">
        <v>40</v>
      </c>
      <c r="P425" s="86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4"/>
      <c r="R425" s="674"/>
      <c r="S425" s="674"/>
      <c r="T425" s="675"/>
      <c r="U425" s="34"/>
      <c r="V425" s="34"/>
      <c r="W425" s="35" t="s">
        <v>68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customHeight="1" x14ac:dyDescent="0.25">
      <c r="A426" s="54" t="s">
        <v>662</v>
      </c>
      <c r="B426" s="54" t="s">
        <v>663</v>
      </c>
      <c r="C426" s="31">
        <v>4301051444</v>
      </c>
      <c r="D426" s="671">
        <v>4680115881969</v>
      </c>
      <c r="E426" s="672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66</v>
      </c>
      <c r="L426" s="32"/>
      <c r="M426" s="33" t="s">
        <v>67</v>
      </c>
      <c r="N426" s="33"/>
      <c r="O426" s="32">
        <v>40</v>
      </c>
      <c r="P426" s="772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4"/>
      <c r="R426" s="674"/>
      <c r="S426" s="674"/>
      <c r="T426" s="675"/>
      <c r="U426" s="34"/>
      <c r="V426" s="34"/>
      <c r="W426" s="35" t="s">
        <v>68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664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78"/>
      <c r="B427" s="679"/>
      <c r="C427" s="679"/>
      <c r="D427" s="679"/>
      <c r="E427" s="679"/>
      <c r="F427" s="679"/>
      <c r="G427" s="679"/>
      <c r="H427" s="679"/>
      <c r="I427" s="679"/>
      <c r="J427" s="679"/>
      <c r="K427" s="679"/>
      <c r="L427" s="679"/>
      <c r="M427" s="679"/>
      <c r="N427" s="679"/>
      <c r="O427" s="680"/>
      <c r="P427" s="688" t="s">
        <v>87</v>
      </c>
      <c r="Q427" s="689"/>
      <c r="R427" s="689"/>
      <c r="S427" s="689"/>
      <c r="T427" s="689"/>
      <c r="U427" s="689"/>
      <c r="V427" s="690"/>
      <c r="W427" s="37" t="s">
        <v>88</v>
      </c>
      <c r="X427" s="669">
        <f>IFERROR(X423/H423,"0")+IFERROR(X424/H424,"0")+IFERROR(X425/H425,"0")+IFERROR(X426/H426,"0")</f>
        <v>0</v>
      </c>
      <c r="Y427" s="669">
        <f>IFERROR(Y423/H423,"0")+IFERROR(Y424/H424,"0")+IFERROR(Y425/H425,"0")+IFERROR(Y426/H426,"0")</f>
        <v>0</v>
      </c>
      <c r="Z427" s="669">
        <f>IFERROR(IF(Z423="",0,Z423),"0")+IFERROR(IF(Z424="",0,Z424),"0")+IFERROR(IF(Z425="",0,Z425),"0")+IFERROR(IF(Z426="",0,Z426),"0")</f>
        <v>0</v>
      </c>
      <c r="AA427" s="670"/>
      <c r="AB427" s="670"/>
      <c r="AC427" s="670"/>
    </row>
    <row r="428" spans="1:68" x14ac:dyDescent="0.2">
      <c r="A428" s="679"/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80"/>
      <c r="P428" s="688" t="s">
        <v>87</v>
      </c>
      <c r="Q428" s="689"/>
      <c r="R428" s="689"/>
      <c r="S428" s="689"/>
      <c r="T428" s="689"/>
      <c r="U428" s="689"/>
      <c r="V428" s="690"/>
      <c r="W428" s="37" t="s">
        <v>68</v>
      </c>
      <c r="X428" s="669">
        <f>IFERROR(SUM(X423:X426),"0")</f>
        <v>0</v>
      </c>
      <c r="Y428" s="669">
        <f>IFERROR(SUM(Y423:Y426),"0")</f>
        <v>0</v>
      </c>
      <c r="Z428" s="37"/>
      <c r="AA428" s="670"/>
      <c r="AB428" s="670"/>
      <c r="AC428" s="670"/>
    </row>
    <row r="429" spans="1:68" ht="14.25" customHeight="1" x14ac:dyDescent="0.25">
      <c r="A429" s="684" t="s">
        <v>170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3"/>
      <c r="AB429" s="663"/>
      <c r="AC429" s="663"/>
    </row>
    <row r="430" spans="1:68" ht="27" customHeight="1" x14ac:dyDescent="0.25">
      <c r="A430" s="54" t="s">
        <v>665</v>
      </c>
      <c r="B430" s="54" t="s">
        <v>666</v>
      </c>
      <c r="C430" s="31">
        <v>4301060441</v>
      </c>
      <c r="D430" s="671">
        <v>4607091389357</v>
      </c>
      <c r="E430" s="672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100</v>
      </c>
      <c r="L430" s="32"/>
      <c r="M430" s="33" t="s">
        <v>106</v>
      </c>
      <c r="N430" s="33"/>
      <c r="O430" s="32">
        <v>40</v>
      </c>
      <c r="P430" s="986" t="s">
        <v>667</v>
      </c>
      <c r="Q430" s="674"/>
      <c r="R430" s="674"/>
      <c r="S430" s="674"/>
      <c r="T430" s="675"/>
      <c r="U430" s="34"/>
      <c r="V430" s="34"/>
      <c r="W430" s="35" t="s">
        <v>68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668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x14ac:dyDescent="0.2">
      <c r="A431" s="678"/>
      <c r="B431" s="679"/>
      <c r="C431" s="679"/>
      <c r="D431" s="679"/>
      <c r="E431" s="679"/>
      <c r="F431" s="679"/>
      <c r="G431" s="679"/>
      <c r="H431" s="679"/>
      <c r="I431" s="679"/>
      <c r="J431" s="679"/>
      <c r="K431" s="679"/>
      <c r="L431" s="679"/>
      <c r="M431" s="679"/>
      <c r="N431" s="679"/>
      <c r="O431" s="680"/>
      <c r="P431" s="688" t="s">
        <v>87</v>
      </c>
      <c r="Q431" s="689"/>
      <c r="R431" s="689"/>
      <c r="S431" s="689"/>
      <c r="T431" s="689"/>
      <c r="U431" s="689"/>
      <c r="V431" s="690"/>
      <c r="W431" s="37" t="s">
        <v>88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x14ac:dyDescent="0.2">
      <c r="A432" s="679"/>
      <c r="B432" s="679"/>
      <c r="C432" s="679"/>
      <c r="D432" s="679"/>
      <c r="E432" s="679"/>
      <c r="F432" s="679"/>
      <c r="G432" s="679"/>
      <c r="H432" s="679"/>
      <c r="I432" s="679"/>
      <c r="J432" s="679"/>
      <c r="K432" s="679"/>
      <c r="L432" s="679"/>
      <c r="M432" s="679"/>
      <c r="N432" s="679"/>
      <c r="O432" s="680"/>
      <c r="P432" s="688" t="s">
        <v>87</v>
      </c>
      <c r="Q432" s="689"/>
      <c r="R432" s="689"/>
      <c r="S432" s="689"/>
      <c r="T432" s="689"/>
      <c r="U432" s="689"/>
      <c r="V432" s="690"/>
      <c r="W432" s="37" t="s">
        <v>68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customHeight="1" x14ac:dyDescent="0.2">
      <c r="A433" s="682" t="s">
        <v>669</v>
      </c>
      <c r="B433" s="683"/>
      <c r="C433" s="683"/>
      <c r="D433" s="683"/>
      <c r="E433" s="683"/>
      <c r="F433" s="683"/>
      <c r="G433" s="683"/>
      <c r="H433" s="683"/>
      <c r="I433" s="683"/>
      <c r="J433" s="683"/>
      <c r="K433" s="683"/>
      <c r="L433" s="683"/>
      <c r="M433" s="683"/>
      <c r="N433" s="683"/>
      <c r="O433" s="683"/>
      <c r="P433" s="683"/>
      <c r="Q433" s="683"/>
      <c r="R433" s="683"/>
      <c r="S433" s="683"/>
      <c r="T433" s="683"/>
      <c r="U433" s="683"/>
      <c r="V433" s="683"/>
      <c r="W433" s="683"/>
      <c r="X433" s="683"/>
      <c r="Y433" s="683"/>
      <c r="Z433" s="683"/>
      <c r="AA433" s="48"/>
      <c r="AB433" s="48"/>
      <c r="AC433" s="48"/>
    </row>
    <row r="434" spans="1:68" ht="16.5" customHeight="1" x14ac:dyDescent="0.25">
      <c r="A434" s="685" t="s">
        <v>670</v>
      </c>
      <c r="B434" s="679"/>
      <c r="C434" s="679"/>
      <c r="D434" s="679"/>
      <c r="E434" s="679"/>
      <c r="F434" s="679"/>
      <c r="G434" s="679"/>
      <c r="H434" s="679"/>
      <c r="I434" s="679"/>
      <c r="J434" s="679"/>
      <c r="K434" s="679"/>
      <c r="L434" s="679"/>
      <c r="M434" s="679"/>
      <c r="N434" s="679"/>
      <c r="O434" s="679"/>
      <c r="P434" s="679"/>
      <c r="Q434" s="679"/>
      <c r="R434" s="679"/>
      <c r="S434" s="679"/>
      <c r="T434" s="679"/>
      <c r="U434" s="679"/>
      <c r="V434" s="679"/>
      <c r="W434" s="679"/>
      <c r="X434" s="679"/>
      <c r="Y434" s="679"/>
      <c r="Z434" s="679"/>
      <c r="AA434" s="662"/>
      <c r="AB434" s="662"/>
      <c r="AC434" s="662"/>
    </row>
    <row r="435" spans="1:68" ht="14.25" customHeight="1" x14ac:dyDescent="0.25">
      <c r="A435" s="684" t="s">
        <v>144</v>
      </c>
      <c r="B435" s="679"/>
      <c r="C435" s="679"/>
      <c r="D435" s="679"/>
      <c r="E435" s="679"/>
      <c r="F435" s="679"/>
      <c r="G435" s="679"/>
      <c r="H435" s="679"/>
      <c r="I435" s="679"/>
      <c r="J435" s="679"/>
      <c r="K435" s="679"/>
      <c r="L435" s="679"/>
      <c r="M435" s="679"/>
      <c r="N435" s="679"/>
      <c r="O435" s="679"/>
      <c r="P435" s="679"/>
      <c r="Q435" s="679"/>
      <c r="R435" s="679"/>
      <c r="S435" s="679"/>
      <c r="T435" s="679"/>
      <c r="U435" s="679"/>
      <c r="V435" s="679"/>
      <c r="W435" s="679"/>
      <c r="X435" s="679"/>
      <c r="Y435" s="679"/>
      <c r="Z435" s="679"/>
      <c r="AA435" s="663"/>
      <c r="AB435" s="663"/>
      <c r="AC435" s="663"/>
    </row>
    <row r="436" spans="1:68" ht="27" customHeight="1" x14ac:dyDescent="0.25">
      <c r="A436" s="54" t="s">
        <v>671</v>
      </c>
      <c r="B436" s="54" t="s">
        <v>672</v>
      </c>
      <c r="C436" s="31">
        <v>4301031405</v>
      </c>
      <c r="D436" s="671">
        <v>4680115886100</v>
      </c>
      <c r="E436" s="672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105</v>
      </c>
      <c r="L436" s="32"/>
      <c r="M436" s="33" t="s">
        <v>67</v>
      </c>
      <c r="N436" s="33"/>
      <c r="O436" s="32">
        <v>50</v>
      </c>
      <c r="P436" s="1031" t="s">
        <v>673</v>
      </c>
      <c r="Q436" s="674"/>
      <c r="R436" s="674"/>
      <c r="S436" s="674"/>
      <c r="T436" s="675"/>
      <c r="U436" s="34"/>
      <c r="V436" s="34"/>
      <c r="W436" s="35" t="s">
        <v>68</v>
      </c>
      <c r="X436" s="667">
        <v>4</v>
      </c>
      <c r="Y436" s="668">
        <f t="shared" ref="Y436:Y447" si="62">IFERROR(IF(X436="",0,CEILING((X436/$H436),1)*$H436),"")</f>
        <v>5.4</v>
      </c>
      <c r="Z436" s="36">
        <f>IFERROR(IF(Y436=0,"",ROUNDUP(Y436/H436,0)*0.00902),"")</f>
        <v>9.0200000000000002E-3</v>
      </c>
      <c r="AA436" s="56"/>
      <c r="AB436" s="57"/>
      <c r="AC436" s="479" t="s">
        <v>674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4.1555555555555559</v>
      </c>
      <c r="BN436" s="64">
        <f t="shared" ref="BN436:BN447" si="64">IFERROR(Y436*I436/H436,"0")</f>
        <v>5.61</v>
      </c>
      <c r="BO436" s="64">
        <f t="shared" ref="BO436:BO447" si="65">IFERROR(1/J436*(X436/H436),"0")</f>
        <v>5.6116722783389446E-3</v>
      </c>
      <c r="BP436" s="64">
        <f t="shared" ref="BP436:BP447" si="66">IFERROR(1/J436*(Y436/H436),"0")</f>
        <v>7.575757575757576E-3</v>
      </c>
    </row>
    <row r="437" spans="1:68" ht="27" customHeight="1" x14ac:dyDescent="0.25">
      <c r="A437" s="54" t="s">
        <v>675</v>
      </c>
      <c r="B437" s="54" t="s">
        <v>676</v>
      </c>
      <c r="C437" s="31">
        <v>4301031406</v>
      </c>
      <c r="D437" s="671">
        <v>4680115886117</v>
      </c>
      <c r="E437" s="672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105</v>
      </c>
      <c r="L437" s="32"/>
      <c r="M437" s="33" t="s">
        <v>67</v>
      </c>
      <c r="N437" s="33"/>
      <c r="O437" s="32">
        <v>50</v>
      </c>
      <c r="P437" s="677" t="s">
        <v>677</v>
      </c>
      <c r="Q437" s="674"/>
      <c r="R437" s="674"/>
      <c r="S437" s="674"/>
      <c r="T437" s="675"/>
      <c r="U437" s="34"/>
      <c r="V437" s="34"/>
      <c r="W437" s="35" t="s">
        <v>68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678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customHeight="1" x14ac:dyDescent="0.25">
      <c r="A438" s="54" t="s">
        <v>675</v>
      </c>
      <c r="B438" s="54" t="s">
        <v>679</v>
      </c>
      <c r="C438" s="31">
        <v>4301031382</v>
      </c>
      <c r="D438" s="671">
        <v>4680115886117</v>
      </c>
      <c r="E438" s="672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105</v>
      </c>
      <c r="L438" s="32"/>
      <c r="M438" s="33" t="s">
        <v>67</v>
      </c>
      <c r="N438" s="33"/>
      <c r="O438" s="32">
        <v>50</v>
      </c>
      <c r="P438" s="859" t="s">
        <v>677</v>
      </c>
      <c r="Q438" s="674"/>
      <c r="R438" s="674"/>
      <c r="S438" s="674"/>
      <c r="T438" s="675"/>
      <c r="U438" s="34"/>
      <c r="V438" s="34"/>
      <c r="W438" s="35" t="s">
        <v>68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678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680</v>
      </c>
      <c r="B439" s="54" t="s">
        <v>681</v>
      </c>
      <c r="C439" s="31">
        <v>4301031402</v>
      </c>
      <c r="D439" s="671">
        <v>4680115886124</v>
      </c>
      <c r="E439" s="672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105</v>
      </c>
      <c r="L439" s="32"/>
      <c r="M439" s="33" t="s">
        <v>67</v>
      </c>
      <c r="N439" s="33"/>
      <c r="O439" s="32">
        <v>50</v>
      </c>
      <c r="P439" s="1015" t="s">
        <v>682</v>
      </c>
      <c r="Q439" s="674"/>
      <c r="R439" s="674"/>
      <c r="S439" s="674"/>
      <c r="T439" s="675"/>
      <c r="U439" s="34"/>
      <c r="V439" s="34"/>
      <c r="W439" s="35" t="s">
        <v>68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683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684</v>
      </c>
      <c r="B440" s="54" t="s">
        <v>685</v>
      </c>
      <c r="C440" s="31">
        <v>4301031366</v>
      </c>
      <c r="D440" s="671">
        <v>4680115883147</v>
      </c>
      <c r="E440" s="672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9" t="s">
        <v>686</v>
      </c>
      <c r="Q440" s="674"/>
      <c r="R440" s="674"/>
      <c r="S440" s="674"/>
      <c r="T440" s="675"/>
      <c r="U440" s="34"/>
      <c r="V440" s="34"/>
      <c r="W440" s="35" t="s">
        <v>68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674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684</v>
      </c>
      <c r="B441" s="54" t="s">
        <v>687</v>
      </c>
      <c r="C441" s="31">
        <v>4301031335</v>
      </c>
      <c r="D441" s="671">
        <v>4680115883147</v>
      </c>
      <c r="E441" s="672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8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1" s="674"/>
      <c r="R441" s="674"/>
      <c r="S441" s="674"/>
      <c r="T441" s="675"/>
      <c r="U441" s="34"/>
      <c r="V441" s="34"/>
      <c r="W441" s="35" t="s">
        <v>68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688</v>
      </c>
      <c r="B442" s="54" t="s">
        <v>689</v>
      </c>
      <c r="C442" s="31">
        <v>4301031362</v>
      </c>
      <c r="D442" s="671">
        <v>4607091384338</v>
      </c>
      <c r="E442" s="672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147</v>
      </c>
      <c r="L442" s="32"/>
      <c r="M442" s="33" t="s">
        <v>67</v>
      </c>
      <c r="N442" s="33"/>
      <c r="O442" s="32">
        <v>50</v>
      </c>
      <c r="P442" s="81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4"/>
      <c r="R442" s="674"/>
      <c r="S442" s="674"/>
      <c r="T442" s="675"/>
      <c r="U442" s="34"/>
      <c r="V442" s="34"/>
      <c r="W442" s="35" t="s">
        <v>68</v>
      </c>
      <c r="X442" s="667">
        <v>0</v>
      </c>
      <c r="Y442" s="668">
        <f t="shared" si="62"/>
        <v>0</v>
      </c>
      <c r="Z442" s="36" t="str">
        <f t="shared" si="67"/>
        <v/>
      </c>
      <c r="AA442" s="56"/>
      <c r="AB442" s="57"/>
      <c r="AC442" s="491" t="s">
        <v>674</v>
      </c>
      <c r="AG442" s="64"/>
      <c r="AJ442" s="68"/>
      <c r="AK442" s="68">
        <v>0</v>
      </c>
      <c r="BB442" s="492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ht="37.5" customHeight="1" x14ac:dyDescent="0.25">
      <c r="A443" s="54" t="s">
        <v>690</v>
      </c>
      <c r="B443" s="54" t="s">
        <v>691</v>
      </c>
      <c r="C443" s="31">
        <v>4301031361</v>
      </c>
      <c r="D443" s="671">
        <v>4607091389524</v>
      </c>
      <c r="E443" s="672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147</v>
      </c>
      <c r="L443" s="32"/>
      <c r="M443" s="33" t="s">
        <v>67</v>
      </c>
      <c r="N443" s="33"/>
      <c r="O443" s="32">
        <v>50</v>
      </c>
      <c r="P443" s="72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4"/>
      <c r="R443" s="674"/>
      <c r="S443" s="674"/>
      <c r="T443" s="675"/>
      <c r="U443" s="34"/>
      <c r="V443" s="34"/>
      <c r="W443" s="35" t="s">
        <v>68</v>
      </c>
      <c r="X443" s="667">
        <v>0</v>
      </c>
      <c r="Y443" s="668">
        <f t="shared" si="62"/>
        <v>0</v>
      </c>
      <c r="Z443" s="36" t="str">
        <f t="shared" si="67"/>
        <v/>
      </c>
      <c r="AA443" s="56"/>
      <c r="AB443" s="57"/>
      <c r="AC443" s="493" t="s">
        <v>692</v>
      </c>
      <c r="AG443" s="64"/>
      <c r="AJ443" s="68"/>
      <c r="AK443" s="68">
        <v>0</v>
      </c>
      <c r="BB443" s="494" t="s">
        <v>1</v>
      </c>
      <c r="BM443" s="64">
        <f t="shared" si="63"/>
        <v>0</v>
      </c>
      <c r="BN443" s="64">
        <f t="shared" si="64"/>
        <v>0</v>
      </c>
      <c r="BO443" s="64">
        <f t="shared" si="65"/>
        <v>0</v>
      </c>
      <c r="BP443" s="64">
        <f t="shared" si="66"/>
        <v>0</v>
      </c>
    </row>
    <row r="444" spans="1:68" ht="27" customHeight="1" x14ac:dyDescent="0.25">
      <c r="A444" s="54" t="s">
        <v>693</v>
      </c>
      <c r="B444" s="54" t="s">
        <v>694</v>
      </c>
      <c r="C444" s="31">
        <v>4301031364</v>
      </c>
      <c r="D444" s="671">
        <v>4680115883161</v>
      </c>
      <c r="E444" s="672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147</v>
      </c>
      <c r="L444" s="32"/>
      <c r="M444" s="33" t="s">
        <v>67</v>
      </c>
      <c r="N444" s="33"/>
      <c r="O444" s="32">
        <v>50</v>
      </c>
      <c r="P444" s="1054" t="s">
        <v>695</v>
      </c>
      <c r="Q444" s="674"/>
      <c r="R444" s="674"/>
      <c r="S444" s="674"/>
      <c r="T444" s="675"/>
      <c r="U444" s="34"/>
      <c r="V444" s="34"/>
      <c r="W444" s="35" t="s">
        <v>68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696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customHeight="1" x14ac:dyDescent="0.25">
      <c r="A445" s="54" t="s">
        <v>693</v>
      </c>
      <c r="B445" s="54" t="s">
        <v>697</v>
      </c>
      <c r="C445" s="31">
        <v>4301031337</v>
      </c>
      <c r="D445" s="671">
        <v>4680115883161</v>
      </c>
      <c r="E445" s="672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147</v>
      </c>
      <c r="L445" s="32"/>
      <c r="M445" s="33" t="s">
        <v>67</v>
      </c>
      <c r="N445" s="33"/>
      <c r="O445" s="32">
        <v>50</v>
      </c>
      <c r="P445" s="72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5" s="674"/>
      <c r="R445" s="674"/>
      <c r="S445" s="674"/>
      <c r="T445" s="675"/>
      <c r="U445" s="34"/>
      <c r="V445" s="34"/>
      <c r="W445" s="35" t="s">
        <v>68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696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698</v>
      </c>
      <c r="B446" s="54" t="s">
        <v>699</v>
      </c>
      <c r="C446" s="31">
        <v>4301031358</v>
      </c>
      <c r="D446" s="671">
        <v>4607091389531</v>
      </c>
      <c r="E446" s="672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147</v>
      </c>
      <c r="L446" s="32"/>
      <c r="M446" s="33" t="s">
        <v>67</v>
      </c>
      <c r="N446" s="33"/>
      <c r="O446" s="32">
        <v>50</v>
      </c>
      <c r="P446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4"/>
      <c r="R446" s="674"/>
      <c r="S446" s="674"/>
      <c r="T446" s="675"/>
      <c r="U446" s="34"/>
      <c r="V446" s="34"/>
      <c r="W446" s="35" t="s">
        <v>68</v>
      </c>
      <c r="X446" s="667">
        <v>0</v>
      </c>
      <c r="Y446" s="668">
        <f t="shared" si="62"/>
        <v>0</v>
      </c>
      <c r="Z446" s="36" t="str">
        <f t="shared" si="67"/>
        <v/>
      </c>
      <c r="AA446" s="56"/>
      <c r="AB446" s="57"/>
      <c r="AC446" s="499" t="s">
        <v>700</v>
      </c>
      <c r="AG446" s="64"/>
      <c r="AJ446" s="68"/>
      <c r="AK446" s="68">
        <v>0</v>
      </c>
      <c r="BB446" s="500" t="s">
        <v>1</v>
      </c>
      <c r="BM446" s="64">
        <f t="shared" si="63"/>
        <v>0</v>
      </c>
      <c r="BN446" s="64">
        <f t="shared" si="64"/>
        <v>0</v>
      </c>
      <c r="BO446" s="64">
        <f t="shared" si="65"/>
        <v>0</v>
      </c>
      <c r="BP446" s="64">
        <f t="shared" si="66"/>
        <v>0</v>
      </c>
    </row>
    <row r="447" spans="1:68" ht="37.5" customHeight="1" x14ac:dyDescent="0.25">
      <c r="A447" s="54" t="s">
        <v>701</v>
      </c>
      <c r="B447" s="54" t="s">
        <v>702</v>
      </c>
      <c r="C447" s="31">
        <v>4301031360</v>
      </c>
      <c r="D447" s="671">
        <v>4607091384345</v>
      </c>
      <c r="E447" s="672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147</v>
      </c>
      <c r="L447" s="32"/>
      <c r="M447" s="33" t="s">
        <v>67</v>
      </c>
      <c r="N447" s="33"/>
      <c r="O447" s="32">
        <v>50</v>
      </c>
      <c r="P447" s="10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4"/>
      <c r="R447" s="674"/>
      <c r="S447" s="674"/>
      <c r="T447" s="675"/>
      <c r="U447" s="34"/>
      <c r="V447" s="34"/>
      <c r="W447" s="35" t="s">
        <v>68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696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78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8" t="s">
        <v>87</v>
      </c>
      <c r="Q448" s="689"/>
      <c r="R448" s="689"/>
      <c r="S448" s="689"/>
      <c r="T448" s="689"/>
      <c r="U448" s="689"/>
      <c r="V448" s="690"/>
      <c r="W448" s="37" t="s">
        <v>88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0.7407407407407407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1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9.0200000000000002E-3</v>
      </c>
      <c r="AA448" s="670"/>
      <c r="AB448" s="670"/>
      <c r="AC448" s="670"/>
    </row>
    <row r="449" spans="1:68" x14ac:dyDescent="0.2">
      <c r="A449" s="679"/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80"/>
      <c r="P449" s="688" t="s">
        <v>87</v>
      </c>
      <c r="Q449" s="689"/>
      <c r="R449" s="689"/>
      <c r="S449" s="689"/>
      <c r="T449" s="689"/>
      <c r="U449" s="689"/>
      <c r="V449" s="690"/>
      <c r="W449" s="37" t="s">
        <v>68</v>
      </c>
      <c r="X449" s="669">
        <f>IFERROR(SUM(X436:X447),"0")</f>
        <v>4</v>
      </c>
      <c r="Y449" s="669">
        <f>IFERROR(SUM(Y436:Y447),"0")</f>
        <v>5.4</v>
      </c>
      <c r="Z449" s="37"/>
      <c r="AA449" s="670"/>
      <c r="AB449" s="670"/>
      <c r="AC449" s="670"/>
    </row>
    <row r="450" spans="1:68" ht="14.25" customHeight="1" x14ac:dyDescent="0.25">
      <c r="A450" s="684" t="s">
        <v>63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3"/>
      <c r="AB450" s="663"/>
      <c r="AC450" s="663"/>
    </row>
    <row r="451" spans="1:68" ht="27" customHeight="1" x14ac:dyDescent="0.25">
      <c r="A451" s="54" t="s">
        <v>703</v>
      </c>
      <c r="B451" s="54" t="s">
        <v>704</v>
      </c>
      <c r="C451" s="31">
        <v>4301051284</v>
      </c>
      <c r="D451" s="671">
        <v>4607091384352</v>
      </c>
      <c r="E451" s="672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105</v>
      </c>
      <c r="L451" s="32"/>
      <c r="M451" s="33" t="s">
        <v>106</v>
      </c>
      <c r="N451" s="33"/>
      <c r="O451" s="32">
        <v>45</v>
      </c>
      <c r="P451" s="8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4"/>
      <c r="R451" s="674"/>
      <c r="S451" s="674"/>
      <c r="T451" s="675"/>
      <c r="U451" s="34"/>
      <c r="V451" s="34"/>
      <c r="W451" s="35" t="s">
        <v>68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705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706</v>
      </c>
      <c r="B452" s="54" t="s">
        <v>707</v>
      </c>
      <c r="C452" s="31">
        <v>4301051431</v>
      </c>
      <c r="D452" s="671">
        <v>4607091389654</v>
      </c>
      <c r="E452" s="672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66</v>
      </c>
      <c r="L452" s="32"/>
      <c r="M452" s="33" t="s">
        <v>106</v>
      </c>
      <c r="N452" s="33"/>
      <c r="O452" s="32">
        <v>45</v>
      </c>
      <c r="P452" s="71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4"/>
      <c r="R452" s="674"/>
      <c r="S452" s="674"/>
      <c r="T452" s="675"/>
      <c r="U452" s="34"/>
      <c r="V452" s="34"/>
      <c r="W452" s="35" t="s">
        <v>68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8" t="s">
        <v>87</v>
      </c>
      <c r="Q453" s="689"/>
      <c r="R453" s="689"/>
      <c r="S453" s="689"/>
      <c r="T453" s="689"/>
      <c r="U453" s="689"/>
      <c r="V453" s="690"/>
      <c r="W453" s="37" t="s">
        <v>88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8" t="s">
        <v>87</v>
      </c>
      <c r="Q454" s="689"/>
      <c r="R454" s="689"/>
      <c r="S454" s="689"/>
      <c r="T454" s="689"/>
      <c r="U454" s="689"/>
      <c r="V454" s="690"/>
      <c r="W454" s="37" t="s">
        <v>68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customHeight="1" x14ac:dyDescent="0.25">
      <c r="A455" s="685" t="s">
        <v>709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2"/>
      <c r="AB455" s="662"/>
      <c r="AC455" s="662"/>
    </row>
    <row r="456" spans="1:68" ht="14.25" customHeight="1" x14ac:dyDescent="0.25">
      <c r="A456" s="684" t="s">
        <v>133</v>
      </c>
      <c r="B456" s="679"/>
      <c r="C456" s="679"/>
      <c r="D456" s="679"/>
      <c r="E456" s="679"/>
      <c r="F456" s="679"/>
      <c r="G456" s="679"/>
      <c r="H456" s="679"/>
      <c r="I456" s="679"/>
      <c r="J456" s="679"/>
      <c r="K456" s="679"/>
      <c r="L456" s="679"/>
      <c r="M456" s="679"/>
      <c r="N456" s="679"/>
      <c r="O456" s="679"/>
      <c r="P456" s="679"/>
      <c r="Q456" s="679"/>
      <c r="R456" s="679"/>
      <c r="S456" s="679"/>
      <c r="T456" s="679"/>
      <c r="U456" s="679"/>
      <c r="V456" s="679"/>
      <c r="W456" s="679"/>
      <c r="X456" s="679"/>
      <c r="Y456" s="679"/>
      <c r="Z456" s="679"/>
      <c r="AA456" s="663"/>
      <c r="AB456" s="663"/>
      <c r="AC456" s="663"/>
    </row>
    <row r="457" spans="1:68" ht="27" customHeight="1" x14ac:dyDescent="0.25">
      <c r="A457" s="54" t="s">
        <v>710</v>
      </c>
      <c r="B457" s="54" t="s">
        <v>711</v>
      </c>
      <c r="C457" s="31">
        <v>4301020319</v>
      </c>
      <c r="D457" s="671">
        <v>4680115885240</v>
      </c>
      <c r="E457" s="672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66</v>
      </c>
      <c r="L457" s="32"/>
      <c r="M457" s="33" t="s">
        <v>67</v>
      </c>
      <c r="N457" s="33"/>
      <c r="O457" s="32">
        <v>40</v>
      </c>
      <c r="P457" s="70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4"/>
      <c r="R457" s="674"/>
      <c r="S457" s="674"/>
      <c r="T457" s="675"/>
      <c r="U457" s="34"/>
      <c r="V457" s="34"/>
      <c r="W457" s="35" t="s">
        <v>68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712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713</v>
      </c>
      <c r="B458" s="54" t="s">
        <v>714</v>
      </c>
      <c r="C458" s="31">
        <v>4301020315</v>
      </c>
      <c r="D458" s="671">
        <v>4607091389364</v>
      </c>
      <c r="E458" s="672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66</v>
      </c>
      <c r="L458" s="32"/>
      <c r="M458" s="33" t="s">
        <v>67</v>
      </c>
      <c r="N458" s="33"/>
      <c r="O458" s="32">
        <v>40</v>
      </c>
      <c r="P458" s="734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4"/>
      <c r="R458" s="674"/>
      <c r="S458" s="674"/>
      <c r="T458" s="675"/>
      <c r="U458" s="34"/>
      <c r="V458" s="34"/>
      <c r="W458" s="35" t="s">
        <v>68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715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78"/>
      <c r="B459" s="679"/>
      <c r="C459" s="679"/>
      <c r="D459" s="679"/>
      <c r="E459" s="679"/>
      <c r="F459" s="679"/>
      <c r="G459" s="679"/>
      <c r="H459" s="679"/>
      <c r="I459" s="679"/>
      <c r="J459" s="679"/>
      <c r="K459" s="679"/>
      <c r="L459" s="679"/>
      <c r="M459" s="679"/>
      <c r="N459" s="679"/>
      <c r="O459" s="680"/>
      <c r="P459" s="688" t="s">
        <v>87</v>
      </c>
      <c r="Q459" s="689"/>
      <c r="R459" s="689"/>
      <c r="S459" s="689"/>
      <c r="T459" s="689"/>
      <c r="U459" s="689"/>
      <c r="V459" s="690"/>
      <c r="W459" s="37" t="s">
        <v>88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x14ac:dyDescent="0.2">
      <c r="A460" s="679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8" t="s">
        <v>87</v>
      </c>
      <c r="Q460" s="689"/>
      <c r="R460" s="689"/>
      <c r="S460" s="689"/>
      <c r="T460" s="689"/>
      <c r="U460" s="689"/>
      <c r="V460" s="690"/>
      <c r="W460" s="37" t="s">
        <v>68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customHeight="1" x14ac:dyDescent="0.25">
      <c r="A461" s="684" t="s">
        <v>144</v>
      </c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79"/>
      <c r="P461" s="679"/>
      <c r="Q461" s="679"/>
      <c r="R461" s="679"/>
      <c r="S461" s="679"/>
      <c r="T461" s="679"/>
      <c r="U461" s="679"/>
      <c r="V461" s="679"/>
      <c r="W461" s="679"/>
      <c r="X461" s="679"/>
      <c r="Y461" s="679"/>
      <c r="Z461" s="679"/>
      <c r="AA461" s="663"/>
      <c r="AB461" s="663"/>
      <c r="AC461" s="663"/>
    </row>
    <row r="462" spans="1:68" ht="27" customHeight="1" x14ac:dyDescent="0.25">
      <c r="A462" s="54" t="s">
        <v>716</v>
      </c>
      <c r="B462" s="54" t="s">
        <v>717</v>
      </c>
      <c r="C462" s="31">
        <v>4301031403</v>
      </c>
      <c r="D462" s="671">
        <v>4680115886094</v>
      </c>
      <c r="E462" s="672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105</v>
      </c>
      <c r="L462" s="32"/>
      <c r="M462" s="33" t="s">
        <v>101</v>
      </c>
      <c r="N462" s="33"/>
      <c r="O462" s="32">
        <v>50</v>
      </c>
      <c r="P462" s="955" t="s">
        <v>718</v>
      </c>
      <c r="Q462" s="674"/>
      <c r="R462" s="674"/>
      <c r="S462" s="674"/>
      <c r="T462" s="675"/>
      <c r="U462" s="34"/>
      <c r="V462" s="34"/>
      <c r="W462" s="35" t="s">
        <v>68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719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720</v>
      </c>
      <c r="B463" s="54" t="s">
        <v>721</v>
      </c>
      <c r="C463" s="31">
        <v>4301031363</v>
      </c>
      <c r="D463" s="671">
        <v>4607091389425</v>
      </c>
      <c r="E463" s="672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147</v>
      </c>
      <c r="L463" s="32"/>
      <c r="M463" s="33" t="s">
        <v>67</v>
      </c>
      <c r="N463" s="33"/>
      <c r="O463" s="32">
        <v>50</v>
      </c>
      <c r="P463" s="97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4"/>
      <c r="R463" s="674"/>
      <c r="S463" s="674"/>
      <c r="T463" s="675"/>
      <c r="U463" s="34"/>
      <c r="V463" s="34"/>
      <c r="W463" s="35" t="s">
        <v>68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722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723</v>
      </c>
      <c r="B464" s="54" t="s">
        <v>724</v>
      </c>
      <c r="C464" s="31">
        <v>4301031373</v>
      </c>
      <c r="D464" s="671">
        <v>4680115880771</v>
      </c>
      <c r="E464" s="672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50</v>
      </c>
      <c r="P464" s="766" t="s">
        <v>725</v>
      </c>
      <c r="Q464" s="674"/>
      <c r="R464" s="674"/>
      <c r="S464" s="674"/>
      <c r="T464" s="675"/>
      <c r="U464" s="34"/>
      <c r="V464" s="34"/>
      <c r="W464" s="35" t="s">
        <v>68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726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727</v>
      </c>
      <c r="B465" s="54" t="s">
        <v>728</v>
      </c>
      <c r="C465" s="31">
        <v>4301031359</v>
      </c>
      <c r="D465" s="671">
        <v>4607091389500</v>
      </c>
      <c r="E465" s="672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147</v>
      </c>
      <c r="L465" s="32"/>
      <c r="M465" s="33" t="s">
        <v>67</v>
      </c>
      <c r="N465" s="33"/>
      <c r="O465" s="32">
        <v>50</v>
      </c>
      <c r="P465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4"/>
      <c r="R465" s="674"/>
      <c r="S465" s="674"/>
      <c r="T465" s="675"/>
      <c r="U465" s="34"/>
      <c r="V465" s="34"/>
      <c r="W465" s="35" t="s">
        <v>68</v>
      </c>
      <c r="X465" s="667">
        <v>0</v>
      </c>
      <c r="Y465" s="668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7" t="s">
        <v>726</v>
      </c>
      <c r="AG465" s="64"/>
      <c r="AJ465" s="68"/>
      <c r="AK465" s="68">
        <v>0</v>
      </c>
      <c r="BB465" s="518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8" t="s">
        <v>87</v>
      </c>
      <c r="Q466" s="689"/>
      <c r="R466" s="689"/>
      <c r="S466" s="689"/>
      <c r="T466" s="689"/>
      <c r="U466" s="689"/>
      <c r="V466" s="690"/>
      <c r="W466" s="37" t="s">
        <v>88</v>
      </c>
      <c r="X466" s="669">
        <f>IFERROR(X462/H462,"0")+IFERROR(X463/H463,"0")+IFERROR(X464/H464,"0")+IFERROR(X465/H465,"0")</f>
        <v>0</v>
      </c>
      <c r="Y466" s="669">
        <f>IFERROR(Y462/H462,"0")+IFERROR(Y463/H463,"0")+IFERROR(Y464/H464,"0")+IFERROR(Y465/H465,"0")</f>
        <v>0</v>
      </c>
      <c r="Z466" s="669">
        <f>IFERROR(IF(Z462="",0,Z462),"0")+IFERROR(IF(Z463="",0,Z463),"0")+IFERROR(IF(Z464="",0,Z464),"0")+IFERROR(IF(Z465="",0,Z465),"0")</f>
        <v>0</v>
      </c>
      <c r="AA466" s="670"/>
      <c r="AB466" s="670"/>
      <c r="AC466" s="670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8" t="s">
        <v>87</v>
      </c>
      <c r="Q467" s="689"/>
      <c r="R467" s="689"/>
      <c r="S467" s="689"/>
      <c r="T467" s="689"/>
      <c r="U467" s="689"/>
      <c r="V467" s="690"/>
      <c r="W467" s="37" t="s">
        <v>68</v>
      </c>
      <c r="X467" s="669">
        <f>IFERROR(SUM(X462:X465),"0")</f>
        <v>0</v>
      </c>
      <c r="Y467" s="669">
        <f>IFERROR(SUM(Y462:Y465),"0")</f>
        <v>0</v>
      </c>
      <c r="Z467" s="37"/>
      <c r="AA467" s="670"/>
      <c r="AB467" s="670"/>
      <c r="AC467" s="670"/>
    </row>
    <row r="468" spans="1:68" ht="16.5" customHeight="1" x14ac:dyDescent="0.25">
      <c r="A468" s="685" t="s">
        <v>729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2"/>
      <c r="AB468" s="662"/>
      <c r="AC468" s="662"/>
    </row>
    <row r="469" spans="1:68" ht="14.25" customHeight="1" x14ac:dyDescent="0.25">
      <c r="A469" s="684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3"/>
      <c r="AB469" s="663"/>
      <c r="AC469" s="663"/>
    </row>
    <row r="470" spans="1:68" ht="27" customHeight="1" x14ac:dyDescent="0.25">
      <c r="A470" s="54" t="s">
        <v>730</v>
      </c>
      <c r="B470" s="54" t="s">
        <v>731</v>
      </c>
      <c r="C470" s="31">
        <v>4301031294</v>
      </c>
      <c r="D470" s="671">
        <v>4680115885189</v>
      </c>
      <c r="E470" s="672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147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4"/>
      <c r="R470" s="674"/>
      <c r="S470" s="674"/>
      <c r="T470" s="675"/>
      <c r="U470" s="34"/>
      <c r="V470" s="34"/>
      <c r="W470" s="35" t="s">
        <v>68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732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733</v>
      </c>
      <c r="B471" s="54" t="s">
        <v>734</v>
      </c>
      <c r="C471" s="31">
        <v>4301031347</v>
      </c>
      <c r="D471" s="671">
        <v>4680115885110</v>
      </c>
      <c r="E471" s="672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66</v>
      </c>
      <c r="L471" s="32"/>
      <c r="M471" s="33" t="s">
        <v>67</v>
      </c>
      <c r="N471" s="33"/>
      <c r="O471" s="32">
        <v>50</v>
      </c>
      <c r="P471" s="760" t="s">
        <v>735</v>
      </c>
      <c r="Q471" s="674"/>
      <c r="R471" s="674"/>
      <c r="S471" s="674"/>
      <c r="T471" s="675"/>
      <c r="U471" s="34"/>
      <c r="V471" s="34"/>
      <c r="W471" s="35" t="s">
        <v>68</v>
      </c>
      <c r="X471" s="667">
        <v>0</v>
      </c>
      <c r="Y471" s="668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21" t="s">
        <v>736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8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8" t="s">
        <v>87</v>
      </c>
      <c r="Q472" s="689"/>
      <c r="R472" s="689"/>
      <c r="S472" s="689"/>
      <c r="T472" s="689"/>
      <c r="U472" s="689"/>
      <c r="V472" s="690"/>
      <c r="W472" s="37" t="s">
        <v>88</v>
      </c>
      <c r="X472" s="669">
        <f>IFERROR(X470/H470,"0")+IFERROR(X471/H471,"0")</f>
        <v>0</v>
      </c>
      <c r="Y472" s="669">
        <f>IFERROR(Y470/H470,"0")+IFERROR(Y471/H471,"0")</f>
        <v>0</v>
      </c>
      <c r="Z472" s="669">
        <f>IFERROR(IF(Z470="",0,Z470),"0")+IFERROR(IF(Z471="",0,Z471),"0")</f>
        <v>0</v>
      </c>
      <c r="AA472" s="670"/>
      <c r="AB472" s="670"/>
      <c r="AC472" s="670"/>
    </row>
    <row r="473" spans="1:68" x14ac:dyDescent="0.2">
      <c r="A473" s="679"/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80"/>
      <c r="P473" s="688" t="s">
        <v>87</v>
      </c>
      <c r="Q473" s="689"/>
      <c r="R473" s="689"/>
      <c r="S473" s="689"/>
      <c r="T473" s="689"/>
      <c r="U473" s="689"/>
      <c r="V473" s="690"/>
      <c r="W473" s="37" t="s">
        <v>68</v>
      </c>
      <c r="X473" s="669">
        <f>IFERROR(SUM(X470:X471),"0")</f>
        <v>0</v>
      </c>
      <c r="Y473" s="669">
        <f>IFERROR(SUM(Y470:Y471),"0")</f>
        <v>0</v>
      </c>
      <c r="Z473" s="37"/>
      <c r="AA473" s="670"/>
      <c r="AB473" s="670"/>
      <c r="AC473" s="670"/>
    </row>
    <row r="474" spans="1:68" ht="16.5" customHeight="1" x14ac:dyDescent="0.25">
      <c r="A474" s="685" t="s">
        <v>737</v>
      </c>
      <c r="B474" s="679"/>
      <c r="C474" s="679"/>
      <c r="D474" s="679"/>
      <c r="E474" s="679"/>
      <c r="F474" s="679"/>
      <c r="G474" s="679"/>
      <c r="H474" s="679"/>
      <c r="I474" s="679"/>
      <c r="J474" s="679"/>
      <c r="K474" s="679"/>
      <c r="L474" s="679"/>
      <c r="M474" s="679"/>
      <c r="N474" s="679"/>
      <c r="O474" s="679"/>
      <c r="P474" s="679"/>
      <c r="Q474" s="679"/>
      <c r="R474" s="679"/>
      <c r="S474" s="679"/>
      <c r="T474" s="679"/>
      <c r="U474" s="679"/>
      <c r="V474" s="679"/>
      <c r="W474" s="679"/>
      <c r="X474" s="679"/>
      <c r="Y474" s="679"/>
      <c r="Z474" s="679"/>
      <c r="AA474" s="662"/>
      <c r="AB474" s="662"/>
      <c r="AC474" s="662"/>
    </row>
    <row r="475" spans="1:68" ht="14.25" customHeight="1" x14ac:dyDescent="0.25">
      <c r="A475" s="684" t="s">
        <v>144</v>
      </c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79"/>
      <c r="P475" s="679"/>
      <c r="Q475" s="679"/>
      <c r="R475" s="679"/>
      <c r="S475" s="679"/>
      <c r="T475" s="679"/>
      <c r="U475" s="679"/>
      <c r="V475" s="679"/>
      <c r="W475" s="679"/>
      <c r="X475" s="679"/>
      <c r="Y475" s="679"/>
      <c r="Z475" s="679"/>
      <c r="AA475" s="663"/>
      <c r="AB475" s="663"/>
      <c r="AC475" s="663"/>
    </row>
    <row r="476" spans="1:68" ht="27" customHeight="1" x14ac:dyDescent="0.25">
      <c r="A476" s="54" t="s">
        <v>738</v>
      </c>
      <c r="B476" s="54" t="s">
        <v>739</v>
      </c>
      <c r="C476" s="31">
        <v>4301031261</v>
      </c>
      <c r="D476" s="671">
        <v>4680115885103</v>
      </c>
      <c r="E476" s="672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66</v>
      </c>
      <c r="L476" s="32"/>
      <c r="M476" s="33" t="s">
        <v>67</v>
      </c>
      <c r="N476" s="33"/>
      <c r="O476" s="32">
        <v>40</v>
      </c>
      <c r="P476" s="75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4"/>
      <c r="R476" s="674"/>
      <c r="S476" s="674"/>
      <c r="T476" s="675"/>
      <c r="U476" s="34"/>
      <c r="V476" s="34"/>
      <c r="W476" s="35" t="s">
        <v>68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740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678"/>
      <c r="B477" s="679"/>
      <c r="C477" s="679"/>
      <c r="D477" s="679"/>
      <c r="E477" s="679"/>
      <c r="F477" s="679"/>
      <c r="G477" s="679"/>
      <c r="H477" s="679"/>
      <c r="I477" s="679"/>
      <c r="J477" s="679"/>
      <c r="K477" s="679"/>
      <c r="L477" s="679"/>
      <c r="M477" s="679"/>
      <c r="N477" s="679"/>
      <c r="O477" s="680"/>
      <c r="P477" s="688" t="s">
        <v>87</v>
      </c>
      <c r="Q477" s="689"/>
      <c r="R477" s="689"/>
      <c r="S477" s="689"/>
      <c r="T477" s="689"/>
      <c r="U477" s="689"/>
      <c r="V477" s="690"/>
      <c r="W477" s="37" t="s">
        <v>88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x14ac:dyDescent="0.2">
      <c r="A478" s="679"/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80"/>
      <c r="P478" s="688" t="s">
        <v>87</v>
      </c>
      <c r="Q478" s="689"/>
      <c r="R478" s="689"/>
      <c r="S478" s="689"/>
      <c r="T478" s="689"/>
      <c r="U478" s="689"/>
      <c r="V478" s="690"/>
      <c r="W478" s="37" t="s">
        <v>68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customHeight="1" x14ac:dyDescent="0.25">
      <c r="A479" s="684" t="s">
        <v>170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3"/>
      <c r="AB479" s="663"/>
      <c r="AC479" s="663"/>
    </row>
    <row r="480" spans="1:68" ht="27" customHeight="1" x14ac:dyDescent="0.25">
      <c r="A480" s="54" t="s">
        <v>741</v>
      </c>
      <c r="B480" s="54" t="s">
        <v>742</v>
      </c>
      <c r="C480" s="31">
        <v>4301060412</v>
      </c>
      <c r="D480" s="671">
        <v>4680115885509</v>
      </c>
      <c r="E480" s="672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66</v>
      </c>
      <c r="L480" s="32"/>
      <c r="M480" s="33" t="s">
        <v>67</v>
      </c>
      <c r="N480" s="33"/>
      <c r="O480" s="32">
        <v>35</v>
      </c>
      <c r="P480" s="809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4"/>
      <c r="R480" s="674"/>
      <c r="S480" s="674"/>
      <c r="T480" s="675"/>
      <c r="U480" s="34"/>
      <c r="V480" s="34"/>
      <c r="W480" s="35" t="s">
        <v>68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743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678"/>
      <c r="B481" s="679"/>
      <c r="C481" s="679"/>
      <c r="D481" s="679"/>
      <c r="E481" s="679"/>
      <c r="F481" s="679"/>
      <c r="G481" s="679"/>
      <c r="H481" s="679"/>
      <c r="I481" s="679"/>
      <c r="J481" s="679"/>
      <c r="K481" s="679"/>
      <c r="L481" s="679"/>
      <c r="M481" s="679"/>
      <c r="N481" s="679"/>
      <c r="O481" s="680"/>
      <c r="P481" s="688" t="s">
        <v>87</v>
      </c>
      <c r="Q481" s="689"/>
      <c r="R481" s="689"/>
      <c r="S481" s="689"/>
      <c r="T481" s="689"/>
      <c r="U481" s="689"/>
      <c r="V481" s="690"/>
      <c r="W481" s="37" t="s">
        <v>88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x14ac:dyDescent="0.2">
      <c r="A482" s="679"/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80"/>
      <c r="P482" s="688" t="s">
        <v>87</v>
      </c>
      <c r="Q482" s="689"/>
      <c r="R482" s="689"/>
      <c r="S482" s="689"/>
      <c r="T482" s="689"/>
      <c r="U482" s="689"/>
      <c r="V482" s="690"/>
      <c r="W482" s="37" t="s">
        <v>68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customHeight="1" x14ac:dyDescent="0.2">
      <c r="A483" s="682" t="s">
        <v>744</v>
      </c>
      <c r="B483" s="683"/>
      <c r="C483" s="683"/>
      <c r="D483" s="683"/>
      <c r="E483" s="683"/>
      <c r="F483" s="683"/>
      <c r="G483" s="683"/>
      <c r="H483" s="683"/>
      <c r="I483" s="683"/>
      <c r="J483" s="683"/>
      <c r="K483" s="683"/>
      <c r="L483" s="683"/>
      <c r="M483" s="683"/>
      <c r="N483" s="683"/>
      <c r="O483" s="683"/>
      <c r="P483" s="683"/>
      <c r="Q483" s="683"/>
      <c r="R483" s="683"/>
      <c r="S483" s="683"/>
      <c r="T483" s="683"/>
      <c r="U483" s="683"/>
      <c r="V483" s="683"/>
      <c r="W483" s="683"/>
      <c r="X483" s="683"/>
      <c r="Y483" s="683"/>
      <c r="Z483" s="683"/>
      <c r="AA483" s="48"/>
      <c r="AB483" s="48"/>
      <c r="AC483" s="48"/>
    </row>
    <row r="484" spans="1:68" ht="16.5" customHeight="1" x14ac:dyDescent="0.25">
      <c r="A484" s="685" t="s">
        <v>744</v>
      </c>
      <c r="B484" s="679"/>
      <c r="C484" s="679"/>
      <c r="D484" s="679"/>
      <c r="E484" s="679"/>
      <c r="F484" s="679"/>
      <c r="G484" s="679"/>
      <c r="H484" s="679"/>
      <c r="I484" s="679"/>
      <c r="J484" s="679"/>
      <c r="K484" s="679"/>
      <c r="L484" s="679"/>
      <c r="M484" s="679"/>
      <c r="N484" s="679"/>
      <c r="O484" s="679"/>
      <c r="P484" s="679"/>
      <c r="Q484" s="679"/>
      <c r="R484" s="679"/>
      <c r="S484" s="679"/>
      <c r="T484" s="679"/>
      <c r="U484" s="679"/>
      <c r="V484" s="679"/>
      <c r="W484" s="679"/>
      <c r="X484" s="679"/>
      <c r="Y484" s="679"/>
      <c r="Z484" s="679"/>
      <c r="AA484" s="662"/>
      <c r="AB484" s="662"/>
      <c r="AC484" s="662"/>
    </row>
    <row r="485" spans="1:68" ht="14.25" customHeight="1" x14ac:dyDescent="0.25">
      <c r="A485" s="684" t="s">
        <v>97</v>
      </c>
      <c r="B485" s="679"/>
      <c r="C485" s="679"/>
      <c r="D485" s="679"/>
      <c r="E485" s="679"/>
      <c r="F485" s="679"/>
      <c r="G485" s="679"/>
      <c r="H485" s="679"/>
      <c r="I485" s="679"/>
      <c r="J485" s="679"/>
      <c r="K485" s="679"/>
      <c r="L485" s="679"/>
      <c r="M485" s="679"/>
      <c r="N485" s="679"/>
      <c r="O485" s="679"/>
      <c r="P485" s="679"/>
      <c r="Q485" s="679"/>
      <c r="R485" s="679"/>
      <c r="S485" s="679"/>
      <c r="T485" s="679"/>
      <c r="U485" s="679"/>
      <c r="V485" s="679"/>
      <c r="W485" s="679"/>
      <c r="X485" s="679"/>
      <c r="Y485" s="679"/>
      <c r="Z485" s="679"/>
      <c r="AA485" s="663"/>
      <c r="AB485" s="663"/>
      <c r="AC485" s="663"/>
    </row>
    <row r="486" spans="1:68" ht="27" customHeight="1" x14ac:dyDescent="0.25">
      <c r="A486" s="54" t="s">
        <v>745</v>
      </c>
      <c r="B486" s="54" t="s">
        <v>746</v>
      </c>
      <c r="C486" s="31">
        <v>4301011795</v>
      </c>
      <c r="D486" s="671">
        <v>4607091389067</v>
      </c>
      <c r="E486" s="672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100</v>
      </c>
      <c r="L486" s="32"/>
      <c r="M486" s="33" t="s">
        <v>101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4"/>
      <c r="R486" s="674"/>
      <c r="S486" s="674"/>
      <c r="T486" s="675"/>
      <c r="U486" s="34"/>
      <c r="V486" s="34"/>
      <c r="W486" s="35" t="s">
        <v>68</v>
      </c>
      <c r="X486" s="667">
        <v>0</v>
      </c>
      <c r="Y486" s="668">
        <f t="shared" ref="Y486:Y501" si="68">IFERROR(IF(X486="",0,CEILING((X486/$H486),1)*$H486),"")</f>
        <v>0</v>
      </c>
      <c r="Z486" s="36" t="str">
        <f t="shared" ref="Z486:Z491" si="69">IFERROR(IF(Y486=0,"",ROUNDUP(Y486/H486,0)*0.01196),"")</f>
        <v/>
      </c>
      <c r="AA486" s="56"/>
      <c r="AB486" s="57"/>
      <c r="AC486" s="527" t="s">
        <v>747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0</v>
      </c>
      <c r="BN486" s="64">
        <f t="shared" ref="BN486:BN501" si="71">IFERROR(Y486*I486/H486,"0")</f>
        <v>0</v>
      </c>
      <c r="BO486" s="64">
        <f t="shared" ref="BO486:BO501" si="72">IFERROR(1/J486*(X486/H486),"0")</f>
        <v>0</v>
      </c>
      <c r="BP486" s="64">
        <f t="shared" ref="BP486:BP501" si="73"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4301011961</v>
      </c>
      <c r="D487" s="671">
        <v>4680115885271</v>
      </c>
      <c r="E487" s="672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100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4"/>
      <c r="R487" s="674"/>
      <c r="S487" s="674"/>
      <c r="T487" s="675"/>
      <c r="U487" s="34"/>
      <c r="V487" s="34"/>
      <c r="W487" s="35" t="s">
        <v>68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750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4301011376</v>
      </c>
      <c r="D488" s="671">
        <v>4680115885226</v>
      </c>
      <c r="E488" s="672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100</v>
      </c>
      <c r="L488" s="32"/>
      <c r="M488" s="33" t="s">
        <v>106</v>
      </c>
      <c r="N488" s="33"/>
      <c r="O488" s="32">
        <v>60</v>
      </c>
      <c r="P488" s="96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4"/>
      <c r="R488" s="674"/>
      <c r="S488" s="674"/>
      <c r="T488" s="675"/>
      <c r="U488" s="34"/>
      <c r="V488" s="34"/>
      <c r="W488" s="35" t="s">
        <v>68</v>
      </c>
      <c r="X488" s="667">
        <v>0</v>
      </c>
      <c r="Y488" s="668">
        <f t="shared" si="68"/>
        <v>0</v>
      </c>
      <c r="Z488" s="36" t="str">
        <f t="shared" si="69"/>
        <v/>
      </c>
      <c r="AA488" s="56"/>
      <c r="AB488" s="57"/>
      <c r="AC488" s="531" t="s">
        <v>753</v>
      </c>
      <c r="AG488" s="64"/>
      <c r="AJ488" s="68"/>
      <c r="AK488" s="68">
        <v>0</v>
      </c>
      <c r="BB488" s="532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16.5" customHeight="1" x14ac:dyDescent="0.25">
      <c r="A489" s="54" t="s">
        <v>754</v>
      </c>
      <c r="B489" s="54" t="s">
        <v>755</v>
      </c>
      <c r="C489" s="31">
        <v>4301011774</v>
      </c>
      <c r="D489" s="671">
        <v>4680115884502</v>
      </c>
      <c r="E489" s="672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100</v>
      </c>
      <c r="L489" s="32"/>
      <c r="M489" s="33" t="s">
        <v>101</v>
      </c>
      <c r="N489" s="33"/>
      <c r="O489" s="32">
        <v>60</v>
      </c>
      <c r="P489" s="8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4"/>
      <c r="R489" s="674"/>
      <c r="S489" s="674"/>
      <c r="T489" s="675"/>
      <c r="U489" s="34"/>
      <c r="V489" s="34"/>
      <c r="W489" s="35" t="s">
        <v>68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756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4301011771</v>
      </c>
      <c r="D490" s="671">
        <v>4607091389104</v>
      </c>
      <c r="E490" s="672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100</v>
      </c>
      <c r="L490" s="32"/>
      <c r="M490" s="33" t="s">
        <v>101</v>
      </c>
      <c r="N490" s="33"/>
      <c r="O490" s="32">
        <v>60</v>
      </c>
      <c r="P490" s="9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4"/>
      <c r="R490" s="674"/>
      <c r="S490" s="674"/>
      <c r="T490" s="675"/>
      <c r="U490" s="34"/>
      <c r="V490" s="34"/>
      <c r="W490" s="35" t="s">
        <v>68</v>
      </c>
      <c r="X490" s="667">
        <v>0</v>
      </c>
      <c r="Y490" s="668">
        <f t="shared" si="68"/>
        <v>0</v>
      </c>
      <c r="Z490" s="36" t="str">
        <f t="shared" si="69"/>
        <v/>
      </c>
      <c r="AA490" s="56"/>
      <c r="AB490" s="57"/>
      <c r="AC490" s="535" t="s">
        <v>759</v>
      </c>
      <c r="AG490" s="64"/>
      <c r="AJ490" s="68"/>
      <c r="AK490" s="68">
        <v>0</v>
      </c>
      <c r="BB490" s="536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16.5" customHeight="1" x14ac:dyDescent="0.25">
      <c r="A491" s="54" t="s">
        <v>760</v>
      </c>
      <c r="B491" s="54" t="s">
        <v>761</v>
      </c>
      <c r="C491" s="31">
        <v>4301011799</v>
      </c>
      <c r="D491" s="671">
        <v>4680115884519</v>
      </c>
      <c r="E491" s="672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100</v>
      </c>
      <c r="L491" s="32"/>
      <c r="M491" s="33" t="s">
        <v>106</v>
      </c>
      <c r="N491" s="33"/>
      <c r="O491" s="32">
        <v>60</v>
      </c>
      <c r="P491" s="874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4"/>
      <c r="R491" s="674"/>
      <c r="S491" s="674"/>
      <c r="T491" s="675"/>
      <c r="U491" s="34"/>
      <c r="V491" s="34"/>
      <c r="W491" s="35" t="s">
        <v>68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762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763</v>
      </c>
      <c r="B492" s="54" t="s">
        <v>764</v>
      </c>
      <c r="C492" s="31">
        <v>4301012125</v>
      </c>
      <c r="D492" s="671">
        <v>4680115886391</v>
      </c>
      <c r="E492" s="672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66</v>
      </c>
      <c r="L492" s="32"/>
      <c r="M492" s="33" t="s">
        <v>106</v>
      </c>
      <c r="N492" s="33"/>
      <c r="O492" s="32">
        <v>60</v>
      </c>
      <c r="P492" s="783" t="s">
        <v>765</v>
      </c>
      <c r="Q492" s="674"/>
      <c r="R492" s="674"/>
      <c r="S492" s="674"/>
      <c r="T492" s="675"/>
      <c r="U492" s="34"/>
      <c r="V492" s="34"/>
      <c r="W492" s="35" t="s">
        <v>68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747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766</v>
      </c>
      <c r="B493" s="54" t="s">
        <v>767</v>
      </c>
      <c r="C493" s="31">
        <v>4301011778</v>
      </c>
      <c r="D493" s="671">
        <v>4680115880603</v>
      </c>
      <c r="E493" s="672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4"/>
      <c r="R493" s="674"/>
      <c r="S493" s="674"/>
      <c r="T493" s="675"/>
      <c r="U493" s="34"/>
      <c r="V493" s="34"/>
      <c r="W493" s="35" t="s">
        <v>68</v>
      </c>
      <c r="X493" s="667">
        <v>9</v>
      </c>
      <c r="Y493" s="668">
        <f t="shared" si="68"/>
        <v>10.8</v>
      </c>
      <c r="Z493" s="36">
        <f>IFERROR(IF(Y493=0,"",ROUNDUP(Y493/H493,0)*0.00902),"")</f>
        <v>2.7060000000000001E-2</v>
      </c>
      <c r="AA493" s="56"/>
      <c r="AB493" s="57"/>
      <c r="AC493" s="541" t="s">
        <v>747</v>
      </c>
      <c r="AG493" s="64"/>
      <c r="AJ493" s="68"/>
      <c r="AK493" s="68">
        <v>0</v>
      </c>
      <c r="BB493" s="542" t="s">
        <v>1</v>
      </c>
      <c r="BM493" s="64">
        <f t="shared" si="70"/>
        <v>9.5250000000000004</v>
      </c>
      <c r="BN493" s="64">
        <f t="shared" si="71"/>
        <v>11.430000000000001</v>
      </c>
      <c r="BO493" s="64">
        <f t="shared" si="72"/>
        <v>1.893939393939394E-2</v>
      </c>
      <c r="BP493" s="64">
        <f t="shared" si="73"/>
        <v>2.2727272727272728E-2</v>
      </c>
    </row>
    <row r="494" spans="1:68" ht="27" customHeight="1" x14ac:dyDescent="0.25">
      <c r="A494" s="54" t="s">
        <v>766</v>
      </c>
      <c r="B494" s="54" t="s">
        <v>768</v>
      </c>
      <c r="C494" s="31">
        <v>4301012035</v>
      </c>
      <c r="D494" s="671">
        <v>4680115880603</v>
      </c>
      <c r="E494" s="672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4"/>
      <c r="R494" s="674"/>
      <c r="S494" s="674"/>
      <c r="T494" s="675"/>
      <c r="U494" s="34"/>
      <c r="V494" s="34"/>
      <c r="W494" s="35" t="s">
        <v>68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747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customHeight="1" x14ac:dyDescent="0.25">
      <c r="A495" s="54" t="s">
        <v>769</v>
      </c>
      <c r="B495" s="54" t="s">
        <v>770</v>
      </c>
      <c r="C495" s="31">
        <v>4301012036</v>
      </c>
      <c r="D495" s="671">
        <v>4680115882782</v>
      </c>
      <c r="E495" s="672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105</v>
      </c>
      <c r="L495" s="32"/>
      <c r="M495" s="33" t="s">
        <v>101</v>
      </c>
      <c r="N495" s="33"/>
      <c r="O495" s="32">
        <v>60</v>
      </c>
      <c r="P495" s="8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4"/>
      <c r="R495" s="674"/>
      <c r="S495" s="674"/>
      <c r="T495" s="675"/>
      <c r="U495" s="34"/>
      <c r="V495" s="34"/>
      <c r="W495" s="35" t="s">
        <v>68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750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customHeight="1" x14ac:dyDescent="0.25">
      <c r="A496" s="54" t="s">
        <v>771</v>
      </c>
      <c r="B496" s="54" t="s">
        <v>772</v>
      </c>
      <c r="C496" s="31">
        <v>4301012055</v>
      </c>
      <c r="D496" s="671">
        <v>4680115886469</v>
      </c>
      <c r="E496" s="672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105</v>
      </c>
      <c r="L496" s="32"/>
      <c r="M496" s="33" t="s">
        <v>101</v>
      </c>
      <c r="N496" s="33"/>
      <c r="O496" s="32">
        <v>60</v>
      </c>
      <c r="P496" s="857" t="s">
        <v>773</v>
      </c>
      <c r="Q496" s="674"/>
      <c r="R496" s="674"/>
      <c r="S496" s="674"/>
      <c r="T496" s="675"/>
      <c r="U496" s="34"/>
      <c r="V496" s="34"/>
      <c r="W496" s="35" t="s">
        <v>68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753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customHeight="1" x14ac:dyDescent="0.25">
      <c r="A497" s="54" t="s">
        <v>774</v>
      </c>
      <c r="B497" s="54" t="s">
        <v>775</v>
      </c>
      <c r="C497" s="31">
        <v>4301012057</v>
      </c>
      <c r="D497" s="671">
        <v>4680115886483</v>
      </c>
      <c r="E497" s="672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105</v>
      </c>
      <c r="L497" s="32"/>
      <c r="M497" s="33" t="s">
        <v>101</v>
      </c>
      <c r="N497" s="33"/>
      <c r="O497" s="32">
        <v>60</v>
      </c>
      <c r="P497" s="1020" t="s">
        <v>776</v>
      </c>
      <c r="Q497" s="674"/>
      <c r="R497" s="674"/>
      <c r="S497" s="674"/>
      <c r="T497" s="675"/>
      <c r="U497" s="34"/>
      <c r="V497" s="34"/>
      <c r="W497" s="35" t="s">
        <v>68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756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customHeight="1" x14ac:dyDescent="0.25">
      <c r="A498" s="54" t="s">
        <v>777</v>
      </c>
      <c r="B498" s="54" t="s">
        <v>778</v>
      </c>
      <c r="C498" s="31">
        <v>4301012050</v>
      </c>
      <c r="D498" s="671">
        <v>4680115885479</v>
      </c>
      <c r="E498" s="672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66</v>
      </c>
      <c r="L498" s="32"/>
      <c r="M498" s="33" t="s">
        <v>101</v>
      </c>
      <c r="N498" s="33"/>
      <c r="O498" s="32">
        <v>60</v>
      </c>
      <c r="P498" s="796" t="s">
        <v>779</v>
      </c>
      <c r="Q498" s="674"/>
      <c r="R498" s="674"/>
      <c r="S498" s="674"/>
      <c r="T498" s="675"/>
      <c r="U498" s="34"/>
      <c r="V498" s="34"/>
      <c r="W498" s="35" t="s">
        <v>68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759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780</v>
      </c>
      <c r="B499" s="54" t="s">
        <v>781</v>
      </c>
      <c r="C499" s="31">
        <v>4301011784</v>
      </c>
      <c r="D499" s="671">
        <v>4607091389982</v>
      </c>
      <c r="E499" s="672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105</v>
      </c>
      <c r="L499" s="32"/>
      <c r="M499" s="33" t="s">
        <v>101</v>
      </c>
      <c r="N499" s="33"/>
      <c r="O499" s="32">
        <v>60</v>
      </c>
      <c r="P499" s="1028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4"/>
      <c r="R499" s="674"/>
      <c r="S499" s="674"/>
      <c r="T499" s="675"/>
      <c r="U499" s="34"/>
      <c r="V499" s="34"/>
      <c r="W499" s="35" t="s">
        <v>68</v>
      </c>
      <c r="X499" s="667">
        <v>0</v>
      </c>
      <c r="Y499" s="668">
        <f t="shared" si="68"/>
        <v>0</v>
      </c>
      <c r="Z499" s="36" t="str">
        <f>IFERROR(IF(Y499=0,"",ROUNDUP(Y499/H499,0)*0.00902),"")</f>
        <v/>
      </c>
      <c r="AA499" s="56"/>
      <c r="AB499" s="57"/>
      <c r="AC499" s="553" t="s">
        <v>759</v>
      </c>
      <c r="AG499" s="64"/>
      <c r="AJ499" s="68"/>
      <c r="AK499" s="68">
        <v>0</v>
      </c>
      <c r="BB499" s="554" t="s">
        <v>1</v>
      </c>
      <c r="BM499" s="64">
        <f t="shared" si="70"/>
        <v>0</v>
      </c>
      <c r="BN499" s="64">
        <f t="shared" si="71"/>
        <v>0</v>
      </c>
      <c r="BO499" s="64">
        <f t="shared" si="72"/>
        <v>0</v>
      </c>
      <c r="BP499" s="64">
        <f t="shared" si="73"/>
        <v>0</v>
      </c>
    </row>
    <row r="500" spans="1:68" ht="27" customHeight="1" x14ac:dyDescent="0.25">
      <c r="A500" s="54" t="s">
        <v>780</v>
      </c>
      <c r="B500" s="54" t="s">
        <v>782</v>
      </c>
      <c r="C500" s="31">
        <v>4301012034</v>
      </c>
      <c r="D500" s="671">
        <v>4607091389982</v>
      </c>
      <c r="E500" s="672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105</v>
      </c>
      <c r="L500" s="32"/>
      <c r="M500" s="33" t="s">
        <v>101</v>
      </c>
      <c r="N500" s="33"/>
      <c r="O500" s="32">
        <v>60</v>
      </c>
      <c r="P500" s="10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4"/>
      <c r="R500" s="674"/>
      <c r="S500" s="674"/>
      <c r="T500" s="675"/>
      <c r="U500" s="34"/>
      <c r="V500" s="34"/>
      <c r="W500" s="35" t="s">
        <v>68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759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customHeight="1" x14ac:dyDescent="0.25">
      <c r="A501" s="54" t="s">
        <v>783</v>
      </c>
      <c r="B501" s="54" t="s">
        <v>784</v>
      </c>
      <c r="C501" s="31">
        <v>4301012058</v>
      </c>
      <c r="D501" s="671">
        <v>4680115886490</v>
      </c>
      <c r="E501" s="672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60</v>
      </c>
      <c r="P501" s="84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4"/>
      <c r="R501" s="674"/>
      <c r="S501" s="674"/>
      <c r="T501" s="675"/>
      <c r="U501" s="34"/>
      <c r="V501" s="34"/>
      <c r="W501" s="35" t="s">
        <v>68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762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78"/>
      <c r="B502" s="679"/>
      <c r="C502" s="679"/>
      <c r="D502" s="679"/>
      <c r="E502" s="679"/>
      <c r="F502" s="679"/>
      <c r="G502" s="679"/>
      <c r="H502" s="679"/>
      <c r="I502" s="679"/>
      <c r="J502" s="679"/>
      <c r="K502" s="679"/>
      <c r="L502" s="679"/>
      <c r="M502" s="679"/>
      <c r="N502" s="679"/>
      <c r="O502" s="680"/>
      <c r="P502" s="688" t="s">
        <v>87</v>
      </c>
      <c r="Q502" s="689"/>
      <c r="R502" s="689"/>
      <c r="S502" s="689"/>
      <c r="T502" s="689"/>
      <c r="U502" s="689"/>
      <c r="V502" s="690"/>
      <c r="W502" s="37" t="s">
        <v>88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2.5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3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2.7060000000000001E-2</v>
      </c>
      <c r="AA502" s="670"/>
      <c r="AB502" s="670"/>
      <c r="AC502" s="670"/>
    </row>
    <row r="503" spans="1:68" x14ac:dyDescent="0.2">
      <c r="A503" s="679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8" t="s">
        <v>87</v>
      </c>
      <c r="Q503" s="689"/>
      <c r="R503" s="689"/>
      <c r="S503" s="689"/>
      <c r="T503" s="689"/>
      <c r="U503" s="689"/>
      <c r="V503" s="690"/>
      <c r="W503" s="37" t="s">
        <v>68</v>
      </c>
      <c r="X503" s="669">
        <f>IFERROR(SUM(X486:X501),"0")</f>
        <v>9</v>
      </c>
      <c r="Y503" s="669">
        <f>IFERROR(SUM(Y486:Y501),"0")</f>
        <v>10.8</v>
      </c>
      <c r="Z503" s="37"/>
      <c r="AA503" s="670"/>
      <c r="AB503" s="670"/>
      <c r="AC503" s="670"/>
    </row>
    <row r="504" spans="1:68" ht="14.25" customHeight="1" x14ac:dyDescent="0.25">
      <c r="A504" s="684" t="s">
        <v>133</v>
      </c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79"/>
      <c r="P504" s="679"/>
      <c r="Q504" s="679"/>
      <c r="R504" s="679"/>
      <c r="S504" s="679"/>
      <c r="T504" s="679"/>
      <c r="U504" s="679"/>
      <c r="V504" s="679"/>
      <c r="W504" s="679"/>
      <c r="X504" s="679"/>
      <c r="Y504" s="679"/>
      <c r="Z504" s="679"/>
      <c r="AA504" s="663"/>
      <c r="AB504" s="663"/>
      <c r="AC504" s="663"/>
    </row>
    <row r="505" spans="1:68" ht="16.5" customHeight="1" x14ac:dyDescent="0.25">
      <c r="A505" s="54" t="s">
        <v>785</v>
      </c>
      <c r="B505" s="54" t="s">
        <v>786</v>
      </c>
      <c r="C505" s="31">
        <v>4301020222</v>
      </c>
      <c r="D505" s="671">
        <v>4607091388930</v>
      </c>
      <c r="E505" s="672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55</v>
      </c>
      <c r="P505" s="1049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4"/>
      <c r="R505" s="674"/>
      <c r="S505" s="674"/>
      <c r="T505" s="675"/>
      <c r="U505" s="34"/>
      <c r="V505" s="34"/>
      <c r="W505" s="35" t="s">
        <v>68</v>
      </c>
      <c r="X505" s="667">
        <v>0</v>
      </c>
      <c r="Y505" s="668">
        <f>IFERROR(IF(X505="",0,CEILING((X505/$H505),1)*$H505),"")</f>
        <v>0</v>
      </c>
      <c r="Z505" s="36" t="str">
        <f>IFERROR(IF(Y505=0,"",ROUNDUP(Y505/H505,0)*0.01196),"")</f>
        <v/>
      </c>
      <c r="AA505" s="56"/>
      <c r="AB505" s="57"/>
      <c r="AC505" s="559" t="s">
        <v>787</v>
      </c>
      <c r="AG505" s="64"/>
      <c r="AJ505" s="68"/>
      <c r="AK505" s="68">
        <v>0</v>
      </c>
      <c r="BB505" s="56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t="16.5" customHeight="1" x14ac:dyDescent="0.25">
      <c r="A506" s="54" t="s">
        <v>785</v>
      </c>
      <c r="B506" s="54" t="s">
        <v>788</v>
      </c>
      <c r="C506" s="31">
        <v>4301020334</v>
      </c>
      <c r="D506" s="671">
        <v>4607091388930</v>
      </c>
      <c r="E506" s="672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100</v>
      </c>
      <c r="L506" s="32"/>
      <c r="M506" s="33" t="s">
        <v>106</v>
      </c>
      <c r="N506" s="33"/>
      <c r="O506" s="32">
        <v>70</v>
      </c>
      <c r="P506" s="900" t="s">
        <v>789</v>
      </c>
      <c r="Q506" s="674"/>
      <c r="R506" s="674"/>
      <c r="S506" s="674"/>
      <c r="T506" s="675"/>
      <c r="U506" s="34"/>
      <c r="V506" s="34"/>
      <c r="W506" s="35" t="s">
        <v>68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customHeight="1" x14ac:dyDescent="0.25">
      <c r="A507" s="54" t="s">
        <v>791</v>
      </c>
      <c r="B507" s="54" t="s">
        <v>792</v>
      </c>
      <c r="C507" s="31">
        <v>4301020384</v>
      </c>
      <c r="D507" s="671">
        <v>4680115886407</v>
      </c>
      <c r="E507" s="672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66</v>
      </c>
      <c r="L507" s="32"/>
      <c r="M507" s="33" t="s">
        <v>106</v>
      </c>
      <c r="N507" s="33"/>
      <c r="O507" s="32">
        <v>70</v>
      </c>
      <c r="P507" s="1050" t="s">
        <v>793</v>
      </c>
      <c r="Q507" s="674"/>
      <c r="R507" s="674"/>
      <c r="S507" s="674"/>
      <c r="T507" s="675"/>
      <c r="U507" s="34"/>
      <c r="V507" s="34"/>
      <c r="W507" s="35" t="s">
        <v>68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790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794</v>
      </c>
      <c r="B508" s="54" t="s">
        <v>795</v>
      </c>
      <c r="C508" s="31">
        <v>4301020385</v>
      </c>
      <c r="D508" s="671">
        <v>4680115880054</v>
      </c>
      <c r="E508" s="672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105</v>
      </c>
      <c r="L508" s="32"/>
      <c r="M508" s="33" t="s">
        <v>101</v>
      </c>
      <c r="N508" s="33"/>
      <c r="O508" s="32">
        <v>70</v>
      </c>
      <c r="P508" s="764" t="s">
        <v>796</v>
      </c>
      <c r="Q508" s="674"/>
      <c r="R508" s="674"/>
      <c r="S508" s="674"/>
      <c r="T508" s="675"/>
      <c r="U508" s="34"/>
      <c r="V508" s="34"/>
      <c r="W508" s="35" t="s">
        <v>68</v>
      </c>
      <c r="X508" s="667">
        <v>16</v>
      </c>
      <c r="Y508" s="668">
        <f>IFERROR(IF(X508="",0,CEILING((X508/$H508),1)*$H508),"")</f>
        <v>19.2</v>
      </c>
      <c r="Z508" s="36">
        <f>IFERROR(IF(Y508=0,"",ROUNDUP(Y508/H508,0)*0.00902),"")</f>
        <v>3.6080000000000001E-2</v>
      </c>
      <c r="AA508" s="56"/>
      <c r="AB508" s="57"/>
      <c r="AC508" s="565" t="s">
        <v>790</v>
      </c>
      <c r="AG508" s="64"/>
      <c r="AJ508" s="68"/>
      <c r="AK508" s="68">
        <v>0</v>
      </c>
      <c r="BB508" s="566" t="s">
        <v>1</v>
      </c>
      <c r="BM508" s="64">
        <f>IFERROR(X508*I508/H508,"0")</f>
        <v>23.1</v>
      </c>
      <c r="BN508" s="64">
        <f>IFERROR(Y508*I508/H508,"0")</f>
        <v>27.72</v>
      </c>
      <c r="BO508" s="64">
        <f>IFERROR(1/J508*(X508/H508),"0")</f>
        <v>2.5252525252525256E-2</v>
      </c>
      <c r="BP508" s="64">
        <f>IFERROR(1/J508*(Y508/H508),"0")</f>
        <v>3.0303030303030304E-2</v>
      </c>
    </row>
    <row r="509" spans="1:68" x14ac:dyDescent="0.2">
      <c r="A509" s="678"/>
      <c r="B509" s="679"/>
      <c r="C509" s="679"/>
      <c r="D509" s="679"/>
      <c r="E509" s="679"/>
      <c r="F509" s="679"/>
      <c r="G509" s="679"/>
      <c r="H509" s="679"/>
      <c r="I509" s="679"/>
      <c r="J509" s="679"/>
      <c r="K509" s="679"/>
      <c r="L509" s="679"/>
      <c r="M509" s="679"/>
      <c r="N509" s="679"/>
      <c r="O509" s="680"/>
      <c r="P509" s="688" t="s">
        <v>87</v>
      </c>
      <c r="Q509" s="689"/>
      <c r="R509" s="689"/>
      <c r="S509" s="689"/>
      <c r="T509" s="689"/>
      <c r="U509" s="689"/>
      <c r="V509" s="690"/>
      <c r="W509" s="37" t="s">
        <v>88</v>
      </c>
      <c r="X509" s="669">
        <f>IFERROR(X505/H505,"0")+IFERROR(X506/H506,"0")+IFERROR(X507/H507,"0")+IFERROR(X508/H508,"0")</f>
        <v>3.3333333333333335</v>
      </c>
      <c r="Y509" s="669">
        <f>IFERROR(Y505/H505,"0")+IFERROR(Y506/H506,"0")+IFERROR(Y507/H507,"0")+IFERROR(Y508/H508,"0")</f>
        <v>4</v>
      </c>
      <c r="Z509" s="669">
        <f>IFERROR(IF(Z505="",0,Z505),"0")+IFERROR(IF(Z506="",0,Z506),"0")+IFERROR(IF(Z507="",0,Z507),"0")+IFERROR(IF(Z508="",0,Z508),"0")</f>
        <v>3.6080000000000001E-2</v>
      </c>
      <c r="AA509" s="670"/>
      <c r="AB509" s="670"/>
      <c r="AC509" s="670"/>
    </row>
    <row r="510" spans="1:68" x14ac:dyDescent="0.2">
      <c r="A510" s="679"/>
      <c r="B510" s="679"/>
      <c r="C510" s="679"/>
      <c r="D510" s="679"/>
      <c r="E510" s="679"/>
      <c r="F510" s="679"/>
      <c r="G510" s="679"/>
      <c r="H510" s="679"/>
      <c r="I510" s="679"/>
      <c r="J510" s="679"/>
      <c r="K510" s="679"/>
      <c r="L510" s="679"/>
      <c r="M510" s="679"/>
      <c r="N510" s="679"/>
      <c r="O510" s="680"/>
      <c r="P510" s="688" t="s">
        <v>87</v>
      </c>
      <c r="Q510" s="689"/>
      <c r="R510" s="689"/>
      <c r="S510" s="689"/>
      <c r="T510" s="689"/>
      <c r="U510" s="689"/>
      <c r="V510" s="690"/>
      <c r="W510" s="37" t="s">
        <v>68</v>
      </c>
      <c r="X510" s="669">
        <f>IFERROR(SUM(X505:X508),"0")</f>
        <v>16</v>
      </c>
      <c r="Y510" s="669">
        <f>IFERROR(SUM(Y505:Y508),"0")</f>
        <v>19.2</v>
      </c>
      <c r="Z510" s="37"/>
      <c r="AA510" s="670"/>
      <c r="AB510" s="670"/>
      <c r="AC510" s="670"/>
    </row>
    <row r="511" spans="1:68" ht="14.25" customHeight="1" x14ac:dyDescent="0.25">
      <c r="A511" s="684" t="s">
        <v>144</v>
      </c>
      <c r="B511" s="679"/>
      <c r="C511" s="679"/>
      <c r="D511" s="679"/>
      <c r="E511" s="679"/>
      <c r="F511" s="679"/>
      <c r="G511" s="679"/>
      <c r="H511" s="679"/>
      <c r="I511" s="679"/>
      <c r="J511" s="679"/>
      <c r="K511" s="679"/>
      <c r="L511" s="679"/>
      <c r="M511" s="679"/>
      <c r="N511" s="679"/>
      <c r="O511" s="679"/>
      <c r="P511" s="679"/>
      <c r="Q511" s="679"/>
      <c r="R511" s="679"/>
      <c r="S511" s="679"/>
      <c r="T511" s="679"/>
      <c r="U511" s="679"/>
      <c r="V511" s="679"/>
      <c r="W511" s="679"/>
      <c r="X511" s="679"/>
      <c r="Y511" s="679"/>
      <c r="Z511" s="679"/>
      <c r="AA511" s="663"/>
      <c r="AB511" s="663"/>
      <c r="AC511" s="663"/>
    </row>
    <row r="512" spans="1:68" ht="27" customHeight="1" x14ac:dyDescent="0.25">
      <c r="A512" s="54" t="s">
        <v>797</v>
      </c>
      <c r="B512" s="54" t="s">
        <v>798</v>
      </c>
      <c r="C512" s="31">
        <v>4301031349</v>
      </c>
      <c r="D512" s="671">
        <v>4680115883116</v>
      </c>
      <c r="E512" s="672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100</v>
      </c>
      <c r="L512" s="32"/>
      <c r="M512" s="33" t="s">
        <v>101</v>
      </c>
      <c r="N512" s="33"/>
      <c r="O512" s="32">
        <v>70</v>
      </c>
      <c r="P512" s="922" t="s">
        <v>799</v>
      </c>
      <c r="Q512" s="674"/>
      <c r="R512" s="674"/>
      <c r="S512" s="674"/>
      <c r="T512" s="675"/>
      <c r="U512" s="34"/>
      <c r="V512" s="34"/>
      <c r="W512" s="35" t="s">
        <v>68</v>
      </c>
      <c r="X512" s="667">
        <v>0</v>
      </c>
      <c r="Y512" s="668">
        <f t="shared" ref="Y512:Y522" si="74">IFERROR(IF(X512="",0,CEILING((X512/$H512),1)*$H512),"")</f>
        <v>0</v>
      </c>
      <c r="Z512" s="36" t="str">
        <f>IFERROR(IF(Y512=0,"",ROUNDUP(Y512/H512,0)*0.01196),"")</f>
        <v/>
      </c>
      <c r="AA512" s="56"/>
      <c r="AB512" s="57"/>
      <c r="AC512" s="567" t="s">
        <v>800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0</v>
      </c>
      <c r="BN512" s="64">
        <f t="shared" ref="BN512:BN522" si="76">IFERROR(Y512*I512/H512,"0")</f>
        <v>0</v>
      </c>
      <c r="BO512" s="64">
        <f t="shared" ref="BO512:BO522" si="77">IFERROR(1/J512*(X512/H512),"0")</f>
        <v>0</v>
      </c>
      <c r="BP512" s="64">
        <f t="shared" ref="BP512:BP522" si="78">IFERROR(1/J512*(Y512/H512),"0")</f>
        <v>0</v>
      </c>
    </row>
    <row r="513" spans="1:68" ht="27" customHeight="1" x14ac:dyDescent="0.25">
      <c r="A513" s="54" t="s">
        <v>801</v>
      </c>
      <c r="B513" s="54" t="s">
        <v>802</v>
      </c>
      <c r="C513" s="31">
        <v>4301031350</v>
      </c>
      <c r="D513" s="671">
        <v>4680115883093</v>
      </c>
      <c r="E513" s="672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100</v>
      </c>
      <c r="L513" s="32"/>
      <c r="M513" s="33" t="s">
        <v>67</v>
      </c>
      <c r="N513" s="33"/>
      <c r="O513" s="32">
        <v>70</v>
      </c>
      <c r="P513" s="833" t="s">
        <v>803</v>
      </c>
      <c r="Q513" s="674"/>
      <c r="R513" s="674"/>
      <c r="S513" s="674"/>
      <c r="T513" s="675"/>
      <c r="U513" s="34"/>
      <c r="V513" s="34"/>
      <c r="W513" s="35" t="s">
        <v>68</v>
      </c>
      <c r="X513" s="667">
        <v>0</v>
      </c>
      <c r="Y513" s="668">
        <f t="shared" si="74"/>
        <v>0</v>
      </c>
      <c r="Z513" s="36" t="str">
        <f>IFERROR(IF(Y513=0,"",ROUNDUP(Y513/H513,0)*0.01196),"")</f>
        <v/>
      </c>
      <c r="AA513" s="56"/>
      <c r="AB513" s="57"/>
      <c r="AC513" s="569" t="s">
        <v>804</v>
      </c>
      <c r="AG513" s="64"/>
      <c r="AJ513" s="68"/>
      <c r="AK513" s="68">
        <v>0</v>
      </c>
      <c r="BB513" s="570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4301031353</v>
      </c>
      <c r="D514" s="671">
        <v>4680115883109</v>
      </c>
      <c r="E514" s="672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100</v>
      </c>
      <c r="L514" s="32"/>
      <c r="M514" s="33" t="s">
        <v>67</v>
      </c>
      <c r="N514" s="33"/>
      <c r="O514" s="32">
        <v>70</v>
      </c>
      <c r="P514" s="866" t="s">
        <v>807</v>
      </c>
      <c r="Q514" s="674"/>
      <c r="R514" s="674"/>
      <c r="S514" s="674"/>
      <c r="T514" s="675"/>
      <c r="U514" s="34"/>
      <c r="V514" s="34"/>
      <c r="W514" s="35" t="s">
        <v>68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808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809</v>
      </c>
      <c r="B515" s="54" t="s">
        <v>810</v>
      </c>
      <c r="C515" s="31">
        <v>4301031409</v>
      </c>
      <c r="D515" s="671">
        <v>4680115886438</v>
      </c>
      <c r="E515" s="672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66</v>
      </c>
      <c r="L515" s="32"/>
      <c r="M515" s="33" t="s">
        <v>101</v>
      </c>
      <c r="N515" s="33"/>
      <c r="O515" s="32">
        <v>70</v>
      </c>
      <c r="P515" s="1012" t="s">
        <v>811</v>
      </c>
      <c r="Q515" s="674"/>
      <c r="R515" s="674"/>
      <c r="S515" s="674"/>
      <c r="T515" s="675"/>
      <c r="U515" s="34"/>
      <c r="V515" s="34"/>
      <c r="W515" s="35" t="s">
        <v>68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800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812</v>
      </c>
      <c r="B516" s="54" t="s">
        <v>813</v>
      </c>
      <c r="C516" s="31">
        <v>4301031419</v>
      </c>
      <c r="D516" s="671">
        <v>4680115882072</v>
      </c>
      <c r="E516" s="672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105</v>
      </c>
      <c r="L516" s="32"/>
      <c r="M516" s="33" t="s">
        <v>101</v>
      </c>
      <c r="N516" s="33"/>
      <c r="O516" s="32">
        <v>70</v>
      </c>
      <c r="P516" s="872" t="s">
        <v>814</v>
      </c>
      <c r="Q516" s="674"/>
      <c r="R516" s="674"/>
      <c r="S516" s="674"/>
      <c r="T516" s="675"/>
      <c r="U516" s="34"/>
      <c r="V516" s="34"/>
      <c r="W516" s="35" t="s">
        <v>68</v>
      </c>
      <c r="X516" s="667">
        <v>0</v>
      </c>
      <c r="Y516" s="668">
        <f t="shared" si="74"/>
        <v>0</v>
      </c>
      <c r="Z516" s="36" t="str">
        <f>IFERROR(IF(Y516=0,"",ROUNDUP(Y516/H516,0)*0.00902),"")</f>
        <v/>
      </c>
      <c r="AA516" s="56"/>
      <c r="AB516" s="57"/>
      <c r="AC516" s="575" t="s">
        <v>800</v>
      </c>
      <c r="AG516" s="64"/>
      <c r="AJ516" s="68"/>
      <c r="AK516" s="68">
        <v>0</v>
      </c>
      <c r="BB516" s="576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ht="27" customHeight="1" x14ac:dyDescent="0.25">
      <c r="A517" s="54" t="s">
        <v>812</v>
      </c>
      <c r="B517" s="54" t="s">
        <v>815</v>
      </c>
      <c r="C517" s="31">
        <v>4301031351</v>
      </c>
      <c r="D517" s="671">
        <v>4680115882072</v>
      </c>
      <c r="E517" s="672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105</v>
      </c>
      <c r="L517" s="32"/>
      <c r="M517" s="33" t="s">
        <v>101</v>
      </c>
      <c r="N517" s="33"/>
      <c r="O517" s="32">
        <v>70</v>
      </c>
      <c r="P517" s="904" t="s">
        <v>816</v>
      </c>
      <c r="Q517" s="674"/>
      <c r="R517" s="674"/>
      <c r="S517" s="674"/>
      <c r="T517" s="675"/>
      <c r="U517" s="34"/>
      <c r="V517" s="34"/>
      <c r="W517" s="35" t="s">
        <v>68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800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customHeight="1" x14ac:dyDescent="0.25">
      <c r="A518" s="54" t="s">
        <v>812</v>
      </c>
      <c r="B518" s="54" t="s">
        <v>817</v>
      </c>
      <c r="C518" s="31">
        <v>4301031383</v>
      </c>
      <c r="D518" s="671">
        <v>4680115882072</v>
      </c>
      <c r="E518" s="672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105</v>
      </c>
      <c r="L518" s="32"/>
      <c r="M518" s="33" t="s">
        <v>101</v>
      </c>
      <c r="N518" s="33"/>
      <c r="O518" s="32">
        <v>60</v>
      </c>
      <c r="P518" s="694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4"/>
      <c r="R518" s="674"/>
      <c r="S518" s="674"/>
      <c r="T518" s="675"/>
      <c r="U518" s="34"/>
      <c r="V518" s="34"/>
      <c r="W518" s="35" t="s">
        <v>68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818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819</v>
      </c>
      <c r="B519" s="54" t="s">
        <v>820</v>
      </c>
      <c r="C519" s="31">
        <v>4301031418</v>
      </c>
      <c r="D519" s="671">
        <v>4680115882102</v>
      </c>
      <c r="E519" s="672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105</v>
      </c>
      <c r="L519" s="32"/>
      <c r="M519" s="33" t="s">
        <v>67</v>
      </c>
      <c r="N519" s="33"/>
      <c r="O519" s="32">
        <v>70</v>
      </c>
      <c r="P519" s="844" t="s">
        <v>821</v>
      </c>
      <c r="Q519" s="674"/>
      <c r="R519" s="674"/>
      <c r="S519" s="674"/>
      <c r="T519" s="675"/>
      <c r="U519" s="34"/>
      <c r="V519" s="34"/>
      <c r="W519" s="35" t="s">
        <v>68</v>
      </c>
      <c r="X519" s="667">
        <v>0</v>
      </c>
      <c r="Y519" s="668">
        <f t="shared" si="74"/>
        <v>0</v>
      </c>
      <c r="Z519" s="36" t="str">
        <f>IFERROR(IF(Y519=0,"",ROUNDUP(Y519/H519,0)*0.00902),"")</f>
        <v/>
      </c>
      <c r="AA519" s="56"/>
      <c r="AB519" s="57"/>
      <c r="AC519" s="581" t="s">
        <v>804</v>
      </c>
      <c r="AG519" s="64"/>
      <c r="AJ519" s="68"/>
      <c r="AK519" s="68">
        <v>0</v>
      </c>
      <c r="BB519" s="582" t="s">
        <v>1</v>
      </c>
      <c r="BM519" s="64">
        <f t="shared" si="75"/>
        <v>0</v>
      </c>
      <c r="BN519" s="64">
        <f t="shared" si="76"/>
        <v>0</v>
      </c>
      <c r="BO519" s="64">
        <f t="shared" si="77"/>
        <v>0</v>
      </c>
      <c r="BP519" s="64">
        <f t="shared" si="78"/>
        <v>0</v>
      </c>
    </row>
    <row r="520" spans="1:68" ht="27" customHeight="1" x14ac:dyDescent="0.25">
      <c r="A520" s="54" t="s">
        <v>822</v>
      </c>
      <c r="B520" s="54" t="s">
        <v>823</v>
      </c>
      <c r="C520" s="31">
        <v>4301031253</v>
      </c>
      <c r="D520" s="671">
        <v>4680115882096</v>
      </c>
      <c r="E520" s="672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105</v>
      </c>
      <c r="L520" s="32"/>
      <c r="M520" s="33" t="s">
        <v>67</v>
      </c>
      <c r="N520" s="33"/>
      <c r="O520" s="32">
        <v>60</v>
      </c>
      <c r="P520" s="7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4"/>
      <c r="R520" s="674"/>
      <c r="S520" s="674"/>
      <c r="T520" s="675"/>
      <c r="U520" s="34"/>
      <c r="V520" s="34"/>
      <c r="W520" s="35" t="s">
        <v>68</v>
      </c>
      <c r="X520" s="667">
        <v>0</v>
      </c>
      <c r="Y520" s="668">
        <f t="shared" si="74"/>
        <v>0</v>
      </c>
      <c r="Z520" s="36" t="str">
        <f>IFERROR(IF(Y520=0,"",ROUNDUP(Y520/H520,0)*0.00902),"")</f>
        <v/>
      </c>
      <c r="AA520" s="56"/>
      <c r="AB520" s="57"/>
      <c r="AC520" s="583" t="s">
        <v>824</v>
      </c>
      <c r="AG520" s="64"/>
      <c r="AJ520" s="68"/>
      <c r="AK520" s="68">
        <v>0</v>
      </c>
      <c r="BB520" s="584" t="s">
        <v>1</v>
      </c>
      <c r="BM520" s="64">
        <f t="shared" si="75"/>
        <v>0</v>
      </c>
      <c r="BN520" s="64">
        <f t="shared" si="76"/>
        <v>0</v>
      </c>
      <c r="BO520" s="64">
        <f t="shared" si="77"/>
        <v>0</v>
      </c>
      <c r="BP520" s="64">
        <f t="shared" si="78"/>
        <v>0</v>
      </c>
    </row>
    <row r="521" spans="1:68" ht="27" customHeight="1" x14ac:dyDescent="0.25">
      <c r="A521" s="54" t="s">
        <v>822</v>
      </c>
      <c r="B521" s="54" t="s">
        <v>825</v>
      </c>
      <c r="C521" s="31">
        <v>4301031417</v>
      </c>
      <c r="D521" s="671">
        <v>4680115882096</v>
      </c>
      <c r="E521" s="672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105</v>
      </c>
      <c r="L521" s="32"/>
      <c r="M521" s="33" t="s">
        <v>67</v>
      </c>
      <c r="N521" s="33"/>
      <c r="O521" s="32">
        <v>70</v>
      </c>
      <c r="P521" s="729" t="s">
        <v>826</v>
      </c>
      <c r="Q521" s="674"/>
      <c r="R521" s="674"/>
      <c r="S521" s="674"/>
      <c r="T521" s="675"/>
      <c r="U521" s="34"/>
      <c r="V521" s="34"/>
      <c r="W521" s="35" t="s">
        <v>68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808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customHeight="1" x14ac:dyDescent="0.25">
      <c r="A522" s="54" t="s">
        <v>822</v>
      </c>
      <c r="B522" s="54" t="s">
        <v>827</v>
      </c>
      <c r="C522" s="31">
        <v>4301031384</v>
      </c>
      <c r="D522" s="671">
        <v>4680115882096</v>
      </c>
      <c r="E522" s="672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105</v>
      </c>
      <c r="L522" s="32"/>
      <c r="M522" s="33" t="s">
        <v>67</v>
      </c>
      <c r="N522" s="33"/>
      <c r="O522" s="32">
        <v>60</v>
      </c>
      <c r="P522" s="74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4"/>
      <c r="R522" s="674"/>
      <c r="S522" s="674"/>
      <c r="T522" s="675"/>
      <c r="U522" s="34"/>
      <c r="V522" s="34"/>
      <c r="W522" s="35" t="s">
        <v>68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808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78"/>
      <c r="B523" s="679"/>
      <c r="C523" s="679"/>
      <c r="D523" s="679"/>
      <c r="E523" s="679"/>
      <c r="F523" s="679"/>
      <c r="G523" s="679"/>
      <c r="H523" s="679"/>
      <c r="I523" s="679"/>
      <c r="J523" s="679"/>
      <c r="K523" s="679"/>
      <c r="L523" s="679"/>
      <c r="M523" s="679"/>
      <c r="N523" s="679"/>
      <c r="O523" s="680"/>
      <c r="P523" s="688" t="s">
        <v>87</v>
      </c>
      <c r="Q523" s="689"/>
      <c r="R523" s="689"/>
      <c r="S523" s="689"/>
      <c r="T523" s="689"/>
      <c r="U523" s="689"/>
      <c r="V523" s="690"/>
      <c r="W523" s="37" t="s">
        <v>88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0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0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</v>
      </c>
      <c r="AA523" s="670"/>
      <c r="AB523" s="670"/>
      <c r="AC523" s="670"/>
    </row>
    <row r="524" spans="1:68" x14ac:dyDescent="0.2">
      <c r="A524" s="679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8" t="s">
        <v>87</v>
      </c>
      <c r="Q524" s="689"/>
      <c r="R524" s="689"/>
      <c r="S524" s="689"/>
      <c r="T524" s="689"/>
      <c r="U524" s="689"/>
      <c r="V524" s="690"/>
      <c r="W524" s="37" t="s">
        <v>68</v>
      </c>
      <c r="X524" s="669">
        <f>IFERROR(SUM(X512:X522),"0")</f>
        <v>0</v>
      </c>
      <c r="Y524" s="669">
        <f>IFERROR(SUM(Y512:Y522),"0")</f>
        <v>0</v>
      </c>
      <c r="Z524" s="37"/>
      <c r="AA524" s="670"/>
      <c r="AB524" s="670"/>
      <c r="AC524" s="670"/>
    </row>
    <row r="525" spans="1:68" ht="14.25" customHeight="1" x14ac:dyDescent="0.25">
      <c r="A525" s="684" t="s">
        <v>63</v>
      </c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79"/>
      <c r="P525" s="679"/>
      <c r="Q525" s="679"/>
      <c r="R525" s="679"/>
      <c r="S525" s="679"/>
      <c r="T525" s="679"/>
      <c r="U525" s="679"/>
      <c r="V525" s="679"/>
      <c r="W525" s="679"/>
      <c r="X525" s="679"/>
      <c r="Y525" s="679"/>
      <c r="Z525" s="679"/>
      <c r="AA525" s="663"/>
      <c r="AB525" s="663"/>
      <c r="AC525" s="663"/>
    </row>
    <row r="526" spans="1:68" ht="16.5" customHeight="1" x14ac:dyDescent="0.25">
      <c r="A526" s="54" t="s">
        <v>828</v>
      </c>
      <c r="B526" s="54" t="s">
        <v>829</v>
      </c>
      <c r="C526" s="31">
        <v>4301051232</v>
      </c>
      <c r="D526" s="671">
        <v>4607091383409</v>
      </c>
      <c r="E526" s="672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100</v>
      </c>
      <c r="L526" s="32"/>
      <c r="M526" s="33" t="s">
        <v>106</v>
      </c>
      <c r="N526" s="33"/>
      <c r="O526" s="32">
        <v>45</v>
      </c>
      <c r="P526" s="95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4"/>
      <c r="R526" s="674"/>
      <c r="S526" s="674"/>
      <c r="T526" s="675"/>
      <c r="U526" s="34"/>
      <c r="V526" s="34"/>
      <c r="W526" s="35" t="s">
        <v>68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830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831</v>
      </c>
      <c r="B527" s="54" t="s">
        <v>832</v>
      </c>
      <c r="C527" s="31">
        <v>4301051231</v>
      </c>
      <c r="D527" s="671">
        <v>4607091383416</v>
      </c>
      <c r="E527" s="672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45</v>
      </c>
      <c r="P527" s="747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4"/>
      <c r="R527" s="674"/>
      <c r="S527" s="674"/>
      <c r="T527" s="675"/>
      <c r="U527" s="34"/>
      <c r="V527" s="34"/>
      <c r="W527" s="35" t="s">
        <v>68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833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834</v>
      </c>
      <c r="B528" s="54" t="s">
        <v>835</v>
      </c>
      <c r="C528" s="31">
        <v>4301051064</v>
      </c>
      <c r="D528" s="671">
        <v>4680115883536</v>
      </c>
      <c r="E528" s="672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66</v>
      </c>
      <c r="L528" s="32"/>
      <c r="M528" s="33" t="s">
        <v>106</v>
      </c>
      <c r="N528" s="33"/>
      <c r="O528" s="32">
        <v>45</v>
      </c>
      <c r="P528" s="103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4"/>
      <c r="R528" s="674"/>
      <c r="S528" s="674"/>
      <c r="T528" s="675"/>
      <c r="U528" s="34"/>
      <c r="V528" s="34"/>
      <c r="W528" s="35" t="s">
        <v>68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836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8" t="s">
        <v>87</v>
      </c>
      <c r="Q529" s="689"/>
      <c r="R529" s="689"/>
      <c r="S529" s="689"/>
      <c r="T529" s="689"/>
      <c r="U529" s="689"/>
      <c r="V529" s="690"/>
      <c r="W529" s="37" t="s">
        <v>88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8" t="s">
        <v>87</v>
      </c>
      <c r="Q530" s="689"/>
      <c r="R530" s="689"/>
      <c r="S530" s="689"/>
      <c r="T530" s="689"/>
      <c r="U530" s="689"/>
      <c r="V530" s="690"/>
      <c r="W530" s="37" t="s">
        <v>68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customHeight="1" x14ac:dyDescent="0.25">
      <c r="A531" s="684" t="s">
        <v>170</v>
      </c>
      <c r="B531" s="679"/>
      <c r="C531" s="679"/>
      <c r="D531" s="679"/>
      <c r="E531" s="679"/>
      <c r="F531" s="679"/>
      <c r="G531" s="679"/>
      <c r="H531" s="679"/>
      <c r="I531" s="679"/>
      <c r="J531" s="679"/>
      <c r="K531" s="679"/>
      <c r="L531" s="679"/>
      <c r="M531" s="679"/>
      <c r="N531" s="679"/>
      <c r="O531" s="679"/>
      <c r="P531" s="679"/>
      <c r="Q531" s="679"/>
      <c r="R531" s="679"/>
      <c r="S531" s="679"/>
      <c r="T531" s="679"/>
      <c r="U531" s="679"/>
      <c r="V531" s="679"/>
      <c r="W531" s="679"/>
      <c r="X531" s="679"/>
      <c r="Y531" s="679"/>
      <c r="Z531" s="679"/>
      <c r="AA531" s="663"/>
      <c r="AB531" s="663"/>
      <c r="AC531" s="663"/>
    </row>
    <row r="532" spans="1:68" ht="37.5" customHeight="1" x14ac:dyDescent="0.25">
      <c r="A532" s="54" t="s">
        <v>837</v>
      </c>
      <c r="B532" s="54" t="s">
        <v>838</v>
      </c>
      <c r="C532" s="31">
        <v>4301060436</v>
      </c>
      <c r="D532" s="671">
        <v>4680115885936</v>
      </c>
      <c r="E532" s="672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100</v>
      </c>
      <c r="L532" s="32"/>
      <c r="M532" s="33" t="s">
        <v>67</v>
      </c>
      <c r="N532" s="33"/>
      <c r="O532" s="32">
        <v>35</v>
      </c>
      <c r="P532" s="906" t="s">
        <v>839</v>
      </c>
      <c r="Q532" s="674"/>
      <c r="R532" s="674"/>
      <c r="S532" s="674"/>
      <c r="T532" s="675"/>
      <c r="U532" s="34"/>
      <c r="V532" s="34"/>
      <c r="W532" s="35" t="s">
        <v>68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840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x14ac:dyDescent="0.2">
      <c r="A533" s="678"/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80"/>
      <c r="P533" s="688" t="s">
        <v>87</v>
      </c>
      <c r="Q533" s="689"/>
      <c r="R533" s="689"/>
      <c r="S533" s="689"/>
      <c r="T533" s="689"/>
      <c r="U533" s="689"/>
      <c r="V533" s="690"/>
      <c r="W533" s="37" t="s">
        <v>88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x14ac:dyDescent="0.2">
      <c r="A534" s="679"/>
      <c r="B534" s="679"/>
      <c r="C534" s="679"/>
      <c r="D534" s="679"/>
      <c r="E534" s="679"/>
      <c r="F534" s="679"/>
      <c r="G534" s="679"/>
      <c r="H534" s="679"/>
      <c r="I534" s="679"/>
      <c r="J534" s="679"/>
      <c r="K534" s="679"/>
      <c r="L534" s="679"/>
      <c r="M534" s="679"/>
      <c r="N534" s="679"/>
      <c r="O534" s="680"/>
      <c r="P534" s="688" t="s">
        <v>87</v>
      </c>
      <c r="Q534" s="689"/>
      <c r="R534" s="689"/>
      <c r="S534" s="689"/>
      <c r="T534" s="689"/>
      <c r="U534" s="689"/>
      <c r="V534" s="690"/>
      <c r="W534" s="37" t="s">
        <v>68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customHeight="1" x14ac:dyDescent="0.2">
      <c r="A535" s="682" t="s">
        <v>841</v>
      </c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683"/>
      <c r="O535" s="683"/>
      <c r="P535" s="683"/>
      <c r="Q535" s="683"/>
      <c r="R535" s="683"/>
      <c r="S535" s="683"/>
      <c r="T535" s="683"/>
      <c r="U535" s="683"/>
      <c r="V535" s="683"/>
      <c r="W535" s="683"/>
      <c r="X535" s="683"/>
      <c r="Y535" s="683"/>
      <c r="Z535" s="683"/>
      <c r="AA535" s="48"/>
      <c r="AB535" s="48"/>
      <c r="AC535" s="48"/>
    </row>
    <row r="536" spans="1:68" ht="16.5" customHeight="1" x14ac:dyDescent="0.25">
      <c r="A536" s="685" t="s">
        <v>841</v>
      </c>
      <c r="B536" s="679"/>
      <c r="C536" s="679"/>
      <c r="D536" s="679"/>
      <c r="E536" s="679"/>
      <c r="F536" s="679"/>
      <c r="G536" s="679"/>
      <c r="H536" s="679"/>
      <c r="I536" s="679"/>
      <c r="J536" s="679"/>
      <c r="K536" s="679"/>
      <c r="L536" s="679"/>
      <c r="M536" s="679"/>
      <c r="N536" s="679"/>
      <c r="O536" s="679"/>
      <c r="P536" s="679"/>
      <c r="Q536" s="679"/>
      <c r="R536" s="679"/>
      <c r="S536" s="679"/>
      <c r="T536" s="679"/>
      <c r="U536" s="679"/>
      <c r="V536" s="679"/>
      <c r="W536" s="679"/>
      <c r="X536" s="679"/>
      <c r="Y536" s="679"/>
      <c r="Z536" s="679"/>
      <c r="AA536" s="662"/>
      <c r="AB536" s="662"/>
      <c r="AC536" s="662"/>
    </row>
    <row r="537" spans="1:68" ht="14.25" customHeight="1" x14ac:dyDescent="0.25">
      <c r="A537" s="684" t="s">
        <v>97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663"/>
      <c r="AB537" s="663"/>
      <c r="AC537" s="663"/>
    </row>
    <row r="538" spans="1:68" ht="27" customHeight="1" x14ac:dyDescent="0.25">
      <c r="A538" s="54" t="s">
        <v>842</v>
      </c>
      <c r="B538" s="54" t="s">
        <v>843</v>
      </c>
      <c r="C538" s="31">
        <v>4301011763</v>
      </c>
      <c r="D538" s="671">
        <v>4640242181011</v>
      </c>
      <c r="E538" s="672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100</v>
      </c>
      <c r="L538" s="32"/>
      <c r="M538" s="33" t="s">
        <v>106</v>
      </c>
      <c r="N538" s="33"/>
      <c r="O538" s="32">
        <v>55</v>
      </c>
      <c r="P538" s="891" t="s">
        <v>844</v>
      </c>
      <c r="Q538" s="674"/>
      <c r="R538" s="674"/>
      <c r="S538" s="674"/>
      <c r="T538" s="675"/>
      <c r="U538" s="34"/>
      <c r="V538" s="34"/>
      <c r="W538" s="35" t="s">
        <v>68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845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customHeight="1" x14ac:dyDescent="0.25">
      <c r="A539" s="54" t="s">
        <v>846</v>
      </c>
      <c r="B539" s="54" t="s">
        <v>847</v>
      </c>
      <c r="C539" s="31">
        <v>4301011585</v>
      </c>
      <c r="D539" s="671">
        <v>4640242180441</v>
      </c>
      <c r="E539" s="672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100</v>
      </c>
      <c r="L539" s="32"/>
      <c r="M539" s="33" t="s">
        <v>101</v>
      </c>
      <c r="N539" s="33"/>
      <c r="O539" s="32">
        <v>50</v>
      </c>
      <c r="P539" s="750" t="s">
        <v>848</v>
      </c>
      <c r="Q539" s="674"/>
      <c r="R539" s="674"/>
      <c r="S539" s="674"/>
      <c r="T539" s="675"/>
      <c r="U539" s="34"/>
      <c r="V539" s="34"/>
      <c r="W539" s="35" t="s">
        <v>68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849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customHeight="1" x14ac:dyDescent="0.25">
      <c r="A540" s="54" t="s">
        <v>850</v>
      </c>
      <c r="B540" s="54" t="s">
        <v>851</v>
      </c>
      <c r="C540" s="31">
        <v>4301011584</v>
      </c>
      <c r="D540" s="671">
        <v>4640242180564</v>
      </c>
      <c r="E540" s="672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100</v>
      </c>
      <c r="L540" s="32"/>
      <c r="M540" s="33" t="s">
        <v>101</v>
      </c>
      <c r="N540" s="33"/>
      <c r="O540" s="32">
        <v>50</v>
      </c>
      <c r="P540" s="897" t="s">
        <v>852</v>
      </c>
      <c r="Q540" s="674"/>
      <c r="R540" s="674"/>
      <c r="S540" s="674"/>
      <c r="T540" s="675"/>
      <c r="U540" s="34"/>
      <c r="V540" s="34"/>
      <c r="W540" s="35" t="s">
        <v>68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853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customHeight="1" x14ac:dyDescent="0.25">
      <c r="A541" s="54" t="s">
        <v>854</v>
      </c>
      <c r="B541" s="54" t="s">
        <v>855</v>
      </c>
      <c r="C541" s="31">
        <v>4301011762</v>
      </c>
      <c r="D541" s="671">
        <v>4640242180922</v>
      </c>
      <c r="E541" s="672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100</v>
      </c>
      <c r="L541" s="32"/>
      <c r="M541" s="33" t="s">
        <v>101</v>
      </c>
      <c r="N541" s="33"/>
      <c r="O541" s="32">
        <v>55</v>
      </c>
      <c r="P541" s="932" t="s">
        <v>856</v>
      </c>
      <c r="Q541" s="674"/>
      <c r="R541" s="674"/>
      <c r="S541" s="674"/>
      <c r="T541" s="675"/>
      <c r="U541" s="34"/>
      <c r="V541" s="34"/>
      <c r="W541" s="35" t="s">
        <v>68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857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customHeight="1" x14ac:dyDescent="0.25">
      <c r="A542" s="54" t="s">
        <v>858</v>
      </c>
      <c r="B542" s="54" t="s">
        <v>859</v>
      </c>
      <c r="C542" s="31">
        <v>4301011551</v>
      </c>
      <c r="D542" s="671">
        <v>4640242180038</v>
      </c>
      <c r="E542" s="672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105</v>
      </c>
      <c r="L542" s="32"/>
      <c r="M542" s="33" t="s">
        <v>101</v>
      </c>
      <c r="N542" s="33"/>
      <c r="O542" s="32">
        <v>50</v>
      </c>
      <c r="P542" s="762" t="s">
        <v>860</v>
      </c>
      <c r="Q542" s="674"/>
      <c r="R542" s="674"/>
      <c r="S542" s="674"/>
      <c r="T542" s="675"/>
      <c r="U542" s="34"/>
      <c r="V542" s="34"/>
      <c r="W542" s="35" t="s">
        <v>68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853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customHeight="1" x14ac:dyDescent="0.25">
      <c r="A543" s="54" t="s">
        <v>861</v>
      </c>
      <c r="B543" s="54" t="s">
        <v>862</v>
      </c>
      <c r="C543" s="31">
        <v>4301011765</v>
      </c>
      <c r="D543" s="671">
        <v>4640242181172</v>
      </c>
      <c r="E543" s="672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105</v>
      </c>
      <c r="L543" s="32"/>
      <c r="M543" s="33" t="s">
        <v>101</v>
      </c>
      <c r="N543" s="33"/>
      <c r="O543" s="32">
        <v>55</v>
      </c>
      <c r="P543" s="873" t="s">
        <v>863</v>
      </c>
      <c r="Q543" s="674"/>
      <c r="R543" s="674"/>
      <c r="S543" s="674"/>
      <c r="T543" s="675"/>
      <c r="U543" s="34"/>
      <c r="V543" s="34"/>
      <c r="W543" s="35" t="s">
        <v>68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857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x14ac:dyDescent="0.2">
      <c r="A544" s="678"/>
      <c r="B544" s="679"/>
      <c r="C544" s="679"/>
      <c r="D544" s="679"/>
      <c r="E544" s="679"/>
      <c r="F544" s="679"/>
      <c r="G544" s="679"/>
      <c r="H544" s="679"/>
      <c r="I544" s="679"/>
      <c r="J544" s="679"/>
      <c r="K544" s="679"/>
      <c r="L544" s="679"/>
      <c r="M544" s="679"/>
      <c r="N544" s="679"/>
      <c r="O544" s="680"/>
      <c r="P544" s="688" t="s">
        <v>87</v>
      </c>
      <c r="Q544" s="689"/>
      <c r="R544" s="689"/>
      <c r="S544" s="689"/>
      <c r="T544" s="689"/>
      <c r="U544" s="689"/>
      <c r="V544" s="690"/>
      <c r="W544" s="37" t="s">
        <v>88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x14ac:dyDescent="0.2">
      <c r="A545" s="679"/>
      <c r="B545" s="679"/>
      <c r="C545" s="679"/>
      <c r="D545" s="679"/>
      <c r="E545" s="679"/>
      <c r="F545" s="679"/>
      <c r="G545" s="679"/>
      <c r="H545" s="679"/>
      <c r="I545" s="679"/>
      <c r="J545" s="679"/>
      <c r="K545" s="679"/>
      <c r="L545" s="679"/>
      <c r="M545" s="679"/>
      <c r="N545" s="679"/>
      <c r="O545" s="680"/>
      <c r="P545" s="688" t="s">
        <v>87</v>
      </c>
      <c r="Q545" s="689"/>
      <c r="R545" s="689"/>
      <c r="S545" s="689"/>
      <c r="T545" s="689"/>
      <c r="U545" s="689"/>
      <c r="V545" s="690"/>
      <c r="W545" s="37" t="s">
        <v>68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customHeight="1" x14ac:dyDescent="0.25">
      <c r="A546" s="684" t="s">
        <v>133</v>
      </c>
      <c r="B546" s="679"/>
      <c r="C546" s="679"/>
      <c r="D546" s="679"/>
      <c r="E546" s="679"/>
      <c r="F546" s="679"/>
      <c r="G546" s="679"/>
      <c r="H546" s="679"/>
      <c r="I546" s="679"/>
      <c r="J546" s="679"/>
      <c r="K546" s="679"/>
      <c r="L546" s="679"/>
      <c r="M546" s="679"/>
      <c r="N546" s="679"/>
      <c r="O546" s="679"/>
      <c r="P546" s="679"/>
      <c r="Q546" s="679"/>
      <c r="R546" s="679"/>
      <c r="S546" s="679"/>
      <c r="T546" s="679"/>
      <c r="U546" s="679"/>
      <c r="V546" s="679"/>
      <c r="W546" s="679"/>
      <c r="X546" s="679"/>
      <c r="Y546" s="679"/>
      <c r="Z546" s="679"/>
      <c r="AA546" s="663"/>
      <c r="AB546" s="663"/>
      <c r="AC546" s="663"/>
    </row>
    <row r="547" spans="1:68" ht="27" customHeight="1" x14ac:dyDescent="0.25">
      <c r="A547" s="54" t="s">
        <v>864</v>
      </c>
      <c r="B547" s="54" t="s">
        <v>865</v>
      </c>
      <c r="C547" s="31">
        <v>4301020269</v>
      </c>
      <c r="D547" s="671">
        <v>4640242180519</v>
      </c>
      <c r="E547" s="672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100</v>
      </c>
      <c r="L547" s="32"/>
      <c r="M547" s="33" t="s">
        <v>106</v>
      </c>
      <c r="N547" s="33"/>
      <c r="O547" s="32">
        <v>50</v>
      </c>
      <c r="P547" s="975" t="s">
        <v>866</v>
      </c>
      <c r="Q547" s="674"/>
      <c r="R547" s="674"/>
      <c r="S547" s="674"/>
      <c r="T547" s="675"/>
      <c r="U547" s="34"/>
      <c r="V547" s="34"/>
      <c r="W547" s="35" t="s">
        <v>68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867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customHeight="1" x14ac:dyDescent="0.25">
      <c r="A548" s="54" t="s">
        <v>864</v>
      </c>
      <c r="B548" s="54" t="s">
        <v>868</v>
      </c>
      <c r="C548" s="31">
        <v>4301020400</v>
      </c>
      <c r="D548" s="671">
        <v>4640242180519</v>
      </c>
      <c r="E548" s="672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100</v>
      </c>
      <c r="L548" s="32"/>
      <c r="M548" s="33" t="s">
        <v>101</v>
      </c>
      <c r="N548" s="33"/>
      <c r="O548" s="32">
        <v>50</v>
      </c>
      <c r="P548" s="795" t="s">
        <v>869</v>
      </c>
      <c r="Q548" s="674"/>
      <c r="R548" s="674"/>
      <c r="S548" s="674"/>
      <c r="T548" s="675"/>
      <c r="U548" s="34"/>
      <c r="V548" s="34"/>
      <c r="W548" s="35" t="s">
        <v>68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870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customHeight="1" x14ac:dyDescent="0.25">
      <c r="A549" s="54" t="s">
        <v>871</v>
      </c>
      <c r="B549" s="54" t="s">
        <v>872</v>
      </c>
      <c r="C549" s="31">
        <v>4301020260</v>
      </c>
      <c r="D549" s="671">
        <v>4640242180526</v>
      </c>
      <c r="E549" s="672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100</v>
      </c>
      <c r="L549" s="32"/>
      <c r="M549" s="33" t="s">
        <v>101</v>
      </c>
      <c r="N549" s="33"/>
      <c r="O549" s="32">
        <v>50</v>
      </c>
      <c r="P549" s="710" t="s">
        <v>873</v>
      </c>
      <c r="Q549" s="674"/>
      <c r="R549" s="674"/>
      <c r="S549" s="674"/>
      <c r="T549" s="675"/>
      <c r="U549" s="34"/>
      <c r="V549" s="34"/>
      <c r="W549" s="35" t="s">
        <v>68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867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customHeight="1" x14ac:dyDescent="0.25">
      <c r="A550" s="54" t="s">
        <v>874</v>
      </c>
      <c r="B550" s="54" t="s">
        <v>875</v>
      </c>
      <c r="C550" s="31">
        <v>4301020309</v>
      </c>
      <c r="D550" s="671">
        <v>4640242180090</v>
      </c>
      <c r="E550" s="672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100</v>
      </c>
      <c r="L550" s="32"/>
      <c r="M550" s="33" t="s">
        <v>101</v>
      </c>
      <c r="N550" s="33"/>
      <c r="O550" s="32">
        <v>50</v>
      </c>
      <c r="P550" s="738" t="s">
        <v>876</v>
      </c>
      <c r="Q550" s="674"/>
      <c r="R550" s="674"/>
      <c r="S550" s="674"/>
      <c r="T550" s="675"/>
      <c r="U550" s="34"/>
      <c r="V550" s="34"/>
      <c r="W550" s="35" t="s">
        <v>68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877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878</v>
      </c>
      <c r="B551" s="54" t="s">
        <v>879</v>
      </c>
      <c r="C551" s="31">
        <v>4301020295</v>
      </c>
      <c r="D551" s="671">
        <v>4640242181363</v>
      </c>
      <c r="E551" s="672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105</v>
      </c>
      <c r="L551" s="32"/>
      <c r="M551" s="33" t="s">
        <v>101</v>
      </c>
      <c r="N551" s="33"/>
      <c r="O551" s="32">
        <v>50</v>
      </c>
      <c r="P551" s="957" t="s">
        <v>880</v>
      </c>
      <c r="Q551" s="674"/>
      <c r="R551" s="674"/>
      <c r="S551" s="674"/>
      <c r="T551" s="675"/>
      <c r="U551" s="34"/>
      <c r="V551" s="34"/>
      <c r="W551" s="35" t="s">
        <v>68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877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x14ac:dyDescent="0.2">
      <c r="A552" s="678"/>
      <c r="B552" s="679"/>
      <c r="C552" s="679"/>
      <c r="D552" s="679"/>
      <c r="E552" s="679"/>
      <c r="F552" s="679"/>
      <c r="G552" s="679"/>
      <c r="H552" s="679"/>
      <c r="I552" s="679"/>
      <c r="J552" s="679"/>
      <c r="K552" s="679"/>
      <c r="L552" s="679"/>
      <c r="M552" s="679"/>
      <c r="N552" s="679"/>
      <c r="O552" s="680"/>
      <c r="P552" s="688" t="s">
        <v>87</v>
      </c>
      <c r="Q552" s="689"/>
      <c r="R552" s="689"/>
      <c r="S552" s="689"/>
      <c r="T552" s="689"/>
      <c r="U552" s="689"/>
      <c r="V552" s="690"/>
      <c r="W552" s="37" t="s">
        <v>88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x14ac:dyDescent="0.2">
      <c r="A553" s="679"/>
      <c r="B553" s="679"/>
      <c r="C553" s="679"/>
      <c r="D553" s="679"/>
      <c r="E553" s="679"/>
      <c r="F553" s="679"/>
      <c r="G553" s="679"/>
      <c r="H553" s="679"/>
      <c r="I553" s="679"/>
      <c r="J553" s="679"/>
      <c r="K553" s="679"/>
      <c r="L553" s="679"/>
      <c r="M553" s="679"/>
      <c r="N553" s="679"/>
      <c r="O553" s="680"/>
      <c r="P553" s="688" t="s">
        <v>87</v>
      </c>
      <c r="Q553" s="689"/>
      <c r="R553" s="689"/>
      <c r="S553" s="689"/>
      <c r="T553" s="689"/>
      <c r="U553" s="689"/>
      <c r="V553" s="690"/>
      <c r="W553" s="37" t="s">
        <v>68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customHeight="1" x14ac:dyDescent="0.25">
      <c r="A554" s="684" t="s">
        <v>144</v>
      </c>
      <c r="B554" s="679"/>
      <c r="C554" s="679"/>
      <c r="D554" s="679"/>
      <c r="E554" s="679"/>
      <c r="F554" s="679"/>
      <c r="G554" s="679"/>
      <c r="H554" s="679"/>
      <c r="I554" s="679"/>
      <c r="J554" s="679"/>
      <c r="K554" s="679"/>
      <c r="L554" s="679"/>
      <c r="M554" s="679"/>
      <c r="N554" s="679"/>
      <c r="O554" s="679"/>
      <c r="P554" s="679"/>
      <c r="Q554" s="679"/>
      <c r="R554" s="679"/>
      <c r="S554" s="679"/>
      <c r="T554" s="679"/>
      <c r="U554" s="679"/>
      <c r="V554" s="679"/>
      <c r="W554" s="679"/>
      <c r="X554" s="679"/>
      <c r="Y554" s="679"/>
      <c r="Z554" s="679"/>
      <c r="AA554" s="663"/>
      <c r="AB554" s="663"/>
      <c r="AC554" s="663"/>
    </row>
    <row r="555" spans="1:68" ht="27" customHeight="1" x14ac:dyDescent="0.25">
      <c r="A555" s="54" t="s">
        <v>881</v>
      </c>
      <c r="B555" s="54" t="s">
        <v>882</v>
      </c>
      <c r="C555" s="31">
        <v>4301031280</v>
      </c>
      <c r="D555" s="671">
        <v>4640242180816</v>
      </c>
      <c r="E555" s="672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40</v>
      </c>
      <c r="P555" s="962" t="s">
        <v>883</v>
      </c>
      <c r="Q555" s="674"/>
      <c r="R555" s="674"/>
      <c r="S555" s="674"/>
      <c r="T555" s="675"/>
      <c r="U555" s="34"/>
      <c r="V555" s="34"/>
      <c r="W555" s="35" t="s">
        <v>68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884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customHeight="1" x14ac:dyDescent="0.25">
      <c r="A556" s="54" t="s">
        <v>885</v>
      </c>
      <c r="B556" s="54" t="s">
        <v>886</v>
      </c>
      <c r="C556" s="31">
        <v>4301031244</v>
      </c>
      <c r="D556" s="671">
        <v>4640242180595</v>
      </c>
      <c r="E556" s="672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105</v>
      </c>
      <c r="L556" s="32"/>
      <c r="M556" s="33" t="s">
        <v>67</v>
      </c>
      <c r="N556" s="33"/>
      <c r="O556" s="32">
        <v>40</v>
      </c>
      <c r="P556" s="785" t="s">
        <v>887</v>
      </c>
      <c r="Q556" s="674"/>
      <c r="R556" s="674"/>
      <c r="S556" s="674"/>
      <c r="T556" s="675"/>
      <c r="U556" s="34"/>
      <c r="V556" s="34"/>
      <c r="W556" s="35" t="s">
        <v>68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888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customHeight="1" x14ac:dyDescent="0.25">
      <c r="A557" s="54" t="s">
        <v>889</v>
      </c>
      <c r="B557" s="54" t="s">
        <v>890</v>
      </c>
      <c r="C557" s="31">
        <v>4301031289</v>
      </c>
      <c r="D557" s="671">
        <v>4640242181615</v>
      </c>
      <c r="E557" s="672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105</v>
      </c>
      <c r="L557" s="32"/>
      <c r="M557" s="33" t="s">
        <v>67</v>
      </c>
      <c r="N557" s="33"/>
      <c r="O557" s="32">
        <v>45</v>
      </c>
      <c r="P557" s="967" t="s">
        <v>891</v>
      </c>
      <c r="Q557" s="674"/>
      <c r="R557" s="674"/>
      <c r="S557" s="674"/>
      <c r="T557" s="675"/>
      <c r="U557" s="34"/>
      <c r="V557" s="34"/>
      <c r="W557" s="35" t="s">
        <v>68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892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customHeight="1" x14ac:dyDescent="0.25">
      <c r="A558" s="54" t="s">
        <v>893</v>
      </c>
      <c r="B558" s="54" t="s">
        <v>894</v>
      </c>
      <c r="C558" s="31">
        <v>4301031285</v>
      </c>
      <c r="D558" s="671">
        <v>4640242181639</v>
      </c>
      <c r="E558" s="672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105</v>
      </c>
      <c r="L558" s="32"/>
      <c r="M558" s="33" t="s">
        <v>67</v>
      </c>
      <c r="N558" s="33"/>
      <c r="O558" s="32">
        <v>45</v>
      </c>
      <c r="P558" s="879" t="s">
        <v>895</v>
      </c>
      <c r="Q558" s="674"/>
      <c r="R558" s="674"/>
      <c r="S558" s="674"/>
      <c r="T558" s="675"/>
      <c r="U558" s="34"/>
      <c r="V558" s="34"/>
      <c r="W558" s="35" t="s">
        <v>68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896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customHeight="1" x14ac:dyDescent="0.25">
      <c r="A559" s="54" t="s">
        <v>897</v>
      </c>
      <c r="B559" s="54" t="s">
        <v>898</v>
      </c>
      <c r="C559" s="31">
        <v>4301031287</v>
      </c>
      <c r="D559" s="671">
        <v>4640242181622</v>
      </c>
      <c r="E559" s="672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105</v>
      </c>
      <c r="L559" s="32"/>
      <c r="M559" s="33" t="s">
        <v>67</v>
      </c>
      <c r="N559" s="33"/>
      <c r="O559" s="32">
        <v>45</v>
      </c>
      <c r="P559" s="907" t="s">
        <v>899</v>
      </c>
      <c r="Q559" s="674"/>
      <c r="R559" s="674"/>
      <c r="S559" s="674"/>
      <c r="T559" s="675"/>
      <c r="U559" s="34"/>
      <c r="V559" s="34"/>
      <c r="W559" s="35" t="s">
        <v>68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900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customHeight="1" x14ac:dyDescent="0.25">
      <c r="A560" s="54" t="s">
        <v>901</v>
      </c>
      <c r="B560" s="54" t="s">
        <v>902</v>
      </c>
      <c r="C560" s="31">
        <v>4301031203</v>
      </c>
      <c r="D560" s="671">
        <v>4640242180908</v>
      </c>
      <c r="E560" s="672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147</v>
      </c>
      <c r="L560" s="32"/>
      <c r="M560" s="33" t="s">
        <v>67</v>
      </c>
      <c r="N560" s="33"/>
      <c r="O560" s="32">
        <v>40</v>
      </c>
      <c r="P560" s="969" t="s">
        <v>903</v>
      </c>
      <c r="Q560" s="674"/>
      <c r="R560" s="674"/>
      <c r="S560" s="674"/>
      <c r="T560" s="675"/>
      <c r="U560" s="34"/>
      <c r="V560" s="34"/>
      <c r="W560" s="35" t="s">
        <v>68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884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customHeight="1" x14ac:dyDescent="0.25">
      <c r="A561" s="54" t="s">
        <v>904</v>
      </c>
      <c r="B561" s="54" t="s">
        <v>905</v>
      </c>
      <c r="C561" s="31">
        <v>4301031200</v>
      </c>
      <c r="D561" s="671">
        <v>4640242180489</v>
      </c>
      <c r="E561" s="672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147</v>
      </c>
      <c r="L561" s="32"/>
      <c r="M561" s="33" t="s">
        <v>67</v>
      </c>
      <c r="N561" s="33"/>
      <c r="O561" s="32">
        <v>40</v>
      </c>
      <c r="P561" s="912" t="s">
        <v>906</v>
      </c>
      <c r="Q561" s="674"/>
      <c r="R561" s="674"/>
      <c r="S561" s="674"/>
      <c r="T561" s="675"/>
      <c r="U561" s="34"/>
      <c r="V561" s="34"/>
      <c r="W561" s="35" t="s">
        <v>68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888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x14ac:dyDescent="0.2">
      <c r="A562" s="678"/>
      <c r="B562" s="679"/>
      <c r="C562" s="679"/>
      <c r="D562" s="679"/>
      <c r="E562" s="679"/>
      <c r="F562" s="679"/>
      <c r="G562" s="679"/>
      <c r="H562" s="679"/>
      <c r="I562" s="679"/>
      <c r="J562" s="679"/>
      <c r="K562" s="679"/>
      <c r="L562" s="679"/>
      <c r="M562" s="679"/>
      <c r="N562" s="679"/>
      <c r="O562" s="680"/>
      <c r="P562" s="688" t="s">
        <v>87</v>
      </c>
      <c r="Q562" s="689"/>
      <c r="R562" s="689"/>
      <c r="S562" s="689"/>
      <c r="T562" s="689"/>
      <c r="U562" s="689"/>
      <c r="V562" s="690"/>
      <c r="W562" s="37" t="s">
        <v>88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x14ac:dyDescent="0.2">
      <c r="A563" s="679"/>
      <c r="B563" s="679"/>
      <c r="C563" s="679"/>
      <c r="D563" s="679"/>
      <c r="E563" s="679"/>
      <c r="F563" s="679"/>
      <c r="G563" s="679"/>
      <c r="H563" s="679"/>
      <c r="I563" s="679"/>
      <c r="J563" s="679"/>
      <c r="K563" s="679"/>
      <c r="L563" s="679"/>
      <c r="M563" s="679"/>
      <c r="N563" s="679"/>
      <c r="O563" s="680"/>
      <c r="P563" s="688" t="s">
        <v>87</v>
      </c>
      <c r="Q563" s="689"/>
      <c r="R563" s="689"/>
      <c r="S563" s="689"/>
      <c r="T563" s="689"/>
      <c r="U563" s="689"/>
      <c r="V563" s="690"/>
      <c r="W563" s="37" t="s">
        <v>68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customHeight="1" x14ac:dyDescent="0.25">
      <c r="A564" s="684" t="s">
        <v>63</v>
      </c>
      <c r="B564" s="679"/>
      <c r="C564" s="679"/>
      <c r="D564" s="679"/>
      <c r="E564" s="679"/>
      <c r="F564" s="679"/>
      <c r="G564" s="679"/>
      <c r="H564" s="679"/>
      <c r="I564" s="679"/>
      <c r="J564" s="679"/>
      <c r="K564" s="679"/>
      <c r="L564" s="679"/>
      <c r="M564" s="679"/>
      <c r="N564" s="679"/>
      <c r="O564" s="679"/>
      <c r="P564" s="679"/>
      <c r="Q564" s="679"/>
      <c r="R564" s="679"/>
      <c r="S564" s="679"/>
      <c r="T564" s="679"/>
      <c r="U564" s="679"/>
      <c r="V564" s="679"/>
      <c r="W564" s="679"/>
      <c r="X564" s="679"/>
      <c r="Y564" s="679"/>
      <c r="Z564" s="679"/>
      <c r="AA564" s="663"/>
      <c r="AB564" s="663"/>
      <c r="AC564" s="663"/>
    </row>
    <row r="565" spans="1:68" ht="27" customHeight="1" x14ac:dyDescent="0.25">
      <c r="A565" s="54" t="s">
        <v>907</v>
      </c>
      <c r="B565" s="54" t="s">
        <v>908</v>
      </c>
      <c r="C565" s="31">
        <v>4301052046</v>
      </c>
      <c r="D565" s="671">
        <v>4640242180533</v>
      </c>
      <c r="E565" s="672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100</v>
      </c>
      <c r="L565" s="32"/>
      <c r="M565" s="33" t="s">
        <v>129</v>
      </c>
      <c r="N565" s="33"/>
      <c r="O565" s="32">
        <v>45</v>
      </c>
      <c r="P565" s="744" t="s">
        <v>909</v>
      </c>
      <c r="Q565" s="674"/>
      <c r="R565" s="674"/>
      <c r="S565" s="674"/>
      <c r="T565" s="675"/>
      <c r="U565" s="34"/>
      <c r="V565" s="34"/>
      <c r="W565" s="35" t="s">
        <v>68</v>
      </c>
      <c r="X565" s="667">
        <v>0</v>
      </c>
      <c r="Y565" s="668">
        <f>IFERROR(IF(X565="",0,CEILING((X565/$H565),1)*$H565),"")</f>
        <v>0</v>
      </c>
      <c r="Z565" s="36" t="str">
        <f>IFERROR(IF(Y565=0,"",ROUNDUP(Y565/H565,0)*0.01898),"")</f>
        <v/>
      </c>
      <c r="AA565" s="56"/>
      <c r="AB565" s="57"/>
      <c r="AC565" s="633" t="s">
        <v>910</v>
      </c>
      <c r="AG565" s="64"/>
      <c r="AJ565" s="68"/>
      <c r="AK565" s="68">
        <v>0</v>
      </c>
      <c r="BB565" s="634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ht="27" customHeight="1" x14ac:dyDescent="0.25">
      <c r="A566" s="54" t="s">
        <v>907</v>
      </c>
      <c r="B566" s="54" t="s">
        <v>911</v>
      </c>
      <c r="C566" s="31">
        <v>4301051887</v>
      </c>
      <c r="D566" s="671">
        <v>4640242180533</v>
      </c>
      <c r="E566" s="672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100</v>
      </c>
      <c r="L566" s="32"/>
      <c r="M566" s="33" t="s">
        <v>106</v>
      </c>
      <c r="N566" s="33"/>
      <c r="O566" s="32">
        <v>45</v>
      </c>
      <c r="P566" s="903" t="s">
        <v>909</v>
      </c>
      <c r="Q566" s="674"/>
      <c r="R566" s="674"/>
      <c r="S566" s="674"/>
      <c r="T566" s="675"/>
      <c r="U566" s="34"/>
      <c r="V566" s="34"/>
      <c r="W566" s="35" t="s">
        <v>68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910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customHeight="1" x14ac:dyDescent="0.25">
      <c r="A567" s="54" t="s">
        <v>912</v>
      </c>
      <c r="B567" s="54" t="s">
        <v>913</v>
      </c>
      <c r="C567" s="31">
        <v>4301051933</v>
      </c>
      <c r="D567" s="671">
        <v>4640242180540</v>
      </c>
      <c r="E567" s="672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100</v>
      </c>
      <c r="L567" s="32"/>
      <c r="M567" s="33" t="s">
        <v>106</v>
      </c>
      <c r="N567" s="33"/>
      <c r="O567" s="32">
        <v>45</v>
      </c>
      <c r="P567" s="945" t="s">
        <v>914</v>
      </c>
      <c r="Q567" s="674"/>
      <c r="R567" s="674"/>
      <c r="S567" s="674"/>
      <c r="T567" s="675"/>
      <c r="U567" s="34"/>
      <c r="V567" s="34"/>
      <c r="W567" s="35" t="s">
        <v>68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915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customHeight="1" x14ac:dyDescent="0.25">
      <c r="A568" s="54" t="s">
        <v>916</v>
      </c>
      <c r="B568" s="54" t="s">
        <v>917</v>
      </c>
      <c r="C568" s="31">
        <v>4301051920</v>
      </c>
      <c r="D568" s="671">
        <v>4640242181233</v>
      </c>
      <c r="E568" s="672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66</v>
      </c>
      <c r="L568" s="32"/>
      <c r="M568" s="33" t="s">
        <v>129</v>
      </c>
      <c r="N568" s="33"/>
      <c r="O568" s="32">
        <v>45</v>
      </c>
      <c r="P568" s="1021" t="s">
        <v>918</v>
      </c>
      <c r="Q568" s="674"/>
      <c r="R568" s="674"/>
      <c r="S568" s="674"/>
      <c r="T568" s="675"/>
      <c r="U568" s="34"/>
      <c r="V568" s="34"/>
      <c r="W568" s="35" t="s">
        <v>68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919</v>
      </c>
      <c r="B569" s="54" t="s">
        <v>920</v>
      </c>
      <c r="C569" s="31">
        <v>4301051921</v>
      </c>
      <c r="D569" s="671">
        <v>4640242181226</v>
      </c>
      <c r="E569" s="672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66</v>
      </c>
      <c r="L569" s="32"/>
      <c r="M569" s="33" t="s">
        <v>129</v>
      </c>
      <c r="N569" s="33"/>
      <c r="O569" s="32">
        <v>45</v>
      </c>
      <c r="P569" s="950" t="s">
        <v>921</v>
      </c>
      <c r="Q569" s="674"/>
      <c r="R569" s="674"/>
      <c r="S569" s="674"/>
      <c r="T569" s="675"/>
      <c r="U569" s="34"/>
      <c r="V569" s="34"/>
      <c r="W569" s="35" t="s">
        <v>68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78"/>
      <c r="B570" s="679"/>
      <c r="C570" s="679"/>
      <c r="D570" s="679"/>
      <c r="E570" s="679"/>
      <c r="F570" s="679"/>
      <c r="G570" s="679"/>
      <c r="H570" s="679"/>
      <c r="I570" s="679"/>
      <c r="J570" s="679"/>
      <c r="K570" s="679"/>
      <c r="L570" s="679"/>
      <c r="M570" s="679"/>
      <c r="N570" s="679"/>
      <c r="O570" s="680"/>
      <c r="P570" s="688" t="s">
        <v>87</v>
      </c>
      <c r="Q570" s="689"/>
      <c r="R570" s="689"/>
      <c r="S570" s="689"/>
      <c r="T570" s="689"/>
      <c r="U570" s="689"/>
      <c r="V570" s="690"/>
      <c r="W570" s="37" t="s">
        <v>88</v>
      </c>
      <c r="X570" s="669">
        <f>IFERROR(X565/H565,"0")+IFERROR(X566/H566,"0")+IFERROR(X567/H567,"0")+IFERROR(X568/H568,"0")+IFERROR(X569/H569,"0")</f>
        <v>0</v>
      </c>
      <c r="Y570" s="669">
        <f>IFERROR(Y565/H565,"0")+IFERROR(Y566/H566,"0")+IFERROR(Y567/H567,"0")+IFERROR(Y568/H568,"0")+IFERROR(Y569/H569,"0")</f>
        <v>0</v>
      </c>
      <c r="Z570" s="669">
        <f>IFERROR(IF(Z565="",0,Z565),"0")+IFERROR(IF(Z566="",0,Z566),"0")+IFERROR(IF(Z567="",0,Z567),"0")+IFERROR(IF(Z568="",0,Z568),"0")+IFERROR(IF(Z569="",0,Z569),"0")</f>
        <v>0</v>
      </c>
      <c r="AA570" s="670"/>
      <c r="AB570" s="670"/>
      <c r="AC570" s="670"/>
    </row>
    <row r="571" spans="1:68" x14ac:dyDescent="0.2">
      <c r="A571" s="679"/>
      <c r="B571" s="679"/>
      <c r="C571" s="679"/>
      <c r="D571" s="679"/>
      <c r="E571" s="679"/>
      <c r="F571" s="679"/>
      <c r="G571" s="679"/>
      <c r="H571" s="679"/>
      <c r="I571" s="679"/>
      <c r="J571" s="679"/>
      <c r="K571" s="679"/>
      <c r="L571" s="679"/>
      <c r="M571" s="679"/>
      <c r="N571" s="679"/>
      <c r="O571" s="680"/>
      <c r="P571" s="688" t="s">
        <v>87</v>
      </c>
      <c r="Q571" s="689"/>
      <c r="R571" s="689"/>
      <c r="S571" s="689"/>
      <c r="T571" s="689"/>
      <c r="U571" s="689"/>
      <c r="V571" s="690"/>
      <c r="W571" s="37" t="s">
        <v>68</v>
      </c>
      <c r="X571" s="669">
        <f>IFERROR(SUM(X565:X569),"0")</f>
        <v>0</v>
      </c>
      <c r="Y571" s="669">
        <f>IFERROR(SUM(Y565:Y569),"0")</f>
        <v>0</v>
      </c>
      <c r="Z571" s="37"/>
      <c r="AA571" s="670"/>
      <c r="AB571" s="670"/>
      <c r="AC571" s="670"/>
    </row>
    <row r="572" spans="1:68" ht="14.25" customHeight="1" x14ac:dyDescent="0.25">
      <c r="A572" s="684" t="s">
        <v>170</v>
      </c>
      <c r="B572" s="679"/>
      <c r="C572" s="679"/>
      <c r="D572" s="679"/>
      <c r="E572" s="679"/>
      <c r="F572" s="679"/>
      <c r="G572" s="679"/>
      <c r="H572" s="679"/>
      <c r="I572" s="679"/>
      <c r="J572" s="679"/>
      <c r="K572" s="679"/>
      <c r="L572" s="679"/>
      <c r="M572" s="679"/>
      <c r="N572" s="679"/>
      <c r="O572" s="679"/>
      <c r="P572" s="679"/>
      <c r="Q572" s="679"/>
      <c r="R572" s="679"/>
      <c r="S572" s="679"/>
      <c r="T572" s="679"/>
      <c r="U572" s="679"/>
      <c r="V572" s="679"/>
      <c r="W572" s="679"/>
      <c r="X572" s="679"/>
      <c r="Y572" s="679"/>
      <c r="Z572" s="679"/>
      <c r="AA572" s="663"/>
      <c r="AB572" s="663"/>
      <c r="AC572" s="663"/>
    </row>
    <row r="573" spans="1:68" ht="27" customHeight="1" x14ac:dyDescent="0.25">
      <c r="A573" s="54" t="s">
        <v>922</v>
      </c>
      <c r="B573" s="54" t="s">
        <v>923</v>
      </c>
      <c r="C573" s="31">
        <v>4301060496</v>
      </c>
      <c r="D573" s="671">
        <v>4640242180120</v>
      </c>
      <c r="E573" s="672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100</v>
      </c>
      <c r="L573" s="32"/>
      <c r="M573" s="33" t="s">
        <v>129</v>
      </c>
      <c r="N573" s="33"/>
      <c r="O573" s="32">
        <v>40</v>
      </c>
      <c r="P573" s="767" t="s">
        <v>924</v>
      </c>
      <c r="Q573" s="674"/>
      <c r="R573" s="674"/>
      <c r="S573" s="674"/>
      <c r="T573" s="675"/>
      <c r="U573" s="34"/>
      <c r="V573" s="34"/>
      <c r="W573" s="35" t="s">
        <v>68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925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customHeight="1" x14ac:dyDescent="0.25">
      <c r="A574" s="54" t="s">
        <v>922</v>
      </c>
      <c r="B574" s="54" t="s">
        <v>926</v>
      </c>
      <c r="C574" s="31">
        <v>4301060485</v>
      </c>
      <c r="D574" s="671">
        <v>4640242180120</v>
      </c>
      <c r="E574" s="672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100</v>
      </c>
      <c r="L574" s="32"/>
      <c r="M574" s="33" t="s">
        <v>106</v>
      </c>
      <c r="N574" s="33"/>
      <c r="O574" s="32">
        <v>40</v>
      </c>
      <c r="P574" s="808" t="s">
        <v>927</v>
      </c>
      <c r="Q574" s="674"/>
      <c r="R574" s="674"/>
      <c r="S574" s="674"/>
      <c r="T574" s="675"/>
      <c r="U574" s="34"/>
      <c r="V574" s="34"/>
      <c r="W574" s="35" t="s">
        <v>68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925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customHeight="1" x14ac:dyDescent="0.25">
      <c r="A575" s="54" t="s">
        <v>928</v>
      </c>
      <c r="B575" s="54" t="s">
        <v>929</v>
      </c>
      <c r="C575" s="31">
        <v>4301060498</v>
      </c>
      <c r="D575" s="671">
        <v>4640242180137</v>
      </c>
      <c r="E575" s="672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100</v>
      </c>
      <c r="L575" s="32"/>
      <c r="M575" s="33" t="s">
        <v>129</v>
      </c>
      <c r="N575" s="33"/>
      <c r="O575" s="32">
        <v>40</v>
      </c>
      <c r="P575" s="973" t="s">
        <v>930</v>
      </c>
      <c r="Q575" s="674"/>
      <c r="R575" s="674"/>
      <c r="S575" s="674"/>
      <c r="T575" s="675"/>
      <c r="U575" s="34"/>
      <c r="V575" s="34"/>
      <c r="W575" s="35" t="s">
        <v>68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931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customHeight="1" x14ac:dyDescent="0.25">
      <c r="A576" s="54" t="s">
        <v>928</v>
      </c>
      <c r="B576" s="54" t="s">
        <v>932</v>
      </c>
      <c r="C576" s="31">
        <v>4301060486</v>
      </c>
      <c r="D576" s="671">
        <v>4640242180137</v>
      </c>
      <c r="E576" s="672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100</v>
      </c>
      <c r="L576" s="32"/>
      <c r="M576" s="33" t="s">
        <v>106</v>
      </c>
      <c r="N576" s="33"/>
      <c r="O576" s="32">
        <v>40</v>
      </c>
      <c r="P576" s="981" t="s">
        <v>933</v>
      </c>
      <c r="Q576" s="674"/>
      <c r="R576" s="674"/>
      <c r="S576" s="674"/>
      <c r="T576" s="675"/>
      <c r="U576" s="34"/>
      <c r="V576" s="34"/>
      <c r="W576" s="35" t="s">
        <v>68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931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8"/>
      <c r="B577" s="679"/>
      <c r="C577" s="679"/>
      <c r="D577" s="679"/>
      <c r="E577" s="679"/>
      <c r="F577" s="679"/>
      <c r="G577" s="679"/>
      <c r="H577" s="679"/>
      <c r="I577" s="679"/>
      <c r="J577" s="679"/>
      <c r="K577" s="679"/>
      <c r="L577" s="679"/>
      <c r="M577" s="679"/>
      <c r="N577" s="679"/>
      <c r="O577" s="680"/>
      <c r="P577" s="688" t="s">
        <v>87</v>
      </c>
      <c r="Q577" s="689"/>
      <c r="R577" s="689"/>
      <c r="S577" s="689"/>
      <c r="T577" s="689"/>
      <c r="U577" s="689"/>
      <c r="V577" s="690"/>
      <c r="W577" s="37" t="s">
        <v>88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x14ac:dyDescent="0.2">
      <c r="A578" s="679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8" t="s">
        <v>87</v>
      </c>
      <c r="Q578" s="689"/>
      <c r="R578" s="689"/>
      <c r="S578" s="689"/>
      <c r="T578" s="689"/>
      <c r="U578" s="689"/>
      <c r="V578" s="690"/>
      <c r="W578" s="37" t="s">
        <v>68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customHeight="1" x14ac:dyDescent="0.25">
      <c r="A579" s="685" t="s">
        <v>934</v>
      </c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79"/>
      <c r="P579" s="679"/>
      <c r="Q579" s="679"/>
      <c r="R579" s="679"/>
      <c r="S579" s="679"/>
      <c r="T579" s="679"/>
      <c r="U579" s="679"/>
      <c r="V579" s="679"/>
      <c r="W579" s="679"/>
      <c r="X579" s="679"/>
      <c r="Y579" s="679"/>
      <c r="Z579" s="679"/>
      <c r="AA579" s="662"/>
      <c r="AB579" s="662"/>
      <c r="AC579" s="662"/>
    </row>
    <row r="580" spans="1:68" ht="14.25" customHeight="1" x14ac:dyDescent="0.25">
      <c r="A580" s="684" t="s">
        <v>97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3"/>
      <c r="AB580" s="663"/>
      <c r="AC580" s="663"/>
    </row>
    <row r="581" spans="1:68" ht="27" customHeight="1" x14ac:dyDescent="0.25">
      <c r="A581" s="54" t="s">
        <v>935</v>
      </c>
      <c r="B581" s="54" t="s">
        <v>936</v>
      </c>
      <c r="C581" s="31">
        <v>4301011951</v>
      </c>
      <c r="D581" s="671">
        <v>4640242180045</v>
      </c>
      <c r="E581" s="672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55</v>
      </c>
      <c r="P581" s="843" t="s">
        <v>937</v>
      </c>
      <c r="Q581" s="674"/>
      <c r="R581" s="674"/>
      <c r="S581" s="674"/>
      <c r="T581" s="675"/>
      <c r="U581" s="34"/>
      <c r="V581" s="34"/>
      <c r="W581" s="35" t="s">
        <v>68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938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8" t="s">
        <v>87</v>
      </c>
      <c r="Q582" s="689"/>
      <c r="R582" s="689"/>
      <c r="S582" s="689"/>
      <c r="T582" s="689"/>
      <c r="U582" s="689"/>
      <c r="V582" s="690"/>
      <c r="W582" s="37" t="s">
        <v>88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8" t="s">
        <v>87</v>
      </c>
      <c r="Q583" s="689"/>
      <c r="R583" s="689"/>
      <c r="S583" s="689"/>
      <c r="T583" s="689"/>
      <c r="U583" s="689"/>
      <c r="V583" s="690"/>
      <c r="W583" s="37" t="s">
        <v>68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customHeight="1" x14ac:dyDescent="0.25">
      <c r="A584" s="684" t="s">
        <v>133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3"/>
      <c r="AB584" s="663"/>
      <c r="AC584" s="663"/>
    </row>
    <row r="585" spans="1:68" ht="27" customHeight="1" x14ac:dyDescent="0.25">
      <c r="A585" s="54" t="s">
        <v>939</v>
      </c>
      <c r="B585" s="54" t="s">
        <v>940</v>
      </c>
      <c r="C585" s="31">
        <v>4301020314</v>
      </c>
      <c r="D585" s="671">
        <v>4640242180090</v>
      </c>
      <c r="E585" s="672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100</v>
      </c>
      <c r="L585" s="32"/>
      <c r="M585" s="33" t="s">
        <v>101</v>
      </c>
      <c r="N585" s="33"/>
      <c r="O585" s="32">
        <v>50</v>
      </c>
      <c r="P585" s="792" t="s">
        <v>941</v>
      </c>
      <c r="Q585" s="674"/>
      <c r="R585" s="674"/>
      <c r="S585" s="674"/>
      <c r="T585" s="675"/>
      <c r="U585" s="34"/>
      <c r="V585" s="34"/>
      <c r="W585" s="35" t="s">
        <v>68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942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8" t="s">
        <v>87</v>
      </c>
      <c r="Q586" s="689"/>
      <c r="R586" s="689"/>
      <c r="S586" s="689"/>
      <c r="T586" s="689"/>
      <c r="U586" s="689"/>
      <c r="V586" s="690"/>
      <c r="W586" s="37" t="s">
        <v>88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8" t="s">
        <v>87</v>
      </c>
      <c r="Q587" s="689"/>
      <c r="R587" s="689"/>
      <c r="S587" s="689"/>
      <c r="T587" s="689"/>
      <c r="U587" s="689"/>
      <c r="V587" s="690"/>
      <c r="W587" s="37" t="s">
        <v>68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customHeight="1" x14ac:dyDescent="0.25">
      <c r="A588" s="684" t="s">
        <v>144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3"/>
      <c r="AB588" s="663"/>
      <c r="AC588" s="663"/>
    </row>
    <row r="589" spans="1:68" ht="27" customHeight="1" x14ac:dyDescent="0.25">
      <c r="A589" s="54" t="s">
        <v>943</v>
      </c>
      <c r="B589" s="54" t="s">
        <v>944</v>
      </c>
      <c r="C589" s="31">
        <v>4301031321</v>
      </c>
      <c r="D589" s="671">
        <v>4640242180076</v>
      </c>
      <c r="E589" s="672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105</v>
      </c>
      <c r="L589" s="32"/>
      <c r="M589" s="33" t="s">
        <v>67</v>
      </c>
      <c r="N589" s="33"/>
      <c r="O589" s="32">
        <v>40</v>
      </c>
      <c r="P589" s="1022" t="s">
        <v>945</v>
      </c>
      <c r="Q589" s="674"/>
      <c r="R589" s="674"/>
      <c r="S589" s="674"/>
      <c r="T589" s="675"/>
      <c r="U589" s="34"/>
      <c r="V589" s="34"/>
      <c r="W589" s="35" t="s">
        <v>68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946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8" t="s">
        <v>87</v>
      </c>
      <c r="Q590" s="689"/>
      <c r="R590" s="689"/>
      <c r="S590" s="689"/>
      <c r="T590" s="689"/>
      <c r="U590" s="689"/>
      <c r="V590" s="690"/>
      <c r="W590" s="37" t="s">
        <v>88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8" t="s">
        <v>87</v>
      </c>
      <c r="Q591" s="689"/>
      <c r="R591" s="689"/>
      <c r="S591" s="689"/>
      <c r="T591" s="689"/>
      <c r="U591" s="689"/>
      <c r="V591" s="690"/>
      <c r="W591" s="37" t="s">
        <v>68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customHeight="1" x14ac:dyDescent="0.25">
      <c r="A592" s="684" t="s">
        <v>63</v>
      </c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679"/>
      <c r="P592" s="679"/>
      <c r="Q592" s="679"/>
      <c r="R592" s="679"/>
      <c r="S592" s="679"/>
      <c r="T592" s="679"/>
      <c r="U592" s="679"/>
      <c r="V592" s="679"/>
      <c r="W592" s="679"/>
      <c r="X592" s="679"/>
      <c r="Y592" s="679"/>
      <c r="Z592" s="679"/>
      <c r="AA592" s="663"/>
      <c r="AB592" s="663"/>
      <c r="AC592" s="663"/>
    </row>
    <row r="593" spans="1:68" ht="27" customHeight="1" x14ac:dyDescent="0.25">
      <c r="A593" s="54" t="s">
        <v>947</v>
      </c>
      <c r="B593" s="54" t="s">
        <v>948</v>
      </c>
      <c r="C593" s="31">
        <v>4301051914</v>
      </c>
      <c r="D593" s="671">
        <v>4640242180113</v>
      </c>
      <c r="E593" s="672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100</v>
      </c>
      <c r="L593" s="32"/>
      <c r="M593" s="33" t="s">
        <v>129</v>
      </c>
      <c r="N593" s="33"/>
      <c r="O593" s="32">
        <v>45</v>
      </c>
      <c r="P593" s="826" t="s">
        <v>949</v>
      </c>
      <c r="Q593" s="674"/>
      <c r="R593" s="674"/>
      <c r="S593" s="674"/>
      <c r="T593" s="675"/>
      <c r="U593" s="34"/>
      <c r="V593" s="34"/>
      <c r="W593" s="35" t="s">
        <v>68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950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x14ac:dyDescent="0.2">
      <c r="A594" s="678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680"/>
      <c r="P594" s="688" t="s">
        <v>87</v>
      </c>
      <c r="Q594" s="689"/>
      <c r="R594" s="689"/>
      <c r="S594" s="689"/>
      <c r="T594" s="689"/>
      <c r="U594" s="689"/>
      <c r="V594" s="690"/>
      <c r="W594" s="37" t="s">
        <v>88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680"/>
      <c r="P595" s="688" t="s">
        <v>87</v>
      </c>
      <c r="Q595" s="689"/>
      <c r="R595" s="689"/>
      <c r="S595" s="689"/>
      <c r="T595" s="689"/>
      <c r="U595" s="689"/>
      <c r="V595" s="690"/>
      <c r="W595" s="37" t="s">
        <v>68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57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854"/>
      <c r="P596" s="831" t="s">
        <v>951</v>
      </c>
      <c r="Q596" s="805"/>
      <c r="R596" s="805"/>
      <c r="S596" s="805"/>
      <c r="T596" s="805"/>
      <c r="U596" s="805"/>
      <c r="V596" s="806"/>
      <c r="W596" s="37" t="s">
        <v>68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3847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3917.2000000000003</v>
      </c>
      <c r="Z596" s="37"/>
      <c r="AA596" s="670"/>
      <c r="AB596" s="670"/>
      <c r="AC596" s="670"/>
    </row>
    <row r="597" spans="1:68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854"/>
      <c r="P597" s="831" t="s">
        <v>952</v>
      </c>
      <c r="Q597" s="805"/>
      <c r="R597" s="805"/>
      <c r="S597" s="805"/>
      <c r="T597" s="805"/>
      <c r="U597" s="805"/>
      <c r="V597" s="806"/>
      <c r="W597" s="37" t="s">
        <v>68</v>
      </c>
      <c r="X597" s="669">
        <f>IFERROR(SUM(BM22:BM593),"0")</f>
        <v>4045.021339450715</v>
      </c>
      <c r="Y597" s="669">
        <f>IFERROR(SUM(BN22:BN593),"0")</f>
        <v>4120.491</v>
      </c>
      <c r="Z597" s="37"/>
      <c r="AA597" s="670"/>
      <c r="AB597" s="670"/>
      <c r="AC597" s="670"/>
    </row>
    <row r="598" spans="1:68" x14ac:dyDescent="0.2">
      <c r="A598" s="679"/>
      <c r="B598" s="679"/>
      <c r="C598" s="679"/>
      <c r="D598" s="679"/>
      <c r="E598" s="679"/>
      <c r="F598" s="679"/>
      <c r="G598" s="679"/>
      <c r="H598" s="679"/>
      <c r="I598" s="679"/>
      <c r="J598" s="679"/>
      <c r="K598" s="679"/>
      <c r="L598" s="679"/>
      <c r="M598" s="679"/>
      <c r="N598" s="679"/>
      <c r="O598" s="854"/>
      <c r="P598" s="831" t="s">
        <v>953</v>
      </c>
      <c r="Q598" s="805"/>
      <c r="R598" s="805"/>
      <c r="S598" s="805"/>
      <c r="T598" s="805"/>
      <c r="U598" s="805"/>
      <c r="V598" s="806"/>
      <c r="W598" s="37" t="s">
        <v>954</v>
      </c>
      <c r="X598" s="38">
        <f>ROUNDUP(SUM(BO22:BO593),0)</f>
        <v>7</v>
      </c>
      <c r="Y598" s="38">
        <f>ROUNDUP(SUM(BP22:BP593),0)</f>
        <v>7</v>
      </c>
      <c r="Z598" s="37"/>
      <c r="AA598" s="670"/>
      <c r="AB598" s="670"/>
      <c r="AC598" s="670"/>
    </row>
    <row r="599" spans="1:68" x14ac:dyDescent="0.2">
      <c r="A599" s="679"/>
      <c r="B599" s="679"/>
      <c r="C599" s="679"/>
      <c r="D599" s="679"/>
      <c r="E599" s="679"/>
      <c r="F599" s="679"/>
      <c r="G599" s="679"/>
      <c r="H599" s="679"/>
      <c r="I599" s="679"/>
      <c r="J599" s="679"/>
      <c r="K599" s="679"/>
      <c r="L599" s="679"/>
      <c r="M599" s="679"/>
      <c r="N599" s="679"/>
      <c r="O599" s="854"/>
      <c r="P599" s="831" t="s">
        <v>955</v>
      </c>
      <c r="Q599" s="805"/>
      <c r="R599" s="805"/>
      <c r="S599" s="805"/>
      <c r="T599" s="805"/>
      <c r="U599" s="805"/>
      <c r="V599" s="806"/>
      <c r="W599" s="37" t="s">
        <v>68</v>
      </c>
      <c r="X599" s="669">
        <f>GrossWeightTotal+PalletQtyTotal*25</f>
        <v>4220.0213394507155</v>
      </c>
      <c r="Y599" s="669">
        <f>GrossWeightTotalR+PalletQtyTotalR*25</f>
        <v>4295.491</v>
      </c>
      <c r="Z599" s="37"/>
      <c r="AA599" s="670"/>
      <c r="AB599" s="670"/>
      <c r="AC599" s="670"/>
    </row>
    <row r="600" spans="1:68" x14ac:dyDescent="0.2">
      <c r="A600" s="679"/>
      <c r="B600" s="679"/>
      <c r="C600" s="679"/>
      <c r="D600" s="679"/>
      <c r="E600" s="679"/>
      <c r="F600" s="679"/>
      <c r="G600" s="679"/>
      <c r="H600" s="679"/>
      <c r="I600" s="679"/>
      <c r="J600" s="679"/>
      <c r="K600" s="679"/>
      <c r="L600" s="679"/>
      <c r="M600" s="679"/>
      <c r="N600" s="679"/>
      <c r="O600" s="854"/>
      <c r="P600" s="831" t="s">
        <v>956</v>
      </c>
      <c r="Q600" s="805"/>
      <c r="R600" s="805"/>
      <c r="S600" s="805"/>
      <c r="T600" s="805"/>
      <c r="U600" s="805"/>
      <c r="V600" s="806"/>
      <c r="W600" s="37" t="s">
        <v>954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589.83561597785751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603</v>
      </c>
      <c r="Z600" s="37"/>
      <c r="AA600" s="670"/>
      <c r="AB600" s="670"/>
      <c r="AC600" s="670"/>
    </row>
    <row r="601" spans="1:68" ht="14.25" customHeight="1" x14ac:dyDescent="0.2">
      <c r="A601" s="679"/>
      <c r="B601" s="679"/>
      <c r="C601" s="679"/>
      <c r="D601" s="679"/>
      <c r="E601" s="679"/>
      <c r="F601" s="679"/>
      <c r="G601" s="679"/>
      <c r="H601" s="679"/>
      <c r="I601" s="679"/>
      <c r="J601" s="679"/>
      <c r="K601" s="679"/>
      <c r="L601" s="679"/>
      <c r="M601" s="679"/>
      <c r="N601" s="679"/>
      <c r="O601" s="854"/>
      <c r="P601" s="831" t="s">
        <v>957</v>
      </c>
      <c r="Q601" s="805"/>
      <c r="R601" s="805"/>
      <c r="S601" s="805"/>
      <c r="T601" s="805"/>
      <c r="U601" s="805"/>
      <c r="V601" s="806"/>
      <c r="W601" s="39" t="s">
        <v>958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7.2490799999999993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959</v>
      </c>
      <c r="B603" s="664" t="s">
        <v>62</v>
      </c>
      <c r="C603" s="698" t="s">
        <v>95</v>
      </c>
      <c r="D603" s="758"/>
      <c r="E603" s="758"/>
      <c r="F603" s="758"/>
      <c r="G603" s="758"/>
      <c r="H603" s="759"/>
      <c r="I603" s="698" t="s">
        <v>279</v>
      </c>
      <c r="J603" s="758"/>
      <c r="K603" s="758"/>
      <c r="L603" s="758"/>
      <c r="M603" s="758"/>
      <c r="N603" s="758"/>
      <c r="O603" s="758"/>
      <c r="P603" s="758"/>
      <c r="Q603" s="758"/>
      <c r="R603" s="758"/>
      <c r="S603" s="758"/>
      <c r="T603" s="758"/>
      <c r="U603" s="758"/>
      <c r="V603" s="759"/>
      <c r="W603" s="698" t="s">
        <v>597</v>
      </c>
      <c r="X603" s="759"/>
      <c r="Y603" s="698" t="s">
        <v>669</v>
      </c>
      <c r="Z603" s="758"/>
      <c r="AA603" s="758"/>
      <c r="AB603" s="759"/>
      <c r="AC603" s="664" t="s">
        <v>744</v>
      </c>
      <c r="AD603" s="698" t="s">
        <v>841</v>
      </c>
      <c r="AE603" s="759"/>
      <c r="AF603" s="665"/>
    </row>
    <row r="604" spans="1:68" ht="14.25" customHeight="1" thickTop="1" x14ac:dyDescent="0.2">
      <c r="A604" s="943" t="s">
        <v>960</v>
      </c>
      <c r="B604" s="698" t="s">
        <v>62</v>
      </c>
      <c r="C604" s="698" t="s">
        <v>96</v>
      </c>
      <c r="D604" s="698" t="s">
        <v>115</v>
      </c>
      <c r="E604" s="698" t="s">
        <v>178</v>
      </c>
      <c r="F604" s="698" t="s">
        <v>209</v>
      </c>
      <c r="G604" s="698" t="s">
        <v>252</v>
      </c>
      <c r="H604" s="698" t="s">
        <v>95</v>
      </c>
      <c r="I604" s="698" t="s">
        <v>280</v>
      </c>
      <c r="J604" s="698" t="s">
        <v>326</v>
      </c>
      <c r="K604" s="698" t="s">
        <v>387</v>
      </c>
      <c r="L604" s="698" t="s">
        <v>434</v>
      </c>
      <c r="M604" s="698" t="s">
        <v>452</v>
      </c>
      <c r="N604" s="665"/>
      <c r="O604" s="698" t="s">
        <v>456</v>
      </c>
      <c r="P604" s="698" t="s">
        <v>469</v>
      </c>
      <c r="Q604" s="698" t="s">
        <v>483</v>
      </c>
      <c r="R604" s="698" t="s">
        <v>493</v>
      </c>
      <c r="S604" s="698" t="s">
        <v>497</v>
      </c>
      <c r="T604" s="698" t="s">
        <v>505</v>
      </c>
      <c r="U604" s="698" t="s">
        <v>510</v>
      </c>
      <c r="V604" s="698" t="s">
        <v>584</v>
      </c>
      <c r="W604" s="698" t="s">
        <v>598</v>
      </c>
      <c r="X604" s="698" t="s">
        <v>639</v>
      </c>
      <c r="Y604" s="698" t="s">
        <v>670</v>
      </c>
      <c r="Z604" s="698" t="s">
        <v>709</v>
      </c>
      <c r="AA604" s="698" t="s">
        <v>729</v>
      </c>
      <c r="AB604" s="698" t="s">
        <v>737</v>
      </c>
      <c r="AC604" s="698" t="s">
        <v>744</v>
      </c>
      <c r="AD604" s="698" t="s">
        <v>841</v>
      </c>
      <c r="AE604" s="698" t="s">
        <v>934</v>
      </c>
      <c r="AF604" s="665"/>
    </row>
    <row r="605" spans="1:68" ht="13.5" customHeight="1" thickBot="1" x14ac:dyDescent="0.25">
      <c r="A605" s="944"/>
      <c r="B605" s="699"/>
      <c r="C605" s="699"/>
      <c r="D605" s="699"/>
      <c r="E605" s="699"/>
      <c r="F605" s="699"/>
      <c r="G605" s="699"/>
      <c r="H605" s="699"/>
      <c r="I605" s="699"/>
      <c r="J605" s="699"/>
      <c r="K605" s="699"/>
      <c r="L605" s="699"/>
      <c r="M605" s="699"/>
      <c r="N605" s="665"/>
      <c r="O605" s="699"/>
      <c r="P605" s="699"/>
      <c r="Q605" s="699"/>
      <c r="R605" s="699"/>
      <c r="S605" s="699"/>
      <c r="T605" s="699"/>
      <c r="U605" s="699"/>
      <c r="V605" s="699"/>
      <c r="W605" s="699"/>
      <c r="X605" s="699"/>
      <c r="Y605" s="699"/>
      <c r="Z605" s="699"/>
      <c r="AA605" s="699"/>
      <c r="AB605" s="699"/>
      <c r="AC605" s="699"/>
      <c r="AD605" s="699"/>
      <c r="AE605" s="699"/>
      <c r="AF605" s="665"/>
    </row>
    <row r="606" spans="1:68" ht="18" customHeight="1" thickTop="1" thickBot="1" x14ac:dyDescent="0.25">
      <c r="A606" s="40" t="s">
        <v>961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44.400000000000006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227.99999999999997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94.5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404.1</v>
      </c>
      <c r="G606" s="46">
        <f>IFERROR(Y135*1,"0")+IFERROR(Y136*1,"0")+IFERROR(Y140*1,"0")+IFERROR(Y141*1,"0")+IFERROR(Y145*1,"0")+IFERROR(Y146*1,"0")</f>
        <v>0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21.6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429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58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5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168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0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202.2</v>
      </c>
      <c r="V606" s="46">
        <f>IFERROR(Y371*1,"0")+IFERROR(Y375*1,"0")+IFERROR(Y376*1,"0")+IFERROR(Y377*1,"0")</f>
        <v>0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2232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5.4</v>
      </c>
      <c r="Z606" s="46">
        <f>IFERROR(Y457*1,"0")+IFERROR(Y458*1,"0")+IFERROR(Y462*1,"0")+IFERROR(Y463*1,"0")+IFERROR(Y464*1,"0")+IFERROR(Y465*1,"0")</f>
        <v>0</v>
      </c>
      <c r="AA606" s="46">
        <f>IFERROR(Y470*1,"0")+IFERROR(Y471*1,"0")</f>
        <v>0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30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0</v>
      </c>
      <c r="AE606" s="46">
        <f>IFERROR(Y581*1,"0")+IFERROR(Y585*1,"0")+IFERROR(Y589*1,"0")+IFERROR(Y593*1,"0")</f>
        <v>0</v>
      </c>
      <c r="AF606" s="665"/>
    </row>
  </sheetData>
  <sheetProtection algorithmName="SHA-512" hashValue="qlLrFFM+V7kSXiPC1yeprbDHDzPTafhRc2xwWvVWL0r544X+q1HClL9hwoGs8v0fbWT1mAFoENYEUy8KkhQ/vQ==" saltValue="c2F5XqobckiW08RDR+S4g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62">
    <mergeCell ref="P598:V598"/>
    <mergeCell ref="P338:T338"/>
    <mergeCell ref="D515:E515"/>
    <mergeCell ref="A479:Z479"/>
    <mergeCell ref="D344:E344"/>
    <mergeCell ref="D471:E471"/>
    <mergeCell ref="D173:E173"/>
    <mergeCell ref="D542:E542"/>
    <mergeCell ref="P71:T71"/>
    <mergeCell ref="D17:E18"/>
    <mergeCell ref="D123:E123"/>
    <mergeCell ref="P307:T307"/>
    <mergeCell ref="P444:T444"/>
    <mergeCell ref="P500:T500"/>
    <mergeCell ref="D50:E50"/>
    <mergeCell ref="P58:T58"/>
    <mergeCell ref="X17:X18"/>
    <mergeCell ref="D44:E44"/>
    <mergeCell ref="D286:E286"/>
    <mergeCell ref="A596:O601"/>
    <mergeCell ref="Y17:Y18"/>
    <mergeCell ref="P124:T124"/>
    <mergeCell ref="U17:V17"/>
    <mergeCell ref="A502:O503"/>
    <mergeCell ref="P163:V163"/>
    <mergeCell ref="A8:C8"/>
    <mergeCell ref="P360:T360"/>
    <mergeCell ref="P595:V595"/>
    <mergeCell ref="A477:O478"/>
    <mergeCell ref="P138:V138"/>
    <mergeCell ref="P151:T151"/>
    <mergeCell ref="A137:O138"/>
    <mergeCell ref="D566:E566"/>
    <mergeCell ref="A128:Z128"/>
    <mergeCell ref="D97:E97"/>
    <mergeCell ref="A268:O269"/>
    <mergeCell ref="A10:C10"/>
    <mergeCell ref="P361:V361"/>
    <mergeCell ref="A484:Z484"/>
    <mergeCell ref="P218:T218"/>
    <mergeCell ref="P161:T161"/>
    <mergeCell ref="P69:V69"/>
    <mergeCell ref="A192:Z192"/>
    <mergeCell ref="A21:Z21"/>
    <mergeCell ref="D184:E184"/>
    <mergeCell ref="P505:T505"/>
    <mergeCell ref="A57:Z57"/>
    <mergeCell ref="P590:V590"/>
    <mergeCell ref="D121:E121"/>
    <mergeCell ref="P296:V296"/>
    <mergeCell ref="P507:T507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A504:Z504"/>
    <mergeCell ref="P308:V308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P383:T383"/>
    <mergeCell ref="D522:E522"/>
    <mergeCell ref="A142:O143"/>
    <mergeCell ref="P60:T60"/>
    <mergeCell ref="D239:E239"/>
    <mergeCell ref="D266:E266"/>
    <mergeCell ref="P174:T174"/>
    <mergeCell ref="D95:E95"/>
    <mergeCell ref="P447:T447"/>
    <mergeCell ref="D49:E49"/>
    <mergeCell ref="P199:T199"/>
    <mergeCell ref="D120:E120"/>
    <mergeCell ref="A315:Z315"/>
    <mergeCell ref="P497:T497"/>
    <mergeCell ref="P290:V290"/>
    <mergeCell ref="P568:T568"/>
    <mergeCell ref="D278:E278"/>
    <mergeCell ref="D549:E549"/>
    <mergeCell ref="D107:E107"/>
    <mergeCell ref="D576:E576"/>
    <mergeCell ref="P589:T589"/>
    <mergeCell ref="A552:O553"/>
    <mergeCell ref="P288:T288"/>
    <mergeCell ref="D234:E234"/>
    <mergeCell ref="P65:T65"/>
    <mergeCell ref="P136:T136"/>
    <mergeCell ref="P263:T263"/>
    <mergeCell ref="D244:E244"/>
    <mergeCell ref="P228:T228"/>
    <mergeCell ref="P499:T499"/>
    <mergeCell ref="D171:E171"/>
    <mergeCell ref="D336:E336"/>
    <mergeCell ref="P372:V372"/>
    <mergeCell ref="P385:T385"/>
    <mergeCell ref="D331:E331"/>
    <mergeCell ref="C603:H603"/>
    <mergeCell ref="P486:T486"/>
    <mergeCell ref="P75:T75"/>
    <mergeCell ref="P317:T317"/>
    <mergeCell ref="P146:T146"/>
    <mergeCell ref="D223:E223"/>
    <mergeCell ref="D279:E279"/>
    <mergeCell ref="D521:E521"/>
    <mergeCell ref="P121:T121"/>
    <mergeCell ref="P357:T357"/>
    <mergeCell ref="D23:E23"/>
    <mergeCell ref="P515:T515"/>
    <mergeCell ref="P604:P605"/>
    <mergeCell ref="P344:T344"/>
    <mergeCell ref="A20:Z20"/>
    <mergeCell ref="P300:V300"/>
    <mergeCell ref="H604:H605"/>
    <mergeCell ref="D452:E452"/>
    <mergeCell ref="D265:E265"/>
    <mergeCell ref="P431:V431"/>
    <mergeCell ref="D216:E216"/>
    <mergeCell ref="D550:E550"/>
    <mergeCell ref="P123:T123"/>
    <mergeCell ref="A554:Z554"/>
    <mergeCell ref="P529:V529"/>
    <mergeCell ref="A112:Z112"/>
    <mergeCell ref="D218:E218"/>
    <mergeCell ref="P137:V137"/>
    <mergeCell ref="A258:O259"/>
    <mergeCell ref="P197:V197"/>
    <mergeCell ref="A320:Z320"/>
    <mergeCell ref="P587:V587"/>
    <mergeCell ref="P599:V599"/>
    <mergeCell ref="AD17:AF18"/>
    <mergeCell ref="A481:O482"/>
    <mergeCell ref="P142:V142"/>
    <mergeCell ref="D101:E101"/>
    <mergeCell ref="P403:V403"/>
    <mergeCell ref="P378:V378"/>
    <mergeCell ref="P117:V117"/>
    <mergeCell ref="D76:E76"/>
    <mergeCell ref="P55:V55"/>
    <mergeCell ref="F5:G5"/>
    <mergeCell ref="P169:V169"/>
    <mergeCell ref="P467:V467"/>
    <mergeCell ref="P67:T67"/>
    <mergeCell ref="D430:E430"/>
    <mergeCell ref="D175:E175"/>
    <mergeCell ref="P253:T253"/>
    <mergeCell ref="D392:E392"/>
    <mergeCell ref="D221:E221"/>
    <mergeCell ref="P82:T82"/>
    <mergeCell ref="V11:W11"/>
    <mergeCell ref="A592:Z592"/>
    <mergeCell ref="D457:E457"/>
    <mergeCell ref="P68:V68"/>
    <mergeCell ref="A64:Z64"/>
    <mergeCell ref="P432:V432"/>
    <mergeCell ref="P439:T439"/>
    <mergeCell ref="D249:E249"/>
    <mergeCell ref="P262:T262"/>
    <mergeCell ref="D547:E547"/>
    <mergeCell ref="P524:V524"/>
    <mergeCell ref="A83:O84"/>
    <mergeCell ref="D589:E589"/>
    <mergeCell ref="D560:E560"/>
    <mergeCell ref="P2:W3"/>
    <mergeCell ref="P298:T298"/>
    <mergeCell ref="D437:E437"/>
    <mergeCell ref="D508:E508"/>
    <mergeCell ref="P347:T347"/>
    <mergeCell ref="D539:E539"/>
    <mergeCell ref="A170:Z170"/>
    <mergeCell ref="P54:T54"/>
    <mergeCell ref="D228:E228"/>
    <mergeCell ref="P412:T412"/>
    <mergeCell ref="A43:Z43"/>
    <mergeCell ref="D575:E575"/>
    <mergeCell ref="D526:E526"/>
    <mergeCell ref="D10:E10"/>
    <mergeCell ref="P135:T135"/>
    <mergeCell ref="F10:G10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P303:V303"/>
    <mergeCell ref="N17:N18"/>
    <mergeCell ref="P132:V132"/>
    <mergeCell ref="Q5:R5"/>
    <mergeCell ref="F17:F18"/>
    <mergeCell ref="P72:T72"/>
    <mergeCell ref="F604:F605"/>
    <mergeCell ref="P463:T463"/>
    <mergeCell ref="D384:E384"/>
    <mergeCell ref="D151:E151"/>
    <mergeCell ref="P157:T157"/>
    <mergeCell ref="AD603:AE603"/>
    <mergeCell ref="P428:V428"/>
    <mergeCell ref="P49:T49"/>
    <mergeCell ref="A110:O111"/>
    <mergeCell ref="P278:T278"/>
    <mergeCell ref="P107:T107"/>
    <mergeCell ref="P576:T576"/>
    <mergeCell ref="P101:T101"/>
    <mergeCell ref="D557:E557"/>
    <mergeCell ref="P465:T465"/>
    <mergeCell ref="D386:E386"/>
    <mergeCell ref="D513:E513"/>
    <mergeCell ref="P250:V250"/>
    <mergeCell ref="D215:E215"/>
    <mergeCell ref="P63:V63"/>
    <mergeCell ref="P415:T415"/>
    <mergeCell ref="A168:O169"/>
    <mergeCell ref="A531:Z531"/>
    <mergeCell ref="A409:Z409"/>
    <mergeCell ref="A469:Z469"/>
    <mergeCell ref="P336:T336"/>
    <mergeCell ref="P131:V131"/>
    <mergeCell ref="P187:V187"/>
    <mergeCell ref="P258:V258"/>
    <mergeCell ref="A453:O454"/>
    <mergeCell ref="A248:Z248"/>
    <mergeCell ref="P430:T430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A293:Z293"/>
    <mergeCell ref="P268:V268"/>
    <mergeCell ref="D389:E389"/>
    <mergeCell ref="A318:O319"/>
    <mergeCell ref="P560:T560"/>
    <mergeCell ref="P176:T176"/>
    <mergeCell ref="P114:T114"/>
    <mergeCell ref="D155:E155"/>
    <mergeCell ref="D22:E22"/>
    <mergeCell ref="A62:O63"/>
    <mergeCell ref="A455:Z455"/>
    <mergeCell ref="A333:O334"/>
    <mergeCell ref="P470:T470"/>
    <mergeCell ref="P575:T575"/>
    <mergeCell ref="D447:E447"/>
    <mergeCell ref="D385:E385"/>
    <mergeCell ref="A284:Z284"/>
    <mergeCell ref="P178:T178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A461:Z461"/>
    <mergeCell ref="D288:E288"/>
    <mergeCell ref="P148:V148"/>
    <mergeCell ref="P59:T59"/>
    <mergeCell ref="P130:T130"/>
    <mergeCell ref="P421:V421"/>
    <mergeCell ref="A271:Z271"/>
    <mergeCell ref="D136:E136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490:T490"/>
    <mergeCell ref="P346:T346"/>
    <mergeCell ref="D227:E227"/>
    <mergeCell ref="A102:O103"/>
    <mergeCell ref="P547:T547"/>
    <mergeCell ref="D257:E257"/>
    <mergeCell ref="H5:M5"/>
    <mergeCell ref="G604:G605"/>
    <mergeCell ref="P473:V473"/>
    <mergeCell ref="P158:V158"/>
    <mergeCell ref="I604:I605"/>
    <mergeCell ref="A154:Z154"/>
    <mergeCell ref="A214:Z214"/>
    <mergeCell ref="D439:E439"/>
    <mergeCell ref="A604:A605"/>
    <mergeCell ref="P567:T567"/>
    <mergeCell ref="A456:Z456"/>
    <mergeCell ref="P396:T396"/>
    <mergeCell ref="D317:E317"/>
    <mergeCell ref="A306:Z306"/>
    <mergeCell ref="D146:E146"/>
    <mergeCell ref="D6:M6"/>
    <mergeCell ref="P175:T175"/>
    <mergeCell ref="D540:E540"/>
    <mergeCell ref="A85:Z85"/>
    <mergeCell ref="P502:V502"/>
    <mergeCell ref="P569:T569"/>
    <mergeCell ref="D441:E441"/>
    <mergeCell ref="D512:E512"/>
    <mergeCell ref="P227:T227"/>
    <mergeCell ref="D506:E506"/>
    <mergeCell ref="P106:T106"/>
    <mergeCell ref="P177:T177"/>
    <mergeCell ref="P93:T93"/>
    <mergeCell ref="D256:E256"/>
    <mergeCell ref="D207:E207"/>
    <mergeCell ref="P462:T462"/>
    <mergeCell ref="D383:E383"/>
    <mergeCell ref="V6:W9"/>
    <mergeCell ref="D199:E199"/>
    <mergeCell ref="P38:T38"/>
    <mergeCell ref="D497:E497"/>
    <mergeCell ref="D364:E364"/>
    <mergeCell ref="A348:O349"/>
    <mergeCell ref="A299:O300"/>
    <mergeCell ref="P541:T541"/>
    <mergeCell ref="D413:E413"/>
    <mergeCell ref="P345:T345"/>
    <mergeCell ref="D217:E217"/>
    <mergeCell ref="P109:T109"/>
    <mergeCell ref="P222:T222"/>
    <mergeCell ref="D65:E65"/>
    <mergeCell ref="P22:T22"/>
    <mergeCell ref="A580:Z580"/>
    <mergeCell ref="P40:T40"/>
    <mergeCell ref="D415:E415"/>
    <mergeCell ref="P334:V334"/>
    <mergeCell ref="P394:V394"/>
    <mergeCell ref="P257:T257"/>
    <mergeCell ref="P570:V570"/>
    <mergeCell ref="P80:T80"/>
    <mergeCell ref="D194:E194"/>
    <mergeCell ref="Z17:Z18"/>
    <mergeCell ref="P29:V29"/>
    <mergeCell ref="P563:V563"/>
    <mergeCell ref="A283:Z283"/>
    <mergeCell ref="D446:E446"/>
    <mergeCell ref="D541:E541"/>
    <mergeCell ref="D222:E222"/>
    <mergeCell ref="A529:O530"/>
    <mergeCell ref="AA17:AA18"/>
    <mergeCell ref="P552:V552"/>
    <mergeCell ref="H10:M10"/>
    <mergeCell ref="A433:Z433"/>
    <mergeCell ref="AC17:AC18"/>
    <mergeCell ref="P279:T279"/>
    <mergeCell ref="P108:T108"/>
    <mergeCell ref="D89:E89"/>
    <mergeCell ref="P254:T254"/>
    <mergeCell ref="P147:V147"/>
    <mergeCell ref="W603:X603"/>
    <mergeCell ref="P512:T512"/>
    <mergeCell ref="P487:T487"/>
    <mergeCell ref="A435:Z435"/>
    <mergeCell ref="P343:T343"/>
    <mergeCell ref="A533:O534"/>
    <mergeCell ref="P256:T256"/>
    <mergeCell ref="AB17:AB18"/>
    <mergeCell ref="G17:G18"/>
    <mergeCell ref="P526:T526"/>
    <mergeCell ref="A594:O595"/>
    <mergeCell ref="A323:O324"/>
    <mergeCell ref="A152:O153"/>
    <mergeCell ref="M17:M18"/>
    <mergeCell ref="O17:O18"/>
    <mergeCell ref="A104:Z104"/>
    <mergeCell ref="A297:Z297"/>
    <mergeCell ref="P481:V481"/>
    <mergeCell ref="A483:Z483"/>
    <mergeCell ref="D177:E177"/>
    <mergeCell ref="A313:O314"/>
    <mergeCell ref="P281:V281"/>
    <mergeCell ref="H17:H18"/>
    <mergeCell ref="P532:T532"/>
    <mergeCell ref="AA604:AA605"/>
    <mergeCell ref="P559:T559"/>
    <mergeCell ref="P388:T388"/>
    <mergeCell ref="AC604:AC605"/>
    <mergeCell ref="D465:E465"/>
    <mergeCell ref="D440:E440"/>
    <mergeCell ref="P332:T332"/>
    <mergeCell ref="P217:T217"/>
    <mergeCell ref="D204:E204"/>
    <mergeCell ref="D489:E489"/>
    <mergeCell ref="A252:Z252"/>
    <mergeCell ref="A570:O571"/>
    <mergeCell ref="P27:T27"/>
    <mergeCell ref="D75:E75"/>
    <mergeCell ref="P247:V247"/>
    <mergeCell ref="P561:T561"/>
    <mergeCell ref="P390:T390"/>
    <mergeCell ref="P241:V241"/>
    <mergeCell ref="D206:E206"/>
    <mergeCell ref="P41:V41"/>
    <mergeCell ref="D298:E298"/>
    <mergeCell ref="P404:V404"/>
    <mergeCell ref="P327:T327"/>
    <mergeCell ref="P156:T156"/>
    <mergeCell ref="P56:V56"/>
    <mergeCell ref="A378:O379"/>
    <mergeCell ref="P341:V341"/>
    <mergeCell ref="D39:E39"/>
    <mergeCell ref="A160:Z160"/>
    <mergeCell ref="P577:V577"/>
    <mergeCell ref="J9:M9"/>
    <mergeCell ref="P141:T141"/>
    <mergeCell ref="P454:V454"/>
    <mergeCell ref="P377:T377"/>
    <mergeCell ref="P206:T206"/>
    <mergeCell ref="D491:E491"/>
    <mergeCell ref="P233:T233"/>
    <mergeCell ref="D347:E347"/>
    <mergeCell ref="D176:E176"/>
    <mergeCell ref="D285:E285"/>
    <mergeCell ref="D114:E114"/>
    <mergeCell ref="P37:T37"/>
    <mergeCell ref="P540:T540"/>
    <mergeCell ref="D412:E412"/>
    <mergeCell ref="P562:V562"/>
    <mergeCell ref="A273:O274"/>
    <mergeCell ref="P441:T441"/>
    <mergeCell ref="D51:E51"/>
    <mergeCell ref="P235:T235"/>
    <mergeCell ref="P506:T506"/>
    <mergeCell ref="D476:E476"/>
    <mergeCell ref="A380:Z380"/>
    <mergeCell ref="P213:V213"/>
    <mergeCell ref="P207:T207"/>
    <mergeCell ref="A131:O132"/>
    <mergeCell ref="P28:V28"/>
    <mergeCell ref="A431:O432"/>
    <mergeCell ref="P152:V152"/>
    <mergeCell ref="P330:T330"/>
    <mergeCell ref="A275:Z275"/>
    <mergeCell ref="D140:E140"/>
    <mergeCell ref="P517:T517"/>
    <mergeCell ref="A13:M13"/>
    <mergeCell ref="A325:Z325"/>
    <mergeCell ref="R604:R605"/>
    <mergeCell ref="D61:E61"/>
    <mergeCell ref="P115:T115"/>
    <mergeCell ref="D254:E254"/>
    <mergeCell ref="A15:M15"/>
    <mergeCell ref="P238:T238"/>
    <mergeCell ref="D490:E490"/>
    <mergeCell ref="P600:V600"/>
    <mergeCell ref="D346:E346"/>
    <mergeCell ref="P594:V594"/>
    <mergeCell ref="A133:Z133"/>
    <mergeCell ref="A193:Z193"/>
    <mergeCell ref="D125:E125"/>
    <mergeCell ref="P375:T375"/>
    <mergeCell ref="P204:T204"/>
    <mergeCell ref="P446:T446"/>
    <mergeCell ref="A369:Z369"/>
    <mergeCell ref="A198:Z198"/>
    <mergeCell ref="P440:T440"/>
    <mergeCell ref="A418:Z418"/>
    <mergeCell ref="P179:T179"/>
    <mergeCell ref="A356:Z356"/>
    <mergeCell ref="D581:E581"/>
    <mergeCell ref="P538:T538"/>
    <mergeCell ref="D519:E519"/>
    <mergeCell ref="A90:O91"/>
    <mergeCell ref="P566:T566"/>
    <mergeCell ref="A511:Z511"/>
    <mergeCell ref="D438:E438"/>
    <mergeCell ref="D267:E267"/>
    <mergeCell ref="U604:U605"/>
    <mergeCell ref="P245:T245"/>
    <mergeCell ref="P516:T516"/>
    <mergeCell ref="P126:V126"/>
    <mergeCell ref="P543:T543"/>
    <mergeCell ref="D424:E424"/>
    <mergeCell ref="P491:T491"/>
    <mergeCell ref="P24:T24"/>
    <mergeCell ref="P322:T322"/>
    <mergeCell ref="P211:T211"/>
    <mergeCell ref="P89:T89"/>
    <mergeCell ref="P558:T558"/>
    <mergeCell ref="A577:O578"/>
    <mergeCell ref="D59:E59"/>
    <mergeCell ref="D178:E178"/>
    <mergeCell ref="P225:V225"/>
    <mergeCell ref="D172:E172"/>
    <mergeCell ref="P88:T88"/>
    <mergeCell ref="P51:T51"/>
    <mergeCell ref="P26:T26"/>
    <mergeCell ref="D463:E463"/>
    <mergeCell ref="A584:Z584"/>
    <mergeCell ref="A261:Z261"/>
    <mergeCell ref="D555:E555"/>
    <mergeCell ref="P534:V534"/>
    <mergeCell ref="A92:Z92"/>
    <mergeCell ref="A546:Z546"/>
    <mergeCell ref="A350:Z350"/>
    <mergeCell ref="P313:V313"/>
    <mergeCell ref="P373:V373"/>
    <mergeCell ref="P202:V202"/>
    <mergeCell ref="D425:E425"/>
    <mergeCell ref="D371:E371"/>
    <mergeCell ref="P84:V84"/>
    <mergeCell ref="A586:O587"/>
    <mergeCell ref="P387:T387"/>
    <mergeCell ref="P314:V314"/>
    <mergeCell ref="A381:Z381"/>
    <mergeCell ref="P514:T514"/>
    <mergeCell ref="A582:O583"/>
    <mergeCell ref="P216:T216"/>
    <mergeCell ref="A139:Z139"/>
    <mergeCell ref="P489:T489"/>
    <mergeCell ref="D189:E189"/>
    <mergeCell ref="D74:E74"/>
    <mergeCell ref="D130:E130"/>
    <mergeCell ref="P87:T87"/>
    <mergeCell ref="P451:T451"/>
    <mergeCell ref="P449:V449"/>
    <mergeCell ref="A203:Z203"/>
    <mergeCell ref="D359:E359"/>
    <mergeCell ref="P96:T96"/>
    <mergeCell ref="P523:V523"/>
    <mergeCell ref="P183:T183"/>
    <mergeCell ref="D462:E462"/>
    <mergeCell ref="P98:T98"/>
    <mergeCell ref="P365:T365"/>
    <mergeCell ref="T5:U5"/>
    <mergeCell ref="D119:E119"/>
    <mergeCell ref="P76:T76"/>
    <mergeCell ref="V5:W5"/>
    <mergeCell ref="P496:T496"/>
    <mergeCell ref="A48:Z48"/>
    <mergeCell ref="D488:E488"/>
    <mergeCell ref="A224:O225"/>
    <mergeCell ref="D40:E40"/>
    <mergeCell ref="A466:O467"/>
    <mergeCell ref="D338:E338"/>
    <mergeCell ref="A295:O296"/>
    <mergeCell ref="D233:E233"/>
    <mergeCell ref="P212:V212"/>
    <mergeCell ref="P510:V510"/>
    <mergeCell ref="A28:O29"/>
    <mergeCell ref="Q8:R8"/>
    <mergeCell ref="D183:E183"/>
    <mergeCell ref="P140:T140"/>
    <mergeCell ref="P438:T438"/>
    <mergeCell ref="D444:E444"/>
    <mergeCell ref="D419:E419"/>
    <mergeCell ref="P267:T267"/>
    <mergeCell ref="D219:E219"/>
    <mergeCell ref="A186:O187"/>
    <mergeCell ref="P425:T425"/>
    <mergeCell ref="A79:Z79"/>
    <mergeCell ref="P83:V83"/>
    <mergeCell ref="T6:U9"/>
    <mergeCell ref="P319:V319"/>
    <mergeCell ref="Q10:R10"/>
    <mergeCell ref="P368:V368"/>
    <mergeCell ref="D569:E569"/>
    <mergeCell ref="A367:O368"/>
    <mergeCell ref="P210:T210"/>
    <mergeCell ref="A196:O197"/>
    <mergeCell ref="D156:E156"/>
    <mergeCell ref="P185:T185"/>
    <mergeCell ref="D106:E106"/>
    <mergeCell ref="A41:O42"/>
    <mergeCell ref="D264:E264"/>
    <mergeCell ref="S604:S605"/>
    <mergeCell ref="P581:T581"/>
    <mergeCell ref="P519:T519"/>
    <mergeCell ref="D391:E391"/>
    <mergeCell ref="P277:T277"/>
    <mergeCell ref="D220:E220"/>
    <mergeCell ref="D93:E93"/>
    <mergeCell ref="P122:T122"/>
    <mergeCell ref="P291:V291"/>
    <mergeCell ref="D328:E328"/>
    <mergeCell ref="P285:T285"/>
    <mergeCell ref="D157:E157"/>
    <mergeCell ref="A188:Z188"/>
    <mergeCell ref="B604:B605"/>
    <mergeCell ref="P501:T501"/>
    <mergeCell ref="D604:D605"/>
    <mergeCell ref="P355:V355"/>
    <mergeCell ref="P597:V597"/>
    <mergeCell ref="D487:E487"/>
    <mergeCell ref="D343:E343"/>
    <mergeCell ref="P397:T397"/>
    <mergeCell ref="P74:T74"/>
    <mergeCell ref="D480:E480"/>
    <mergeCell ref="P593:T593"/>
    <mergeCell ref="P289:T289"/>
    <mergeCell ref="D161:E161"/>
    <mergeCell ref="F9:G9"/>
    <mergeCell ref="P509:V509"/>
    <mergeCell ref="P264:T264"/>
    <mergeCell ref="P239:T239"/>
    <mergeCell ref="P186:V186"/>
    <mergeCell ref="D38:E38"/>
    <mergeCell ref="P601:V601"/>
    <mergeCell ref="P353:T353"/>
    <mergeCell ref="A134:Z134"/>
    <mergeCell ref="D532:E532"/>
    <mergeCell ref="P367:V367"/>
    <mergeCell ref="A420:O421"/>
    <mergeCell ref="D507:E507"/>
    <mergeCell ref="T604:T605"/>
    <mergeCell ref="V604:V605"/>
    <mergeCell ref="P578:V578"/>
    <mergeCell ref="D330:E330"/>
    <mergeCell ref="P304:V304"/>
    <mergeCell ref="D492:E492"/>
    <mergeCell ref="P181:V181"/>
    <mergeCell ref="P596:V596"/>
    <mergeCell ref="D96:E96"/>
    <mergeCell ref="A372:O373"/>
    <mergeCell ref="A201:O202"/>
    <mergeCell ref="P513:T513"/>
    <mergeCell ref="D52:E52"/>
    <mergeCell ref="P110:V110"/>
    <mergeCell ref="D27:E27"/>
    <mergeCell ref="P408:V408"/>
    <mergeCell ref="A5:C5"/>
    <mergeCell ref="D548:E548"/>
    <mergeCell ref="P583:V583"/>
    <mergeCell ref="A535:Z535"/>
    <mergeCell ref="P406:T406"/>
    <mergeCell ref="P362:V362"/>
    <mergeCell ref="P191:V191"/>
    <mergeCell ref="A485:Z485"/>
    <mergeCell ref="D179:E179"/>
    <mergeCell ref="P349:V349"/>
    <mergeCell ref="P591:V591"/>
    <mergeCell ref="P420:V420"/>
    <mergeCell ref="D337:E337"/>
    <mergeCell ref="A410:Z410"/>
    <mergeCell ref="D464:E464"/>
    <mergeCell ref="D573:E573"/>
    <mergeCell ref="A537:Z537"/>
    <mergeCell ref="D402:E402"/>
    <mergeCell ref="P195:T195"/>
    <mergeCell ref="A118:Z118"/>
    <mergeCell ref="A17:A18"/>
    <mergeCell ref="P493:T493"/>
    <mergeCell ref="P371:T371"/>
    <mergeCell ref="C17:C18"/>
    <mergeCell ref="K17:K18"/>
    <mergeCell ref="D37:E37"/>
    <mergeCell ref="D401:E401"/>
    <mergeCell ref="P358:T358"/>
    <mergeCell ref="A474:Z474"/>
    <mergeCell ref="D339:E339"/>
    <mergeCell ref="P66:T66"/>
    <mergeCell ref="D9:E9"/>
    <mergeCell ref="A588:Z588"/>
    <mergeCell ref="Q11:R11"/>
    <mergeCell ref="A6:C6"/>
    <mergeCell ref="D113:E113"/>
    <mergeCell ref="P167:T167"/>
    <mergeCell ref="D88:E88"/>
    <mergeCell ref="D26:E26"/>
    <mergeCell ref="P574:T574"/>
    <mergeCell ref="D517:E517"/>
    <mergeCell ref="D115:E115"/>
    <mergeCell ref="P417:V417"/>
    <mergeCell ref="P480:T480"/>
    <mergeCell ref="P280:T280"/>
    <mergeCell ref="P102:V102"/>
    <mergeCell ref="Q12:R12"/>
    <mergeCell ref="K604:K605"/>
    <mergeCell ref="P411:T411"/>
    <mergeCell ref="D388:E388"/>
    <mergeCell ref="C604:C605"/>
    <mergeCell ref="M604:M605"/>
    <mergeCell ref="P442:T442"/>
    <mergeCell ref="E604:E605"/>
    <mergeCell ref="P196:V196"/>
    <mergeCell ref="P119:T119"/>
    <mergeCell ref="A68:O69"/>
    <mergeCell ref="P354:V354"/>
    <mergeCell ref="P62:V62"/>
    <mergeCell ref="D561:E561"/>
    <mergeCell ref="D390:E390"/>
    <mergeCell ref="P127:V127"/>
    <mergeCell ref="A354:O355"/>
    <mergeCell ref="P53:T53"/>
    <mergeCell ref="P585:T585"/>
    <mergeCell ref="P414:T414"/>
    <mergeCell ref="P352:T352"/>
    <mergeCell ref="P548:T548"/>
    <mergeCell ref="D72:E72"/>
    <mergeCell ref="A326:Z326"/>
    <mergeCell ref="P498:T498"/>
    <mergeCell ref="P295:V295"/>
    <mergeCell ref="A301:Z301"/>
    <mergeCell ref="D235:E235"/>
    <mergeCell ref="Q9:R9"/>
    <mergeCell ref="P312:T312"/>
    <mergeCell ref="D451:E451"/>
    <mergeCell ref="D255:E255"/>
    <mergeCell ref="P478:V478"/>
    <mergeCell ref="D24:E24"/>
    <mergeCell ref="D322:E322"/>
    <mergeCell ref="P376:T376"/>
    <mergeCell ref="A395:Z395"/>
    <mergeCell ref="P205:T205"/>
    <mergeCell ref="P495:T495"/>
    <mergeCell ref="D167:E167"/>
    <mergeCell ref="P351:T351"/>
    <mergeCell ref="A47:Z47"/>
    <mergeCell ref="P208:T208"/>
    <mergeCell ref="D567:E567"/>
    <mergeCell ref="D396:E396"/>
    <mergeCell ref="P15:T16"/>
    <mergeCell ref="D414:E414"/>
    <mergeCell ref="D352:E352"/>
    <mergeCell ref="P419:T419"/>
    <mergeCell ref="P219:T219"/>
    <mergeCell ref="D565:E565"/>
    <mergeCell ref="A403:O404"/>
    <mergeCell ref="D108:E108"/>
    <mergeCell ref="D375:E375"/>
    <mergeCell ref="P556:T556"/>
    <mergeCell ref="P423:T423"/>
    <mergeCell ref="P494:T494"/>
    <mergeCell ref="P223:T223"/>
    <mergeCell ref="P52:T52"/>
    <mergeCell ref="P201:V201"/>
    <mergeCell ref="I17:I18"/>
    <mergeCell ref="D141:E141"/>
    <mergeCell ref="D135:E135"/>
    <mergeCell ref="P189:T189"/>
    <mergeCell ref="D377:E377"/>
    <mergeCell ref="A246:O247"/>
    <mergeCell ref="P287:T287"/>
    <mergeCell ref="P23:T23"/>
    <mergeCell ref="A335:Z335"/>
    <mergeCell ref="A164:Z164"/>
    <mergeCell ref="P272:T272"/>
    <mergeCell ref="A340:O341"/>
    <mergeCell ref="D327:E327"/>
    <mergeCell ref="A19:Z19"/>
    <mergeCell ref="D280:E280"/>
    <mergeCell ref="D551:E551"/>
    <mergeCell ref="D109:E109"/>
    <mergeCell ref="P424:T424"/>
    <mergeCell ref="D345:E345"/>
    <mergeCell ref="D538:E538"/>
    <mergeCell ref="D185:E185"/>
    <mergeCell ref="A429:Z429"/>
    <mergeCell ref="D1:F1"/>
    <mergeCell ref="P282:V282"/>
    <mergeCell ref="P111:V111"/>
    <mergeCell ref="A405:Z405"/>
    <mergeCell ref="J17:J18"/>
    <mergeCell ref="D82:E82"/>
    <mergeCell ref="L17:L18"/>
    <mergeCell ref="AE604:AE605"/>
    <mergeCell ref="D240:E240"/>
    <mergeCell ref="P426:T426"/>
    <mergeCell ref="P255:T255"/>
    <mergeCell ref="A342:Z342"/>
    <mergeCell ref="A165:Z165"/>
    <mergeCell ref="P582:V582"/>
    <mergeCell ref="A382:Z382"/>
    <mergeCell ref="A116:O117"/>
    <mergeCell ref="D100:E100"/>
    <mergeCell ref="P348:V348"/>
    <mergeCell ref="P113:T113"/>
    <mergeCell ref="A400:Z400"/>
    <mergeCell ref="P17:T18"/>
    <mergeCell ref="P323:V323"/>
    <mergeCell ref="P129:T129"/>
    <mergeCell ref="P194:T194"/>
    <mergeCell ref="A180:O181"/>
    <mergeCell ref="P50:T50"/>
    <mergeCell ref="P492:T492"/>
    <mergeCell ref="A166:Z166"/>
    <mergeCell ref="D31:E31"/>
    <mergeCell ref="A416:O417"/>
    <mergeCell ref="D329:E329"/>
    <mergeCell ref="P286:T286"/>
    <mergeCell ref="L604:L605"/>
    <mergeCell ref="P399:V399"/>
    <mergeCell ref="P333:V333"/>
    <mergeCell ref="D316:E316"/>
    <mergeCell ref="D145:E145"/>
    <mergeCell ref="D387:E387"/>
    <mergeCell ref="D443:E443"/>
    <mergeCell ref="D272:E272"/>
    <mergeCell ref="D514:E514"/>
    <mergeCell ref="D210:E210"/>
    <mergeCell ref="A250:O251"/>
    <mergeCell ref="P39:T39"/>
    <mergeCell ref="P508:T508"/>
    <mergeCell ref="P337:T337"/>
    <mergeCell ref="D209:E209"/>
    <mergeCell ref="P464:T464"/>
    <mergeCell ref="D87:E87"/>
    <mergeCell ref="P573:T573"/>
    <mergeCell ref="D445:E445"/>
    <mergeCell ref="D516:E516"/>
    <mergeCell ref="P402:T402"/>
    <mergeCell ref="D245:E245"/>
    <mergeCell ref="D122:E122"/>
    <mergeCell ref="A105:Z105"/>
    <mergeCell ref="A162:O163"/>
    <mergeCell ref="A398:O399"/>
    <mergeCell ref="A468:Z468"/>
    <mergeCell ref="P401:T401"/>
    <mergeCell ref="P339:T339"/>
    <mergeCell ref="D211:E211"/>
    <mergeCell ref="P190:V190"/>
    <mergeCell ref="P97:T97"/>
    <mergeCell ref="H1:Q1"/>
    <mergeCell ref="A448:O449"/>
    <mergeCell ref="A305:Z305"/>
    <mergeCell ref="A572:Z572"/>
    <mergeCell ref="A243:Z243"/>
    <mergeCell ref="P274:V274"/>
    <mergeCell ref="A292:Z292"/>
    <mergeCell ref="P539:T539"/>
    <mergeCell ref="D520:E520"/>
    <mergeCell ref="P246:V246"/>
    <mergeCell ref="P120:T120"/>
    <mergeCell ref="D501:E501"/>
    <mergeCell ref="D495:E495"/>
    <mergeCell ref="D593:E593"/>
    <mergeCell ref="P476:T476"/>
    <mergeCell ref="P184:T184"/>
    <mergeCell ref="A374:Z374"/>
    <mergeCell ref="D236:E236"/>
    <mergeCell ref="A472:O473"/>
    <mergeCell ref="D559:E559"/>
    <mergeCell ref="P340:V340"/>
    <mergeCell ref="P413:T413"/>
    <mergeCell ref="P171:T171"/>
    <mergeCell ref="D353:E353"/>
    <mergeCell ref="A393:O394"/>
    <mergeCell ref="D67:E67"/>
    <mergeCell ref="A311:Z311"/>
    <mergeCell ref="D5:E5"/>
    <mergeCell ref="D496:E496"/>
    <mergeCell ref="A303:O304"/>
    <mergeCell ref="D94:E94"/>
    <mergeCell ref="A32:O33"/>
    <mergeCell ref="A459:O460"/>
    <mergeCell ref="P329:T329"/>
    <mergeCell ref="P522:T522"/>
    <mergeCell ref="A590:O591"/>
    <mergeCell ref="D406:E406"/>
    <mergeCell ref="P565:T565"/>
    <mergeCell ref="P251:V251"/>
    <mergeCell ref="P416:V416"/>
    <mergeCell ref="P180:V180"/>
    <mergeCell ref="O604:O605"/>
    <mergeCell ref="A70:Z70"/>
    <mergeCell ref="P45:V45"/>
    <mergeCell ref="Q604:Q605"/>
    <mergeCell ref="P266:T266"/>
    <mergeCell ref="P530:V530"/>
    <mergeCell ref="P95:T95"/>
    <mergeCell ref="P527:T527"/>
    <mergeCell ref="P331:T331"/>
    <mergeCell ref="D470:E470"/>
    <mergeCell ref="A212:O213"/>
    <mergeCell ref="I603:V603"/>
    <mergeCell ref="P471:T471"/>
    <mergeCell ref="D498:E498"/>
    <mergeCell ref="P240:T240"/>
    <mergeCell ref="A475:Z475"/>
    <mergeCell ref="P162:V162"/>
    <mergeCell ref="P460:V460"/>
    <mergeCell ref="P398:V398"/>
    <mergeCell ref="D527:E527"/>
    <mergeCell ref="P542:T542"/>
    <mergeCell ref="P269:V269"/>
    <mergeCell ref="J604:J605"/>
    <mergeCell ref="P459:V459"/>
    <mergeCell ref="P234:T234"/>
    <mergeCell ref="A321:Z321"/>
    <mergeCell ref="A150:Z150"/>
    <mergeCell ref="A144:Z144"/>
    <mergeCell ref="A579:Z579"/>
    <mergeCell ref="D129:E129"/>
    <mergeCell ref="D7:M7"/>
    <mergeCell ref="D365:E365"/>
    <mergeCell ref="P91:V91"/>
    <mergeCell ref="P236:T236"/>
    <mergeCell ref="A450:Z450"/>
    <mergeCell ref="P521:T521"/>
    <mergeCell ref="D442:E442"/>
    <mergeCell ref="D302:E302"/>
    <mergeCell ref="P173:T173"/>
    <mergeCell ref="P100:T100"/>
    <mergeCell ref="A290:O291"/>
    <mergeCell ref="D81:E81"/>
    <mergeCell ref="P265:T265"/>
    <mergeCell ref="P94:T94"/>
    <mergeCell ref="P458:T458"/>
    <mergeCell ref="D208:E208"/>
    <mergeCell ref="D8:M8"/>
    <mergeCell ref="A509:O510"/>
    <mergeCell ref="P550:T550"/>
    <mergeCell ref="D366:E366"/>
    <mergeCell ref="P237:T237"/>
    <mergeCell ref="A226:Z226"/>
    <mergeCell ref="P472:V472"/>
    <mergeCell ref="P44:T44"/>
    <mergeCell ref="P31:T31"/>
    <mergeCell ref="W604:W605"/>
    <mergeCell ref="Y604:Y605"/>
    <mergeCell ref="A564:Z564"/>
    <mergeCell ref="A260:Z260"/>
    <mergeCell ref="P477:V477"/>
    <mergeCell ref="D556:E556"/>
    <mergeCell ref="P533:V533"/>
    <mergeCell ref="D494:E494"/>
    <mergeCell ref="A407:O408"/>
    <mergeCell ref="D543:E543"/>
    <mergeCell ref="D518:E518"/>
    <mergeCell ref="D124:E124"/>
    <mergeCell ref="P81:T81"/>
    <mergeCell ref="D195:E195"/>
    <mergeCell ref="V10:W10"/>
    <mergeCell ref="D493:E493"/>
    <mergeCell ref="D360:E360"/>
    <mergeCell ref="P299:V299"/>
    <mergeCell ref="A229:O230"/>
    <mergeCell ref="A422:Z422"/>
    <mergeCell ref="D558:E558"/>
    <mergeCell ref="P366:T366"/>
    <mergeCell ref="D585:E585"/>
    <mergeCell ref="D287:E287"/>
    <mergeCell ref="P393:V393"/>
    <mergeCell ref="P99:T99"/>
    <mergeCell ref="P316:T316"/>
    <mergeCell ref="P145:T145"/>
    <mergeCell ref="D66:E66"/>
    <mergeCell ref="P443:T443"/>
    <mergeCell ref="D253:E253"/>
    <mergeCell ref="D53:E53"/>
    <mergeCell ref="X604:X605"/>
    <mergeCell ref="A523:O524"/>
    <mergeCell ref="D376:E376"/>
    <mergeCell ref="Z604:Z605"/>
    <mergeCell ref="P249:T249"/>
    <mergeCell ref="P520:T520"/>
    <mergeCell ref="D205:E205"/>
    <mergeCell ref="D357:E357"/>
    <mergeCell ref="P172:T172"/>
    <mergeCell ref="A158:O159"/>
    <mergeCell ref="D71:E71"/>
    <mergeCell ref="R1:T1"/>
    <mergeCell ref="P586:V586"/>
    <mergeCell ref="P392:T392"/>
    <mergeCell ref="D332:E332"/>
    <mergeCell ref="P386:T386"/>
    <mergeCell ref="D574:E574"/>
    <mergeCell ref="P457:T457"/>
    <mergeCell ref="D307:E307"/>
    <mergeCell ref="P215:T215"/>
    <mergeCell ref="P221:T221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P168:V168"/>
    <mergeCell ref="D568:E568"/>
    <mergeCell ref="P545:V545"/>
    <mergeCell ref="A370:Z370"/>
    <mergeCell ref="A427:O428"/>
    <mergeCell ref="P259:V259"/>
    <mergeCell ref="P155:T155"/>
    <mergeCell ref="P324:V324"/>
    <mergeCell ref="P153:V153"/>
    <mergeCell ref="P391:T391"/>
    <mergeCell ref="D312:E312"/>
    <mergeCell ref="D505:E505"/>
    <mergeCell ref="P518:T518"/>
    <mergeCell ref="A363:Z363"/>
    <mergeCell ref="D499:E499"/>
    <mergeCell ref="D263:E263"/>
    <mergeCell ref="P220:T220"/>
    <mergeCell ref="D238:E238"/>
    <mergeCell ref="D426:E426"/>
    <mergeCell ref="D486:E486"/>
    <mergeCell ref="P328:T328"/>
    <mergeCell ref="P384:T384"/>
    <mergeCell ref="A281:O282"/>
    <mergeCell ref="P466:V466"/>
    <mergeCell ref="D351:E351"/>
    <mergeCell ref="D411:E411"/>
    <mergeCell ref="D289:E289"/>
    <mergeCell ref="P159:V159"/>
    <mergeCell ref="P209:T209"/>
    <mergeCell ref="P445:T445"/>
    <mergeCell ref="A434:Z434"/>
    <mergeCell ref="A562:O563"/>
    <mergeCell ref="P503:V503"/>
    <mergeCell ref="D60:E60"/>
    <mergeCell ref="P244:T244"/>
    <mergeCell ref="P73:T73"/>
    <mergeCell ref="P437:T437"/>
    <mergeCell ref="A361:O362"/>
    <mergeCell ref="A190:O191"/>
    <mergeCell ref="D423:E423"/>
    <mergeCell ref="P302:T302"/>
    <mergeCell ref="D174:E174"/>
    <mergeCell ref="A34:Z34"/>
    <mergeCell ref="A276:Z276"/>
    <mergeCell ref="A270:Z270"/>
    <mergeCell ref="H9:I9"/>
    <mergeCell ref="P224:V224"/>
    <mergeCell ref="A36:Z36"/>
    <mergeCell ref="P453:V453"/>
    <mergeCell ref="P389:T389"/>
    <mergeCell ref="P309:V309"/>
    <mergeCell ref="A45:O46"/>
    <mergeCell ref="B17:B18"/>
    <mergeCell ref="A77:O78"/>
    <mergeCell ref="P143:V143"/>
    <mergeCell ref="A149:Z149"/>
    <mergeCell ref="W17:W18"/>
    <mergeCell ref="P90:V90"/>
    <mergeCell ref="A86:Z86"/>
    <mergeCell ref="P33:V33"/>
    <mergeCell ref="P46:V46"/>
    <mergeCell ref="A12:M12"/>
    <mergeCell ref="A14:M14"/>
    <mergeCell ref="P318:V318"/>
    <mergeCell ref="D277:E27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962</v>
      </c>
      <c r="H1" s="52"/>
    </row>
    <row r="3" spans="2:8" x14ac:dyDescent="0.2">
      <c r="B3" s="47" t="s">
        <v>963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964</v>
      </c>
      <c r="D6" s="47" t="s">
        <v>965</v>
      </c>
      <c r="E6" s="47"/>
    </row>
    <row r="7" spans="2:8" x14ac:dyDescent="0.2">
      <c r="B7" s="47" t="s">
        <v>966</v>
      </c>
      <c r="C7" s="47" t="s">
        <v>967</v>
      </c>
      <c r="D7" s="47" t="s">
        <v>968</v>
      </c>
      <c r="E7" s="47"/>
    </row>
    <row r="8" spans="2:8" x14ac:dyDescent="0.2">
      <c r="B8" s="47" t="s">
        <v>969</v>
      </c>
      <c r="C8" s="47" t="s">
        <v>970</v>
      </c>
      <c r="D8" s="47" t="s">
        <v>971</v>
      </c>
      <c r="E8" s="47"/>
    </row>
    <row r="9" spans="2:8" x14ac:dyDescent="0.2">
      <c r="B9" s="47" t="s">
        <v>972</v>
      </c>
      <c r="C9" s="47" t="s">
        <v>973</v>
      </c>
      <c r="D9" s="47" t="s">
        <v>974</v>
      </c>
      <c r="E9" s="47"/>
    </row>
    <row r="10" spans="2:8" x14ac:dyDescent="0.2">
      <c r="B10" s="47" t="s">
        <v>975</v>
      </c>
      <c r="C10" s="47" t="s">
        <v>976</v>
      </c>
      <c r="D10" s="47" t="s">
        <v>977</v>
      </c>
      <c r="E10" s="47"/>
    </row>
    <row r="11" spans="2:8" x14ac:dyDescent="0.2">
      <c r="B11" s="47" t="s">
        <v>978</v>
      </c>
      <c r="C11" s="47" t="s">
        <v>979</v>
      </c>
      <c r="D11" s="47" t="s">
        <v>980</v>
      </c>
      <c r="E11" s="47"/>
    </row>
    <row r="13" spans="2:8" x14ac:dyDescent="0.2">
      <c r="B13" s="47" t="s">
        <v>981</v>
      </c>
      <c r="C13" s="47" t="s">
        <v>964</v>
      </c>
      <c r="D13" s="47"/>
      <c r="E13" s="47"/>
    </row>
    <row r="15" spans="2:8" x14ac:dyDescent="0.2">
      <c r="B15" s="47" t="s">
        <v>982</v>
      </c>
      <c r="C15" s="47" t="s">
        <v>967</v>
      </c>
      <c r="D15" s="47"/>
      <c r="E15" s="47"/>
    </row>
    <row r="17" spans="2:5" x14ac:dyDescent="0.2">
      <c r="B17" s="47" t="s">
        <v>983</v>
      </c>
      <c r="C17" s="47" t="s">
        <v>970</v>
      </c>
      <c r="D17" s="47"/>
      <c r="E17" s="47"/>
    </row>
    <row r="19" spans="2:5" x14ac:dyDescent="0.2">
      <c r="B19" s="47" t="s">
        <v>984</v>
      </c>
      <c r="C19" s="47" t="s">
        <v>973</v>
      </c>
      <c r="D19" s="47"/>
      <c r="E19" s="47"/>
    </row>
    <row r="21" spans="2:5" x14ac:dyDescent="0.2">
      <c r="B21" s="47" t="s">
        <v>985</v>
      </c>
      <c r="C21" s="47" t="s">
        <v>976</v>
      </c>
      <c r="D21" s="47"/>
      <c r="E21" s="47"/>
    </row>
    <row r="23" spans="2:5" x14ac:dyDescent="0.2">
      <c r="B23" s="47" t="s">
        <v>986</v>
      </c>
      <c r="C23" s="47" t="s">
        <v>979</v>
      </c>
      <c r="D23" s="47"/>
      <c r="E23" s="47"/>
    </row>
    <row r="25" spans="2:5" x14ac:dyDescent="0.2">
      <c r="B25" s="47" t="s">
        <v>987</v>
      </c>
      <c r="C25" s="47"/>
      <c r="D25" s="47"/>
      <c r="E25" s="47"/>
    </row>
    <row r="26" spans="2:5" x14ac:dyDescent="0.2">
      <c r="B26" s="47" t="s">
        <v>988</v>
      </c>
      <c r="C26" s="47"/>
      <c r="D26" s="47"/>
      <c r="E26" s="47"/>
    </row>
    <row r="27" spans="2:5" x14ac:dyDescent="0.2">
      <c r="B27" s="47" t="s">
        <v>989</v>
      </c>
      <c r="C27" s="47"/>
      <c r="D27" s="47"/>
      <c r="E27" s="47"/>
    </row>
    <row r="28" spans="2:5" x14ac:dyDescent="0.2">
      <c r="B28" s="47" t="s">
        <v>990</v>
      </c>
      <c r="C28" s="47"/>
      <c r="D28" s="47"/>
      <c r="E28" s="47"/>
    </row>
    <row r="29" spans="2:5" x14ac:dyDescent="0.2">
      <c r="B29" s="47" t="s">
        <v>991</v>
      </c>
      <c r="C29" s="47"/>
      <c r="D29" s="47"/>
      <c r="E29" s="47"/>
    </row>
    <row r="30" spans="2:5" x14ac:dyDescent="0.2">
      <c r="B30" s="47" t="s">
        <v>992</v>
      </c>
      <c r="C30" s="47"/>
      <c r="D30" s="47"/>
      <c r="E30" s="47"/>
    </row>
    <row r="31" spans="2:5" x14ac:dyDescent="0.2">
      <c r="B31" s="47" t="s">
        <v>993</v>
      </c>
      <c r="C31" s="47"/>
      <c r="D31" s="47"/>
      <c r="E31" s="47"/>
    </row>
    <row r="32" spans="2:5" x14ac:dyDescent="0.2">
      <c r="B32" s="47" t="s">
        <v>994</v>
      </c>
      <c r="C32" s="47"/>
      <c r="D32" s="47"/>
      <c r="E32" s="47"/>
    </row>
    <row r="33" spans="2:5" x14ac:dyDescent="0.2">
      <c r="B33" s="47" t="s">
        <v>995</v>
      </c>
      <c r="C33" s="47"/>
      <c r="D33" s="47"/>
      <c r="E33" s="47"/>
    </row>
    <row r="34" spans="2:5" x14ac:dyDescent="0.2">
      <c r="B34" s="47" t="s">
        <v>996</v>
      </c>
      <c r="C34" s="47"/>
      <c r="D34" s="47"/>
      <c r="E34" s="47"/>
    </row>
    <row r="35" spans="2:5" x14ac:dyDescent="0.2">
      <c r="B35" s="47" t="s">
        <v>997</v>
      </c>
      <c r="C35" s="47"/>
      <c r="D35" s="47"/>
      <c r="E35" s="47"/>
    </row>
  </sheetData>
  <sheetProtection algorithmName="SHA-512" hashValue="Imn5i1nD9Hox+z0bB2+HPl3xkPrhnUGIAfo36bz7S0yXZkXNiKxsAKpdjTSzMA1bia0J1uafRoihZkvahlCt4Q==" saltValue="8Ee6OQnUWF9aep9AOj31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1231</vt:i4>
      </vt:variant>
    </vt:vector>
  </HeadingPairs>
  <TitlesOfParts>
    <vt:vector size="123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2025-04-25T07:33:20Z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