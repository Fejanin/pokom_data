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88C377DA-BCCD-4FEE-B4C4-0233C922D8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06" i="1" l="1"/>
  <c r="X595" i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Y530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N520" i="1"/>
  <c r="BM520" i="1"/>
  <c r="Z520" i="1"/>
  <c r="Y520" i="1"/>
  <c r="BP520" i="1" s="1"/>
  <c r="P520" i="1"/>
  <c r="BO519" i="1"/>
  <c r="BM519" i="1"/>
  <c r="Y519" i="1"/>
  <c r="BO518" i="1"/>
  <c r="BM518" i="1"/>
  <c r="Y518" i="1"/>
  <c r="P518" i="1"/>
  <c r="BP517" i="1"/>
  <c r="BO517" i="1"/>
  <c r="BN517" i="1"/>
  <c r="BM517" i="1"/>
  <c r="Z517" i="1"/>
  <c r="Y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BP497" i="1"/>
  <c r="BO497" i="1"/>
  <c r="BN497" i="1"/>
  <c r="BM497" i="1"/>
  <c r="Z497" i="1"/>
  <c r="Y497" i="1"/>
  <c r="BP496" i="1"/>
  <c r="BO496" i="1"/>
  <c r="BN496" i="1"/>
  <c r="BM496" i="1"/>
  <c r="Z496" i="1"/>
  <c r="Y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3" i="1"/>
  <c r="Y472" i="1"/>
  <c r="X472" i="1"/>
  <c r="BP471" i="1"/>
  <c r="BO471" i="1"/>
  <c r="BN471" i="1"/>
  <c r="BM471" i="1"/>
  <c r="Z471" i="1"/>
  <c r="Y471" i="1"/>
  <c r="BP470" i="1"/>
  <c r="BO470" i="1"/>
  <c r="BN470" i="1"/>
  <c r="BM470" i="1"/>
  <c r="Z470" i="1"/>
  <c r="Z472" i="1" s="1"/>
  <c r="Y470" i="1"/>
  <c r="AA606" i="1" s="1"/>
  <c r="P470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BO463" i="1"/>
  <c r="BM463" i="1"/>
  <c r="Y463" i="1"/>
  <c r="P463" i="1"/>
  <c r="BP462" i="1"/>
  <c r="BO462" i="1"/>
  <c r="BN462" i="1"/>
  <c r="BM462" i="1"/>
  <c r="Z462" i="1"/>
  <c r="Y462" i="1"/>
  <c r="Y467" i="1" s="1"/>
  <c r="X460" i="1"/>
  <c r="X459" i="1"/>
  <c r="BO458" i="1"/>
  <c r="BM458" i="1"/>
  <c r="Y458" i="1"/>
  <c r="P458" i="1"/>
  <c r="BP457" i="1"/>
  <c r="BO457" i="1"/>
  <c r="BN457" i="1"/>
  <c r="BM457" i="1"/>
  <c r="Z457" i="1"/>
  <c r="Y457" i="1"/>
  <c r="Z606" i="1" s="1"/>
  <c r="P457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Y431" i="1"/>
  <c r="X431" i="1"/>
  <c r="BP430" i="1"/>
  <c r="BO430" i="1"/>
  <c r="BN430" i="1"/>
  <c r="BM430" i="1"/>
  <c r="Z430" i="1"/>
  <c r="Z431" i="1" s="1"/>
  <c r="Y430" i="1"/>
  <c r="Y432" i="1" s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8" i="1"/>
  <c r="Y407" i="1"/>
  <c r="X407" i="1"/>
  <c r="BP406" i="1"/>
  <c r="BO406" i="1"/>
  <c r="BN406" i="1"/>
  <c r="BM406" i="1"/>
  <c r="Z406" i="1"/>
  <c r="Z407" i="1" s="1"/>
  <c r="Y406" i="1"/>
  <c r="Y408" i="1" s="1"/>
  <c r="X404" i="1"/>
  <c r="X403" i="1"/>
  <c r="BO402" i="1"/>
  <c r="BM402" i="1"/>
  <c r="Y402" i="1"/>
  <c r="BO401" i="1"/>
  <c r="BM401" i="1"/>
  <c r="Y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79" i="1"/>
  <c r="Y378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Y379" i="1" s="1"/>
  <c r="P375" i="1"/>
  <c r="X373" i="1"/>
  <c r="Y372" i="1"/>
  <c r="X372" i="1"/>
  <c r="BP371" i="1"/>
  <c r="BO371" i="1"/>
  <c r="BN371" i="1"/>
  <c r="BM371" i="1"/>
  <c r="Z371" i="1"/>
  <c r="Z372" i="1" s="1"/>
  <c r="Y371" i="1"/>
  <c r="V606" i="1" s="1"/>
  <c r="P371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BP357" i="1"/>
  <c r="BO357" i="1"/>
  <c r="BN357" i="1"/>
  <c r="BM357" i="1"/>
  <c r="Z357" i="1"/>
  <c r="Y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3" i="1" s="1"/>
  <c r="P302" i="1"/>
  <c r="X300" i="1"/>
  <c r="X299" i="1"/>
  <c r="BO298" i="1"/>
  <c r="BM298" i="1"/>
  <c r="Y298" i="1"/>
  <c r="Y299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606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O606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Y250" i="1" s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Y247" i="1" s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K606" i="1" s="1"/>
  <c r="P233" i="1"/>
  <c r="X230" i="1"/>
  <c r="X229" i="1"/>
  <c r="BO228" i="1"/>
  <c r="BM228" i="1"/>
  <c r="Y228" i="1"/>
  <c r="BP228" i="1" s="1"/>
  <c r="P228" i="1"/>
  <c r="BP227" i="1"/>
  <c r="BO227" i="1"/>
  <c r="BN227" i="1"/>
  <c r="BM227" i="1"/>
  <c r="Z227" i="1"/>
  <c r="Y227" i="1"/>
  <c r="Y229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Y22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Y213" i="1" s="1"/>
  <c r="P204" i="1"/>
  <c r="X202" i="1"/>
  <c r="X201" i="1"/>
  <c r="BO200" i="1"/>
  <c r="BM200" i="1"/>
  <c r="Y200" i="1"/>
  <c r="BP200" i="1" s="1"/>
  <c r="P200" i="1"/>
  <c r="BP199" i="1"/>
  <c r="BO199" i="1"/>
  <c r="BN199" i="1"/>
  <c r="BM199" i="1"/>
  <c r="Z199" i="1"/>
  <c r="Y199" i="1"/>
  <c r="Y201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J606" i="1" s="1"/>
  <c r="P194" i="1"/>
  <c r="X191" i="1"/>
  <c r="X190" i="1"/>
  <c r="BO189" i="1"/>
  <c r="BM189" i="1"/>
  <c r="Y189" i="1"/>
  <c r="Y190" i="1" s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Y180" i="1" s="1"/>
  <c r="P171" i="1"/>
  <c r="X169" i="1"/>
  <c r="Y168" i="1"/>
  <c r="X168" i="1"/>
  <c r="BP167" i="1"/>
  <c r="BO167" i="1"/>
  <c r="BN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P155" i="1"/>
  <c r="BO155" i="1"/>
  <c r="BN155" i="1"/>
  <c r="BM155" i="1"/>
  <c r="Z155" i="1"/>
  <c r="Y155" i="1"/>
  <c r="Y159" i="1" s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G606" i="1" s="1"/>
  <c r="P135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Y127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6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6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8" i="1" s="1"/>
  <c r="BM22" i="1"/>
  <c r="X597" i="1" s="1"/>
  <c r="X599" i="1" s="1"/>
  <c r="Y22" i="1"/>
  <c r="B606" i="1" s="1"/>
  <c r="P22" i="1"/>
  <c r="H10" i="1"/>
  <c r="A9" i="1"/>
  <c r="F10" i="1" s="1"/>
  <c r="D7" i="1"/>
  <c r="Q6" i="1"/>
  <c r="P2" i="1"/>
  <c r="H9" i="1" l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6" i="1"/>
  <c r="Y132" i="1"/>
  <c r="Y137" i="1"/>
  <c r="Y143" i="1"/>
  <c r="Y147" i="1"/>
  <c r="Y158" i="1"/>
  <c r="Y181" i="1"/>
  <c r="Y191" i="1"/>
  <c r="Y196" i="1"/>
  <c r="Y202" i="1"/>
  <c r="Y212" i="1"/>
  <c r="Y224" i="1"/>
  <c r="Y230" i="1"/>
  <c r="Y241" i="1"/>
  <c r="Y246" i="1"/>
  <c r="Y251" i="1"/>
  <c r="Y269" i="1"/>
  <c r="Y274" i="1"/>
  <c r="Y282" i="1"/>
  <c r="Y291" i="1"/>
  <c r="Y296" i="1"/>
  <c r="Y300" i="1"/>
  <c r="Y304" i="1"/>
  <c r="Y309" i="1"/>
  <c r="S606" i="1"/>
  <c r="Y314" i="1"/>
  <c r="BP317" i="1"/>
  <c r="BN317" i="1"/>
  <c r="Z317" i="1"/>
  <c r="Z318" i="1" s="1"/>
  <c r="Y319" i="1"/>
  <c r="T606" i="1"/>
  <c r="Y323" i="1"/>
  <c r="BP322" i="1"/>
  <c r="BN322" i="1"/>
  <c r="Z322" i="1"/>
  <c r="Z323" i="1" s="1"/>
  <c r="Y324" i="1"/>
  <c r="U606" i="1"/>
  <c r="Y334" i="1"/>
  <c r="BP327" i="1"/>
  <c r="BN327" i="1"/>
  <c r="Z327" i="1"/>
  <c r="BP331" i="1"/>
  <c r="BN331" i="1"/>
  <c r="Z331" i="1"/>
  <c r="BP339" i="1"/>
  <c r="BN339" i="1"/>
  <c r="Z339" i="1"/>
  <c r="Y341" i="1"/>
  <c r="Y348" i="1"/>
  <c r="BP343" i="1"/>
  <c r="BN343" i="1"/>
  <c r="Z343" i="1"/>
  <c r="BP347" i="1"/>
  <c r="BN347" i="1"/>
  <c r="Z347" i="1"/>
  <c r="Y349" i="1"/>
  <c r="Y354" i="1"/>
  <c r="BP351" i="1"/>
  <c r="BN351" i="1"/>
  <c r="Z351" i="1"/>
  <c r="Z367" i="1"/>
  <c r="BP365" i="1"/>
  <c r="BN365" i="1"/>
  <c r="Z365" i="1"/>
  <c r="Y367" i="1"/>
  <c r="BP402" i="1"/>
  <c r="BN402" i="1"/>
  <c r="Z402" i="1"/>
  <c r="Y404" i="1"/>
  <c r="BP412" i="1"/>
  <c r="BN412" i="1"/>
  <c r="Z412" i="1"/>
  <c r="Z416" i="1" s="1"/>
  <c r="X606" i="1"/>
  <c r="Y416" i="1"/>
  <c r="BP424" i="1"/>
  <c r="BN424" i="1"/>
  <c r="Z424" i="1"/>
  <c r="Z427" i="1" s="1"/>
  <c r="Y428" i="1"/>
  <c r="BP437" i="1"/>
  <c r="BN437" i="1"/>
  <c r="Z437" i="1"/>
  <c r="BP439" i="1"/>
  <c r="BN439" i="1"/>
  <c r="Z439" i="1"/>
  <c r="BP442" i="1"/>
  <c r="BN442" i="1"/>
  <c r="Z442" i="1"/>
  <c r="BP447" i="1"/>
  <c r="BN447" i="1"/>
  <c r="Z447" i="1"/>
  <c r="Y449" i="1"/>
  <c r="Y454" i="1"/>
  <c r="BP451" i="1"/>
  <c r="BN451" i="1"/>
  <c r="Z451" i="1"/>
  <c r="Z453" i="1" s="1"/>
  <c r="Y453" i="1"/>
  <c r="BP489" i="1"/>
  <c r="BN489" i="1"/>
  <c r="Z489" i="1"/>
  <c r="BP492" i="1"/>
  <c r="BN492" i="1"/>
  <c r="Z492" i="1"/>
  <c r="BP499" i="1"/>
  <c r="BN499" i="1"/>
  <c r="Z499" i="1"/>
  <c r="F9" i="1"/>
  <c r="J9" i="1"/>
  <c r="Z22" i="1"/>
  <c r="Z28" i="1" s="1"/>
  <c r="BN22" i="1"/>
  <c r="BP22" i="1"/>
  <c r="Z26" i="1"/>
  <c r="BN26" i="1"/>
  <c r="X600" i="1"/>
  <c r="Y29" i="1"/>
  <c r="C606" i="1"/>
  <c r="Z38" i="1"/>
  <c r="Z41" i="1" s="1"/>
  <c r="BN38" i="1"/>
  <c r="Z40" i="1"/>
  <c r="BN40" i="1"/>
  <c r="Y41" i="1"/>
  <c r="Z44" i="1"/>
  <c r="Z45" i="1" s="1"/>
  <c r="BN44" i="1"/>
  <c r="BP44" i="1"/>
  <c r="Z49" i="1"/>
  <c r="Z55" i="1" s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Z68" i="1" s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6" i="1"/>
  <c r="Z88" i="1"/>
  <c r="Z90" i="1" s="1"/>
  <c r="BN88" i="1"/>
  <c r="Y91" i="1"/>
  <c r="Z94" i="1"/>
  <c r="Z102" i="1" s="1"/>
  <c r="BN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Z110" i="1" s="1"/>
  <c r="BN107" i="1"/>
  <c r="Z109" i="1"/>
  <c r="BN109" i="1"/>
  <c r="Y110" i="1"/>
  <c r="Z113" i="1"/>
  <c r="Z116" i="1" s="1"/>
  <c r="BN113" i="1"/>
  <c r="BP113" i="1"/>
  <c r="Z115" i="1"/>
  <c r="BN115" i="1"/>
  <c r="Z119" i="1"/>
  <c r="BN119" i="1"/>
  <c r="BP119" i="1"/>
  <c r="Z124" i="1"/>
  <c r="BN124" i="1"/>
  <c r="Z130" i="1"/>
  <c r="Z131" i="1" s="1"/>
  <c r="BN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BP145" i="1"/>
  <c r="H606" i="1"/>
  <c r="Y153" i="1"/>
  <c r="Z156" i="1"/>
  <c r="Z158" i="1" s="1"/>
  <c r="BN156" i="1"/>
  <c r="I606" i="1"/>
  <c r="Y169" i="1"/>
  <c r="Z172" i="1"/>
  <c r="Z180" i="1" s="1"/>
  <c r="BN172" i="1"/>
  <c r="Z174" i="1"/>
  <c r="BN174" i="1"/>
  <c r="Z177" i="1"/>
  <c r="BN177" i="1"/>
  <c r="Z179" i="1"/>
  <c r="BN179" i="1"/>
  <c r="Z189" i="1"/>
  <c r="Z190" i="1" s="1"/>
  <c r="BN189" i="1"/>
  <c r="BP189" i="1"/>
  <c r="Z194" i="1"/>
  <c r="Z196" i="1" s="1"/>
  <c r="BN194" i="1"/>
  <c r="BP194" i="1"/>
  <c r="Y197" i="1"/>
  <c r="Z200" i="1"/>
  <c r="Z201" i="1" s="1"/>
  <c r="BN200" i="1"/>
  <c r="Z204" i="1"/>
  <c r="Z212" i="1" s="1"/>
  <c r="BN204" i="1"/>
  <c r="BP204" i="1"/>
  <c r="Z206" i="1"/>
  <c r="BN206" i="1"/>
  <c r="Z208" i="1"/>
  <c r="BN208" i="1"/>
  <c r="Z210" i="1"/>
  <c r="BN210" i="1"/>
  <c r="Z216" i="1"/>
  <c r="Z224" i="1" s="1"/>
  <c r="BN216" i="1"/>
  <c r="Z218" i="1"/>
  <c r="BN218" i="1"/>
  <c r="Z220" i="1"/>
  <c r="BN220" i="1"/>
  <c r="Z222" i="1"/>
  <c r="BN222" i="1"/>
  <c r="Z228" i="1"/>
  <c r="Z229" i="1" s="1"/>
  <c r="BN228" i="1"/>
  <c r="Z233" i="1"/>
  <c r="BN233" i="1"/>
  <c r="BP233" i="1"/>
  <c r="Z235" i="1"/>
  <c r="BN235" i="1"/>
  <c r="Z237" i="1"/>
  <c r="BN237" i="1"/>
  <c r="Z239" i="1"/>
  <c r="BN239" i="1"/>
  <c r="Y242" i="1"/>
  <c r="Z244" i="1"/>
  <c r="Z246" i="1" s="1"/>
  <c r="BN244" i="1"/>
  <c r="BP244" i="1"/>
  <c r="Z249" i="1"/>
  <c r="Z250" i="1" s="1"/>
  <c r="BN249" i="1"/>
  <c r="BP249" i="1"/>
  <c r="L606" i="1"/>
  <c r="Z263" i="1"/>
  <c r="Z268" i="1" s="1"/>
  <c r="BN263" i="1"/>
  <c r="Z265" i="1"/>
  <c r="BN265" i="1"/>
  <c r="Z267" i="1"/>
  <c r="BN267" i="1"/>
  <c r="Y268" i="1"/>
  <c r="Z272" i="1"/>
  <c r="Z273" i="1" s="1"/>
  <c r="BN272" i="1"/>
  <c r="BP272" i="1"/>
  <c r="Y273" i="1"/>
  <c r="Z277" i="1"/>
  <c r="BN277" i="1"/>
  <c r="BP277" i="1"/>
  <c r="Z279" i="1"/>
  <c r="BN279" i="1"/>
  <c r="Z280" i="1"/>
  <c r="BN280" i="1"/>
  <c r="Y281" i="1"/>
  <c r="Z285" i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Z302" i="1"/>
  <c r="Z303" i="1" s="1"/>
  <c r="BN302" i="1"/>
  <c r="BP302" i="1"/>
  <c r="Z307" i="1"/>
  <c r="Z308" i="1" s="1"/>
  <c r="BN307" i="1"/>
  <c r="BP307" i="1"/>
  <c r="Y308" i="1"/>
  <c r="Z312" i="1"/>
  <c r="Z313" i="1" s="1"/>
  <c r="BN312" i="1"/>
  <c r="BP312" i="1"/>
  <c r="Y313" i="1"/>
  <c r="Y318" i="1"/>
  <c r="BP329" i="1"/>
  <c r="BN329" i="1"/>
  <c r="Z329" i="1"/>
  <c r="Y333" i="1"/>
  <c r="BP337" i="1"/>
  <c r="BN337" i="1"/>
  <c r="Z337" i="1"/>
  <c r="Z340" i="1" s="1"/>
  <c r="BP345" i="1"/>
  <c r="BN345" i="1"/>
  <c r="Z345" i="1"/>
  <c r="BP353" i="1"/>
  <c r="BN353" i="1"/>
  <c r="Z353" i="1"/>
  <c r="Y355" i="1"/>
  <c r="Z361" i="1"/>
  <c r="BP359" i="1"/>
  <c r="BN359" i="1"/>
  <c r="Z359" i="1"/>
  <c r="BP384" i="1"/>
  <c r="BN384" i="1"/>
  <c r="Z384" i="1"/>
  <c r="Z393" i="1" s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398" i="1"/>
  <c r="BP464" i="1"/>
  <c r="BN464" i="1"/>
  <c r="Z464" i="1"/>
  <c r="Y362" i="1"/>
  <c r="Y368" i="1"/>
  <c r="BP376" i="1"/>
  <c r="BN376" i="1"/>
  <c r="Z376" i="1"/>
  <c r="Z378" i="1" s="1"/>
  <c r="BP386" i="1"/>
  <c r="BN386" i="1"/>
  <c r="Z386" i="1"/>
  <c r="BP390" i="1"/>
  <c r="BN390" i="1"/>
  <c r="Z390" i="1"/>
  <c r="Y403" i="1"/>
  <c r="BP401" i="1"/>
  <c r="BN401" i="1"/>
  <c r="Z401" i="1"/>
  <c r="Z403" i="1" s="1"/>
  <c r="Y417" i="1"/>
  <c r="BP414" i="1"/>
  <c r="BN414" i="1"/>
  <c r="Z414" i="1"/>
  <c r="Y427" i="1"/>
  <c r="BP426" i="1"/>
  <c r="BN426" i="1"/>
  <c r="Z426" i="1"/>
  <c r="Y606" i="1"/>
  <c r="Y448" i="1"/>
  <c r="BP436" i="1"/>
  <c r="BN436" i="1"/>
  <c r="Z436" i="1"/>
  <c r="BP438" i="1"/>
  <c r="BN438" i="1"/>
  <c r="Z438" i="1"/>
  <c r="BP440" i="1"/>
  <c r="BN440" i="1"/>
  <c r="Z440" i="1"/>
  <c r="BP445" i="1"/>
  <c r="BN445" i="1"/>
  <c r="Z445" i="1"/>
  <c r="BP458" i="1"/>
  <c r="BN458" i="1"/>
  <c r="Z458" i="1"/>
  <c r="Z459" i="1" s="1"/>
  <c r="Y460" i="1"/>
  <c r="BP463" i="1"/>
  <c r="BN463" i="1"/>
  <c r="Z463" i="1"/>
  <c r="Z466" i="1" s="1"/>
  <c r="Y466" i="1"/>
  <c r="BP487" i="1"/>
  <c r="BN487" i="1"/>
  <c r="Z487" i="1"/>
  <c r="Z502" i="1" s="1"/>
  <c r="BP491" i="1"/>
  <c r="BN491" i="1"/>
  <c r="Z491" i="1"/>
  <c r="BP494" i="1"/>
  <c r="BN494" i="1"/>
  <c r="Z494" i="1"/>
  <c r="BP501" i="1"/>
  <c r="BN501" i="1"/>
  <c r="Z501" i="1"/>
  <c r="Y503" i="1"/>
  <c r="Y509" i="1"/>
  <c r="BP505" i="1"/>
  <c r="BN505" i="1"/>
  <c r="Z505" i="1"/>
  <c r="BP507" i="1"/>
  <c r="BN507" i="1"/>
  <c r="Z507" i="1"/>
  <c r="BP519" i="1"/>
  <c r="BN519" i="1"/>
  <c r="Z519" i="1"/>
  <c r="Y533" i="1"/>
  <c r="BP532" i="1"/>
  <c r="BN532" i="1"/>
  <c r="Z532" i="1"/>
  <c r="Z533" i="1" s="1"/>
  <c r="Y534" i="1"/>
  <c r="Y552" i="1"/>
  <c r="BP547" i="1"/>
  <c r="BN547" i="1"/>
  <c r="Z547" i="1"/>
  <c r="AD606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BP506" i="1"/>
  <c r="BN506" i="1"/>
  <c r="Z506" i="1"/>
  <c r="BP508" i="1"/>
  <c r="BN508" i="1"/>
  <c r="Z508" i="1"/>
  <c r="Y510" i="1"/>
  <c r="BP518" i="1"/>
  <c r="BN518" i="1"/>
  <c r="Z518" i="1"/>
  <c r="Z523" i="1" s="1"/>
  <c r="BP521" i="1"/>
  <c r="BN521" i="1"/>
  <c r="Z521" i="1"/>
  <c r="Y373" i="1"/>
  <c r="W606" i="1"/>
  <c r="Y393" i="1"/>
  <c r="Y459" i="1"/>
  <c r="Y473" i="1"/>
  <c r="AC606" i="1"/>
  <c r="Y502" i="1"/>
  <c r="Y524" i="1"/>
  <c r="Y523" i="1"/>
  <c r="BP527" i="1"/>
  <c r="BN527" i="1"/>
  <c r="Z527" i="1"/>
  <c r="Z529" i="1" s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Z570" i="1" l="1"/>
  <c r="Z552" i="1"/>
  <c r="Z448" i="1"/>
  <c r="Z290" i="1"/>
  <c r="Z281" i="1"/>
  <c r="Z241" i="1"/>
  <c r="Z126" i="1"/>
  <c r="Z77" i="1"/>
  <c r="Y597" i="1"/>
  <c r="Z354" i="1"/>
  <c r="Z348" i="1"/>
  <c r="Z509" i="1"/>
  <c r="Y596" i="1"/>
  <c r="Y598" i="1"/>
  <c r="Z601" i="1"/>
  <c r="Z333" i="1"/>
  <c r="Y600" i="1"/>
  <c r="Y599" i="1" l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<sst xmlns="http://schemas.openxmlformats.org/spreadsheetml/2006/main" count="2760" uniqueCount="998">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</sst>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74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14</v>
      </c>
      <c r="Y89" s="668">
        <f>IFERROR(IF(X89="",0,CEILING((X89/$H89),1)*$H89),"")</f>
        <v>18</v>
      </c>
      <c r="Z89" s="36">
        <f>IFERROR(IF(Y89=0,"",ROUNDUP(Y89/H89,0)*0.00902),"")</f>
        <v>3.6080000000000001E-2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14.653333333333332</v>
      </c>
      <c r="BN89" s="64">
        <f>IFERROR(Y89*I89/H89,"0")</f>
        <v>18.84</v>
      </c>
      <c r="BO89" s="64">
        <f>IFERROR(1/J89*(X89/H89),"0")</f>
        <v>2.3569023569023569E-2</v>
      </c>
      <c r="BP89" s="64">
        <f>IFERROR(1/J89*(Y89/H89),"0")</f>
        <v>3.0303030303030304E-2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3.1111111111111112</v>
      </c>
      <c r="Y90" s="669">
        <f>IFERROR(Y87/H87,"0")+IFERROR(Y88/H88,"0")+IFERROR(Y89/H89,"0")</f>
        <v>4</v>
      </c>
      <c r="Z90" s="669">
        <f>IFERROR(IF(Z87="",0,Z87),"0")+IFERROR(IF(Z88="",0,Z88),"0")+IFERROR(IF(Z89="",0,Z89),"0")</f>
        <v>3.6080000000000001E-2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14</v>
      </c>
      <c r="Y91" s="669">
        <f>IFERROR(SUM(Y87:Y89),"0")</f>
        <v>18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36</v>
      </c>
      <c r="Y98" s="668">
        <f t="shared" si="16"/>
        <v>37.800000000000004</v>
      </c>
      <c r="Z98" s="36">
        <f>IFERROR(IF(Y98=0,"",ROUNDUP(Y98/H98,0)*0.00651),"")</f>
        <v>9.1139999999999999E-2</v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39.359999999999992</v>
      </c>
      <c r="BN98" s="64">
        <f t="shared" si="18"/>
        <v>41.328000000000003</v>
      </c>
      <c r="BO98" s="64">
        <f t="shared" si="19"/>
        <v>7.3260073260073263E-2</v>
      </c>
      <c r="BP98" s="64">
        <f t="shared" si="20"/>
        <v>7.6923076923076927E-2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13.333333333333332</v>
      </c>
      <c r="Y102" s="669">
        <f>IFERROR(Y93/H93,"0")+IFERROR(Y94/H94,"0")+IFERROR(Y95/H95,"0")+IFERROR(Y96/H96,"0")+IFERROR(Y97/H97,"0")+IFERROR(Y98/H98,"0")+IFERROR(Y99/H99,"0")+IFERROR(Y100/H100,"0")+IFERROR(Y101/H101,"0")</f>
        <v>14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9.1139999999999999E-2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36</v>
      </c>
      <c r="Y103" s="669">
        <f>IFERROR(SUM(Y93:Y101),"0")</f>
        <v>37.800000000000004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4</v>
      </c>
      <c r="Y108" s="668">
        <f>IFERROR(IF(X108="",0,CEILING((X108/$H108),1)*$H108),"")</f>
        <v>4.5</v>
      </c>
      <c r="Z108" s="36">
        <f>IFERROR(IF(Y108=0,"",ROUNDUP(Y108/H108,0)*0.00902),"")</f>
        <v>9.0200000000000002E-3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4.1866666666666665</v>
      </c>
      <c r="BN108" s="64">
        <f>IFERROR(Y108*I108/H108,"0")</f>
        <v>4.71</v>
      </c>
      <c r="BO108" s="64">
        <f>IFERROR(1/J108*(X108/H108),"0")</f>
        <v>6.7340067340067337E-3</v>
      </c>
      <c r="BP108" s="64">
        <f>IFERROR(1/J108*(Y108/H108),"0")</f>
        <v>7.575757575757576E-3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0.88888888888888884</v>
      </c>
      <c r="Y110" s="669">
        <f>IFERROR(Y106/H106,"0")+IFERROR(Y107/H107,"0")+IFERROR(Y108/H108,"0")+IFERROR(Y109/H109,"0")</f>
        <v>1</v>
      </c>
      <c r="Z110" s="669">
        <f>IFERROR(IF(Z106="",0,Z106),"0")+IFERROR(IF(Z107="",0,Z107),"0")+IFERROR(IF(Z108="",0,Z108),"0")+IFERROR(IF(Z109="",0,Z109),"0")</f>
        <v>9.0200000000000002E-3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4</v>
      </c>
      <c r="Y111" s="669">
        <f>IFERROR(SUM(Y106:Y109),"0")</f>
        <v>4.5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6</v>
      </c>
      <c r="Y115" s="668">
        <f>IFERROR(IF(X115="",0,CEILING((X115/$H115),1)*$H115),"")</f>
        <v>7.1999999999999993</v>
      </c>
      <c r="Z115" s="36">
        <f>IFERROR(IF(Y115=0,"",ROUNDUP(Y115/H115,0)*0.00651),"")</f>
        <v>1.9529999999999999E-2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6.45</v>
      </c>
      <c r="BN115" s="64">
        <f>IFERROR(Y115*I115/H115,"0")</f>
        <v>7.7399999999999993</v>
      </c>
      <c r="BO115" s="64">
        <f>IFERROR(1/J115*(X115/H115),"0")</f>
        <v>1.3736263736263738E-2</v>
      </c>
      <c r="BP115" s="64">
        <f>IFERROR(1/J115*(Y115/H115),"0")</f>
        <v>1.6483516483516484E-2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2.5</v>
      </c>
      <c r="Y116" s="669">
        <f>IFERROR(Y113/H113,"0")+IFERROR(Y114/H114,"0")+IFERROR(Y115/H115,"0")</f>
        <v>3</v>
      </c>
      <c r="Z116" s="669">
        <f>IFERROR(IF(Z113="",0,Z113),"0")+IFERROR(IF(Z114="",0,Z114),"0")+IFERROR(IF(Z115="",0,Z115),"0")</f>
        <v>1.9529999999999999E-2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6</v>
      </c>
      <c r="Y117" s="669">
        <f>IFERROR(SUM(Y113:Y115),"0")</f>
        <v>7.1999999999999993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23</v>
      </c>
      <c r="Y171" s="668">
        <f t="shared" ref="Y171:Y179" si="26">IFERROR(IF(X171="",0,CEILING((X171/$H171),1)*$H171),"")</f>
        <v>25.200000000000003</v>
      </c>
      <c r="Z171" s="36">
        <f>IFERROR(IF(Y171=0,"",ROUNDUP(Y171/H171,0)*0.00902),"")</f>
        <v>5.4120000000000001E-2</v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24.478571428571424</v>
      </c>
      <c r="BN171" s="64">
        <f t="shared" ref="BN171:BN179" si="28">IFERROR(Y171*I171/H171,"0")</f>
        <v>26.82</v>
      </c>
      <c r="BO171" s="64">
        <f t="shared" ref="BO171:BO179" si="29">IFERROR(1/J171*(X171/H171),"0")</f>
        <v>4.1486291486291488E-2</v>
      </c>
      <c r="BP171" s="64">
        <f t="shared" ref="BP171:BP179" si="30">IFERROR(1/J171*(Y171/H171),"0")</f>
        <v>4.5454545454545456E-2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56</v>
      </c>
      <c r="Y173" s="668">
        <f t="shared" si="26"/>
        <v>58.800000000000004</v>
      </c>
      <c r="Z173" s="36">
        <f>IFERROR(IF(Y173=0,"",ROUNDUP(Y173/H173,0)*0.00902),"")</f>
        <v>0.12628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58.8</v>
      </c>
      <c r="BN173" s="64">
        <f t="shared" si="28"/>
        <v>61.740000000000009</v>
      </c>
      <c r="BO173" s="64">
        <f t="shared" si="29"/>
        <v>0.10101010101010101</v>
      </c>
      <c r="BP173" s="64">
        <f t="shared" si="30"/>
        <v>0.10606060606060606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5</v>
      </c>
      <c r="Y177" s="668">
        <f t="shared" si="26"/>
        <v>6.3000000000000007</v>
      </c>
      <c r="Z177" s="36">
        <f>IFERROR(IF(Y177=0,"",ROUNDUP(Y177/H177,0)*0.00502),"")</f>
        <v>1.506E-2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5.2380952380952381</v>
      </c>
      <c r="BN177" s="64">
        <f t="shared" si="28"/>
        <v>6.6000000000000014</v>
      </c>
      <c r="BO177" s="64">
        <f t="shared" si="29"/>
        <v>1.0175010175010176E-2</v>
      </c>
      <c r="BP177" s="64">
        <f t="shared" si="30"/>
        <v>1.2820512820512822E-2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21.19047619047619</v>
      </c>
      <c r="Y180" s="669">
        <f>IFERROR(Y171/H171,"0")+IFERROR(Y172/H172,"0")+IFERROR(Y173/H173,"0")+IFERROR(Y174/H174,"0")+IFERROR(Y175/H175,"0")+IFERROR(Y176/H176,"0")+IFERROR(Y177/H177,"0")+IFERROR(Y178/H178,"0")+IFERROR(Y179/H179,"0")</f>
        <v>23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0.19545999999999999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84</v>
      </c>
      <c r="Y181" s="669">
        <f>IFERROR(SUM(Y171:Y179),"0")</f>
        <v>90.3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3</v>
      </c>
      <c r="Y204" s="668">
        <f t="shared" ref="Y204:Y211" si="31">IFERROR(IF(X204="",0,CEILING((X204/$H204),1)*$H204),"")</f>
        <v>5.4</v>
      </c>
      <c r="Z204" s="36">
        <f>IFERROR(IF(Y204=0,"",ROUNDUP(Y204/H204,0)*0.00902),"")</f>
        <v>9.0200000000000002E-3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3.1166666666666667</v>
      </c>
      <c r="BN204" s="64">
        <f t="shared" ref="BN204:BN211" si="33">IFERROR(Y204*I204/H204,"0")</f>
        <v>5.61</v>
      </c>
      <c r="BO204" s="64">
        <f t="shared" ref="BO204:BO211" si="34">IFERROR(1/J204*(X204/H204),"0")</f>
        <v>4.2087542087542078E-3</v>
      </c>
      <c r="BP204" s="64">
        <f t="shared" ref="BP204:BP211" si="35">IFERROR(1/J204*(Y204/H204),"0")</f>
        <v>7.575757575757576E-3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48</v>
      </c>
      <c r="Y205" s="668">
        <f t="shared" si="31"/>
        <v>48.6</v>
      </c>
      <c r="Z205" s="36">
        <f>IFERROR(IF(Y205=0,"",ROUNDUP(Y205/H205,0)*0.00902),"")</f>
        <v>8.1180000000000002E-2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49.866666666666667</v>
      </c>
      <c r="BN205" s="64">
        <f t="shared" si="33"/>
        <v>50.49</v>
      </c>
      <c r="BO205" s="64">
        <f t="shared" si="34"/>
        <v>6.7340067340067325E-2</v>
      </c>
      <c r="BP205" s="64">
        <f t="shared" si="35"/>
        <v>6.8181818181818177E-2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49</v>
      </c>
      <c r="Y207" s="668">
        <f t="shared" si="31"/>
        <v>54</v>
      </c>
      <c r="Z207" s="36">
        <f>IFERROR(IF(Y207=0,"",ROUNDUP(Y207/H207,0)*0.00902),"")</f>
        <v>9.0200000000000002E-2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50.905555555555559</v>
      </c>
      <c r="BN207" s="64">
        <f t="shared" si="33"/>
        <v>56.099999999999994</v>
      </c>
      <c r="BO207" s="64">
        <f t="shared" si="34"/>
        <v>6.8742985409652069E-2</v>
      </c>
      <c r="BP207" s="64">
        <f t="shared" si="35"/>
        <v>7.575757575757576E-2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3</v>
      </c>
      <c r="Y208" s="668">
        <f t="shared" si="31"/>
        <v>3.6</v>
      </c>
      <c r="Z208" s="36">
        <f>IFERROR(IF(Y208=0,"",ROUNDUP(Y208/H208,0)*0.00502),"")</f>
        <v>1.004E-2</v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3.2166666666666668</v>
      </c>
      <c r="BN208" s="64">
        <f t="shared" si="33"/>
        <v>3.8599999999999994</v>
      </c>
      <c r="BO208" s="64">
        <f t="shared" si="34"/>
        <v>7.1225071225071226E-3</v>
      </c>
      <c r="BP208" s="64">
        <f t="shared" si="35"/>
        <v>8.5470085470085479E-3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6</v>
      </c>
      <c r="Y211" s="668">
        <f t="shared" si="31"/>
        <v>7.2</v>
      </c>
      <c r="Z211" s="36">
        <f>IFERROR(IF(Y211=0,"",ROUNDUP(Y211/H211,0)*0.00502),"")</f>
        <v>2.0080000000000001E-2</v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6.3333333333333321</v>
      </c>
      <c r="BN211" s="64">
        <f t="shared" si="33"/>
        <v>7.6</v>
      </c>
      <c r="BO211" s="64">
        <f t="shared" si="34"/>
        <v>1.4245014245014245E-2</v>
      </c>
      <c r="BP211" s="64">
        <f t="shared" si="35"/>
        <v>1.7094017094017096E-2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23.518518518518515</v>
      </c>
      <c r="Y212" s="669">
        <f>IFERROR(Y204/H204,"0")+IFERROR(Y205/H205,"0")+IFERROR(Y206/H206,"0")+IFERROR(Y207/H207,"0")+IFERROR(Y208/H208,"0")+IFERROR(Y209/H209,"0")+IFERROR(Y210/H210,"0")+IFERROR(Y211/H211,"0")</f>
        <v>26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0.21051999999999998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109</v>
      </c>
      <c r="Y213" s="669">
        <f>IFERROR(SUM(Y204:Y211),"0")</f>
        <v>118.8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46</v>
      </c>
      <c r="Y218" s="668">
        <f t="shared" si="36"/>
        <v>48</v>
      </c>
      <c r="Z218" s="36">
        <f t="shared" ref="Z218:Z223" si="41">IFERROR(IF(Y218=0,"",ROUNDUP(Y218/H218,0)*0.00651),"")</f>
        <v>0.13020000000000001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51.174999999999997</v>
      </c>
      <c r="BN218" s="64">
        <f t="shared" si="38"/>
        <v>53.4</v>
      </c>
      <c r="BO218" s="64">
        <f t="shared" si="39"/>
        <v>0.10531135531135533</v>
      </c>
      <c r="BP218" s="64">
        <f t="shared" si="40"/>
        <v>0.1098901098901099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20</v>
      </c>
      <c r="Y220" s="668">
        <f t="shared" si="36"/>
        <v>21.599999999999998</v>
      </c>
      <c r="Z220" s="36">
        <f t="shared" si="41"/>
        <v>5.8590000000000003E-2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22.100000000000005</v>
      </c>
      <c r="BN220" s="64">
        <f t="shared" si="38"/>
        <v>23.868000000000002</v>
      </c>
      <c r="BO220" s="64">
        <f t="shared" si="39"/>
        <v>4.5787545787545791E-2</v>
      </c>
      <c r="BP220" s="64">
        <f t="shared" si="40"/>
        <v>4.9450549450549455E-2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15</v>
      </c>
      <c r="Y221" s="668">
        <f t="shared" si="36"/>
        <v>16.8</v>
      </c>
      <c r="Z221" s="36">
        <f t="shared" si="41"/>
        <v>4.5569999999999999E-2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16.575000000000003</v>
      </c>
      <c r="BN221" s="64">
        <f t="shared" si="38"/>
        <v>18.564000000000004</v>
      </c>
      <c r="BO221" s="64">
        <f t="shared" si="39"/>
        <v>3.4340659340659344E-2</v>
      </c>
      <c r="BP221" s="64">
        <f t="shared" si="40"/>
        <v>3.8461538461538471E-2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148</v>
      </c>
      <c r="Y222" s="668">
        <f t="shared" si="36"/>
        <v>148.79999999999998</v>
      </c>
      <c r="Z222" s="36">
        <f t="shared" si="41"/>
        <v>0.40362000000000003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163.54000000000002</v>
      </c>
      <c r="BN222" s="64">
        <f t="shared" si="38"/>
        <v>164.42400000000001</v>
      </c>
      <c r="BO222" s="64">
        <f t="shared" si="39"/>
        <v>0.3388278388278389</v>
      </c>
      <c r="BP222" s="64">
        <f t="shared" si="40"/>
        <v>0.34065934065934067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95.416666666666671</v>
      </c>
      <c r="Y224" s="669">
        <f>IFERROR(Y215/H215,"0")+IFERROR(Y216/H216,"0")+IFERROR(Y217/H217,"0")+IFERROR(Y218/H218,"0")+IFERROR(Y219/H219,"0")+IFERROR(Y220/H220,"0")+IFERROR(Y221/H221,"0")+IFERROR(Y222/H222,"0")+IFERROR(Y223/H223,"0")</f>
        <v>98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0.63797999999999999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229</v>
      </c>
      <c r="Y225" s="669">
        <f>IFERROR(SUM(Y215:Y223),"0")</f>
        <v>235.2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13</v>
      </c>
      <c r="Y227" s="668">
        <f>IFERROR(IF(X227="",0,CEILING((X227/$H227),1)*$H227),"")</f>
        <v>14.399999999999999</v>
      </c>
      <c r="Z227" s="36">
        <f>IFERROR(IF(Y227=0,"",ROUNDUP(Y227/H227,0)*0.00651),"")</f>
        <v>3.9059999999999997E-2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14.365</v>
      </c>
      <c r="BN227" s="64">
        <f>IFERROR(Y227*I227/H227,"0")</f>
        <v>15.912000000000001</v>
      </c>
      <c r="BO227" s="64">
        <f>IFERROR(1/J227*(X227/H227),"0")</f>
        <v>2.9761904761904767E-2</v>
      </c>
      <c r="BP227" s="64">
        <f>IFERROR(1/J227*(Y227/H227),"0")</f>
        <v>3.2967032967032968E-2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5.416666666666667</v>
      </c>
      <c r="Y229" s="669">
        <f>IFERROR(Y227/H227,"0")+IFERROR(Y228/H228,"0")</f>
        <v>6</v>
      </c>
      <c r="Z229" s="669">
        <f>IFERROR(IF(Z227="",0,Z227),"0")+IFERROR(IF(Z228="",0,Z228),"0")</f>
        <v>3.9059999999999997E-2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13</v>
      </c>
      <c r="Y230" s="669">
        <f>IFERROR(SUM(Y227:Y228),"0")</f>
        <v>14.399999999999999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1</v>
      </c>
      <c r="Y249" s="668">
        <f>IFERROR(IF(X249="",0,CEILING((X249/$H249),1)*$H249),"")</f>
        <v>2.16</v>
      </c>
      <c r="Z249" s="36">
        <f>IFERROR(IF(Y249=0,"",ROUNDUP(Y249/H249,0)*0.0059),"")</f>
        <v>5.8999999999999999E-3</v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1.087962962962963</v>
      </c>
      <c r="BN249" s="64">
        <f>IFERROR(Y249*I249/H249,"0")</f>
        <v>2.35</v>
      </c>
      <c r="BO249" s="64">
        <f>IFERROR(1/J249*(X249/H249),"0")</f>
        <v>2.1433470507544578E-3</v>
      </c>
      <c r="BP249" s="64">
        <f>IFERROR(1/J249*(Y249/H249),"0")</f>
        <v>4.6296296296296294E-3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0.46296296296296291</v>
      </c>
      <c r="Y250" s="669">
        <f>IFERROR(Y249/H249,"0")</f>
        <v>1</v>
      </c>
      <c r="Z250" s="669">
        <f>IFERROR(IF(Z249="",0,Z249),"0")</f>
        <v>5.8999999999999999E-3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1</v>
      </c>
      <c r="Y251" s="669">
        <f>IFERROR(SUM(Y249:Y249),"0")</f>
        <v>2.16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33</v>
      </c>
      <c r="Y287" s="668">
        <f>IFERROR(IF(X287="",0,CEILING((X287/$H287),1)*$H287),"")</f>
        <v>33.6</v>
      </c>
      <c r="Z287" s="36">
        <f>IFERROR(IF(Y287=0,"",ROUNDUP(Y287/H287,0)*0.00651),"")</f>
        <v>9.1139999999999999E-2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36.465000000000003</v>
      </c>
      <c r="BN287" s="64">
        <f>IFERROR(Y287*I287/H287,"0")</f>
        <v>37.128000000000007</v>
      </c>
      <c r="BO287" s="64">
        <f>IFERROR(1/J287*(X287/H287),"0")</f>
        <v>7.5549450549450559E-2</v>
      </c>
      <c r="BP287" s="64">
        <f>IFERROR(1/J287*(Y287/H287),"0")</f>
        <v>7.6923076923076941E-2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25</v>
      </c>
      <c r="Y288" s="668">
        <f>IFERROR(IF(X288="",0,CEILING((X288/$H288),1)*$H288),"")</f>
        <v>26.4</v>
      </c>
      <c r="Z288" s="36">
        <f>IFERROR(IF(Y288=0,"",ROUNDUP(Y288/H288,0)*0.00651),"")</f>
        <v>7.1610000000000007E-2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26.875</v>
      </c>
      <c r="BN288" s="64">
        <f>IFERROR(Y288*I288/H288,"0")</f>
        <v>28.38</v>
      </c>
      <c r="BO288" s="64">
        <f>IFERROR(1/J288*(X288/H288),"0")</f>
        <v>5.7234432234432246E-2</v>
      </c>
      <c r="BP288" s="64">
        <f>IFERROR(1/J288*(Y288/H288),"0")</f>
        <v>6.0439560439560447E-2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24.166666666666668</v>
      </c>
      <c r="Y290" s="669">
        <f>IFERROR(Y285/H285,"0")+IFERROR(Y286/H286,"0")+IFERROR(Y287/H287,"0")+IFERROR(Y288/H288,"0")+IFERROR(Y289/H289,"0")</f>
        <v>25</v>
      </c>
      <c r="Z290" s="669">
        <f>IFERROR(IF(Z285="",0,Z285),"0")+IFERROR(IF(Z286="",0,Z286),"0")+IFERROR(IF(Z287="",0,Z287),"0")+IFERROR(IF(Z288="",0,Z288),"0")+IFERROR(IF(Z289="",0,Z289),"0")</f>
        <v>0.16275000000000001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58</v>
      </c>
      <c r="Y291" s="669">
        <f>IFERROR(SUM(Y285:Y289),"0")</f>
        <v>60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2</v>
      </c>
      <c r="Y360" s="668">
        <f>IFERROR(IF(X360="",0,CEILING((X360/$H360),1)*$H360),"")</f>
        <v>2.5499999999999998</v>
      </c>
      <c r="Z360" s="36">
        <f>IFERROR(IF(Y360=0,"",ROUNDUP(Y360/H360,0)*0.00651),"")</f>
        <v>6.5100000000000002E-3</v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2.2588235294117647</v>
      </c>
      <c r="BN360" s="64">
        <f>IFERROR(Y360*I360/H360,"0")</f>
        <v>2.88</v>
      </c>
      <c r="BO360" s="64">
        <f>IFERROR(1/J360*(X360/H360),"0")</f>
        <v>4.3094160741219576E-3</v>
      </c>
      <c r="BP360" s="64">
        <f>IFERROR(1/J360*(Y360/H360),"0")</f>
        <v>5.4945054945054949E-3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0.78431372549019618</v>
      </c>
      <c r="Y361" s="669">
        <f>IFERROR(Y357/H357,"0")+IFERROR(Y358/H358,"0")+IFERROR(Y359/H359,"0")+IFERROR(Y360/H360,"0")</f>
        <v>1</v>
      </c>
      <c r="Z361" s="669">
        <f>IFERROR(IF(Z357="",0,Z357),"0")+IFERROR(IF(Z358="",0,Z358),"0")+IFERROR(IF(Z359="",0,Z359),"0")+IFERROR(IF(Z360="",0,Z360),"0")</f>
        <v>6.5100000000000002E-3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2</v>
      </c>
      <c r="Y362" s="669">
        <f>IFERROR(SUM(Y357:Y360),"0")</f>
        <v>2.5499999999999998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57</v>
      </c>
      <c r="Y406" s="668">
        <f>IFERROR(IF(X406="",0,CEILING((X406/$H406),1)*$H406),"")</f>
        <v>63</v>
      </c>
      <c r="Z406" s="36">
        <f>IFERROR(IF(Y406=0,"",ROUNDUP(Y406/H406,0)*0.01898),"")</f>
        <v>0.13286000000000001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60.286999999999999</v>
      </c>
      <c r="BN406" s="64">
        <f>IFERROR(Y406*I406/H406,"0")</f>
        <v>66.632999999999996</v>
      </c>
      <c r="BO406" s="64">
        <f>IFERROR(1/J406*(X406/H406),"0")</f>
        <v>9.8958333333333329E-2</v>
      </c>
      <c r="BP406" s="64">
        <f>IFERROR(1/J406*(Y406/H406),"0")</f>
        <v>0.109375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6.333333333333333</v>
      </c>
      <c r="Y407" s="669">
        <f>IFERROR(Y406/H406,"0")</f>
        <v>7</v>
      </c>
      <c r="Z407" s="669">
        <f>IFERROR(IF(Z406="",0,Z406),"0")</f>
        <v>0.13286000000000001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57</v>
      </c>
      <c r="Y408" s="669">
        <f>IFERROR(SUM(Y406:Y406),"0")</f>
        <v>63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2</v>
      </c>
      <c r="Y471" s="668">
        <f>IFERROR(IF(X471="",0,CEILING((X471/$H471),1)*$H471),"")</f>
        <v>2.4</v>
      </c>
      <c r="Z471" s="36">
        <f>IFERROR(IF(Y471=0,"",ROUNDUP(Y471/H471,0)*0.00651),"")</f>
        <v>1.302E-2</v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3.5000000000000004</v>
      </c>
      <c r="BN471" s="64">
        <f>IFERROR(Y471*I471/H471,"0")</f>
        <v>4.2</v>
      </c>
      <c r="BO471" s="64">
        <f>IFERROR(1/J471*(X471/H471),"0")</f>
        <v>9.1575091575091579E-3</v>
      </c>
      <c r="BP471" s="64">
        <f>IFERROR(1/J471*(Y471/H471),"0")</f>
        <v>1.098901098901099E-2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1.6666666666666667</v>
      </c>
      <c r="Y472" s="669">
        <f>IFERROR(Y470/H470,"0")+IFERROR(Y471/H471,"0")</f>
        <v>2</v>
      </c>
      <c r="Z472" s="669">
        <f>IFERROR(IF(Z470="",0,Z470),"0")+IFERROR(IF(Z471="",0,Z471),"0")</f>
        <v>1.302E-2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2</v>
      </c>
      <c r="Y473" s="669">
        <f>IFERROR(SUM(Y470:Y471),"0")</f>
        <v>2.4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98</v>
      </c>
      <c r="Y565" s="668">
        <f>IFERROR(IF(X565="",0,CEILING((X565/$H565),1)*$H565),"")</f>
        <v>99</v>
      </c>
      <c r="Z565" s="36">
        <f>IFERROR(IF(Y565=0,"",ROUNDUP(Y565/H565,0)*0.01898),"")</f>
        <v>0.20877999999999999</v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103.65133333333333</v>
      </c>
      <c r="BN565" s="64">
        <f>IFERROR(Y565*I565/H565,"0")</f>
        <v>104.709</v>
      </c>
      <c r="BO565" s="64">
        <f>IFERROR(1/J565*(X565/H565),"0")</f>
        <v>0.1701388888888889</v>
      </c>
      <c r="BP565" s="64">
        <f>IFERROR(1/J565*(Y565/H565),"0")</f>
        <v>0.171875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10.888888888888889</v>
      </c>
      <c r="Y570" s="669">
        <f>IFERROR(Y565/H565,"0")+IFERROR(Y566/H566,"0")+IFERROR(Y567/H567,"0")+IFERROR(Y568/H568,"0")+IFERROR(Y569/H569,"0")</f>
        <v>11</v>
      </c>
      <c r="Z570" s="669">
        <f>IFERROR(IF(Z565="",0,Z565),"0")+IFERROR(IF(Z566="",0,Z566),"0")+IFERROR(IF(Z567="",0,Z567),"0")+IFERROR(IF(Z568="",0,Z568),"0")+IFERROR(IF(Z569="",0,Z569),"0")</f>
        <v>0.20877999999999999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98</v>
      </c>
      <c r="Y571" s="669">
        <f>IFERROR(SUM(Y565:Y569),"0")</f>
        <v>99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713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755.31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768.4856753812636</v>
      </c>
      <c r="Y597" s="669">
        <f>IFERROR(SUM(BN22:BN593),"0")</f>
        <v>813.88600000000019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2</v>
      </c>
      <c r="Y598" s="38">
        <f>ROUNDUP(SUM(BP22:BP593),0)</f>
        <v>2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818.4856753812636</v>
      </c>
      <c r="Y599" s="669">
        <f>GrossWeightTotalR+PalletQtyTotalR*25</f>
        <v>863.88600000000019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209.67849361967006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222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1.76861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55.800000000000004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11.7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90.3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368.4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2.16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60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2.5499999999999998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63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2.4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99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2025-04-25T07:29:09Z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