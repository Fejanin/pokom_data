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3DEDDBD0-B3B5-4E1C-9B20-218332CF5B3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Y595" i="1" s="1"/>
  <c r="X591" i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X578" i="1"/>
  <c r="X577" i="1"/>
  <c r="BO576" i="1"/>
  <c r="BM576" i="1"/>
  <c r="Y576" i="1"/>
  <c r="BO575" i="1"/>
  <c r="BM575" i="1"/>
  <c r="Y575" i="1"/>
  <c r="BO574" i="1"/>
  <c r="BM574" i="1"/>
  <c r="Y574" i="1"/>
  <c r="BO573" i="1"/>
  <c r="BM573" i="1"/>
  <c r="Y573" i="1"/>
  <c r="X571" i="1"/>
  <c r="Y570" i="1"/>
  <c r="X570" i="1"/>
  <c r="BP569" i="1"/>
  <c r="BO569" i="1"/>
  <c r="BN569" i="1"/>
  <c r="BM569" i="1"/>
  <c r="Z569" i="1"/>
  <c r="Y569" i="1"/>
  <c r="BP568" i="1"/>
  <c r="BO568" i="1"/>
  <c r="BN568" i="1"/>
  <c r="BM568" i="1"/>
  <c r="Z568" i="1"/>
  <c r="Y568" i="1"/>
  <c r="BP567" i="1"/>
  <c r="BO567" i="1"/>
  <c r="BN567" i="1"/>
  <c r="BM567" i="1"/>
  <c r="Z567" i="1"/>
  <c r="Y567" i="1"/>
  <c r="BP566" i="1"/>
  <c r="BO566" i="1"/>
  <c r="BN566" i="1"/>
  <c r="BM566" i="1"/>
  <c r="Z566" i="1"/>
  <c r="Y566" i="1"/>
  <c r="BP565" i="1"/>
  <c r="BO565" i="1"/>
  <c r="BN565" i="1"/>
  <c r="BM565" i="1"/>
  <c r="Z565" i="1"/>
  <c r="Z570" i="1" s="1"/>
  <c r="Y565" i="1"/>
  <c r="Y571" i="1" s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Y552" i="1"/>
  <c r="X552" i="1"/>
  <c r="BP551" i="1"/>
  <c r="BO551" i="1"/>
  <c r="BN551" i="1"/>
  <c r="BM551" i="1"/>
  <c r="Z551" i="1"/>
  <c r="Y551" i="1"/>
  <c r="BP550" i="1"/>
  <c r="BO550" i="1"/>
  <c r="BN550" i="1"/>
  <c r="BM550" i="1"/>
  <c r="Z550" i="1"/>
  <c r="Y550" i="1"/>
  <c r="BP549" i="1"/>
  <c r="BO549" i="1"/>
  <c r="BN549" i="1"/>
  <c r="BM549" i="1"/>
  <c r="Z549" i="1"/>
  <c r="Y549" i="1"/>
  <c r="BP548" i="1"/>
  <c r="BO548" i="1"/>
  <c r="BN548" i="1"/>
  <c r="BM548" i="1"/>
  <c r="Z548" i="1"/>
  <c r="Y548" i="1"/>
  <c r="BP547" i="1"/>
  <c r="BO547" i="1"/>
  <c r="BN547" i="1"/>
  <c r="BM547" i="1"/>
  <c r="Z547" i="1"/>
  <c r="Z552" i="1" s="1"/>
  <c r="Y547" i="1"/>
  <c r="Y553" i="1" s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N539" i="1"/>
  <c r="BM539" i="1"/>
  <c r="Z539" i="1"/>
  <c r="Y539" i="1"/>
  <c r="BP539" i="1" s="1"/>
  <c r="BP538" i="1"/>
  <c r="BO538" i="1"/>
  <c r="BN538" i="1"/>
  <c r="BM538" i="1"/>
  <c r="Z538" i="1"/>
  <c r="Y538" i="1"/>
  <c r="X534" i="1"/>
  <c r="X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Y530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Y459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Y453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Y398" i="1" s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79" i="1"/>
  <c r="Y378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Y379" i="1" s="1"/>
  <c r="P375" i="1"/>
  <c r="X373" i="1"/>
  <c r="Y372" i="1"/>
  <c r="X372" i="1"/>
  <c r="BP371" i="1"/>
  <c r="BO371" i="1"/>
  <c r="BN371" i="1"/>
  <c r="BM371" i="1"/>
  <c r="Z371" i="1"/>
  <c r="Z372" i="1" s="1"/>
  <c r="Y371" i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Y367" i="1" s="1"/>
  <c r="P365" i="1"/>
  <c r="BP364" i="1"/>
  <c r="BO364" i="1"/>
  <c r="BN364" i="1"/>
  <c r="BM364" i="1"/>
  <c r="Z364" i="1"/>
  <c r="Y364" i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BP357" i="1"/>
  <c r="BO357" i="1"/>
  <c r="BN357" i="1"/>
  <c r="BM357" i="1"/>
  <c r="Z357" i="1"/>
  <c r="Y357" i="1"/>
  <c r="Y362" i="1" s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Y355" i="1" s="1"/>
  <c r="P351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Y333" i="1" s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Y281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Y268" i="1" s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Y212" i="1" s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BO123" i="1"/>
  <c r="BM123" i="1"/>
  <c r="Y123" i="1"/>
  <c r="BO122" i="1"/>
  <c r="BM122" i="1"/>
  <c r="Y122" i="1"/>
  <c r="BO121" i="1"/>
  <c r="BM121" i="1"/>
  <c r="Y121" i="1"/>
  <c r="BO120" i="1"/>
  <c r="BM120" i="1"/>
  <c r="Y120" i="1"/>
  <c r="P120" i="1"/>
  <c r="BP119" i="1"/>
  <c r="BO119" i="1"/>
  <c r="BN119" i="1"/>
  <c r="BM119" i="1"/>
  <c r="Z119" i="1"/>
  <c r="Y119" i="1"/>
  <c r="P119" i="1"/>
  <c r="X117" i="1"/>
  <c r="Y116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Y91" i="1" s="1"/>
  <c r="P87" i="1"/>
  <c r="X84" i="1"/>
  <c r="X83" i="1"/>
  <c r="BO82" i="1"/>
  <c r="BM82" i="1"/>
  <c r="Y82" i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Z72" i="1" s="1"/>
  <c r="P72" i="1"/>
  <c r="BP71" i="1"/>
  <c r="BO71" i="1"/>
  <c r="BN71" i="1"/>
  <c r="BM71" i="1"/>
  <c r="Z71" i="1"/>
  <c r="Y71" i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3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606" i="1"/>
  <c r="X597" i="1"/>
  <c r="X598" i="1"/>
  <c r="Z23" i="1"/>
  <c r="Z28" i="1" s="1"/>
  <c r="BN23" i="1"/>
  <c r="BP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32" i="1"/>
  <c r="Z37" i="1"/>
  <c r="BN37" i="1"/>
  <c r="BP37" i="1"/>
  <c r="Z39" i="1"/>
  <c r="BN39" i="1"/>
  <c r="Y42" i="1"/>
  <c r="Y596" i="1" s="1"/>
  <c r="D606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Y77" i="1"/>
  <c r="BP76" i="1"/>
  <c r="BN76" i="1"/>
  <c r="Z76" i="1"/>
  <c r="Y78" i="1"/>
  <c r="Y83" i="1"/>
  <c r="BP80" i="1"/>
  <c r="BN80" i="1"/>
  <c r="Z80" i="1"/>
  <c r="BP89" i="1"/>
  <c r="BN89" i="1"/>
  <c r="Z89" i="1"/>
  <c r="Y102" i="1"/>
  <c r="BP93" i="1"/>
  <c r="BN93" i="1"/>
  <c r="Z93" i="1"/>
  <c r="BP101" i="1"/>
  <c r="BN101" i="1"/>
  <c r="Z101" i="1"/>
  <c r="Y103" i="1"/>
  <c r="F606" i="1"/>
  <c r="Y111" i="1"/>
  <c r="BP106" i="1"/>
  <c r="BN106" i="1"/>
  <c r="Z106" i="1"/>
  <c r="Y110" i="1"/>
  <c r="BP114" i="1"/>
  <c r="BN114" i="1"/>
  <c r="Z114" i="1"/>
  <c r="Z116" i="1" s="1"/>
  <c r="Y126" i="1"/>
  <c r="BP121" i="1"/>
  <c r="BN121" i="1"/>
  <c r="Z121" i="1"/>
  <c r="BP123" i="1"/>
  <c r="BN123" i="1"/>
  <c r="Z123" i="1"/>
  <c r="BP136" i="1"/>
  <c r="BN136" i="1"/>
  <c r="Z136" i="1"/>
  <c r="Z137" i="1" s="1"/>
  <c r="Y138" i="1"/>
  <c r="Y143" i="1"/>
  <c r="BP140" i="1"/>
  <c r="BN140" i="1"/>
  <c r="Z140" i="1"/>
  <c r="Z142" i="1" s="1"/>
  <c r="Y147" i="1"/>
  <c r="BP157" i="1"/>
  <c r="BN157" i="1"/>
  <c r="Z157" i="1"/>
  <c r="Y162" i="1"/>
  <c r="BP161" i="1"/>
  <c r="BN161" i="1"/>
  <c r="Z161" i="1"/>
  <c r="Z162" i="1" s="1"/>
  <c r="Y163" i="1"/>
  <c r="I606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6" i="1"/>
  <c r="BP254" i="1"/>
  <c r="BN254" i="1"/>
  <c r="Z254" i="1"/>
  <c r="BP256" i="1"/>
  <c r="BN256" i="1"/>
  <c r="Z256" i="1"/>
  <c r="BP264" i="1"/>
  <c r="BN264" i="1"/>
  <c r="Z264" i="1"/>
  <c r="BP278" i="1"/>
  <c r="BN278" i="1"/>
  <c r="Z278" i="1"/>
  <c r="Z281" i="1" s="1"/>
  <c r="BP288" i="1"/>
  <c r="BN288" i="1"/>
  <c r="Z288" i="1"/>
  <c r="Y318" i="1"/>
  <c r="BP329" i="1"/>
  <c r="BN329" i="1"/>
  <c r="Z329" i="1"/>
  <c r="BP337" i="1"/>
  <c r="BN337" i="1"/>
  <c r="Z337" i="1"/>
  <c r="BP345" i="1"/>
  <c r="BN345" i="1"/>
  <c r="Z345" i="1"/>
  <c r="BP353" i="1"/>
  <c r="BN353" i="1"/>
  <c r="Z353" i="1"/>
  <c r="BP359" i="1"/>
  <c r="BN359" i="1"/>
  <c r="Z359" i="1"/>
  <c r="Z361" i="1" s="1"/>
  <c r="Y368" i="1"/>
  <c r="BP376" i="1"/>
  <c r="BN376" i="1"/>
  <c r="Z376" i="1"/>
  <c r="Z378" i="1" s="1"/>
  <c r="BP387" i="1"/>
  <c r="BN387" i="1"/>
  <c r="Z387" i="1"/>
  <c r="BP391" i="1"/>
  <c r="BN391" i="1"/>
  <c r="Z391" i="1"/>
  <c r="BP443" i="1"/>
  <c r="BN443" i="1"/>
  <c r="Z443" i="1"/>
  <c r="BP446" i="1"/>
  <c r="BN446" i="1"/>
  <c r="Z446" i="1"/>
  <c r="BP513" i="1"/>
  <c r="BN513" i="1"/>
  <c r="Z513" i="1"/>
  <c r="BP515" i="1"/>
  <c r="BN515" i="1"/>
  <c r="Z515" i="1"/>
  <c r="BP517" i="1"/>
  <c r="BN517" i="1"/>
  <c r="Z517" i="1"/>
  <c r="BP521" i="1"/>
  <c r="BN521" i="1"/>
  <c r="Z521" i="1"/>
  <c r="F9" i="1"/>
  <c r="J9" i="1"/>
  <c r="Y41" i="1"/>
  <c r="BP72" i="1"/>
  <c r="Y598" i="1" s="1"/>
  <c r="BN72" i="1"/>
  <c r="Y597" i="1" s="1"/>
  <c r="BP74" i="1"/>
  <c r="BN74" i="1"/>
  <c r="Z74" i="1"/>
  <c r="Z77" i="1" s="1"/>
  <c r="BP82" i="1"/>
  <c r="BN82" i="1"/>
  <c r="Z82" i="1"/>
  <c r="Y84" i="1"/>
  <c r="E606" i="1"/>
  <c r="Y90" i="1"/>
  <c r="BP87" i="1"/>
  <c r="BN87" i="1"/>
  <c r="Z87" i="1"/>
  <c r="Z90" i="1" s="1"/>
  <c r="BP99" i="1"/>
  <c r="BN99" i="1"/>
  <c r="Z99" i="1"/>
  <c r="BP108" i="1"/>
  <c r="BN108" i="1"/>
  <c r="Z108" i="1"/>
  <c r="BP120" i="1"/>
  <c r="BN120" i="1"/>
  <c r="Z120" i="1"/>
  <c r="Z126" i="1" s="1"/>
  <c r="BP122" i="1"/>
  <c r="BN122" i="1"/>
  <c r="Z122" i="1"/>
  <c r="BP125" i="1"/>
  <c r="BN125" i="1"/>
  <c r="Z125" i="1"/>
  <c r="Y127" i="1"/>
  <c r="Y132" i="1"/>
  <c r="BP129" i="1"/>
  <c r="BN129" i="1"/>
  <c r="Z129" i="1"/>
  <c r="Z131" i="1" s="1"/>
  <c r="BP146" i="1"/>
  <c r="BN146" i="1"/>
  <c r="Z146" i="1"/>
  <c r="Z147" i="1" s="1"/>
  <c r="Y148" i="1"/>
  <c r="H606" i="1"/>
  <c r="Y152" i="1"/>
  <c r="BP151" i="1"/>
  <c r="BN151" i="1"/>
  <c r="Z151" i="1"/>
  <c r="Z152" i="1" s="1"/>
  <c r="Y153" i="1"/>
  <c r="Y158" i="1"/>
  <c r="BP155" i="1"/>
  <c r="BN155" i="1"/>
  <c r="Z155" i="1"/>
  <c r="Z158" i="1" s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BP286" i="1"/>
  <c r="BN286" i="1"/>
  <c r="Z286" i="1"/>
  <c r="Z290" i="1" s="1"/>
  <c r="Y290" i="1"/>
  <c r="BP317" i="1"/>
  <c r="BN317" i="1"/>
  <c r="Z317" i="1"/>
  <c r="Z318" i="1" s="1"/>
  <c r="Y319" i="1"/>
  <c r="T606" i="1"/>
  <c r="Y323" i="1"/>
  <c r="BP322" i="1"/>
  <c r="BN322" i="1"/>
  <c r="Z322" i="1"/>
  <c r="Z323" i="1" s="1"/>
  <c r="Y324" i="1"/>
  <c r="U606" i="1"/>
  <c r="Y334" i="1"/>
  <c r="BP327" i="1"/>
  <c r="BN327" i="1"/>
  <c r="Z327" i="1"/>
  <c r="Z333" i="1" s="1"/>
  <c r="BP331" i="1"/>
  <c r="BN331" i="1"/>
  <c r="Z331" i="1"/>
  <c r="BP339" i="1"/>
  <c r="BN339" i="1"/>
  <c r="Z339" i="1"/>
  <c r="Y341" i="1"/>
  <c r="Y348" i="1"/>
  <c r="BP343" i="1"/>
  <c r="BN343" i="1"/>
  <c r="Z343" i="1"/>
  <c r="BP347" i="1"/>
  <c r="BN347" i="1"/>
  <c r="Z347" i="1"/>
  <c r="Y349" i="1"/>
  <c r="Y354" i="1"/>
  <c r="BP351" i="1"/>
  <c r="BN351" i="1"/>
  <c r="Z351" i="1"/>
  <c r="Z354" i="1" s="1"/>
  <c r="Z367" i="1"/>
  <c r="BP365" i="1"/>
  <c r="BN365" i="1"/>
  <c r="Z365" i="1"/>
  <c r="BP384" i="1"/>
  <c r="BN384" i="1"/>
  <c r="Z384" i="1"/>
  <c r="BP413" i="1"/>
  <c r="BN413" i="1"/>
  <c r="Z413" i="1"/>
  <c r="BP425" i="1"/>
  <c r="BN425" i="1"/>
  <c r="Z425" i="1"/>
  <c r="Y466" i="1"/>
  <c r="BP462" i="1"/>
  <c r="BN462" i="1"/>
  <c r="Z462" i="1"/>
  <c r="Y467" i="1"/>
  <c r="BP471" i="1"/>
  <c r="BN471" i="1"/>
  <c r="Z471" i="1"/>
  <c r="Y473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533" i="1"/>
  <c r="BP532" i="1"/>
  <c r="BN532" i="1"/>
  <c r="Z532" i="1"/>
  <c r="Z533" i="1" s="1"/>
  <c r="Y534" i="1"/>
  <c r="BP540" i="1"/>
  <c r="BN540" i="1"/>
  <c r="Z540" i="1"/>
  <c r="Z544" i="1" s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BP576" i="1"/>
  <c r="BN576" i="1"/>
  <c r="Z576" i="1"/>
  <c r="Y578" i="1"/>
  <c r="Y586" i="1"/>
  <c r="BP585" i="1"/>
  <c r="BN585" i="1"/>
  <c r="Z585" i="1"/>
  <c r="Z586" i="1" s="1"/>
  <c r="Y587" i="1"/>
  <c r="G606" i="1"/>
  <c r="Y137" i="1"/>
  <c r="J606" i="1"/>
  <c r="Y196" i="1"/>
  <c r="K606" i="1"/>
  <c r="Y241" i="1"/>
  <c r="Y274" i="1"/>
  <c r="O606" i="1"/>
  <c r="Y282" i="1"/>
  <c r="P606" i="1"/>
  <c r="Y291" i="1"/>
  <c r="Y296" i="1"/>
  <c r="Y309" i="1"/>
  <c r="S606" i="1"/>
  <c r="Y314" i="1"/>
  <c r="V606" i="1"/>
  <c r="Y373" i="1"/>
  <c r="W606" i="1"/>
  <c r="Y394" i="1"/>
  <c r="BP385" i="1"/>
  <c r="BN385" i="1"/>
  <c r="Z385" i="1"/>
  <c r="Z393" i="1" s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Z448" i="1" s="1"/>
  <c r="Y448" i="1"/>
  <c r="BP452" i="1"/>
  <c r="BN452" i="1"/>
  <c r="Z452" i="1"/>
  <c r="Z453" i="1" s="1"/>
  <c r="Y454" i="1"/>
  <c r="Z606" i="1"/>
  <c r="Y460" i="1"/>
  <c r="BP457" i="1"/>
  <c r="BN457" i="1"/>
  <c r="Z457" i="1"/>
  <c r="Z459" i="1" s="1"/>
  <c r="BP465" i="1"/>
  <c r="BN465" i="1"/>
  <c r="Z465" i="1"/>
  <c r="AA606" i="1"/>
  <c r="Y472" i="1"/>
  <c r="BP470" i="1"/>
  <c r="BN470" i="1"/>
  <c r="Z470" i="1"/>
  <c r="Z472" i="1" s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606" i="1"/>
  <c r="Y449" i="1"/>
  <c r="AD606" i="1"/>
  <c r="Y544" i="1"/>
  <c r="BP541" i="1"/>
  <c r="BN541" i="1"/>
  <c r="Z541" i="1"/>
  <c r="BP543" i="1"/>
  <c r="BN543" i="1"/>
  <c r="Z543" i="1"/>
  <c r="Y545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63" i="1"/>
  <c r="Y577" i="1"/>
  <c r="BP573" i="1"/>
  <c r="BN573" i="1"/>
  <c r="Z573" i="1"/>
  <c r="BP575" i="1"/>
  <c r="BN575" i="1"/>
  <c r="Z575" i="1"/>
  <c r="AE606" i="1"/>
  <c r="Y583" i="1"/>
  <c r="Z593" i="1"/>
  <c r="Z594" i="1" s="1"/>
  <c r="BN593" i="1"/>
  <c r="BP593" i="1"/>
  <c r="Y594" i="1"/>
  <c r="Y599" i="1" l="1"/>
  <c r="Z577" i="1"/>
  <c r="Z562" i="1"/>
  <c r="Z466" i="1"/>
  <c r="Z348" i="1"/>
  <c r="Z268" i="1"/>
  <c r="Z258" i="1"/>
  <c r="Z224" i="1"/>
  <c r="Z340" i="1"/>
  <c r="Z110" i="1"/>
  <c r="Z83" i="1"/>
  <c r="Z41" i="1"/>
  <c r="Z601" i="1" s="1"/>
  <c r="Y600" i="1"/>
  <c r="Z523" i="1"/>
  <c r="Z502" i="1"/>
  <c r="Z186" i="1"/>
  <c r="Z241" i="1"/>
  <c r="Z212" i="1"/>
  <c r="Z180" i="1"/>
  <c r="Z102" i="1"/>
  <c r="X599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<sst xmlns="http://schemas.openxmlformats.org/spreadsheetml/2006/main" count="2760" uniqueCount="998">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</sst>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4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250</v>
      </c>
      <c r="Y50" s="668">
        <f t="shared" si="6"/>
        <v>259.20000000000005</v>
      </c>
      <c r="Z50" s="36">
        <f>IFERROR(IF(Y50=0,"",ROUNDUP(Y50/H50,0)*0.01898),"")</f>
        <v>0.45552000000000004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260.0694444444444</v>
      </c>
      <c r="BN50" s="64">
        <f t="shared" si="8"/>
        <v>269.64000000000004</v>
      </c>
      <c r="BO50" s="64">
        <f t="shared" si="9"/>
        <v>0.36168981481481477</v>
      </c>
      <c r="BP50" s="64">
        <f t="shared" si="10"/>
        <v>0.37500000000000006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67.5</v>
      </c>
      <c r="Y54" s="668">
        <f t="shared" si="6"/>
        <v>67.5</v>
      </c>
      <c r="Z54" s="36">
        <f>IFERROR(IF(Y54=0,"",ROUNDUP(Y54/H54,0)*0.00902),"")</f>
        <v>0.1353</v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70.650000000000006</v>
      </c>
      <c r="BN54" s="64">
        <f t="shared" si="8"/>
        <v>70.650000000000006</v>
      </c>
      <c r="BO54" s="64">
        <f t="shared" si="9"/>
        <v>0.11363636363636365</v>
      </c>
      <c r="BP54" s="64">
        <f t="shared" si="10"/>
        <v>0.11363636363636365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38.148148148148145</v>
      </c>
      <c r="Y55" s="669">
        <f>IFERROR(Y49/H49,"0")+IFERROR(Y50/H50,"0")+IFERROR(Y51/H51,"0")+IFERROR(Y52/H52,"0")+IFERROR(Y53/H53,"0")+IFERROR(Y54/H54,"0")</f>
        <v>39</v>
      </c>
      <c r="Z55" s="669">
        <f>IFERROR(IF(Z49="",0,Z49),"0")+IFERROR(IF(Z50="",0,Z50),"0")+IFERROR(IF(Z51="",0,Z51),"0")+IFERROR(IF(Z52="",0,Z52),"0")+IFERROR(IF(Z53="",0,Z53),"0")+IFERROR(IF(Z54="",0,Z54),"0")</f>
        <v>0.59082000000000001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317.5</v>
      </c>
      <c r="Y56" s="669">
        <f>IFERROR(SUM(Y49:Y54),"0")</f>
        <v>326.70000000000005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100</v>
      </c>
      <c r="Y58" s="668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9.2592592592592595</v>
      </c>
      <c r="Y62" s="669">
        <f>IFERROR(Y58/H58,"0")+IFERROR(Y59/H59,"0")+IFERROR(Y60/H60,"0")+IFERROR(Y61/H61,"0")</f>
        <v>10</v>
      </c>
      <c r="Z62" s="669">
        <f>IFERROR(IF(Z58="",0,Z58),"0")+IFERROR(IF(Z59="",0,Z59),"0")+IFERROR(IF(Z60="",0,Z60),"0")+IFERROR(IF(Z61="",0,Z61),"0")</f>
        <v>0.1898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100</v>
      </c>
      <c r="Y63" s="669">
        <f>IFERROR(SUM(Y58:Y61),"0")</f>
        <v>108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250</v>
      </c>
      <c r="Y351" s="668">
        <f>IFERROR(IF(X351="",0,CEILING((X351/$H351),1)*$H351),"")</f>
        <v>252</v>
      </c>
      <c r="Z351" s="36">
        <f>IFERROR(IF(Y351=0,"",ROUNDUP(Y351/H351,0)*0.01898),"")</f>
        <v>0.56940000000000002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265.44642857142856</v>
      </c>
      <c r="BN351" s="64">
        <f>IFERROR(Y351*I351/H351,"0")</f>
        <v>267.57</v>
      </c>
      <c r="BO351" s="64">
        <f>IFERROR(1/J351*(X351/H351),"0")</f>
        <v>0.46502976190476186</v>
      </c>
      <c r="BP351" s="64">
        <f>IFERROR(1/J351*(Y351/H351),"0")</f>
        <v>0.46875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29.761904761904759</v>
      </c>
      <c r="Y354" s="669">
        <f>IFERROR(Y351/H351,"0")+IFERROR(Y352/H352,"0")+IFERROR(Y353/H353,"0")</f>
        <v>30</v>
      </c>
      <c r="Z354" s="669">
        <f>IFERROR(IF(Z351="",0,Z351),"0")+IFERROR(IF(Z352="",0,Z352),"0")+IFERROR(IF(Z353="",0,Z353),"0")</f>
        <v>0.56940000000000002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250</v>
      </c>
      <c r="Y355" s="669">
        <f>IFERROR(SUM(Y351:Y353),"0")</f>
        <v>252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1000</v>
      </c>
      <c r="Y383" s="668">
        <f t="shared" ref="Y383:Y392" si="57">IFERROR(IF(X383="",0,CEILING((X383/$H383),1)*$H383),"")</f>
        <v>1005</v>
      </c>
      <c r="Z383" s="36">
        <f>IFERROR(IF(Y383=0,"",ROUNDUP(Y383/H383,0)*0.02175),"")</f>
        <v>1.4572499999999999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1032</v>
      </c>
      <c r="BN383" s="64">
        <f t="shared" ref="BN383:BN392" si="59">IFERROR(Y383*I383/H383,"0")</f>
        <v>1037.1600000000001</v>
      </c>
      <c r="BO383" s="64">
        <f t="shared" ref="BO383:BO392" si="60">IFERROR(1/J383*(X383/H383),"0")</f>
        <v>1.3888888888888888</v>
      </c>
      <c r="BP383" s="64">
        <f t="shared" ref="BP383:BP392" si="61">IFERROR(1/J383*(Y383/H383),"0")</f>
        <v>1.3958333333333333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1000</v>
      </c>
      <c r="Y388" s="668">
        <f t="shared" si="57"/>
        <v>1005</v>
      </c>
      <c r="Z388" s="36">
        <f>IFERROR(IF(Y388=0,"",ROUNDUP(Y388/H388,0)*0.02175),"")</f>
        <v>1.4572499999999999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1032</v>
      </c>
      <c r="BN388" s="64">
        <f t="shared" si="59"/>
        <v>1037.1600000000001</v>
      </c>
      <c r="BO388" s="64">
        <f t="shared" si="60"/>
        <v>1.3888888888888888</v>
      </c>
      <c r="BP388" s="64">
        <f t="shared" si="61"/>
        <v>1.3958333333333333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133.33333333333334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134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2.9144999999999999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2000</v>
      </c>
      <c r="Y394" s="669">
        <f>IFERROR(SUM(Y383:Y392),"0")</f>
        <v>2010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1500</v>
      </c>
      <c r="Y396" s="668">
        <f>IFERROR(IF(X396="",0,CEILING((X396/$H396),1)*$H396),"")</f>
        <v>1500</v>
      </c>
      <c r="Z396" s="36">
        <f>IFERROR(IF(Y396=0,"",ROUNDUP(Y396/H396,0)*0.02175),"")</f>
        <v>2.1749999999999998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1548</v>
      </c>
      <c r="BN396" s="64">
        <f>IFERROR(Y396*I396/H396,"0")</f>
        <v>1548</v>
      </c>
      <c r="BO396" s="64">
        <f>IFERROR(1/J396*(X396/H396),"0")</f>
        <v>2.083333333333333</v>
      </c>
      <c r="BP396" s="64">
        <f>IFERROR(1/J396*(Y396/H396),"0")</f>
        <v>2.083333333333333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100</v>
      </c>
      <c r="Y398" s="669">
        <f>IFERROR(Y396/H396,"0")+IFERROR(Y397/H397,"0")</f>
        <v>100</v>
      </c>
      <c r="Z398" s="669">
        <f>IFERROR(IF(Z396="",0,Z396),"0")+IFERROR(IF(Z397="",0,Z397),"0")</f>
        <v>2.1749999999999998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1500</v>
      </c>
      <c r="Y399" s="669">
        <f>IFERROR(SUM(Y396:Y397),"0")</f>
        <v>1500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150</v>
      </c>
      <c r="Y419" s="668">
        <f>IFERROR(IF(X419="",0,CEILING((X419/$H419),1)*$H419),"")</f>
        <v>153.29999999999998</v>
      </c>
      <c r="Z419" s="36">
        <f>IFERROR(IF(Y419=0,"",ROUNDUP(Y419/H419,0)*0.00902),"")</f>
        <v>0.31569999999999998</v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159.24657534246575</v>
      </c>
      <c r="BN419" s="64">
        <f>IFERROR(Y419*I419/H419,"0")</f>
        <v>162.75</v>
      </c>
      <c r="BO419" s="64">
        <f>IFERROR(1/J419*(X419/H419),"0")</f>
        <v>0.25944375259443753</v>
      </c>
      <c r="BP419" s="64">
        <f>IFERROR(1/J419*(Y419/H419),"0")</f>
        <v>0.26515151515151514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34.246575342465754</v>
      </c>
      <c r="Y420" s="669">
        <f>IFERROR(Y419/H419,"0")</f>
        <v>35</v>
      </c>
      <c r="Z420" s="669">
        <f>IFERROR(IF(Z419="",0,Z419),"0")</f>
        <v>0.31569999999999998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150</v>
      </c>
      <c r="Y421" s="669">
        <f>IFERROR(SUM(Y419:Y419),"0")</f>
        <v>153.29999999999998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200</v>
      </c>
      <c r="Y490" s="668">
        <f t="shared" si="68"/>
        <v>200.64000000000001</v>
      </c>
      <c r="Z490" s="36">
        <f t="shared" si="69"/>
        <v>0.45448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213.63636363636363</v>
      </c>
      <c r="BN490" s="64">
        <f t="shared" si="71"/>
        <v>214.32</v>
      </c>
      <c r="BO490" s="64">
        <f t="shared" si="72"/>
        <v>0.36421911421911418</v>
      </c>
      <c r="BP490" s="64">
        <f t="shared" si="73"/>
        <v>0.36538461538461542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37.878787878787875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38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0.45448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200</v>
      </c>
      <c r="Y503" s="669">
        <f>IFERROR(SUM(Y486:Y501),"0")</f>
        <v>200.64000000000001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300</v>
      </c>
      <c r="Y505" s="668">
        <f>IFERROR(IF(X505="",0,CEILING((X505/$H505),1)*$H505),"")</f>
        <v>300.96000000000004</v>
      </c>
      <c r="Z505" s="36">
        <f>IFERROR(IF(Y505=0,"",ROUNDUP(Y505/H505,0)*0.01196),"")</f>
        <v>0.68171999999999999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320.45454545454544</v>
      </c>
      <c r="BN505" s="64">
        <f>IFERROR(Y505*I505/H505,"0")</f>
        <v>321.48</v>
      </c>
      <c r="BO505" s="64">
        <f>IFERROR(1/J505*(X505/H505),"0")</f>
        <v>0.54632867132867136</v>
      </c>
      <c r="BP505" s="64">
        <f>IFERROR(1/J505*(Y505/H505),"0")</f>
        <v>0.54807692307692313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56.818181818181813</v>
      </c>
      <c r="Y509" s="669">
        <f>IFERROR(Y505/H505,"0")+IFERROR(Y506/H506,"0")+IFERROR(Y507/H507,"0")+IFERROR(Y508/H508,"0")</f>
        <v>57.000000000000007</v>
      </c>
      <c r="Z509" s="669">
        <f>IFERROR(IF(Z505="",0,Z505),"0")+IFERROR(IF(Z506="",0,Z506),"0")+IFERROR(IF(Z507="",0,Z507),"0")+IFERROR(IF(Z508="",0,Z508),"0")</f>
        <v>0.68171999999999999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300</v>
      </c>
      <c r="Y510" s="669">
        <f>IFERROR(SUM(Y505:Y508),"0")</f>
        <v>300.96000000000004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50</v>
      </c>
      <c r="Y512" s="668">
        <f t="shared" ref="Y512:Y522" si="74">IFERROR(IF(X512="",0,CEILING((X512/$H512),1)*$H512),"")</f>
        <v>52.800000000000004</v>
      </c>
      <c r="Z512" s="36">
        <f>IFERROR(IF(Y512=0,"",ROUNDUP(Y512/H512,0)*0.01196),"")</f>
        <v>0.1196</v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53.409090909090907</v>
      </c>
      <c r="BN512" s="64">
        <f t="shared" ref="BN512:BN522" si="76">IFERROR(Y512*I512/H512,"0")</f>
        <v>56.400000000000006</v>
      </c>
      <c r="BO512" s="64">
        <f t="shared" ref="BO512:BO522" si="77">IFERROR(1/J512*(X512/H512),"0")</f>
        <v>9.1054778554778545E-2</v>
      </c>
      <c r="BP512" s="64">
        <f t="shared" ref="BP512:BP522" si="78">IFERROR(1/J512*(Y512/H512),"0")</f>
        <v>9.6153846153846159E-2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50</v>
      </c>
      <c r="Y513" s="668">
        <f t="shared" si="74"/>
        <v>52.800000000000004</v>
      </c>
      <c r="Z513" s="36">
        <f>IFERROR(IF(Y513=0,"",ROUNDUP(Y513/H513,0)*0.01196),"")</f>
        <v>0.1196</v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53.409090909090907</v>
      </c>
      <c r="BN513" s="64">
        <f t="shared" si="76"/>
        <v>56.400000000000006</v>
      </c>
      <c r="BO513" s="64">
        <f t="shared" si="77"/>
        <v>9.1054778554778545E-2</v>
      </c>
      <c r="BP513" s="64">
        <f t="shared" si="78"/>
        <v>9.6153846153846159E-2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150</v>
      </c>
      <c r="Y514" s="668">
        <f t="shared" si="74"/>
        <v>153.12</v>
      </c>
      <c r="Z514" s="36">
        <f>IFERROR(IF(Y514=0,"",ROUNDUP(Y514/H514,0)*0.01196),"")</f>
        <v>0.34683999999999998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160.22727272727272</v>
      </c>
      <c r="BN514" s="64">
        <f t="shared" si="76"/>
        <v>163.56</v>
      </c>
      <c r="BO514" s="64">
        <f t="shared" si="77"/>
        <v>0.27316433566433568</v>
      </c>
      <c r="BP514" s="64">
        <f t="shared" si="78"/>
        <v>0.27884615384615385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47.348484848484844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49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0.58604000000000001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250</v>
      </c>
      <c r="Y524" s="669">
        <f>IFERROR(SUM(Y512:Y522),"0")</f>
        <v>258.72000000000003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5067.5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5110.3200000000006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5272.5765897724805</v>
      </c>
      <c r="Y597" s="669">
        <f>IFERROR(SUM(BN22:BN593),"0")</f>
        <v>5317.44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8</v>
      </c>
      <c r="Y598" s="38">
        <f>ROUNDUP(SUM(BP22:BP593),0)</f>
        <v>8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5472.5765897724805</v>
      </c>
      <c r="Y599" s="669">
        <f>GrossWeightTotalR+PalletQtyTotalR*25</f>
        <v>5517.44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486.79467539056577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492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8.4774600000000007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434.70000000000005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252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3510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153.29999999999998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760.31999999999994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