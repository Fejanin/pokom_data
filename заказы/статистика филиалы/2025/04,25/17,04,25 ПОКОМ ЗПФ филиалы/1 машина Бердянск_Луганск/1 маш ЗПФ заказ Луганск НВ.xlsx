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4D0009A5-A58A-4765-A0C0-378028B56A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Y330" i="1"/>
  <c r="X330" i="1"/>
  <c r="Z329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6" i="1" s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Y295" i="1"/>
  <c r="X295" i="1"/>
  <c r="Z294" i="1"/>
  <c r="X294" i="1"/>
  <c r="BO293" i="1"/>
  <c r="BM293" i="1"/>
  <c r="Z293" i="1"/>
  <c r="Y293" i="1"/>
  <c r="P293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Y273" i="1"/>
  <c r="X273" i="1"/>
  <c r="Z272" i="1"/>
  <c r="X272" i="1"/>
  <c r="BO271" i="1"/>
  <c r="BM271" i="1"/>
  <c r="Z271" i="1"/>
  <c r="Y271" i="1"/>
  <c r="P271" i="1"/>
  <c r="BP270" i="1"/>
  <c r="BO270" i="1"/>
  <c r="BN270" i="1"/>
  <c r="BM270" i="1"/>
  <c r="Z270" i="1"/>
  <c r="Y270" i="1"/>
  <c r="Y272" i="1" s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Z259" i="1" s="1"/>
  <c r="Y257" i="1"/>
  <c r="P257" i="1"/>
  <c r="X254" i="1"/>
  <c r="Z253" i="1"/>
  <c r="X253" i="1"/>
  <c r="BO252" i="1"/>
  <c r="BM252" i="1"/>
  <c r="Z252" i="1"/>
  <c r="Y252" i="1"/>
  <c r="P252" i="1"/>
  <c r="Y249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Z237" i="1" s="1"/>
  <c r="Y233" i="1"/>
  <c r="Y238" i="1" s="1"/>
  <c r="P233" i="1"/>
  <c r="X230" i="1"/>
  <c r="X229" i="1"/>
  <c r="BO228" i="1"/>
  <c r="BM228" i="1"/>
  <c r="Z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9" i="1" s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Y220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Z212" i="1" s="1"/>
  <c r="Y208" i="1"/>
  <c r="Y213" i="1" s="1"/>
  <c r="P208" i="1"/>
  <c r="X204" i="1"/>
  <c r="Z203" i="1"/>
  <c r="X203" i="1"/>
  <c r="BO202" i="1"/>
  <c r="BM202" i="1"/>
  <c r="Z202" i="1"/>
  <c r="Y202" i="1"/>
  <c r="X200" i="1"/>
  <c r="X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199" i="1" s="1"/>
  <c r="Y196" i="1"/>
  <c r="P196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O182" i="1"/>
  <c r="BM182" i="1"/>
  <c r="Z182" i="1"/>
  <c r="Y182" i="1"/>
  <c r="X179" i="1"/>
  <c r="Y178" i="1"/>
  <c r="X178" i="1"/>
  <c r="BP177" i="1"/>
  <c r="BO177" i="1"/>
  <c r="BN177" i="1"/>
  <c r="BM177" i="1"/>
  <c r="Z177" i="1"/>
  <c r="Z178" i="1" s="1"/>
  <c r="Y177" i="1"/>
  <c r="Y179" i="1" s="1"/>
  <c r="X173" i="1"/>
  <c r="Z172" i="1"/>
  <c r="X172" i="1"/>
  <c r="BO171" i="1"/>
  <c r="BM171" i="1"/>
  <c r="Z171" i="1"/>
  <c r="Y171" i="1"/>
  <c r="Y173" i="1" s="1"/>
  <c r="P171" i="1"/>
  <c r="Y168" i="1"/>
  <c r="X168" i="1"/>
  <c r="Z167" i="1"/>
  <c r="X167" i="1"/>
  <c r="BO166" i="1"/>
  <c r="BM166" i="1"/>
  <c r="Z166" i="1"/>
  <c r="Y166" i="1"/>
  <c r="P166" i="1"/>
  <c r="BP165" i="1"/>
  <c r="BO165" i="1"/>
  <c r="BN165" i="1"/>
  <c r="BM165" i="1"/>
  <c r="Z165" i="1"/>
  <c r="Y165" i="1"/>
  <c r="Y167" i="1" s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Y145" i="1"/>
  <c r="X145" i="1"/>
  <c r="Z144" i="1"/>
  <c r="X144" i="1"/>
  <c r="BO143" i="1"/>
  <c r="BM143" i="1"/>
  <c r="Z143" i="1"/>
  <c r="Y143" i="1"/>
  <c r="P143" i="1"/>
  <c r="BP142" i="1"/>
  <c r="BO142" i="1"/>
  <c r="BN142" i="1"/>
  <c r="BM142" i="1"/>
  <c r="Z142" i="1"/>
  <c r="Y142" i="1"/>
  <c r="Y14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Z138" i="1" s="1"/>
  <c r="Y136" i="1"/>
  <c r="P136" i="1"/>
  <c r="X133" i="1"/>
  <c r="Z132" i="1"/>
  <c r="X132" i="1"/>
  <c r="BO131" i="1"/>
  <c r="BM131" i="1"/>
  <c r="Z131" i="1"/>
  <c r="Y131" i="1"/>
  <c r="X129" i="1"/>
  <c r="X128" i="1"/>
  <c r="BP127" i="1"/>
  <c r="BO127" i="1"/>
  <c r="BN127" i="1"/>
  <c r="BM127" i="1"/>
  <c r="Z127" i="1"/>
  <c r="Y127" i="1"/>
  <c r="P127" i="1"/>
  <c r="BO126" i="1"/>
  <c r="BM126" i="1"/>
  <c r="Z126" i="1"/>
  <c r="Y126" i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P124" i="1"/>
  <c r="BP123" i="1"/>
  <c r="BO123" i="1"/>
  <c r="BN123" i="1"/>
  <c r="BM123" i="1"/>
  <c r="Z123" i="1"/>
  <c r="Y123" i="1"/>
  <c r="P123" i="1"/>
  <c r="BO122" i="1"/>
  <c r="BM122" i="1"/>
  <c r="Z122" i="1"/>
  <c r="Y122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P114" i="1"/>
  <c r="BO114" i="1"/>
  <c r="BN114" i="1"/>
  <c r="BM114" i="1"/>
  <c r="Z114" i="1"/>
  <c r="Z118" i="1" s="1"/>
  <c r="Y114" i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Y104" i="1"/>
  <c r="P104" i="1"/>
  <c r="BO103" i="1"/>
  <c r="BM103" i="1"/>
  <c r="Z103" i="1"/>
  <c r="Y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Y94" i="1"/>
  <c r="P94" i="1"/>
  <c r="Y91" i="1"/>
  <c r="X91" i="1"/>
  <c r="Z90" i="1"/>
  <c r="X90" i="1"/>
  <c r="BO89" i="1"/>
  <c r="BM89" i="1"/>
  <c r="Z89" i="1"/>
  <c r="Y89" i="1"/>
  <c r="BO88" i="1"/>
  <c r="BM88" i="1"/>
  <c r="Z88" i="1"/>
  <c r="Y88" i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Y73" i="1"/>
  <c r="X73" i="1"/>
  <c r="Z72" i="1"/>
  <c r="X72" i="1"/>
  <c r="BO71" i="1"/>
  <c r="BM71" i="1"/>
  <c r="Z71" i="1"/>
  <c r="Y71" i="1"/>
  <c r="P71" i="1"/>
  <c r="X69" i="1"/>
  <c r="Z68" i="1"/>
  <c r="X68" i="1"/>
  <c r="BO67" i="1"/>
  <c r="BM67" i="1"/>
  <c r="Z67" i="1"/>
  <c r="Y67" i="1"/>
  <c r="X65" i="1"/>
  <c r="Y64" i="1"/>
  <c r="X64" i="1"/>
  <c r="BP63" i="1"/>
  <c r="BO63" i="1"/>
  <c r="BN63" i="1"/>
  <c r="BM63" i="1"/>
  <c r="Z63" i="1"/>
  <c r="Y63" i="1"/>
  <c r="BP62" i="1"/>
  <c r="BO62" i="1"/>
  <c r="BN62" i="1"/>
  <c r="BM62" i="1"/>
  <c r="Z62" i="1"/>
  <c r="Z64" i="1" s="1"/>
  <c r="Y62" i="1"/>
  <c r="Y65" i="1" s="1"/>
  <c r="Y60" i="1"/>
  <c r="X60" i="1"/>
  <c r="Z59" i="1"/>
  <c r="X59" i="1"/>
  <c r="BO58" i="1"/>
  <c r="BM58" i="1"/>
  <c r="Z58" i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Z54" i="1" s="1"/>
  <c r="Y46" i="1"/>
  <c r="P46" i="1"/>
  <c r="X43" i="1"/>
  <c r="Z42" i="1"/>
  <c r="X42" i="1"/>
  <c r="BO41" i="1"/>
  <c r="BM41" i="1"/>
  <c r="Z41" i="1"/>
  <c r="Y41" i="1"/>
  <c r="BO40" i="1"/>
  <c r="BM40" i="1"/>
  <c r="Z40" i="1"/>
  <c r="Y40" i="1"/>
  <c r="BO39" i="1"/>
  <c r="BM39" i="1"/>
  <c r="Z39" i="1"/>
  <c r="Y39" i="1"/>
  <c r="X36" i="1"/>
  <c r="Y35" i="1"/>
  <c r="X35" i="1"/>
  <c r="BP34" i="1"/>
  <c r="BO34" i="1"/>
  <c r="BN34" i="1"/>
  <c r="BM34" i="1"/>
  <c r="Z34" i="1"/>
  <c r="Y34" i="1"/>
  <c r="BP33" i="1"/>
  <c r="BO33" i="1"/>
  <c r="BN33" i="1"/>
  <c r="BM33" i="1"/>
  <c r="Z33" i="1"/>
  <c r="Y33" i="1"/>
  <c r="BP32" i="1"/>
  <c r="BO32" i="1"/>
  <c r="BN32" i="1"/>
  <c r="BM32" i="1"/>
  <c r="Z32" i="1"/>
  <c r="Y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5" i="1" s="1"/>
  <c r="Y28" i="1"/>
  <c r="Y36" i="1" s="1"/>
  <c r="Y24" i="1"/>
  <c r="X24" i="1"/>
  <c r="Z23" i="1"/>
  <c r="X23" i="1"/>
  <c r="BO22" i="1"/>
  <c r="X338" i="1" s="1"/>
  <c r="BM22" i="1"/>
  <c r="Z22" i="1"/>
  <c r="Y22" i="1"/>
  <c r="P22" i="1"/>
  <c r="H10" i="1"/>
  <c r="A9" i="1"/>
  <c r="D7" i="1"/>
  <c r="Q6" i="1"/>
  <c r="P2" i="1"/>
  <c r="Y42" i="1" l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F10" i="1"/>
  <c r="J9" i="1"/>
  <c r="F9" i="1"/>
  <c r="A10" i="1"/>
  <c r="H9" i="1"/>
  <c r="Y23" i="1"/>
  <c r="BP22" i="1"/>
  <c r="BN22" i="1"/>
  <c r="X337" i="1"/>
  <c r="X339" i="1" s="1"/>
  <c r="X340" i="1"/>
  <c r="X336" i="1"/>
  <c r="Y43" i="1"/>
  <c r="Y336" i="1" s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3" i="1"/>
  <c r="Y139" i="1"/>
  <c r="BP136" i="1"/>
  <c r="BN136" i="1"/>
  <c r="Y138" i="1"/>
  <c r="BP143" i="1"/>
  <c r="BN143" i="1"/>
  <c r="Z150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A349" i="1" l="1"/>
  <c r="Y338" i="1"/>
  <c r="Y337" i="1"/>
  <c r="Y339" i="1" s="1"/>
  <c r="Y340" i="1"/>
  <c r="B349" i="1" l="1"/>
  <c r="C349" i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<sst xmlns="http://schemas.openxmlformats.org/spreadsheetml/2006/main" count="1706" uniqueCount="557">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</sst>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5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42</v>
      </c>
      <c r="Y32" s="355">
        <f t="shared" si="0"/>
        <v>42</v>
      </c>
      <c r="Z32" s="36">
        <f t="shared" si="1"/>
        <v>0.39522000000000002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80.715599999999995</v>
      </c>
      <c r="BN32" s="67">
        <f t="shared" si="3"/>
        <v>80.715599999999995</v>
      </c>
      <c r="BO32" s="67">
        <f t="shared" si="4"/>
        <v>0.3</v>
      </c>
      <c r="BP32" s="67">
        <f t="shared" si="5"/>
        <v>0.3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42</v>
      </c>
      <c r="Y35" s="356">
        <f>IFERROR(SUM(Y28:Y34),"0")</f>
        <v>42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0.39522000000000002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63</v>
      </c>
      <c r="Y36" s="356">
        <f>IFERROR(SUMPRODUCT(Y28:Y34*H28:H34),"0")</f>
        <v>63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0</v>
      </c>
      <c r="Y42" s="356">
        <f>IFERROR(SUM(Y39:Y41),"0")</f>
        <v>0</v>
      </c>
      <c r="Z42" s="356">
        <f>IFERROR(IF(Z39="",0,Z39),"0")+IFERROR(IF(Z40="",0,Z40),"0")+IFERROR(IF(Z41="",0,Z41),"0")</f>
        <v>0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0</v>
      </c>
      <c r="Y43" s="356">
        <f>IFERROR(SUMPRODUCT(Y39:Y41*H39:H41),"0")</f>
        <v>0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12</v>
      </c>
      <c r="Y48" s="355">
        <f t="shared" si="6"/>
        <v>12</v>
      </c>
      <c r="Z48" s="36">
        <f t="shared" si="7"/>
        <v>0.186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87.6</v>
      </c>
      <c r="BN48" s="67">
        <f t="shared" si="9"/>
        <v>87.6</v>
      </c>
      <c r="BO48" s="67">
        <f t="shared" si="10"/>
        <v>0.14285714285714285</v>
      </c>
      <c r="BP48" s="67">
        <f t="shared" si="11"/>
        <v>0.14285714285714285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12</v>
      </c>
      <c r="Y50" s="355">
        <f t="shared" si="6"/>
        <v>12</v>
      </c>
      <c r="Z50" s="36">
        <f t="shared" si="7"/>
        <v>0.186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87.431999999999988</v>
      </c>
      <c r="BN50" s="67">
        <f t="shared" si="9"/>
        <v>87.431999999999988</v>
      </c>
      <c r="BO50" s="67">
        <f t="shared" si="10"/>
        <v>0.14285714285714285</v>
      </c>
      <c r="BP50" s="67">
        <f t="shared" si="11"/>
        <v>0.14285714285714285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12</v>
      </c>
      <c r="Y53" s="355">
        <f t="shared" si="6"/>
        <v>12</v>
      </c>
      <c r="Z53" s="36">
        <f t="shared" si="7"/>
        <v>0.186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87.6</v>
      </c>
      <c r="BN53" s="67">
        <f t="shared" si="9"/>
        <v>87.6</v>
      </c>
      <c r="BO53" s="67">
        <f t="shared" si="10"/>
        <v>0.14285714285714285</v>
      </c>
      <c r="BP53" s="67">
        <f t="shared" si="11"/>
        <v>0.14285714285714285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36</v>
      </c>
      <c r="Y54" s="356">
        <f>IFERROR(SUM(Y46:Y53),"0")</f>
        <v>36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0.55800000000000005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252</v>
      </c>
      <c r="Y55" s="356">
        <f>IFERROR(SUMPRODUCT(Y46:Y53*H46:H53),"0")</f>
        <v>252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180</v>
      </c>
      <c r="Y83" s="355">
        <f>IFERROR(IF(X83="","",X83),"")</f>
        <v>180</v>
      </c>
      <c r="Z83" s="36">
        <f>IFERROR(IF(X83="","",X83*0.00866),"")</f>
        <v>1.5588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938.37599999999998</v>
      </c>
      <c r="BN83" s="67">
        <f>IFERROR(Y83*I83,"0")</f>
        <v>938.37599999999998</v>
      </c>
      <c r="BO83" s="67">
        <f>IFERROR(X83/J83,"0")</f>
        <v>1.25</v>
      </c>
      <c r="BP83" s="67">
        <f>IFERROR(Y83/J83,"0")</f>
        <v>1.25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180</v>
      </c>
      <c r="Y84" s="356">
        <f>IFERROR(SUM(Y82:Y83),"0")</f>
        <v>180</v>
      </c>
      <c r="Z84" s="356">
        <f>IFERROR(IF(Z82="",0,Z82),"0")+IFERROR(IF(Z83="",0,Z83),"0")</f>
        <v>1.5588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900</v>
      </c>
      <c r="Y85" s="356">
        <f>IFERROR(SUMPRODUCT(Y82:Y83*H82:H83),"0")</f>
        <v>900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42</v>
      </c>
      <c r="Y96" s="355">
        <f>IFERROR(IF(X96="","",X96),"")</f>
        <v>42</v>
      </c>
      <c r="Z96" s="36">
        <f>IFERROR(IF(X96="","",X96*0.01788),"")</f>
        <v>0.75095999999999996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180.75120000000001</v>
      </c>
      <c r="BN96" s="67">
        <f>IFERROR(Y96*I96,"0")</f>
        <v>180.75120000000001</v>
      </c>
      <c r="BO96" s="67">
        <f>IFERROR(X96/J96,"0")</f>
        <v>0.6</v>
      </c>
      <c r="BP96" s="67">
        <f>IFERROR(Y96/J96,"0")</f>
        <v>0.6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56</v>
      </c>
      <c r="Y98" s="355">
        <f>IFERROR(IF(X98="","",X98),"")</f>
        <v>56</v>
      </c>
      <c r="Z98" s="36">
        <f>IFERROR(IF(X98="","",X98*0.01788),"")</f>
        <v>1.0012799999999999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241.00160000000002</v>
      </c>
      <c r="BN98" s="67">
        <f>IFERROR(Y98*I98,"0")</f>
        <v>241.00160000000002</v>
      </c>
      <c r="BO98" s="67">
        <f>IFERROR(X98/J98,"0")</f>
        <v>0.8</v>
      </c>
      <c r="BP98" s="67">
        <f>IFERROR(Y98/J98,"0")</f>
        <v>0.8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98</v>
      </c>
      <c r="Y99" s="356">
        <f>IFERROR(SUM(Y94:Y98),"0")</f>
        <v>98</v>
      </c>
      <c r="Z99" s="356">
        <f>IFERROR(IF(Z94="",0,Z94),"0")+IFERROR(IF(Z95="",0,Z95),"0")+IFERROR(IF(Z96="",0,Z96),"0")+IFERROR(IF(Z97="",0,Z97),"0")+IFERROR(IF(Z98="",0,Z98),"0")</f>
        <v>1.75224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352.8</v>
      </c>
      <c r="Y100" s="356">
        <f>IFERROR(SUMPRODUCT(Y94:Y98*H94:H98),"0")</f>
        <v>352.8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56</v>
      </c>
      <c r="Y103" s="355">
        <f t="shared" ref="Y103:Y109" si="12">IFERROR(IF(X103="","",X103),"")</f>
        <v>56</v>
      </c>
      <c r="Z103" s="36">
        <f t="shared" ref="Z103:Z109" si="13">IFERROR(IF(X103="","",X103*0.01788),"")</f>
        <v>1.0012799999999999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241.00160000000002</v>
      </c>
      <c r="BN103" s="67">
        <f t="shared" ref="BN103:BN109" si="15">IFERROR(Y103*I103,"0")</f>
        <v>241.00160000000002</v>
      </c>
      <c r="BO103" s="67">
        <f t="shared" ref="BO103:BO109" si="16">IFERROR(X103/J103,"0")</f>
        <v>0.8</v>
      </c>
      <c r="BP103" s="67">
        <f t="shared" ref="BP103:BP109" si="17">IFERROR(Y103/J103,"0")</f>
        <v>0.8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70</v>
      </c>
      <c r="Y104" s="355">
        <f t="shared" si="12"/>
        <v>70</v>
      </c>
      <c r="Z104" s="36">
        <f t="shared" si="13"/>
        <v>1.2516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301.25200000000001</v>
      </c>
      <c r="BN104" s="67">
        <f t="shared" si="15"/>
        <v>301.25200000000001</v>
      </c>
      <c r="BO104" s="67">
        <f t="shared" si="16"/>
        <v>1</v>
      </c>
      <c r="BP104" s="67">
        <f t="shared" si="17"/>
        <v>1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56</v>
      </c>
      <c r="Y105" s="355">
        <f t="shared" si="12"/>
        <v>56</v>
      </c>
      <c r="Z105" s="36">
        <f t="shared" si="13"/>
        <v>1.0012799999999999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241.00160000000002</v>
      </c>
      <c r="BN105" s="67">
        <f t="shared" si="15"/>
        <v>241.00160000000002</v>
      </c>
      <c r="BO105" s="67">
        <f t="shared" si="16"/>
        <v>0.8</v>
      </c>
      <c r="BP105" s="67">
        <f t="shared" si="17"/>
        <v>0.8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98</v>
      </c>
      <c r="Y107" s="355">
        <f t="shared" si="12"/>
        <v>98</v>
      </c>
      <c r="Z107" s="36">
        <f t="shared" si="13"/>
        <v>1.75224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421.75280000000004</v>
      </c>
      <c r="BN107" s="67">
        <f t="shared" si="15"/>
        <v>421.75280000000004</v>
      </c>
      <c r="BO107" s="67">
        <f t="shared" si="16"/>
        <v>1.4</v>
      </c>
      <c r="BP107" s="67">
        <f t="shared" si="17"/>
        <v>1.4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14</v>
      </c>
      <c r="Y108" s="355">
        <f t="shared" si="12"/>
        <v>14</v>
      </c>
      <c r="Z108" s="36">
        <f t="shared" si="13"/>
        <v>0.25031999999999999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62.283200000000008</v>
      </c>
      <c r="BN108" s="67">
        <f t="shared" si="15"/>
        <v>62.283200000000008</v>
      </c>
      <c r="BO108" s="67">
        <f t="shared" si="16"/>
        <v>0.2</v>
      </c>
      <c r="BP108" s="67">
        <f t="shared" si="17"/>
        <v>0.2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14</v>
      </c>
      <c r="Y109" s="355">
        <f t="shared" si="12"/>
        <v>14</v>
      </c>
      <c r="Z109" s="36">
        <f t="shared" si="13"/>
        <v>0.25031999999999999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63.408800000000006</v>
      </c>
      <c r="BN109" s="67">
        <f t="shared" si="15"/>
        <v>63.408800000000006</v>
      </c>
      <c r="BO109" s="67">
        <f t="shared" si="16"/>
        <v>0.2</v>
      </c>
      <c r="BP109" s="67">
        <f t="shared" si="17"/>
        <v>0.2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308</v>
      </c>
      <c r="Y110" s="356">
        <f>IFERROR(SUM(Y103:Y109),"0")</f>
        <v>308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5.5070400000000008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1120.56</v>
      </c>
      <c r="Y111" s="356">
        <f>IFERROR(SUMPRODUCT(Y103:Y109*H103:H109),"0")</f>
        <v>1120.56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42</v>
      </c>
      <c r="Y115" s="355">
        <f>IFERROR(IF(X115="","",X115),"")</f>
        <v>42</v>
      </c>
      <c r="Z115" s="36">
        <f>IFERROR(IF(X115="","",X115*0.01788),"")</f>
        <v>0.75095999999999996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178.24799999999999</v>
      </c>
      <c r="BN115" s="67">
        <f>IFERROR(Y115*I115,"0")</f>
        <v>178.24799999999999</v>
      </c>
      <c r="BO115" s="67">
        <f>IFERROR(X115/J115,"0")</f>
        <v>0.6</v>
      </c>
      <c r="BP115" s="67">
        <f>IFERROR(Y115/J115,"0")</f>
        <v>0.6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60</v>
      </c>
      <c r="Y117" s="355">
        <f>IFERROR(IF(X117="","",X117),"")</f>
        <v>60</v>
      </c>
      <c r="Z117" s="36">
        <f>IFERROR(IF(X117="","",X117*0.0155),"")</f>
        <v>0.92999999999999994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207.84</v>
      </c>
      <c r="BN117" s="67">
        <f>IFERROR(Y117*I117,"0")</f>
        <v>207.84</v>
      </c>
      <c r="BO117" s="67">
        <f>IFERROR(X117/J117,"0")</f>
        <v>0.7142857142857143</v>
      </c>
      <c r="BP117" s="67">
        <f>IFERROR(Y117/J117,"0")</f>
        <v>0.7142857142857143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102</v>
      </c>
      <c r="Y118" s="356">
        <f>IFERROR(SUM(Y114:Y117),"0")</f>
        <v>102</v>
      </c>
      <c r="Z118" s="356">
        <f>IFERROR(IF(Z114="",0,Z114),"0")+IFERROR(IF(Z115="",0,Z115),"0")+IFERROR(IF(Z116="",0,Z116),"0")+IFERROR(IF(Z117="",0,Z117),"0")</f>
        <v>1.6809599999999998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336</v>
      </c>
      <c r="Y119" s="356">
        <f>IFERROR(SUMPRODUCT(Y114:Y117*H114:H117),"0")</f>
        <v>336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12</v>
      </c>
      <c r="Y122" s="355">
        <f t="shared" ref="Y122:Y127" si="18">IFERROR(IF(X122="","",X122),"")</f>
        <v>12</v>
      </c>
      <c r="Z122" s="36">
        <f t="shared" ref="Z122:Z127" si="19">IFERROR(IF(X122="","",X122*0.0155),"")</f>
        <v>0.186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87.36</v>
      </c>
      <c r="BN122" s="67">
        <f t="shared" ref="BN122:BN127" si="21">IFERROR(Y122*I122,"0")</f>
        <v>87.36</v>
      </c>
      <c r="BO122" s="67">
        <f t="shared" ref="BO122:BO127" si="22">IFERROR(X122/J122,"0")</f>
        <v>0.14285714285714285</v>
      </c>
      <c r="BP122" s="67">
        <f t="shared" ref="BP122:BP127" si="23">IFERROR(Y122/J122,"0")</f>
        <v>0.14285714285714285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36</v>
      </c>
      <c r="Y124" s="355">
        <f t="shared" si="18"/>
        <v>36</v>
      </c>
      <c r="Z124" s="36">
        <f t="shared" si="19"/>
        <v>0.55800000000000005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262.8</v>
      </c>
      <c r="BN124" s="67">
        <f t="shared" si="21"/>
        <v>262.8</v>
      </c>
      <c r="BO124" s="67">
        <f t="shared" si="22"/>
        <v>0.42857142857142855</v>
      </c>
      <c r="BP124" s="67">
        <f t="shared" si="23"/>
        <v>0.42857142857142855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0</v>
      </c>
      <c r="Y127" s="355">
        <f t="shared" si="18"/>
        <v>0</v>
      </c>
      <c r="Z127" s="36">
        <f t="shared" si="19"/>
        <v>0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0</v>
      </c>
      <c r="BN127" s="67">
        <f t="shared" si="21"/>
        <v>0</v>
      </c>
      <c r="BO127" s="67">
        <f t="shared" si="22"/>
        <v>0</v>
      </c>
      <c r="BP127" s="67">
        <f t="shared" si="23"/>
        <v>0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48</v>
      </c>
      <c r="Y128" s="356">
        <f>IFERROR(SUM(Y122:Y127),"0")</f>
        <v>48</v>
      </c>
      <c r="Z128" s="356">
        <f>IFERROR(IF(Z122="",0,Z122),"0")+IFERROR(IF(Z123="",0,Z123),"0")+IFERROR(IF(Z124="",0,Z124),"0")+IFERROR(IF(Z125="",0,Z125),"0")+IFERROR(IF(Z126="",0,Z126),"0")+IFERROR(IF(Z127="",0,Z127),"0")</f>
        <v>0.74399999999999999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336</v>
      </c>
      <c r="Y129" s="356">
        <f>IFERROR(SUMPRODUCT(Y122:Y127*H122:H127),"0")</f>
        <v>336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14</v>
      </c>
      <c r="Y131" s="355">
        <f>IFERROR(IF(X131="","",X131),"")</f>
        <v>14</v>
      </c>
      <c r="Z131" s="36">
        <f>IFERROR(IF(X131="","",X131*0.01788),"")</f>
        <v>0.25031999999999999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46.810400000000001</v>
      </c>
      <c r="BN131" s="67">
        <f>IFERROR(Y131*I131,"0")</f>
        <v>46.810400000000001</v>
      </c>
      <c r="BO131" s="67">
        <f>IFERROR(X131/J131,"0")</f>
        <v>0.2</v>
      </c>
      <c r="BP131" s="67">
        <f>IFERROR(Y131/J131,"0")</f>
        <v>0.2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14</v>
      </c>
      <c r="Y132" s="356">
        <f>IFERROR(SUM(Y131:Y131),"0")</f>
        <v>14</v>
      </c>
      <c r="Z132" s="356">
        <f>IFERROR(IF(Z131="",0,Z131),"0")</f>
        <v>0.25031999999999999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36.96</v>
      </c>
      <c r="Y133" s="356">
        <f>IFERROR(SUMPRODUCT(Y131:Y131*H131:H131),"0")</f>
        <v>36.96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210</v>
      </c>
      <c r="Y136" s="355">
        <f>IFERROR(IF(X136="","",X136),"")</f>
        <v>210</v>
      </c>
      <c r="Z136" s="36">
        <f>IFERROR(IF(X136="","",X136*0.01788),"")</f>
        <v>3.7547999999999999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777.75599999999997</v>
      </c>
      <c r="BN136" s="67">
        <f>IFERROR(Y136*I136,"0")</f>
        <v>777.75599999999997</v>
      </c>
      <c r="BO136" s="67">
        <f>IFERROR(X136/J136,"0")</f>
        <v>3</v>
      </c>
      <c r="BP136" s="67">
        <f>IFERROR(Y136/J136,"0")</f>
        <v>3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182</v>
      </c>
      <c r="Y137" s="355">
        <f>IFERROR(IF(X137="","",X137),"")</f>
        <v>182</v>
      </c>
      <c r="Z137" s="36">
        <f>IFERROR(IF(X137="","",X137*0.01788),"")</f>
        <v>3.2541600000000002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674.05520000000001</v>
      </c>
      <c r="BN137" s="67">
        <f>IFERROR(Y137*I137,"0")</f>
        <v>674.05520000000001</v>
      </c>
      <c r="BO137" s="67">
        <f>IFERROR(X137/J137,"0")</f>
        <v>2.6</v>
      </c>
      <c r="BP137" s="67">
        <f>IFERROR(Y137/J137,"0")</f>
        <v>2.6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392</v>
      </c>
      <c r="Y138" s="356">
        <f>IFERROR(SUM(Y136:Y137),"0")</f>
        <v>392</v>
      </c>
      <c r="Z138" s="356">
        <f>IFERROR(IF(Z136="",0,Z136),"0")+IFERROR(IF(Z137="",0,Z137),"0")</f>
        <v>7.0089600000000001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1176</v>
      </c>
      <c r="Y139" s="356">
        <f>IFERROR(SUMPRODUCT(Y136:Y137*H136:H137),"0")</f>
        <v>1176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42</v>
      </c>
      <c r="Y143" s="355">
        <f>IFERROR(IF(X143="","",X143),"")</f>
        <v>42</v>
      </c>
      <c r="Z143" s="36">
        <f>IFERROR(IF(X143="","",X143*0.01788),"")</f>
        <v>0.75095999999999996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155.55119999999999</v>
      </c>
      <c r="BN143" s="67">
        <f>IFERROR(Y143*I143,"0")</f>
        <v>155.55119999999999</v>
      </c>
      <c r="BO143" s="67">
        <f>IFERROR(X143/J143,"0")</f>
        <v>0.6</v>
      </c>
      <c r="BP143" s="67">
        <f>IFERROR(Y143/J143,"0")</f>
        <v>0.6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56</v>
      </c>
      <c r="Y144" s="356">
        <f>IFERROR(SUM(Y142:Y143),"0")</f>
        <v>56</v>
      </c>
      <c r="Z144" s="356">
        <f>IFERROR(IF(Z142="",0,Z142),"0")+IFERROR(IF(Z143="",0,Z143),"0")</f>
        <v>1.0012799999999999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168</v>
      </c>
      <c r="Y145" s="356">
        <f>IFERROR(SUMPRODUCT(Y142:Y143*H142:H143),"0")</f>
        <v>168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14</v>
      </c>
      <c r="Y148" s="355">
        <f>IFERROR(IF(X148="","",X148),"")</f>
        <v>14</v>
      </c>
      <c r="Z148" s="36">
        <f>IFERROR(IF(X148="","",X148*0.01788),"")</f>
        <v>0.25031999999999999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45.919999999999995</v>
      </c>
      <c r="BN148" s="67">
        <f>IFERROR(Y148*I148,"0")</f>
        <v>45.919999999999995</v>
      </c>
      <c r="BO148" s="67">
        <f>IFERROR(X148/J148,"0")</f>
        <v>0.2</v>
      </c>
      <c r="BP148" s="67">
        <f>IFERROR(Y148/J148,"0")</f>
        <v>0.2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28</v>
      </c>
      <c r="Y149" s="355">
        <f>IFERROR(IF(X149="","",X149),"")</f>
        <v>28</v>
      </c>
      <c r="Z149" s="36">
        <f>IFERROR(IF(X149="","",X149*0.01788),"")</f>
        <v>0.50063999999999997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91.839999999999989</v>
      </c>
      <c r="BN149" s="67">
        <f>IFERROR(Y149*I149,"0")</f>
        <v>91.839999999999989</v>
      </c>
      <c r="BO149" s="67">
        <f>IFERROR(X149/J149,"0")</f>
        <v>0.4</v>
      </c>
      <c r="BP149" s="67">
        <f>IFERROR(Y149/J149,"0")</f>
        <v>0.4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42</v>
      </c>
      <c r="Y150" s="356">
        <f>IFERROR(SUM(Y148:Y149),"0")</f>
        <v>42</v>
      </c>
      <c r="Z150" s="356">
        <f>IFERROR(IF(Z148="",0,Z148),"0")+IFERROR(IF(Z149="",0,Z149),"0")</f>
        <v>0.75095999999999996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126</v>
      </c>
      <c r="Y151" s="356">
        <f>IFERROR(SUMPRODUCT(Y148:Y149*H148:H149),"0")</f>
        <v>126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28</v>
      </c>
      <c r="Y155" s="355">
        <f>IFERROR(IF(X155="","",X155),"")</f>
        <v>28</v>
      </c>
      <c r="Z155" s="36">
        <f>IFERROR(IF(X155="","",X155*0.01788),"")</f>
        <v>0.50063999999999997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103.70079999999999</v>
      </c>
      <c r="BN155" s="67">
        <f>IFERROR(Y155*I155,"0")</f>
        <v>103.70079999999999</v>
      </c>
      <c r="BO155" s="67">
        <f>IFERROR(X155/J155,"0")</f>
        <v>0.4</v>
      </c>
      <c r="BP155" s="67">
        <f>IFERROR(Y155/J155,"0")</f>
        <v>0.4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28</v>
      </c>
      <c r="Y156" s="356">
        <f>IFERROR(SUM(Y154:Y155),"0")</f>
        <v>28</v>
      </c>
      <c r="Z156" s="356">
        <f>IFERROR(IF(Z154="",0,Z154),"0")+IFERROR(IF(Z155="",0,Z155),"0")</f>
        <v>0.50063999999999997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84</v>
      </c>
      <c r="Y157" s="356">
        <f>IFERROR(SUMPRODUCT(Y154:Y155*H154:H155),"0")</f>
        <v>84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6</v>
      </c>
      <c r="Y165" s="355">
        <f>IFERROR(IF(X165="","",X165),"")</f>
        <v>6</v>
      </c>
      <c r="Z165" s="36">
        <f>IFERROR(IF(X165="","",X165*0.01157),"")</f>
        <v>6.9420000000000009E-2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12.72</v>
      </c>
      <c r="BN165" s="67">
        <f>IFERROR(Y165*I165,"0")</f>
        <v>12.72</v>
      </c>
      <c r="BO165" s="67">
        <f>IFERROR(X165/J165,"0")</f>
        <v>8.3333333333333329E-2</v>
      </c>
      <c r="BP165" s="67">
        <f>IFERROR(Y165/J165,"0")</f>
        <v>8.3333333333333329E-2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6</v>
      </c>
      <c r="Y167" s="356">
        <f>IFERROR(SUM(Y165:Y166),"0")</f>
        <v>6</v>
      </c>
      <c r="Z167" s="356">
        <f>IFERROR(IF(Z165="",0,Z165),"0")+IFERROR(IF(Z166="",0,Z166),"0")</f>
        <v>6.9420000000000009E-2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9.6000000000000014</v>
      </c>
      <c r="Y168" s="356">
        <f>IFERROR(SUMPRODUCT(Y165:Y166*H165:H166),"0")</f>
        <v>9.6000000000000014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14</v>
      </c>
      <c r="Y171" s="355">
        <f>IFERROR(IF(X171="","",X171),"")</f>
        <v>14</v>
      </c>
      <c r="Z171" s="36">
        <f>IFERROR(IF(X171="","",X171*0.00941),"")</f>
        <v>0.13174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29.425199999999997</v>
      </c>
      <c r="BN171" s="67">
        <f>IFERROR(Y171*I171,"0")</f>
        <v>29.425199999999997</v>
      </c>
      <c r="BO171" s="67">
        <f>IFERROR(X171/J171,"0")</f>
        <v>0.1</v>
      </c>
      <c r="BP171" s="67">
        <f>IFERROR(Y171/J171,"0")</f>
        <v>0.1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14</v>
      </c>
      <c r="Y172" s="356">
        <f>IFERROR(SUM(Y171:Y171),"0")</f>
        <v>14</v>
      </c>
      <c r="Z172" s="356">
        <f>IFERROR(IF(Z171="",0,Z171),"0")</f>
        <v>0.13174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23.52</v>
      </c>
      <c r="Y173" s="356">
        <f>IFERROR(SUMPRODUCT(Y171:Y171*H171:H171),"0")</f>
        <v>23.52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14</v>
      </c>
      <c r="Y196" s="355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47.432000000000002</v>
      </c>
      <c r="BN196" s="67">
        <f>IFERROR(Y196*I196,"0")</f>
        <v>47.432000000000002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14</v>
      </c>
      <c r="Y197" s="355">
        <f>IFERROR(IF(X197="","",X197),"")</f>
        <v>14</v>
      </c>
      <c r="Z197" s="36">
        <f>IFERROR(IF(X197="","",X197*0.01788),"")</f>
        <v>0.25031999999999999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47.432000000000002</v>
      </c>
      <c r="BN197" s="67">
        <f>IFERROR(Y197*I197,"0")</f>
        <v>47.432000000000002</v>
      </c>
      <c r="BO197" s="67">
        <f>IFERROR(X197/J197,"0")</f>
        <v>0.2</v>
      </c>
      <c r="BP197" s="67">
        <f>IFERROR(Y197/J197,"0")</f>
        <v>0.2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14</v>
      </c>
      <c r="Y198" s="355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52.304000000000002</v>
      </c>
      <c r="BN198" s="67">
        <f>IFERROR(Y198*I198,"0")</f>
        <v>52.304000000000002</v>
      </c>
      <c r="BO198" s="67">
        <f>IFERROR(X198/J198,"0")</f>
        <v>0.2</v>
      </c>
      <c r="BP198" s="67">
        <f>IFERROR(Y198/J198,"0")</f>
        <v>0.2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42</v>
      </c>
      <c r="Y199" s="356">
        <f>IFERROR(SUM(Y196:Y198),"0")</f>
        <v>42</v>
      </c>
      <c r="Z199" s="356">
        <f>IFERROR(IF(Z196="",0,Z196),"0")+IFERROR(IF(Z197="",0,Z197),"0")+IFERROR(IF(Z198="",0,Z198),"0")</f>
        <v>0.75095999999999996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126</v>
      </c>
      <c r="Y200" s="356">
        <f>IFERROR(SUMPRODUCT(Y196:Y198*H196:H198),"0")</f>
        <v>126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12</v>
      </c>
      <c r="Y216" s="355">
        <f>IFERROR(IF(X216="","",X216),"")</f>
        <v>12</v>
      </c>
      <c r="Z216" s="36">
        <f>IFERROR(IF(X216="","",X216*0.0155),"")</f>
        <v>0.186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70.44</v>
      </c>
      <c r="BN216" s="67">
        <f>IFERROR(Y216*I216,"0")</f>
        <v>70.44</v>
      </c>
      <c r="BO216" s="67">
        <f>IFERROR(X216/J216,"0")</f>
        <v>0.14285714285714285</v>
      </c>
      <c r="BP216" s="67">
        <f>IFERROR(Y216/J216,"0")</f>
        <v>0.14285714285714285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12</v>
      </c>
      <c r="Y219" s="356">
        <f>IFERROR(SUM(Y216:Y218),"0")</f>
        <v>12</v>
      </c>
      <c r="Z219" s="356">
        <f>IFERROR(IF(Z216="",0,Z216),"0")+IFERROR(IF(Z217="",0,Z217),"0")+IFERROR(IF(Z218="",0,Z218),"0")</f>
        <v>0.186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67.199999999999989</v>
      </c>
      <c r="Y220" s="356">
        <f>IFERROR(SUMPRODUCT(Y216:Y218*H216:H218),"0")</f>
        <v>67.199999999999989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24</v>
      </c>
      <c r="Y234" s="355">
        <f>IFERROR(IF(X234="","",X234),"")</f>
        <v>24</v>
      </c>
      <c r="Z234" s="36">
        <f>IFERROR(IF(X234="","",X234*0.0155),"")</f>
        <v>0.372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179.28</v>
      </c>
      <c r="BN234" s="67">
        <f>IFERROR(Y234*I234,"0")</f>
        <v>179.28</v>
      </c>
      <c r="BO234" s="67">
        <f>IFERROR(X234/J234,"0")</f>
        <v>0.2857142857142857</v>
      </c>
      <c r="BP234" s="67">
        <f>IFERROR(Y234/J234,"0")</f>
        <v>0.2857142857142857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24</v>
      </c>
      <c r="Y237" s="356">
        <f>IFERROR(SUM(Y233:Y236),"0")</f>
        <v>24</v>
      </c>
      <c r="Z237" s="356">
        <f>IFERROR(IF(Z233="",0,Z233),"0")+IFERROR(IF(Z234="",0,Z234),"0")+IFERROR(IF(Z235="",0,Z235),"0")+IFERROR(IF(Z236="",0,Z236),"0")</f>
        <v>0.372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172.8</v>
      </c>
      <c r="Y238" s="356">
        <f>IFERROR(SUMPRODUCT(Y233:Y236*H233:H236),"0")</f>
        <v>172.8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48</v>
      </c>
      <c r="Y297" s="355">
        <f>IFERROR(IF(X297="","",X297),"")</f>
        <v>48</v>
      </c>
      <c r="Z297" s="36">
        <f>IFERROR(IF(X297="","",X297*0.0155),"")</f>
        <v>0.74399999999999999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300.48</v>
      </c>
      <c r="BN297" s="67">
        <f>IFERROR(Y297*I297,"0")</f>
        <v>300.48</v>
      </c>
      <c r="BO297" s="67">
        <f>IFERROR(X297/J297,"0")</f>
        <v>0.5714285714285714</v>
      </c>
      <c r="BP297" s="67">
        <f>IFERROR(Y297/J297,"0")</f>
        <v>0.5714285714285714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48</v>
      </c>
      <c r="Y299" s="356">
        <f>IFERROR(SUM(Y297:Y298),"0")</f>
        <v>48</v>
      </c>
      <c r="Z299" s="356">
        <f>IFERROR(IF(Z297="",0,Z297),"0")+IFERROR(IF(Z298="",0,Z298),"0")</f>
        <v>0.74399999999999999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288</v>
      </c>
      <c r="Y300" s="356">
        <f>IFERROR(SUMPRODUCT(Y297:Y298*H297:H298),"0")</f>
        <v>288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28</v>
      </c>
      <c r="Y302" s="355">
        <f>IFERROR(IF(X302="","",X302),"")</f>
        <v>28</v>
      </c>
      <c r="Z302" s="36">
        <f>IFERROR(IF(X302="","",X302*0.00936),"")</f>
        <v>0.26207999999999998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80.936800000000005</v>
      </c>
      <c r="BN302" s="67">
        <f>IFERROR(Y302*I302,"0")</f>
        <v>80.936800000000005</v>
      </c>
      <c r="BO302" s="67">
        <f>IFERROR(X302/J302,"0")</f>
        <v>0.22222222222222221</v>
      </c>
      <c r="BP302" s="67">
        <f>IFERROR(Y302/J302,"0")</f>
        <v>0.22222222222222221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132</v>
      </c>
      <c r="Y303" s="355">
        <f>IFERROR(IF(X303="","",X303),"")</f>
        <v>132</v>
      </c>
      <c r="Z303" s="36">
        <f>IFERROR(IF(X303="","",X303*0.0155),"")</f>
        <v>2.0459999999999998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691.0200000000001</v>
      </c>
      <c r="BN303" s="67">
        <f>IFERROR(Y303*I303,"0")</f>
        <v>691.0200000000001</v>
      </c>
      <c r="BO303" s="67">
        <f>IFERROR(X303/J303,"0")</f>
        <v>1.5714285714285714</v>
      </c>
      <c r="BP303" s="67">
        <f>IFERROR(Y303/J303,"0")</f>
        <v>1.5714285714285714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160</v>
      </c>
      <c r="Y305" s="356">
        <f>IFERROR(SUM(Y302:Y304),"0")</f>
        <v>160</v>
      </c>
      <c r="Z305" s="356">
        <f>IFERROR(IF(Z302="",0,Z302),"0")+IFERROR(IF(Z303="",0,Z303),"0")+IFERROR(IF(Z304="",0,Z304),"0")</f>
        <v>2.3080799999999999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735.6</v>
      </c>
      <c r="Y306" s="356">
        <f>IFERROR(SUMPRODUCT(Y302:Y304*H302:H304),"0")</f>
        <v>735.6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42</v>
      </c>
      <c r="Y309" s="355">
        <f t="shared" si="30"/>
        <v>42</v>
      </c>
      <c r="Z309" s="36">
        <f>IFERROR(IF(X309="","",X309*0.00936),"")</f>
        <v>0.39312000000000002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163.464</v>
      </c>
      <c r="BN309" s="67">
        <f t="shared" si="32"/>
        <v>163.464</v>
      </c>
      <c r="BO309" s="67">
        <f t="shared" si="33"/>
        <v>0.33333333333333331</v>
      </c>
      <c r="BP309" s="67">
        <f t="shared" si="34"/>
        <v>0.33333333333333331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112</v>
      </c>
      <c r="Y315" s="355">
        <f t="shared" si="30"/>
        <v>112</v>
      </c>
      <c r="Z315" s="36">
        <f t="shared" si="35"/>
        <v>1.0483199999999999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435.904</v>
      </c>
      <c r="BN315" s="67">
        <f t="shared" si="32"/>
        <v>435.904</v>
      </c>
      <c r="BO315" s="67">
        <f t="shared" si="33"/>
        <v>0.88888888888888884</v>
      </c>
      <c r="BP315" s="67">
        <f t="shared" si="34"/>
        <v>0.88888888888888884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154</v>
      </c>
      <c r="Y329" s="356">
        <f>IFERROR(SUM(Y308:Y328),"0")</f>
        <v>154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1.4414400000000001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569.80000000000007</v>
      </c>
      <c r="Y330" s="356">
        <f>IFERROR(SUMPRODUCT(Y308:Y328*H308:H328),"0")</f>
        <v>569.80000000000007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6943.8400000000011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6943.8400000000011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7829.3679999999986</v>
      </c>
      <c r="Y337" s="356">
        <f>IFERROR(SUM(BN22:BN333),"0")</f>
        <v>7829.3679999999986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23</v>
      </c>
      <c r="Y338" s="38">
        <f>ROUNDUP(SUM(BP22:BP333),0)</f>
        <v>23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8404.3679999999986</v>
      </c>
      <c r="Y339" s="356">
        <f>GrossWeightTotalR+PalletQtyTotalR*25</f>
        <v>8404.3679999999986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1806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1806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27.712060000000001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63</v>
      </c>
      <c r="D346" s="46">
        <f>IFERROR(X39*H39,"0")+IFERROR(X40*H40,"0")+IFERROR(X41*H41,"0")</f>
        <v>0</v>
      </c>
      <c r="E346" s="46">
        <f>IFERROR(X46*H46,"0")+IFERROR(X47*H47,"0")+IFERROR(X48*H48,"0")+IFERROR(X49*H49,"0")+IFERROR(X50*H50,"0")+IFERROR(X51*H51,"0")+IFERROR(X52*H52,"0")+IFERROR(X53*H53,"0")</f>
        <v>252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900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352.8</v>
      </c>
      <c r="J346" s="46">
        <f>IFERROR(X103*H103,"0")+IFERROR(X104*H104,"0")+IFERROR(X105*H105,"0")+IFERROR(X106*H106,"0")+IFERROR(X107*H107,"0")+IFERROR(X108*H108,"0")+IFERROR(X109*H109,"0")</f>
        <v>1120.56</v>
      </c>
      <c r="K346" s="46">
        <f>IFERROR(X114*H114,"0")+IFERROR(X115*H115,"0")+IFERROR(X116*H116,"0")+IFERROR(X117*H117,"0")</f>
        <v>336</v>
      </c>
      <c r="L346" s="46">
        <f>IFERROR(X122*H122,"0")+IFERROR(X123*H123,"0")+IFERROR(X124*H124,"0")+IFERROR(X125*H125,"0")+IFERROR(X126*H126,"0")+IFERROR(X127*H127,"0")+IFERROR(X131*H131,"0")</f>
        <v>372.96</v>
      </c>
      <c r="M346" s="46">
        <f>IFERROR(X136*H136,"0")+IFERROR(X137*H137,"0")</f>
        <v>1176</v>
      </c>
      <c r="N346" s="352"/>
      <c r="O346" s="46">
        <f>IFERROR(X142*H142,"0")+IFERROR(X143*H143,"0")</f>
        <v>168</v>
      </c>
      <c r="P346" s="46">
        <f>IFERROR(X148*H148,"0")+IFERROR(X149*H149,"0")</f>
        <v>126</v>
      </c>
      <c r="Q346" s="46">
        <f>IFERROR(X154*H154,"0")+IFERROR(X155*H155,"0")</f>
        <v>84</v>
      </c>
      <c r="R346" s="46">
        <f>IFERROR(X160*H160,"0")</f>
        <v>0</v>
      </c>
      <c r="S346" s="46">
        <f>IFERROR(X165*H165,"0")+IFERROR(X166*H166,"0")</f>
        <v>9.6000000000000014</v>
      </c>
      <c r="T346" s="46">
        <f>IFERROR(X171*H171,"0")</f>
        <v>23.52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126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67.199999999999989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172.8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1593.4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1728</v>
      </c>
      <c r="B349" s="60">
        <f>SUMPRODUCT(--(BB:BB="ПГП"),--(W:W="кор"),H:H,Y:Y)+SUMPRODUCT(--(BB:BB="ПГП"),--(W:W="кг"),Y:Y)</f>
        <v>5215.8399999999983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2025-04-18T08:19:05Z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