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C6B1C283-8049-4309-A49E-FB733E890E1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Y173" i="1" s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Y145" i="1" s="1"/>
  <c r="P143" i="1"/>
  <c r="BP142" i="1"/>
  <c r="BO142" i="1"/>
  <c r="BN142" i="1"/>
  <c r="BM142" i="1"/>
  <c r="Z142" i="1"/>
  <c r="Z144" i="1" s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Y133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Y42" i="1" l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H9" i="1"/>
  <c r="Y23" i="1"/>
  <c r="BP22" i="1"/>
  <c r="BN22" i="1"/>
  <c r="X337" i="1"/>
  <c r="X339" i="1" s="1"/>
  <c r="X340" i="1"/>
  <c r="X336" i="1"/>
  <c r="Y43" i="1"/>
  <c r="Y336" i="1" s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7" i="1" l="1"/>
  <c r="Y340" i="1"/>
  <c r="Y338" i="1"/>
  <c r="C349" i="1" l="1"/>
  <c r="Y339" i="1"/>
  <c r="A349" i="1" s="1"/>
  <c r="B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<sst xmlns="http://schemas.openxmlformats.org/spreadsheetml/2006/main" count="1706" uniqueCount="557">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</sst>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6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42</v>
      </c>
      <c r="Y30" s="355">
        <f t="shared" si="0"/>
        <v>42</v>
      </c>
      <c r="Z30" s="36">
        <f t="shared" si="1"/>
        <v>0.39522000000000002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80.715599999999995</v>
      </c>
      <c r="BN30" s="67">
        <f t="shared" si="3"/>
        <v>80.715599999999995</v>
      </c>
      <c r="BO30" s="67">
        <f t="shared" si="4"/>
        <v>0.3</v>
      </c>
      <c r="BP30" s="67">
        <f t="shared" si="5"/>
        <v>0.3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12</v>
      </c>
      <c r="Y41" s="355">
        <f>IFERROR(IF(X41="","",X41),"")</f>
        <v>12</v>
      </c>
      <c r="Z41" s="36">
        <f>IFERROR(IF(X41="","",X41*0.0155),"")</f>
        <v>0.186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70.44</v>
      </c>
      <c r="BN41" s="67">
        <f>IFERROR(Y41*I41,"0")</f>
        <v>70.44</v>
      </c>
      <c r="BO41" s="67">
        <f>IFERROR(X41/J41,"0")</f>
        <v>0.14285714285714285</v>
      </c>
      <c r="BP41" s="67">
        <f>IFERROR(Y41/J41,"0")</f>
        <v>0.14285714285714285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12</v>
      </c>
      <c r="Y42" s="356">
        <f>IFERROR(SUM(Y39:Y41),"0")</f>
        <v>12</v>
      </c>
      <c r="Z42" s="356">
        <f>IFERROR(IF(Z39="",0,Z39),"0")+IFERROR(IF(Z40="",0,Z40),"0")+IFERROR(IF(Z41="",0,Z41),"0")</f>
        <v>0.186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67.199999999999989</v>
      </c>
      <c r="Y43" s="356">
        <f>IFERROR(SUMPRODUCT(Y39:Y41*H39:H41),"0")</f>
        <v>67.199999999999989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12</v>
      </c>
      <c r="Y48" s="355">
        <f t="shared" si="6"/>
        <v>12</v>
      </c>
      <c r="Z48" s="36">
        <f t="shared" si="7"/>
        <v>0.186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87.6</v>
      </c>
      <c r="BN48" s="67">
        <f t="shared" si="9"/>
        <v>87.6</v>
      </c>
      <c r="BO48" s="67">
        <f t="shared" si="10"/>
        <v>0.14285714285714285</v>
      </c>
      <c r="BP48" s="67">
        <f t="shared" si="11"/>
        <v>0.14285714285714285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24</v>
      </c>
      <c r="Y54" s="356">
        <f>IFERROR(SUM(Y46:Y53),"0")</f>
        <v>24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0.372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168</v>
      </c>
      <c r="Y55" s="356">
        <f>IFERROR(SUMPRODUCT(Y46:Y53*H46:H53),"0")</f>
        <v>168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36</v>
      </c>
      <c r="Y83" s="355">
        <f>IFERROR(IF(X83="","",X83),"")</f>
        <v>36</v>
      </c>
      <c r="Z83" s="36">
        <f>IFERROR(IF(X83="","",X83*0.00866),"")</f>
        <v>0.31175999999999998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187.67519999999999</v>
      </c>
      <c r="BN83" s="67">
        <f>IFERROR(Y83*I83,"0")</f>
        <v>187.67519999999999</v>
      </c>
      <c r="BO83" s="67">
        <f>IFERROR(X83/J83,"0")</f>
        <v>0.25</v>
      </c>
      <c r="BP83" s="67">
        <f>IFERROR(Y83/J83,"0")</f>
        <v>0.25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36</v>
      </c>
      <c r="Y84" s="356">
        <f>IFERROR(SUM(Y82:Y83),"0")</f>
        <v>36</v>
      </c>
      <c r="Z84" s="356">
        <f>IFERROR(IF(Z82="",0,Z82),"0")+IFERROR(IF(Z83="",0,Z83),"0")</f>
        <v>0.31175999999999998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180</v>
      </c>
      <c r="Y85" s="356">
        <f>IFERROR(SUMPRODUCT(Y82:Y83*H82:H83),"0")</f>
        <v>180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14</v>
      </c>
      <c r="Y98" s="355">
        <f>IFERROR(IF(X98="","",X98),"")</f>
        <v>14</v>
      </c>
      <c r="Z98" s="36">
        <f>IFERROR(IF(X98="","",X98*0.01788),"")</f>
        <v>0.25031999999999999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60.250400000000006</v>
      </c>
      <c r="BN98" s="67">
        <f>IFERROR(Y98*I98,"0")</f>
        <v>60.250400000000006</v>
      </c>
      <c r="BO98" s="67">
        <f>IFERROR(X98/J98,"0")</f>
        <v>0.2</v>
      </c>
      <c r="BP98" s="67">
        <f>IFERROR(Y98/J98,"0")</f>
        <v>0.2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</v>
      </c>
      <c r="Y99" s="356">
        <f>IFERROR(SUM(Y94:Y98),"0")</f>
        <v>14</v>
      </c>
      <c r="Z99" s="356">
        <f>IFERROR(IF(Z94="",0,Z94),"0")+IFERROR(IF(Z95="",0,Z95),"0")+IFERROR(IF(Z96="",0,Z96),"0")+IFERROR(IF(Z97="",0,Z97),"0")+IFERROR(IF(Z98="",0,Z98),"0")</f>
        <v>0.25031999999999999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50.4</v>
      </c>
      <c r="Y100" s="356">
        <f>IFERROR(SUMPRODUCT(Y94:Y98*H94:H98),"0")</f>
        <v>50.4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28</v>
      </c>
      <c r="Y103" s="355">
        <f t="shared" ref="Y103:Y109" si="12">IFERROR(IF(X103="","",X103),"")</f>
        <v>28</v>
      </c>
      <c r="Z103" s="36">
        <f t="shared" ref="Z103:Z109" si="13">IFERROR(IF(X103="","",X103*0.01788),"")</f>
        <v>0.50063999999999997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120.50080000000001</v>
      </c>
      <c r="BN103" s="67">
        <f t="shared" ref="BN103:BN109" si="15">IFERROR(Y103*I103,"0")</f>
        <v>120.50080000000001</v>
      </c>
      <c r="BO103" s="67">
        <f t="shared" ref="BO103:BO109" si="16">IFERROR(X103/J103,"0")</f>
        <v>0.4</v>
      </c>
      <c r="BP103" s="67">
        <f t="shared" ref="BP103:BP109" si="17">IFERROR(Y103/J103,"0")</f>
        <v>0.4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28</v>
      </c>
      <c r="Y104" s="355">
        <f t="shared" si="12"/>
        <v>28</v>
      </c>
      <c r="Z104" s="36">
        <f t="shared" si="13"/>
        <v>0.50063999999999997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120.50080000000001</v>
      </c>
      <c r="BN104" s="67">
        <f t="shared" si="15"/>
        <v>120.50080000000001</v>
      </c>
      <c r="BO104" s="67">
        <f t="shared" si="16"/>
        <v>0.4</v>
      </c>
      <c r="BP104" s="67">
        <f t="shared" si="17"/>
        <v>0.4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14</v>
      </c>
      <c r="Y105" s="355">
        <f t="shared" si="12"/>
        <v>14</v>
      </c>
      <c r="Z105" s="36">
        <f t="shared" si="13"/>
        <v>0.25031999999999999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60.250400000000006</v>
      </c>
      <c r="BN105" s="67">
        <f t="shared" si="15"/>
        <v>60.250400000000006</v>
      </c>
      <c r="BO105" s="67">
        <f t="shared" si="16"/>
        <v>0.2</v>
      </c>
      <c r="BP105" s="67">
        <f t="shared" si="17"/>
        <v>0.2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14</v>
      </c>
      <c r="Y107" s="355">
        <f t="shared" si="12"/>
        <v>14</v>
      </c>
      <c r="Z107" s="36">
        <f t="shared" si="13"/>
        <v>0.25031999999999999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60.250400000000006</v>
      </c>
      <c r="BN107" s="67">
        <f t="shared" si="15"/>
        <v>60.250400000000006</v>
      </c>
      <c r="BO107" s="67">
        <f t="shared" si="16"/>
        <v>0.2</v>
      </c>
      <c r="BP107" s="67">
        <f t="shared" si="17"/>
        <v>0.2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84</v>
      </c>
      <c r="Y110" s="356">
        <f>IFERROR(SUM(Y103:Y109),"0")</f>
        <v>84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1.5019199999999997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302.39999999999998</v>
      </c>
      <c r="Y111" s="356">
        <f>IFERROR(SUMPRODUCT(Y103:Y109*H103:H109),"0")</f>
        <v>302.39999999999998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12</v>
      </c>
      <c r="Y118" s="356">
        <f>IFERROR(SUM(Y114:Y117),"0")</f>
        <v>12</v>
      </c>
      <c r="Z118" s="356">
        <f>IFERROR(IF(Z114="",0,Z114),"0")+IFERROR(IF(Z115="",0,Z115),"0")+IFERROR(IF(Z116="",0,Z116),"0")+IFERROR(IF(Z117="",0,Z117),"0")</f>
        <v>0.186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36.96</v>
      </c>
      <c r="Y119" s="356">
        <f>IFERROR(SUMPRODUCT(Y114:Y117*H114:H117),"0")</f>
        <v>36.96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12</v>
      </c>
      <c r="Y123" s="355">
        <f t="shared" si="18"/>
        <v>12</v>
      </c>
      <c r="Z123" s="36">
        <f t="shared" si="19"/>
        <v>0.186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80.635199999999998</v>
      </c>
      <c r="BN123" s="67">
        <f t="shared" si="21"/>
        <v>80.635199999999998</v>
      </c>
      <c r="BO123" s="67">
        <f t="shared" si="22"/>
        <v>0.14285714285714285</v>
      </c>
      <c r="BP123" s="67">
        <f t="shared" si="23"/>
        <v>0.14285714285714285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48</v>
      </c>
      <c r="Y124" s="355">
        <f t="shared" si="18"/>
        <v>48</v>
      </c>
      <c r="Z124" s="36">
        <f t="shared" si="19"/>
        <v>0.74399999999999999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350.4</v>
      </c>
      <c r="BN124" s="67">
        <f t="shared" si="21"/>
        <v>350.4</v>
      </c>
      <c r="BO124" s="67">
        <f t="shared" si="22"/>
        <v>0.5714285714285714</v>
      </c>
      <c r="BP124" s="67">
        <f t="shared" si="23"/>
        <v>0.5714285714285714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24</v>
      </c>
      <c r="Y127" s="355">
        <f t="shared" si="18"/>
        <v>24</v>
      </c>
      <c r="Z127" s="36">
        <f t="shared" si="19"/>
        <v>0.372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175.2</v>
      </c>
      <c r="BN127" s="67">
        <f t="shared" si="21"/>
        <v>175.2</v>
      </c>
      <c r="BO127" s="67">
        <f t="shared" si="22"/>
        <v>0.2857142857142857</v>
      </c>
      <c r="BP127" s="67">
        <f t="shared" si="23"/>
        <v>0.2857142857142857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96</v>
      </c>
      <c r="Y128" s="356">
        <f>IFERROR(SUM(Y122:Y127),"0")</f>
        <v>96</v>
      </c>
      <c r="Z128" s="356">
        <f>IFERROR(IF(Z122="",0,Z122),"0")+IFERROR(IF(Z123="",0,Z123),"0")+IFERROR(IF(Z124="",0,Z124),"0")+IFERROR(IF(Z125="",0,Z125),"0")+IFERROR(IF(Z126="",0,Z126),"0")+IFERROR(IF(Z127="",0,Z127),"0")</f>
        <v>1.488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664.8</v>
      </c>
      <c r="Y129" s="356">
        <f>IFERROR(SUMPRODUCT(Y122:Y127*H122:H127),"0")</f>
        <v>664.8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28</v>
      </c>
      <c r="Y136" s="355">
        <f>IFERROR(IF(X136="","",X136),"")</f>
        <v>28</v>
      </c>
      <c r="Z136" s="36">
        <f>IFERROR(IF(X136="","",X136*0.01788),"")</f>
        <v>0.50063999999999997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103.70079999999999</v>
      </c>
      <c r="BN136" s="67">
        <f>IFERROR(Y136*I136,"0")</f>
        <v>103.70079999999999</v>
      </c>
      <c r="BO136" s="67">
        <f>IFERROR(X136/J136,"0")</f>
        <v>0.4</v>
      </c>
      <c r="BP136" s="67">
        <f>IFERROR(Y136/J136,"0")</f>
        <v>0.4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42</v>
      </c>
      <c r="Y137" s="355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155.55119999999999</v>
      </c>
      <c r="BN137" s="67">
        <f>IFERROR(Y137*I137,"0")</f>
        <v>155.55119999999999</v>
      </c>
      <c r="BO137" s="67">
        <f>IFERROR(X137/J137,"0")</f>
        <v>0.6</v>
      </c>
      <c r="BP137" s="67">
        <f>IFERROR(Y137/J137,"0")</f>
        <v>0.6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70</v>
      </c>
      <c r="Y138" s="356">
        <f>IFERROR(SUM(Y136:Y137),"0")</f>
        <v>70</v>
      </c>
      <c r="Z138" s="356">
        <f>IFERROR(IF(Z136="",0,Z136),"0")+IFERROR(IF(Z137="",0,Z137),"0")</f>
        <v>1.2515999999999998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210</v>
      </c>
      <c r="Y139" s="356">
        <f>IFERROR(SUMPRODUCT(Y136:Y137*H136:H137),"0")</f>
        <v>210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14</v>
      </c>
      <c r="Y144" s="356">
        <f>IFERROR(SUM(Y142:Y143),"0")</f>
        <v>14</v>
      </c>
      <c r="Z144" s="356">
        <f>IFERROR(IF(Z142="",0,Z142),"0")+IFERROR(IF(Z143="",0,Z143),"0")</f>
        <v>0.25031999999999999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42</v>
      </c>
      <c r="Y145" s="356">
        <f>IFERROR(SUMPRODUCT(Y142:Y143*H142:H143),"0")</f>
        <v>42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</v>
      </c>
      <c r="Y148" s="355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45.919999999999995</v>
      </c>
      <c r="BN148" s="67">
        <f>IFERROR(Y148*I148,"0")</f>
        <v>45.919999999999995</v>
      </c>
      <c r="BO148" s="67">
        <f>IFERROR(X148/J148,"0")</f>
        <v>0.2</v>
      </c>
      <c r="BP148" s="67">
        <f>IFERROR(Y148/J148,"0")</f>
        <v>0.2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28</v>
      </c>
      <c r="Y150" s="356">
        <f>IFERROR(SUM(Y148:Y149),"0")</f>
        <v>28</v>
      </c>
      <c r="Z150" s="356">
        <f>IFERROR(IF(Z148="",0,Z148),"0")+IFERROR(IF(Z149="",0,Z149),"0")</f>
        <v>0.50063999999999997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84</v>
      </c>
      <c r="Y151" s="356">
        <f>IFERROR(SUMPRODUCT(Y148:Y149*H148:H149),"0")</f>
        <v>84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56</v>
      </c>
      <c r="Y171" s="355">
        <f>IFERROR(IF(X171="","",X171),"")</f>
        <v>56</v>
      </c>
      <c r="Z171" s="36">
        <f>IFERROR(IF(X171="","",X171*0.00941),"")</f>
        <v>0.52695999999999998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117.70079999999999</v>
      </c>
      <c r="BN171" s="67">
        <f>IFERROR(Y171*I171,"0")</f>
        <v>117.70079999999999</v>
      </c>
      <c r="BO171" s="67">
        <f>IFERROR(X171/J171,"0")</f>
        <v>0.4</v>
      </c>
      <c r="BP171" s="67">
        <f>IFERROR(Y171/J171,"0")</f>
        <v>0.4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56</v>
      </c>
      <c r="Y172" s="356">
        <f>IFERROR(SUM(Y171:Y171),"0")</f>
        <v>56</v>
      </c>
      <c r="Z172" s="356">
        <f>IFERROR(IF(Z171="",0,Z171),"0")</f>
        <v>0.52695999999999998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94.08</v>
      </c>
      <c r="Y173" s="356">
        <f>IFERROR(SUMPRODUCT(Y171:Y171*H171:H171),"0")</f>
        <v>94.08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84</v>
      </c>
      <c r="Y184" s="355">
        <f>IFERROR(IF(X184="","",X184),"")</f>
        <v>84</v>
      </c>
      <c r="Z184" s="36">
        <f>IFERROR(IF(X184="","",X184*0.00866),"")</f>
        <v>0.72743999999999998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437.90879999999999</v>
      </c>
      <c r="BN184" s="67">
        <f>IFERROR(Y184*I184,"0")</f>
        <v>437.90879999999999</v>
      </c>
      <c r="BO184" s="67">
        <f>IFERROR(X184/J184,"0")</f>
        <v>0.58333333333333337</v>
      </c>
      <c r="BP184" s="67">
        <f>IFERROR(Y184/J184,"0")</f>
        <v>0.58333333333333337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84</v>
      </c>
      <c r="Y186" s="356">
        <f>IFERROR(SUM(Y182:Y185),"0")</f>
        <v>84</v>
      </c>
      <c r="Z186" s="356">
        <f>IFERROR(IF(Z182="",0,Z182),"0")+IFERROR(IF(Z183="",0,Z183),"0")+IFERROR(IF(Z184="",0,Z184),"0")+IFERROR(IF(Z185="",0,Z185),"0")</f>
        <v>0.72743999999999998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420</v>
      </c>
      <c r="Y187" s="356">
        <f>IFERROR(SUMPRODUCT(Y182:Y185*H182:H185),"0")</f>
        <v>420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14</v>
      </c>
      <c r="Y197" s="355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47.432000000000002</v>
      </c>
      <c r="BN197" s="67">
        <f>IFERROR(Y197*I197,"0")</f>
        <v>47.432000000000002</v>
      </c>
      <c r="BO197" s="67">
        <f>IFERROR(X197/J197,"0")</f>
        <v>0.2</v>
      </c>
      <c r="BP197" s="67">
        <f>IFERROR(Y197/J197,"0")</f>
        <v>0.2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28</v>
      </c>
      <c r="Y199" s="356">
        <f>IFERROR(SUM(Y196:Y198),"0")</f>
        <v>28</v>
      </c>
      <c r="Z199" s="356">
        <f>IFERROR(IF(Z196="",0,Z196),"0")+IFERROR(IF(Z197="",0,Z197),"0")+IFERROR(IF(Z198="",0,Z198),"0")</f>
        <v>0.50063999999999997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84</v>
      </c>
      <c r="Y200" s="356">
        <f>IFERROR(SUMPRODUCT(Y196:Y198*H196:H198),"0")</f>
        <v>84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12</v>
      </c>
      <c r="Y224" s="355">
        <f t="shared" si="24"/>
        <v>12</v>
      </c>
      <c r="Z224" s="36">
        <f t="shared" si="25"/>
        <v>0.186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69.960000000000008</v>
      </c>
      <c r="BN224" s="67">
        <f t="shared" si="27"/>
        <v>69.960000000000008</v>
      </c>
      <c r="BO224" s="67">
        <f t="shared" si="28"/>
        <v>0.14285714285714285</v>
      </c>
      <c r="BP224" s="67">
        <f t="shared" si="29"/>
        <v>0.14285714285714285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12</v>
      </c>
      <c r="Y226" s="355">
        <f t="shared" si="24"/>
        <v>12</v>
      </c>
      <c r="Z226" s="36">
        <f t="shared" si="25"/>
        <v>0.186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70.44</v>
      </c>
      <c r="BN226" s="67">
        <f t="shared" si="27"/>
        <v>70.44</v>
      </c>
      <c r="BO226" s="67">
        <f t="shared" si="28"/>
        <v>0.14285714285714285</v>
      </c>
      <c r="BP226" s="67">
        <f t="shared" si="29"/>
        <v>0.14285714285714285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24</v>
      </c>
      <c r="Y229" s="356">
        <f>IFERROR(SUM(Y223:Y228),"0")</f>
        <v>24</v>
      </c>
      <c r="Z229" s="356">
        <f>IFERROR(IF(Z223="",0,Z223),"0")+IFERROR(IF(Z224="",0,Z224),"0")+IFERROR(IF(Z225="",0,Z225),"0")+IFERROR(IF(Z226="",0,Z226),"0")+IFERROR(IF(Z227="",0,Z227),"0")+IFERROR(IF(Z228="",0,Z228),"0")</f>
        <v>0.372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134.39999999999998</v>
      </c>
      <c r="Y230" s="356">
        <f>IFERROR(SUMPRODUCT(Y223:Y228*H223:H228),"0")</f>
        <v>134.39999999999998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60</v>
      </c>
      <c r="Y270" s="355">
        <f>IFERROR(IF(X270="","",X270),"")</f>
        <v>60</v>
      </c>
      <c r="Z270" s="36">
        <f>IFERROR(IF(X270="","",X270*0.0155),"")</f>
        <v>0.92999999999999994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315.71999999999997</v>
      </c>
      <c r="BN270" s="67">
        <f>IFERROR(Y270*I270,"0")</f>
        <v>315.71999999999997</v>
      </c>
      <c r="BO270" s="67">
        <f>IFERROR(X270/J270,"0")</f>
        <v>0.7142857142857143</v>
      </c>
      <c r="BP270" s="67">
        <f>IFERROR(Y270/J270,"0")</f>
        <v>0.7142857142857143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60</v>
      </c>
      <c r="Y272" s="356">
        <f>IFERROR(SUM(Y270:Y271),"0")</f>
        <v>60</v>
      </c>
      <c r="Z272" s="356">
        <f>IFERROR(IF(Z270="",0,Z270),"0")+IFERROR(IF(Z271="",0,Z271),"0")</f>
        <v>0.92999999999999994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300</v>
      </c>
      <c r="Y273" s="356">
        <f>IFERROR(SUMPRODUCT(Y270:Y271*H270:H271),"0")</f>
        <v>300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12</v>
      </c>
      <c r="Y288" s="355">
        <f>IFERROR(IF(X288="","",X288),"")</f>
        <v>12</v>
      </c>
      <c r="Z288" s="36">
        <f>IFERROR(IF(X288="","",X288*0.0155),"")</f>
        <v>0.186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87.36</v>
      </c>
      <c r="BN288" s="67">
        <f>IFERROR(Y288*I288,"0")</f>
        <v>87.36</v>
      </c>
      <c r="BO288" s="67">
        <f>IFERROR(X288/J288,"0")</f>
        <v>0.14285714285714285</v>
      </c>
      <c r="BP288" s="67">
        <f>IFERROR(Y288/J288,"0")</f>
        <v>0.14285714285714285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12</v>
      </c>
      <c r="Y289" s="355">
        <f>IFERROR(IF(X289="","",X289),"")</f>
        <v>12</v>
      </c>
      <c r="Z289" s="36">
        <f>IFERROR(IF(X289="","",X289*0.0155),"")</f>
        <v>0.186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74.760000000000005</v>
      </c>
      <c r="BN289" s="67">
        <f>IFERROR(Y289*I289,"0")</f>
        <v>74.760000000000005</v>
      </c>
      <c r="BO289" s="67">
        <f>IFERROR(X289/J289,"0")</f>
        <v>0.14285714285714285</v>
      </c>
      <c r="BP289" s="67">
        <f>IFERROR(Y289/J289,"0")</f>
        <v>0.14285714285714285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24</v>
      </c>
      <c r="Y290" s="356">
        <f>IFERROR(SUM(Y287:Y289),"0")</f>
        <v>24</v>
      </c>
      <c r="Z290" s="356">
        <f>IFERROR(IF(Z287="",0,Z287),"0")+IFERROR(IF(Z288="",0,Z288),"0")+IFERROR(IF(Z289="",0,Z289),"0")</f>
        <v>0.372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156</v>
      </c>
      <c r="Y291" s="356">
        <f>IFERROR(SUMPRODUCT(Y287:Y289*H287:H289),"0")</f>
        <v>156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36</v>
      </c>
      <c r="Y293" s="355">
        <f>IFERROR(IF(X293="","",X293),"")</f>
        <v>36</v>
      </c>
      <c r="Z293" s="36">
        <f>IFERROR(IF(X293="","",X293*0.00502),"")</f>
        <v>0.18071999999999999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68.94</v>
      </c>
      <c r="BN293" s="67">
        <f>IFERROR(Y293*I293,"0")</f>
        <v>68.94</v>
      </c>
      <c r="BO293" s="67">
        <f>IFERROR(X293/J293,"0")</f>
        <v>0.15384615384615385</v>
      </c>
      <c r="BP293" s="67">
        <f>IFERROR(Y293/J293,"0")</f>
        <v>0.15384615384615385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36</v>
      </c>
      <c r="Y294" s="356">
        <f>IFERROR(SUM(Y293:Y293),"0")</f>
        <v>36</v>
      </c>
      <c r="Z294" s="356">
        <f>IFERROR(IF(Z293="",0,Z293),"0")</f>
        <v>0.18071999999999999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64.8</v>
      </c>
      <c r="Y295" s="356">
        <f>IFERROR(SUMPRODUCT(Y293:Y293*H293:H293),"0")</f>
        <v>64.8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0</v>
      </c>
      <c r="Y299" s="356">
        <f>IFERROR(SUM(Y297:Y298),"0")</f>
        <v>0</v>
      </c>
      <c r="Z299" s="356">
        <f>IFERROR(IF(Z297="",0,Z297),"0")+IFERROR(IF(Z298="",0,Z298),"0")</f>
        <v>0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0</v>
      </c>
      <c r="Y300" s="356">
        <f>IFERROR(SUMPRODUCT(Y297:Y298*H297:H298),"0")</f>
        <v>0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56</v>
      </c>
      <c r="Y302" s="355">
        <f>IFERROR(IF(X302="","",X302),"")</f>
        <v>56</v>
      </c>
      <c r="Z302" s="36">
        <f>IFERROR(IF(X302="","",X302*0.00936),"")</f>
        <v>0.52415999999999996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161.87360000000001</v>
      </c>
      <c r="BN302" s="67">
        <f>IFERROR(Y302*I302,"0")</f>
        <v>161.87360000000001</v>
      </c>
      <c r="BO302" s="67">
        <f>IFERROR(X302/J302,"0")</f>
        <v>0.44444444444444442</v>
      </c>
      <c r="BP302" s="67">
        <f>IFERROR(Y302/J302,"0")</f>
        <v>0.44444444444444442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120</v>
      </c>
      <c r="Y303" s="355">
        <f>IFERROR(IF(X303="","",X303),"")</f>
        <v>120</v>
      </c>
      <c r="Z303" s="36">
        <f>IFERROR(IF(X303="","",X303*0.0155),"")</f>
        <v>1.8599999999999999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628.20000000000005</v>
      </c>
      <c r="BN303" s="67">
        <f>IFERROR(Y303*I303,"0")</f>
        <v>628.20000000000005</v>
      </c>
      <c r="BO303" s="67">
        <f>IFERROR(X303/J303,"0")</f>
        <v>1.4285714285714286</v>
      </c>
      <c r="BP303" s="67">
        <f>IFERROR(Y303/J303,"0")</f>
        <v>1.4285714285714286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176</v>
      </c>
      <c r="Y305" s="356">
        <f>IFERROR(SUM(Y302:Y304),"0")</f>
        <v>176</v>
      </c>
      <c r="Z305" s="356">
        <f>IFERROR(IF(Z302="",0,Z302),"0")+IFERROR(IF(Z303="",0,Z303),"0")+IFERROR(IF(Z304="",0,Z304),"0")</f>
        <v>2.3841599999999996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751.2</v>
      </c>
      <c r="Y306" s="356">
        <f>IFERROR(SUMPRODUCT(Y302:Y304*H302:H304),"0")</f>
        <v>751.2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28</v>
      </c>
      <c r="Y309" s="355">
        <f t="shared" si="30"/>
        <v>28</v>
      </c>
      <c r="Z309" s="36">
        <f>IFERROR(IF(X309="","",X309*0.00936),"")</f>
        <v>0.26207999999999998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108.976</v>
      </c>
      <c r="BN309" s="67">
        <f t="shared" si="32"/>
        <v>108.976</v>
      </c>
      <c r="BO309" s="67">
        <f t="shared" si="33"/>
        <v>0.22222222222222221</v>
      </c>
      <c r="BP309" s="67">
        <f t="shared" si="34"/>
        <v>0.22222222222222221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12</v>
      </c>
      <c r="Y310" s="355">
        <f t="shared" si="30"/>
        <v>12</v>
      </c>
      <c r="Z310" s="36">
        <f>IFERROR(IF(X310="","",X310*0.0155),"")</f>
        <v>0.186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68.820000000000007</v>
      </c>
      <c r="BN310" s="67">
        <f t="shared" si="32"/>
        <v>68.820000000000007</v>
      </c>
      <c r="BO310" s="67">
        <f t="shared" si="33"/>
        <v>0.14285714285714285</v>
      </c>
      <c r="BP310" s="67">
        <f t="shared" si="34"/>
        <v>0.14285714285714285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40</v>
      </c>
      <c r="Y329" s="356">
        <f>IFERROR(SUM(Y308:Y328),"0")</f>
        <v>40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0.44807999999999998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169.60000000000002</v>
      </c>
      <c r="Y330" s="356">
        <f>IFERROR(SUMPRODUCT(Y308:Y328*H308:H328),"0")</f>
        <v>169.60000000000002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4257.4000000000005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4257.4000000000005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4619.9491999999991</v>
      </c>
      <c r="Y337" s="356">
        <f>IFERROR(SUM(BN22:BN333),"0")</f>
        <v>4619.9491999999991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11</v>
      </c>
      <c r="Y338" s="38">
        <f>ROUNDUP(SUM(BP22:BP333),0)</f>
        <v>11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4894.9491999999991</v>
      </c>
      <c r="Y339" s="356">
        <f>GrossWeightTotalR+PalletQtyTotalR*25</f>
        <v>4894.9491999999991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1012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1012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13.92634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67.199999999999989</v>
      </c>
      <c r="E346" s="46">
        <f>IFERROR(X46*H46,"0")+IFERROR(X47*H47,"0")+IFERROR(X48*H48,"0")+IFERROR(X49*H49,"0")+IFERROR(X50*H50,"0")+IFERROR(X51*H51,"0")+IFERROR(X52*H52,"0")+IFERROR(X53*H53,"0")</f>
        <v>168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180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50.4</v>
      </c>
      <c r="J346" s="46">
        <f>IFERROR(X103*H103,"0")+IFERROR(X104*H104,"0")+IFERROR(X105*H105,"0")+IFERROR(X106*H106,"0")+IFERROR(X107*H107,"0")+IFERROR(X108*H108,"0")+IFERROR(X109*H109,"0")</f>
        <v>302.39999999999998</v>
      </c>
      <c r="K346" s="46">
        <f>IFERROR(X114*H114,"0")+IFERROR(X115*H115,"0")+IFERROR(X116*H116,"0")+IFERROR(X117*H117,"0")</f>
        <v>36.96</v>
      </c>
      <c r="L346" s="46">
        <f>IFERROR(X122*H122,"0")+IFERROR(X123*H123,"0")+IFERROR(X124*H124,"0")+IFERROR(X125*H125,"0")+IFERROR(X126*H126,"0")+IFERROR(X127*H127,"0")+IFERROR(X131*H131,"0")</f>
        <v>701.76</v>
      </c>
      <c r="M346" s="46">
        <f>IFERROR(X136*H136,"0")+IFERROR(X137*H137,"0")</f>
        <v>210</v>
      </c>
      <c r="N346" s="352"/>
      <c r="O346" s="46">
        <f>IFERROR(X142*H142,"0")+IFERROR(X143*H143,"0")</f>
        <v>42</v>
      </c>
      <c r="P346" s="46">
        <f>IFERROR(X148*H148,"0")+IFERROR(X149*H149,"0")</f>
        <v>84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94.08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480</v>
      </c>
      <c r="W346" s="46">
        <f>IFERROR(X196*H196,"0")+IFERROR(X197*H197,"0")+IFERROR(X198*H198,"0")+IFERROR(X202*H202,"0")</f>
        <v>84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134.39999999999998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300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1141.5999999999999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2217.6000000000004</v>
      </c>
      <c r="B349" s="60">
        <f>SUMPRODUCT(--(BB:BB="ПГП"),--(W:W="кор"),H:H,Y:Y)+SUMPRODUCT(--(BB:BB="ПГП"),--(W:W="кг"),Y:Y)</f>
        <v>2039.8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