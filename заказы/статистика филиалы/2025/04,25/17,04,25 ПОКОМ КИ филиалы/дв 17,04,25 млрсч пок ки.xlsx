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"/>
    </mc:Choice>
  </mc:AlternateContent>
  <xr:revisionPtr revIDLastSave="0" documentId="13_ncr:1_{9A255E17-5CDA-47CF-A23D-8D3426D352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9" i="1" l="1"/>
  <c r="AI10" i="1"/>
  <c r="AI11" i="1"/>
  <c r="AI12" i="1"/>
  <c r="AI14" i="1"/>
  <c r="AI15" i="1"/>
  <c r="AI16" i="1"/>
  <c r="AI20" i="1"/>
  <c r="AI22" i="1"/>
  <c r="AI25" i="1"/>
  <c r="AI26" i="1"/>
  <c r="AI27" i="1"/>
  <c r="AI28" i="1"/>
  <c r="AI32" i="1"/>
  <c r="AI33" i="1"/>
  <c r="AI34" i="1"/>
  <c r="AI37" i="1"/>
  <c r="AI38" i="1"/>
  <c r="AI39" i="1"/>
  <c r="AI43" i="1"/>
  <c r="AI44" i="1"/>
  <c r="AI45" i="1"/>
  <c r="AI46" i="1"/>
  <c r="AI49" i="1"/>
  <c r="AI51" i="1"/>
  <c r="AI54" i="1"/>
  <c r="AI55" i="1"/>
  <c r="AI56" i="1"/>
  <c r="AI57" i="1"/>
  <c r="AI59" i="1"/>
  <c r="AI60" i="1"/>
  <c r="AI62" i="1"/>
  <c r="AI64" i="1"/>
  <c r="AI65" i="1"/>
  <c r="AI66" i="1"/>
  <c r="AI67" i="1"/>
  <c r="AI68" i="1"/>
  <c r="AI69" i="1"/>
  <c r="AI71" i="1"/>
  <c r="AI74" i="1"/>
  <c r="AI75" i="1"/>
  <c r="AI80" i="1"/>
  <c r="AI82" i="1"/>
  <c r="AI83" i="1"/>
  <c r="AI88" i="1"/>
  <c r="AI91" i="1"/>
  <c r="AI94" i="1"/>
  <c r="AI95" i="1"/>
  <c r="AI96" i="1"/>
  <c r="AI97" i="1"/>
  <c r="N7" i="1" l="1"/>
  <c r="R7" i="1" s="1"/>
  <c r="N8" i="1"/>
  <c r="R8" i="1" s="1"/>
  <c r="N9" i="1"/>
  <c r="R9" i="1" s="1"/>
  <c r="N10" i="1"/>
  <c r="R10" i="1" s="1"/>
  <c r="N11" i="1"/>
  <c r="R11" i="1" s="1"/>
  <c r="N12" i="1"/>
  <c r="R12" i="1" s="1"/>
  <c r="N13" i="1"/>
  <c r="R13" i="1" s="1"/>
  <c r="N14" i="1"/>
  <c r="R14" i="1" s="1"/>
  <c r="N15" i="1"/>
  <c r="R15" i="1" s="1"/>
  <c r="N16" i="1"/>
  <c r="R16" i="1" s="1"/>
  <c r="N17" i="1"/>
  <c r="R17" i="1" s="1"/>
  <c r="N18" i="1"/>
  <c r="R18" i="1" s="1"/>
  <c r="N19" i="1"/>
  <c r="R19" i="1" s="1"/>
  <c r="N20" i="1"/>
  <c r="R20" i="1" s="1"/>
  <c r="N21" i="1"/>
  <c r="R21" i="1" s="1"/>
  <c r="N22" i="1"/>
  <c r="R22" i="1" s="1"/>
  <c r="N23" i="1"/>
  <c r="R23" i="1" s="1"/>
  <c r="N24" i="1"/>
  <c r="R24" i="1" s="1"/>
  <c r="N25" i="1"/>
  <c r="R25" i="1" s="1"/>
  <c r="N26" i="1"/>
  <c r="R26" i="1" s="1"/>
  <c r="N27" i="1"/>
  <c r="R27" i="1" s="1"/>
  <c r="N28" i="1"/>
  <c r="R28" i="1" s="1"/>
  <c r="N29" i="1"/>
  <c r="R29" i="1" s="1"/>
  <c r="N30" i="1"/>
  <c r="R30" i="1" s="1"/>
  <c r="N31" i="1"/>
  <c r="R31" i="1" s="1"/>
  <c r="N32" i="1"/>
  <c r="R32" i="1" s="1"/>
  <c r="N33" i="1"/>
  <c r="R33" i="1" s="1"/>
  <c r="N34" i="1"/>
  <c r="R34" i="1" s="1"/>
  <c r="N35" i="1"/>
  <c r="R35" i="1" s="1"/>
  <c r="N36" i="1"/>
  <c r="R36" i="1" s="1"/>
  <c r="N37" i="1"/>
  <c r="R37" i="1" s="1"/>
  <c r="N38" i="1"/>
  <c r="R38" i="1" s="1"/>
  <c r="N39" i="1"/>
  <c r="R39" i="1" s="1"/>
  <c r="N40" i="1"/>
  <c r="R40" i="1" s="1"/>
  <c r="N41" i="1"/>
  <c r="R41" i="1" s="1"/>
  <c r="N42" i="1"/>
  <c r="R42" i="1" s="1"/>
  <c r="N43" i="1"/>
  <c r="R43" i="1" s="1"/>
  <c r="N44" i="1"/>
  <c r="R44" i="1" s="1"/>
  <c r="N45" i="1"/>
  <c r="R45" i="1" s="1"/>
  <c r="N46" i="1"/>
  <c r="R46" i="1" s="1"/>
  <c r="N47" i="1"/>
  <c r="R47" i="1" s="1"/>
  <c r="N48" i="1"/>
  <c r="R48" i="1" s="1"/>
  <c r="N49" i="1"/>
  <c r="R49" i="1" s="1"/>
  <c r="N50" i="1"/>
  <c r="R50" i="1" s="1"/>
  <c r="N51" i="1"/>
  <c r="R51" i="1" s="1"/>
  <c r="N52" i="1"/>
  <c r="R52" i="1" s="1"/>
  <c r="N53" i="1"/>
  <c r="R53" i="1" s="1"/>
  <c r="N54" i="1"/>
  <c r="R54" i="1" s="1"/>
  <c r="N55" i="1"/>
  <c r="R55" i="1" s="1"/>
  <c r="N56" i="1"/>
  <c r="R56" i="1" s="1"/>
  <c r="N57" i="1"/>
  <c r="R57" i="1" s="1"/>
  <c r="N58" i="1"/>
  <c r="R58" i="1" s="1"/>
  <c r="N59" i="1"/>
  <c r="R59" i="1" s="1"/>
  <c r="N60" i="1"/>
  <c r="R60" i="1" s="1"/>
  <c r="N61" i="1"/>
  <c r="R61" i="1" s="1"/>
  <c r="N62" i="1"/>
  <c r="R62" i="1" s="1"/>
  <c r="N63" i="1"/>
  <c r="R63" i="1" s="1"/>
  <c r="N64" i="1"/>
  <c r="R64" i="1" s="1"/>
  <c r="N65" i="1"/>
  <c r="R65" i="1" s="1"/>
  <c r="N66" i="1"/>
  <c r="R66" i="1" s="1"/>
  <c r="N67" i="1"/>
  <c r="R67" i="1" s="1"/>
  <c r="N68" i="1"/>
  <c r="R68" i="1" s="1"/>
  <c r="N69" i="1"/>
  <c r="R69" i="1" s="1"/>
  <c r="N70" i="1"/>
  <c r="R70" i="1" s="1"/>
  <c r="N71" i="1"/>
  <c r="R71" i="1" s="1"/>
  <c r="N72" i="1"/>
  <c r="R72" i="1" s="1"/>
  <c r="N73" i="1"/>
  <c r="R73" i="1" s="1"/>
  <c r="N74" i="1"/>
  <c r="R74" i="1" s="1"/>
  <c r="N75" i="1"/>
  <c r="R75" i="1" s="1"/>
  <c r="N76" i="1"/>
  <c r="R76" i="1" s="1"/>
  <c r="N77" i="1"/>
  <c r="R77" i="1" s="1"/>
  <c r="N78" i="1"/>
  <c r="R78" i="1" s="1"/>
  <c r="N79" i="1"/>
  <c r="R79" i="1" s="1"/>
  <c r="N80" i="1"/>
  <c r="R80" i="1" s="1"/>
  <c r="N81" i="1"/>
  <c r="R81" i="1" s="1"/>
  <c r="N82" i="1"/>
  <c r="R82" i="1" s="1"/>
  <c r="N83" i="1"/>
  <c r="R83" i="1" s="1"/>
  <c r="N84" i="1"/>
  <c r="R84" i="1" s="1"/>
  <c r="N85" i="1"/>
  <c r="R85" i="1" s="1"/>
  <c r="N86" i="1"/>
  <c r="R86" i="1" s="1"/>
  <c r="N87" i="1"/>
  <c r="R87" i="1" s="1"/>
  <c r="N88" i="1"/>
  <c r="R88" i="1" s="1"/>
  <c r="N89" i="1"/>
  <c r="R89" i="1" s="1"/>
  <c r="N90" i="1"/>
  <c r="R90" i="1" s="1"/>
  <c r="N91" i="1"/>
  <c r="R91" i="1" s="1"/>
  <c r="N92" i="1"/>
  <c r="R92" i="1" s="1"/>
  <c r="N93" i="1"/>
  <c r="R93" i="1" s="1"/>
  <c r="N94" i="1"/>
  <c r="R94" i="1" s="1"/>
  <c r="N95" i="1"/>
  <c r="R95" i="1" s="1"/>
  <c r="N96" i="1"/>
  <c r="R96" i="1" s="1"/>
  <c r="N97" i="1"/>
  <c r="R97" i="1" s="1"/>
  <c r="N6" i="1"/>
  <c r="R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S13" i="1" s="1"/>
  <c r="AI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S21" i="1" s="1"/>
  <c r="AI21" i="1" s="1"/>
  <c r="G22" i="1"/>
  <c r="H22" i="1" s="1"/>
  <c r="G23" i="1"/>
  <c r="H23" i="1" s="1"/>
  <c r="S23" i="1" s="1"/>
  <c r="AI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S35" i="1" s="1"/>
  <c r="AI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S41" i="1" s="1"/>
  <c r="AI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S47" i="1" s="1"/>
  <c r="AI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S53" i="1" s="1"/>
  <c r="AI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S61" i="1" s="1"/>
  <c r="AI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S73" i="1" s="1"/>
  <c r="AI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S89" i="1" s="1"/>
  <c r="AI89" i="1" s="1"/>
  <c r="G90" i="1"/>
  <c r="H90" i="1" s="1"/>
  <c r="G91" i="1"/>
  <c r="H91" i="1" s="1"/>
  <c r="G92" i="1"/>
  <c r="H92" i="1" s="1"/>
  <c r="G93" i="1"/>
  <c r="H93" i="1" s="1"/>
  <c r="S93" i="1" s="1"/>
  <c r="AI93" i="1" s="1"/>
  <c r="G94" i="1"/>
  <c r="H94" i="1" s="1"/>
  <c r="G95" i="1"/>
  <c r="H95" i="1" s="1"/>
  <c r="G96" i="1"/>
  <c r="H96" i="1" s="1"/>
  <c r="G97" i="1"/>
  <c r="H97" i="1" s="1"/>
  <c r="G6" i="1"/>
  <c r="H6" i="1" s="1"/>
  <c r="S78" i="1" l="1"/>
  <c r="S79" i="1"/>
  <c r="AI79" i="1" s="1"/>
  <c r="S77" i="1"/>
  <c r="AI77" i="1" s="1"/>
  <c r="S17" i="1"/>
  <c r="S81" i="1"/>
  <c r="AI81" i="1" s="1"/>
  <c r="S6" i="1"/>
  <c r="S92" i="1"/>
  <c r="S90" i="1"/>
  <c r="S86" i="1"/>
  <c r="S84" i="1"/>
  <c r="AI84" i="1" s="1"/>
  <c r="V82" i="1"/>
  <c r="S76" i="1"/>
  <c r="S72" i="1"/>
  <c r="AI72" i="1" s="1"/>
  <c r="S70" i="1"/>
  <c r="S58" i="1"/>
  <c r="S52" i="1"/>
  <c r="S50" i="1"/>
  <c r="AI50" i="1" s="1"/>
  <c r="S48" i="1"/>
  <c r="S42" i="1"/>
  <c r="S40" i="1"/>
  <c r="S36" i="1"/>
  <c r="S30" i="1"/>
  <c r="S24" i="1"/>
  <c r="S18" i="1"/>
  <c r="S8" i="1"/>
  <c r="AI8" i="1" s="1"/>
  <c r="S87" i="1"/>
  <c r="AI87" i="1" s="1"/>
  <c r="S85" i="1"/>
  <c r="S63" i="1"/>
  <c r="AI63" i="1" s="1"/>
  <c r="S31" i="1"/>
  <c r="S29" i="1"/>
  <c r="AI29" i="1" s="1"/>
  <c r="S19" i="1"/>
  <c r="AI17" i="1"/>
  <c r="S7" i="1"/>
  <c r="V97" i="1"/>
  <c r="W97" i="1"/>
  <c r="V95" i="1"/>
  <c r="W95" i="1"/>
  <c r="V93" i="1"/>
  <c r="W93" i="1"/>
  <c r="V91" i="1"/>
  <c r="W91" i="1"/>
  <c r="V89" i="1"/>
  <c r="W89" i="1"/>
  <c r="V87" i="1"/>
  <c r="W87" i="1"/>
  <c r="W85" i="1"/>
  <c r="V83" i="1"/>
  <c r="W83" i="1"/>
  <c r="V81" i="1"/>
  <c r="W81" i="1"/>
  <c r="V79" i="1"/>
  <c r="W79" i="1"/>
  <c r="V77" i="1"/>
  <c r="W77" i="1"/>
  <c r="V75" i="1"/>
  <c r="W75" i="1"/>
  <c r="V73" i="1"/>
  <c r="W73" i="1"/>
  <c r="V71" i="1"/>
  <c r="W71" i="1"/>
  <c r="V69" i="1"/>
  <c r="W69" i="1"/>
  <c r="V67" i="1"/>
  <c r="W67" i="1"/>
  <c r="V65" i="1"/>
  <c r="W65" i="1"/>
  <c r="V63" i="1"/>
  <c r="W63" i="1"/>
  <c r="V61" i="1"/>
  <c r="W61" i="1"/>
  <c r="V59" i="1"/>
  <c r="W59" i="1"/>
  <c r="V57" i="1"/>
  <c r="W57" i="1"/>
  <c r="V55" i="1"/>
  <c r="W55" i="1"/>
  <c r="V53" i="1"/>
  <c r="W53" i="1"/>
  <c r="V51" i="1"/>
  <c r="W51" i="1"/>
  <c r="V49" i="1"/>
  <c r="W49" i="1"/>
  <c r="V47" i="1"/>
  <c r="W47" i="1"/>
  <c r="V45" i="1"/>
  <c r="W45" i="1"/>
  <c r="V43" i="1"/>
  <c r="W43" i="1"/>
  <c r="V41" i="1"/>
  <c r="W41" i="1"/>
  <c r="V39" i="1"/>
  <c r="W39" i="1"/>
  <c r="V37" i="1"/>
  <c r="W37" i="1"/>
  <c r="V35" i="1"/>
  <c r="W35" i="1"/>
  <c r="V33" i="1"/>
  <c r="W33" i="1"/>
  <c r="W31" i="1"/>
  <c r="V29" i="1"/>
  <c r="W29" i="1"/>
  <c r="V27" i="1"/>
  <c r="W27" i="1"/>
  <c r="V25" i="1"/>
  <c r="W25" i="1"/>
  <c r="V23" i="1"/>
  <c r="W23" i="1"/>
  <c r="V21" i="1"/>
  <c r="W21" i="1"/>
  <c r="W19" i="1"/>
  <c r="V17" i="1"/>
  <c r="W17" i="1"/>
  <c r="V15" i="1"/>
  <c r="W15" i="1"/>
  <c r="V13" i="1"/>
  <c r="W13" i="1"/>
  <c r="V11" i="1"/>
  <c r="W11" i="1"/>
  <c r="V9" i="1"/>
  <c r="W9" i="1"/>
  <c r="W7" i="1"/>
  <c r="H5" i="1"/>
  <c r="W6" i="1"/>
  <c r="V96" i="1"/>
  <c r="W96" i="1"/>
  <c r="V94" i="1"/>
  <c r="W94" i="1"/>
  <c r="W92" i="1"/>
  <c r="W90" i="1"/>
  <c r="V88" i="1"/>
  <c r="W88" i="1"/>
  <c r="W86" i="1"/>
  <c r="V84" i="1"/>
  <c r="W84" i="1"/>
  <c r="W82" i="1"/>
  <c r="V80" i="1"/>
  <c r="W80" i="1"/>
  <c r="W78" i="1"/>
  <c r="W76" i="1"/>
  <c r="V74" i="1"/>
  <c r="W74" i="1"/>
  <c r="W72" i="1"/>
  <c r="W70" i="1"/>
  <c r="V68" i="1"/>
  <c r="W68" i="1"/>
  <c r="V66" i="1"/>
  <c r="W66" i="1"/>
  <c r="V64" i="1"/>
  <c r="W64" i="1"/>
  <c r="V62" i="1"/>
  <c r="W62" i="1"/>
  <c r="V60" i="1"/>
  <c r="W60" i="1"/>
  <c r="W58" i="1"/>
  <c r="V56" i="1"/>
  <c r="W56" i="1"/>
  <c r="V54" i="1"/>
  <c r="W54" i="1"/>
  <c r="W52" i="1"/>
  <c r="V50" i="1"/>
  <c r="W50" i="1"/>
  <c r="W48" i="1"/>
  <c r="V46" i="1"/>
  <c r="W46" i="1"/>
  <c r="V44" i="1"/>
  <c r="W44" i="1"/>
  <c r="W42" i="1"/>
  <c r="W40" i="1"/>
  <c r="V38" i="1"/>
  <c r="W38" i="1"/>
  <c r="W36" i="1"/>
  <c r="V34" i="1"/>
  <c r="W34" i="1"/>
  <c r="V32" i="1"/>
  <c r="W32" i="1"/>
  <c r="W30" i="1"/>
  <c r="V28" i="1"/>
  <c r="W28" i="1"/>
  <c r="V26" i="1"/>
  <c r="W26" i="1"/>
  <c r="W24" i="1"/>
  <c r="V22" i="1"/>
  <c r="W22" i="1"/>
  <c r="V20" i="1"/>
  <c r="W20" i="1"/>
  <c r="W18" i="1"/>
  <c r="V16" i="1"/>
  <c r="W16" i="1"/>
  <c r="V14" i="1"/>
  <c r="W14" i="1"/>
  <c r="V12" i="1"/>
  <c r="W12" i="1"/>
  <c r="V10" i="1"/>
  <c r="W10" i="1"/>
  <c r="V8" i="1"/>
  <c r="W8" i="1"/>
  <c r="G5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G5" i="1"/>
  <c r="AF5" i="1"/>
  <c r="AE5" i="1"/>
  <c r="AD5" i="1"/>
  <c r="AC5" i="1"/>
  <c r="AB5" i="1"/>
  <c r="AA5" i="1"/>
  <c r="Z5" i="1"/>
  <c r="Y5" i="1"/>
  <c r="X5" i="1"/>
  <c r="T5" i="1"/>
  <c r="R5" i="1"/>
  <c r="Q5" i="1"/>
  <c r="P5" i="1"/>
  <c r="O5" i="1"/>
  <c r="N5" i="1"/>
  <c r="L5" i="1"/>
  <c r="F5" i="1"/>
  <c r="E5" i="1"/>
  <c r="V7" i="1" l="1"/>
  <c r="AI7" i="1"/>
  <c r="V19" i="1"/>
  <c r="AI19" i="1"/>
  <c r="V31" i="1"/>
  <c r="AI31" i="1"/>
  <c r="V85" i="1"/>
  <c r="AI85" i="1"/>
  <c r="V24" i="1"/>
  <c r="AI24" i="1"/>
  <c r="V36" i="1"/>
  <c r="AI36" i="1"/>
  <c r="V42" i="1"/>
  <c r="AI42" i="1"/>
  <c r="V58" i="1"/>
  <c r="AI58" i="1"/>
  <c r="V78" i="1"/>
  <c r="AI78" i="1"/>
  <c r="V90" i="1"/>
  <c r="AI90" i="1"/>
  <c r="V6" i="1"/>
  <c r="AI6" i="1"/>
  <c r="V18" i="1"/>
  <c r="AI18" i="1"/>
  <c r="V30" i="1"/>
  <c r="AI30" i="1"/>
  <c r="V40" i="1"/>
  <c r="AI40" i="1"/>
  <c r="V48" i="1"/>
  <c r="AI48" i="1"/>
  <c r="V52" i="1"/>
  <c r="AI52" i="1"/>
  <c r="V70" i="1"/>
  <c r="AI70" i="1"/>
  <c r="V76" i="1"/>
  <c r="AI76" i="1"/>
  <c r="V86" i="1"/>
  <c r="AI86" i="1"/>
  <c r="V92" i="1"/>
  <c r="AI92" i="1"/>
  <c r="V72" i="1"/>
  <c r="S5" i="1"/>
  <c r="M5" i="1"/>
  <c r="AI5" i="1" l="1"/>
</calcChain>
</file>

<file path=xl/sharedStrings.xml><?xml version="1.0" encoding="utf-8"?>
<sst xmlns="http://schemas.openxmlformats.org/spreadsheetml/2006/main" count="362" uniqueCount="144">
  <si>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</si>
  <si>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</si>
  <si>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</si>
  <si>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</si>
  <si>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</si>
  <si>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</si>
  <si>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</si>
  <si>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</si>
  <si>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</si>
  <si>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</si>
  <si>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</si>
  <si>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</si>
  <si>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</si>
  <si>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</si>
  <si>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</si>
  <si>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</si>
  <si>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</si>
  <si>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</si>
  <si>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</si>
  <si>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</si>
  <si>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</si>
  <si>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</si>
  <si>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14,04,</t>
  </si>
  <si>
    <t>19,04,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</si>
  <si>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</si>
  <si>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</si>
  <si>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</si>
  <si>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</si>
  <si>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</si>
  <si>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</si>
  <si>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</si>
  <si>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</si>
  <si>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</si>
  <si>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</si>
  <si>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</si>
  <si>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</si>
  <si>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</si>
  <si>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</si>
  <si>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</si>
  <si>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</si>
  <si>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</si>
  <si>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</si>
  <si>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нет потребности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</si>
  <si>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</si>
  <si>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</si>
  <si>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</si>
  <si>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</si>
  <si>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</si>
  <si>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</si>
  <si>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</si>
  <si>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</si>
  <si>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</si>
  <si>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</si>
  <si>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</si>
  <si>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</si>
  <si>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</si>
  <si>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</si>
  <si>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</si>
  <si>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</si>
  <si>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</si>
  <si>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</si>
  <si>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</si>
  <si>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</si>
  <si>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</si>
  <si>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</si>
  <si>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</si>
  <si>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</si>
  <si>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271  Колбаса Сервелат Левантский ТМ Особый Рецепт, ВЕС.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</si>
  <si>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</si>
  <si>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</si>
  <si>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заказываем с 06,02,25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</si>
  <si>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</si>
  <si>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</si>
  <si>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</si>
  <si>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</si>
  <si>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</si>
  <si>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</si>
  <si>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</si>
  <si>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</si>
  <si>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</si>
  <si>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</si>
  <si>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</si>
  <si>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</si>
  <si>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</si>
  <si>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</si>
  <si>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</si>
  <si>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</si>
  <si>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</si>
  <si>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</si>
  <si>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</si>
  <si>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</si>
  <si>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</si>
  <si>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</si>
  <si>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</si>
  <si>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</si>
  <si>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</si>
  <si>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</si>
  <si>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</si>
  <si>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</si>
  <si>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</si>
  <si>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</si>
  <si>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</si>
  <si>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</si>
  <si>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</si>
  <si>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</si>
  <si>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</si>
  <si>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</si>
  <si>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</si>
  <si>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 / 12,12,24 в уценку 22шт.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</si>
  <si>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</si>
  <si>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</si>
  <si>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</si>
  <si>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</si>
  <si>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</si>
  <si>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</si>
  <si>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</si>
  <si>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</si>
  <si>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</si>
  <si>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>нужно увеличить продажи!!!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</si>
  <si>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</si>
  <si>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</si>
  <si>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</si>
  <si>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</si>
  <si>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</si>
  <si>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</si>
  <si>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</si>
  <si>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</si>
  <si>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 xml:space="preserve"> 506  Сосиски Филейские рубленые ТМ Вязанка в оболочке целлофан в м/г среде. ВЕС.ПОКОМ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</si>
  <si>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</si>
  <si>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</si>
  <si>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</si>
  <si>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</si>
  <si>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</si>
  <si>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</si>
  <si>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</si>
  <si>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</si>
  <si>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</si>
  <si>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не в матрице</t>
  </si>
  <si>
    <t>помощь заводу ИОСГ</t>
  </si>
  <si>
    <t>Деликатесы в/к «Грудинка копчено-вареная» Фикс.вес 0,12 нарезка ТМ «Стародворье»</t>
  </si>
  <si>
    <t>ПОЛЯКОВ</t>
  </si>
  <si>
    <t>ИТОГО</t>
  </si>
  <si>
    <t>заказ</t>
  </si>
  <si>
    <t>21,04,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</si>
</sst>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2;&#1077;&#1083;&#1080;&#1090;&#1086;&#1087;&#1086;&#1083;&#1100;/&#1055;&#1086;&#1083;&#1103;&#1082;&#1086;&#1074;%2017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330  Колбаса вареная Филейская ТМ Вязанка ТС Классическая ВЕС  ПОКОМ</v>
          </cell>
          <cell r="B2">
            <v>206.09</v>
          </cell>
        </row>
        <row r="3">
          <cell r="A3" t="str">
            <v xml:space="preserve"> 319  Колбаса вареная Филейская ТМ Вязанка ТС Классическая, 0,45 кг. ПОКОМ</v>
          </cell>
          <cell r="B3">
            <v>100</v>
          </cell>
        </row>
        <row r="4">
          <cell r="A4" t="str">
            <v xml:space="preserve"> 312  Ветчина Филейская ВЕС ТМ  Вязанка ТС Столичная  ПОКОМ</v>
          </cell>
          <cell r="B4">
            <v>108.681</v>
          </cell>
        </row>
        <row r="5">
          <cell r="A5" t="str">
            <v xml:space="preserve"> 506  Сосиски Филейские рубленые ТМ Вязанка в оболочке целлофан в м/г среде. ВЕС.ПОКОМ</v>
          </cell>
          <cell r="B5">
            <v>104.673</v>
          </cell>
        </row>
        <row r="6">
          <cell r="A6" t="str">
            <v xml:space="preserve"> 247  Сардельки Нежные, ВЕС.  ПОКОМ</v>
          </cell>
          <cell r="B6">
            <v>202.2</v>
          </cell>
        </row>
        <row r="7">
          <cell r="A7" t="str">
            <v xml:space="preserve"> 457  Колбаса Молочная ТМ Особый рецепт ВЕС большой батон  ПОКОМ</v>
          </cell>
          <cell r="B7">
            <v>1502.5329999999999</v>
          </cell>
        </row>
        <row r="8">
          <cell r="A8" t="str">
            <v xml:space="preserve"> 456  Колбаса Филейная ТМ Особый рецепт ВЕС большой батон  ПОКОМ</v>
          </cell>
          <cell r="B8">
            <v>1008.7089999999999</v>
          </cell>
        </row>
        <row r="9">
          <cell r="A9" t="str">
            <v xml:space="preserve"> 201  Ветчина Нежная ТМ Особый рецепт, (2,5кг), ПОКОМ</v>
          </cell>
          <cell r="B9">
            <v>2018.2619999999999</v>
          </cell>
        </row>
        <row r="10">
          <cell r="A10" t="str">
            <v xml:space="preserve"> 248  Сардельки Сочные ТМ Особый рецепт,   ПОКОМ</v>
          </cell>
          <cell r="B10">
            <v>352.87400000000002</v>
          </cell>
        </row>
        <row r="11">
          <cell r="A11" t="str">
            <v xml:space="preserve"> 271  Колбаса Сервелат Левантский ТМ Особый Рецепт, ВЕС. ПОКОМ</v>
          </cell>
          <cell r="B11">
            <v>99.14</v>
          </cell>
        </row>
        <row r="12">
          <cell r="A12" t="str">
            <v xml:space="preserve"> 229  Колбаса Молочная Дугушка, в/у, ВЕС, ТМ Стародворье   ПОКОМ</v>
          </cell>
          <cell r="B12">
            <v>604.93799999999999</v>
          </cell>
        </row>
        <row r="13">
          <cell r="A13" t="str">
            <v xml:space="preserve"> 200  Ветчина Дугушка ТМ Стародворье, вектор в/у    ПОКОМ</v>
          </cell>
          <cell r="B13">
            <v>400.02</v>
          </cell>
        </row>
        <row r="14">
          <cell r="A14" t="str">
            <v xml:space="preserve"> 236  Колбаса Рубленая ЗАПЕЧ. Дугушка ТМ Стародворье, вектор, в/к    ПОКОМ</v>
          </cell>
          <cell r="B14">
            <v>100.63</v>
          </cell>
        </row>
        <row r="15">
          <cell r="A15" t="str">
            <v xml:space="preserve"> 239  Колбаса Салями запеч Дугушка, оболочка вектор, ВЕС, ТМ Стародворье  ПОКОМ</v>
          </cell>
          <cell r="B15">
            <v>100.393</v>
          </cell>
        </row>
        <row r="16">
          <cell r="A16" t="str">
            <v xml:space="preserve"> 242  Колбаса Сервелат ЗАПЕЧ.Дугушка ТМ Стародворье, вектор, в/к     ПОКОМ</v>
          </cell>
          <cell r="B16">
            <v>153.11699999999999</v>
          </cell>
        </row>
        <row r="17">
          <cell r="A17" t="str">
            <v>Европоддон (невозвратный)</v>
          </cell>
          <cell r="B17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8" width="7" customWidth="1"/>
    <col min="9" max="9" width="5" style="9" customWidth="1"/>
    <col min="10" max="10" width="5" customWidth="1"/>
    <col min="11" max="11" width="12" customWidth="1"/>
    <col min="12" max="20" width="7" customWidth="1"/>
    <col min="21" max="21" width="21" customWidth="1"/>
    <col min="22" max="23" width="5" customWidth="1"/>
    <col min="24" max="33" width="6" customWidth="1"/>
    <col min="34" max="34" width="25" customWidth="1"/>
    <col min="35" max="35" width="7" customWidth="1"/>
    <col min="36" max="53" width="8" customWidth="1"/>
  </cols>
  <sheetData>
    <row r="1" spans="1:53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1"/>
      <c r="H2" s="1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140</v>
      </c>
      <c r="H3" s="10" t="s">
        <v>141</v>
      </c>
      <c r="I3" s="8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13</v>
      </c>
      <c r="R3" s="2" t="s">
        <v>14</v>
      </c>
      <c r="S3" s="3" t="s">
        <v>142</v>
      </c>
      <c r="T3" s="6" t="s">
        <v>15</v>
      </c>
      <c r="U3" s="6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1"/>
      <c r="H4" s="1"/>
      <c r="I4" s="7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 t="s">
        <v>24</v>
      </c>
      <c r="S4" s="1" t="s">
        <v>143</v>
      </c>
      <c r="T4" s="1"/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10899.768</v>
      </c>
      <c r="F5" s="4">
        <f>SUM(F6:F500)</f>
        <v>17435.443000000003</v>
      </c>
      <c r="G5" s="4">
        <f t="shared" ref="G5:H5" si="0">SUM(G6:G500)</f>
        <v>7062.2599999999993</v>
      </c>
      <c r="H5" s="4">
        <f t="shared" si="0"/>
        <v>10373.182999999999</v>
      </c>
      <c r="I5" s="7"/>
      <c r="J5" s="1"/>
      <c r="K5" s="1"/>
      <c r="L5" s="4">
        <f t="shared" ref="L5:T5" si="1">SUM(L6:L500)</f>
        <v>12965.640000000005</v>
      </c>
      <c r="M5" s="4">
        <f t="shared" si="1"/>
        <v>-2065.8720000000003</v>
      </c>
      <c r="N5" s="4">
        <f t="shared" si="1"/>
        <v>10868.002</v>
      </c>
      <c r="O5" s="4">
        <f t="shared" si="1"/>
        <v>31.765999999999998</v>
      </c>
      <c r="P5" s="4">
        <f t="shared" si="1"/>
        <v>2482.8361799999993</v>
      </c>
      <c r="Q5" s="4">
        <f t="shared" si="1"/>
        <v>8980.5543600000019</v>
      </c>
      <c r="R5" s="4">
        <f t="shared" si="1"/>
        <v>2173.6003999999989</v>
      </c>
      <c r="S5" s="4">
        <f t="shared" si="1"/>
        <v>4241.2056399999983</v>
      </c>
      <c r="T5" s="4">
        <f t="shared" si="1"/>
        <v>0</v>
      </c>
      <c r="U5" s="1"/>
      <c r="V5" s="1"/>
      <c r="W5" s="1"/>
      <c r="X5" s="4">
        <f t="shared" ref="X5:AG5" si="2">SUM(X6:X500)</f>
        <v>2166.7330000000002</v>
      </c>
      <c r="Y5" s="4">
        <f t="shared" si="2"/>
        <v>2018.0190000000002</v>
      </c>
      <c r="Z5" s="4">
        <f t="shared" si="2"/>
        <v>1973.1680000000006</v>
      </c>
      <c r="AA5" s="4">
        <f t="shared" si="2"/>
        <v>1931.269</v>
      </c>
      <c r="AB5" s="4">
        <f t="shared" si="2"/>
        <v>2050.7321999999995</v>
      </c>
      <c r="AC5" s="4">
        <f t="shared" si="2"/>
        <v>1930.0749999999996</v>
      </c>
      <c r="AD5" s="4">
        <f t="shared" si="2"/>
        <v>1876.0503999999999</v>
      </c>
      <c r="AE5" s="4">
        <f t="shared" si="2"/>
        <v>2143.1182000000003</v>
      </c>
      <c r="AF5" s="4">
        <f t="shared" si="2"/>
        <v>2215.0877999999998</v>
      </c>
      <c r="AG5" s="4">
        <f t="shared" si="2"/>
        <v>1811.8879999999999</v>
      </c>
      <c r="AH5" s="1"/>
      <c r="AI5" s="4">
        <f>SUM(AI6:AI500)</f>
        <v>3870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110.875</v>
      </c>
      <c r="D6" s="1"/>
      <c r="E6" s="1">
        <v>90.364999999999995</v>
      </c>
      <c r="F6" s="1"/>
      <c r="G6" s="1">
        <f>IFERROR(VLOOKUP(A6,[1]TDSheet!$A:$B,2,0),0)</f>
        <v>0</v>
      </c>
      <c r="H6" s="1">
        <f>F6-G6</f>
        <v>0</v>
      </c>
      <c r="I6" s="7">
        <v>1</v>
      </c>
      <c r="J6" s="1">
        <v>50</v>
      </c>
      <c r="K6" s="1" t="s">
        <v>37</v>
      </c>
      <c r="L6" s="1">
        <v>114</v>
      </c>
      <c r="M6" s="1">
        <f t="shared" ref="M6:M37" si="3">E6-L6</f>
        <v>-23.635000000000005</v>
      </c>
      <c r="N6" s="1">
        <f>E6-O6</f>
        <v>90.364999999999995</v>
      </c>
      <c r="O6" s="1"/>
      <c r="P6" s="1">
        <v>25.06580000000001</v>
      </c>
      <c r="Q6" s="1">
        <v>123.7726</v>
      </c>
      <c r="R6" s="1">
        <f>N6/5</f>
        <v>18.073</v>
      </c>
      <c r="S6" s="5">
        <f>11*R6-Q6-P6-H6</f>
        <v>49.96459999999999</v>
      </c>
      <c r="T6" s="5"/>
      <c r="U6" s="1"/>
      <c r="V6" s="1">
        <f>(H6+P6+Q6+S6)/R6</f>
        <v>11</v>
      </c>
      <c r="W6" s="1">
        <f>(H6+P6+Q6)/R6</f>
        <v>8.2354008742322797</v>
      </c>
      <c r="X6" s="1">
        <v>19.945799999999998</v>
      </c>
      <c r="Y6" s="1">
        <v>10.6248</v>
      </c>
      <c r="Z6" s="1">
        <v>8.442400000000001</v>
      </c>
      <c r="AA6" s="1">
        <v>10.602600000000001</v>
      </c>
      <c r="AB6" s="1">
        <v>13.852</v>
      </c>
      <c r="AC6" s="1">
        <v>16.499400000000001</v>
      </c>
      <c r="AD6" s="1">
        <v>13.760400000000001</v>
      </c>
      <c r="AE6" s="1">
        <v>7.3159999999999998</v>
      </c>
      <c r="AF6" s="1">
        <v>9.7444000000000006</v>
      </c>
      <c r="AG6" s="1">
        <v>15.102</v>
      </c>
      <c r="AH6" s="1"/>
      <c r="AI6" s="1">
        <f>ROUND(I6*S6,0)</f>
        <v>50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91.715999999999994</v>
      </c>
      <c r="D7" s="1">
        <v>275.27600000000001</v>
      </c>
      <c r="E7" s="1">
        <v>127.944</v>
      </c>
      <c r="F7" s="1">
        <v>213.26400000000001</v>
      </c>
      <c r="G7" s="1">
        <f>IFERROR(VLOOKUP(A7,[1]TDSheet!$A:$B,2,0),0)</f>
        <v>0</v>
      </c>
      <c r="H7" s="1">
        <f t="shared" ref="H7:H70" si="4">F7-G7</f>
        <v>213.26400000000001</v>
      </c>
      <c r="I7" s="7">
        <v>1</v>
      </c>
      <c r="J7" s="1">
        <v>45</v>
      </c>
      <c r="K7" s="1" t="s">
        <v>37</v>
      </c>
      <c r="L7" s="1">
        <v>119.4</v>
      </c>
      <c r="M7" s="1">
        <f t="shared" si="3"/>
        <v>8.5439999999999969</v>
      </c>
      <c r="N7" s="1">
        <f t="shared" ref="N7:N70" si="5">E7-O7</f>
        <v>127.944</v>
      </c>
      <c r="O7" s="1"/>
      <c r="P7" s="1">
        <v>12.04844000000001</v>
      </c>
      <c r="Q7" s="1">
        <v>0</v>
      </c>
      <c r="R7" s="1">
        <f t="shared" ref="R7:R70" si="6">N7/5</f>
        <v>25.588799999999999</v>
      </c>
      <c r="S7" s="5">
        <f t="shared" ref="S7:S8" si="7">11*R7-Q7-P7-H7</f>
        <v>56.164359999999931</v>
      </c>
      <c r="T7" s="5"/>
      <c r="U7" s="1"/>
      <c r="V7" s="1">
        <f t="shared" ref="V7:V70" si="8">(H7+P7+Q7+S7)/R7</f>
        <v>10.999999999999996</v>
      </c>
      <c r="W7" s="1">
        <f t="shared" ref="W7:W70" si="9">(H7+P7+Q7)/R7</f>
        <v>8.8051194272494229</v>
      </c>
      <c r="X7" s="1">
        <v>23.236999999999998</v>
      </c>
      <c r="Y7" s="1">
        <v>30.258600000000001</v>
      </c>
      <c r="Z7" s="1">
        <v>29.371200000000002</v>
      </c>
      <c r="AA7" s="1">
        <v>21.048400000000001</v>
      </c>
      <c r="AB7" s="1">
        <v>23.136800000000001</v>
      </c>
      <c r="AC7" s="1">
        <v>24.018999999999998</v>
      </c>
      <c r="AD7" s="1">
        <v>26.470199999999998</v>
      </c>
      <c r="AE7" s="1">
        <v>25.143000000000001</v>
      </c>
      <c r="AF7" s="1">
        <v>21.417400000000001</v>
      </c>
      <c r="AG7" s="1">
        <v>22.106000000000002</v>
      </c>
      <c r="AH7" s="1"/>
      <c r="AI7" s="1">
        <f t="shared" ref="AI7:AI70" si="10">ROUND(I7*S7,0)</f>
        <v>56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36</v>
      </c>
      <c r="C8" s="1">
        <v>144.018</v>
      </c>
      <c r="D8" s="1">
        <v>317.25700000000001</v>
      </c>
      <c r="E8" s="1">
        <v>242.28800000000001</v>
      </c>
      <c r="F8" s="1">
        <v>181.518</v>
      </c>
      <c r="G8" s="1">
        <f>IFERROR(VLOOKUP(A8,[1]TDSheet!$A:$B,2,0),0)</f>
        <v>0</v>
      </c>
      <c r="H8" s="1">
        <f t="shared" si="4"/>
        <v>181.518</v>
      </c>
      <c r="I8" s="7">
        <v>1</v>
      </c>
      <c r="J8" s="1">
        <v>45</v>
      </c>
      <c r="K8" s="1" t="s">
        <v>37</v>
      </c>
      <c r="L8" s="1">
        <v>251.2</v>
      </c>
      <c r="M8" s="1">
        <f t="shared" si="3"/>
        <v>-8.9119999999999777</v>
      </c>
      <c r="N8" s="1">
        <f t="shared" si="5"/>
        <v>242.28800000000001</v>
      </c>
      <c r="O8" s="1"/>
      <c r="P8" s="1">
        <v>3.844239999999985</v>
      </c>
      <c r="Q8" s="1">
        <v>223.58976000000001</v>
      </c>
      <c r="R8" s="1">
        <f t="shared" si="6"/>
        <v>48.457599999999999</v>
      </c>
      <c r="S8" s="5">
        <f t="shared" si="7"/>
        <v>124.08160000000001</v>
      </c>
      <c r="T8" s="5"/>
      <c r="U8" s="1"/>
      <c r="V8" s="1">
        <f t="shared" si="8"/>
        <v>11</v>
      </c>
      <c r="W8" s="1">
        <f t="shared" si="9"/>
        <v>8.4393779303968834</v>
      </c>
      <c r="X8" s="1">
        <v>45.633600000000001</v>
      </c>
      <c r="Y8" s="1">
        <v>37.817799999999998</v>
      </c>
      <c r="Z8" s="1">
        <v>37.164200000000001</v>
      </c>
      <c r="AA8" s="1">
        <v>37.416800000000002</v>
      </c>
      <c r="AB8" s="1">
        <v>41.343200000000003</v>
      </c>
      <c r="AC8" s="1">
        <v>36.344799999999999</v>
      </c>
      <c r="AD8" s="1">
        <v>36.992800000000003</v>
      </c>
      <c r="AE8" s="1">
        <v>40.160800000000002</v>
      </c>
      <c r="AF8" s="1">
        <v>37.212200000000003</v>
      </c>
      <c r="AG8" s="1">
        <v>30.198799999999999</v>
      </c>
      <c r="AH8" s="1"/>
      <c r="AI8" s="1">
        <f t="shared" si="10"/>
        <v>124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4" t="s">
        <v>40</v>
      </c>
      <c r="B9" s="14" t="s">
        <v>41</v>
      </c>
      <c r="C9" s="14"/>
      <c r="D9" s="14"/>
      <c r="E9" s="14"/>
      <c r="F9" s="14"/>
      <c r="G9" s="14">
        <f>IFERROR(VLOOKUP(A9,[1]TDSheet!$A:$B,2,0),0)</f>
        <v>0</v>
      </c>
      <c r="H9" s="14">
        <f t="shared" si="4"/>
        <v>0</v>
      </c>
      <c r="I9" s="15">
        <v>0</v>
      </c>
      <c r="J9" s="14">
        <v>45</v>
      </c>
      <c r="K9" s="14" t="s">
        <v>37</v>
      </c>
      <c r="L9" s="14"/>
      <c r="M9" s="14">
        <f t="shared" si="3"/>
        <v>0</v>
      </c>
      <c r="N9" s="14">
        <f t="shared" si="5"/>
        <v>0</v>
      </c>
      <c r="O9" s="14"/>
      <c r="P9" s="14"/>
      <c r="Q9" s="14">
        <v>0</v>
      </c>
      <c r="R9" s="14">
        <f t="shared" si="6"/>
        <v>0</v>
      </c>
      <c r="S9" s="16"/>
      <c r="T9" s="16"/>
      <c r="U9" s="14"/>
      <c r="V9" s="14" t="e">
        <f t="shared" si="8"/>
        <v>#DIV/0!</v>
      </c>
      <c r="W9" s="14" t="e">
        <f t="shared" si="9"/>
        <v>#DIV/0!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 t="s">
        <v>42</v>
      </c>
      <c r="AI9" s="1">
        <f t="shared" si="10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4" t="s">
        <v>43</v>
      </c>
      <c r="B10" s="14" t="s">
        <v>41</v>
      </c>
      <c r="C10" s="14"/>
      <c r="D10" s="14"/>
      <c r="E10" s="14"/>
      <c r="F10" s="14"/>
      <c r="G10" s="14">
        <f>IFERROR(VLOOKUP(A10,[1]TDSheet!$A:$B,2,0),0)</f>
        <v>0</v>
      </c>
      <c r="H10" s="14">
        <f t="shared" si="4"/>
        <v>0</v>
      </c>
      <c r="I10" s="15">
        <v>0</v>
      </c>
      <c r="J10" s="14">
        <v>45</v>
      </c>
      <c r="K10" s="14" t="s">
        <v>37</v>
      </c>
      <c r="L10" s="14"/>
      <c r="M10" s="14">
        <f t="shared" si="3"/>
        <v>0</v>
      </c>
      <c r="N10" s="14">
        <f t="shared" si="5"/>
        <v>0</v>
      </c>
      <c r="O10" s="14"/>
      <c r="P10" s="14"/>
      <c r="Q10" s="14">
        <v>0</v>
      </c>
      <c r="R10" s="14">
        <f t="shared" si="6"/>
        <v>0</v>
      </c>
      <c r="S10" s="16"/>
      <c r="T10" s="16"/>
      <c r="U10" s="14"/>
      <c r="V10" s="14" t="e">
        <f t="shared" si="8"/>
        <v>#DIV/0!</v>
      </c>
      <c r="W10" s="14" t="e">
        <f t="shared" si="9"/>
        <v>#DIV/0!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 t="s">
        <v>42</v>
      </c>
      <c r="AI10" s="1">
        <f t="shared" si="10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4" t="s">
        <v>44</v>
      </c>
      <c r="B11" s="14" t="s">
        <v>41</v>
      </c>
      <c r="C11" s="14"/>
      <c r="D11" s="14"/>
      <c r="E11" s="14"/>
      <c r="F11" s="14"/>
      <c r="G11" s="14">
        <f>IFERROR(VLOOKUP(A11,[1]TDSheet!$A:$B,2,0),0)</f>
        <v>0</v>
      </c>
      <c r="H11" s="14">
        <f t="shared" si="4"/>
        <v>0</v>
      </c>
      <c r="I11" s="15">
        <v>0</v>
      </c>
      <c r="J11" s="14">
        <v>180</v>
      </c>
      <c r="K11" s="14" t="s">
        <v>37</v>
      </c>
      <c r="L11" s="14"/>
      <c r="M11" s="14">
        <f t="shared" si="3"/>
        <v>0</v>
      </c>
      <c r="N11" s="14">
        <f t="shared" si="5"/>
        <v>0</v>
      </c>
      <c r="O11" s="14"/>
      <c r="P11" s="14"/>
      <c r="Q11" s="14">
        <v>0</v>
      </c>
      <c r="R11" s="14">
        <f t="shared" si="6"/>
        <v>0</v>
      </c>
      <c r="S11" s="16"/>
      <c r="T11" s="16"/>
      <c r="U11" s="14"/>
      <c r="V11" s="14" t="e">
        <f t="shared" si="8"/>
        <v>#DIV/0!</v>
      </c>
      <c r="W11" s="14" t="e">
        <f t="shared" si="9"/>
        <v>#DIV/0!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 t="s">
        <v>42</v>
      </c>
      <c r="AI11" s="1">
        <f t="shared" si="10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45</v>
      </c>
      <c r="B12" s="1" t="s">
        <v>41</v>
      </c>
      <c r="C12" s="1">
        <v>11</v>
      </c>
      <c r="D12" s="1">
        <v>12</v>
      </c>
      <c r="E12" s="1">
        <v>5</v>
      </c>
      <c r="F12" s="1">
        <v>10</v>
      </c>
      <c r="G12" s="1">
        <f>IFERROR(VLOOKUP(A12,[1]TDSheet!$A:$B,2,0),0)</f>
        <v>0</v>
      </c>
      <c r="H12" s="1">
        <f t="shared" si="4"/>
        <v>10</v>
      </c>
      <c r="I12" s="7">
        <v>0.3</v>
      </c>
      <c r="J12" s="1">
        <v>40</v>
      </c>
      <c r="K12" s="1" t="s">
        <v>37</v>
      </c>
      <c r="L12" s="1">
        <v>6</v>
      </c>
      <c r="M12" s="1">
        <f t="shared" si="3"/>
        <v>-1</v>
      </c>
      <c r="N12" s="1">
        <f t="shared" si="5"/>
        <v>5</v>
      </c>
      <c r="O12" s="1"/>
      <c r="P12" s="1">
        <v>10.199999999999999</v>
      </c>
      <c r="Q12" s="1">
        <v>0</v>
      </c>
      <c r="R12" s="1">
        <f t="shared" si="6"/>
        <v>1</v>
      </c>
      <c r="S12" s="5"/>
      <c r="T12" s="5"/>
      <c r="U12" s="1"/>
      <c r="V12" s="1">
        <f t="shared" si="8"/>
        <v>20.2</v>
      </c>
      <c r="W12" s="1">
        <f t="shared" si="9"/>
        <v>20.2</v>
      </c>
      <c r="X12" s="1">
        <v>1.8</v>
      </c>
      <c r="Y12" s="1">
        <v>2</v>
      </c>
      <c r="Z12" s="1">
        <v>1.6</v>
      </c>
      <c r="AA12" s="1">
        <v>1</v>
      </c>
      <c r="AB12" s="1">
        <v>1.6</v>
      </c>
      <c r="AC12" s="1">
        <v>2</v>
      </c>
      <c r="AD12" s="1">
        <v>1.6</v>
      </c>
      <c r="AE12" s="1">
        <v>-0.2</v>
      </c>
      <c r="AF12" s="1">
        <v>-1.6</v>
      </c>
      <c r="AG12" s="1">
        <v>1</v>
      </c>
      <c r="AH12" s="1"/>
      <c r="AI12" s="1">
        <f t="shared" si="10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46</v>
      </c>
      <c r="B13" s="1" t="s">
        <v>41</v>
      </c>
      <c r="C13" s="1">
        <v>33</v>
      </c>
      <c r="D13" s="1">
        <v>15</v>
      </c>
      <c r="E13" s="1">
        <v>32</v>
      </c>
      <c r="F13" s="1">
        <v>8</v>
      </c>
      <c r="G13" s="1">
        <f>IFERROR(VLOOKUP(A13,[1]TDSheet!$A:$B,2,0),0)</f>
        <v>0</v>
      </c>
      <c r="H13" s="1">
        <f t="shared" si="4"/>
        <v>8</v>
      </c>
      <c r="I13" s="7">
        <v>0.17</v>
      </c>
      <c r="J13" s="1">
        <v>180</v>
      </c>
      <c r="K13" s="1" t="s">
        <v>37</v>
      </c>
      <c r="L13" s="1">
        <v>34</v>
      </c>
      <c r="M13" s="1">
        <f t="shared" si="3"/>
        <v>-2</v>
      </c>
      <c r="N13" s="1">
        <f t="shared" si="5"/>
        <v>32</v>
      </c>
      <c r="O13" s="1"/>
      <c r="P13" s="1"/>
      <c r="Q13" s="1">
        <v>36.200000000000003</v>
      </c>
      <c r="R13" s="1">
        <f t="shared" si="6"/>
        <v>6.4</v>
      </c>
      <c r="S13" s="5">
        <f t="shared" ref="S13" si="11">11*R13-Q13-P13-H13</f>
        <v>26.200000000000003</v>
      </c>
      <c r="T13" s="5"/>
      <c r="U13" s="1"/>
      <c r="V13" s="1">
        <f t="shared" si="8"/>
        <v>11</v>
      </c>
      <c r="W13" s="1">
        <f t="shared" si="9"/>
        <v>6.90625</v>
      </c>
      <c r="X13" s="1">
        <v>6.4</v>
      </c>
      <c r="Y13" s="1">
        <v>-0.6</v>
      </c>
      <c r="Z13" s="1">
        <v>-0.6</v>
      </c>
      <c r="AA13" s="1">
        <v>4.4000000000000004</v>
      </c>
      <c r="AB13" s="1">
        <v>3.8</v>
      </c>
      <c r="AC13" s="1">
        <v>4.8</v>
      </c>
      <c r="AD13" s="1">
        <v>5.2</v>
      </c>
      <c r="AE13" s="1">
        <v>1.6</v>
      </c>
      <c r="AF13" s="1">
        <v>2.4</v>
      </c>
      <c r="AG13" s="1">
        <v>3.2</v>
      </c>
      <c r="AH13" s="1"/>
      <c r="AI13" s="1">
        <f t="shared" si="10"/>
        <v>4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4" t="s">
        <v>47</v>
      </c>
      <c r="B14" s="14" t="s">
        <v>41</v>
      </c>
      <c r="C14" s="14"/>
      <c r="D14" s="14"/>
      <c r="E14" s="14"/>
      <c r="F14" s="14"/>
      <c r="G14" s="14">
        <f>IFERROR(VLOOKUP(A14,[1]TDSheet!$A:$B,2,0),0)</f>
        <v>0</v>
      </c>
      <c r="H14" s="14">
        <f t="shared" si="4"/>
        <v>0</v>
      </c>
      <c r="I14" s="15">
        <v>0</v>
      </c>
      <c r="J14" s="14">
        <v>50</v>
      </c>
      <c r="K14" s="14" t="s">
        <v>37</v>
      </c>
      <c r="L14" s="14"/>
      <c r="M14" s="14">
        <f t="shared" si="3"/>
        <v>0</v>
      </c>
      <c r="N14" s="14">
        <f t="shared" si="5"/>
        <v>0</v>
      </c>
      <c r="O14" s="14"/>
      <c r="P14" s="14"/>
      <c r="Q14" s="14">
        <v>0</v>
      </c>
      <c r="R14" s="14">
        <f t="shared" si="6"/>
        <v>0</v>
      </c>
      <c r="S14" s="16"/>
      <c r="T14" s="16"/>
      <c r="U14" s="14"/>
      <c r="V14" s="14" t="e">
        <f t="shared" si="8"/>
        <v>#DIV/0!</v>
      </c>
      <c r="W14" s="14" t="e">
        <f t="shared" si="9"/>
        <v>#DIV/0!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 t="s">
        <v>42</v>
      </c>
      <c r="AI14" s="1">
        <f t="shared" si="10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48</v>
      </c>
      <c r="B15" s="1" t="s">
        <v>41</v>
      </c>
      <c r="C15" s="1">
        <v>60</v>
      </c>
      <c r="D15" s="1">
        <v>60</v>
      </c>
      <c r="E15" s="1">
        <v>34</v>
      </c>
      <c r="F15" s="1">
        <v>57</v>
      </c>
      <c r="G15" s="1">
        <f>IFERROR(VLOOKUP(A15,[1]TDSheet!$A:$B,2,0),0)</f>
        <v>0</v>
      </c>
      <c r="H15" s="1">
        <f t="shared" si="4"/>
        <v>57</v>
      </c>
      <c r="I15" s="7">
        <v>0.35</v>
      </c>
      <c r="J15" s="1">
        <v>50</v>
      </c>
      <c r="K15" s="1" t="s">
        <v>37</v>
      </c>
      <c r="L15" s="1">
        <v>105</v>
      </c>
      <c r="M15" s="1">
        <f t="shared" si="3"/>
        <v>-71</v>
      </c>
      <c r="N15" s="1">
        <f t="shared" si="5"/>
        <v>34</v>
      </c>
      <c r="O15" s="1"/>
      <c r="P15" s="1">
        <v>66.900000000000006</v>
      </c>
      <c r="Q15" s="1">
        <v>0</v>
      </c>
      <c r="R15" s="1">
        <f t="shared" si="6"/>
        <v>6.8</v>
      </c>
      <c r="S15" s="5"/>
      <c r="T15" s="5"/>
      <c r="U15" s="1"/>
      <c r="V15" s="1">
        <f t="shared" si="8"/>
        <v>18.22058823529412</v>
      </c>
      <c r="W15" s="1">
        <f t="shared" si="9"/>
        <v>18.22058823529412</v>
      </c>
      <c r="X15" s="1">
        <v>10</v>
      </c>
      <c r="Y15" s="1">
        <v>14.4</v>
      </c>
      <c r="Z15" s="1">
        <v>11</v>
      </c>
      <c r="AA15" s="1">
        <v>8.8000000000000007</v>
      </c>
      <c r="AB15" s="1">
        <v>11</v>
      </c>
      <c r="AC15" s="1">
        <v>8.1999999999999993</v>
      </c>
      <c r="AD15" s="1">
        <v>6.2</v>
      </c>
      <c r="AE15" s="1">
        <v>10.0504</v>
      </c>
      <c r="AF15" s="1">
        <v>12.250400000000001</v>
      </c>
      <c r="AG15" s="1">
        <v>6.8</v>
      </c>
      <c r="AH15" s="1"/>
      <c r="AI15" s="1">
        <f t="shared" si="10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49</v>
      </c>
      <c r="B16" s="1" t="s">
        <v>36</v>
      </c>
      <c r="C16" s="1">
        <v>82.981999999999999</v>
      </c>
      <c r="D16" s="1">
        <v>654.9</v>
      </c>
      <c r="E16" s="1">
        <v>103.524</v>
      </c>
      <c r="F16" s="1">
        <v>614.91999999999996</v>
      </c>
      <c r="G16" s="1">
        <f>IFERROR(VLOOKUP(A16,[1]TDSheet!$A:$B,2,0),0)</f>
        <v>400.02</v>
      </c>
      <c r="H16" s="1">
        <f t="shared" si="4"/>
        <v>214.89999999999998</v>
      </c>
      <c r="I16" s="7">
        <v>1</v>
      </c>
      <c r="J16" s="1">
        <v>55</v>
      </c>
      <c r="K16" s="1" t="s">
        <v>37</v>
      </c>
      <c r="L16" s="1">
        <v>145.29</v>
      </c>
      <c r="M16" s="1">
        <f t="shared" si="3"/>
        <v>-41.765999999999991</v>
      </c>
      <c r="N16" s="1">
        <f t="shared" si="5"/>
        <v>103.524</v>
      </c>
      <c r="O16" s="1"/>
      <c r="P16" s="1"/>
      <c r="Q16" s="1">
        <v>100</v>
      </c>
      <c r="R16" s="1">
        <f t="shared" si="6"/>
        <v>20.704799999999999</v>
      </c>
      <c r="S16" s="5"/>
      <c r="T16" s="5"/>
      <c r="U16" s="1"/>
      <c r="V16" s="1">
        <f t="shared" si="8"/>
        <v>15.209033654031915</v>
      </c>
      <c r="W16" s="1">
        <f t="shared" si="9"/>
        <v>15.209033654031915</v>
      </c>
      <c r="X16" s="1">
        <v>20.523599999999998</v>
      </c>
      <c r="Y16" s="1">
        <v>27.377600000000001</v>
      </c>
      <c r="Z16" s="1">
        <v>28.0824</v>
      </c>
      <c r="AA16" s="1">
        <v>23.853400000000001</v>
      </c>
      <c r="AB16" s="1">
        <v>27.210999999999999</v>
      </c>
      <c r="AC16" s="1">
        <v>35.673000000000002</v>
      </c>
      <c r="AD16" s="1">
        <v>34.213000000000001</v>
      </c>
      <c r="AE16" s="1">
        <v>39.498399999999997</v>
      </c>
      <c r="AF16" s="1">
        <v>41.351199999999999</v>
      </c>
      <c r="AG16" s="1">
        <v>31.71319999999999</v>
      </c>
      <c r="AH16" s="1"/>
      <c r="AI16" s="1">
        <f t="shared" si="10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50</v>
      </c>
      <c r="B17" s="1" t="s">
        <v>36</v>
      </c>
      <c r="C17" s="1">
        <v>572.11699999999996</v>
      </c>
      <c r="D17" s="1">
        <v>2857.172</v>
      </c>
      <c r="E17" s="1">
        <v>721.38900000000001</v>
      </c>
      <c r="F17" s="1">
        <v>2587.3440000000001</v>
      </c>
      <c r="G17" s="1">
        <f>IFERROR(VLOOKUP(A17,[1]TDSheet!$A:$B,2,0),0)</f>
        <v>2018.2619999999999</v>
      </c>
      <c r="H17" s="1">
        <f t="shared" si="4"/>
        <v>569.08200000000011</v>
      </c>
      <c r="I17" s="7">
        <v>1</v>
      </c>
      <c r="J17" s="1">
        <v>50</v>
      </c>
      <c r="K17" s="1" t="s">
        <v>37</v>
      </c>
      <c r="L17" s="1">
        <v>719.5</v>
      </c>
      <c r="M17" s="1">
        <f t="shared" si="3"/>
        <v>1.88900000000001</v>
      </c>
      <c r="N17" s="1">
        <f t="shared" si="5"/>
        <v>721.38900000000001</v>
      </c>
      <c r="O17" s="1"/>
      <c r="P17" s="1"/>
      <c r="Q17" s="1">
        <v>1000</v>
      </c>
      <c r="R17" s="1">
        <f t="shared" si="6"/>
        <v>144.27780000000001</v>
      </c>
      <c r="S17" s="5">
        <f>11.7*R17-Q17-P17-H17</f>
        <v>118.96825999999987</v>
      </c>
      <c r="T17" s="5"/>
      <c r="U17" s="1"/>
      <c r="V17" s="1">
        <f t="shared" si="8"/>
        <v>11.7</v>
      </c>
      <c r="W17" s="1">
        <f t="shared" si="9"/>
        <v>10.875422275637693</v>
      </c>
      <c r="X17" s="1">
        <v>137.3356</v>
      </c>
      <c r="Y17" s="1">
        <v>111.2396</v>
      </c>
      <c r="Z17" s="1">
        <v>118.2226</v>
      </c>
      <c r="AA17" s="1">
        <v>143.06479999999999</v>
      </c>
      <c r="AB17" s="1">
        <v>169.25779999999989</v>
      </c>
      <c r="AC17" s="1">
        <v>197.65639999999999</v>
      </c>
      <c r="AD17" s="1">
        <v>193.98480000000001</v>
      </c>
      <c r="AE17" s="1">
        <v>185.29060000000001</v>
      </c>
      <c r="AF17" s="1">
        <v>174.9736</v>
      </c>
      <c r="AG17" s="1">
        <v>162.0504</v>
      </c>
      <c r="AH17" s="1"/>
      <c r="AI17" s="1">
        <f t="shared" si="10"/>
        <v>119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51</v>
      </c>
      <c r="B18" s="1" t="s">
        <v>36</v>
      </c>
      <c r="C18" s="1">
        <v>100.14100000000001</v>
      </c>
      <c r="D18" s="1">
        <v>169.31899999999999</v>
      </c>
      <c r="E18" s="1">
        <v>108.199</v>
      </c>
      <c r="F18" s="1">
        <v>155.953</v>
      </c>
      <c r="G18" s="1">
        <f>IFERROR(VLOOKUP(A18,[1]TDSheet!$A:$B,2,0),0)</f>
        <v>0</v>
      </c>
      <c r="H18" s="1">
        <f t="shared" si="4"/>
        <v>155.953</v>
      </c>
      <c r="I18" s="7">
        <v>1</v>
      </c>
      <c r="J18" s="1">
        <v>60</v>
      </c>
      <c r="K18" s="1" t="s">
        <v>37</v>
      </c>
      <c r="L18" s="1">
        <v>158.91</v>
      </c>
      <c r="M18" s="1">
        <f t="shared" si="3"/>
        <v>-50.710999999999999</v>
      </c>
      <c r="N18" s="1">
        <f t="shared" si="5"/>
        <v>108.199</v>
      </c>
      <c r="O18" s="1"/>
      <c r="P18" s="1"/>
      <c r="Q18" s="1">
        <v>71.061000000000007</v>
      </c>
      <c r="R18" s="1">
        <f t="shared" si="6"/>
        <v>21.639800000000001</v>
      </c>
      <c r="S18" s="5">
        <f t="shared" ref="S18:S19" si="12">11*R18-Q18-P18-H18</f>
        <v>11.023799999999994</v>
      </c>
      <c r="T18" s="5"/>
      <c r="U18" s="1"/>
      <c r="V18" s="1">
        <f t="shared" si="8"/>
        <v>11</v>
      </c>
      <c r="W18" s="1">
        <f t="shared" si="9"/>
        <v>10.490577546927421</v>
      </c>
      <c r="X18" s="1">
        <v>22.7014</v>
      </c>
      <c r="Y18" s="1">
        <v>21.450199999999999</v>
      </c>
      <c r="Z18" s="1">
        <v>22.3262</v>
      </c>
      <c r="AA18" s="1">
        <v>18.9512</v>
      </c>
      <c r="AB18" s="1">
        <v>20.688199999999998</v>
      </c>
      <c r="AC18" s="1">
        <v>21.5806</v>
      </c>
      <c r="AD18" s="1">
        <v>21.942</v>
      </c>
      <c r="AE18" s="1">
        <v>28.7774</v>
      </c>
      <c r="AF18" s="1">
        <v>28.98</v>
      </c>
      <c r="AG18" s="1">
        <v>21.794</v>
      </c>
      <c r="AH18" s="1"/>
      <c r="AI18" s="1">
        <f t="shared" si="10"/>
        <v>11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52</v>
      </c>
      <c r="B19" s="1" t="s">
        <v>36</v>
      </c>
      <c r="C19" s="1">
        <v>505.584</v>
      </c>
      <c r="D19" s="1">
        <v>135.05600000000001</v>
      </c>
      <c r="E19" s="1">
        <v>427.255</v>
      </c>
      <c r="F19" s="1">
        <v>140.92599999999999</v>
      </c>
      <c r="G19" s="1">
        <f>IFERROR(VLOOKUP(A19,[1]TDSheet!$A:$B,2,0),0)</f>
        <v>0</v>
      </c>
      <c r="H19" s="1">
        <f t="shared" si="4"/>
        <v>140.92599999999999</v>
      </c>
      <c r="I19" s="7">
        <v>1</v>
      </c>
      <c r="J19" s="1">
        <v>60</v>
      </c>
      <c r="K19" s="1" t="s">
        <v>37</v>
      </c>
      <c r="L19" s="1">
        <v>432</v>
      </c>
      <c r="M19" s="1">
        <f t="shared" si="3"/>
        <v>-4.7450000000000045</v>
      </c>
      <c r="N19" s="1">
        <f t="shared" si="5"/>
        <v>427.255</v>
      </c>
      <c r="O19" s="1"/>
      <c r="P19" s="1">
        <v>23.951280000000001</v>
      </c>
      <c r="Q19" s="1">
        <v>490.04572000000007</v>
      </c>
      <c r="R19" s="1">
        <f t="shared" si="6"/>
        <v>85.450999999999993</v>
      </c>
      <c r="S19" s="5">
        <f t="shared" si="12"/>
        <v>285.03799999999984</v>
      </c>
      <c r="T19" s="5"/>
      <c r="U19" s="1"/>
      <c r="V19" s="1">
        <f t="shared" si="8"/>
        <v>10.999999999999998</v>
      </c>
      <c r="W19" s="1">
        <f t="shared" si="9"/>
        <v>7.6643105405437044</v>
      </c>
      <c r="X19" s="1">
        <v>76.975800000000007</v>
      </c>
      <c r="Y19" s="1">
        <v>53.392399999999988</v>
      </c>
      <c r="Z19" s="1">
        <v>53.883399999999988</v>
      </c>
      <c r="AA19" s="1">
        <v>44.385599999999997</v>
      </c>
      <c r="AB19" s="1">
        <v>56.7136</v>
      </c>
      <c r="AC19" s="1">
        <v>90.140999999999991</v>
      </c>
      <c r="AD19" s="1">
        <v>84.33959999999999</v>
      </c>
      <c r="AE19" s="1">
        <v>69.875199999999992</v>
      </c>
      <c r="AF19" s="1">
        <v>70.290599999999998</v>
      </c>
      <c r="AG19" s="1">
        <v>55.039400000000001</v>
      </c>
      <c r="AH19" s="1"/>
      <c r="AI19" s="1">
        <f t="shared" si="10"/>
        <v>285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4" t="s">
        <v>53</v>
      </c>
      <c r="B20" s="14" t="s">
        <v>36</v>
      </c>
      <c r="C20" s="14"/>
      <c r="D20" s="14"/>
      <c r="E20" s="14"/>
      <c r="F20" s="14"/>
      <c r="G20" s="14">
        <f>IFERROR(VLOOKUP(A20,[1]TDSheet!$A:$B,2,0),0)</f>
        <v>0</v>
      </c>
      <c r="H20" s="14">
        <f t="shared" si="4"/>
        <v>0</v>
      </c>
      <c r="I20" s="15">
        <v>0</v>
      </c>
      <c r="J20" s="14">
        <v>60</v>
      </c>
      <c r="K20" s="14" t="s">
        <v>37</v>
      </c>
      <c r="L20" s="14"/>
      <c r="M20" s="14">
        <f t="shared" si="3"/>
        <v>0</v>
      </c>
      <c r="N20" s="14">
        <f t="shared" si="5"/>
        <v>0</v>
      </c>
      <c r="O20" s="14"/>
      <c r="P20" s="14"/>
      <c r="Q20" s="14">
        <v>0</v>
      </c>
      <c r="R20" s="14">
        <f t="shared" si="6"/>
        <v>0</v>
      </c>
      <c r="S20" s="16"/>
      <c r="T20" s="16"/>
      <c r="U20" s="14"/>
      <c r="V20" s="14" t="e">
        <f t="shared" si="8"/>
        <v>#DIV/0!</v>
      </c>
      <c r="W20" s="14" t="e">
        <f t="shared" si="9"/>
        <v>#DIV/0!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 t="s">
        <v>42</v>
      </c>
      <c r="AI20" s="1">
        <f t="shared" si="10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54</v>
      </c>
      <c r="B21" s="1" t="s">
        <v>36</v>
      </c>
      <c r="C21" s="1">
        <v>183.44200000000001</v>
      </c>
      <c r="D21" s="1">
        <v>1149.098</v>
      </c>
      <c r="E21" s="1">
        <v>327.77699999999999</v>
      </c>
      <c r="F21" s="1">
        <v>950.71900000000005</v>
      </c>
      <c r="G21" s="1">
        <f>IFERROR(VLOOKUP(A21,[1]TDSheet!$A:$B,2,0),0)</f>
        <v>604.93799999999999</v>
      </c>
      <c r="H21" s="1">
        <f t="shared" si="4"/>
        <v>345.78100000000006</v>
      </c>
      <c r="I21" s="7">
        <v>1</v>
      </c>
      <c r="J21" s="1">
        <v>60</v>
      </c>
      <c r="K21" s="1" t="s">
        <v>37</v>
      </c>
      <c r="L21" s="1">
        <v>311.17</v>
      </c>
      <c r="M21" s="1">
        <f t="shared" si="3"/>
        <v>16.606999999999971</v>
      </c>
      <c r="N21" s="1">
        <f t="shared" si="5"/>
        <v>327.77699999999999</v>
      </c>
      <c r="O21" s="1"/>
      <c r="P21" s="1"/>
      <c r="Q21" s="1">
        <v>300</v>
      </c>
      <c r="R21" s="1">
        <f t="shared" si="6"/>
        <v>65.555399999999992</v>
      </c>
      <c r="S21" s="5">
        <f t="shared" ref="S21:S24" si="13">11*R21-Q21-P21-H21</f>
        <v>75.328399999999874</v>
      </c>
      <c r="T21" s="5"/>
      <c r="U21" s="1"/>
      <c r="V21" s="1">
        <f t="shared" si="8"/>
        <v>11</v>
      </c>
      <c r="W21" s="1">
        <f t="shared" si="9"/>
        <v>9.8509199852338654</v>
      </c>
      <c r="X21" s="1">
        <v>62.2316</v>
      </c>
      <c r="Y21" s="1">
        <v>58.0364</v>
      </c>
      <c r="Z21" s="1">
        <v>55.635000000000012</v>
      </c>
      <c r="AA21" s="1">
        <v>58.847400000000007</v>
      </c>
      <c r="AB21" s="1">
        <v>60.057200000000002</v>
      </c>
      <c r="AC21" s="1">
        <v>51.211399999999998</v>
      </c>
      <c r="AD21" s="1">
        <v>52.312800000000003</v>
      </c>
      <c r="AE21" s="1">
        <v>62.009</v>
      </c>
      <c r="AF21" s="1">
        <v>62.356399999999987</v>
      </c>
      <c r="AG21" s="1">
        <v>47.527399999999993</v>
      </c>
      <c r="AH21" s="1" t="s">
        <v>55</v>
      </c>
      <c r="AI21" s="1">
        <f t="shared" si="10"/>
        <v>75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56</v>
      </c>
      <c r="B22" s="1" t="s">
        <v>36</v>
      </c>
      <c r="C22" s="1">
        <v>114.65</v>
      </c>
      <c r="D22" s="1">
        <v>389.44</v>
      </c>
      <c r="E22" s="1">
        <v>132.33199999999999</v>
      </c>
      <c r="F22" s="1">
        <v>342.78</v>
      </c>
      <c r="G22" s="1">
        <f>IFERROR(VLOOKUP(A22,[1]TDSheet!$A:$B,2,0),0)</f>
        <v>100.63</v>
      </c>
      <c r="H22" s="1">
        <f t="shared" si="4"/>
        <v>242.14999999999998</v>
      </c>
      <c r="I22" s="7">
        <v>1</v>
      </c>
      <c r="J22" s="1">
        <v>60</v>
      </c>
      <c r="K22" s="1" t="s">
        <v>37</v>
      </c>
      <c r="L22" s="1">
        <v>153.66</v>
      </c>
      <c r="M22" s="1">
        <f t="shared" si="3"/>
        <v>-21.328000000000003</v>
      </c>
      <c r="N22" s="1">
        <f t="shared" si="5"/>
        <v>132.33199999999999</v>
      </c>
      <c r="O22" s="1"/>
      <c r="P22" s="1"/>
      <c r="Q22" s="1">
        <v>100</v>
      </c>
      <c r="R22" s="1">
        <f t="shared" si="6"/>
        <v>26.4664</v>
      </c>
      <c r="S22" s="5"/>
      <c r="T22" s="5"/>
      <c r="U22" s="1"/>
      <c r="V22" s="1">
        <f t="shared" si="8"/>
        <v>12.927712118006227</v>
      </c>
      <c r="W22" s="1">
        <f t="shared" si="9"/>
        <v>12.927712118006227</v>
      </c>
      <c r="X22" s="1">
        <v>29.1312</v>
      </c>
      <c r="Y22" s="1">
        <v>31.158000000000001</v>
      </c>
      <c r="Z22" s="1">
        <v>30.2804</v>
      </c>
      <c r="AA22" s="1">
        <v>22.4512</v>
      </c>
      <c r="AB22" s="1">
        <v>22.6172</v>
      </c>
      <c r="AC22" s="1">
        <v>21.19959999999999</v>
      </c>
      <c r="AD22" s="1">
        <v>18.571999999999999</v>
      </c>
      <c r="AE22" s="1">
        <v>13.6744</v>
      </c>
      <c r="AF22" s="1">
        <v>13.668799999999999</v>
      </c>
      <c r="AG22" s="1">
        <v>11.926</v>
      </c>
      <c r="AH22" s="1" t="s">
        <v>55</v>
      </c>
      <c r="AI22" s="1">
        <f t="shared" si="10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57</v>
      </c>
      <c r="B23" s="1" t="s">
        <v>36</v>
      </c>
      <c r="C23" s="1">
        <v>55.758000000000003</v>
      </c>
      <c r="D23" s="1">
        <v>390.91699999999997</v>
      </c>
      <c r="E23" s="1">
        <v>128.38900000000001</v>
      </c>
      <c r="F23" s="1">
        <v>297.22800000000001</v>
      </c>
      <c r="G23" s="1">
        <f>IFERROR(VLOOKUP(A23,[1]TDSheet!$A:$B,2,0),0)</f>
        <v>100.393</v>
      </c>
      <c r="H23" s="1">
        <f t="shared" si="4"/>
        <v>196.83500000000001</v>
      </c>
      <c r="I23" s="7">
        <v>1</v>
      </c>
      <c r="J23" s="1">
        <v>60</v>
      </c>
      <c r="K23" s="1" t="s">
        <v>37</v>
      </c>
      <c r="L23" s="1">
        <v>142.97</v>
      </c>
      <c r="M23" s="1">
        <f t="shared" si="3"/>
        <v>-14.580999999999989</v>
      </c>
      <c r="N23" s="1">
        <f t="shared" si="5"/>
        <v>128.38900000000001</v>
      </c>
      <c r="O23" s="1"/>
      <c r="P23" s="1"/>
      <c r="Q23" s="1">
        <v>50</v>
      </c>
      <c r="R23" s="1">
        <f t="shared" si="6"/>
        <v>25.677800000000001</v>
      </c>
      <c r="S23" s="5">
        <f t="shared" si="13"/>
        <v>35.620800000000003</v>
      </c>
      <c r="T23" s="5"/>
      <c r="U23" s="1"/>
      <c r="V23" s="1">
        <f t="shared" si="8"/>
        <v>11</v>
      </c>
      <c r="W23" s="1">
        <f t="shared" si="9"/>
        <v>9.6127783532857176</v>
      </c>
      <c r="X23" s="1">
        <v>23.561599999999999</v>
      </c>
      <c r="Y23" s="1">
        <v>29.7136</v>
      </c>
      <c r="Z23" s="1">
        <v>28.997800000000002</v>
      </c>
      <c r="AA23" s="1">
        <v>20.728200000000001</v>
      </c>
      <c r="AB23" s="1">
        <v>18.111999999999998</v>
      </c>
      <c r="AC23" s="1">
        <v>8.2843999999999998</v>
      </c>
      <c r="AD23" s="1">
        <v>10.2158</v>
      </c>
      <c r="AE23" s="1">
        <v>14.058999999999999</v>
      </c>
      <c r="AF23" s="1">
        <v>15.126200000000001</v>
      </c>
      <c r="AG23" s="1">
        <v>8.3596000000000004</v>
      </c>
      <c r="AH23" s="1" t="s">
        <v>55</v>
      </c>
      <c r="AI23" s="1">
        <f t="shared" si="10"/>
        <v>36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58</v>
      </c>
      <c r="B24" s="1" t="s">
        <v>36</v>
      </c>
      <c r="C24" s="1">
        <v>98.019000000000005</v>
      </c>
      <c r="D24" s="1">
        <v>295.73099999999999</v>
      </c>
      <c r="E24" s="1">
        <v>110.556</v>
      </c>
      <c r="F24" s="1">
        <v>266.55799999999999</v>
      </c>
      <c r="G24" s="1">
        <f>IFERROR(VLOOKUP(A24,[1]TDSheet!$A:$B,2,0),0)</f>
        <v>153.11699999999999</v>
      </c>
      <c r="H24" s="1">
        <f t="shared" si="4"/>
        <v>113.441</v>
      </c>
      <c r="I24" s="7">
        <v>1</v>
      </c>
      <c r="J24" s="1">
        <v>60</v>
      </c>
      <c r="K24" s="1" t="s">
        <v>37</v>
      </c>
      <c r="L24" s="1">
        <v>110.05</v>
      </c>
      <c r="M24" s="1">
        <f t="shared" si="3"/>
        <v>0.50600000000000023</v>
      </c>
      <c r="N24" s="1">
        <f t="shared" si="5"/>
        <v>110.556</v>
      </c>
      <c r="O24" s="1"/>
      <c r="P24" s="1"/>
      <c r="Q24" s="1">
        <v>100</v>
      </c>
      <c r="R24" s="1">
        <f t="shared" si="6"/>
        <v>22.1112</v>
      </c>
      <c r="S24" s="5">
        <f t="shared" si="13"/>
        <v>29.782199999999989</v>
      </c>
      <c r="T24" s="5"/>
      <c r="U24" s="1"/>
      <c r="V24" s="1">
        <f t="shared" si="8"/>
        <v>11</v>
      </c>
      <c r="W24" s="1">
        <f t="shared" si="9"/>
        <v>9.6530717464452405</v>
      </c>
      <c r="X24" s="1">
        <v>19.817</v>
      </c>
      <c r="Y24" s="1">
        <v>19.906199999999998</v>
      </c>
      <c r="Z24" s="1">
        <v>20.2546</v>
      </c>
      <c r="AA24" s="1">
        <v>21.3262</v>
      </c>
      <c r="AB24" s="1">
        <v>24.6358</v>
      </c>
      <c r="AC24" s="1">
        <v>25.784400000000002</v>
      </c>
      <c r="AD24" s="1">
        <v>19.324200000000001</v>
      </c>
      <c r="AE24" s="1">
        <v>11.0724</v>
      </c>
      <c r="AF24" s="1">
        <v>24.444800000000001</v>
      </c>
      <c r="AG24" s="1">
        <v>32.001800000000003</v>
      </c>
      <c r="AH24" s="1"/>
      <c r="AI24" s="1">
        <f t="shared" si="10"/>
        <v>30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59</v>
      </c>
      <c r="B25" s="1" t="s">
        <v>36</v>
      </c>
      <c r="C25" s="1">
        <v>61.472999999999999</v>
      </c>
      <c r="D25" s="1">
        <v>297.29000000000002</v>
      </c>
      <c r="E25" s="1">
        <v>47.587000000000003</v>
      </c>
      <c r="F25" s="1">
        <v>281.76299999999998</v>
      </c>
      <c r="G25" s="1">
        <f>IFERROR(VLOOKUP(A25,[1]TDSheet!$A:$B,2,0),0)</f>
        <v>202.2</v>
      </c>
      <c r="H25" s="1">
        <f t="shared" si="4"/>
        <v>79.562999999999988</v>
      </c>
      <c r="I25" s="7">
        <v>1</v>
      </c>
      <c r="J25" s="1">
        <v>30</v>
      </c>
      <c r="K25" s="1" t="s">
        <v>37</v>
      </c>
      <c r="L25" s="1">
        <v>61.6</v>
      </c>
      <c r="M25" s="1">
        <f t="shared" si="3"/>
        <v>-14.012999999999998</v>
      </c>
      <c r="N25" s="1">
        <f t="shared" si="5"/>
        <v>38.953000000000003</v>
      </c>
      <c r="O25" s="1">
        <v>8.6340000000000003</v>
      </c>
      <c r="P25" s="1">
        <v>49.212000000000032</v>
      </c>
      <c r="Q25" s="1">
        <v>0</v>
      </c>
      <c r="R25" s="1">
        <f t="shared" si="6"/>
        <v>7.7906000000000004</v>
      </c>
      <c r="S25" s="5"/>
      <c r="T25" s="5"/>
      <c r="U25" s="1"/>
      <c r="V25" s="1">
        <f t="shared" si="8"/>
        <v>16.529535594177602</v>
      </c>
      <c r="W25" s="1">
        <f t="shared" si="9"/>
        <v>16.529535594177602</v>
      </c>
      <c r="X25" s="1">
        <v>8.1988000000000003</v>
      </c>
      <c r="Y25" s="1">
        <v>15.8752</v>
      </c>
      <c r="Z25" s="1">
        <v>14.0024</v>
      </c>
      <c r="AA25" s="1">
        <v>10.587199999999999</v>
      </c>
      <c r="AB25" s="1">
        <v>12.8216</v>
      </c>
      <c r="AC25" s="1">
        <v>13.0162</v>
      </c>
      <c r="AD25" s="1">
        <v>11.597799999999999</v>
      </c>
      <c r="AE25" s="1">
        <v>7.944799999999999</v>
      </c>
      <c r="AF25" s="1">
        <v>7.8638000000000003</v>
      </c>
      <c r="AG25" s="1">
        <v>14.127800000000001</v>
      </c>
      <c r="AH25" s="1"/>
      <c r="AI25" s="1">
        <f t="shared" si="10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60</v>
      </c>
      <c r="B26" s="1" t="s">
        <v>36</v>
      </c>
      <c r="C26" s="1">
        <v>124.336</v>
      </c>
      <c r="D26" s="1">
        <v>687.01099999999997</v>
      </c>
      <c r="E26" s="1">
        <v>185.917</v>
      </c>
      <c r="F26" s="1">
        <v>547.15499999999997</v>
      </c>
      <c r="G26" s="1">
        <f>IFERROR(VLOOKUP(A26,[1]TDSheet!$A:$B,2,0),0)</f>
        <v>352.87400000000002</v>
      </c>
      <c r="H26" s="1">
        <f t="shared" si="4"/>
        <v>194.28099999999995</v>
      </c>
      <c r="I26" s="7">
        <v>1</v>
      </c>
      <c r="J26" s="1">
        <v>30</v>
      </c>
      <c r="K26" s="1" t="s">
        <v>37</v>
      </c>
      <c r="L26" s="1">
        <v>186.8</v>
      </c>
      <c r="M26" s="1">
        <f t="shared" si="3"/>
        <v>-0.88300000000000978</v>
      </c>
      <c r="N26" s="1">
        <f t="shared" si="5"/>
        <v>167.79500000000002</v>
      </c>
      <c r="O26" s="1">
        <v>18.122</v>
      </c>
      <c r="P26" s="1">
        <v>160.6181</v>
      </c>
      <c r="Q26" s="1">
        <v>61.808899999999937</v>
      </c>
      <c r="R26" s="1">
        <f t="shared" si="6"/>
        <v>33.559000000000005</v>
      </c>
      <c r="S26" s="5"/>
      <c r="T26" s="5"/>
      <c r="U26" s="1"/>
      <c r="V26" s="1">
        <f t="shared" si="8"/>
        <v>12.41717572037307</v>
      </c>
      <c r="W26" s="1">
        <f t="shared" si="9"/>
        <v>12.41717572037307</v>
      </c>
      <c r="X26" s="1">
        <v>43.534799999999997</v>
      </c>
      <c r="Y26" s="1">
        <v>50.634</v>
      </c>
      <c r="Z26" s="1">
        <v>42.933800000000012</v>
      </c>
      <c r="AA26" s="1">
        <v>39.672800000000002</v>
      </c>
      <c r="AB26" s="1">
        <v>45.011600000000001</v>
      </c>
      <c r="AC26" s="1">
        <v>38.329799999999999</v>
      </c>
      <c r="AD26" s="1">
        <v>35.508600000000001</v>
      </c>
      <c r="AE26" s="1">
        <v>36.6614</v>
      </c>
      <c r="AF26" s="1">
        <v>36.557600000000001</v>
      </c>
      <c r="AG26" s="1">
        <v>35.731999999999992</v>
      </c>
      <c r="AH26" s="1"/>
      <c r="AI26" s="1">
        <f t="shared" si="10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61</v>
      </c>
      <c r="B27" s="1" t="s">
        <v>36</v>
      </c>
      <c r="C27" s="1">
        <v>59.165999999999997</v>
      </c>
      <c r="D27" s="1">
        <v>48.527000000000001</v>
      </c>
      <c r="E27" s="1">
        <v>67.966999999999999</v>
      </c>
      <c r="F27" s="1">
        <v>-1.36</v>
      </c>
      <c r="G27" s="1">
        <f>IFERROR(VLOOKUP(A27,[1]TDSheet!$A:$B,2,0),0)</f>
        <v>0</v>
      </c>
      <c r="H27" s="1">
        <f t="shared" si="4"/>
        <v>-1.36</v>
      </c>
      <c r="I27" s="7">
        <v>1</v>
      </c>
      <c r="J27" s="1">
        <v>30</v>
      </c>
      <c r="K27" s="1" t="s">
        <v>37</v>
      </c>
      <c r="L27" s="1">
        <v>116.1</v>
      </c>
      <c r="M27" s="1">
        <f t="shared" si="3"/>
        <v>-48.132999999999996</v>
      </c>
      <c r="N27" s="1">
        <f t="shared" si="5"/>
        <v>67.966999999999999</v>
      </c>
      <c r="O27" s="1"/>
      <c r="P27" s="1">
        <v>32.400199999999977</v>
      </c>
      <c r="Q27" s="1">
        <v>150</v>
      </c>
      <c r="R27" s="1">
        <f t="shared" si="6"/>
        <v>13.593399999999999</v>
      </c>
      <c r="S27" s="5"/>
      <c r="T27" s="5"/>
      <c r="U27" s="1"/>
      <c r="V27" s="1">
        <f t="shared" si="8"/>
        <v>13.318242676593051</v>
      </c>
      <c r="W27" s="1">
        <f t="shared" si="9"/>
        <v>13.318242676593051</v>
      </c>
      <c r="X27" s="1">
        <v>20.477599999999999</v>
      </c>
      <c r="Y27" s="1">
        <v>8.9616000000000007</v>
      </c>
      <c r="Z27" s="1">
        <v>1.5456000000000001</v>
      </c>
      <c r="AA27" s="1">
        <v>10.601800000000001</v>
      </c>
      <c r="AB27" s="1">
        <v>9.3957999999999995</v>
      </c>
      <c r="AC27" s="1">
        <v>4.4927999999999999</v>
      </c>
      <c r="AD27" s="1">
        <v>5.9495999999999976</v>
      </c>
      <c r="AE27" s="1">
        <v>12.202999999999999</v>
      </c>
      <c r="AF27" s="1">
        <v>11.737399999999999</v>
      </c>
      <c r="AG27" s="1">
        <v>10.693199999999999</v>
      </c>
      <c r="AH27" s="1"/>
      <c r="AI27" s="1">
        <f t="shared" si="10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4" t="s">
        <v>62</v>
      </c>
      <c r="B28" s="14" t="s">
        <v>36</v>
      </c>
      <c r="C28" s="14"/>
      <c r="D28" s="14"/>
      <c r="E28" s="14"/>
      <c r="F28" s="14"/>
      <c r="G28" s="14">
        <f>IFERROR(VLOOKUP(A28,[1]TDSheet!$A:$B,2,0),0)</f>
        <v>0</v>
      </c>
      <c r="H28" s="14">
        <f t="shared" si="4"/>
        <v>0</v>
      </c>
      <c r="I28" s="15">
        <v>0</v>
      </c>
      <c r="J28" s="14">
        <v>45</v>
      </c>
      <c r="K28" s="14" t="s">
        <v>37</v>
      </c>
      <c r="L28" s="14"/>
      <c r="M28" s="14">
        <f t="shared" si="3"/>
        <v>0</v>
      </c>
      <c r="N28" s="14">
        <f t="shared" si="5"/>
        <v>0</v>
      </c>
      <c r="O28" s="14"/>
      <c r="P28" s="14"/>
      <c r="Q28" s="14">
        <v>0</v>
      </c>
      <c r="R28" s="14">
        <f t="shared" si="6"/>
        <v>0</v>
      </c>
      <c r="S28" s="16"/>
      <c r="T28" s="16"/>
      <c r="U28" s="14"/>
      <c r="V28" s="14" t="e">
        <f t="shared" si="8"/>
        <v>#DIV/0!</v>
      </c>
      <c r="W28" s="14" t="e">
        <f t="shared" si="9"/>
        <v>#DIV/0!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 t="s">
        <v>42</v>
      </c>
      <c r="AI28" s="1">
        <f t="shared" si="10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63</v>
      </c>
      <c r="B29" s="1" t="s">
        <v>36</v>
      </c>
      <c r="C29" s="1">
        <v>69.585999999999999</v>
      </c>
      <c r="D29" s="1">
        <v>106.887</v>
      </c>
      <c r="E29" s="1">
        <v>88.802999999999997</v>
      </c>
      <c r="F29" s="1">
        <v>52.198</v>
      </c>
      <c r="G29" s="1">
        <f>IFERROR(VLOOKUP(A29,[1]TDSheet!$A:$B,2,0),0)</f>
        <v>0</v>
      </c>
      <c r="H29" s="1">
        <f t="shared" si="4"/>
        <v>52.198</v>
      </c>
      <c r="I29" s="7">
        <v>1</v>
      </c>
      <c r="J29" s="1">
        <v>40</v>
      </c>
      <c r="K29" s="1" t="s">
        <v>37</v>
      </c>
      <c r="L29" s="1">
        <v>98.8</v>
      </c>
      <c r="M29" s="1">
        <f t="shared" si="3"/>
        <v>-9.9969999999999999</v>
      </c>
      <c r="N29" s="1">
        <f t="shared" si="5"/>
        <v>88.802999999999997</v>
      </c>
      <c r="O29" s="1"/>
      <c r="P29" s="1">
        <v>40.328600000000002</v>
      </c>
      <c r="Q29" s="1">
        <v>80.043399999999977</v>
      </c>
      <c r="R29" s="1">
        <f t="shared" si="6"/>
        <v>17.7606</v>
      </c>
      <c r="S29" s="5">
        <f t="shared" ref="S29:S31" si="14">11*R29-Q29-P29-H29</f>
        <v>22.796600000000019</v>
      </c>
      <c r="T29" s="5"/>
      <c r="U29" s="1"/>
      <c r="V29" s="1">
        <f t="shared" si="8"/>
        <v>11</v>
      </c>
      <c r="W29" s="1">
        <f t="shared" si="9"/>
        <v>9.7164510207988464</v>
      </c>
      <c r="X29" s="1">
        <v>18.887599999999999</v>
      </c>
      <c r="Y29" s="1">
        <v>17.5852</v>
      </c>
      <c r="Z29" s="1">
        <v>16.373200000000001</v>
      </c>
      <c r="AA29" s="1">
        <v>16.145199999999999</v>
      </c>
      <c r="AB29" s="1">
        <v>14.74</v>
      </c>
      <c r="AC29" s="1">
        <v>16.864799999999999</v>
      </c>
      <c r="AD29" s="1">
        <v>17.6496</v>
      </c>
      <c r="AE29" s="1">
        <v>22.284199999999998</v>
      </c>
      <c r="AF29" s="1">
        <v>20.354600000000001</v>
      </c>
      <c r="AG29" s="1">
        <v>7.5712000000000002</v>
      </c>
      <c r="AH29" s="1"/>
      <c r="AI29" s="1">
        <f t="shared" si="10"/>
        <v>23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64</v>
      </c>
      <c r="B30" s="1" t="s">
        <v>36</v>
      </c>
      <c r="C30" s="1">
        <v>48.744999999999997</v>
      </c>
      <c r="D30" s="1">
        <v>16.808</v>
      </c>
      <c r="E30" s="1">
        <v>42.823999999999998</v>
      </c>
      <c r="F30" s="1">
        <v>14.099</v>
      </c>
      <c r="G30" s="1">
        <f>IFERROR(VLOOKUP(A30,[1]TDSheet!$A:$B,2,0),0)</f>
        <v>0</v>
      </c>
      <c r="H30" s="1">
        <f t="shared" si="4"/>
        <v>14.099</v>
      </c>
      <c r="I30" s="7">
        <v>1</v>
      </c>
      <c r="J30" s="1">
        <v>30</v>
      </c>
      <c r="K30" s="1" t="s">
        <v>37</v>
      </c>
      <c r="L30" s="1">
        <v>54.2</v>
      </c>
      <c r="M30" s="1">
        <f t="shared" si="3"/>
        <v>-11.376000000000005</v>
      </c>
      <c r="N30" s="1">
        <f t="shared" si="5"/>
        <v>42.823999999999998</v>
      </c>
      <c r="O30" s="1"/>
      <c r="P30" s="1">
        <v>15.913999999999991</v>
      </c>
      <c r="Q30" s="1">
        <v>55.144200000000019</v>
      </c>
      <c r="R30" s="1">
        <f t="shared" si="6"/>
        <v>8.5648</v>
      </c>
      <c r="S30" s="5">
        <f t="shared" si="14"/>
        <v>9.0555999999999912</v>
      </c>
      <c r="T30" s="5"/>
      <c r="U30" s="1"/>
      <c r="V30" s="1">
        <f t="shared" si="8"/>
        <v>11.000000000000002</v>
      </c>
      <c r="W30" s="1">
        <f t="shared" si="9"/>
        <v>9.9426956846628087</v>
      </c>
      <c r="X30" s="1">
        <v>9.6168000000000013</v>
      </c>
      <c r="Y30" s="1">
        <v>6.5536000000000003</v>
      </c>
      <c r="Z30" s="1">
        <v>6.0312000000000001</v>
      </c>
      <c r="AA30" s="1">
        <v>5.8178000000000001</v>
      </c>
      <c r="AB30" s="1">
        <v>7.7673999999999994</v>
      </c>
      <c r="AC30" s="1">
        <v>7.5290000000000008</v>
      </c>
      <c r="AD30" s="1">
        <v>6.2405999999999997</v>
      </c>
      <c r="AE30" s="1">
        <v>7.3506</v>
      </c>
      <c r="AF30" s="1">
        <v>6.7589999999999986</v>
      </c>
      <c r="AG30" s="1">
        <v>7.9983999999999993</v>
      </c>
      <c r="AH30" s="1"/>
      <c r="AI30" s="1">
        <f t="shared" si="10"/>
        <v>9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65</v>
      </c>
      <c r="B31" s="1" t="s">
        <v>36</v>
      </c>
      <c r="C31" s="1">
        <v>108.15600000000001</v>
      </c>
      <c r="D31" s="1">
        <v>97.793000000000006</v>
      </c>
      <c r="E31" s="1">
        <v>112.41200000000001</v>
      </c>
      <c r="F31" s="1">
        <v>58.639000000000003</v>
      </c>
      <c r="G31" s="1">
        <f>IFERROR(VLOOKUP(A31,[1]TDSheet!$A:$B,2,0),0)</f>
        <v>0</v>
      </c>
      <c r="H31" s="1">
        <f t="shared" si="4"/>
        <v>58.639000000000003</v>
      </c>
      <c r="I31" s="7">
        <v>1</v>
      </c>
      <c r="J31" s="1">
        <v>50</v>
      </c>
      <c r="K31" s="1" t="s">
        <v>37</v>
      </c>
      <c r="L31" s="1">
        <v>119.8</v>
      </c>
      <c r="M31" s="1">
        <f t="shared" si="3"/>
        <v>-7.387999999999991</v>
      </c>
      <c r="N31" s="1">
        <f t="shared" si="5"/>
        <v>112.41200000000001</v>
      </c>
      <c r="O31" s="1"/>
      <c r="P31" s="1">
        <v>35.900199999999977</v>
      </c>
      <c r="Q31" s="1">
        <v>120.13379999999999</v>
      </c>
      <c r="R31" s="1">
        <f t="shared" si="6"/>
        <v>22.482400000000002</v>
      </c>
      <c r="S31" s="5">
        <f t="shared" si="14"/>
        <v>32.633400000000059</v>
      </c>
      <c r="T31" s="5"/>
      <c r="U31" s="1"/>
      <c r="V31" s="1">
        <f t="shared" si="8"/>
        <v>11</v>
      </c>
      <c r="W31" s="1">
        <f t="shared" si="9"/>
        <v>9.5484912642778337</v>
      </c>
      <c r="X31" s="1">
        <v>23.469000000000001</v>
      </c>
      <c r="Y31" s="1">
        <v>19.657</v>
      </c>
      <c r="Z31" s="1">
        <v>19.0456</v>
      </c>
      <c r="AA31" s="1">
        <v>18.465599999999998</v>
      </c>
      <c r="AB31" s="1">
        <v>20.812999999999999</v>
      </c>
      <c r="AC31" s="1">
        <v>18.360800000000001</v>
      </c>
      <c r="AD31" s="1">
        <v>17.7944</v>
      </c>
      <c r="AE31" s="1">
        <v>23.770199999999999</v>
      </c>
      <c r="AF31" s="1">
        <v>21.533200000000001</v>
      </c>
      <c r="AG31" s="1">
        <v>15.9148</v>
      </c>
      <c r="AH31" s="1"/>
      <c r="AI31" s="1">
        <f t="shared" si="10"/>
        <v>33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66</v>
      </c>
      <c r="B32" s="1" t="s">
        <v>36</v>
      </c>
      <c r="C32" s="1">
        <v>19.074999999999999</v>
      </c>
      <c r="D32" s="1">
        <v>82.302000000000007</v>
      </c>
      <c r="E32" s="1">
        <v>28.673999999999999</v>
      </c>
      <c r="F32" s="1">
        <v>49.843000000000004</v>
      </c>
      <c r="G32" s="1">
        <f>IFERROR(VLOOKUP(A32,[1]TDSheet!$A:$B,2,0),0)</f>
        <v>0</v>
      </c>
      <c r="H32" s="1">
        <f t="shared" si="4"/>
        <v>49.843000000000004</v>
      </c>
      <c r="I32" s="7">
        <v>1</v>
      </c>
      <c r="J32" s="1">
        <v>50</v>
      </c>
      <c r="K32" s="1" t="s">
        <v>37</v>
      </c>
      <c r="L32" s="1">
        <v>58.6</v>
      </c>
      <c r="M32" s="1">
        <f t="shared" si="3"/>
        <v>-29.926000000000002</v>
      </c>
      <c r="N32" s="1">
        <f t="shared" si="5"/>
        <v>28.673999999999999</v>
      </c>
      <c r="O32" s="1"/>
      <c r="P32" s="1">
        <v>43.173200000000023</v>
      </c>
      <c r="Q32" s="1">
        <v>0</v>
      </c>
      <c r="R32" s="1">
        <f t="shared" si="6"/>
        <v>5.7347999999999999</v>
      </c>
      <c r="S32" s="5"/>
      <c r="T32" s="5"/>
      <c r="U32" s="1"/>
      <c r="V32" s="1">
        <f t="shared" si="8"/>
        <v>16.219606612261984</v>
      </c>
      <c r="W32" s="1">
        <f t="shared" si="9"/>
        <v>16.219606612261984</v>
      </c>
      <c r="X32" s="1">
        <v>4.9811999999999994</v>
      </c>
      <c r="Y32" s="1">
        <v>11.177199999999999</v>
      </c>
      <c r="Z32" s="1">
        <v>9.5363999999999987</v>
      </c>
      <c r="AA32" s="1">
        <v>8.7118000000000002</v>
      </c>
      <c r="AB32" s="1">
        <v>8.3475999999999999</v>
      </c>
      <c r="AC32" s="1">
        <v>14.7492</v>
      </c>
      <c r="AD32" s="1">
        <v>15.816000000000001</v>
      </c>
      <c r="AE32" s="1">
        <v>12.845800000000001</v>
      </c>
      <c r="AF32" s="1">
        <v>11.3712</v>
      </c>
      <c r="AG32" s="1">
        <v>13.037599999999999</v>
      </c>
      <c r="AH32" s="1"/>
      <c r="AI32" s="1">
        <f t="shared" si="10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1" t="s">
        <v>67</v>
      </c>
      <c r="B33" s="11" t="s">
        <v>36</v>
      </c>
      <c r="C33" s="11"/>
      <c r="D33" s="11">
        <v>99.14</v>
      </c>
      <c r="E33" s="11"/>
      <c r="F33" s="11">
        <v>99.14</v>
      </c>
      <c r="G33" s="11">
        <f>IFERROR(VLOOKUP(A33,[1]TDSheet!$A:$B,2,0),0)</f>
        <v>99.14</v>
      </c>
      <c r="H33" s="11">
        <f t="shared" si="4"/>
        <v>0</v>
      </c>
      <c r="I33" s="12">
        <v>0</v>
      </c>
      <c r="J33" s="11" t="e">
        <v>#N/A</v>
      </c>
      <c r="K33" s="11" t="s">
        <v>137</v>
      </c>
      <c r="L33" s="11"/>
      <c r="M33" s="11">
        <f t="shared" si="3"/>
        <v>0</v>
      </c>
      <c r="N33" s="11">
        <f t="shared" si="5"/>
        <v>0</v>
      </c>
      <c r="O33" s="11"/>
      <c r="P33" s="11"/>
      <c r="Q33" s="11"/>
      <c r="R33" s="11">
        <f t="shared" si="6"/>
        <v>0</v>
      </c>
      <c r="S33" s="13"/>
      <c r="T33" s="13"/>
      <c r="U33" s="11"/>
      <c r="V33" s="11" t="e">
        <f t="shared" si="8"/>
        <v>#DIV/0!</v>
      </c>
      <c r="W33" s="11" t="e">
        <f t="shared" si="9"/>
        <v>#DIV/0!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/>
      <c r="AI33" s="1">
        <f t="shared" si="10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68</v>
      </c>
      <c r="B34" s="1" t="s">
        <v>41</v>
      </c>
      <c r="C34" s="1">
        <v>162</v>
      </c>
      <c r="D34" s="1">
        <v>522</v>
      </c>
      <c r="E34" s="1">
        <v>126</v>
      </c>
      <c r="F34" s="1">
        <v>458</v>
      </c>
      <c r="G34" s="1">
        <f>IFERROR(VLOOKUP(A34,[1]TDSheet!$A:$B,2,0),0)</f>
        <v>0</v>
      </c>
      <c r="H34" s="1">
        <f t="shared" si="4"/>
        <v>458</v>
      </c>
      <c r="I34" s="7">
        <v>0.4</v>
      </c>
      <c r="J34" s="1">
        <v>45</v>
      </c>
      <c r="K34" s="1" t="s">
        <v>37</v>
      </c>
      <c r="L34" s="1">
        <v>405</v>
      </c>
      <c r="M34" s="1">
        <f t="shared" si="3"/>
        <v>-279</v>
      </c>
      <c r="N34" s="1">
        <f t="shared" si="5"/>
        <v>126</v>
      </c>
      <c r="O34" s="1"/>
      <c r="P34" s="1">
        <v>265.40000000000009</v>
      </c>
      <c r="Q34" s="1">
        <v>0</v>
      </c>
      <c r="R34" s="1">
        <f t="shared" si="6"/>
        <v>25.2</v>
      </c>
      <c r="S34" s="5"/>
      <c r="T34" s="5"/>
      <c r="U34" s="1"/>
      <c r="V34" s="1">
        <f t="shared" si="8"/>
        <v>28.706349206349209</v>
      </c>
      <c r="W34" s="1">
        <f t="shared" si="9"/>
        <v>28.706349206349209</v>
      </c>
      <c r="X34" s="1">
        <v>33.200000000000003</v>
      </c>
      <c r="Y34" s="1">
        <v>77.400000000000006</v>
      </c>
      <c r="Z34" s="1">
        <v>68</v>
      </c>
      <c r="AA34" s="1">
        <v>41.4</v>
      </c>
      <c r="AB34" s="1">
        <v>49.4</v>
      </c>
      <c r="AC34" s="1">
        <v>61.8</v>
      </c>
      <c r="AD34" s="1">
        <v>53.2</v>
      </c>
      <c r="AE34" s="1">
        <v>41</v>
      </c>
      <c r="AF34" s="1">
        <v>51</v>
      </c>
      <c r="AG34" s="1">
        <v>61.4</v>
      </c>
      <c r="AH34" s="1"/>
      <c r="AI34" s="1">
        <f t="shared" si="10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69</v>
      </c>
      <c r="B35" s="1" t="s">
        <v>41</v>
      </c>
      <c r="C35" s="1">
        <v>61</v>
      </c>
      <c r="D35" s="1">
        <v>220</v>
      </c>
      <c r="E35" s="1">
        <v>149</v>
      </c>
      <c r="F35" s="1">
        <v>105</v>
      </c>
      <c r="G35" s="1">
        <f>IFERROR(VLOOKUP(A35,[1]TDSheet!$A:$B,2,0),0)</f>
        <v>0</v>
      </c>
      <c r="H35" s="1">
        <f t="shared" si="4"/>
        <v>105</v>
      </c>
      <c r="I35" s="7">
        <v>0.45</v>
      </c>
      <c r="J35" s="1">
        <v>50</v>
      </c>
      <c r="K35" s="1" t="s">
        <v>37</v>
      </c>
      <c r="L35" s="1">
        <v>199</v>
      </c>
      <c r="M35" s="1">
        <f t="shared" si="3"/>
        <v>-50</v>
      </c>
      <c r="N35" s="1">
        <f t="shared" si="5"/>
        <v>149</v>
      </c>
      <c r="O35" s="1"/>
      <c r="P35" s="1">
        <v>25.20000000000006</v>
      </c>
      <c r="Q35" s="1">
        <v>149.80000000000001</v>
      </c>
      <c r="R35" s="1">
        <f t="shared" si="6"/>
        <v>29.8</v>
      </c>
      <c r="S35" s="5">
        <f t="shared" ref="S35:S36" si="15">11*R35-Q35-P35-H35</f>
        <v>47.799999999999955</v>
      </c>
      <c r="T35" s="5"/>
      <c r="U35" s="1"/>
      <c r="V35" s="1">
        <f t="shared" si="8"/>
        <v>11</v>
      </c>
      <c r="W35" s="1">
        <f t="shared" si="9"/>
        <v>9.3959731543624176</v>
      </c>
      <c r="X35" s="1">
        <v>30.4</v>
      </c>
      <c r="Y35" s="1">
        <v>24.8</v>
      </c>
      <c r="Z35" s="1">
        <v>25.2</v>
      </c>
      <c r="AA35" s="1">
        <v>28.2</v>
      </c>
      <c r="AB35" s="1">
        <v>24.6</v>
      </c>
      <c r="AC35" s="1">
        <v>18.600000000000001</v>
      </c>
      <c r="AD35" s="1">
        <v>16.399999999999999</v>
      </c>
      <c r="AE35" s="1">
        <v>17</v>
      </c>
      <c r="AF35" s="1">
        <v>26.4</v>
      </c>
      <c r="AG35" s="1">
        <v>14.8</v>
      </c>
      <c r="AH35" s="1" t="s">
        <v>70</v>
      </c>
      <c r="AI35" s="1">
        <f t="shared" si="10"/>
        <v>22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71</v>
      </c>
      <c r="B36" s="1" t="s">
        <v>41</v>
      </c>
      <c r="C36" s="1">
        <v>145</v>
      </c>
      <c r="D36" s="1">
        <v>576</v>
      </c>
      <c r="E36" s="1">
        <v>277</v>
      </c>
      <c r="F36" s="1">
        <v>361</v>
      </c>
      <c r="G36" s="1">
        <f>IFERROR(VLOOKUP(A36,[1]TDSheet!$A:$B,2,0),0)</f>
        <v>0</v>
      </c>
      <c r="H36" s="1">
        <f t="shared" si="4"/>
        <v>361</v>
      </c>
      <c r="I36" s="7">
        <v>0.4</v>
      </c>
      <c r="J36" s="1">
        <v>45</v>
      </c>
      <c r="K36" s="1" t="s">
        <v>37</v>
      </c>
      <c r="L36" s="1">
        <v>431</v>
      </c>
      <c r="M36" s="1">
        <f t="shared" si="3"/>
        <v>-154</v>
      </c>
      <c r="N36" s="1">
        <f t="shared" si="5"/>
        <v>277</v>
      </c>
      <c r="O36" s="1"/>
      <c r="P36" s="1">
        <v>158.9999999999998</v>
      </c>
      <c r="Q36" s="1">
        <v>0</v>
      </c>
      <c r="R36" s="1">
        <f t="shared" si="6"/>
        <v>55.4</v>
      </c>
      <c r="S36" s="5">
        <f t="shared" si="15"/>
        <v>89.400000000000205</v>
      </c>
      <c r="T36" s="5"/>
      <c r="U36" s="1"/>
      <c r="V36" s="1">
        <f t="shared" si="8"/>
        <v>11</v>
      </c>
      <c r="W36" s="1">
        <f t="shared" si="9"/>
        <v>9.38628158844765</v>
      </c>
      <c r="X36" s="1">
        <v>58.8</v>
      </c>
      <c r="Y36" s="1">
        <v>80.599999999999994</v>
      </c>
      <c r="Z36" s="1">
        <v>77.2</v>
      </c>
      <c r="AA36" s="1">
        <v>64.2</v>
      </c>
      <c r="AB36" s="1">
        <v>68</v>
      </c>
      <c r="AC36" s="1">
        <v>67.599999999999994</v>
      </c>
      <c r="AD36" s="1">
        <v>69.2</v>
      </c>
      <c r="AE36" s="1">
        <v>82.2</v>
      </c>
      <c r="AF36" s="1">
        <v>85.8</v>
      </c>
      <c r="AG36" s="1">
        <v>62.6</v>
      </c>
      <c r="AH36" s="1"/>
      <c r="AI36" s="1">
        <f t="shared" si="10"/>
        <v>36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4" t="s">
        <v>72</v>
      </c>
      <c r="B37" s="14" t="s">
        <v>36</v>
      </c>
      <c r="C37" s="14"/>
      <c r="D37" s="14"/>
      <c r="E37" s="14"/>
      <c r="F37" s="14"/>
      <c r="G37" s="14">
        <f>IFERROR(VLOOKUP(A37,[1]TDSheet!$A:$B,2,0),0)</f>
        <v>0</v>
      </c>
      <c r="H37" s="14">
        <f t="shared" si="4"/>
        <v>0</v>
      </c>
      <c r="I37" s="15">
        <v>0</v>
      </c>
      <c r="J37" s="14">
        <v>45</v>
      </c>
      <c r="K37" s="14" t="s">
        <v>37</v>
      </c>
      <c r="L37" s="14"/>
      <c r="M37" s="14">
        <f t="shared" si="3"/>
        <v>0</v>
      </c>
      <c r="N37" s="14">
        <f t="shared" si="5"/>
        <v>0</v>
      </c>
      <c r="O37" s="14"/>
      <c r="P37" s="14"/>
      <c r="Q37" s="14">
        <v>0</v>
      </c>
      <c r="R37" s="14">
        <f t="shared" si="6"/>
        <v>0</v>
      </c>
      <c r="S37" s="16"/>
      <c r="T37" s="16"/>
      <c r="U37" s="14"/>
      <c r="V37" s="14" t="e">
        <f t="shared" si="8"/>
        <v>#DIV/0!</v>
      </c>
      <c r="W37" s="14" t="e">
        <f t="shared" si="9"/>
        <v>#DIV/0!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 t="s">
        <v>42</v>
      </c>
      <c r="AI37" s="1">
        <f t="shared" si="10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4" t="s">
        <v>73</v>
      </c>
      <c r="B38" s="14" t="s">
        <v>41</v>
      </c>
      <c r="C38" s="14"/>
      <c r="D38" s="14"/>
      <c r="E38" s="14"/>
      <c r="F38" s="14"/>
      <c r="G38" s="14">
        <f>IFERROR(VLOOKUP(A38,[1]TDSheet!$A:$B,2,0),0)</f>
        <v>0</v>
      </c>
      <c r="H38" s="14">
        <f t="shared" si="4"/>
        <v>0</v>
      </c>
      <c r="I38" s="15">
        <v>0</v>
      </c>
      <c r="J38" s="14">
        <v>45</v>
      </c>
      <c r="K38" s="14" t="s">
        <v>37</v>
      </c>
      <c r="L38" s="14"/>
      <c r="M38" s="14">
        <f t="shared" ref="M38:M69" si="16">E38-L38</f>
        <v>0</v>
      </c>
      <c r="N38" s="14">
        <f t="shared" si="5"/>
        <v>0</v>
      </c>
      <c r="O38" s="14"/>
      <c r="P38" s="14"/>
      <c r="Q38" s="14">
        <v>0</v>
      </c>
      <c r="R38" s="14">
        <f t="shared" si="6"/>
        <v>0</v>
      </c>
      <c r="S38" s="16"/>
      <c r="T38" s="16"/>
      <c r="U38" s="14"/>
      <c r="V38" s="14" t="e">
        <f t="shared" si="8"/>
        <v>#DIV/0!</v>
      </c>
      <c r="W38" s="14" t="e">
        <f t="shared" si="9"/>
        <v>#DIV/0!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 t="s">
        <v>42</v>
      </c>
      <c r="AI38" s="1">
        <f t="shared" si="10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74</v>
      </c>
      <c r="B39" s="1" t="s">
        <v>41</v>
      </c>
      <c r="C39" s="1">
        <v>72</v>
      </c>
      <c r="D39" s="1">
        <v>522</v>
      </c>
      <c r="E39" s="1">
        <v>127</v>
      </c>
      <c r="F39" s="1">
        <v>407</v>
      </c>
      <c r="G39" s="1">
        <f>IFERROR(VLOOKUP(A39,[1]TDSheet!$A:$B,2,0),0)</f>
        <v>0</v>
      </c>
      <c r="H39" s="1">
        <f t="shared" si="4"/>
        <v>407</v>
      </c>
      <c r="I39" s="7">
        <v>0.35</v>
      </c>
      <c r="J39" s="1">
        <v>40</v>
      </c>
      <c r="K39" s="1" t="s">
        <v>37</v>
      </c>
      <c r="L39" s="1">
        <v>244</v>
      </c>
      <c r="M39" s="1">
        <f t="shared" si="16"/>
        <v>-117</v>
      </c>
      <c r="N39" s="1">
        <f t="shared" si="5"/>
        <v>127</v>
      </c>
      <c r="O39" s="1"/>
      <c r="P39" s="1"/>
      <c r="Q39" s="1">
        <v>0</v>
      </c>
      <c r="R39" s="1">
        <f t="shared" si="6"/>
        <v>25.4</v>
      </c>
      <c r="S39" s="5"/>
      <c r="T39" s="5"/>
      <c r="U39" s="1"/>
      <c r="V39" s="1">
        <f t="shared" si="8"/>
        <v>16.023622047244096</v>
      </c>
      <c r="W39" s="1">
        <f t="shared" si="9"/>
        <v>16.023622047244096</v>
      </c>
      <c r="X39" s="1">
        <v>35</v>
      </c>
      <c r="Y39" s="1">
        <v>39.200000000000003</v>
      </c>
      <c r="Z39" s="1">
        <v>39.799999999999997</v>
      </c>
      <c r="AA39" s="1">
        <v>28.2</v>
      </c>
      <c r="AB39" s="1">
        <v>24.8</v>
      </c>
      <c r="AC39" s="1">
        <v>22.6</v>
      </c>
      <c r="AD39" s="1">
        <v>23.6</v>
      </c>
      <c r="AE39" s="1">
        <v>25.4</v>
      </c>
      <c r="AF39" s="1">
        <v>24.8</v>
      </c>
      <c r="AG39" s="1">
        <v>12.8</v>
      </c>
      <c r="AH39" s="1" t="s">
        <v>55</v>
      </c>
      <c r="AI39" s="1">
        <f t="shared" si="10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75</v>
      </c>
      <c r="B40" s="1" t="s">
        <v>36</v>
      </c>
      <c r="C40" s="1">
        <v>24.93</v>
      </c>
      <c r="D40" s="1">
        <v>157.81</v>
      </c>
      <c r="E40" s="1">
        <v>135.10599999999999</v>
      </c>
      <c r="F40" s="1">
        <v>20.948</v>
      </c>
      <c r="G40" s="1">
        <f>IFERROR(VLOOKUP(A40,[1]TDSheet!$A:$B,2,0),0)</f>
        <v>0</v>
      </c>
      <c r="H40" s="1">
        <f t="shared" si="4"/>
        <v>20.948</v>
      </c>
      <c r="I40" s="7">
        <v>1</v>
      </c>
      <c r="J40" s="1">
        <v>40</v>
      </c>
      <c r="K40" s="1" t="s">
        <v>37</v>
      </c>
      <c r="L40" s="1">
        <v>147.6</v>
      </c>
      <c r="M40" s="1">
        <f t="shared" si="16"/>
        <v>-12.494</v>
      </c>
      <c r="N40" s="1">
        <f t="shared" si="5"/>
        <v>130.096</v>
      </c>
      <c r="O40" s="1">
        <v>5.01</v>
      </c>
      <c r="P40" s="1">
        <v>10.11739999999995</v>
      </c>
      <c r="Q40" s="1">
        <v>143.74820000000011</v>
      </c>
      <c r="R40" s="1">
        <f t="shared" si="6"/>
        <v>26.019200000000001</v>
      </c>
      <c r="S40" s="5">
        <f t="shared" ref="S40:S48" si="17">11*R40-Q40-P40-H40</f>
        <v>111.39759999999995</v>
      </c>
      <c r="T40" s="5"/>
      <c r="U40" s="1"/>
      <c r="V40" s="1">
        <f t="shared" si="8"/>
        <v>11</v>
      </c>
      <c r="W40" s="1">
        <f t="shared" si="9"/>
        <v>6.7186385438445475</v>
      </c>
      <c r="X40" s="1">
        <v>23.1724</v>
      </c>
      <c r="Y40" s="1">
        <v>15.159800000000001</v>
      </c>
      <c r="Z40" s="1">
        <v>14.131399999999999</v>
      </c>
      <c r="AA40" s="1">
        <v>22.5626</v>
      </c>
      <c r="AB40" s="1">
        <v>23.469799999999999</v>
      </c>
      <c r="AC40" s="1">
        <v>16.040400000000002</v>
      </c>
      <c r="AD40" s="1">
        <v>11.831799999999999</v>
      </c>
      <c r="AE40" s="1">
        <v>13.8506</v>
      </c>
      <c r="AF40" s="1">
        <v>21.322600000000001</v>
      </c>
      <c r="AG40" s="1">
        <v>20.9636</v>
      </c>
      <c r="AH40" s="1"/>
      <c r="AI40" s="1">
        <f t="shared" si="10"/>
        <v>111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76</v>
      </c>
      <c r="B41" s="1" t="s">
        <v>41</v>
      </c>
      <c r="C41" s="1">
        <v>54</v>
      </c>
      <c r="D41" s="1">
        <v>234</v>
      </c>
      <c r="E41" s="1">
        <v>111</v>
      </c>
      <c r="F41" s="1">
        <v>117</v>
      </c>
      <c r="G41" s="1">
        <f>IFERROR(VLOOKUP(A41,[1]TDSheet!$A:$B,2,0),0)</f>
        <v>0</v>
      </c>
      <c r="H41" s="1">
        <f t="shared" si="4"/>
        <v>117</v>
      </c>
      <c r="I41" s="7">
        <v>0.4</v>
      </c>
      <c r="J41" s="1">
        <v>40</v>
      </c>
      <c r="K41" s="1" t="s">
        <v>37</v>
      </c>
      <c r="L41" s="1">
        <v>227</v>
      </c>
      <c r="M41" s="1">
        <f t="shared" si="16"/>
        <v>-116</v>
      </c>
      <c r="N41" s="1">
        <f t="shared" si="5"/>
        <v>111</v>
      </c>
      <c r="O41" s="1"/>
      <c r="P41" s="1">
        <v>68.700000000000017</v>
      </c>
      <c r="Q41" s="1">
        <v>53.299999999999983</v>
      </c>
      <c r="R41" s="1">
        <f t="shared" si="6"/>
        <v>22.2</v>
      </c>
      <c r="S41" s="5">
        <f t="shared" si="17"/>
        <v>5.1999999999999886</v>
      </c>
      <c r="T41" s="5"/>
      <c r="U41" s="1"/>
      <c r="V41" s="1">
        <f t="shared" si="8"/>
        <v>11</v>
      </c>
      <c r="W41" s="1">
        <f t="shared" si="9"/>
        <v>10.765765765765765</v>
      </c>
      <c r="X41" s="1">
        <v>26</v>
      </c>
      <c r="Y41" s="1">
        <v>28</v>
      </c>
      <c r="Z41" s="1">
        <v>26.6</v>
      </c>
      <c r="AA41" s="1">
        <v>22.4</v>
      </c>
      <c r="AB41" s="1">
        <v>24.8</v>
      </c>
      <c r="AC41" s="1">
        <v>14</v>
      </c>
      <c r="AD41" s="1">
        <v>17.399999999999999</v>
      </c>
      <c r="AE41" s="1">
        <v>31.2</v>
      </c>
      <c r="AF41" s="1">
        <v>30.4</v>
      </c>
      <c r="AG41" s="1">
        <v>20.2</v>
      </c>
      <c r="AH41" s="1"/>
      <c r="AI41" s="1">
        <f t="shared" si="10"/>
        <v>2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77</v>
      </c>
      <c r="B42" s="1" t="s">
        <v>41</v>
      </c>
      <c r="C42" s="1">
        <v>116</v>
      </c>
      <c r="D42" s="1">
        <v>228</v>
      </c>
      <c r="E42" s="1">
        <v>199</v>
      </c>
      <c r="F42" s="1">
        <v>92</v>
      </c>
      <c r="G42" s="1">
        <f>IFERROR(VLOOKUP(A42,[1]TDSheet!$A:$B,2,0),0)</f>
        <v>0</v>
      </c>
      <c r="H42" s="1">
        <f t="shared" si="4"/>
        <v>92</v>
      </c>
      <c r="I42" s="7">
        <v>0.4</v>
      </c>
      <c r="J42" s="1">
        <v>45</v>
      </c>
      <c r="K42" s="1" t="s">
        <v>37</v>
      </c>
      <c r="L42" s="1">
        <v>262</v>
      </c>
      <c r="M42" s="1">
        <f t="shared" si="16"/>
        <v>-63</v>
      </c>
      <c r="N42" s="1">
        <f t="shared" si="5"/>
        <v>199</v>
      </c>
      <c r="O42" s="1"/>
      <c r="P42" s="1">
        <v>96.200000000000045</v>
      </c>
      <c r="Q42" s="1">
        <v>225.8</v>
      </c>
      <c r="R42" s="1">
        <f t="shared" si="6"/>
        <v>39.799999999999997</v>
      </c>
      <c r="S42" s="5">
        <f t="shared" si="17"/>
        <v>23.799999999999898</v>
      </c>
      <c r="T42" s="5"/>
      <c r="U42" s="1"/>
      <c r="V42" s="1">
        <f t="shared" si="8"/>
        <v>11</v>
      </c>
      <c r="W42" s="1">
        <f t="shared" si="9"/>
        <v>10.402010050251258</v>
      </c>
      <c r="X42" s="1">
        <v>44.2</v>
      </c>
      <c r="Y42" s="1">
        <v>35.6</v>
      </c>
      <c r="Z42" s="1">
        <v>32.799999999999997</v>
      </c>
      <c r="AA42" s="1">
        <v>32</v>
      </c>
      <c r="AB42" s="1">
        <v>26.8</v>
      </c>
      <c r="AC42" s="1">
        <v>24.6</v>
      </c>
      <c r="AD42" s="1">
        <v>27.8</v>
      </c>
      <c r="AE42" s="1">
        <v>31.4</v>
      </c>
      <c r="AF42" s="1">
        <v>33.6</v>
      </c>
      <c r="AG42" s="1">
        <v>21</v>
      </c>
      <c r="AH42" s="1"/>
      <c r="AI42" s="1">
        <f t="shared" si="10"/>
        <v>10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78</v>
      </c>
      <c r="B43" s="1" t="s">
        <v>36</v>
      </c>
      <c r="C43" s="1">
        <v>54.311999999999998</v>
      </c>
      <c r="D43" s="1">
        <v>99.141999999999996</v>
      </c>
      <c r="E43" s="1">
        <v>96.549000000000007</v>
      </c>
      <c r="F43" s="1">
        <v>28.87</v>
      </c>
      <c r="G43" s="1">
        <f>IFERROR(VLOOKUP(A43,[1]TDSheet!$A:$B,2,0),0)</f>
        <v>0</v>
      </c>
      <c r="H43" s="1">
        <f t="shared" si="4"/>
        <v>28.87</v>
      </c>
      <c r="I43" s="7">
        <v>1</v>
      </c>
      <c r="J43" s="1">
        <v>40</v>
      </c>
      <c r="K43" s="1" t="s">
        <v>37</v>
      </c>
      <c r="L43" s="1">
        <v>110.9</v>
      </c>
      <c r="M43" s="1">
        <f t="shared" si="16"/>
        <v>-14.350999999999999</v>
      </c>
      <c r="N43" s="1">
        <f t="shared" si="5"/>
        <v>96.549000000000007</v>
      </c>
      <c r="O43" s="1"/>
      <c r="P43" s="1">
        <v>44.840099999999993</v>
      </c>
      <c r="Q43" s="1">
        <v>150</v>
      </c>
      <c r="R43" s="1">
        <f t="shared" si="6"/>
        <v>19.309800000000003</v>
      </c>
      <c r="S43" s="5"/>
      <c r="T43" s="5"/>
      <c r="U43" s="1"/>
      <c r="V43" s="1">
        <f t="shared" si="8"/>
        <v>11.585314192793296</v>
      </c>
      <c r="W43" s="1">
        <f t="shared" si="9"/>
        <v>11.585314192793296</v>
      </c>
      <c r="X43" s="1">
        <v>19.009599999999999</v>
      </c>
      <c r="Y43" s="1">
        <v>15.4658</v>
      </c>
      <c r="Z43" s="1">
        <v>13.827400000000001</v>
      </c>
      <c r="AA43" s="1">
        <v>16.1736</v>
      </c>
      <c r="AB43" s="1">
        <v>16.498999999999999</v>
      </c>
      <c r="AC43" s="1">
        <v>9.9161999999999999</v>
      </c>
      <c r="AD43" s="1">
        <v>8.2042000000000002</v>
      </c>
      <c r="AE43" s="1">
        <v>11.2258</v>
      </c>
      <c r="AF43" s="1">
        <v>15.2402</v>
      </c>
      <c r="AG43" s="1">
        <v>11.461</v>
      </c>
      <c r="AH43" s="1"/>
      <c r="AI43" s="1">
        <f t="shared" si="10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79</v>
      </c>
      <c r="B44" s="1" t="s">
        <v>41</v>
      </c>
      <c r="C44" s="1">
        <v>62</v>
      </c>
      <c r="D44" s="1">
        <v>462</v>
      </c>
      <c r="E44" s="1">
        <v>81</v>
      </c>
      <c r="F44" s="1">
        <v>399</v>
      </c>
      <c r="G44" s="1">
        <f>IFERROR(VLOOKUP(A44,[1]TDSheet!$A:$B,2,0),0)</f>
        <v>0</v>
      </c>
      <c r="H44" s="1">
        <f t="shared" si="4"/>
        <v>399</v>
      </c>
      <c r="I44" s="7">
        <v>0.35</v>
      </c>
      <c r="J44" s="1">
        <v>40</v>
      </c>
      <c r="K44" s="1" t="s">
        <v>37</v>
      </c>
      <c r="L44" s="1">
        <v>194</v>
      </c>
      <c r="M44" s="1">
        <f t="shared" si="16"/>
        <v>-113</v>
      </c>
      <c r="N44" s="1">
        <f t="shared" si="5"/>
        <v>81</v>
      </c>
      <c r="O44" s="1"/>
      <c r="P44" s="1"/>
      <c r="Q44" s="1">
        <v>0</v>
      </c>
      <c r="R44" s="1">
        <f t="shared" si="6"/>
        <v>16.2</v>
      </c>
      <c r="S44" s="5"/>
      <c r="T44" s="5"/>
      <c r="U44" s="1"/>
      <c r="V44" s="1">
        <f t="shared" si="8"/>
        <v>24.62962962962963</v>
      </c>
      <c r="W44" s="1">
        <f t="shared" si="9"/>
        <v>24.62962962962963</v>
      </c>
      <c r="X44" s="1">
        <v>20.2</v>
      </c>
      <c r="Y44" s="1">
        <v>31.8</v>
      </c>
      <c r="Z44" s="1">
        <v>34.799999999999997</v>
      </c>
      <c r="AA44" s="1">
        <v>20.8</v>
      </c>
      <c r="AB44" s="1">
        <v>13.8</v>
      </c>
      <c r="AC44" s="1">
        <v>10.6</v>
      </c>
      <c r="AD44" s="1">
        <v>11.4</v>
      </c>
      <c r="AE44" s="1">
        <v>19.600000000000001</v>
      </c>
      <c r="AF44" s="1">
        <v>22.6</v>
      </c>
      <c r="AG44" s="1">
        <v>13</v>
      </c>
      <c r="AH44" s="1" t="s">
        <v>55</v>
      </c>
      <c r="AI44" s="1">
        <f t="shared" si="10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80</v>
      </c>
      <c r="B45" s="1" t="s">
        <v>41</v>
      </c>
      <c r="C45" s="1"/>
      <c r="D45" s="1">
        <v>402</v>
      </c>
      <c r="E45" s="1">
        <v>70</v>
      </c>
      <c r="F45" s="1">
        <v>329</v>
      </c>
      <c r="G45" s="1">
        <f>IFERROR(VLOOKUP(A45,[1]TDSheet!$A:$B,2,0),0)</f>
        <v>0</v>
      </c>
      <c r="H45" s="1">
        <f t="shared" si="4"/>
        <v>329</v>
      </c>
      <c r="I45" s="7">
        <v>0.4</v>
      </c>
      <c r="J45" s="1">
        <v>40</v>
      </c>
      <c r="K45" s="1" t="s">
        <v>37</v>
      </c>
      <c r="L45" s="1">
        <v>190</v>
      </c>
      <c r="M45" s="1">
        <f t="shared" si="16"/>
        <v>-120</v>
      </c>
      <c r="N45" s="1">
        <f t="shared" si="5"/>
        <v>70</v>
      </c>
      <c r="O45" s="1"/>
      <c r="P45" s="1"/>
      <c r="Q45" s="1">
        <v>0</v>
      </c>
      <c r="R45" s="1">
        <f t="shared" si="6"/>
        <v>14</v>
      </c>
      <c r="S45" s="5"/>
      <c r="T45" s="5"/>
      <c r="U45" s="1"/>
      <c r="V45" s="1">
        <f t="shared" si="8"/>
        <v>23.5</v>
      </c>
      <c r="W45" s="1">
        <f t="shared" si="9"/>
        <v>23.5</v>
      </c>
      <c r="X45" s="1">
        <v>-0.4</v>
      </c>
      <c r="Y45" s="1">
        <v>-0.2</v>
      </c>
      <c r="Z45" s="1">
        <v>-0.4</v>
      </c>
      <c r="AA45" s="1">
        <v>-0.4</v>
      </c>
      <c r="AB45" s="1">
        <v>11.6</v>
      </c>
      <c r="AC45" s="1">
        <v>57</v>
      </c>
      <c r="AD45" s="1">
        <v>60.6</v>
      </c>
      <c r="AE45" s="1">
        <v>71.8</v>
      </c>
      <c r="AF45" s="1">
        <v>81.8</v>
      </c>
      <c r="AG45" s="1">
        <v>59.8</v>
      </c>
      <c r="AH45" s="1"/>
      <c r="AI45" s="1">
        <f t="shared" si="10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81</v>
      </c>
      <c r="B46" s="1" t="s">
        <v>36</v>
      </c>
      <c r="C46" s="1">
        <v>22.782</v>
      </c>
      <c r="D46" s="1">
        <v>195.238</v>
      </c>
      <c r="E46" s="1">
        <v>17.571999999999999</v>
      </c>
      <c r="F46" s="1">
        <v>192.39599999999999</v>
      </c>
      <c r="G46" s="1">
        <f>IFERROR(VLOOKUP(A46,[1]TDSheet!$A:$B,2,0),0)</f>
        <v>108.681</v>
      </c>
      <c r="H46" s="1">
        <f t="shared" si="4"/>
        <v>83.714999999999989</v>
      </c>
      <c r="I46" s="7">
        <v>1</v>
      </c>
      <c r="J46" s="1">
        <v>50</v>
      </c>
      <c r="K46" s="1" t="s">
        <v>37</v>
      </c>
      <c r="L46" s="1">
        <v>22.25</v>
      </c>
      <c r="M46" s="1">
        <f t="shared" si="16"/>
        <v>-4.6780000000000008</v>
      </c>
      <c r="N46" s="1">
        <f t="shared" si="5"/>
        <v>17.571999999999999</v>
      </c>
      <c r="O46" s="1"/>
      <c r="P46" s="1">
        <v>33.082799999999992</v>
      </c>
      <c r="Q46" s="1">
        <v>0</v>
      </c>
      <c r="R46" s="1">
        <f t="shared" si="6"/>
        <v>3.5143999999999997</v>
      </c>
      <c r="S46" s="5"/>
      <c r="T46" s="5"/>
      <c r="U46" s="1"/>
      <c r="V46" s="1">
        <f t="shared" si="8"/>
        <v>33.234065558843611</v>
      </c>
      <c r="W46" s="1">
        <f t="shared" si="9"/>
        <v>33.234065558843611</v>
      </c>
      <c r="X46" s="1">
        <v>4.5888</v>
      </c>
      <c r="Y46" s="1">
        <v>11.3004</v>
      </c>
      <c r="Z46" s="1">
        <v>11.0304</v>
      </c>
      <c r="AA46" s="1">
        <v>6.5736000000000008</v>
      </c>
      <c r="AB46" s="1">
        <v>7.6543999999999999</v>
      </c>
      <c r="AC46" s="1">
        <v>9.9605999999999995</v>
      </c>
      <c r="AD46" s="1">
        <v>8.8882000000000012</v>
      </c>
      <c r="AE46" s="1">
        <v>7.2403999999999993</v>
      </c>
      <c r="AF46" s="1">
        <v>8.8439999999999994</v>
      </c>
      <c r="AG46" s="1">
        <v>12.2416</v>
      </c>
      <c r="AH46" s="1"/>
      <c r="AI46" s="1">
        <f t="shared" si="10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82</v>
      </c>
      <c r="B47" s="1" t="s">
        <v>36</v>
      </c>
      <c r="C47" s="1">
        <v>183.35</v>
      </c>
      <c r="D47" s="1">
        <v>76.525999999999996</v>
      </c>
      <c r="E47" s="1">
        <v>163.03299999999999</v>
      </c>
      <c r="F47" s="1">
        <v>73.733000000000004</v>
      </c>
      <c r="G47" s="1">
        <f>IFERROR(VLOOKUP(A47,[1]TDSheet!$A:$B,2,0),0)</f>
        <v>0</v>
      </c>
      <c r="H47" s="1">
        <f t="shared" si="4"/>
        <v>73.733000000000004</v>
      </c>
      <c r="I47" s="7">
        <v>1</v>
      </c>
      <c r="J47" s="1">
        <v>50</v>
      </c>
      <c r="K47" s="1" t="s">
        <v>37</v>
      </c>
      <c r="L47" s="1">
        <v>165.15</v>
      </c>
      <c r="M47" s="1">
        <f t="shared" si="16"/>
        <v>-2.1170000000000186</v>
      </c>
      <c r="N47" s="1">
        <f t="shared" si="5"/>
        <v>163.03299999999999</v>
      </c>
      <c r="O47" s="1"/>
      <c r="P47" s="1">
        <v>30.264840000000021</v>
      </c>
      <c r="Q47" s="1">
        <v>148.8021599999999</v>
      </c>
      <c r="R47" s="1">
        <f t="shared" si="6"/>
        <v>32.6066</v>
      </c>
      <c r="S47" s="5">
        <f t="shared" si="17"/>
        <v>105.87260000000006</v>
      </c>
      <c r="T47" s="5"/>
      <c r="U47" s="1"/>
      <c r="V47" s="1">
        <f t="shared" si="8"/>
        <v>11</v>
      </c>
      <c r="W47" s="1">
        <f t="shared" si="9"/>
        <v>7.7530315948304924</v>
      </c>
      <c r="X47" s="1">
        <v>29.235199999999999</v>
      </c>
      <c r="Y47" s="1">
        <v>23.5608</v>
      </c>
      <c r="Z47" s="1">
        <v>21.472200000000001</v>
      </c>
      <c r="AA47" s="1">
        <v>23.67</v>
      </c>
      <c r="AB47" s="1">
        <v>27.073599999999999</v>
      </c>
      <c r="AC47" s="1">
        <v>29.471800000000002</v>
      </c>
      <c r="AD47" s="1">
        <v>27.1082</v>
      </c>
      <c r="AE47" s="1">
        <v>25.283200000000001</v>
      </c>
      <c r="AF47" s="1">
        <v>22.852</v>
      </c>
      <c r="AG47" s="1">
        <v>27.801600000000001</v>
      </c>
      <c r="AH47" s="1"/>
      <c r="AI47" s="1">
        <f t="shared" si="10"/>
        <v>106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83</v>
      </c>
      <c r="B48" s="1" t="s">
        <v>36</v>
      </c>
      <c r="C48" s="1">
        <v>156.917</v>
      </c>
      <c r="D48" s="1">
        <v>180.166</v>
      </c>
      <c r="E48" s="1">
        <v>156.12100000000001</v>
      </c>
      <c r="F48" s="1">
        <v>172.03</v>
      </c>
      <c r="G48" s="1">
        <f>IFERROR(VLOOKUP(A48,[1]TDSheet!$A:$B,2,0),0)</f>
        <v>0</v>
      </c>
      <c r="H48" s="1">
        <f t="shared" si="4"/>
        <v>172.03</v>
      </c>
      <c r="I48" s="7">
        <v>1</v>
      </c>
      <c r="J48" s="1">
        <v>40</v>
      </c>
      <c r="K48" s="1" t="s">
        <v>37</v>
      </c>
      <c r="L48" s="1">
        <v>142.80000000000001</v>
      </c>
      <c r="M48" s="1">
        <f t="shared" si="16"/>
        <v>13.320999999999998</v>
      </c>
      <c r="N48" s="1">
        <f t="shared" si="5"/>
        <v>156.12100000000001</v>
      </c>
      <c r="O48" s="1"/>
      <c r="P48" s="1">
        <v>41.373499999999893</v>
      </c>
      <c r="Q48" s="1">
        <v>40.298500000000132</v>
      </c>
      <c r="R48" s="1">
        <f t="shared" si="6"/>
        <v>31.224200000000003</v>
      </c>
      <c r="S48" s="5">
        <f t="shared" si="17"/>
        <v>89.764199999999931</v>
      </c>
      <c r="T48" s="5"/>
      <c r="U48" s="1"/>
      <c r="V48" s="1">
        <f t="shared" si="8"/>
        <v>10.999999999999998</v>
      </c>
      <c r="W48" s="1">
        <f t="shared" si="9"/>
        <v>8.125172142120535</v>
      </c>
      <c r="X48" s="1">
        <v>27.917000000000002</v>
      </c>
      <c r="Y48" s="1">
        <v>33.6098</v>
      </c>
      <c r="Z48" s="1">
        <v>32.120600000000003</v>
      </c>
      <c r="AA48" s="1">
        <v>17.7072</v>
      </c>
      <c r="AB48" s="1">
        <v>19.322399999999991</v>
      </c>
      <c r="AC48" s="1">
        <v>40.346200000000003</v>
      </c>
      <c r="AD48" s="1">
        <v>39.517399999999988</v>
      </c>
      <c r="AE48" s="1">
        <v>22.1068</v>
      </c>
      <c r="AF48" s="1">
        <v>29.143799999999999</v>
      </c>
      <c r="AG48" s="1">
        <v>33.231000000000002</v>
      </c>
      <c r="AH48" s="1"/>
      <c r="AI48" s="1">
        <f t="shared" si="10"/>
        <v>90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1" t="s">
        <v>84</v>
      </c>
      <c r="B49" s="11" t="s">
        <v>41</v>
      </c>
      <c r="C49" s="11"/>
      <c r="D49" s="11">
        <v>100</v>
      </c>
      <c r="E49" s="11"/>
      <c r="F49" s="11">
        <v>100</v>
      </c>
      <c r="G49" s="11">
        <f>IFERROR(VLOOKUP(A49,[1]TDSheet!$A:$B,2,0),0)</f>
        <v>100</v>
      </c>
      <c r="H49" s="11">
        <f t="shared" si="4"/>
        <v>0</v>
      </c>
      <c r="I49" s="12">
        <v>0</v>
      </c>
      <c r="J49" s="11" t="e">
        <v>#N/A</v>
      </c>
      <c r="K49" s="11" t="s">
        <v>137</v>
      </c>
      <c r="L49" s="11"/>
      <c r="M49" s="11">
        <f t="shared" si="16"/>
        <v>0</v>
      </c>
      <c r="N49" s="11">
        <f t="shared" si="5"/>
        <v>0</v>
      </c>
      <c r="O49" s="11"/>
      <c r="P49" s="11"/>
      <c r="Q49" s="11"/>
      <c r="R49" s="11">
        <f t="shared" si="6"/>
        <v>0</v>
      </c>
      <c r="S49" s="13"/>
      <c r="T49" s="13"/>
      <c r="U49" s="11"/>
      <c r="V49" s="11" t="e">
        <f t="shared" si="8"/>
        <v>#DIV/0!</v>
      </c>
      <c r="W49" s="11" t="e">
        <f t="shared" si="9"/>
        <v>#DIV/0!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/>
      <c r="AI49" s="1">
        <f t="shared" si="10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85</v>
      </c>
      <c r="B50" s="1" t="s">
        <v>41</v>
      </c>
      <c r="C50" s="1">
        <v>108</v>
      </c>
      <c r="D50" s="1">
        <v>190</v>
      </c>
      <c r="E50" s="1">
        <v>174</v>
      </c>
      <c r="F50" s="1">
        <v>76</v>
      </c>
      <c r="G50" s="1">
        <f>IFERROR(VLOOKUP(A50,[1]TDSheet!$A:$B,2,0),0)</f>
        <v>0</v>
      </c>
      <c r="H50" s="1">
        <f t="shared" si="4"/>
        <v>76</v>
      </c>
      <c r="I50" s="7">
        <v>0.45</v>
      </c>
      <c r="J50" s="1">
        <v>50</v>
      </c>
      <c r="K50" s="1" t="s">
        <v>37</v>
      </c>
      <c r="L50" s="1">
        <v>174</v>
      </c>
      <c r="M50" s="1">
        <f t="shared" si="16"/>
        <v>0</v>
      </c>
      <c r="N50" s="1">
        <f t="shared" si="5"/>
        <v>174</v>
      </c>
      <c r="O50" s="1"/>
      <c r="P50" s="1">
        <v>101.4999999999999</v>
      </c>
      <c r="Q50" s="1">
        <v>200.50000000000011</v>
      </c>
      <c r="R50" s="1">
        <f t="shared" si="6"/>
        <v>34.799999999999997</v>
      </c>
      <c r="S50" s="5">
        <f t="shared" ref="S50:S53" si="18">11*R50-Q50-P50-H50</f>
        <v>4.7999999999999403</v>
      </c>
      <c r="T50" s="5"/>
      <c r="U50" s="1"/>
      <c r="V50" s="1">
        <f t="shared" si="8"/>
        <v>11</v>
      </c>
      <c r="W50" s="1">
        <f t="shared" si="9"/>
        <v>10.862068965517242</v>
      </c>
      <c r="X50" s="1">
        <v>40</v>
      </c>
      <c r="Y50" s="1">
        <v>31.4</v>
      </c>
      <c r="Z50" s="1">
        <v>27.8</v>
      </c>
      <c r="AA50" s="1">
        <v>29</v>
      </c>
      <c r="AB50" s="1">
        <v>33</v>
      </c>
      <c r="AC50" s="1">
        <v>27.4</v>
      </c>
      <c r="AD50" s="1">
        <v>17.399999999999999</v>
      </c>
      <c r="AE50" s="1">
        <v>15.2</v>
      </c>
      <c r="AF50" s="1">
        <v>29.6</v>
      </c>
      <c r="AG50" s="1">
        <v>19</v>
      </c>
      <c r="AH50" s="1" t="s">
        <v>70</v>
      </c>
      <c r="AI50" s="1">
        <f t="shared" si="10"/>
        <v>2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7" t="s">
        <v>86</v>
      </c>
      <c r="B51" s="1" t="s">
        <v>36</v>
      </c>
      <c r="C51" s="1"/>
      <c r="D51" s="1"/>
      <c r="E51" s="1"/>
      <c r="F51" s="1"/>
      <c r="G51" s="1">
        <f>IFERROR(VLOOKUP(A51,[1]TDSheet!$A:$B,2,0),0)</f>
        <v>0</v>
      </c>
      <c r="H51" s="1">
        <f t="shared" si="4"/>
        <v>0</v>
      </c>
      <c r="I51" s="7">
        <v>1</v>
      </c>
      <c r="J51" s="1">
        <v>40</v>
      </c>
      <c r="K51" s="1" t="s">
        <v>37</v>
      </c>
      <c r="L51" s="1"/>
      <c r="M51" s="1">
        <f t="shared" si="16"/>
        <v>0</v>
      </c>
      <c r="N51" s="1">
        <f t="shared" si="5"/>
        <v>0</v>
      </c>
      <c r="O51" s="1"/>
      <c r="P51" s="1"/>
      <c r="Q51" s="17"/>
      <c r="R51" s="1">
        <f t="shared" si="6"/>
        <v>0</v>
      </c>
      <c r="S51" s="18">
        <v>4</v>
      </c>
      <c r="T51" s="5"/>
      <c r="U51" s="1"/>
      <c r="V51" s="1" t="e">
        <f t="shared" si="8"/>
        <v>#DIV/0!</v>
      </c>
      <c r="W51" s="1" t="e">
        <f t="shared" si="9"/>
        <v>#DIV/0!</v>
      </c>
      <c r="X51" s="1">
        <v>0</v>
      </c>
      <c r="Y51" s="1">
        <v>0</v>
      </c>
      <c r="Z51" s="1">
        <v>0</v>
      </c>
      <c r="AA51" s="1">
        <v>-6.4000000000000001E-2</v>
      </c>
      <c r="AB51" s="1">
        <v>-0.28560000000000002</v>
      </c>
      <c r="AC51" s="1">
        <v>0.78079999999999994</v>
      </c>
      <c r="AD51" s="1">
        <v>3.1112000000000002</v>
      </c>
      <c r="AE51" s="1">
        <v>11.587199999999999</v>
      </c>
      <c r="AF51" s="1">
        <v>11.702</v>
      </c>
      <c r="AG51" s="1">
        <v>10.786</v>
      </c>
      <c r="AH51" s="17" t="s">
        <v>87</v>
      </c>
      <c r="AI51" s="1">
        <f t="shared" si="10"/>
        <v>4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88</v>
      </c>
      <c r="B52" s="1" t="s">
        <v>41</v>
      </c>
      <c r="C52" s="1">
        <v>45</v>
      </c>
      <c r="D52" s="1">
        <v>180</v>
      </c>
      <c r="E52" s="1">
        <v>160</v>
      </c>
      <c r="F52" s="1"/>
      <c r="G52" s="1">
        <f>IFERROR(VLOOKUP(A52,[1]TDSheet!$A:$B,2,0),0)</f>
        <v>0</v>
      </c>
      <c r="H52" s="1">
        <f t="shared" si="4"/>
        <v>0</v>
      </c>
      <c r="I52" s="7">
        <v>0.4</v>
      </c>
      <c r="J52" s="1">
        <v>40</v>
      </c>
      <c r="K52" s="1" t="s">
        <v>37</v>
      </c>
      <c r="L52" s="1">
        <v>233</v>
      </c>
      <c r="M52" s="1">
        <f t="shared" si="16"/>
        <v>-73</v>
      </c>
      <c r="N52" s="1">
        <f t="shared" si="5"/>
        <v>160</v>
      </c>
      <c r="O52" s="1"/>
      <c r="P52" s="1"/>
      <c r="Q52" s="1">
        <v>254.6</v>
      </c>
      <c r="R52" s="1">
        <f t="shared" si="6"/>
        <v>32</v>
      </c>
      <c r="S52" s="5">
        <f t="shared" si="18"/>
        <v>97.4</v>
      </c>
      <c r="T52" s="5"/>
      <c r="U52" s="1"/>
      <c r="V52" s="1">
        <f t="shared" si="8"/>
        <v>11</v>
      </c>
      <c r="W52" s="1">
        <f t="shared" si="9"/>
        <v>7.9562499999999998</v>
      </c>
      <c r="X52" s="1">
        <v>42.6</v>
      </c>
      <c r="Y52" s="1">
        <v>11.2</v>
      </c>
      <c r="Z52" s="1">
        <v>16.600000000000001</v>
      </c>
      <c r="AA52" s="1">
        <v>28.2</v>
      </c>
      <c r="AB52" s="1">
        <v>28.6</v>
      </c>
      <c r="AC52" s="1">
        <v>24.6</v>
      </c>
      <c r="AD52" s="1">
        <v>28.4</v>
      </c>
      <c r="AE52" s="1">
        <v>32.6</v>
      </c>
      <c r="AF52" s="1">
        <v>30.8</v>
      </c>
      <c r="AG52" s="1">
        <v>23.8</v>
      </c>
      <c r="AH52" s="1"/>
      <c r="AI52" s="1">
        <f t="shared" si="10"/>
        <v>39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89</v>
      </c>
      <c r="B53" s="1" t="s">
        <v>41</v>
      </c>
      <c r="C53" s="1">
        <v>41</v>
      </c>
      <c r="D53" s="1">
        <v>354</v>
      </c>
      <c r="E53" s="1">
        <v>212</v>
      </c>
      <c r="F53" s="1">
        <v>142</v>
      </c>
      <c r="G53" s="1">
        <f>IFERROR(VLOOKUP(A53,[1]TDSheet!$A:$B,2,0),0)</f>
        <v>0</v>
      </c>
      <c r="H53" s="1">
        <f t="shared" si="4"/>
        <v>142</v>
      </c>
      <c r="I53" s="7">
        <v>0.4</v>
      </c>
      <c r="J53" s="1">
        <v>40</v>
      </c>
      <c r="K53" s="1" t="s">
        <v>37</v>
      </c>
      <c r="L53" s="1">
        <v>270</v>
      </c>
      <c r="M53" s="1">
        <f t="shared" si="16"/>
        <v>-58</v>
      </c>
      <c r="N53" s="1">
        <f t="shared" si="5"/>
        <v>212</v>
      </c>
      <c r="O53" s="1"/>
      <c r="P53" s="1">
        <v>48.400000000000063</v>
      </c>
      <c r="Q53" s="1">
        <v>233.59999999999991</v>
      </c>
      <c r="R53" s="1">
        <f t="shared" si="6"/>
        <v>42.4</v>
      </c>
      <c r="S53" s="5">
        <f t="shared" si="18"/>
        <v>42.400000000000006</v>
      </c>
      <c r="T53" s="5"/>
      <c r="U53" s="1"/>
      <c r="V53" s="1">
        <f t="shared" si="8"/>
        <v>11</v>
      </c>
      <c r="W53" s="1">
        <f t="shared" si="9"/>
        <v>10</v>
      </c>
      <c r="X53" s="1">
        <v>45</v>
      </c>
      <c r="Y53" s="1">
        <v>35.6</v>
      </c>
      <c r="Z53" s="1">
        <v>36.4</v>
      </c>
      <c r="AA53" s="1">
        <v>32.799999999999997</v>
      </c>
      <c r="AB53" s="1">
        <v>32.200000000000003</v>
      </c>
      <c r="AC53" s="1">
        <v>26</v>
      </c>
      <c r="AD53" s="1">
        <v>16.600000000000001</v>
      </c>
      <c r="AE53" s="1">
        <v>26</v>
      </c>
      <c r="AF53" s="1">
        <v>42.2</v>
      </c>
      <c r="AG53" s="1">
        <v>24.2</v>
      </c>
      <c r="AH53" s="1"/>
      <c r="AI53" s="1">
        <f t="shared" si="10"/>
        <v>17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4" t="s">
        <v>90</v>
      </c>
      <c r="B54" s="14" t="s">
        <v>36</v>
      </c>
      <c r="C54" s="14"/>
      <c r="D54" s="14">
        <v>206.09</v>
      </c>
      <c r="E54" s="14"/>
      <c r="F54" s="14">
        <v>206.09</v>
      </c>
      <c r="G54" s="14">
        <f>IFERROR(VLOOKUP(A54,[1]TDSheet!$A:$B,2,0),0)</f>
        <v>206.09</v>
      </c>
      <c r="H54" s="14">
        <f t="shared" si="4"/>
        <v>0</v>
      </c>
      <c r="I54" s="15">
        <v>0</v>
      </c>
      <c r="J54" s="14">
        <v>50</v>
      </c>
      <c r="K54" s="14" t="s">
        <v>37</v>
      </c>
      <c r="L54" s="14"/>
      <c r="M54" s="14">
        <f t="shared" si="16"/>
        <v>0</v>
      </c>
      <c r="N54" s="14">
        <f t="shared" si="5"/>
        <v>0</v>
      </c>
      <c r="O54" s="14"/>
      <c r="P54" s="14"/>
      <c r="Q54" s="14">
        <v>0</v>
      </c>
      <c r="R54" s="14">
        <f t="shared" si="6"/>
        <v>0</v>
      </c>
      <c r="S54" s="16"/>
      <c r="T54" s="16"/>
      <c r="U54" s="14"/>
      <c r="V54" s="14" t="e">
        <f t="shared" si="8"/>
        <v>#DIV/0!</v>
      </c>
      <c r="W54" s="14" t="e">
        <f t="shared" si="9"/>
        <v>#DIV/0!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 t="s">
        <v>42</v>
      </c>
      <c r="AI54" s="1">
        <f t="shared" si="10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91</v>
      </c>
      <c r="B55" s="1" t="s">
        <v>36</v>
      </c>
      <c r="C55" s="1">
        <v>120.19199999999999</v>
      </c>
      <c r="D55" s="1">
        <v>118.54</v>
      </c>
      <c r="E55" s="1">
        <v>95.358999999999995</v>
      </c>
      <c r="F55" s="1">
        <v>118.4</v>
      </c>
      <c r="G55" s="1">
        <f>IFERROR(VLOOKUP(A55,[1]TDSheet!$A:$B,2,0),0)</f>
        <v>0</v>
      </c>
      <c r="H55" s="1">
        <f t="shared" si="4"/>
        <v>118.4</v>
      </c>
      <c r="I55" s="7">
        <v>1</v>
      </c>
      <c r="J55" s="1">
        <v>50</v>
      </c>
      <c r="K55" s="1" t="s">
        <v>37</v>
      </c>
      <c r="L55" s="1">
        <v>126.25</v>
      </c>
      <c r="M55" s="1">
        <f t="shared" si="16"/>
        <v>-30.891000000000005</v>
      </c>
      <c r="N55" s="1">
        <f t="shared" si="5"/>
        <v>95.358999999999995</v>
      </c>
      <c r="O55" s="1"/>
      <c r="P55" s="1">
        <v>47.536480000000047</v>
      </c>
      <c r="Q55" s="1">
        <v>74.727519999999942</v>
      </c>
      <c r="R55" s="1">
        <f t="shared" si="6"/>
        <v>19.0718</v>
      </c>
      <c r="S55" s="5"/>
      <c r="T55" s="5"/>
      <c r="U55" s="1"/>
      <c r="V55" s="1">
        <f t="shared" si="8"/>
        <v>12.618840382134879</v>
      </c>
      <c r="W55" s="1">
        <f t="shared" si="9"/>
        <v>12.618840382134879</v>
      </c>
      <c r="X55" s="1">
        <v>24.066400000000002</v>
      </c>
      <c r="Y55" s="1">
        <v>23.108599999999999</v>
      </c>
      <c r="Z55" s="1">
        <v>19.7484</v>
      </c>
      <c r="AA55" s="1">
        <v>18.621600000000001</v>
      </c>
      <c r="AB55" s="1">
        <v>21.119199999999999</v>
      </c>
      <c r="AC55" s="1">
        <v>22.1738</v>
      </c>
      <c r="AD55" s="1">
        <v>19.947399999999998</v>
      </c>
      <c r="AE55" s="1">
        <v>18.0672</v>
      </c>
      <c r="AF55" s="1">
        <v>19.889600000000002</v>
      </c>
      <c r="AG55" s="1">
        <v>23.801200000000001</v>
      </c>
      <c r="AH55" s="1"/>
      <c r="AI55" s="1">
        <f t="shared" si="10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92</v>
      </c>
      <c r="B56" s="1" t="s">
        <v>36</v>
      </c>
      <c r="C56" s="1">
        <v>36.374000000000002</v>
      </c>
      <c r="D56" s="1">
        <v>32.765000000000001</v>
      </c>
      <c r="E56" s="1">
        <v>29.492000000000001</v>
      </c>
      <c r="F56" s="1">
        <v>32.883000000000003</v>
      </c>
      <c r="G56" s="1">
        <f>IFERROR(VLOOKUP(A56,[1]TDSheet!$A:$B,2,0),0)</f>
        <v>0</v>
      </c>
      <c r="H56" s="1">
        <f t="shared" si="4"/>
        <v>32.883000000000003</v>
      </c>
      <c r="I56" s="7">
        <v>1</v>
      </c>
      <c r="J56" s="1">
        <v>50</v>
      </c>
      <c r="K56" s="1" t="s">
        <v>37</v>
      </c>
      <c r="L56" s="1">
        <v>54.65</v>
      </c>
      <c r="M56" s="1">
        <f t="shared" si="16"/>
        <v>-25.157999999999998</v>
      </c>
      <c r="N56" s="1">
        <f t="shared" si="5"/>
        <v>29.492000000000001</v>
      </c>
      <c r="O56" s="1"/>
      <c r="P56" s="1">
        <v>9.6159999999999997</v>
      </c>
      <c r="Q56" s="1">
        <v>30.013000000000002</v>
      </c>
      <c r="R56" s="1">
        <f t="shared" si="6"/>
        <v>5.8984000000000005</v>
      </c>
      <c r="S56" s="5"/>
      <c r="T56" s="5"/>
      <c r="U56" s="1"/>
      <c r="V56" s="1">
        <f t="shared" si="8"/>
        <v>12.293503322935033</v>
      </c>
      <c r="W56" s="1">
        <f t="shared" si="9"/>
        <v>12.293503322935033</v>
      </c>
      <c r="X56" s="1">
        <v>7.2511999999999999</v>
      </c>
      <c r="Y56" s="1">
        <v>5.6619999999999999</v>
      </c>
      <c r="Z56" s="1">
        <v>5.66</v>
      </c>
      <c r="AA56" s="1">
        <v>4.12</v>
      </c>
      <c r="AB56" s="1">
        <v>6.1229999999999993</v>
      </c>
      <c r="AC56" s="1">
        <v>7.6596000000000002</v>
      </c>
      <c r="AD56" s="1">
        <v>4.5785999999999998</v>
      </c>
      <c r="AE56" s="1">
        <v>2.5920000000000001</v>
      </c>
      <c r="AF56" s="1">
        <v>4.7847999999999997</v>
      </c>
      <c r="AG56" s="1">
        <v>9.5540000000000003</v>
      </c>
      <c r="AH56" s="1"/>
      <c r="AI56" s="1">
        <f t="shared" si="10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4" t="s">
        <v>93</v>
      </c>
      <c r="B57" s="14" t="s">
        <v>41</v>
      </c>
      <c r="C57" s="14"/>
      <c r="D57" s="14"/>
      <c r="E57" s="14"/>
      <c r="F57" s="14"/>
      <c r="G57" s="14">
        <f>IFERROR(VLOOKUP(A57,[1]TDSheet!$A:$B,2,0),0)</f>
        <v>0</v>
      </c>
      <c r="H57" s="14">
        <f t="shared" si="4"/>
        <v>0</v>
      </c>
      <c r="I57" s="15">
        <v>0</v>
      </c>
      <c r="J57" s="14">
        <v>50</v>
      </c>
      <c r="K57" s="14" t="s">
        <v>37</v>
      </c>
      <c r="L57" s="14"/>
      <c r="M57" s="14">
        <f t="shared" si="16"/>
        <v>0</v>
      </c>
      <c r="N57" s="14">
        <f t="shared" si="5"/>
        <v>0</v>
      </c>
      <c r="O57" s="14"/>
      <c r="P57" s="14"/>
      <c r="Q57" s="14">
        <v>0</v>
      </c>
      <c r="R57" s="14">
        <f t="shared" si="6"/>
        <v>0</v>
      </c>
      <c r="S57" s="16"/>
      <c r="T57" s="16"/>
      <c r="U57" s="14"/>
      <c r="V57" s="14" t="e">
        <f t="shared" si="8"/>
        <v>#DIV/0!</v>
      </c>
      <c r="W57" s="14" t="e">
        <f t="shared" si="9"/>
        <v>#DIV/0!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 t="s">
        <v>42</v>
      </c>
      <c r="AI57" s="1">
        <f t="shared" si="10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94</v>
      </c>
      <c r="B58" s="1" t="s">
        <v>41</v>
      </c>
      <c r="C58" s="1">
        <v>381</v>
      </c>
      <c r="D58" s="1">
        <v>552</v>
      </c>
      <c r="E58" s="1">
        <v>532</v>
      </c>
      <c r="F58" s="1">
        <v>254</v>
      </c>
      <c r="G58" s="1">
        <f>IFERROR(VLOOKUP(A58,[1]TDSheet!$A:$B,2,0),0)</f>
        <v>0</v>
      </c>
      <c r="H58" s="1">
        <f t="shared" si="4"/>
        <v>254</v>
      </c>
      <c r="I58" s="7">
        <v>0.4</v>
      </c>
      <c r="J58" s="1">
        <v>40</v>
      </c>
      <c r="K58" s="1" t="s">
        <v>37</v>
      </c>
      <c r="L58" s="1">
        <v>547</v>
      </c>
      <c r="M58" s="1">
        <f t="shared" si="16"/>
        <v>-15</v>
      </c>
      <c r="N58" s="1">
        <f t="shared" si="5"/>
        <v>532</v>
      </c>
      <c r="O58" s="1"/>
      <c r="P58" s="1">
        <v>286.10000000000002</v>
      </c>
      <c r="Q58" s="1">
        <v>495.9</v>
      </c>
      <c r="R58" s="1">
        <f t="shared" si="6"/>
        <v>106.4</v>
      </c>
      <c r="S58" s="5">
        <f t="shared" ref="S58:S61" si="19">11*R58-Q58-P58-H58</f>
        <v>134.40000000000009</v>
      </c>
      <c r="T58" s="5"/>
      <c r="U58" s="1"/>
      <c r="V58" s="1">
        <f t="shared" si="8"/>
        <v>11</v>
      </c>
      <c r="W58" s="1">
        <f t="shared" si="9"/>
        <v>9.7368421052631575</v>
      </c>
      <c r="X58" s="1">
        <v>113.6</v>
      </c>
      <c r="Y58" s="1">
        <v>97.2</v>
      </c>
      <c r="Z58" s="1">
        <v>88.2</v>
      </c>
      <c r="AA58" s="1">
        <v>84.6</v>
      </c>
      <c r="AB58" s="1">
        <v>90.6</v>
      </c>
      <c r="AC58" s="1">
        <v>94.6</v>
      </c>
      <c r="AD58" s="1">
        <v>91.2</v>
      </c>
      <c r="AE58" s="1">
        <v>99.2</v>
      </c>
      <c r="AF58" s="1">
        <v>107.6</v>
      </c>
      <c r="AG58" s="1">
        <v>84.4</v>
      </c>
      <c r="AH58" s="1"/>
      <c r="AI58" s="1">
        <f t="shared" si="10"/>
        <v>54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95</v>
      </c>
      <c r="B59" s="1" t="s">
        <v>41</v>
      </c>
      <c r="C59" s="1"/>
      <c r="D59" s="1">
        <v>657</v>
      </c>
      <c r="E59" s="1">
        <v>213</v>
      </c>
      <c r="F59" s="1">
        <v>437</v>
      </c>
      <c r="G59" s="1">
        <f>IFERROR(VLOOKUP(A59,[1]TDSheet!$A:$B,2,0),0)</f>
        <v>0</v>
      </c>
      <c r="H59" s="1">
        <f t="shared" si="4"/>
        <v>437</v>
      </c>
      <c r="I59" s="7">
        <v>0.4</v>
      </c>
      <c r="J59" s="1">
        <v>40</v>
      </c>
      <c r="K59" s="1" t="s">
        <v>37</v>
      </c>
      <c r="L59" s="1">
        <v>436</v>
      </c>
      <c r="M59" s="1">
        <f t="shared" si="16"/>
        <v>-223</v>
      </c>
      <c r="N59" s="1">
        <f t="shared" si="5"/>
        <v>213</v>
      </c>
      <c r="O59" s="1"/>
      <c r="P59" s="1">
        <v>67.099999999999923</v>
      </c>
      <c r="Q59" s="1">
        <v>0</v>
      </c>
      <c r="R59" s="1">
        <f t="shared" si="6"/>
        <v>42.6</v>
      </c>
      <c r="S59" s="5"/>
      <c r="T59" s="5"/>
      <c r="U59" s="1"/>
      <c r="V59" s="1">
        <f t="shared" si="8"/>
        <v>11.83333333333333</v>
      </c>
      <c r="W59" s="1">
        <f t="shared" si="9"/>
        <v>11.83333333333333</v>
      </c>
      <c r="X59" s="1">
        <v>22.8</v>
      </c>
      <c r="Y59" s="1">
        <v>64.8</v>
      </c>
      <c r="Z59" s="1">
        <v>79.400000000000006</v>
      </c>
      <c r="AA59" s="1">
        <v>70.599999999999994</v>
      </c>
      <c r="AB59" s="1">
        <v>73.2</v>
      </c>
      <c r="AC59" s="1">
        <v>67.2</v>
      </c>
      <c r="AD59" s="1">
        <v>67.8</v>
      </c>
      <c r="AE59" s="1">
        <v>75.2</v>
      </c>
      <c r="AF59" s="1">
        <v>72.2</v>
      </c>
      <c r="AG59" s="1">
        <v>43.8</v>
      </c>
      <c r="AH59" s="1"/>
      <c r="AI59" s="1">
        <f t="shared" si="10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96</v>
      </c>
      <c r="B60" s="1" t="s">
        <v>36</v>
      </c>
      <c r="C60" s="1">
        <v>119.93</v>
      </c>
      <c r="D60" s="1">
        <v>244.17099999999999</v>
      </c>
      <c r="E60" s="1">
        <v>127.125</v>
      </c>
      <c r="F60" s="1">
        <v>188.32</v>
      </c>
      <c r="G60" s="1">
        <f>IFERROR(VLOOKUP(A60,[1]TDSheet!$A:$B,2,0),0)</f>
        <v>0</v>
      </c>
      <c r="H60" s="1">
        <f t="shared" si="4"/>
        <v>188.32</v>
      </c>
      <c r="I60" s="7">
        <v>1</v>
      </c>
      <c r="J60" s="1">
        <v>40</v>
      </c>
      <c r="K60" s="1" t="s">
        <v>37</v>
      </c>
      <c r="L60" s="1">
        <v>165.1</v>
      </c>
      <c r="M60" s="1">
        <f t="shared" si="16"/>
        <v>-37.974999999999994</v>
      </c>
      <c r="N60" s="1">
        <f t="shared" si="5"/>
        <v>127.125</v>
      </c>
      <c r="O60" s="1"/>
      <c r="P60" s="1">
        <v>87.305799999999977</v>
      </c>
      <c r="Q60" s="1">
        <v>43.324200000000019</v>
      </c>
      <c r="R60" s="1">
        <f t="shared" si="6"/>
        <v>25.425000000000001</v>
      </c>
      <c r="S60" s="5"/>
      <c r="T60" s="5"/>
      <c r="U60" s="1"/>
      <c r="V60" s="1">
        <f t="shared" si="8"/>
        <v>12.544739429695181</v>
      </c>
      <c r="W60" s="1">
        <f t="shared" si="9"/>
        <v>12.544739429695181</v>
      </c>
      <c r="X60" s="1">
        <v>32.386600000000001</v>
      </c>
      <c r="Y60" s="1">
        <v>36.328200000000002</v>
      </c>
      <c r="Z60" s="1">
        <v>33.758800000000001</v>
      </c>
      <c r="AA60" s="1">
        <v>27.561</v>
      </c>
      <c r="AB60" s="1">
        <v>27.990400000000001</v>
      </c>
      <c r="AC60" s="1">
        <v>29.95</v>
      </c>
      <c r="AD60" s="1">
        <v>26.289000000000001</v>
      </c>
      <c r="AE60" s="1">
        <v>26.0928</v>
      </c>
      <c r="AF60" s="1">
        <v>26.736000000000001</v>
      </c>
      <c r="AG60" s="1">
        <v>24.586200000000002</v>
      </c>
      <c r="AH60" s="1"/>
      <c r="AI60" s="1">
        <f t="shared" si="10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97</v>
      </c>
      <c r="B61" s="1" t="s">
        <v>36</v>
      </c>
      <c r="C61" s="1">
        <v>125.82</v>
      </c>
      <c r="D61" s="1">
        <v>189.26400000000001</v>
      </c>
      <c r="E61" s="1">
        <v>177.452</v>
      </c>
      <c r="F61" s="1">
        <v>92.924999999999997</v>
      </c>
      <c r="G61" s="1">
        <f>IFERROR(VLOOKUP(A61,[1]TDSheet!$A:$B,2,0),0)</f>
        <v>0</v>
      </c>
      <c r="H61" s="1">
        <f t="shared" si="4"/>
        <v>92.924999999999997</v>
      </c>
      <c r="I61" s="7">
        <v>1</v>
      </c>
      <c r="J61" s="1">
        <v>40</v>
      </c>
      <c r="K61" s="1" t="s">
        <v>37</v>
      </c>
      <c r="L61" s="1">
        <v>183.1</v>
      </c>
      <c r="M61" s="1">
        <f t="shared" si="16"/>
        <v>-5.6479999999999961</v>
      </c>
      <c r="N61" s="1">
        <f t="shared" si="5"/>
        <v>177.452</v>
      </c>
      <c r="O61" s="1"/>
      <c r="P61" s="1">
        <v>60.020599999999938</v>
      </c>
      <c r="Q61" s="1">
        <v>122.81140000000011</v>
      </c>
      <c r="R61" s="1">
        <f t="shared" si="6"/>
        <v>35.490400000000001</v>
      </c>
      <c r="S61" s="5">
        <f t="shared" si="19"/>
        <v>114.63739999999997</v>
      </c>
      <c r="T61" s="5"/>
      <c r="U61" s="1"/>
      <c r="V61" s="1">
        <f t="shared" si="8"/>
        <v>11</v>
      </c>
      <c r="W61" s="1">
        <f t="shared" si="9"/>
        <v>7.7699039740324158</v>
      </c>
      <c r="X61" s="1">
        <v>32.466000000000001</v>
      </c>
      <c r="Y61" s="1">
        <v>30.425599999999999</v>
      </c>
      <c r="Z61" s="1">
        <v>28.853999999999999</v>
      </c>
      <c r="AA61" s="1">
        <v>34.020800000000001</v>
      </c>
      <c r="AB61" s="1">
        <v>36.320599999999999</v>
      </c>
      <c r="AC61" s="1">
        <v>21.042999999999999</v>
      </c>
      <c r="AD61" s="1">
        <v>20.996600000000001</v>
      </c>
      <c r="AE61" s="1">
        <v>34.194800000000001</v>
      </c>
      <c r="AF61" s="1">
        <v>31.614799999999999</v>
      </c>
      <c r="AG61" s="1">
        <v>21.7592</v>
      </c>
      <c r="AH61" s="1"/>
      <c r="AI61" s="1">
        <f t="shared" si="10"/>
        <v>115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4" t="s">
        <v>98</v>
      </c>
      <c r="B62" s="14" t="s">
        <v>36</v>
      </c>
      <c r="C62" s="14"/>
      <c r="D62" s="14"/>
      <c r="E62" s="14"/>
      <c r="F62" s="14"/>
      <c r="G62" s="14">
        <f>IFERROR(VLOOKUP(A62,[1]TDSheet!$A:$B,2,0),0)</f>
        <v>0</v>
      </c>
      <c r="H62" s="14">
        <f t="shared" si="4"/>
        <v>0</v>
      </c>
      <c r="I62" s="15">
        <v>0</v>
      </c>
      <c r="J62" s="14">
        <v>40</v>
      </c>
      <c r="K62" s="14" t="s">
        <v>37</v>
      </c>
      <c r="L62" s="14"/>
      <c r="M62" s="14">
        <f t="shared" si="16"/>
        <v>0</v>
      </c>
      <c r="N62" s="14">
        <f t="shared" si="5"/>
        <v>0</v>
      </c>
      <c r="O62" s="14"/>
      <c r="P62" s="14"/>
      <c r="Q62" s="14">
        <v>0</v>
      </c>
      <c r="R62" s="14">
        <f t="shared" si="6"/>
        <v>0</v>
      </c>
      <c r="S62" s="16"/>
      <c r="T62" s="16"/>
      <c r="U62" s="14"/>
      <c r="V62" s="14" t="e">
        <f t="shared" si="8"/>
        <v>#DIV/0!</v>
      </c>
      <c r="W62" s="14" t="e">
        <f t="shared" si="9"/>
        <v>#DIV/0!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 t="s">
        <v>42</v>
      </c>
      <c r="AI62" s="1">
        <f t="shared" si="10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99</v>
      </c>
      <c r="B63" s="1" t="s">
        <v>36</v>
      </c>
      <c r="C63" s="1">
        <v>74.213999999999999</v>
      </c>
      <c r="D63" s="1">
        <v>63.716000000000001</v>
      </c>
      <c r="E63" s="1">
        <v>69.7</v>
      </c>
      <c r="F63" s="1">
        <v>50.180999999999997</v>
      </c>
      <c r="G63" s="1">
        <f>IFERROR(VLOOKUP(A63,[1]TDSheet!$A:$B,2,0),0)</f>
        <v>0</v>
      </c>
      <c r="H63" s="1">
        <f t="shared" si="4"/>
        <v>50.180999999999997</v>
      </c>
      <c r="I63" s="7">
        <v>1</v>
      </c>
      <c r="J63" s="1">
        <v>30</v>
      </c>
      <c r="K63" s="1" t="s">
        <v>37</v>
      </c>
      <c r="L63" s="1">
        <v>85.1</v>
      </c>
      <c r="M63" s="1">
        <f t="shared" si="16"/>
        <v>-15.399999999999991</v>
      </c>
      <c r="N63" s="1">
        <f t="shared" si="5"/>
        <v>69.7</v>
      </c>
      <c r="O63" s="1"/>
      <c r="P63" s="1">
        <v>23.41119999999999</v>
      </c>
      <c r="Q63" s="1">
        <v>27.587799999999991</v>
      </c>
      <c r="R63" s="1">
        <f t="shared" si="6"/>
        <v>13.940000000000001</v>
      </c>
      <c r="S63" s="5">
        <f>11*R63-Q63-P63-H63</f>
        <v>52.160000000000025</v>
      </c>
      <c r="T63" s="5"/>
      <c r="U63" s="1"/>
      <c r="V63" s="1">
        <f t="shared" si="8"/>
        <v>11</v>
      </c>
      <c r="W63" s="1">
        <f t="shared" si="9"/>
        <v>7.2582496413199404</v>
      </c>
      <c r="X63" s="1">
        <v>12.2704</v>
      </c>
      <c r="Y63" s="1">
        <v>13.053599999999999</v>
      </c>
      <c r="Z63" s="1">
        <v>12.4528</v>
      </c>
      <c r="AA63" s="1">
        <v>3.0316000000000001</v>
      </c>
      <c r="AB63" s="1">
        <v>4.1151999999999997</v>
      </c>
      <c r="AC63" s="1">
        <v>13.747400000000001</v>
      </c>
      <c r="AD63" s="1">
        <v>14.255800000000001</v>
      </c>
      <c r="AE63" s="1">
        <v>7.8226000000000004</v>
      </c>
      <c r="AF63" s="1">
        <v>7.1769999999999996</v>
      </c>
      <c r="AG63" s="1">
        <v>9.279399999999999</v>
      </c>
      <c r="AH63" s="1"/>
      <c r="AI63" s="1">
        <f t="shared" si="10"/>
        <v>52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4" t="s">
        <v>100</v>
      </c>
      <c r="B64" s="14" t="s">
        <v>41</v>
      </c>
      <c r="C64" s="14"/>
      <c r="D64" s="14"/>
      <c r="E64" s="14"/>
      <c r="F64" s="14"/>
      <c r="G64" s="14">
        <f>IFERROR(VLOOKUP(A64,[1]TDSheet!$A:$B,2,0),0)</f>
        <v>0</v>
      </c>
      <c r="H64" s="14">
        <f t="shared" si="4"/>
        <v>0</v>
      </c>
      <c r="I64" s="15">
        <v>0</v>
      </c>
      <c r="J64" s="14">
        <v>60</v>
      </c>
      <c r="K64" s="14" t="s">
        <v>37</v>
      </c>
      <c r="L64" s="14"/>
      <c r="M64" s="14">
        <f t="shared" si="16"/>
        <v>0</v>
      </c>
      <c r="N64" s="14">
        <f t="shared" si="5"/>
        <v>0</v>
      </c>
      <c r="O64" s="14"/>
      <c r="P64" s="14"/>
      <c r="Q64" s="14">
        <v>0</v>
      </c>
      <c r="R64" s="14">
        <f t="shared" si="6"/>
        <v>0</v>
      </c>
      <c r="S64" s="16"/>
      <c r="T64" s="16"/>
      <c r="U64" s="14"/>
      <c r="V64" s="14" t="e">
        <f t="shared" si="8"/>
        <v>#DIV/0!</v>
      </c>
      <c r="W64" s="14" t="e">
        <f t="shared" si="9"/>
        <v>#DIV/0!</v>
      </c>
      <c r="X64" s="14">
        <v>0</v>
      </c>
      <c r="Y64" s="14">
        <v>0</v>
      </c>
      <c r="Z64" s="14">
        <v>0</v>
      </c>
      <c r="AA64" s="14">
        <v>0.2</v>
      </c>
      <c r="AB64" s="14">
        <v>0.2</v>
      </c>
      <c r="AC64" s="14">
        <v>2.6</v>
      </c>
      <c r="AD64" s="14">
        <v>4.5999999999999996</v>
      </c>
      <c r="AE64" s="14">
        <v>11.4</v>
      </c>
      <c r="AF64" s="14">
        <v>15</v>
      </c>
      <c r="AG64" s="14">
        <v>5.6</v>
      </c>
      <c r="AH64" s="14" t="s">
        <v>42</v>
      </c>
      <c r="AI64" s="1">
        <f t="shared" si="10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4" t="s">
        <v>101</v>
      </c>
      <c r="B65" s="14" t="s">
        <v>41</v>
      </c>
      <c r="C65" s="14"/>
      <c r="D65" s="14"/>
      <c r="E65" s="14"/>
      <c r="F65" s="14"/>
      <c r="G65" s="14">
        <f>IFERROR(VLOOKUP(A65,[1]TDSheet!$A:$B,2,0),0)</f>
        <v>0</v>
      </c>
      <c r="H65" s="14">
        <f t="shared" si="4"/>
        <v>0</v>
      </c>
      <c r="I65" s="15">
        <v>0</v>
      </c>
      <c r="J65" s="14">
        <v>50</v>
      </c>
      <c r="K65" s="14" t="s">
        <v>37</v>
      </c>
      <c r="L65" s="14"/>
      <c r="M65" s="14">
        <f t="shared" si="16"/>
        <v>0</v>
      </c>
      <c r="N65" s="14">
        <f t="shared" si="5"/>
        <v>0</v>
      </c>
      <c r="O65" s="14"/>
      <c r="P65" s="14"/>
      <c r="Q65" s="14">
        <v>0</v>
      </c>
      <c r="R65" s="14">
        <f t="shared" si="6"/>
        <v>0</v>
      </c>
      <c r="S65" s="16"/>
      <c r="T65" s="16"/>
      <c r="U65" s="14"/>
      <c r="V65" s="14" t="e">
        <f t="shared" si="8"/>
        <v>#DIV/0!</v>
      </c>
      <c r="W65" s="14" t="e">
        <f t="shared" si="9"/>
        <v>#DIV/0!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 t="s">
        <v>42</v>
      </c>
      <c r="AI65" s="1">
        <f t="shared" si="10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4" t="s">
        <v>102</v>
      </c>
      <c r="B66" s="14" t="s">
        <v>41</v>
      </c>
      <c r="C66" s="14"/>
      <c r="D66" s="14"/>
      <c r="E66" s="14"/>
      <c r="F66" s="14"/>
      <c r="G66" s="14">
        <f>IFERROR(VLOOKUP(A66,[1]TDSheet!$A:$B,2,0),0)</f>
        <v>0</v>
      </c>
      <c r="H66" s="14">
        <f t="shared" si="4"/>
        <v>0</v>
      </c>
      <c r="I66" s="15">
        <v>0</v>
      </c>
      <c r="J66" s="14">
        <v>50</v>
      </c>
      <c r="K66" s="14" t="s">
        <v>37</v>
      </c>
      <c r="L66" s="14"/>
      <c r="M66" s="14">
        <f t="shared" si="16"/>
        <v>0</v>
      </c>
      <c r="N66" s="14">
        <f t="shared" si="5"/>
        <v>0</v>
      </c>
      <c r="O66" s="14"/>
      <c r="P66" s="14"/>
      <c r="Q66" s="14">
        <v>0</v>
      </c>
      <c r="R66" s="14">
        <f t="shared" si="6"/>
        <v>0</v>
      </c>
      <c r="S66" s="16"/>
      <c r="T66" s="16"/>
      <c r="U66" s="14"/>
      <c r="V66" s="14" t="e">
        <f t="shared" si="8"/>
        <v>#DIV/0!</v>
      </c>
      <c r="W66" s="14" t="e">
        <f t="shared" si="9"/>
        <v>#DIV/0!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 t="s">
        <v>42</v>
      </c>
      <c r="AI66" s="1">
        <f t="shared" si="10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4" t="s">
        <v>103</v>
      </c>
      <c r="B67" s="14" t="s">
        <v>41</v>
      </c>
      <c r="C67" s="14"/>
      <c r="D67" s="14"/>
      <c r="E67" s="14"/>
      <c r="F67" s="14"/>
      <c r="G67" s="14">
        <f>IFERROR(VLOOKUP(A67,[1]TDSheet!$A:$B,2,0),0)</f>
        <v>0</v>
      </c>
      <c r="H67" s="14">
        <f t="shared" si="4"/>
        <v>0</v>
      </c>
      <c r="I67" s="15">
        <v>0</v>
      </c>
      <c r="J67" s="14">
        <v>30</v>
      </c>
      <c r="K67" s="14" t="s">
        <v>37</v>
      </c>
      <c r="L67" s="14"/>
      <c r="M67" s="14">
        <f t="shared" si="16"/>
        <v>0</v>
      </c>
      <c r="N67" s="14">
        <f t="shared" si="5"/>
        <v>0</v>
      </c>
      <c r="O67" s="14"/>
      <c r="P67" s="14"/>
      <c r="Q67" s="14">
        <v>0</v>
      </c>
      <c r="R67" s="14">
        <f t="shared" si="6"/>
        <v>0</v>
      </c>
      <c r="S67" s="16"/>
      <c r="T67" s="16"/>
      <c r="U67" s="14"/>
      <c r="V67" s="14" t="e">
        <f t="shared" si="8"/>
        <v>#DIV/0!</v>
      </c>
      <c r="W67" s="14" t="e">
        <f t="shared" si="9"/>
        <v>#DIV/0!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 t="s">
        <v>42</v>
      </c>
      <c r="AI67" s="1">
        <f t="shared" si="10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4" t="s">
        <v>104</v>
      </c>
      <c r="B68" s="14" t="s">
        <v>41</v>
      </c>
      <c r="C68" s="14"/>
      <c r="D68" s="14"/>
      <c r="E68" s="14"/>
      <c r="F68" s="14"/>
      <c r="G68" s="14">
        <f>IFERROR(VLOOKUP(A68,[1]TDSheet!$A:$B,2,0),0)</f>
        <v>0</v>
      </c>
      <c r="H68" s="14">
        <f t="shared" si="4"/>
        <v>0</v>
      </c>
      <c r="I68" s="15">
        <v>0</v>
      </c>
      <c r="J68" s="14">
        <v>55</v>
      </c>
      <c r="K68" s="14" t="s">
        <v>37</v>
      </c>
      <c r="L68" s="14"/>
      <c r="M68" s="14">
        <f t="shared" si="16"/>
        <v>0</v>
      </c>
      <c r="N68" s="14">
        <f t="shared" si="5"/>
        <v>0</v>
      </c>
      <c r="O68" s="14"/>
      <c r="P68" s="14"/>
      <c r="Q68" s="14">
        <v>0</v>
      </c>
      <c r="R68" s="14">
        <f t="shared" si="6"/>
        <v>0</v>
      </c>
      <c r="S68" s="16"/>
      <c r="T68" s="16"/>
      <c r="U68" s="14"/>
      <c r="V68" s="14" t="e">
        <f t="shared" si="8"/>
        <v>#DIV/0!</v>
      </c>
      <c r="W68" s="14" t="e">
        <f t="shared" si="9"/>
        <v>#DIV/0!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 t="s">
        <v>42</v>
      </c>
      <c r="AI68" s="1">
        <f t="shared" si="10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4" t="s">
        <v>105</v>
      </c>
      <c r="B69" s="14" t="s">
        <v>41</v>
      </c>
      <c r="C69" s="14"/>
      <c r="D69" s="14"/>
      <c r="E69" s="14"/>
      <c r="F69" s="14"/>
      <c r="G69" s="14">
        <f>IFERROR(VLOOKUP(A69,[1]TDSheet!$A:$B,2,0),0)</f>
        <v>0</v>
      </c>
      <c r="H69" s="14">
        <f t="shared" si="4"/>
        <v>0</v>
      </c>
      <c r="I69" s="15">
        <v>0</v>
      </c>
      <c r="J69" s="14">
        <v>40</v>
      </c>
      <c r="K69" s="14" t="s">
        <v>37</v>
      </c>
      <c r="L69" s="14"/>
      <c r="M69" s="14">
        <f t="shared" si="16"/>
        <v>0</v>
      </c>
      <c r="N69" s="14">
        <f t="shared" si="5"/>
        <v>0</v>
      </c>
      <c r="O69" s="14"/>
      <c r="P69" s="14"/>
      <c r="Q69" s="14">
        <v>0</v>
      </c>
      <c r="R69" s="14">
        <f t="shared" si="6"/>
        <v>0</v>
      </c>
      <c r="S69" s="16"/>
      <c r="T69" s="16"/>
      <c r="U69" s="14"/>
      <c r="V69" s="14" t="e">
        <f t="shared" si="8"/>
        <v>#DIV/0!</v>
      </c>
      <c r="W69" s="14" t="e">
        <f t="shared" si="9"/>
        <v>#DIV/0!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 t="s">
        <v>42</v>
      </c>
      <c r="AI69" s="1">
        <f t="shared" si="10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106</v>
      </c>
      <c r="B70" s="1" t="s">
        <v>41</v>
      </c>
      <c r="C70" s="1">
        <v>68</v>
      </c>
      <c r="D70" s="1">
        <v>168</v>
      </c>
      <c r="E70" s="1">
        <v>114</v>
      </c>
      <c r="F70" s="1">
        <v>98</v>
      </c>
      <c r="G70" s="1">
        <f>IFERROR(VLOOKUP(A70,[1]TDSheet!$A:$B,2,0),0)</f>
        <v>0</v>
      </c>
      <c r="H70" s="1">
        <f t="shared" si="4"/>
        <v>98</v>
      </c>
      <c r="I70" s="7">
        <v>0.4</v>
      </c>
      <c r="J70" s="1">
        <v>50</v>
      </c>
      <c r="K70" s="1" t="s">
        <v>37</v>
      </c>
      <c r="L70" s="1">
        <v>116</v>
      </c>
      <c r="M70" s="1">
        <f t="shared" ref="M70:M97" si="20">E70-L70</f>
        <v>-2</v>
      </c>
      <c r="N70" s="1">
        <f t="shared" si="5"/>
        <v>114</v>
      </c>
      <c r="O70" s="1"/>
      <c r="P70" s="1">
        <v>59.499999999999972</v>
      </c>
      <c r="Q70" s="1">
        <v>79.500000000000028</v>
      </c>
      <c r="R70" s="1">
        <f t="shared" si="6"/>
        <v>22.8</v>
      </c>
      <c r="S70" s="5">
        <f t="shared" ref="S70:S76" si="21">11*R70-Q70-P70-H70</f>
        <v>13.800000000000011</v>
      </c>
      <c r="T70" s="5"/>
      <c r="U70" s="1"/>
      <c r="V70" s="1">
        <f t="shared" si="8"/>
        <v>11</v>
      </c>
      <c r="W70" s="1">
        <f t="shared" si="9"/>
        <v>10.394736842105264</v>
      </c>
      <c r="X70" s="1">
        <v>25</v>
      </c>
      <c r="Y70" s="1">
        <v>24.4</v>
      </c>
      <c r="Z70" s="1">
        <v>21.8</v>
      </c>
      <c r="AA70" s="1">
        <v>21.2</v>
      </c>
      <c r="AB70" s="1">
        <v>24.6</v>
      </c>
      <c r="AC70" s="1">
        <v>17.600000000000001</v>
      </c>
      <c r="AD70" s="1">
        <v>12</v>
      </c>
      <c r="AE70" s="1">
        <v>16.399999999999999</v>
      </c>
      <c r="AF70" s="1">
        <v>25.4</v>
      </c>
      <c r="AG70" s="1">
        <v>12.4</v>
      </c>
      <c r="AH70" s="1"/>
      <c r="AI70" s="1">
        <f t="shared" si="10"/>
        <v>6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7" t="s">
        <v>107</v>
      </c>
      <c r="B71" s="1" t="s">
        <v>41</v>
      </c>
      <c r="C71" s="1"/>
      <c r="D71" s="1"/>
      <c r="E71" s="1"/>
      <c r="F71" s="1"/>
      <c r="G71" s="1">
        <f>IFERROR(VLOOKUP(A71,[1]TDSheet!$A:$B,2,0),0)</f>
        <v>0</v>
      </c>
      <c r="H71" s="1">
        <f t="shared" ref="H71:H97" si="22">F71-G71</f>
        <v>0</v>
      </c>
      <c r="I71" s="7">
        <v>0.06</v>
      </c>
      <c r="J71" s="1">
        <v>60</v>
      </c>
      <c r="K71" s="1" t="s">
        <v>37</v>
      </c>
      <c r="L71" s="1"/>
      <c r="M71" s="1">
        <f t="shared" si="20"/>
        <v>0</v>
      </c>
      <c r="N71" s="1">
        <f t="shared" ref="N71:N97" si="23">E71-O71</f>
        <v>0</v>
      </c>
      <c r="O71" s="1"/>
      <c r="P71" s="1"/>
      <c r="Q71" s="17"/>
      <c r="R71" s="1">
        <f t="shared" ref="R71:R97" si="24">N71/5</f>
        <v>0</v>
      </c>
      <c r="S71" s="18">
        <v>10</v>
      </c>
      <c r="T71" s="5"/>
      <c r="U71" s="1"/>
      <c r="V71" s="1" t="e">
        <f t="shared" ref="V71:V97" si="25">(H71+P71+Q71+S71)/R71</f>
        <v>#DIV/0!</v>
      </c>
      <c r="W71" s="1" t="e">
        <f t="shared" ref="W71:W97" si="26">(H71+P71+Q71)/R71</f>
        <v>#DIV/0!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7" t="s">
        <v>108</v>
      </c>
      <c r="AI71" s="1">
        <f t="shared" ref="AI71:AI97" si="27">ROUND(I71*S71,0)</f>
        <v>1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109</v>
      </c>
      <c r="B72" s="1" t="s">
        <v>41</v>
      </c>
      <c r="C72" s="1">
        <v>135</v>
      </c>
      <c r="D72" s="1">
        <v>70</v>
      </c>
      <c r="E72" s="1">
        <v>120</v>
      </c>
      <c r="F72" s="1">
        <v>60</v>
      </c>
      <c r="G72" s="1">
        <f>IFERROR(VLOOKUP(A72,[1]TDSheet!$A:$B,2,0),0)</f>
        <v>0</v>
      </c>
      <c r="H72" s="1">
        <f t="shared" si="22"/>
        <v>60</v>
      </c>
      <c r="I72" s="7">
        <v>0.4</v>
      </c>
      <c r="J72" s="1">
        <v>55</v>
      </c>
      <c r="K72" s="1" t="s">
        <v>37</v>
      </c>
      <c r="L72" s="1">
        <v>131</v>
      </c>
      <c r="M72" s="1">
        <f t="shared" si="20"/>
        <v>-11</v>
      </c>
      <c r="N72" s="1">
        <f t="shared" si="23"/>
        <v>120</v>
      </c>
      <c r="O72" s="1"/>
      <c r="P72" s="1">
        <v>56.099999999999987</v>
      </c>
      <c r="Q72" s="1">
        <v>134.9</v>
      </c>
      <c r="R72" s="1">
        <f t="shared" si="24"/>
        <v>24</v>
      </c>
      <c r="S72" s="5">
        <f t="shared" si="21"/>
        <v>13</v>
      </c>
      <c r="T72" s="5"/>
      <c r="U72" s="1"/>
      <c r="V72" s="1">
        <f t="shared" si="25"/>
        <v>11</v>
      </c>
      <c r="W72" s="1">
        <f t="shared" si="26"/>
        <v>10.458333333333334</v>
      </c>
      <c r="X72" s="1">
        <v>26.4</v>
      </c>
      <c r="Y72" s="1">
        <v>20.2</v>
      </c>
      <c r="Z72" s="1">
        <v>18.2</v>
      </c>
      <c r="AA72" s="1">
        <v>19.600000000000001</v>
      </c>
      <c r="AB72" s="1">
        <v>22.6</v>
      </c>
      <c r="AC72" s="1">
        <v>13.2</v>
      </c>
      <c r="AD72" s="1">
        <v>13</v>
      </c>
      <c r="AE72" s="1">
        <v>28.8</v>
      </c>
      <c r="AF72" s="1">
        <v>23</v>
      </c>
      <c r="AG72" s="1">
        <v>0</v>
      </c>
      <c r="AH72" s="1"/>
      <c r="AI72" s="1">
        <f t="shared" si="27"/>
        <v>5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110</v>
      </c>
      <c r="B73" s="1" t="s">
        <v>36</v>
      </c>
      <c r="C73" s="1">
        <v>28.87</v>
      </c>
      <c r="D73" s="1"/>
      <c r="E73" s="1">
        <v>24.344000000000001</v>
      </c>
      <c r="F73" s="1">
        <v>0.20399999999999999</v>
      </c>
      <c r="G73" s="1">
        <f>IFERROR(VLOOKUP(A73,[1]TDSheet!$A:$B,2,0),0)</f>
        <v>0</v>
      </c>
      <c r="H73" s="1">
        <f t="shared" si="22"/>
        <v>0.20399999999999999</v>
      </c>
      <c r="I73" s="7">
        <v>1</v>
      </c>
      <c r="J73" s="1">
        <v>55</v>
      </c>
      <c r="K73" s="1" t="s">
        <v>37</v>
      </c>
      <c r="L73" s="1">
        <v>23.7</v>
      </c>
      <c r="M73" s="1">
        <f t="shared" si="20"/>
        <v>0.6440000000000019</v>
      </c>
      <c r="N73" s="1">
        <f t="shared" si="23"/>
        <v>24.344000000000001</v>
      </c>
      <c r="O73" s="1"/>
      <c r="P73" s="1">
        <v>4</v>
      </c>
      <c r="Q73" s="1">
        <v>27.223600000000001</v>
      </c>
      <c r="R73" s="1">
        <f t="shared" si="24"/>
        <v>4.8688000000000002</v>
      </c>
      <c r="S73" s="5">
        <f t="shared" si="21"/>
        <v>22.129200000000001</v>
      </c>
      <c r="T73" s="5"/>
      <c r="U73" s="1"/>
      <c r="V73" s="1">
        <f t="shared" si="25"/>
        <v>11</v>
      </c>
      <c r="W73" s="1">
        <f t="shared" si="26"/>
        <v>6.4548964837331582</v>
      </c>
      <c r="X73" s="1">
        <v>4.2923999999999998</v>
      </c>
      <c r="Y73" s="1">
        <v>2.4611999999999998</v>
      </c>
      <c r="Z73" s="1">
        <v>1.5968</v>
      </c>
      <c r="AA73" s="1">
        <v>1.4368000000000001</v>
      </c>
      <c r="AB73" s="1">
        <v>1.7216</v>
      </c>
      <c r="AC73" s="1">
        <v>0.85839999999999994</v>
      </c>
      <c r="AD73" s="1">
        <v>2.0084</v>
      </c>
      <c r="AE73" s="1">
        <v>3.6928000000000001</v>
      </c>
      <c r="AF73" s="1">
        <v>2.5455999999999999</v>
      </c>
      <c r="AG73" s="1">
        <v>2.5933999999999999</v>
      </c>
      <c r="AH73" s="1"/>
      <c r="AI73" s="1">
        <f t="shared" si="27"/>
        <v>22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111</v>
      </c>
      <c r="B74" s="1" t="s">
        <v>41</v>
      </c>
      <c r="C74" s="1">
        <v>1</v>
      </c>
      <c r="D74" s="1">
        <v>18</v>
      </c>
      <c r="E74" s="1">
        <v>-2</v>
      </c>
      <c r="F74" s="1">
        <v>11</v>
      </c>
      <c r="G74" s="1">
        <f>IFERROR(VLOOKUP(A74,[1]TDSheet!$A:$B,2,0),0)</f>
        <v>0</v>
      </c>
      <c r="H74" s="1">
        <f t="shared" si="22"/>
        <v>11</v>
      </c>
      <c r="I74" s="7">
        <v>0.2</v>
      </c>
      <c r="J74" s="1">
        <v>40</v>
      </c>
      <c r="K74" s="1" t="s">
        <v>37</v>
      </c>
      <c r="L74" s="1">
        <v>5</v>
      </c>
      <c r="M74" s="1">
        <f t="shared" si="20"/>
        <v>-7</v>
      </c>
      <c r="N74" s="1">
        <f t="shared" si="23"/>
        <v>-2</v>
      </c>
      <c r="O74" s="1"/>
      <c r="P74" s="1">
        <v>9.5999999999999979</v>
      </c>
      <c r="Q74" s="1">
        <v>0</v>
      </c>
      <c r="R74" s="1">
        <f t="shared" si="24"/>
        <v>-0.4</v>
      </c>
      <c r="S74" s="5"/>
      <c r="T74" s="5"/>
      <c r="U74" s="1"/>
      <c r="V74" s="1">
        <f t="shared" si="25"/>
        <v>-51.499999999999993</v>
      </c>
      <c r="W74" s="1">
        <f t="shared" si="26"/>
        <v>-51.499999999999993</v>
      </c>
      <c r="X74" s="1">
        <v>0</v>
      </c>
      <c r="Y74" s="1">
        <v>2.4</v>
      </c>
      <c r="Z74" s="1">
        <v>2.4</v>
      </c>
      <c r="AA74" s="1">
        <v>0</v>
      </c>
      <c r="AB74" s="1">
        <v>1.2</v>
      </c>
      <c r="AC74" s="1">
        <v>1.4</v>
      </c>
      <c r="AD74" s="1">
        <v>0.4</v>
      </c>
      <c r="AE74" s="1">
        <v>0.8</v>
      </c>
      <c r="AF74" s="1">
        <v>-0.6</v>
      </c>
      <c r="AG74" s="1">
        <v>-2</v>
      </c>
      <c r="AH74" s="1"/>
      <c r="AI74" s="1">
        <f t="shared" si="27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112</v>
      </c>
      <c r="B75" s="1" t="s">
        <v>41</v>
      </c>
      <c r="C75" s="1">
        <v>64</v>
      </c>
      <c r="D75" s="1"/>
      <c r="E75" s="1">
        <v>20</v>
      </c>
      <c r="F75" s="1">
        <v>15</v>
      </c>
      <c r="G75" s="1">
        <f>IFERROR(VLOOKUP(A75,[1]TDSheet!$A:$B,2,0),0)</f>
        <v>0</v>
      </c>
      <c r="H75" s="1">
        <f t="shared" si="22"/>
        <v>15</v>
      </c>
      <c r="I75" s="7">
        <v>0.2</v>
      </c>
      <c r="J75" s="1">
        <v>35</v>
      </c>
      <c r="K75" s="1" t="s">
        <v>37</v>
      </c>
      <c r="L75" s="1">
        <v>47</v>
      </c>
      <c r="M75" s="1">
        <f t="shared" si="20"/>
        <v>-27</v>
      </c>
      <c r="N75" s="1">
        <f t="shared" si="23"/>
        <v>20</v>
      </c>
      <c r="O75" s="1"/>
      <c r="P75" s="1">
        <v>33.599999999999987</v>
      </c>
      <c r="Q75" s="1">
        <v>0</v>
      </c>
      <c r="R75" s="1">
        <f t="shared" si="24"/>
        <v>4</v>
      </c>
      <c r="S75" s="5"/>
      <c r="T75" s="5"/>
      <c r="U75" s="1"/>
      <c r="V75" s="1">
        <f t="shared" si="25"/>
        <v>12.149999999999997</v>
      </c>
      <c r="W75" s="1">
        <f t="shared" si="26"/>
        <v>12.149999999999997</v>
      </c>
      <c r="X75" s="1">
        <v>5.6</v>
      </c>
      <c r="Y75" s="1">
        <v>7.6</v>
      </c>
      <c r="Z75" s="1">
        <v>4.8</v>
      </c>
      <c r="AA75" s="1">
        <v>6.6</v>
      </c>
      <c r="AB75" s="1">
        <v>7.8</v>
      </c>
      <c r="AC75" s="1">
        <v>5.6</v>
      </c>
      <c r="AD75" s="1">
        <v>8.1999999999999993</v>
      </c>
      <c r="AE75" s="1">
        <v>13.2</v>
      </c>
      <c r="AF75" s="1">
        <v>9.4</v>
      </c>
      <c r="AG75" s="1">
        <v>-0.6</v>
      </c>
      <c r="AH75" s="1"/>
      <c r="AI75" s="1">
        <f t="shared" si="27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113</v>
      </c>
      <c r="B76" s="1" t="s">
        <v>36</v>
      </c>
      <c r="C76" s="1">
        <v>110.16200000000001</v>
      </c>
      <c r="D76" s="1">
        <v>204.69</v>
      </c>
      <c r="E76" s="1">
        <v>129.42400000000001</v>
      </c>
      <c r="F76" s="1">
        <v>162.542</v>
      </c>
      <c r="G76" s="1">
        <f>IFERROR(VLOOKUP(A76,[1]TDSheet!$A:$B,2,0),0)</f>
        <v>0</v>
      </c>
      <c r="H76" s="1">
        <f t="shared" si="22"/>
        <v>162.542</v>
      </c>
      <c r="I76" s="7">
        <v>1</v>
      </c>
      <c r="J76" s="1">
        <v>60</v>
      </c>
      <c r="K76" s="1" t="s">
        <v>37</v>
      </c>
      <c r="L76" s="1">
        <v>127.19</v>
      </c>
      <c r="M76" s="1">
        <f t="shared" si="20"/>
        <v>2.2340000000000089</v>
      </c>
      <c r="N76" s="1">
        <f t="shared" si="23"/>
        <v>129.42400000000001</v>
      </c>
      <c r="O76" s="1"/>
      <c r="P76" s="1"/>
      <c r="Q76" s="1">
        <v>82.765999999999991</v>
      </c>
      <c r="R76" s="1">
        <f t="shared" si="24"/>
        <v>25.884800000000002</v>
      </c>
      <c r="S76" s="5">
        <f t="shared" si="21"/>
        <v>39.424800000000005</v>
      </c>
      <c r="T76" s="5"/>
      <c r="U76" s="1"/>
      <c r="V76" s="1">
        <f t="shared" si="25"/>
        <v>10.999999999999998</v>
      </c>
      <c r="W76" s="1">
        <f t="shared" si="26"/>
        <v>9.4769130918531328</v>
      </c>
      <c r="X76" s="1">
        <v>26.3948</v>
      </c>
      <c r="Y76" s="1">
        <v>19.678000000000001</v>
      </c>
      <c r="Z76" s="1">
        <v>20.38</v>
      </c>
      <c r="AA76" s="1">
        <v>22.0044</v>
      </c>
      <c r="AB76" s="1">
        <v>20.813600000000001</v>
      </c>
      <c r="AC76" s="1">
        <v>16.369599999999998</v>
      </c>
      <c r="AD76" s="1">
        <v>16.526800000000001</v>
      </c>
      <c r="AE76" s="1">
        <v>22.016200000000001</v>
      </c>
      <c r="AF76" s="1">
        <v>25.950199999999999</v>
      </c>
      <c r="AG76" s="1">
        <v>24.677399999999999</v>
      </c>
      <c r="AH76" s="1" t="s">
        <v>55</v>
      </c>
      <c r="AI76" s="1">
        <f t="shared" si="27"/>
        <v>39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114</v>
      </c>
      <c r="B77" s="1" t="s">
        <v>36</v>
      </c>
      <c r="C77" s="1">
        <v>1249.4380000000001</v>
      </c>
      <c r="D77" s="1">
        <v>418.65499999999997</v>
      </c>
      <c r="E77" s="1">
        <v>698.74</v>
      </c>
      <c r="F77" s="1">
        <v>872.81799999999998</v>
      </c>
      <c r="G77" s="1">
        <f>IFERROR(VLOOKUP(A77,[1]TDSheet!$A:$B,2,0),0)</f>
        <v>0</v>
      </c>
      <c r="H77" s="1">
        <f t="shared" si="22"/>
        <v>872.81799999999998</v>
      </c>
      <c r="I77" s="7">
        <v>1</v>
      </c>
      <c r="J77" s="1">
        <v>60</v>
      </c>
      <c r="K77" s="1" t="s">
        <v>37</v>
      </c>
      <c r="L77" s="1">
        <v>704.5</v>
      </c>
      <c r="M77" s="1">
        <f t="shared" si="20"/>
        <v>-5.7599999999999909</v>
      </c>
      <c r="N77" s="1">
        <f t="shared" si="23"/>
        <v>698.74</v>
      </c>
      <c r="O77" s="1"/>
      <c r="P77" s="1"/>
      <c r="Q77" s="1">
        <v>500</v>
      </c>
      <c r="R77" s="1">
        <f t="shared" si="24"/>
        <v>139.74799999999999</v>
      </c>
      <c r="S77" s="5">
        <f t="shared" ref="S77:S79" si="28">11.7*R77-Q77-P77-H77</f>
        <v>262.2335999999998</v>
      </c>
      <c r="T77" s="5"/>
      <c r="U77" s="1"/>
      <c r="V77" s="1">
        <f t="shared" si="25"/>
        <v>11.7</v>
      </c>
      <c r="W77" s="1">
        <f t="shared" si="26"/>
        <v>9.8235252025073709</v>
      </c>
      <c r="X77" s="1">
        <v>132.58260000000001</v>
      </c>
      <c r="Y77" s="1">
        <v>109.7308</v>
      </c>
      <c r="Z77" s="1">
        <v>130.8528</v>
      </c>
      <c r="AA77" s="1">
        <v>142.36859999999999</v>
      </c>
      <c r="AB77" s="1">
        <v>135.04740000000001</v>
      </c>
      <c r="AC77" s="1">
        <v>85.824600000000004</v>
      </c>
      <c r="AD77" s="1">
        <v>97.194799999999987</v>
      </c>
      <c r="AE77" s="1">
        <v>135.3152</v>
      </c>
      <c r="AF77" s="1">
        <v>123.42959999999999</v>
      </c>
      <c r="AG77" s="1">
        <v>89.405600000000007</v>
      </c>
      <c r="AH77" s="1" t="s">
        <v>55</v>
      </c>
      <c r="AI77" s="1">
        <f t="shared" si="27"/>
        <v>262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115</v>
      </c>
      <c r="B78" s="1" t="s">
        <v>36</v>
      </c>
      <c r="C78" s="1">
        <v>841.61199999999997</v>
      </c>
      <c r="D78" s="1">
        <v>2441.7130000000002</v>
      </c>
      <c r="E78" s="1">
        <v>1127.7460000000001</v>
      </c>
      <c r="F78" s="1">
        <v>1999.4590000000001</v>
      </c>
      <c r="G78" s="1">
        <f>IFERROR(VLOOKUP(A78,[1]TDSheet!$A:$B,2,0),0)</f>
        <v>1008.7089999999999</v>
      </c>
      <c r="H78" s="1">
        <f t="shared" si="22"/>
        <v>990.75000000000011</v>
      </c>
      <c r="I78" s="7">
        <v>1</v>
      </c>
      <c r="J78" s="1">
        <v>60</v>
      </c>
      <c r="K78" s="1" t="s">
        <v>37</v>
      </c>
      <c r="L78" s="1">
        <v>1142.7</v>
      </c>
      <c r="M78" s="1">
        <f t="shared" si="20"/>
        <v>-14.953999999999951</v>
      </c>
      <c r="N78" s="1">
        <f t="shared" si="23"/>
        <v>1127.7460000000001</v>
      </c>
      <c r="O78" s="1"/>
      <c r="P78" s="1"/>
      <c r="Q78" s="1">
        <v>682.70700000000011</v>
      </c>
      <c r="R78" s="1">
        <f t="shared" si="24"/>
        <v>225.54920000000001</v>
      </c>
      <c r="S78" s="5">
        <f t="shared" si="28"/>
        <v>965.46863999999971</v>
      </c>
      <c r="T78" s="5"/>
      <c r="U78" s="1"/>
      <c r="V78" s="1">
        <f t="shared" si="25"/>
        <v>11.7</v>
      </c>
      <c r="W78" s="1">
        <f t="shared" si="26"/>
        <v>7.4194765487973369</v>
      </c>
      <c r="X78" s="1">
        <v>196.98820000000001</v>
      </c>
      <c r="Y78" s="1">
        <v>165.34299999999999</v>
      </c>
      <c r="Z78" s="1">
        <v>175.4006</v>
      </c>
      <c r="AA78" s="1">
        <v>176.75800000000001</v>
      </c>
      <c r="AB78" s="1">
        <v>152.20660000000001</v>
      </c>
      <c r="AC78" s="1">
        <v>66.561400000000049</v>
      </c>
      <c r="AD78" s="1">
        <v>81.697999999999951</v>
      </c>
      <c r="AE78" s="1">
        <v>136.50839999999999</v>
      </c>
      <c r="AF78" s="1">
        <v>96.748000000000005</v>
      </c>
      <c r="AG78" s="1">
        <v>94.686999999999983</v>
      </c>
      <c r="AH78" s="1" t="s">
        <v>55</v>
      </c>
      <c r="AI78" s="1">
        <f t="shared" si="27"/>
        <v>965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116</v>
      </c>
      <c r="B79" s="1" t="s">
        <v>36</v>
      </c>
      <c r="C79" s="1">
        <v>574.76599999999996</v>
      </c>
      <c r="D79" s="1">
        <v>2606.3910000000001</v>
      </c>
      <c r="E79" s="1">
        <v>1045.3869999999999</v>
      </c>
      <c r="F79" s="1">
        <v>1982.91</v>
      </c>
      <c r="G79" s="1">
        <f>IFERROR(VLOOKUP(A79,[1]TDSheet!$A:$B,2,0),0)</f>
        <v>1502.5329999999999</v>
      </c>
      <c r="H79" s="1">
        <f t="shared" si="22"/>
        <v>480.37700000000018</v>
      </c>
      <c r="I79" s="7">
        <v>1</v>
      </c>
      <c r="J79" s="1">
        <v>60</v>
      </c>
      <c r="K79" s="1" t="s">
        <v>37</v>
      </c>
      <c r="L79" s="1">
        <v>1043.5</v>
      </c>
      <c r="M79" s="1">
        <f t="shared" si="20"/>
        <v>1.8869999999999436</v>
      </c>
      <c r="N79" s="1">
        <f t="shared" si="23"/>
        <v>1045.3869999999999</v>
      </c>
      <c r="O79" s="1"/>
      <c r="P79" s="1"/>
      <c r="Q79" s="1">
        <v>1010.504</v>
      </c>
      <c r="R79" s="1">
        <f t="shared" si="24"/>
        <v>209.07739999999998</v>
      </c>
      <c r="S79" s="5">
        <f t="shared" si="28"/>
        <v>955.32457999999974</v>
      </c>
      <c r="T79" s="5"/>
      <c r="U79" s="1"/>
      <c r="V79" s="1">
        <f t="shared" si="25"/>
        <v>11.7</v>
      </c>
      <c r="W79" s="1">
        <f t="shared" si="26"/>
        <v>7.1307611439591287</v>
      </c>
      <c r="X79" s="1">
        <v>179.10059999999999</v>
      </c>
      <c r="Y79" s="1">
        <v>130.999</v>
      </c>
      <c r="Z79" s="1">
        <v>138.583</v>
      </c>
      <c r="AA79" s="1">
        <v>181.70840000000001</v>
      </c>
      <c r="AB79" s="1">
        <v>218.50319999999999</v>
      </c>
      <c r="AC79" s="1">
        <v>215.1208</v>
      </c>
      <c r="AD79" s="1">
        <v>188.14119999999991</v>
      </c>
      <c r="AE79" s="1">
        <v>222.36240000000001</v>
      </c>
      <c r="AF79" s="1">
        <v>251.6046</v>
      </c>
      <c r="AG79" s="1">
        <v>228.87440000000001</v>
      </c>
      <c r="AH79" s="1"/>
      <c r="AI79" s="1">
        <f t="shared" si="27"/>
        <v>955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117</v>
      </c>
      <c r="B80" s="1" t="s">
        <v>36</v>
      </c>
      <c r="C80" s="1">
        <v>48.96</v>
      </c>
      <c r="D80" s="1"/>
      <c r="E80" s="1">
        <v>10.673999999999999</v>
      </c>
      <c r="F80" s="1">
        <v>36.932000000000002</v>
      </c>
      <c r="G80" s="1">
        <f>IFERROR(VLOOKUP(A80,[1]TDSheet!$A:$B,2,0),0)</f>
        <v>0</v>
      </c>
      <c r="H80" s="1">
        <f t="shared" si="22"/>
        <v>36.932000000000002</v>
      </c>
      <c r="I80" s="7">
        <v>1</v>
      </c>
      <c r="J80" s="1">
        <v>55</v>
      </c>
      <c r="K80" s="1" t="s">
        <v>37</v>
      </c>
      <c r="L80" s="1">
        <v>12.5</v>
      </c>
      <c r="M80" s="1">
        <f t="shared" si="20"/>
        <v>-1.8260000000000005</v>
      </c>
      <c r="N80" s="1">
        <f t="shared" si="23"/>
        <v>10.673999999999999</v>
      </c>
      <c r="O80" s="1"/>
      <c r="P80" s="1"/>
      <c r="Q80" s="1">
        <v>0</v>
      </c>
      <c r="R80" s="1">
        <f t="shared" si="24"/>
        <v>2.1347999999999998</v>
      </c>
      <c r="S80" s="5"/>
      <c r="T80" s="5"/>
      <c r="U80" s="1"/>
      <c r="V80" s="1">
        <f t="shared" si="25"/>
        <v>17.299981262881772</v>
      </c>
      <c r="W80" s="1">
        <f t="shared" si="26"/>
        <v>17.299981262881772</v>
      </c>
      <c r="X80" s="1">
        <v>0.8044</v>
      </c>
      <c r="Y80" s="1">
        <v>0.80800000000000005</v>
      </c>
      <c r="Z80" s="1">
        <v>0.80800000000000005</v>
      </c>
      <c r="AA80" s="1">
        <v>-9.7000000000000003E-2</v>
      </c>
      <c r="AB80" s="1">
        <v>0.97739999999999994</v>
      </c>
      <c r="AC80" s="1">
        <v>5.0944000000000003</v>
      </c>
      <c r="AD80" s="1">
        <v>0</v>
      </c>
      <c r="AE80" s="1">
        <v>1.0851999999999999</v>
      </c>
      <c r="AF80" s="1">
        <v>2.6991999999999998</v>
      </c>
      <c r="AG80" s="1">
        <v>2.694</v>
      </c>
      <c r="AH80" s="20" t="s">
        <v>118</v>
      </c>
      <c r="AI80" s="1">
        <f t="shared" si="27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119</v>
      </c>
      <c r="B81" s="1" t="s">
        <v>36</v>
      </c>
      <c r="C81" s="1">
        <v>10.715999999999999</v>
      </c>
      <c r="D81" s="1"/>
      <c r="E81" s="1">
        <v>8.0540000000000003</v>
      </c>
      <c r="F81" s="1">
        <v>2.6619999999999999</v>
      </c>
      <c r="G81" s="1">
        <f>IFERROR(VLOOKUP(A81,[1]TDSheet!$A:$B,2,0),0)</f>
        <v>0</v>
      </c>
      <c r="H81" s="1">
        <f t="shared" si="22"/>
        <v>2.6619999999999999</v>
      </c>
      <c r="I81" s="7">
        <v>1</v>
      </c>
      <c r="J81" s="1">
        <v>55</v>
      </c>
      <c r="K81" s="1" t="s">
        <v>37</v>
      </c>
      <c r="L81" s="1">
        <v>12.7</v>
      </c>
      <c r="M81" s="1">
        <f t="shared" si="20"/>
        <v>-4.645999999999999</v>
      </c>
      <c r="N81" s="1">
        <f t="shared" si="23"/>
        <v>8.0540000000000003</v>
      </c>
      <c r="O81" s="1"/>
      <c r="P81" s="1"/>
      <c r="Q81" s="1">
        <v>0</v>
      </c>
      <c r="R81" s="1">
        <f t="shared" si="24"/>
        <v>1.6108</v>
      </c>
      <c r="S81" s="5">
        <f>9*R81-Q81-P81-H81</f>
        <v>11.8352</v>
      </c>
      <c r="T81" s="5"/>
      <c r="U81" s="1"/>
      <c r="V81" s="1">
        <f t="shared" si="25"/>
        <v>9</v>
      </c>
      <c r="W81" s="1">
        <f t="shared" si="26"/>
        <v>1.652594983858952</v>
      </c>
      <c r="X81" s="1">
        <v>0.53780000000000006</v>
      </c>
      <c r="Y81" s="1">
        <v>0.26939999999999997</v>
      </c>
      <c r="Z81" s="1">
        <v>0.53680000000000005</v>
      </c>
      <c r="AA81" s="1">
        <v>0.53639999999999999</v>
      </c>
      <c r="AB81" s="1">
        <v>1.6128</v>
      </c>
      <c r="AC81" s="1">
        <v>1.3444</v>
      </c>
      <c r="AD81" s="1">
        <v>0.26800000000000002</v>
      </c>
      <c r="AE81" s="1">
        <v>0.53600000000000003</v>
      </c>
      <c r="AF81" s="1">
        <v>0.80679999999999996</v>
      </c>
      <c r="AG81" s="1">
        <v>0.80679999999999996</v>
      </c>
      <c r="AH81" s="1"/>
      <c r="AI81" s="1">
        <f t="shared" si="27"/>
        <v>12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120</v>
      </c>
      <c r="B82" s="1" t="s">
        <v>36</v>
      </c>
      <c r="C82" s="1">
        <v>4.13</v>
      </c>
      <c r="D82" s="1"/>
      <c r="E82" s="1">
        <v>2.722</v>
      </c>
      <c r="F82" s="1">
        <v>1.4079999999999999</v>
      </c>
      <c r="G82" s="1">
        <f>IFERROR(VLOOKUP(A82,[1]TDSheet!$A:$B,2,0),0)</f>
        <v>0</v>
      </c>
      <c r="H82" s="1">
        <f t="shared" si="22"/>
        <v>1.4079999999999999</v>
      </c>
      <c r="I82" s="7">
        <v>1</v>
      </c>
      <c r="J82" s="1">
        <v>55</v>
      </c>
      <c r="K82" s="1" t="s">
        <v>37</v>
      </c>
      <c r="L82" s="1">
        <v>2.6</v>
      </c>
      <c r="M82" s="1">
        <f t="shared" si="20"/>
        <v>0.12199999999999989</v>
      </c>
      <c r="N82" s="1">
        <f t="shared" si="23"/>
        <v>2.722</v>
      </c>
      <c r="O82" s="1"/>
      <c r="P82" s="1"/>
      <c r="Q82" s="1">
        <v>4</v>
      </c>
      <c r="R82" s="1">
        <f t="shared" si="24"/>
        <v>0.5444</v>
      </c>
      <c r="S82" s="5"/>
      <c r="T82" s="5"/>
      <c r="U82" s="1"/>
      <c r="V82" s="1">
        <f t="shared" si="25"/>
        <v>9.9338721528288012</v>
      </c>
      <c r="W82" s="1">
        <f t="shared" si="26"/>
        <v>9.9338721528288012</v>
      </c>
      <c r="X82" s="1">
        <v>0.5444</v>
      </c>
      <c r="Y82" s="1">
        <v>0.27400000000000002</v>
      </c>
      <c r="Z82" s="1">
        <v>0.27400000000000002</v>
      </c>
      <c r="AA82" s="1">
        <v>0.26479999999999998</v>
      </c>
      <c r="AB82" s="1">
        <v>0.26479999999999998</v>
      </c>
      <c r="AC82" s="1">
        <v>0.27760000000000001</v>
      </c>
      <c r="AD82" s="1">
        <v>0.54400000000000004</v>
      </c>
      <c r="AE82" s="1">
        <v>0.26640000000000003</v>
      </c>
      <c r="AF82" s="1">
        <v>0</v>
      </c>
      <c r="AG82" s="1">
        <v>0.80920000000000003</v>
      </c>
      <c r="AH82" s="1"/>
      <c r="AI82" s="1">
        <f t="shared" si="27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4" t="s">
        <v>121</v>
      </c>
      <c r="B83" s="14" t="s">
        <v>36</v>
      </c>
      <c r="C83" s="14"/>
      <c r="D83" s="14"/>
      <c r="E83" s="14"/>
      <c r="F83" s="14"/>
      <c r="G83" s="14">
        <f>IFERROR(VLOOKUP(A83,[1]TDSheet!$A:$B,2,0),0)</f>
        <v>0</v>
      </c>
      <c r="H83" s="14">
        <f t="shared" si="22"/>
        <v>0</v>
      </c>
      <c r="I83" s="15">
        <v>0</v>
      </c>
      <c r="J83" s="14">
        <v>60</v>
      </c>
      <c r="K83" s="14" t="s">
        <v>37</v>
      </c>
      <c r="L83" s="14"/>
      <c r="M83" s="14">
        <f t="shared" si="20"/>
        <v>0</v>
      </c>
      <c r="N83" s="14">
        <f t="shared" si="23"/>
        <v>0</v>
      </c>
      <c r="O83" s="14"/>
      <c r="P83" s="14"/>
      <c r="Q83" s="14">
        <v>0</v>
      </c>
      <c r="R83" s="14">
        <f t="shared" si="24"/>
        <v>0</v>
      </c>
      <c r="S83" s="16"/>
      <c r="T83" s="16"/>
      <c r="U83" s="14"/>
      <c r="V83" s="14" t="e">
        <f t="shared" si="25"/>
        <v>#DIV/0!</v>
      </c>
      <c r="W83" s="14" t="e">
        <f t="shared" si="26"/>
        <v>#DIV/0!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 t="s">
        <v>42</v>
      </c>
      <c r="AI83" s="1">
        <f t="shared" si="27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122</v>
      </c>
      <c r="B84" s="1" t="s">
        <v>41</v>
      </c>
      <c r="C84" s="1">
        <v>92</v>
      </c>
      <c r="D84" s="1">
        <v>24</v>
      </c>
      <c r="E84" s="1">
        <v>70</v>
      </c>
      <c r="F84" s="1">
        <v>10</v>
      </c>
      <c r="G84" s="1">
        <f>IFERROR(VLOOKUP(A84,[1]TDSheet!$A:$B,2,0),0)</f>
        <v>0</v>
      </c>
      <c r="H84" s="1">
        <f t="shared" si="22"/>
        <v>10</v>
      </c>
      <c r="I84" s="7">
        <v>0.3</v>
      </c>
      <c r="J84" s="1">
        <v>40</v>
      </c>
      <c r="K84" s="1" t="s">
        <v>37</v>
      </c>
      <c r="L84" s="1">
        <v>94</v>
      </c>
      <c r="M84" s="1">
        <f t="shared" si="20"/>
        <v>-24</v>
      </c>
      <c r="N84" s="1">
        <f t="shared" si="23"/>
        <v>70</v>
      </c>
      <c r="O84" s="1"/>
      <c r="P84" s="1">
        <v>36.800000000000011</v>
      </c>
      <c r="Q84" s="1">
        <v>79.199999999999989</v>
      </c>
      <c r="R84" s="1">
        <f t="shared" si="24"/>
        <v>14</v>
      </c>
      <c r="S84" s="5">
        <f t="shared" ref="S84:S87" si="29">11*R84-Q84-P84-H84</f>
        <v>28</v>
      </c>
      <c r="T84" s="5"/>
      <c r="U84" s="1"/>
      <c r="V84" s="1">
        <f t="shared" si="25"/>
        <v>11</v>
      </c>
      <c r="W84" s="1">
        <f t="shared" si="26"/>
        <v>9</v>
      </c>
      <c r="X84" s="1">
        <v>14.4</v>
      </c>
      <c r="Y84" s="1">
        <v>12.4</v>
      </c>
      <c r="Z84" s="1">
        <v>10.199999999999999</v>
      </c>
      <c r="AA84" s="1">
        <v>13.6</v>
      </c>
      <c r="AB84" s="1">
        <v>13.4</v>
      </c>
      <c r="AC84" s="1">
        <v>2.8</v>
      </c>
      <c r="AD84" s="1">
        <v>2.8</v>
      </c>
      <c r="AE84" s="1">
        <v>17.2</v>
      </c>
      <c r="AF84" s="1">
        <v>19.2</v>
      </c>
      <c r="AG84" s="1">
        <v>5.2</v>
      </c>
      <c r="AH84" s="1"/>
      <c r="AI84" s="1">
        <f t="shared" si="27"/>
        <v>8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123</v>
      </c>
      <c r="B85" s="1" t="s">
        <v>41</v>
      </c>
      <c r="C85" s="1">
        <v>29</v>
      </c>
      <c r="D85" s="1">
        <v>120</v>
      </c>
      <c r="E85" s="1">
        <v>41</v>
      </c>
      <c r="F85" s="1">
        <v>83</v>
      </c>
      <c r="G85" s="1">
        <f>IFERROR(VLOOKUP(A85,[1]TDSheet!$A:$B,2,0),0)</f>
        <v>0</v>
      </c>
      <c r="H85" s="1">
        <f t="shared" si="22"/>
        <v>83</v>
      </c>
      <c r="I85" s="7">
        <v>0.3</v>
      </c>
      <c r="J85" s="1">
        <v>40</v>
      </c>
      <c r="K85" s="1" t="s">
        <v>37</v>
      </c>
      <c r="L85" s="1">
        <v>96</v>
      </c>
      <c r="M85" s="1">
        <f t="shared" si="20"/>
        <v>-55</v>
      </c>
      <c r="N85" s="1">
        <f t="shared" si="23"/>
        <v>41</v>
      </c>
      <c r="O85" s="1"/>
      <c r="P85" s="1"/>
      <c r="Q85" s="1">
        <v>0</v>
      </c>
      <c r="R85" s="1">
        <f t="shared" si="24"/>
        <v>8.1999999999999993</v>
      </c>
      <c r="S85" s="5">
        <f t="shared" si="29"/>
        <v>7.1999999999999886</v>
      </c>
      <c r="T85" s="5"/>
      <c r="U85" s="1"/>
      <c r="V85" s="1">
        <f t="shared" si="25"/>
        <v>11</v>
      </c>
      <c r="W85" s="1">
        <f t="shared" si="26"/>
        <v>10.121951219512196</v>
      </c>
      <c r="X85" s="1">
        <v>7.6</v>
      </c>
      <c r="Y85" s="1">
        <v>11.8</v>
      </c>
      <c r="Z85" s="1">
        <v>13.6</v>
      </c>
      <c r="AA85" s="1">
        <v>10.199999999999999</v>
      </c>
      <c r="AB85" s="1">
        <v>9.1999999999999993</v>
      </c>
      <c r="AC85" s="1">
        <v>3.6</v>
      </c>
      <c r="AD85" s="1">
        <v>3.8</v>
      </c>
      <c r="AE85" s="1">
        <v>6.4</v>
      </c>
      <c r="AF85" s="1">
        <v>12.2</v>
      </c>
      <c r="AG85" s="1">
        <v>9.4</v>
      </c>
      <c r="AH85" s="1"/>
      <c r="AI85" s="1">
        <f t="shared" si="27"/>
        <v>2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124</v>
      </c>
      <c r="B86" s="1" t="s">
        <v>41</v>
      </c>
      <c r="C86" s="1">
        <v>57</v>
      </c>
      <c r="D86" s="1">
        <v>12</v>
      </c>
      <c r="E86" s="1">
        <v>44</v>
      </c>
      <c r="F86" s="1">
        <v>4</v>
      </c>
      <c r="G86" s="1">
        <f>IFERROR(VLOOKUP(A86,[1]TDSheet!$A:$B,2,0),0)</f>
        <v>0</v>
      </c>
      <c r="H86" s="1">
        <f t="shared" si="22"/>
        <v>4</v>
      </c>
      <c r="I86" s="7">
        <v>0.3</v>
      </c>
      <c r="J86" s="1">
        <v>40</v>
      </c>
      <c r="K86" s="1" t="s">
        <v>37</v>
      </c>
      <c r="L86" s="1">
        <v>65</v>
      </c>
      <c r="M86" s="1">
        <f t="shared" si="20"/>
        <v>-21</v>
      </c>
      <c r="N86" s="1">
        <f t="shared" si="23"/>
        <v>44</v>
      </c>
      <c r="O86" s="1"/>
      <c r="P86" s="1">
        <v>44.3</v>
      </c>
      <c r="Q86" s="1">
        <v>41.7</v>
      </c>
      <c r="R86" s="1">
        <f t="shared" si="24"/>
        <v>8.8000000000000007</v>
      </c>
      <c r="S86" s="5">
        <f t="shared" si="29"/>
        <v>6.8000000000000114</v>
      </c>
      <c r="T86" s="5"/>
      <c r="U86" s="1"/>
      <c r="V86" s="1">
        <f t="shared" si="25"/>
        <v>11</v>
      </c>
      <c r="W86" s="1">
        <f t="shared" si="26"/>
        <v>10.227272727272727</v>
      </c>
      <c r="X86" s="1">
        <v>10.199999999999999</v>
      </c>
      <c r="Y86" s="1">
        <v>8.4</v>
      </c>
      <c r="Z86" s="1">
        <v>6.2</v>
      </c>
      <c r="AA86" s="1">
        <v>7.4</v>
      </c>
      <c r="AB86" s="1">
        <v>8.6</v>
      </c>
      <c r="AC86" s="1">
        <v>6.4</v>
      </c>
      <c r="AD86" s="1">
        <v>5.4</v>
      </c>
      <c r="AE86" s="1">
        <v>3.4</v>
      </c>
      <c r="AF86" s="1">
        <v>4.8</v>
      </c>
      <c r="AG86" s="1">
        <v>9.1999999999999993</v>
      </c>
      <c r="AH86" s="1"/>
      <c r="AI86" s="1">
        <f t="shared" si="27"/>
        <v>2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125</v>
      </c>
      <c r="B87" s="1" t="s">
        <v>36</v>
      </c>
      <c r="C87" s="1"/>
      <c r="D87" s="1">
        <v>22.065000000000001</v>
      </c>
      <c r="E87" s="1">
        <v>15.228</v>
      </c>
      <c r="F87" s="1">
        <v>6.8369999999999997</v>
      </c>
      <c r="G87" s="1">
        <f>IFERROR(VLOOKUP(A87,[1]TDSheet!$A:$B,2,0),0)</f>
        <v>0</v>
      </c>
      <c r="H87" s="1">
        <f t="shared" si="22"/>
        <v>6.8369999999999997</v>
      </c>
      <c r="I87" s="7">
        <v>1</v>
      </c>
      <c r="J87" s="1">
        <v>50</v>
      </c>
      <c r="K87" s="1" t="s">
        <v>37</v>
      </c>
      <c r="L87" s="1">
        <v>21.1</v>
      </c>
      <c r="M87" s="1">
        <f t="shared" si="20"/>
        <v>-5.8720000000000017</v>
      </c>
      <c r="N87" s="1">
        <f t="shared" si="23"/>
        <v>15.228</v>
      </c>
      <c r="O87" s="1"/>
      <c r="P87" s="1"/>
      <c r="Q87" s="1">
        <v>15.297000000000001</v>
      </c>
      <c r="R87" s="1">
        <f t="shared" si="24"/>
        <v>3.0455999999999999</v>
      </c>
      <c r="S87" s="5">
        <f t="shared" si="29"/>
        <v>11.367599999999996</v>
      </c>
      <c r="T87" s="5"/>
      <c r="U87" s="1"/>
      <c r="V87" s="1">
        <f t="shared" si="25"/>
        <v>11</v>
      </c>
      <c r="W87" s="1">
        <f t="shared" si="26"/>
        <v>7.2675334909377467</v>
      </c>
      <c r="X87" s="1">
        <v>2.4908000000000001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 t="s">
        <v>126</v>
      </c>
      <c r="AI87" s="1">
        <f t="shared" si="27"/>
        <v>11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1" t="s">
        <v>127</v>
      </c>
      <c r="B88" s="11" t="s">
        <v>36</v>
      </c>
      <c r="C88" s="11"/>
      <c r="D88" s="11">
        <v>104.673</v>
      </c>
      <c r="E88" s="11"/>
      <c r="F88" s="11">
        <v>104.673</v>
      </c>
      <c r="G88" s="11">
        <f>IFERROR(VLOOKUP(A88,[1]TDSheet!$A:$B,2,0),0)</f>
        <v>104.673</v>
      </c>
      <c r="H88" s="11">
        <f t="shared" si="22"/>
        <v>0</v>
      </c>
      <c r="I88" s="12">
        <v>0</v>
      </c>
      <c r="J88" s="11" t="e">
        <v>#N/A</v>
      </c>
      <c r="K88" s="11" t="s">
        <v>137</v>
      </c>
      <c r="L88" s="11"/>
      <c r="M88" s="11">
        <f t="shared" si="20"/>
        <v>0</v>
      </c>
      <c r="N88" s="11">
        <f t="shared" si="23"/>
        <v>0</v>
      </c>
      <c r="O88" s="11"/>
      <c r="P88" s="11"/>
      <c r="Q88" s="11"/>
      <c r="R88" s="11">
        <f t="shared" si="24"/>
        <v>0</v>
      </c>
      <c r="S88" s="13"/>
      <c r="T88" s="13"/>
      <c r="U88" s="11"/>
      <c r="V88" s="11" t="e">
        <f t="shared" si="25"/>
        <v>#DIV/0!</v>
      </c>
      <c r="W88" s="11" t="e">
        <f t="shared" si="26"/>
        <v>#DIV/0!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/>
      <c r="AI88" s="1">
        <f t="shared" si="27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128</v>
      </c>
      <c r="B89" s="1" t="s">
        <v>41</v>
      </c>
      <c r="C89" s="1"/>
      <c r="D89" s="1">
        <v>48</v>
      </c>
      <c r="E89" s="1">
        <v>29</v>
      </c>
      <c r="F89" s="1">
        <v>19</v>
      </c>
      <c r="G89" s="1">
        <f>IFERROR(VLOOKUP(A89,[1]TDSheet!$A:$B,2,0),0)</f>
        <v>0</v>
      </c>
      <c r="H89" s="1">
        <f t="shared" si="22"/>
        <v>19</v>
      </c>
      <c r="I89" s="7">
        <v>0.05</v>
      </c>
      <c r="J89" s="1">
        <v>120</v>
      </c>
      <c r="K89" s="1" t="s">
        <v>37</v>
      </c>
      <c r="L89" s="1">
        <v>37</v>
      </c>
      <c r="M89" s="1">
        <f t="shared" si="20"/>
        <v>-8</v>
      </c>
      <c r="N89" s="1">
        <f t="shared" si="23"/>
        <v>29</v>
      </c>
      <c r="O89" s="1"/>
      <c r="P89" s="1"/>
      <c r="Q89" s="1">
        <v>30</v>
      </c>
      <c r="R89" s="1">
        <f t="shared" si="24"/>
        <v>5.8</v>
      </c>
      <c r="S89" s="5">
        <f t="shared" ref="S89:S93" si="30">11*R89-Q89-P89-H89</f>
        <v>14.799999999999997</v>
      </c>
      <c r="T89" s="5"/>
      <c r="U89" s="1"/>
      <c r="V89" s="1">
        <f t="shared" si="25"/>
        <v>11</v>
      </c>
      <c r="W89" s="1">
        <f t="shared" si="26"/>
        <v>8.4482758620689662</v>
      </c>
      <c r="X89" s="1">
        <v>5.2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 t="s">
        <v>126</v>
      </c>
      <c r="AI89" s="1">
        <f t="shared" si="27"/>
        <v>1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129</v>
      </c>
      <c r="B90" s="1" t="s">
        <v>36</v>
      </c>
      <c r="C90" s="1">
        <v>514.65499999999997</v>
      </c>
      <c r="D90" s="1">
        <v>698.08500000000004</v>
      </c>
      <c r="E90" s="1">
        <v>556.59400000000005</v>
      </c>
      <c r="F90" s="1">
        <v>575.91700000000003</v>
      </c>
      <c r="G90" s="1">
        <f>IFERROR(VLOOKUP(A90,[1]TDSheet!$A:$B,2,0),0)</f>
        <v>0</v>
      </c>
      <c r="H90" s="1">
        <f t="shared" si="22"/>
        <v>575.91700000000003</v>
      </c>
      <c r="I90" s="7">
        <v>1</v>
      </c>
      <c r="J90" s="1">
        <v>40</v>
      </c>
      <c r="K90" s="1" t="s">
        <v>37</v>
      </c>
      <c r="L90" s="1">
        <v>518</v>
      </c>
      <c r="M90" s="1">
        <f t="shared" si="20"/>
        <v>38.594000000000051</v>
      </c>
      <c r="N90" s="1">
        <f t="shared" si="23"/>
        <v>556.59400000000005</v>
      </c>
      <c r="O90" s="1"/>
      <c r="P90" s="1"/>
      <c r="Q90" s="1">
        <v>600</v>
      </c>
      <c r="R90" s="1">
        <f t="shared" si="24"/>
        <v>111.31880000000001</v>
      </c>
      <c r="S90" s="5">
        <f t="shared" si="30"/>
        <v>48.589800000000082</v>
      </c>
      <c r="T90" s="5"/>
      <c r="U90" s="1"/>
      <c r="V90" s="1">
        <f t="shared" si="25"/>
        <v>11</v>
      </c>
      <c r="W90" s="1">
        <f t="shared" si="26"/>
        <v>10.56350769142319</v>
      </c>
      <c r="X90" s="1">
        <v>108.1478</v>
      </c>
      <c r="Y90" s="1">
        <v>97.566800000000001</v>
      </c>
      <c r="Z90" s="1">
        <v>98.78</v>
      </c>
      <c r="AA90" s="1">
        <v>98.010599999999997</v>
      </c>
      <c r="AB90" s="1">
        <v>95.502199999999988</v>
      </c>
      <c r="AC90" s="1">
        <v>82.845800000000011</v>
      </c>
      <c r="AD90" s="1">
        <v>89.296999999999997</v>
      </c>
      <c r="AE90" s="1">
        <v>115.07559999999999</v>
      </c>
      <c r="AF90" s="1">
        <v>109.7838</v>
      </c>
      <c r="AG90" s="1">
        <v>83.742199999999997</v>
      </c>
      <c r="AH90" s="1" t="s">
        <v>55</v>
      </c>
      <c r="AI90" s="1">
        <f t="shared" si="27"/>
        <v>49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130</v>
      </c>
      <c r="B91" s="1" t="s">
        <v>41</v>
      </c>
      <c r="C91" s="1">
        <v>25</v>
      </c>
      <c r="D91" s="1">
        <v>66</v>
      </c>
      <c r="E91" s="1">
        <v>60</v>
      </c>
      <c r="F91" s="1"/>
      <c r="G91" s="1">
        <f>IFERROR(VLOOKUP(A91,[1]TDSheet!$A:$B,2,0),0)</f>
        <v>0</v>
      </c>
      <c r="H91" s="1">
        <f t="shared" si="22"/>
        <v>0</v>
      </c>
      <c r="I91" s="7">
        <v>0.3</v>
      </c>
      <c r="J91" s="1">
        <v>40</v>
      </c>
      <c r="K91" s="1" t="s">
        <v>37</v>
      </c>
      <c r="L91" s="1">
        <v>103</v>
      </c>
      <c r="M91" s="1">
        <f t="shared" si="20"/>
        <v>-43</v>
      </c>
      <c r="N91" s="1">
        <f t="shared" si="23"/>
        <v>60</v>
      </c>
      <c r="O91" s="1"/>
      <c r="P91" s="1">
        <v>71.400000000000006</v>
      </c>
      <c r="Q91" s="1">
        <v>102.6</v>
      </c>
      <c r="R91" s="1">
        <f t="shared" si="24"/>
        <v>12</v>
      </c>
      <c r="S91" s="5"/>
      <c r="T91" s="5"/>
      <c r="U91" s="1"/>
      <c r="V91" s="1">
        <f t="shared" si="25"/>
        <v>14.5</v>
      </c>
      <c r="W91" s="1">
        <f t="shared" si="26"/>
        <v>14.5</v>
      </c>
      <c r="X91" s="1">
        <v>16.2</v>
      </c>
      <c r="Y91" s="1">
        <v>11.4</v>
      </c>
      <c r="Z91" s="1">
        <v>5.6</v>
      </c>
      <c r="AA91" s="1">
        <v>10</v>
      </c>
      <c r="AB91" s="1">
        <v>15</v>
      </c>
      <c r="AC91" s="1">
        <v>17.2</v>
      </c>
      <c r="AD91" s="1">
        <v>18.600000000000001</v>
      </c>
      <c r="AE91" s="1">
        <v>16.2</v>
      </c>
      <c r="AF91" s="1">
        <v>12</v>
      </c>
      <c r="AG91" s="1">
        <v>11.4</v>
      </c>
      <c r="AH91" s="1"/>
      <c r="AI91" s="1">
        <f t="shared" si="27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131</v>
      </c>
      <c r="B92" s="1" t="s">
        <v>41</v>
      </c>
      <c r="C92" s="1">
        <v>26</v>
      </c>
      <c r="D92" s="1">
        <v>54</v>
      </c>
      <c r="E92" s="1">
        <v>43</v>
      </c>
      <c r="F92" s="1"/>
      <c r="G92" s="1">
        <f>IFERROR(VLOOKUP(A92,[1]TDSheet!$A:$B,2,0),0)</f>
        <v>0</v>
      </c>
      <c r="H92" s="1">
        <f t="shared" si="22"/>
        <v>0</v>
      </c>
      <c r="I92" s="7">
        <v>0.3</v>
      </c>
      <c r="J92" s="1">
        <v>40</v>
      </c>
      <c r="K92" s="1" t="s">
        <v>37</v>
      </c>
      <c r="L92" s="1">
        <v>53</v>
      </c>
      <c r="M92" s="1">
        <f t="shared" si="20"/>
        <v>-10</v>
      </c>
      <c r="N92" s="1">
        <f t="shared" si="23"/>
        <v>43</v>
      </c>
      <c r="O92" s="1"/>
      <c r="P92" s="1">
        <v>43.59999999999998</v>
      </c>
      <c r="Q92" s="1">
        <v>27.40000000000002</v>
      </c>
      <c r="R92" s="1">
        <f t="shared" si="24"/>
        <v>8.6</v>
      </c>
      <c r="S92" s="5">
        <f t="shared" si="30"/>
        <v>23.599999999999994</v>
      </c>
      <c r="T92" s="5"/>
      <c r="U92" s="1"/>
      <c r="V92" s="1">
        <f t="shared" si="25"/>
        <v>11</v>
      </c>
      <c r="W92" s="1">
        <f t="shared" si="26"/>
        <v>8.2558139534883725</v>
      </c>
      <c r="X92" s="1">
        <v>9.8000000000000007</v>
      </c>
      <c r="Y92" s="1">
        <v>9.1999999999999993</v>
      </c>
      <c r="Z92" s="1">
        <v>7.2</v>
      </c>
      <c r="AA92" s="1">
        <v>7.6</v>
      </c>
      <c r="AB92" s="1">
        <v>7.2</v>
      </c>
      <c r="AC92" s="1">
        <v>2.2000000000000002</v>
      </c>
      <c r="AD92" s="1">
        <v>3.8</v>
      </c>
      <c r="AE92" s="1">
        <v>9</v>
      </c>
      <c r="AF92" s="1">
        <v>7.4</v>
      </c>
      <c r="AG92" s="1">
        <v>4</v>
      </c>
      <c r="AH92" s="1" t="s">
        <v>132</v>
      </c>
      <c r="AI92" s="1">
        <f t="shared" si="27"/>
        <v>7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133</v>
      </c>
      <c r="B93" s="1" t="s">
        <v>36</v>
      </c>
      <c r="C93" s="1">
        <v>22.948</v>
      </c>
      <c r="D93" s="1">
        <v>7.88</v>
      </c>
      <c r="E93" s="1">
        <v>19.143999999999998</v>
      </c>
      <c r="F93" s="1">
        <v>7.6180000000000003</v>
      </c>
      <c r="G93" s="1">
        <f>IFERROR(VLOOKUP(A93,[1]TDSheet!$A:$B,2,0),0)</f>
        <v>0</v>
      </c>
      <c r="H93" s="1">
        <f t="shared" si="22"/>
        <v>7.6180000000000003</v>
      </c>
      <c r="I93" s="7">
        <v>1</v>
      </c>
      <c r="J93" s="1">
        <v>45</v>
      </c>
      <c r="K93" s="1" t="s">
        <v>37</v>
      </c>
      <c r="L93" s="1">
        <v>20.2</v>
      </c>
      <c r="M93" s="1">
        <f t="shared" si="20"/>
        <v>-1.0560000000000009</v>
      </c>
      <c r="N93" s="1">
        <f t="shared" si="23"/>
        <v>19.143999999999998</v>
      </c>
      <c r="O93" s="1"/>
      <c r="P93" s="1">
        <v>14.6114</v>
      </c>
      <c r="Q93" s="1">
        <v>11.944599999999999</v>
      </c>
      <c r="R93" s="1">
        <f t="shared" si="24"/>
        <v>3.8287999999999998</v>
      </c>
      <c r="S93" s="5">
        <f t="shared" si="30"/>
        <v>7.9427999999999965</v>
      </c>
      <c r="T93" s="5"/>
      <c r="U93" s="1"/>
      <c r="V93" s="1">
        <f t="shared" si="25"/>
        <v>11</v>
      </c>
      <c r="W93" s="1">
        <f t="shared" si="26"/>
        <v>8.9255119097367324</v>
      </c>
      <c r="X93" s="1">
        <v>3.8256000000000001</v>
      </c>
      <c r="Y93" s="1">
        <v>3.7951999999999999</v>
      </c>
      <c r="Z93" s="1">
        <v>2.9716</v>
      </c>
      <c r="AA93" s="1">
        <v>0.82200000000000006</v>
      </c>
      <c r="AB93" s="1">
        <v>1.3588</v>
      </c>
      <c r="AC93" s="1">
        <v>3.5516000000000001</v>
      </c>
      <c r="AD93" s="1">
        <v>4.1595999999999993</v>
      </c>
      <c r="AE93" s="1">
        <v>4.21</v>
      </c>
      <c r="AF93" s="1">
        <v>4.6204000000000001</v>
      </c>
      <c r="AG93" s="1">
        <v>3.2395999999999998</v>
      </c>
      <c r="AH93" s="1"/>
      <c r="AI93" s="1">
        <f t="shared" si="27"/>
        <v>8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134</v>
      </c>
      <c r="B94" s="1" t="s">
        <v>41</v>
      </c>
      <c r="C94" s="1">
        <v>29</v>
      </c>
      <c r="D94" s="1">
        <v>24</v>
      </c>
      <c r="E94" s="1">
        <v>31</v>
      </c>
      <c r="F94" s="1"/>
      <c r="G94" s="1">
        <f>IFERROR(VLOOKUP(A94,[1]TDSheet!$A:$B,2,0),0)</f>
        <v>0</v>
      </c>
      <c r="H94" s="1">
        <f t="shared" si="22"/>
        <v>0</v>
      </c>
      <c r="I94" s="7">
        <v>0.33</v>
      </c>
      <c r="J94" s="1">
        <v>40</v>
      </c>
      <c r="K94" s="1" t="s">
        <v>37</v>
      </c>
      <c r="L94" s="1">
        <v>36</v>
      </c>
      <c r="M94" s="1">
        <f t="shared" si="20"/>
        <v>-5</v>
      </c>
      <c r="N94" s="1">
        <f t="shared" si="23"/>
        <v>31</v>
      </c>
      <c r="O94" s="1"/>
      <c r="P94" s="1">
        <v>32.599999999999987</v>
      </c>
      <c r="Q94" s="1">
        <v>58.20000000000001</v>
      </c>
      <c r="R94" s="1">
        <f t="shared" si="24"/>
        <v>6.2</v>
      </c>
      <c r="S94" s="5"/>
      <c r="T94" s="5"/>
      <c r="U94" s="1"/>
      <c r="V94" s="1">
        <f t="shared" si="25"/>
        <v>14.64516129032258</v>
      </c>
      <c r="W94" s="1">
        <f t="shared" si="26"/>
        <v>14.64516129032258</v>
      </c>
      <c r="X94" s="1">
        <v>10.199999999999999</v>
      </c>
      <c r="Y94" s="1">
        <v>5.6</v>
      </c>
      <c r="Z94" s="1">
        <v>4</v>
      </c>
      <c r="AA94" s="1">
        <v>5</v>
      </c>
      <c r="AB94" s="1">
        <v>4.5999999999999996</v>
      </c>
      <c r="AC94" s="1">
        <v>3.4</v>
      </c>
      <c r="AD94" s="1">
        <v>2.2000000000000002</v>
      </c>
      <c r="AE94" s="1">
        <v>0</v>
      </c>
      <c r="AF94" s="1">
        <v>2.2000000000000002</v>
      </c>
      <c r="AG94" s="1">
        <v>5.6</v>
      </c>
      <c r="AH94" s="1"/>
      <c r="AI94" s="1">
        <f t="shared" si="27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135</v>
      </c>
      <c r="B95" s="1" t="s">
        <v>41</v>
      </c>
      <c r="C95" s="1">
        <v>34</v>
      </c>
      <c r="D95" s="1"/>
      <c r="E95" s="1">
        <v>23</v>
      </c>
      <c r="F95" s="1"/>
      <c r="G95" s="1">
        <f>IFERROR(VLOOKUP(A95,[1]TDSheet!$A:$B,2,0),0)</f>
        <v>0</v>
      </c>
      <c r="H95" s="1">
        <f t="shared" si="22"/>
        <v>0</v>
      </c>
      <c r="I95" s="7">
        <v>0.3</v>
      </c>
      <c r="J95" s="1">
        <v>40</v>
      </c>
      <c r="K95" s="1" t="s">
        <v>37</v>
      </c>
      <c r="L95" s="1">
        <v>26</v>
      </c>
      <c r="M95" s="1">
        <f t="shared" si="20"/>
        <v>-3</v>
      </c>
      <c r="N95" s="1">
        <f t="shared" si="23"/>
        <v>23</v>
      </c>
      <c r="O95" s="1"/>
      <c r="P95" s="1">
        <v>32</v>
      </c>
      <c r="Q95" s="1">
        <v>36</v>
      </c>
      <c r="R95" s="1">
        <f t="shared" si="24"/>
        <v>4.5999999999999996</v>
      </c>
      <c r="S95" s="5"/>
      <c r="T95" s="5"/>
      <c r="U95" s="1"/>
      <c r="V95" s="1">
        <f t="shared" si="25"/>
        <v>14.782608695652176</v>
      </c>
      <c r="W95" s="1">
        <f t="shared" si="26"/>
        <v>14.782608695652176</v>
      </c>
      <c r="X95" s="1">
        <v>6.8</v>
      </c>
      <c r="Y95" s="1">
        <v>5</v>
      </c>
      <c r="Z95" s="1">
        <v>3.2</v>
      </c>
      <c r="AA95" s="1">
        <v>3.2</v>
      </c>
      <c r="AB95" s="1">
        <v>4.5999999999999996</v>
      </c>
      <c r="AC95" s="1">
        <v>1.8</v>
      </c>
      <c r="AD95" s="1">
        <v>0</v>
      </c>
      <c r="AE95" s="1">
        <v>0</v>
      </c>
      <c r="AF95" s="1">
        <v>0</v>
      </c>
      <c r="AG95" s="1">
        <v>0</v>
      </c>
      <c r="AH95" s="1"/>
      <c r="AI95" s="1">
        <f t="shared" si="27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1" t="s">
        <v>136</v>
      </c>
      <c r="B96" s="11" t="s">
        <v>41</v>
      </c>
      <c r="C96" s="11">
        <v>107</v>
      </c>
      <c r="D96" s="11"/>
      <c r="E96" s="11">
        <v>5</v>
      </c>
      <c r="F96" s="11"/>
      <c r="G96" s="11">
        <f>IFERROR(VLOOKUP(A96,[1]TDSheet!$A:$B,2,0),0)</f>
        <v>0</v>
      </c>
      <c r="H96" s="11">
        <f t="shared" si="22"/>
        <v>0</v>
      </c>
      <c r="I96" s="12">
        <v>0</v>
      </c>
      <c r="J96" s="11" t="e">
        <v>#N/A</v>
      </c>
      <c r="K96" s="11" t="s">
        <v>137</v>
      </c>
      <c r="L96" s="11">
        <v>14</v>
      </c>
      <c r="M96" s="11">
        <f t="shared" si="20"/>
        <v>-9</v>
      </c>
      <c r="N96" s="11">
        <f t="shared" si="23"/>
        <v>5</v>
      </c>
      <c r="O96" s="11"/>
      <c r="P96" s="11"/>
      <c r="Q96" s="11">
        <v>0</v>
      </c>
      <c r="R96" s="11">
        <f t="shared" si="24"/>
        <v>1</v>
      </c>
      <c r="S96" s="13"/>
      <c r="T96" s="13"/>
      <c r="U96" s="11"/>
      <c r="V96" s="11">
        <f t="shared" si="25"/>
        <v>0</v>
      </c>
      <c r="W96" s="11">
        <f t="shared" si="26"/>
        <v>0</v>
      </c>
      <c r="X96" s="11">
        <v>21.4</v>
      </c>
      <c r="Y96" s="11">
        <v>26.4</v>
      </c>
      <c r="Z96" s="11">
        <v>6.2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 t="s">
        <v>138</v>
      </c>
      <c r="AI96" s="1">
        <f t="shared" si="27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9" t="s">
        <v>139</v>
      </c>
      <c r="B97" s="1" t="s">
        <v>41</v>
      </c>
      <c r="C97" s="1"/>
      <c r="D97" s="1"/>
      <c r="E97" s="1"/>
      <c r="F97" s="1"/>
      <c r="G97" s="1">
        <f>IFERROR(VLOOKUP(A97,[1]TDSheet!$A:$B,2,0),0)</f>
        <v>0</v>
      </c>
      <c r="H97" s="1">
        <f t="shared" si="22"/>
        <v>0</v>
      </c>
      <c r="I97" s="7">
        <v>0.12</v>
      </c>
      <c r="J97" s="1">
        <v>45</v>
      </c>
      <c r="K97" s="1" t="s">
        <v>37</v>
      </c>
      <c r="L97" s="1"/>
      <c r="M97" s="1">
        <f t="shared" si="20"/>
        <v>0</v>
      </c>
      <c r="N97" s="1">
        <f t="shared" si="23"/>
        <v>0</v>
      </c>
      <c r="O97" s="1"/>
      <c r="P97" s="1">
        <v>20</v>
      </c>
      <c r="Q97" s="1">
        <v>0</v>
      </c>
      <c r="R97" s="1">
        <f t="shared" si="24"/>
        <v>0</v>
      </c>
      <c r="S97" s="5"/>
      <c r="T97" s="5"/>
      <c r="U97" s="1"/>
      <c r="V97" s="1" t="e">
        <f t="shared" si="25"/>
        <v>#DIV/0!</v>
      </c>
      <c r="W97" s="1" t="e">
        <f t="shared" si="26"/>
        <v>#DIV/0!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 t="s">
        <v>126</v>
      </c>
      <c r="AI97" s="1">
        <f t="shared" si="27"/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1"/>
      <c r="H98" s="1"/>
      <c r="I98" s="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1"/>
      <c r="H99" s="1"/>
      <c r="I99" s="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1"/>
      <c r="H100" s="1"/>
      <c r="I100" s="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1"/>
      <c r="H101" s="1"/>
      <c r="I101" s="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1"/>
      <c r="H102" s="1"/>
      <c r="I102" s="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1"/>
      <c r="H103" s="1"/>
      <c r="I103" s="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1"/>
      <c r="H104" s="1"/>
      <c r="I104" s="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1"/>
      <c r="H105" s="1"/>
      <c r="I105" s="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1"/>
      <c r="H106" s="1"/>
      <c r="I106" s="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1"/>
      <c r="H107" s="1"/>
      <c r="I107" s="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1"/>
      <c r="H108" s="1"/>
      <c r="I108" s="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1"/>
      <c r="H109" s="1"/>
      <c r="I109" s="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1"/>
      <c r="H110" s="1"/>
      <c r="I110" s="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1"/>
      <c r="H111" s="1"/>
      <c r="I111" s="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1"/>
      <c r="H112" s="1"/>
      <c r="I112" s="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1"/>
      <c r="H113" s="1"/>
      <c r="I113" s="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1"/>
      <c r="H114" s="1"/>
      <c r="I114" s="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1"/>
      <c r="H115" s="1"/>
      <c r="I115" s="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1"/>
      <c r="H116" s="1"/>
      <c r="I116" s="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1"/>
      <c r="H117" s="1"/>
      <c r="I117" s="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1"/>
      <c r="H118" s="1"/>
      <c r="I118" s="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1"/>
      <c r="H119" s="1"/>
      <c r="I119" s="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1"/>
      <c r="H120" s="1"/>
      <c r="I120" s="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1"/>
      <c r="H121" s="1"/>
      <c r="I121" s="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1"/>
      <c r="H122" s="1"/>
      <c r="I122" s="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1"/>
      <c r="H123" s="1"/>
      <c r="I123" s="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1"/>
      <c r="H124" s="1"/>
      <c r="I124" s="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1"/>
      <c r="H125" s="1"/>
      <c r="I125" s="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1"/>
      <c r="H498" s="1"/>
      <c r="I498" s="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1"/>
      <c r="H499" s="1"/>
      <c r="I499" s="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1"/>
      <c r="H500" s="1"/>
      <c r="I500" s="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I97" xr:uid="{956AC333-AC01-4EE6-99EA-27F370CC4FC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2025-04-17T14:02:03Z</dcterms:created>
  <dcterms:modified xsi:type="dcterms:W3CDTF">2025-04-18T08:46:45Z</dcterms:modified>
</cp:coreProperties>
</file>