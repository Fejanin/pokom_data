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Uaer4\Desktop\17,04,25 ПОКОМ КИ филиалы\"/>
    </mc:Choice>
  </mc:AlternateContent>
  <xr:revisionPtr revIDLastSave="0" documentId="13_ncr:1_{3062ABCD-04E7-4A96-9CFF-E277ED77D96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Sheet!$A$3:$AJ$101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7" i="1" l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K73" i="1"/>
  <c r="AK74" i="1"/>
  <c r="AK75" i="1"/>
  <c r="AK76" i="1"/>
  <c r="AK77" i="1"/>
  <c r="AK78" i="1"/>
  <c r="AK79" i="1"/>
  <c r="AK80" i="1"/>
  <c r="AK81" i="1"/>
  <c r="AK82" i="1"/>
  <c r="AK83" i="1"/>
  <c r="AK84" i="1"/>
  <c r="AK85" i="1"/>
  <c r="AK86" i="1"/>
  <c r="AK87" i="1"/>
  <c r="AK88" i="1"/>
  <c r="AK89" i="1"/>
  <c r="AK90" i="1"/>
  <c r="AK91" i="1"/>
  <c r="AK92" i="1"/>
  <c r="AK93" i="1"/>
  <c r="AK94" i="1"/>
  <c r="AK95" i="1"/>
  <c r="AK96" i="1"/>
  <c r="AK97" i="1"/>
  <c r="AK98" i="1"/>
  <c r="AK99" i="1"/>
  <c r="AK100" i="1"/>
  <c r="AK101" i="1"/>
  <c r="AK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101" i="1"/>
  <c r="AJ6" i="1"/>
  <c r="AK5" i="1" l="1"/>
  <c r="T5" i="1"/>
  <c r="S5" i="1"/>
  <c r="Q66" i="1" l="1"/>
  <c r="Q7" i="1"/>
  <c r="R7" i="1" s="1"/>
  <c r="Q8" i="1"/>
  <c r="Q9" i="1"/>
  <c r="W9" i="1" s="1"/>
  <c r="Q10" i="1"/>
  <c r="Q11" i="1"/>
  <c r="Q12" i="1"/>
  <c r="R12" i="1" s="1"/>
  <c r="Q13" i="1"/>
  <c r="Q14" i="1"/>
  <c r="W14" i="1" s="1"/>
  <c r="Q15" i="1"/>
  <c r="R15" i="1" s="1"/>
  <c r="Q16" i="1"/>
  <c r="Q17" i="1"/>
  <c r="Q18" i="1"/>
  <c r="R18" i="1" s="1"/>
  <c r="Q19" i="1"/>
  <c r="Q20" i="1"/>
  <c r="Q21" i="1"/>
  <c r="R21" i="1" s="1"/>
  <c r="Q22" i="1"/>
  <c r="W22" i="1" s="1"/>
  <c r="Q23" i="1"/>
  <c r="R23" i="1" s="1"/>
  <c r="Q24" i="1"/>
  <c r="R24" i="1" s="1"/>
  <c r="Q25" i="1"/>
  <c r="Q26" i="1"/>
  <c r="R26" i="1" s="1"/>
  <c r="Q27" i="1"/>
  <c r="W27" i="1" s="1"/>
  <c r="Q28" i="1"/>
  <c r="W28" i="1" s="1"/>
  <c r="Q29" i="1"/>
  <c r="Q30" i="1"/>
  <c r="W30" i="1" s="1"/>
  <c r="Q31" i="1"/>
  <c r="W31" i="1" s="1"/>
  <c r="Q32" i="1"/>
  <c r="W32" i="1" s="1"/>
  <c r="Q33" i="1"/>
  <c r="W33" i="1" s="1"/>
  <c r="Q34" i="1"/>
  <c r="Q35" i="1"/>
  <c r="Q36" i="1"/>
  <c r="Q37" i="1"/>
  <c r="Q38" i="1"/>
  <c r="Q39" i="1"/>
  <c r="W39" i="1" s="1"/>
  <c r="Q40" i="1"/>
  <c r="Q41" i="1"/>
  <c r="R41" i="1" s="1"/>
  <c r="Q42" i="1"/>
  <c r="Q43" i="1"/>
  <c r="R43" i="1" s="1"/>
  <c r="Q44" i="1"/>
  <c r="Q45" i="1"/>
  <c r="Q46" i="1"/>
  <c r="Q47" i="1"/>
  <c r="R47" i="1" s="1"/>
  <c r="Q48" i="1"/>
  <c r="Q49" i="1"/>
  <c r="W49" i="1" s="1"/>
  <c r="Q50" i="1"/>
  <c r="W50" i="1" s="1"/>
  <c r="Q51" i="1"/>
  <c r="Q52" i="1"/>
  <c r="W52" i="1" s="1"/>
  <c r="Q53" i="1"/>
  <c r="Q54" i="1"/>
  <c r="R54" i="1" s="1"/>
  <c r="Q55" i="1"/>
  <c r="Q56" i="1"/>
  <c r="R56" i="1" s="1"/>
  <c r="Q57" i="1"/>
  <c r="Q58" i="1"/>
  <c r="R58" i="1" s="1"/>
  <c r="Q59" i="1"/>
  <c r="Q60" i="1"/>
  <c r="R60" i="1" s="1"/>
  <c r="Q61" i="1"/>
  <c r="Q62" i="1"/>
  <c r="R62" i="1" s="1"/>
  <c r="Q63" i="1"/>
  <c r="W63" i="1" s="1"/>
  <c r="Q64" i="1"/>
  <c r="Q65" i="1"/>
  <c r="R65" i="1" s="1"/>
  <c r="Q67" i="1"/>
  <c r="W67" i="1" s="1"/>
  <c r="Q68" i="1"/>
  <c r="W68" i="1" s="1"/>
  <c r="Q69" i="1"/>
  <c r="W69" i="1" s="1"/>
  <c r="Q70" i="1"/>
  <c r="Q71" i="1"/>
  <c r="W71" i="1" s="1"/>
  <c r="Q72" i="1"/>
  <c r="Q73" i="1"/>
  <c r="Q74" i="1"/>
  <c r="Q75" i="1"/>
  <c r="Q76" i="1"/>
  <c r="W76" i="1" s="1"/>
  <c r="Q77" i="1"/>
  <c r="W77" i="1" s="1"/>
  <c r="Q78" i="1"/>
  <c r="Q79" i="1"/>
  <c r="Q80" i="1"/>
  <c r="R80" i="1" s="1"/>
  <c r="Q81" i="1"/>
  <c r="W81" i="1" s="1"/>
  <c r="Q82" i="1"/>
  <c r="Q83" i="1"/>
  <c r="R83" i="1" s="1"/>
  <c r="Q84" i="1"/>
  <c r="Q85" i="1"/>
  <c r="Q86" i="1"/>
  <c r="R86" i="1" s="1"/>
  <c r="Q87" i="1"/>
  <c r="Q88" i="1"/>
  <c r="Q89" i="1"/>
  <c r="Q90" i="1"/>
  <c r="R90" i="1" s="1"/>
  <c r="Q91" i="1"/>
  <c r="Q92" i="1"/>
  <c r="X92" i="1" s="1"/>
  <c r="Q93" i="1"/>
  <c r="Q94" i="1"/>
  <c r="X94" i="1" s="1"/>
  <c r="Q95" i="1"/>
  <c r="Q96" i="1"/>
  <c r="X96" i="1" s="1"/>
  <c r="Q97" i="1"/>
  <c r="R97" i="1" s="1"/>
  <c r="Q98" i="1"/>
  <c r="X98" i="1" s="1"/>
  <c r="Q99" i="1"/>
  <c r="Q100" i="1"/>
  <c r="X100" i="1" s="1"/>
  <c r="Q101" i="1"/>
  <c r="Q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6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AH5" i="1"/>
  <c r="AG5" i="1"/>
  <c r="AF5" i="1"/>
  <c r="AE5" i="1"/>
  <c r="AD5" i="1"/>
  <c r="AC5" i="1"/>
  <c r="AB5" i="1"/>
  <c r="AA5" i="1"/>
  <c r="Z5" i="1"/>
  <c r="Y5" i="1"/>
  <c r="U5" i="1"/>
  <c r="P5" i="1"/>
  <c r="O5" i="1"/>
  <c r="N5" i="1"/>
  <c r="M5" i="1"/>
  <c r="J5" i="1"/>
  <c r="F5" i="1"/>
  <c r="E5" i="1"/>
  <c r="R82" i="1" l="1"/>
  <c r="R79" i="1"/>
  <c r="R10" i="1"/>
  <c r="R94" i="1"/>
  <c r="X101" i="1"/>
  <c r="X99" i="1"/>
  <c r="X97" i="1"/>
  <c r="X95" i="1"/>
  <c r="X93" i="1"/>
  <c r="R93" i="1"/>
  <c r="R89" i="1"/>
  <c r="R61" i="1"/>
  <c r="R59" i="1"/>
  <c r="R55" i="1"/>
  <c r="R53" i="1"/>
  <c r="R37" i="1"/>
  <c r="R35" i="1"/>
  <c r="R29" i="1"/>
  <c r="R25" i="1"/>
  <c r="R11" i="1"/>
  <c r="R6" i="1"/>
  <c r="R8" i="1"/>
  <c r="R20" i="1"/>
  <c r="R40" i="1"/>
  <c r="R42" i="1"/>
  <c r="R48" i="1"/>
  <c r="R64" i="1"/>
  <c r="R72" i="1"/>
  <c r="W79" i="1"/>
  <c r="W75" i="1"/>
  <c r="W73" i="1"/>
  <c r="W65" i="1"/>
  <c r="W51" i="1"/>
  <c r="W47" i="1"/>
  <c r="W45" i="1"/>
  <c r="W43" i="1"/>
  <c r="W41" i="1"/>
  <c r="W21" i="1"/>
  <c r="W19" i="1"/>
  <c r="W17" i="1"/>
  <c r="W15" i="1"/>
  <c r="W7" i="1"/>
  <c r="W90" i="1"/>
  <c r="W88" i="1"/>
  <c r="W86" i="1"/>
  <c r="W84" i="1"/>
  <c r="W82" i="1"/>
  <c r="W70" i="1"/>
  <c r="W62" i="1"/>
  <c r="W60" i="1"/>
  <c r="W58" i="1"/>
  <c r="W56" i="1"/>
  <c r="W54" i="1"/>
  <c r="W38" i="1"/>
  <c r="W36" i="1"/>
  <c r="W34" i="1"/>
  <c r="W26" i="1"/>
  <c r="W24" i="1"/>
  <c r="W12" i="1"/>
  <c r="X6" i="1"/>
  <c r="W98" i="1"/>
  <c r="X90" i="1"/>
  <c r="X86" i="1"/>
  <c r="X82" i="1"/>
  <c r="X78" i="1"/>
  <c r="X74" i="1"/>
  <c r="X70" i="1"/>
  <c r="X66" i="1"/>
  <c r="X62" i="1"/>
  <c r="X58" i="1"/>
  <c r="X54" i="1"/>
  <c r="X50" i="1"/>
  <c r="X46" i="1"/>
  <c r="X42" i="1"/>
  <c r="X38" i="1"/>
  <c r="X34" i="1"/>
  <c r="X30" i="1"/>
  <c r="X26" i="1"/>
  <c r="X22" i="1"/>
  <c r="X18" i="1"/>
  <c r="X14" i="1"/>
  <c r="X10" i="1"/>
  <c r="W100" i="1"/>
  <c r="W96" i="1"/>
  <c r="W92" i="1"/>
  <c r="X88" i="1"/>
  <c r="X84" i="1"/>
  <c r="X80" i="1"/>
  <c r="X76" i="1"/>
  <c r="X72" i="1"/>
  <c r="X68" i="1"/>
  <c r="X64" i="1"/>
  <c r="X60" i="1"/>
  <c r="X56" i="1"/>
  <c r="X52" i="1"/>
  <c r="X48" i="1"/>
  <c r="X44" i="1"/>
  <c r="X40" i="1"/>
  <c r="X36" i="1"/>
  <c r="X32" i="1"/>
  <c r="X28" i="1"/>
  <c r="X24" i="1"/>
  <c r="X20" i="1"/>
  <c r="X16" i="1"/>
  <c r="X12" i="1"/>
  <c r="X8" i="1"/>
  <c r="W101" i="1"/>
  <c r="K5" i="1"/>
  <c r="X91" i="1"/>
  <c r="X89" i="1"/>
  <c r="X87" i="1"/>
  <c r="X85" i="1"/>
  <c r="X83" i="1"/>
  <c r="X81" i="1"/>
  <c r="X79" i="1"/>
  <c r="X77" i="1"/>
  <c r="X75" i="1"/>
  <c r="X73" i="1"/>
  <c r="X71" i="1"/>
  <c r="X69" i="1"/>
  <c r="X67" i="1"/>
  <c r="X65" i="1"/>
  <c r="X63" i="1"/>
  <c r="X61" i="1"/>
  <c r="X59" i="1"/>
  <c r="X57" i="1"/>
  <c r="X55" i="1"/>
  <c r="X53" i="1"/>
  <c r="X51" i="1"/>
  <c r="X49" i="1"/>
  <c r="X47" i="1"/>
  <c r="X45" i="1"/>
  <c r="X43" i="1"/>
  <c r="X41" i="1"/>
  <c r="X39" i="1"/>
  <c r="X37" i="1"/>
  <c r="X35" i="1"/>
  <c r="X33" i="1"/>
  <c r="X31" i="1"/>
  <c r="X29" i="1"/>
  <c r="X27" i="1"/>
  <c r="X25" i="1"/>
  <c r="X23" i="1"/>
  <c r="X21" i="1"/>
  <c r="X19" i="1"/>
  <c r="X17" i="1"/>
  <c r="X15" i="1"/>
  <c r="X13" i="1"/>
  <c r="X11" i="1"/>
  <c r="X9" i="1"/>
  <c r="X7" i="1"/>
  <c r="Q5" i="1"/>
  <c r="L5" i="1"/>
  <c r="W10" i="1" l="1"/>
  <c r="W94" i="1"/>
  <c r="W93" i="1"/>
  <c r="W97" i="1"/>
  <c r="AJ5" i="1"/>
  <c r="W8" i="1"/>
  <c r="W18" i="1"/>
  <c r="W40" i="1"/>
  <c r="W44" i="1"/>
  <c r="W48" i="1"/>
  <c r="W66" i="1"/>
  <c r="W74" i="1"/>
  <c r="W80" i="1"/>
  <c r="W95" i="1"/>
  <c r="W99" i="1"/>
  <c r="R5" i="1"/>
  <c r="W16" i="1"/>
  <c r="W20" i="1"/>
  <c r="W42" i="1"/>
  <c r="W46" i="1"/>
  <c r="W64" i="1"/>
  <c r="W72" i="1"/>
  <c r="W78" i="1"/>
  <c r="W6" i="1"/>
  <c r="W11" i="1"/>
  <c r="W13" i="1"/>
  <c r="W23" i="1"/>
  <c r="W25" i="1"/>
  <c r="W29" i="1"/>
  <c r="W35" i="1"/>
  <c r="W37" i="1"/>
  <c r="W53" i="1"/>
  <c r="W55" i="1"/>
  <c r="W57" i="1"/>
  <c r="W59" i="1"/>
  <c r="W61" i="1"/>
  <c r="W83" i="1"/>
  <c r="W85" i="1"/>
  <c r="W87" i="1"/>
  <c r="W89" i="1"/>
  <c r="W91" i="1"/>
</calcChain>
</file>

<file path=xl/sharedStrings.xml><?xml version="1.0" encoding="utf-8"?>
<sst xmlns="http://schemas.openxmlformats.org/spreadsheetml/2006/main" count="404" uniqueCount="171">
  <si>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</si>
  <si>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</si>
  <si>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</si>
  <si>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</si>
  <si>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</si>
  <si>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</si>
  <si>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</si>
  <si>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</si>
  <si>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</si>
  <si>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</si>
  <si>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</si>
  <si>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</si>
  <si>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</si>
  <si>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</si>
  <si>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</si>
  <si>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</si>
  <si>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</si>
  <si>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</si>
  <si>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</si>
  <si>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</si>
  <si>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</si>
  <si>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</si>
  <si>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</si>
  <si>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19,04,(1)</t>
  </si>
  <si>
    <t>19,04,(2)</t>
  </si>
  <si>
    <t>20,04,</t>
  </si>
  <si>
    <t>17,04,</t>
  </si>
  <si>
    <t>16,04,</t>
  </si>
  <si>
    <t>10,04,</t>
  </si>
  <si>
    <t>09,04,</t>
  </si>
  <si>
    <t>03,04,</t>
  </si>
  <si>
    <t>02,04,</t>
  </si>
  <si>
    <t>27,03,</t>
  </si>
  <si>
    <t>26,03,</t>
  </si>
  <si>
    <t>20,03,</t>
  </si>
  <si>
    <t>19,03,</t>
  </si>
  <si>
    <t>13,03,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</si>
  <si>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</si>
  <si>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</si>
  <si>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</si>
  <si>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</si>
  <si>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</si>
  <si>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</si>
  <si>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</si>
  <si>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не в матрице</t>
  </si>
  <si>
    <t xml:space="preserve"> 030  Сосиски Вязанка Молочные, Вязанка вискофан МГС, 0.45кг, ПОКОМ</t>
  </si>
  <si>
    <t>ВНИМАНИЕ / матрица</t>
  </si>
  <si>
    <t>ТС Обжора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</si>
  <si>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</si>
  <si>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</si>
  <si>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</si>
  <si>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080  Колбаса Сервелат Филейбургский, в/у 0,35 кг срез, БАВАРУШКА ПОКОМ</t>
  </si>
  <si>
    <t xml:space="preserve"> 083  Колбаса Швейцарская 0,17 кг., ШТ., сырокопченая   ПОКОМ</t>
  </si>
  <si>
    <t xml:space="preserve"> 117  Колбаса Сервелат Филейбургский с ароматными пряностями, в/у 0,35 кг срез, БАВАРУШКА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</si>
  <si>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</si>
  <si>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</si>
  <si>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</si>
  <si>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</si>
  <si>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</si>
  <si>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</si>
  <si>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>нет потребности</t>
  </si>
  <si>
    <t xml:space="preserve"> 229  Колбаса Молочная Дугушка, в/у, ВЕС, ТМ Стародворье   ПОКОМ</t>
  </si>
  <si>
    <t>ТМА апрель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</si>
  <si>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</si>
  <si>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</si>
  <si>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</si>
  <si>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</si>
  <si>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</si>
  <si>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</si>
  <si>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</si>
  <si>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</si>
  <si>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</si>
  <si>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</si>
  <si>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</si>
  <si>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</si>
  <si>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</si>
  <si>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>ТС Обжора / 26,03,25 филиал обнулил</t>
  </si>
  <si>
    <t xml:space="preserve"> 278  Сосиски Сочинки с сочным окороком, МГС 0.4кг,   ПОКОМ</t>
  </si>
  <si>
    <t xml:space="preserve"> 283  Сосиски Сочинки, ВЕС, ТМ Стародворье ПОКОМ</t>
  </si>
  <si>
    <t xml:space="preserve"> 284  Сосиски Молокуши миникушай ТМ Вязанка, 0.45кг,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</si>
  <si>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</si>
  <si>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</si>
  <si>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</si>
  <si>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</si>
  <si>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</si>
  <si>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</si>
  <si>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>ТС Обжора / ТМА апрель</t>
  </si>
  <si>
    <t xml:space="preserve"> 309  Сосиски Сочинки с сыром 0,4 кг ТМ Стародворье  ПОКОМ</t>
  </si>
  <si>
    <t>завод не отгружает / ТС Обжора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</si>
  <si>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</si>
  <si>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</si>
  <si>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</si>
  <si>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</si>
  <si>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</si>
  <si>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327  Сосиски Сочинки с сыром ТМ Стародворье, ВЕС ПОКОМ</t>
  </si>
  <si>
    <t>нет потребности / нет в бланке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</si>
  <si>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</si>
  <si>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</si>
  <si>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>20,01,25 в уценку 86шт.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</si>
  <si>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</si>
  <si>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</si>
  <si>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</si>
  <si>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>нужно увеличить продажи!!!</t>
  </si>
  <si>
    <t xml:space="preserve"> 339  Колбаса вареная Филейская ТМ Вязанка ТС Классическая, 0,40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</si>
  <si>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</si>
  <si>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</si>
  <si>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</si>
  <si>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</si>
  <si>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</si>
  <si>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</si>
  <si>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</si>
  <si>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</si>
  <si>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>ТС Обжора / 16,04,25 филиал обнулил</t>
  </si>
  <si>
    <t xml:space="preserve"> 394 Ветчина Сочинка с сочным окороком ТМ Стародворье полиамид ф/в 0,35 кг  Поком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</si>
  <si>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</si>
  <si>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</si>
  <si>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</si>
  <si>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</si>
  <si>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 xml:space="preserve"> 408  Ветчина Сливушка с индейкой ТМ Вязанка, 0,4кг  ПОКОМ</t>
  </si>
  <si>
    <t xml:space="preserve"> 419  Колбаса Филейбургская зернистая 0,06 кг нарезка ТМ Баварушка  ПОКОМ</t>
  </si>
  <si>
    <t>нет в бланке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</si>
  <si>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</si>
  <si>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</si>
  <si>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440  Колбаса Любительская ТМ Вязанка в оболочке полиамид.ВЕС ПОКОМ </t>
  </si>
  <si>
    <t>вывод</t>
  </si>
  <si>
    <t xml:space="preserve"> 445  Колбаса Краковюрст ТМ Баварушка рубленая в оболочке черева в в.у 0,2 кг ПОКОМ</t>
  </si>
  <si>
    <t>нет потребности / 22,02,25 в уценку 5шт. / 06,01,25 в уценку 13шт.</t>
  </si>
  <si>
    <t xml:space="preserve"> 447  Колбаски Краковюрст ТМ Баварушка с изысканными пряностями в оболочке NDX в в.у 0,2 кг. ПОКОМ 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</si>
  <si>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</si>
  <si>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</si>
  <si>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453  Колбаса Докторская Филейная ВЕС большой батон ТМ Особый рецепт  ПОКОМ</t>
  </si>
  <si>
    <t xml:space="preserve"> 456  Колбаса Филейная ТМ Особый рецепт ВЕС большой батон  ПОКОМ</t>
  </si>
  <si>
    <t>22,01,25 в уценку 1989кг / ТМА апрель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</si>
  <si>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</si>
  <si>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</si>
  <si>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</si>
  <si>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464  Колбаса Стародворская Традиционная со шпиком оболочке полиамид ТМ Стародворье.</t>
  </si>
  <si>
    <t xml:space="preserve"> 465  Колбаса Филейная оригинальная ВЕС 0,8кг ТМ Особый рецепт в оболочке полиамид  ПОКОМ</t>
  </si>
  <si>
    <t xml:space="preserve"> 490  Колбаса Сервелат Филейский ТМ Вязанка  0,3 кг. срез  ПОКОМ</t>
  </si>
  <si>
    <t xml:space="preserve"> 491  Колбаса Филейская Рубленая ТМ Вязанка  0,3 кг. срез.  ПОКОМ</t>
  </si>
  <si>
    <t>нужно увеличить продажи!!! / 06,01,25 в уценку 26шт.</t>
  </si>
  <si>
    <t xml:space="preserve"> 498  Колбаса Сочинка рубленая с сочным окороком 0,3кг ТМ Стародворье  ПОКОМ</t>
  </si>
  <si>
    <t xml:space="preserve"> 503 Колбаса Филейская со шпиком ТМ Вязанка в оболочке полиамид.ПОКОМ</t>
  </si>
  <si>
    <t>нужно увеличить продажи / новинка</t>
  </si>
  <si>
    <t>090  Мини-салями со вкусом бекона,  0.05кг, ядрена копоть   ПОКОМ</t>
  </si>
  <si>
    <t>новинка</t>
  </si>
  <si>
    <t>255  Сосиски Молочные для завтрака ТМ Особый рецепт, п/а МГС, ВЕС, ТМ Стародворье  ПОКОМ</t>
  </si>
  <si>
    <t>495  Колбаса Сочинка по-европейски с сочной грудинкой 0,3кг ТМ Стародворье  ПОКОМ</t>
  </si>
  <si>
    <t>нужно увеличить продажи</t>
  </si>
  <si>
    <t>496  Колбаса Сочинка по-фински с сочным окроком 0,3кг ТМ Стародворье  ПОКОМ</t>
  </si>
  <si>
    <t>31,01,25 в уценку 96шт.</t>
  </si>
  <si>
    <t>501 Сосиски Филейские по-ганноверски ТМ Вязанка.в оболочке амицел в м.г.с ВЕС. ПОКОМ</t>
  </si>
  <si>
    <t>20,01,25 в уценку 20кг</t>
  </si>
  <si>
    <t>504  Ветчина Мясорубская с окороком 0,33кг срез ТМ Стародворье  ПОКОМ</t>
  </si>
  <si>
    <t>505  Ветчина Стародворская ТМ Стародворье брикет 0,33 кг.  ПОКОМ</t>
  </si>
  <si>
    <t>515  Колбаса Сервелат Мясорубский Делюкс 0,3кг ТМ Стародворье  ПОКОМ</t>
  </si>
  <si>
    <t>517  Сосиски С сыром ТМ Ядрена копоть 0,3кг  ПОКОМ</t>
  </si>
  <si>
    <t>помощь заводу СОСГ</t>
  </si>
  <si>
    <t>519  Грудинка 0,12 кг нарезка ТМ Стародворье  ПОКОМ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</si>
  <si>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с 02,04,25 заказываем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</si>
  <si>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25,01,25 в уценку 108кг</t>
    </r>
  </si>
  <si>
    <t>06,01,25 в уценку 13шт.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</si>
  <si>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09,12,24 в уценку 498кг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</si>
  <si>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11,03,25 списание 7кг (недостача) / 22,01,25 списание 10кг (недостача)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</si>
  <si>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20,12,24 в уценку 51кг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</si>
  <si>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с 13,02,25 заказываем</t>
    </r>
  </si>
  <si>
    <r>
      <rPr>
        <b/>
        <sz val="10"/>
        <rFont val="Arial"/>
        <family val="2"/>
        <charset val="204"/>
      </rPr>
      <t xml:space="preserve">есть ли потребность??? </t>
    </r>
    <r>
      <rPr>
        <sz val="10"/>
        <rFont val="Arial"/>
      </rPr>
      <t>/ 14,04,25 в уценку 7кг / 20,12,24 в уценку 121кг</t>
    </r>
  </si>
  <si>
    <t>заказ</t>
  </si>
  <si>
    <t>21,04,</t>
  </si>
  <si>
    <t>22,04,</t>
  </si>
  <si>
    <t>5,0т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</si>
</sst>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25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2" fontId="0" fillId="0" borderId="0" xfId="0" applyNumberFormat="1"/>
    <xf numFmtId="164" fontId="1" fillId="0" borderId="1" xfId="1" applyNumberForma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5" borderId="2" xfId="1" applyNumberFormat="1" applyFill="1" applyBorder="1"/>
    <xf numFmtId="164" fontId="1" fillId="8" borderId="1" xfId="1" applyNumberFormat="1" applyFill="1"/>
    <xf numFmtId="164" fontId="5" fillId="8" borderId="1" xfId="1" applyNumberFormat="1" applyFont="1" applyFill="1"/>
    <xf numFmtId="164" fontId="4" fillId="8" borderId="1" xfId="1" applyNumberFormat="1" applyFont="1" applyFill="1"/>
    <xf numFmtId="164" fontId="5" fillId="0" borderId="1" xfId="1" applyNumberFormat="1" applyFont="1"/>
    <xf numFmtId="164" fontId="4" fillId="9" borderId="2" xfId="1" applyNumberFormat="1" applyFont="1" applyFill="1" applyBorder="1"/>
    <xf numFmtId="164" fontId="5" fillId="9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V11" sqref="V11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9" customWidth="1"/>
    <col min="8" max="8" width="5" customWidth="1"/>
    <col min="9" max="9" width="12" customWidth="1"/>
    <col min="10" max="21" width="7" customWidth="1"/>
    <col min="22" max="22" width="12.42578125" customWidth="1"/>
    <col min="23" max="24" width="5" customWidth="1"/>
    <col min="25" max="34" width="6" customWidth="1"/>
    <col min="35" max="35" width="21.85546875" customWidth="1"/>
    <col min="36" max="37" width="7" customWidth="1"/>
    <col min="38" max="52" width="8" customWidth="1"/>
  </cols>
  <sheetData>
    <row r="1" spans="1:52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 t="s">
        <v>170</v>
      </c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13</v>
      </c>
      <c r="P3" s="2" t="s">
        <v>13</v>
      </c>
      <c r="Q3" s="2" t="s">
        <v>14</v>
      </c>
      <c r="R3" s="3" t="s">
        <v>15</v>
      </c>
      <c r="S3" s="3" t="s">
        <v>167</v>
      </c>
      <c r="T3" s="3" t="s">
        <v>167</v>
      </c>
      <c r="U3" s="6" t="s">
        <v>16</v>
      </c>
      <c r="V3" s="6" t="s">
        <v>17</v>
      </c>
      <c r="W3" s="2" t="s">
        <v>18</v>
      </c>
      <c r="X3" s="2" t="s">
        <v>19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20</v>
      </c>
      <c r="AE3" s="2" t="s">
        <v>20</v>
      </c>
      <c r="AF3" s="2" t="s">
        <v>20</v>
      </c>
      <c r="AG3" s="2" t="s">
        <v>20</v>
      </c>
      <c r="AH3" s="2" t="s">
        <v>20</v>
      </c>
      <c r="AI3" s="2" t="s">
        <v>21</v>
      </c>
      <c r="AJ3" s="2" t="s">
        <v>22</v>
      </c>
      <c r="AK3" s="2" t="s">
        <v>22</v>
      </c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 t="s">
        <v>23</v>
      </c>
      <c r="O4" s="1" t="s">
        <v>24</v>
      </c>
      <c r="P4" s="1" t="s">
        <v>25</v>
      </c>
      <c r="Q4" s="1" t="s">
        <v>26</v>
      </c>
      <c r="R4" s="1"/>
      <c r="S4" s="1" t="s">
        <v>168</v>
      </c>
      <c r="T4" s="1" t="s">
        <v>169</v>
      </c>
      <c r="U4" s="1"/>
      <c r="V4" s="1"/>
      <c r="W4" s="1"/>
      <c r="X4" s="1"/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 t="s">
        <v>33</v>
      </c>
      <c r="AF4" s="1" t="s">
        <v>34</v>
      </c>
      <c r="AG4" s="1" t="s">
        <v>35</v>
      </c>
      <c r="AH4" s="1" t="s">
        <v>36</v>
      </c>
      <c r="AI4" s="1"/>
      <c r="AJ4" s="1" t="s">
        <v>168</v>
      </c>
      <c r="AK4" s="1" t="s">
        <v>169</v>
      </c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 x14ac:dyDescent="0.25">
      <c r="A5" s="1"/>
      <c r="B5" s="1"/>
      <c r="C5" s="1"/>
      <c r="D5" s="1"/>
      <c r="E5" s="4">
        <f>SUM(E6:E499)</f>
        <v>42686.603000000003</v>
      </c>
      <c r="F5" s="4">
        <f>SUM(F6:F499)</f>
        <v>34280.059000000001</v>
      </c>
      <c r="G5" s="7"/>
      <c r="H5" s="1"/>
      <c r="I5" s="1"/>
      <c r="J5" s="4">
        <f t="shared" ref="J5:U5" si="0">SUM(J6:J499)</f>
        <v>45160.380000000005</v>
      </c>
      <c r="K5" s="4">
        <f t="shared" si="0"/>
        <v>-2473.7769999999991</v>
      </c>
      <c r="L5" s="4">
        <f t="shared" si="0"/>
        <v>35703.146000000001</v>
      </c>
      <c r="M5" s="4">
        <f t="shared" si="0"/>
        <v>6983.4569999999985</v>
      </c>
      <c r="N5" s="4">
        <f t="shared" si="0"/>
        <v>18992.980100000004</v>
      </c>
      <c r="O5" s="4">
        <f t="shared" si="0"/>
        <v>7450</v>
      </c>
      <c r="P5" s="4">
        <f t="shared" si="0"/>
        <v>7820</v>
      </c>
      <c r="Q5" s="4">
        <f t="shared" si="0"/>
        <v>8537.3206000000009</v>
      </c>
      <c r="R5" s="4">
        <f t="shared" si="0"/>
        <v>22485.338400000001</v>
      </c>
      <c r="S5" s="4">
        <f t="shared" si="0"/>
        <v>17485.338399999997</v>
      </c>
      <c r="T5" s="4">
        <f t="shared" si="0"/>
        <v>5000</v>
      </c>
      <c r="U5" s="4">
        <f t="shared" si="0"/>
        <v>0</v>
      </c>
      <c r="V5" s="1"/>
      <c r="W5" s="1"/>
      <c r="X5" s="1"/>
      <c r="Y5" s="4">
        <f t="shared" ref="Y5:AH5" si="1">SUM(Y6:Y499)</f>
        <v>8732.5267999999996</v>
      </c>
      <c r="Z5" s="4">
        <f t="shared" si="1"/>
        <v>6338.3150000000032</v>
      </c>
      <c r="AA5" s="4">
        <f t="shared" si="1"/>
        <v>6262.3490000000029</v>
      </c>
      <c r="AB5" s="4">
        <f t="shared" si="1"/>
        <v>6602.5181999999968</v>
      </c>
      <c r="AC5" s="4">
        <f t="shared" si="1"/>
        <v>6738.6427999999996</v>
      </c>
      <c r="AD5" s="4">
        <f t="shared" si="1"/>
        <v>8099.2839999999978</v>
      </c>
      <c r="AE5" s="4">
        <f t="shared" si="1"/>
        <v>7788.2935999999972</v>
      </c>
      <c r="AF5" s="4">
        <f t="shared" si="1"/>
        <v>7042.1528000000008</v>
      </c>
      <c r="AG5" s="4">
        <f t="shared" si="1"/>
        <v>7176.4040000000005</v>
      </c>
      <c r="AH5" s="4">
        <f t="shared" si="1"/>
        <v>8085.9244000000017</v>
      </c>
      <c r="AI5" s="1"/>
      <c r="AJ5" s="4">
        <f>SUM(AJ6:AJ499)</f>
        <v>15026</v>
      </c>
      <c r="AK5" s="4">
        <f>SUM(AK6:AK499)</f>
        <v>5000</v>
      </c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 x14ac:dyDescent="0.25">
      <c r="A6" s="1" t="s">
        <v>37</v>
      </c>
      <c r="B6" s="1" t="s">
        <v>38</v>
      </c>
      <c r="C6" s="1">
        <v>494.92200000000003</v>
      </c>
      <c r="D6" s="1">
        <v>259.63499999999999</v>
      </c>
      <c r="E6" s="1">
        <v>333.15600000000001</v>
      </c>
      <c r="F6" s="1">
        <v>363.137</v>
      </c>
      <c r="G6" s="7">
        <v>1</v>
      </c>
      <c r="H6" s="1">
        <v>50</v>
      </c>
      <c r="I6" s="1" t="s">
        <v>39</v>
      </c>
      <c r="J6" s="1">
        <v>346.01</v>
      </c>
      <c r="K6" s="1">
        <f t="shared" ref="K6:K37" si="2">E6-J6</f>
        <v>-12.853999999999985</v>
      </c>
      <c r="L6" s="1">
        <f>E6-M6</f>
        <v>300.81400000000002</v>
      </c>
      <c r="M6" s="1">
        <v>32.341999999999999</v>
      </c>
      <c r="N6" s="1">
        <v>164.95280000000011</v>
      </c>
      <c r="O6" s="1"/>
      <c r="P6" s="1"/>
      <c r="Q6" s="1">
        <f>E6/5</f>
        <v>66.631200000000007</v>
      </c>
      <c r="R6" s="5">
        <f>10.5*Q6-P6-O6-N6-F6</f>
        <v>171.53779999999989</v>
      </c>
      <c r="S6" s="5">
        <f>R6-T6</f>
        <v>171.53779999999989</v>
      </c>
      <c r="T6" s="5"/>
      <c r="U6" s="5"/>
      <c r="V6" s="1"/>
      <c r="W6" s="1">
        <f>(F6+N6+O6+P6+R6)/Q6</f>
        <v>10.5</v>
      </c>
      <c r="X6" s="1">
        <f>(F6+N6+O6+P6)/Q6</f>
        <v>7.9255633997286559</v>
      </c>
      <c r="Y6" s="1">
        <v>61.940800000000003</v>
      </c>
      <c r="Z6" s="1">
        <v>60.128399999999999</v>
      </c>
      <c r="AA6" s="1">
        <v>58.212000000000003</v>
      </c>
      <c r="AB6" s="1">
        <v>45.116999999999997</v>
      </c>
      <c r="AC6" s="1">
        <v>68.706600000000009</v>
      </c>
      <c r="AD6" s="1">
        <v>96.895799999999994</v>
      </c>
      <c r="AE6" s="1">
        <v>71.089200000000005</v>
      </c>
      <c r="AF6" s="1">
        <v>93.330200000000005</v>
      </c>
      <c r="AG6" s="1">
        <v>80.022000000000006</v>
      </c>
      <c r="AH6" s="1">
        <v>144.82320000000001</v>
      </c>
      <c r="AI6" s="1"/>
      <c r="AJ6" s="1">
        <f>ROUND(G6*S6,0)</f>
        <v>172</v>
      </c>
      <c r="AK6" s="1">
        <f>ROUND(G6*T6,0)</f>
        <v>0</v>
      </c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</row>
    <row r="7" spans="1:52" x14ac:dyDescent="0.25">
      <c r="A7" s="1" t="s">
        <v>40</v>
      </c>
      <c r="B7" s="1" t="s">
        <v>38</v>
      </c>
      <c r="C7" s="1">
        <v>257.82499999999999</v>
      </c>
      <c r="D7" s="1">
        <v>597.36800000000005</v>
      </c>
      <c r="E7" s="1">
        <v>296.19400000000002</v>
      </c>
      <c r="F7" s="1">
        <v>492.59399999999999</v>
      </c>
      <c r="G7" s="7">
        <v>1</v>
      </c>
      <c r="H7" s="1">
        <v>45</v>
      </c>
      <c r="I7" s="1" t="s">
        <v>39</v>
      </c>
      <c r="J7" s="1">
        <v>296.94799999999998</v>
      </c>
      <c r="K7" s="1">
        <f t="shared" si="2"/>
        <v>-0.75399999999996226</v>
      </c>
      <c r="L7" s="1">
        <f t="shared" ref="L7:L70" si="3">E7-M7</f>
        <v>269.34800000000001</v>
      </c>
      <c r="M7" s="1">
        <v>26.846</v>
      </c>
      <c r="N7" s="1">
        <v>0</v>
      </c>
      <c r="O7" s="1"/>
      <c r="P7" s="1"/>
      <c r="Q7" s="1">
        <f t="shared" ref="Q7:Q70" si="4">E7/5</f>
        <v>59.238800000000005</v>
      </c>
      <c r="R7" s="5">
        <f t="shared" ref="R7:R8" si="5">10.5*Q7-P7-O7-N7-F7</f>
        <v>129.41340000000008</v>
      </c>
      <c r="S7" s="5">
        <f t="shared" ref="S7:S70" si="6">R7-T7</f>
        <v>129.41340000000008</v>
      </c>
      <c r="T7" s="5"/>
      <c r="U7" s="5"/>
      <c r="V7" s="1"/>
      <c r="W7" s="1">
        <f t="shared" ref="W7:W70" si="7">(F7+N7+O7+P7+R7)/Q7</f>
        <v>10.5</v>
      </c>
      <c r="X7" s="1">
        <f t="shared" ref="X7:X70" si="8">(F7+N7+O7+P7)/Q7</f>
        <v>8.3153946399994592</v>
      </c>
      <c r="Y7" s="1">
        <v>56.888199999999998</v>
      </c>
      <c r="Z7" s="1">
        <v>63.382199999999997</v>
      </c>
      <c r="AA7" s="1">
        <v>57.285400000000003</v>
      </c>
      <c r="AB7" s="1">
        <v>34.498199999999997</v>
      </c>
      <c r="AC7" s="1">
        <v>32.542400000000001</v>
      </c>
      <c r="AD7" s="1">
        <v>57.383600000000001</v>
      </c>
      <c r="AE7" s="1">
        <v>49.0274</v>
      </c>
      <c r="AF7" s="1">
        <v>77.212400000000002</v>
      </c>
      <c r="AG7" s="1">
        <v>41.129399999999997</v>
      </c>
      <c r="AH7" s="1">
        <v>55.119000000000007</v>
      </c>
      <c r="AI7" s="1"/>
      <c r="AJ7" s="1">
        <f t="shared" ref="AJ7:AJ70" si="9">ROUND(G7*S7,0)</f>
        <v>129</v>
      </c>
      <c r="AK7" s="1">
        <f t="shared" ref="AK7:AK70" si="10">ROUND(G7*T7,0)</f>
        <v>0</v>
      </c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</row>
    <row r="8" spans="1:52" x14ac:dyDescent="0.25">
      <c r="A8" s="1" t="s">
        <v>41</v>
      </c>
      <c r="B8" s="1" t="s">
        <v>38</v>
      </c>
      <c r="C8" s="1">
        <v>669.255</v>
      </c>
      <c r="D8" s="1">
        <v>1162.3019999999999</v>
      </c>
      <c r="E8" s="1">
        <v>833.04700000000003</v>
      </c>
      <c r="F8" s="1">
        <v>867.86</v>
      </c>
      <c r="G8" s="7">
        <v>1</v>
      </c>
      <c r="H8" s="1">
        <v>45</v>
      </c>
      <c r="I8" s="1" t="s">
        <v>39</v>
      </c>
      <c r="J8" s="1">
        <v>822.654</v>
      </c>
      <c r="K8" s="1">
        <f t="shared" si="2"/>
        <v>10.393000000000029</v>
      </c>
      <c r="L8" s="1">
        <f t="shared" si="3"/>
        <v>791.18100000000004</v>
      </c>
      <c r="M8" s="1">
        <v>41.866</v>
      </c>
      <c r="N8" s="1">
        <v>530.05900000000031</v>
      </c>
      <c r="O8" s="1"/>
      <c r="P8" s="1"/>
      <c r="Q8" s="1">
        <f t="shared" si="4"/>
        <v>166.60939999999999</v>
      </c>
      <c r="R8" s="5">
        <f t="shared" si="5"/>
        <v>351.47969999999953</v>
      </c>
      <c r="S8" s="5">
        <f t="shared" si="6"/>
        <v>351.47969999999953</v>
      </c>
      <c r="T8" s="5"/>
      <c r="U8" s="5"/>
      <c r="V8" s="1"/>
      <c r="W8" s="1">
        <f t="shared" si="7"/>
        <v>10.499999999999998</v>
      </c>
      <c r="X8" s="1">
        <f t="shared" si="8"/>
        <v>8.3903969403887206</v>
      </c>
      <c r="Y8" s="1">
        <v>164.27279999999999</v>
      </c>
      <c r="Z8" s="1">
        <v>143.53819999999999</v>
      </c>
      <c r="AA8" s="1">
        <v>127.19280000000001</v>
      </c>
      <c r="AB8" s="1">
        <v>89.702200000000005</v>
      </c>
      <c r="AC8" s="1">
        <v>109.47539999999999</v>
      </c>
      <c r="AD8" s="1">
        <v>129.8152</v>
      </c>
      <c r="AE8" s="1">
        <v>119.22799999999999</v>
      </c>
      <c r="AF8" s="1">
        <v>205.73759999999999</v>
      </c>
      <c r="AG8" s="1">
        <v>109.92359999999999</v>
      </c>
      <c r="AH8" s="1">
        <v>142.90219999999999</v>
      </c>
      <c r="AI8" s="1"/>
      <c r="AJ8" s="1">
        <f t="shared" si="9"/>
        <v>351</v>
      </c>
      <c r="AK8" s="1">
        <f t="shared" si="10"/>
        <v>0</v>
      </c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</row>
    <row r="9" spans="1:52" x14ac:dyDescent="0.25">
      <c r="A9" s="12" t="s">
        <v>42</v>
      </c>
      <c r="B9" s="12" t="s">
        <v>43</v>
      </c>
      <c r="C9" s="12"/>
      <c r="D9" s="12">
        <v>1</v>
      </c>
      <c r="E9" s="12">
        <v>1</v>
      </c>
      <c r="F9" s="12"/>
      <c r="G9" s="13">
        <v>0</v>
      </c>
      <c r="H9" s="12" t="e">
        <v>#N/A</v>
      </c>
      <c r="I9" s="12" t="s">
        <v>44</v>
      </c>
      <c r="J9" s="12"/>
      <c r="K9" s="12">
        <f t="shared" si="2"/>
        <v>1</v>
      </c>
      <c r="L9" s="12">
        <f t="shared" si="3"/>
        <v>1</v>
      </c>
      <c r="M9" s="12"/>
      <c r="N9" s="12">
        <v>0</v>
      </c>
      <c r="O9" s="12"/>
      <c r="P9" s="12"/>
      <c r="Q9" s="12">
        <f t="shared" si="4"/>
        <v>0.2</v>
      </c>
      <c r="R9" s="14"/>
      <c r="S9" s="5">
        <f t="shared" si="6"/>
        <v>0</v>
      </c>
      <c r="T9" s="14"/>
      <c r="U9" s="14"/>
      <c r="V9" s="12"/>
      <c r="W9" s="12">
        <f t="shared" si="7"/>
        <v>0</v>
      </c>
      <c r="X9" s="12">
        <f t="shared" si="8"/>
        <v>0</v>
      </c>
      <c r="Y9" s="12">
        <v>0.2</v>
      </c>
      <c r="Z9" s="12">
        <v>0.2</v>
      </c>
      <c r="AA9" s="12">
        <v>0.2</v>
      </c>
      <c r="AB9" s="12">
        <v>0</v>
      </c>
      <c r="AC9" s="12">
        <v>0</v>
      </c>
      <c r="AD9" s="12">
        <v>0</v>
      </c>
      <c r="AE9" s="12">
        <v>0</v>
      </c>
      <c r="AF9" s="12">
        <v>0</v>
      </c>
      <c r="AG9" s="12">
        <v>0</v>
      </c>
      <c r="AH9" s="12">
        <v>0</v>
      </c>
      <c r="AI9" s="12"/>
      <c r="AJ9" s="1">
        <f t="shared" si="9"/>
        <v>0</v>
      </c>
      <c r="AK9" s="1">
        <f t="shared" si="10"/>
        <v>0</v>
      </c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</row>
    <row r="10" spans="1:52" x14ac:dyDescent="0.25">
      <c r="A10" s="1" t="s">
        <v>45</v>
      </c>
      <c r="B10" s="1" t="s">
        <v>43</v>
      </c>
      <c r="C10" s="1">
        <v>911.48</v>
      </c>
      <c r="D10" s="1">
        <v>726</v>
      </c>
      <c r="E10" s="1">
        <v>810</v>
      </c>
      <c r="F10" s="1">
        <v>450.48</v>
      </c>
      <c r="G10" s="7">
        <v>0.45</v>
      </c>
      <c r="H10" s="1">
        <v>45</v>
      </c>
      <c r="I10" s="11" t="s">
        <v>46</v>
      </c>
      <c r="J10" s="1">
        <v>1179</v>
      </c>
      <c r="K10" s="1">
        <f t="shared" si="2"/>
        <v>-369</v>
      </c>
      <c r="L10" s="1">
        <f t="shared" si="3"/>
        <v>690</v>
      </c>
      <c r="M10" s="1">
        <v>120</v>
      </c>
      <c r="N10" s="1">
        <v>550</v>
      </c>
      <c r="O10" s="1"/>
      <c r="P10" s="1"/>
      <c r="Q10" s="1">
        <f t="shared" si="4"/>
        <v>162</v>
      </c>
      <c r="R10" s="5">
        <f>10*Q10-P10-O10-N10-F10</f>
        <v>619.52</v>
      </c>
      <c r="S10" s="5">
        <f t="shared" si="6"/>
        <v>619.52</v>
      </c>
      <c r="T10" s="5"/>
      <c r="U10" s="5"/>
      <c r="V10" s="1"/>
      <c r="W10" s="1">
        <f t="shared" si="7"/>
        <v>10</v>
      </c>
      <c r="X10" s="1">
        <f t="shared" si="8"/>
        <v>6.1758024691358022</v>
      </c>
      <c r="Y10" s="1">
        <v>262.39999999999998</v>
      </c>
      <c r="Z10" s="1">
        <v>315.2</v>
      </c>
      <c r="AA10" s="1">
        <v>353.4</v>
      </c>
      <c r="AB10" s="1">
        <v>280.2</v>
      </c>
      <c r="AC10" s="1">
        <v>187.2</v>
      </c>
      <c r="AD10" s="1">
        <v>126</v>
      </c>
      <c r="AE10" s="1">
        <v>110</v>
      </c>
      <c r="AF10" s="1">
        <v>136</v>
      </c>
      <c r="AG10" s="1">
        <v>117.8</v>
      </c>
      <c r="AH10" s="1">
        <v>121</v>
      </c>
      <c r="AI10" s="1" t="s">
        <v>47</v>
      </c>
      <c r="AJ10" s="1">
        <f t="shared" si="9"/>
        <v>279</v>
      </c>
      <c r="AK10" s="1">
        <f t="shared" si="10"/>
        <v>0</v>
      </c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</row>
    <row r="11" spans="1:52" x14ac:dyDescent="0.25">
      <c r="A11" s="1" t="s">
        <v>48</v>
      </c>
      <c r="B11" s="1" t="s">
        <v>43</v>
      </c>
      <c r="C11" s="1">
        <v>1618</v>
      </c>
      <c r="D11" s="1">
        <v>1794</v>
      </c>
      <c r="E11" s="1">
        <v>1192</v>
      </c>
      <c r="F11" s="1">
        <v>1817</v>
      </c>
      <c r="G11" s="7">
        <v>0.45</v>
      </c>
      <c r="H11" s="1">
        <v>45</v>
      </c>
      <c r="I11" s="1" t="s">
        <v>39</v>
      </c>
      <c r="J11" s="1">
        <v>1302</v>
      </c>
      <c r="K11" s="1">
        <f t="shared" si="2"/>
        <v>-110</v>
      </c>
      <c r="L11" s="1">
        <f t="shared" si="3"/>
        <v>982</v>
      </c>
      <c r="M11" s="1">
        <v>210</v>
      </c>
      <c r="N11" s="1">
        <v>571.00000000000045</v>
      </c>
      <c r="O11" s="1"/>
      <c r="P11" s="1"/>
      <c r="Q11" s="1">
        <f t="shared" si="4"/>
        <v>238.4</v>
      </c>
      <c r="R11" s="5">
        <f t="shared" ref="R11:R12" si="11">10.5*Q11-P11-O11-N11-F11</f>
        <v>115.19999999999982</v>
      </c>
      <c r="S11" s="5">
        <f t="shared" si="6"/>
        <v>115.19999999999982</v>
      </c>
      <c r="T11" s="5"/>
      <c r="U11" s="5"/>
      <c r="V11" s="1"/>
      <c r="W11" s="1">
        <f t="shared" si="7"/>
        <v>10.500000000000002</v>
      </c>
      <c r="X11" s="1">
        <f t="shared" si="8"/>
        <v>10.016778523489934</v>
      </c>
      <c r="Y11" s="1">
        <v>268.8</v>
      </c>
      <c r="Z11" s="1">
        <v>255.2</v>
      </c>
      <c r="AA11" s="1">
        <v>258.2</v>
      </c>
      <c r="AB11" s="1">
        <v>260.39999999999998</v>
      </c>
      <c r="AC11" s="1">
        <v>263.2174</v>
      </c>
      <c r="AD11" s="1">
        <v>249.81739999999999</v>
      </c>
      <c r="AE11" s="1">
        <v>228.09</v>
      </c>
      <c r="AF11" s="1">
        <v>223.09</v>
      </c>
      <c r="AG11" s="1">
        <v>198.27420000000001</v>
      </c>
      <c r="AH11" s="1">
        <v>205.67420000000001</v>
      </c>
      <c r="AI11" s="1" t="s">
        <v>47</v>
      </c>
      <c r="AJ11" s="1">
        <f t="shared" si="9"/>
        <v>52</v>
      </c>
      <c r="AK11" s="1">
        <f t="shared" si="10"/>
        <v>0</v>
      </c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</row>
    <row r="12" spans="1:52" x14ac:dyDescent="0.25">
      <c r="A12" s="1" t="s">
        <v>49</v>
      </c>
      <c r="B12" s="1" t="s">
        <v>43</v>
      </c>
      <c r="C12" s="1">
        <v>249</v>
      </c>
      <c r="D12" s="1">
        <v>15</v>
      </c>
      <c r="E12" s="1">
        <v>85</v>
      </c>
      <c r="F12" s="1">
        <v>146</v>
      </c>
      <c r="G12" s="7">
        <v>0.17</v>
      </c>
      <c r="H12" s="1">
        <v>180</v>
      </c>
      <c r="I12" s="1" t="s">
        <v>39</v>
      </c>
      <c r="J12" s="1">
        <v>93</v>
      </c>
      <c r="K12" s="1">
        <f t="shared" si="2"/>
        <v>-8</v>
      </c>
      <c r="L12" s="1">
        <f t="shared" si="3"/>
        <v>70</v>
      </c>
      <c r="M12" s="1">
        <v>15</v>
      </c>
      <c r="N12" s="1">
        <v>16.200000000000021</v>
      </c>
      <c r="O12" s="1"/>
      <c r="P12" s="1"/>
      <c r="Q12" s="1">
        <f t="shared" si="4"/>
        <v>17</v>
      </c>
      <c r="R12" s="5">
        <f t="shared" si="11"/>
        <v>16.299999999999983</v>
      </c>
      <c r="S12" s="5">
        <f t="shared" si="6"/>
        <v>16.299999999999983</v>
      </c>
      <c r="T12" s="5"/>
      <c r="U12" s="5"/>
      <c r="V12" s="1"/>
      <c r="W12" s="1">
        <f t="shared" si="7"/>
        <v>10.5</v>
      </c>
      <c r="X12" s="1">
        <f t="shared" si="8"/>
        <v>9.5411764705882369</v>
      </c>
      <c r="Y12" s="1">
        <v>18.600000000000001</v>
      </c>
      <c r="Z12" s="1">
        <v>20.2</v>
      </c>
      <c r="AA12" s="1">
        <v>16.399999999999999</v>
      </c>
      <c r="AB12" s="1">
        <v>24.6</v>
      </c>
      <c r="AC12" s="1">
        <v>29.8</v>
      </c>
      <c r="AD12" s="1">
        <v>24.6</v>
      </c>
      <c r="AE12" s="1">
        <v>17.8</v>
      </c>
      <c r="AF12" s="1">
        <v>15.2</v>
      </c>
      <c r="AG12" s="1">
        <v>16.2</v>
      </c>
      <c r="AH12" s="1">
        <v>24.4</v>
      </c>
      <c r="AI12" s="1" t="s">
        <v>47</v>
      </c>
      <c r="AJ12" s="1">
        <f t="shared" si="9"/>
        <v>3</v>
      </c>
      <c r="AK12" s="1">
        <f t="shared" si="10"/>
        <v>0</v>
      </c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 spans="1:52" x14ac:dyDescent="0.25">
      <c r="A13" s="1" t="s">
        <v>50</v>
      </c>
      <c r="B13" s="1" t="s">
        <v>43</v>
      </c>
      <c r="C13" s="1">
        <v>5</v>
      </c>
      <c r="D13" s="1">
        <v>37</v>
      </c>
      <c r="E13" s="1">
        <v>6</v>
      </c>
      <c r="F13" s="1">
        <v>35</v>
      </c>
      <c r="G13" s="7">
        <v>0.3</v>
      </c>
      <c r="H13" s="1">
        <v>40</v>
      </c>
      <c r="I13" s="1" t="s">
        <v>39</v>
      </c>
      <c r="J13" s="1">
        <v>12</v>
      </c>
      <c r="K13" s="1">
        <f t="shared" si="2"/>
        <v>-6</v>
      </c>
      <c r="L13" s="1">
        <f t="shared" si="3"/>
        <v>6</v>
      </c>
      <c r="M13" s="1"/>
      <c r="N13" s="1">
        <v>0</v>
      </c>
      <c r="O13" s="1"/>
      <c r="P13" s="1"/>
      <c r="Q13" s="1">
        <f t="shared" si="4"/>
        <v>1.2</v>
      </c>
      <c r="R13" s="5"/>
      <c r="S13" s="5">
        <f t="shared" si="6"/>
        <v>0</v>
      </c>
      <c r="T13" s="5"/>
      <c r="U13" s="5"/>
      <c r="V13" s="1"/>
      <c r="W13" s="1">
        <f t="shared" si="7"/>
        <v>29.166666666666668</v>
      </c>
      <c r="X13" s="1">
        <f t="shared" si="8"/>
        <v>29.166666666666668</v>
      </c>
      <c r="Y13" s="1">
        <v>1</v>
      </c>
      <c r="Z13" s="1">
        <v>2.6</v>
      </c>
      <c r="AA13" s="1">
        <v>2.8</v>
      </c>
      <c r="AB13" s="1">
        <v>0.2</v>
      </c>
      <c r="AC13" s="1">
        <v>0</v>
      </c>
      <c r="AD13" s="1">
        <v>1</v>
      </c>
      <c r="AE13" s="1">
        <v>0.6</v>
      </c>
      <c r="AF13" s="1">
        <v>2</v>
      </c>
      <c r="AG13" s="1">
        <v>0.8</v>
      </c>
      <c r="AH13" s="1">
        <v>1.4</v>
      </c>
      <c r="AI13" s="1"/>
      <c r="AJ13" s="1">
        <f t="shared" si="9"/>
        <v>0</v>
      </c>
      <c r="AK13" s="1">
        <f t="shared" si="10"/>
        <v>0</v>
      </c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 spans="1:52" x14ac:dyDescent="0.25">
      <c r="A14" s="12" t="s">
        <v>51</v>
      </c>
      <c r="B14" s="12" t="s">
        <v>43</v>
      </c>
      <c r="C14" s="12"/>
      <c r="D14" s="12"/>
      <c r="E14" s="12">
        <v>1</v>
      </c>
      <c r="F14" s="12">
        <v>-1</v>
      </c>
      <c r="G14" s="13">
        <v>0</v>
      </c>
      <c r="H14" s="12" t="e">
        <v>#N/A</v>
      </c>
      <c r="I14" s="12" t="s">
        <v>44</v>
      </c>
      <c r="J14" s="12"/>
      <c r="K14" s="12">
        <f t="shared" si="2"/>
        <v>1</v>
      </c>
      <c r="L14" s="12">
        <f t="shared" si="3"/>
        <v>1</v>
      </c>
      <c r="M14" s="12"/>
      <c r="N14" s="12"/>
      <c r="O14" s="12"/>
      <c r="P14" s="12"/>
      <c r="Q14" s="12">
        <f t="shared" si="4"/>
        <v>0.2</v>
      </c>
      <c r="R14" s="14"/>
      <c r="S14" s="5">
        <f t="shared" si="6"/>
        <v>0</v>
      </c>
      <c r="T14" s="14"/>
      <c r="U14" s="14"/>
      <c r="V14" s="12"/>
      <c r="W14" s="12">
        <f t="shared" si="7"/>
        <v>-5</v>
      </c>
      <c r="X14" s="12">
        <f t="shared" si="8"/>
        <v>-5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/>
      <c r="AJ14" s="1">
        <f t="shared" si="9"/>
        <v>0</v>
      </c>
      <c r="AK14" s="1">
        <f t="shared" si="10"/>
        <v>0</v>
      </c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 spans="1:52" x14ac:dyDescent="0.25">
      <c r="A15" s="1" t="s">
        <v>52</v>
      </c>
      <c r="B15" s="1" t="s">
        <v>43</v>
      </c>
      <c r="C15" s="1">
        <v>295</v>
      </c>
      <c r="D15" s="1">
        <v>105</v>
      </c>
      <c r="E15" s="1">
        <v>250</v>
      </c>
      <c r="F15" s="1">
        <v>51</v>
      </c>
      <c r="G15" s="7">
        <v>0.17</v>
      </c>
      <c r="H15" s="1">
        <v>180</v>
      </c>
      <c r="I15" s="1" t="s">
        <v>39</v>
      </c>
      <c r="J15" s="1">
        <v>254</v>
      </c>
      <c r="K15" s="1">
        <f t="shared" si="2"/>
        <v>-4</v>
      </c>
      <c r="L15" s="1">
        <f t="shared" si="3"/>
        <v>145</v>
      </c>
      <c r="M15" s="1">
        <v>105</v>
      </c>
      <c r="N15" s="1">
        <v>265.60000000000002</v>
      </c>
      <c r="O15" s="1"/>
      <c r="P15" s="1"/>
      <c r="Q15" s="1">
        <f t="shared" si="4"/>
        <v>50</v>
      </c>
      <c r="R15" s="5">
        <f t="shared" ref="R15:R21" si="12">10.5*Q15-P15-O15-N15-F15</f>
        <v>208.39999999999998</v>
      </c>
      <c r="S15" s="5">
        <f t="shared" si="6"/>
        <v>208.39999999999998</v>
      </c>
      <c r="T15" s="5"/>
      <c r="U15" s="5"/>
      <c r="V15" s="1"/>
      <c r="W15" s="1">
        <f t="shared" si="7"/>
        <v>10.5</v>
      </c>
      <c r="X15" s="1">
        <f t="shared" si="8"/>
        <v>6.3320000000000007</v>
      </c>
      <c r="Y15" s="1">
        <v>42.8</v>
      </c>
      <c r="Z15" s="1">
        <v>18.8</v>
      </c>
      <c r="AA15" s="1">
        <v>18.399999999999999</v>
      </c>
      <c r="AB15" s="1">
        <v>8.8000000000000007</v>
      </c>
      <c r="AC15" s="1">
        <v>21.4</v>
      </c>
      <c r="AD15" s="1">
        <v>27.4</v>
      </c>
      <c r="AE15" s="1">
        <v>31.2</v>
      </c>
      <c r="AF15" s="1">
        <v>28.4</v>
      </c>
      <c r="AG15" s="1">
        <v>34</v>
      </c>
      <c r="AH15" s="1">
        <v>49</v>
      </c>
      <c r="AI15" s="1"/>
      <c r="AJ15" s="1">
        <f t="shared" si="9"/>
        <v>35</v>
      </c>
      <c r="AK15" s="1">
        <f t="shared" si="10"/>
        <v>0</v>
      </c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</row>
    <row r="16" spans="1:52" x14ac:dyDescent="0.25">
      <c r="A16" s="1" t="s">
        <v>53</v>
      </c>
      <c r="B16" s="1" t="s">
        <v>43</v>
      </c>
      <c r="C16" s="1">
        <v>54</v>
      </c>
      <c r="D16" s="1"/>
      <c r="E16" s="1">
        <v>6</v>
      </c>
      <c r="F16" s="1">
        <v>48</v>
      </c>
      <c r="G16" s="7">
        <v>0.35</v>
      </c>
      <c r="H16" s="1">
        <v>50</v>
      </c>
      <c r="I16" s="1" t="s">
        <v>39</v>
      </c>
      <c r="J16" s="1">
        <v>4</v>
      </c>
      <c r="K16" s="1">
        <f t="shared" si="2"/>
        <v>2</v>
      </c>
      <c r="L16" s="1">
        <f t="shared" si="3"/>
        <v>6</v>
      </c>
      <c r="M16" s="1"/>
      <c r="N16" s="1">
        <v>0</v>
      </c>
      <c r="O16" s="1"/>
      <c r="P16" s="1"/>
      <c r="Q16" s="1">
        <f t="shared" si="4"/>
        <v>1.2</v>
      </c>
      <c r="R16" s="5"/>
      <c r="S16" s="5">
        <f t="shared" si="6"/>
        <v>0</v>
      </c>
      <c r="T16" s="5"/>
      <c r="U16" s="5"/>
      <c r="V16" s="1"/>
      <c r="W16" s="1">
        <f t="shared" si="7"/>
        <v>40</v>
      </c>
      <c r="X16" s="1">
        <f t="shared" si="8"/>
        <v>40</v>
      </c>
      <c r="Y16" s="1">
        <v>1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20" t="s">
        <v>159</v>
      </c>
      <c r="AJ16" s="1">
        <f t="shared" si="9"/>
        <v>0</v>
      </c>
      <c r="AK16" s="1">
        <f t="shared" si="10"/>
        <v>0</v>
      </c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</row>
    <row r="17" spans="1:52" x14ac:dyDescent="0.25">
      <c r="A17" s="1" t="s">
        <v>54</v>
      </c>
      <c r="B17" s="1" t="s">
        <v>43</v>
      </c>
      <c r="C17" s="1">
        <v>100</v>
      </c>
      <c r="D17" s="1">
        <v>168</v>
      </c>
      <c r="E17" s="1">
        <v>46</v>
      </c>
      <c r="F17" s="1">
        <v>177</v>
      </c>
      <c r="G17" s="7">
        <v>0.35</v>
      </c>
      <c r="H17" s="1">
        <v>50</v>
      </c>
      <c r="I17" s="1" t="s">
        <v>39</v>
      </c>
      <c r="J17" s="1">
        <v>53</v>
      </c>
      <c r="K17" s="1">
        <f t="shared" si="2"/>
        <v>-7</v>
      </c>
      <c r="L17" s="1">
        <f t="shared" si="3"/>
        <v>46</v>
      </c>
      <c r="M17" s="1"/>
      <c r="N17" s="1">
        <v>0</v>
      </c>
      <c r="O17" s="1"/>
      <c r="P17" s="1"/>
      <c r="Q17" s="1">
        <f t="shared" si="4"/>
        <v>9.1999999999999993</v>
      </c>
      <c r="R17" s="5"/>
      <c r="S17" s="5">
        <f t="shared" si="6"/>
        <v>0</v>
      </c>
      <c r="T17" s="5"/>
      <c r="U17" s="5"/>
      <c r="V17" s="1"/>
      <c r="W17" s="1">
        <f t="shared" si="7"/>
        <v>19.239130434782609</v>
      </c>
      <c r="X17" s="1">
        <f t="shared" si="8"/>
        <v>19.239130434782609</v>
      </c>
      <c r="Y17" s="1">
        <v>17</v>
      </c>
      <c r="Z17" s="1">
        <v>19.8</v>
      </c>
      <c r="AA17" s="1">
        <v>15.2</v>
      </c>
      <c r="AB17" s="1">
        <v>19.2</v>
      </c>
      <c r="AC17" s="1">
        <v>18</v>
      </c>
      <c r="AD17" s="1">
        <v>11.4</v>
      </c>
      <c r="AE17" s="1">
        <v>11.4</v>
      </c>
      <c r="AF17" s="1">
        <v>9.1999999999999993</v>
      </c>
      <c r="AG17" s="1">
        <v>12.6</v>
      </c>
      <c r="AH17" s="1">
        <v>15.6</v>
      </c>
      <c r="AI17" s="1" t="s">
        <v>47</v>
      </c>
      <c r="AJ17" s="1">
        <f t="shared" si="9"/>
        <v>0</v>
      </c>
      <c r="AK17" s="1">
        <f t="shared" si="10"/>
        <v>0</v>
      </c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</row>
    <row r="18" spans="1:52" x14ac:dyDescent="0.25">
      <c r="A18" s="1" t="s">
        <v>55</v>
      </c>
      <c r="B18" s="1" t="s">
        <v>38</v>
      </c>
      <c r="C18" s="1">
        <v>1191.8920000000001</v>
      </c>
      <c r="D18" s="1">
        <v>1383.81</v>
      </c>
      <c r="E18" s="1">
        <v>1491.9380000000001</v>
      </c>
      <c r="F18" s="1">
        <v>921.97799999999995</v>
      </c>
      <c r="G18" s="7">
        <v>1</v>
      </c>
      <c r="H18" s="1">
        <v>55</v>
      </c>
      <c r="I18" s="1" t="s">
        <v>39</v>
      </c>
      <c r="J18" s="1">
        <v>1470.1</v>
      </c>
      <c r="K18" s="1">
        <f t="shared" si="2"/>
        <v>21.838000000000193</v>
      </c>
      <c r="L18" s="1">
        <f t="shared" si="3"/>
        <v>1460.2280000000001</v>
      </c>
      <c r="M18" s="1">
        <v>31.71</v>
      </c>
      <c r="N18" s="1">
        <v>608.44360000000052</v>
      </c>
      <c r="O18" s="1">
        <v>500</v>
      </c>
      <c r="P18" s="1">
        <v>500</v>
      </c>
      <c r="Q18" s="1">
        <f t="shared" si="4"/>
        <v>298.38760000000002</v>
      </c>
      <c r="R18" s="5">
        <f>11*Q18-P18-O18-N18-F18</f>
        <v>751.84199999999976</v>
      </c>
      <c r="S18" s="5">
        <f t="shared" si="6"/>
        <v>751.84199999999976</v>
      </c>
      <c r="T18" s="5"/>
      <c r="U18" s="5"/>
      <c r="V18" s="1"/>
      <c r="W18" s="1">
        <f t="shared" si="7"/>
        <v>11</v>
      </c>
      <c r="X18" s="1">
        <f t="shared" si="8"/>
        <v>8.4803175467077061</v>
      </c>
      <c r="Y18" s="1">
        <v>274.70600000000002</v>
      </c>
      <c r="Z18" s="1">
        <v>206.38939999999999</v>
      </c>
      <c r="AA18" s="1">
        <v>193.7028</v>
      </c>
      <c r="AB18" s="1">
        <v>201.4074</v>
      </c>
      <c r="AC18" s="1">
        <v>310.33399999999989</v>
      </c>
      <c r="AD18" s="1">
        <v>398.28039999999999</v>
      </c>
      <c r="AE18" s="1">
        <v>324.76940000000002</v>
      </c>
      <c r="AF18" s="1">
        <v>301.13979999999998</v>
      </c>
      <c r="AG18" s="1">
        <v>383.67419999999998</v>
      </c>
      <c r="AH18" s="1">
        <v>451.68860000000012</v>
      </c>
      <c r="AI18" s="1"/>
      <c r="AJ18" s="1">
        <f t="shared" si="9"/>
        <v>752</v>
      </c>
      <c r="AK18" s="1">
        <f t="shared" si="10"/>
        <v>0</v>
      </c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</row>
    <row r="19" spans="1:52" x14ac:dyDescent="0.25">
      <c r="A19" s="1" t="s">
        <v>56</v>
      </c>
      <c r="B19" s="1" t="s">
        <v>38</v>
      </c>
      <c r="C19" s="1">
        <v>2344.3020000000001</v>
      </c>
      <c r="D19" s="1">
        <v>2756.174</v>
      </c>
      <c r="E19" s="1">
        <v>2733.424</v>
      </c>
      <c r="F19" s="1">
        <v>1256.8889999999999</v>
      </c>
      <c r="G19" s="7">
        <v>1</v>
      </c>
      <c r="H19" s="1">
        <v>50</v>
      </c>
      <c r="I19" s="1" t="s">
        <v>39</v>
      </c>
      <c r="J19" s="1">
        <v>2955.8560000000002</v>
      </c>
      <c r="K19" s="1">
        <f t="shared" si="2"/>
        <v>-222.43200000000024</v>
      </c>
      <c r="L19" s="1">
        <f t="shared" si="3"/>
        <v>1744.838</v>
      </c>
      <c r="M19" s="1">
        <v>988.58600000000001</v>
      </c>
      <c r="N19" s="1">
        <v>1026.847299999999</v>
      </c>
      <c r="O19" s="1">
        <v>1000</v>
      </c>
      <c r="P19" s="1">
        <v>1000</v>
      </c>
      <c r="Q19" s="1">
        <f t="shared" si="4"/>
        <v>546.6848</v>
      </c>
      <c r="R19" s="5">
        <v>1500</v>
      </c>
      <c r="S19" s="5">
        <f t="shared" si="6"/>
        <v>700</v>
      </c>
      <c r="T19" s="5">
        <v>800</v>
      </c>
      <c r="U19" s="5"/>
      <c r="V19" s="1"/>
      <c r="W19" s="1">
        <f t="shared" si="7"/>
        <v>10.579654491948558</v>
      </c>
      <c r="X19" s="1">
        <f t="shared" si="8"/>
        <v>7.8358430671567945</v>
      </c>
      <c r="Y19" s="1">
        <v>527.30619999999999</v>
      </c>
      <c r="Z19" s="1">
        <v>267.09339999999997</v>
      </c>
      <c r="AA19" s="1">
        <v>251.4836</v>
      </c>
      <c r="AB19" s="1">
        <v>292.53859999999997</v>
      </c>
      <c r="AC19" s="1">
        <v>235.83619999999999</v>
      </c>
      <c r="AD19" s="1">
        <v>536.05899999999997</v>
      </c>
      <c r="AE19" s="1">
        <v>581.779</v>
      </c>
      <c r="AF19" s="1">
        <v>386.68200000000002</v>
      </c>
      <c r="AG19" s="1">
        <v>436.22439999999989</v>
      </c>
      <c r="AH19" s="1">
        <v>475.40159999999997</v>
      </c>
      <c r="AI19" s="1"/>
      <c r="AJ19" s="1">
        <f t="shared" si="9"/>
        <v>700</v>
      </c>
      <c r="AK19" s="1">
        <f t="shared" si="10"/>
        <v>800</v>
      </c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</row>
    <row r="20" spans="1:52" x14ac:dyDescent="0.25">
      <c r="A20" s="1" t="s">
        <v>57</v>
      </c>
      <c r="B20" s="1" t="s">
        <v>38</v>
      </c>
      <c r="C20" s="1">
        <v>108.682</v>
      </c>
      <c r="D20" s="1">
        <v>251.32400000000001</v>
      </c>
      <c r="E20" s="1">
        <v>135.07400000000001</v>
      </c>
      <c r="F20" s="1">
        <v>188.91399999999999</v>
      </c>
      <c r="G20" s="7">
        <v>1</v>
      </c>
      <c r="H20" s="1">
        <v>60</v>
      </c>
      <c r="I20" s="1" t="s">
        <v>39</v>
      </c>
      <c r="J20" s="1">
        <v>138.30000000000001</v>
      </c>
      <c r="K20" s="1">
        <f t="shared" si="2"/>
        <v>-3.2259999999999991</v>
      </c>
      <c r="L20" s="1">
        <f t="shared" si="3"/>
        <v>135.07400000000001</v>
      </c>
      <c r="M20" s="1"/>
      <c r="N20" s="1">
        <v>0</v>
      </c>
      <c r="O20" s="1"/>
      <c r="P20" s="1"/>
      <c r="Q20" s="1">
        <f t="shared" si="4"/>
        <v>27.014800000000001</v>
      </c>
      <c r="R20" s="5">
        <f t="shared" si="12"/>
        <v>94.741399999999999</v>
      </c>
      <c r="S20" s="5">
        <f t="shared" si="6"/>
        <v>94.741399999999999</v>
      </c>
      <c r="T20" s="5"/>
      <c r="U20" s="5"/>
      <c r="V20" s="1"/>
      <c r="W20" s="1">
        <f t="shared" si="7"/>
        <v>10.499999999999998</v>
      </c>
      <c r="X20" s="1">
        <f t="shared" si="8"/>
        <v>6.992981624887098</v>
      </c>
      <c r="Y20" s="1">
        <v>22.9268</v>
      </c>
      <c r="Z20" s="1">
        <v>29.660399999999999</v>
      </c>
      <c r="AA20" s="1">
        <v>26.854800000000001</v>
      </c>
      <c r="AB20" s="1">
        <v>21.146599999999999</v>
      </c>
      <c r="AC20" s="1">
        <v>24.0246</v>
      </c>
      <c r="AD20" s="1">
        <v>29.0502</v>
      </c>
      <c r="AE20" s="1">
        <v>27.303000000000001</v>
      </c>
      <c r="AF20" s="1">
        <v>19.429400000000001</v>
      </c>
      <c r="AG20" s="1">
        <v>23.8124</v>
      </c>
      <c r="AH20" s="1">
        <v>25.540199999999999</v>
      </c>
      <c r="AI20" s="1"/>
      <c r="AJ20" s="1">
        <f t="shared" si="9"/>
        <v>95</v>
      </c>
      <c r="AK20" s="1">
        <f t="shared" si="10"/>
        <v>0</v>
      </c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</row>
    <row r="21" spans="1:52" x14ac:dyDescent="0.25">
      <c r="A21" s="1" t="s">
        <v>58</v>
      </c>
      <c r="B21" s="1" t="s">
        <v>38</v>
      </c>
      <c r="C21" s="1">
        <v>3925.259</v>
      </c>
      <c r="D21" s="1">
        <v>1592.9480000000001</v>
      </c>
      <c r="E21" s="1">
        <v>2094.2829999999999</v>
      </c>
      <c r="F21" s="1">
        <v>1863.114</v>
      </c>
      <c r="G21" s="7">
        <v>1</v>
      </c>
      <c r="H21" s="1">
        <v>60</v>
      </c>
      <c r="I21" s="1" t="s">
        <v>39</v>
      </c>
      <c r="J21" s="1">
        <v>2188.9479999999999</v>
      </c>
      <c r="K21" s="1">
        <f t="shared" si="2"/>
        <v>-94.664999999999964</v>
      </c>
      <c r="L21" s="1">
        <f t="shared" si="3"/>
        <v>501.43499999999995</v>
      </c>
      <c r="M21" s="1">
        <v>1592.848</v>
      </c>
      <c r="N21" s="1">
        <v>1241.0775999999989</v>
      </c>
      <c r="O21" s="1"/>
      <c r="P21" s="1">
        <v>500</v>
      </c>
      <c r="Q21" s="1">
        <f t="shared" si="4"/>
        <v>418.85659999999996</v>
      </c>
      <c r="R21" s="5">
        <f t="shared" si="12"/>
        <v>793.80270000000064</v>
      </c>
      <c r="S21" s="5">
        <f t="shared" si="6"/>
        <v>793.80270000000064</v>
      </c>
      <c r="T21" s="5"/>
      <c r="U21" s="5"/>
      <c r="V21" s="1"/>
      <c r="W21" s="1">
        <f t="shared" si="7"/>
        <v>10.500000000000002</v>
      </c>
      <c r="X21" s="1">
        <f t="shared" si="8"/>
        <v>8.6048342081753031</v>
      </c>
      <c r="Y21" s="1">
        <v>404.33440000000002</v>
      </c>
      <c r="Z21" s="1">
        <v>160.50620000000001</v>
      </c>
      <c r="AA21" s="1">
        <v>167.1514</v>
      </c>
      <c r="AB21" s="1">
        <v>272.83499999999998</v>
      </c>
      <c r="AC21" s="1">
        <v>336.50259999999997</v>
      </c>
      <c r="AD21" s="1">
        <v>275.95479999999998</v>
      </c>
      <c r="AE21" s="1">
        <v>196.05439999999999</v>
      </c>
      <c r="AF21" s="1">
        <v>219.8048</v>
      </c>
      <c r="AG21" s="1">
        <v>358.10300000000001</v>
      </c>
      <c r="AH21" s="1">
        <v>199.55439999999999</v>
      </c>
      <c r="AI21" s="1"/>
      <c r="AJ21" s="1">
        <f t="shared" si="9"/>
        <v>794</v>
      </c>
      <c r="AK21" s="1">
        <f t="shared" si="10"/>
        <v>0</v>
      </c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</row>
    <row r="22" spans="1:52" x14ac:dyDescent="0.25">
      <c r="A22" s="15" t="s">
        <v>59</v>
      </c>
      <c r="B22" s="15" t="s">
        <v>38</v>
      </c>
      <c r="C22" s="15"/>
      <c r="D22" s="15"/>
      <c r="E22" s="15"/>
      <c r="F22" s="15"/>
      <c r="G22" s="16">
        <v>0</v>
      </c>
      <c r="H22" s="15">
        <v>60</v>
      </c>
      <c r="I22" s="15" t="s">
        <v>39</v>
      </c>
      <c r="J22" s="15"/>
      <c r="K22" s="15">
        <f t="shared" si="2"/>
        <v>0</v>
      </c>
      <c r="L22" s="15">
        <f t="shared" si="3"/>
        <v>0</v>
      </c>
      <c r="M22" s="15"/>
      <c r="N22" s="15">
        <v>0</v>
      </c>
      <c r="O22" s="15"/>
      <c r="P22" s="15"/>
      <c r="Q22" s="15">
        <f t="shared" si="4"/>
        <v>0</v>
      </c>
      <c r="R22" s="17"/>
      <c r="S22" s="5">
        <f t="shared" si="6"/>
        <v>0</v>
      </c>
      <c r="T22" s="17"/>
      <c r="U22" s="17"/>
      <c r="V22" s="15"/>
      <c r="W22" s="15" t="e">
        <f t="shared" si="7"/>
        <v>#DIV/0!</v>
      </c>
      <c r="X22" s="15" t="e">
        <f t="shared" si="8"/>
        <v>#DIV/0!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15">
        <v>0</v>
      </c>
      <c r="AH22" s="15">
        <v>0</v>
      </c>
      <c r="AI22" s="15" t="s">
        <v>60</v>
      </c>
      <c r="AJ22" s="1">
        <f t="shared" si="9"/>
        <v>0</v>
      </c>
      <c r="AK22" s="1">
        <f t="shared" si="10"/>
        <v>0</v>
      </c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</row>
    <row r="23" spans="1:52" x14ac:dyDescent="0.25">
      <c r="A23" s="1" t="s">
        <v>61</v>
      </c>
      <c r="B23" s="1" t="s">
        <v>38</v>
      </c>
      <c r="C23" s="1">
        <v>3277.163</v>
      </c>
      <c r="D23" s="1">
        <v>3356.6</v>
      </c>
      <c r="E23" s="1">
        <v>3200.4560000000001</v>
      </c>
      <c r="F23" s="1">
        <v>3014.527</v>
      </c>
      <c r="G23" s="7">
        <v>1</v>
      </c>
      <c r="H23" s="1">
        <v>60</v>
      </c>
      <c r="I23" s="1" t="s">
        <v>39</v>
      </c>
      <c r="J23" s="1">
        <v>3100.04</v>
      </c>
      <c r="K23" s="1">
        <f t="shared" si="2"/>
        <v>100.41600000000017</v>
      </c>
      <c r="L23" s="1">
        <f t="shared" si="3"/>
        <v>3152.9660000000003</v>
      </c>
      <c r="M23" s="1">
        <v>47.49</v>
      </c>
      <c r="N23" s="1">
        <v>919.74800000000278</v>
      </c>
      <c r="O23" s="1">
        <v>500</v>
      </c>
      <c r="P23" s="1">
        <v>500</v>
      </c>
      <c r="Q23" s="1">
        <f t="shared" si="4"/>
        <v>640.09120000000007</v>
      </c>
      <c r="R23" s="5">
        <f>11*Q23-P23-O23-N23-F23</f>
        <v>2106.7281999999977</v>
      </c>
      <c r="S23" s="5">
        <f t="shared" si="6"/>
        <v>1106.7281999999977</v>
      </c>
      <c r="T23" s="5">
        <v>1000</v>
      </c>
      <c r="U23" s="5"/>
      <c r="V23" s="1"/>
      <c r="W23" s="1">
        <f t="shared" si="7"/>
        <v>11</v>
      </c>
      <c r="X23" s="1">
        <f t="shared" si="8"/>
        <v>7.7087061968669506</v>
      </c>
      <c r="Y23" s="1">
        <v>606.77560000000005</v>
      </c>
      <c r="Z23" s="1">
        <v>537.21879999999999</v>
      </c>
      <c r="AA23" s="1">
        <v>516.37740000000008</v>
      </c>
      <c r="AB23" s="1">
        <v>434.51839999999999</v>
      </c>
      <c r="AC23" s="1">
        <v>439.80700000000007</v>
      </c>
      <c r="AD23" s="1">
        <v>668.41700000000003</v>
      </c>
      <c r="AE23" s="1">
        <v>686.20619999999997</v>
      </c>
      <c r="AF23" s="1">
        <v>491.83839999999998</v>
      </c>
      <c r="AG23" s="1">
        <v>547.68860000000006</v>
      </c>
      <c r="AH23" s="1">
        <v>673.61239999999998</v>
      </c>
      <c r="AI23" s="1" t="s">
        <v>62</v>
      </c>
      <c r="AJ23" s="1">
        <f t="shared" si="9"/>
        <v>1107</v>
      </c>
      <c r="AK23" s="1">
        <f t="shared" si="10"/>
        <v>1000</v>
      </c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</row>
    <row r="24" spans="1:52" x14ac:dyDescent="0.25">
      <c r="A24" s="1" t="s">
        <v>63</v>
      </c>
      <c r="B24" s="1" t="s">
        <v>38</v>
      </c>
      <c r="C24" s="1">
        <v>700.90800000000002</v>
      </c>
      <c r="D24" s="1">
        <v>1071.5899999999999</v>
      </c>
      <c r="E24" s="1">
        <v>900.93200000000002</v>
      </c>
      <c r="F24" s="1">
        <v>735.48</v>
      </c>
      <c r="G24" s="7">
        <v>1</v>
      </c>
      <c r="H24" s="1">
        <v>60</v>
      </c>
      <c r="I24" s="1" t="s">
        <v>39</v>
      </c>
      <c r="J24" s="1">
        <v>1000.51</v>
      </c>
      <c r="K24" s="1">
        <f t="shared" si="2"/>
        <v>-99.577999999999975</v>
      </c>
      <c r="L24" s="1">
        <f t="shared" si="3"/>
        <v>853.62200000000007</v>
      </c>
      <c r="M24" s="1">
        <v>47.31</v>
      </c>
      <c r="N24" s="1">
        <v>546.16480000000013</v>
      </c>
      <c r="O24" s="1"/>
      <c r="P24" s="1"/>
      <c r="Q24" s="1">
        <f t="shared" si="4"/>
        <v>180.18639999999999</v>
      </c>
      <c r="R24" s="5">
        <f t="shared" ref="R24:R26" si="13">10.5*Q24-P24-O24-N24-F24</f>
        <v>610.3123999999998</v>
      </c>
      <c r="S24" s="5">
        <f t="shared" si="6"/>
        <v>610.3123999999998</v>
      </c>
      <c r="T24" s="5"/>
      <c r="U24" s="5"/>
      <c r="V24" s="1"/>
      <c r="W24" s="1">
        <f t="shared" si="7"/>
        <v>10.5</v>
      </c>
      <c r="X24" s="1">
        <f t="shared" si="8"/>
        <v>7.1128831032752755</v>
      </c>
      <c r="Y24" s="1">
        <v>161.7552</v>
      </c>
      <c r="Z24" s="1">
        <v>140.8828</v>
      </c>
      <c r="AA24" s="1">
        <v>154.36920000000001</v>
      </c>
      <c r="AB24" s="1">
        <v>112.0834</v>
      </c>
      <c r="AC24" s="1">
        <v>125.7568</v>
      </c>
      <c r="AD24" s="1">
        <v>132.44640000000001</v>
      </c>
      <c r="AE24" s="1">
        <v>97.144800000000004</v>
      </c>
      <c r="AF24" s="1">
        <v>103.6504</v>
      </c>
      <c r="AG24" s="1">
        <v>92.827399999999997</v>
      </c>
      <c r="AH24" s="1">
        <v>112.0784</v>
      </c>
      <c r="AI24" s="1" t="s">
        <v>62</v>
      </c>
      <c r="AJ24" s="1">
        <f t="shared" si="9"/>
        <v>610</v>
      </c>
      <c r="AK24" s="1">
        <f t="shared" si="10"/>
        <v>0</v>
      </c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</row>
    <row r="25" spans="1:52" x14ac:dyDescent="0.25">
      <c r="A25" s="1" t="s">
        <v>64</v>
      </c>
      <c r="B25" s="1" t="s">
        <v>38</v>
      </c>
      <c r="C25" s="1">
        <v>922.75599999999997</v>
      </c>
      <c r="D25" s="1">
        <v>1447.0219999999999</v>
      </c>
      <c r="E25" s="1">
        <v>1102.751</v>
      </c>
      <c r="F25" s="1">
        <v>1110.8599999999999</v>
      </c>
      <c r="G25" s="7">
        <v>1</v>
      </c>
      <c r="H25" s="1">
        <v>60</v>
      </c>
      <c r="I25" s="1" t="s">
        <v>39</v>
      </c>
      <c r="J25" s="1">
        <v>1172.144</v>
      </c>
      <c r="K25" s="1">
        <f t="shared" si="2"/>
        <v>-69.393000000000029</v>
      </c>
      <c r="L25" s="1">
        <f t="shared" si="3"/>
        <v>1071.1009999999999</v>
      </c>
      <c r="M25" s="1">
        <v>31.65</v>
      </c>
      <c r="N25" s="1">
        <v>545.88979999999992</v>
      </c>
      <c r="O25" s="1"/>
      <c r="P25" s="1"/>
      <c r="Q25" s="1">
        <f t="shared" si="4"/>
        <v>220.55019999999999</v>
      </c>
      <c r="R25" s="5">
        <f t="shared" si="13"/>
        <v>659.02729999999997</v>
      </c>
      <c r="S25" s="5">
        <f t="shared" si="6"/>
        <v>659.02729999999997</v>
      </c>
      <c r="T25" s="5"/>
      <c r="U25" s="5"/>
      <c r="V25" s="1"/>
      <c r="W25" s="1">
        <f t="shared" si="7"/>
        <v>10.5</v>
      </c>
      <c r="X25" s="1">
        <f t="shared" si="8"/>
        <v>7.5118943442354613</v>
      </c>
      <c r="Y25" s="1">
        <v>204.3252</v>
      </c>
      <c r="Z25" s="1">
        <v>181.23599999999999</v>
      </c>
      <c r="AA25" s="1">
        <v>207.1456</v>
      </c>
      <c r="AB25" s="1">
        <v>153.3486</v>
      </c>
      <c r="AC25" s="1">
        <v>169.1464</v>
      </c>
      <c r="AD25" s="1">
        <v>177.07560000000001</v>
      </c>
      <c r="AE25" s="1">
        <v>111.5564</v>
      </c>
      <c r="AF25" s="1">
        <v>146.03460000000001</v>
      </c>
      <c r="AG25" s="1">
        <v>129.23740000000001</v>
      </c>
      <c r="AH25" s="1">
        <v>169.82660000000001</v>
      </c>
      <c r="AI25" s="1" t="s">
        <v>62</v>
      </c>
      <c r="AJ25" s="1">
        <f t="shared" si="9"/>
        <v>659</v>
      </c>
      <c r="AK25" s="1">
        <f t="shared" si="10"/>
        <v>0</v>
      </c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</row>
    <row r="26" spans="1:52" x14ac:dyDescent="0.25">
      <c r="A26" s="1" t="s">
        <v>65</v>
      </c>
      <c r="B26" s="1" t="s">
        <v>38</v>
      </c>
      <c r="C26" s="1">
        <v>1231.2819999999999</v>
      </c>
      <c r="D26" s="1">
        <v>496.61399999999998</v>
      </c>
      <c r="E26" s="1">
        <v>1178.0840000000001</v>
      </c>
      <c r="F26" s="1">
        <v>463.49</v>
      </c>
      <c r="G26" s="7">
        <v>1</v>
      </c>
      <c r="H26" s="1">
        <v>60</v>
      </c>
      <c r="I26" s="1" t="s">
        <v>39</v>
      </c>
      <c r="J26" s="1">
        <v>1139.6969999999999</v>
      </c>
      <c r="K26" s="1">
        <f t="shared" si="2"/>
        <v>38.387000000000171</v>
      </c>
      <c r="L26" s="1">
        <f t="shared" si="3"/>
        <v>1130.7190000000001</v>
      </c>
      <c r="M26" s="1">
        <v>47.365000000000002</v>
      </c>
      <c r="N26" s="1">
        <v>574.97040000000015</v>
      </c>
      <c r="O26" s="1">
        <v>500</v>
      </c>
      <c r="P26" s="1"/>
      <c r="Q26" s="1">
        <f t="shared" si="4"/>
        <v>235.61680000000001</v>
      </c>
      <c r="R26" s="5">
        <f t="shared" si="13"/>
        <v>935.51599999999985</v>
      </c>
      <c r="S26" s="5">
        <f t="shared" si="6"/>
        <v>935.51599999999985</v>
      </c>
      <c r="T26" s="5"/>
      <c r="U26" s="5"/>
      <c r="V26" s="1"/>
      <c r="W26" s="1">
        <f t="shared" si="7"/>
        <v>10.5</v>
      </c>
      <c r="X26" s="1">
        <f t="shared" si="8"/>
        <v>6.5295021407641567</v>
      </c>
      <c r="Y26" s="1">
        <v>203.40199999999999</v>
      </c>
      <c r="Z26" s="1">
        <v>136.2996</v>
      </c>
      <c r="AA26" s="1">
        <v>134.27719999999999</v>
      </c>
      <c r="AB26" s="1">
        <v>169.32679999999999</v>
      </c>
      <c r="AC26" s="1">
        <v>268.72460000000001</v>
      </c>
      <c r="AD26" s="1">
        <v>363.09100000000001</v>
      </c>
      <c r="AE26" s="1">
        <v>276.38380000000001</v>
      </c>
      <c r="AF26" s="1">
        <v>235.2038</v>
      </c>
      <c r="AG26" s="1">
        <v>370.42840000000001</v>
      </c>
      <c r="AH26" s="1">
        <v>503.1662</v>
      </c>
      <c r="AI26" s="1"/>
      <c r="AJ26" s="1">
        <f t="shared" si="9"/>
        <v>936</v>
      </c>
      <c r="AK26" s="1">
        <f t="shared" si="10"/>
        <v>0</v>
      </c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</row>
    <row r="27" spans="1:52" x14ac:dyDescent="0.25">
      <c r="A27" s="15" t="s">
        <v>66</v>
      </c>
      <c r="B27" s="15" t="s">
        <v>38</v>
      </c>
      <c r="C27" s="15"/>
      <c r="D27" s="15"/>
      <c r="E27" s="15"/>
      <c r="F27" s="15"/>
      <c r="G27" s="16">
        <v>0</v>
      </c>
      <c r="H27" s="15">
        <v>30</v>
      </c>
      <c r="I27" s="15" t="s">
        <v>39</v>
      </c>
      <c r="J27" s="15"/>
      <c r="K27" s="15">
        <f t="shared" si="2"/>
        <v>0</v>
      </c>
      <c r="L27" s="15">
        <f t="shared" si="3"/>
        <v>0</v>
      </c>
      <c r="M27" s="15"/>
      <c r="N27" s="15">
        <v>0</v>
      </c>
      <c r="O27" s="15"/>
      <c r="P27" s="15"/>
      <c r="Q27" s="15">
        <f t="shared" si="4"/>
        <v>0</v>
      </c>
      <c r="R27" s="17"/>
      <c r="S27" s="5">
        <f t="shared" si="6"/>
        <v>0</v>
      </c>
      <c r="T27" s="17"/>
      <c r="U27" s="17"/>
      <c r="V27" s="15"/>
      <c r="W27" s="15" t="e">
        <f t="shared" si="7"/>
        <v>#DIV/0!</v>
      </c>
      <c r="X27" s="15" t="e">
        <f t="shared" si="8"/>
        <v>#DIV/0!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  <c r="AH27" s="15">
        <v>0</v>
      </c>
      <c r="AI27" s="15" t="s">
        <v>60</v>
      </c>
      <c r="AJ27" s="1">
        <f t="shared" si="9"/>
        <v>0</v>
      </c>
      <c r="AK27" s="1">
        <f t="shared" si="10"/>
        <v>0</v>
      </c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</row>
    <row r="28" spans="1:52" x14ac:dyDescent="0.25">
      <c r="A28" s="15" t="s">
        <v>67</v>
      </c>
      <c r="B28" s="15" t="s">
        <v>38</v>
      </c>
      <c r="C28" s="15"/>
      <c r="D28" s="15"/>
      <c r="E28" s="15"/>
      <c r="F28" s="15"/>
      <c r="G28" s="16">
        <v>0</v>
      </c>
      <c r="H28" s="15">
        <v>30</v>
      </c>
      <c r="I28" s="15" t="s">
        <v>39</v>
      </c>
      <c r="J28" s="15"/>
      <c r="K28" s="15">
        <f t="shared" si="2"/>
        <v>0</v>
      </c>
      <c r="L28" s="15">
        <f t="shared" si="3"/>
        <v>0</v>
      </c>
      <c r="M28" s="15"/>
      <c r="N28" s="15">
        <v>0</v>
      </c>
      <c r="O28" s="15"/>
      <c r="P28" s="15"/>
      <c r="Q28" s="15">
        <f t="shared" si="4"/>
        <v>0</v>
      </c>
      <c r="R28" s="17"/>
      <c r="S28" s="5">
        <f t="shared" si="6"/>
        <v>0</v>
      </c>
      <c r="T28" s="17"/>
      <c r="U28" s="17"/>
      <c r="V28" s="15"/>
      <c r="W28" s="15" t="e">
        <f t="shared" si="7"/>
        <v>#DIV/0!</v>
      </c>
      <c r="X28" s="15" t="e">
        <f t="shared" si="8"/>
        <v>#DIV/0!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  <c r="AH28" s="15">
        <v>0</v>
      </c>
      <c r="AI28" s="15" t="s">
        <v>60</v>
      </c>
      <c r="AJ28" s="1">
        <f t="shared" si="9"/>
        <v>0</v>
      </c>
      <c r="AK28" s="1">
        <f t="shared" si="10"/>
        <v>0</v>
      </c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</row>
    <row r="29" spans="1:52" x14ac:dyDescent="0.25">
      <c r="A29" s="1" t="s">
        <v>68</v>
      </c>
      <c r="B29" s="1" t="s">
        <v>38</v>
      </c>
      <c r="C29" s="1">
        <v>970.92399999999998</v>
      </c>
      <c r="D29" s="1">
        <v>1371.7639999999999</v>
      </c>
      <c r="E29" s="1">
        <v>994.93499999999995</v>
      </c>
      <c r="F29" s="1">
        <v>898.02</v>
      </c>
      <c r="G29" s="7">
        <v>1</v>
      </c>
      <c r="H29" s="1">
        <v>30</v>
      </c>
      <c r="I29" s="1" t="s">
        <v>39</v>
      </c>
      <c r="J29" s="1">
        <v>1035.4290000000001</v>
      </c>
      <c r="K29" s="1">
        <f t="shared" si="2"/>
        <v>-40.494000000000142</v>
      </c>
      <c r="L29" s="1">
        <f t="shared" si="3"/>
        <v>696.10599999999999</v>
      </c>
      <c r="M29" s="1">
        <v>298.82900000000001</v>
      </c>
      <c r="N29" s="1">
        <v>813.25020000000018</v>
      </c>
      <c r="O29" s="1"/>
      <c r="P29" s="1"/>
      <c r="Q29" s="1">
        <f t="shared" si="4"/>
        <v>198.98699999999999</v>
      </c>
      <c r="R29" s="5">
        <f>10.5*Q29-P29-O29-N29-F29</f>
        <v>378.09329999999977</v>
      </c>
      <c r="S29" s="5">
        <f t="shared" si="6"/>
        <v>378.09329999999977</v>
      </c>
      <c r="T29" s="5"/>
      <c r="U29" s="5"/>
      <c r="V29" s="1"/>
      <c r="W29" s="1">
        <f t="shared" si="7"/>
        <v>10.5</v>
      </c>
      <c r="X29" s="1">
        <f t="shared" si="8"/>
        <v>8.5999095418293674</v>
      </c>
      <c r="Y29" s="1">
        <v>201.74520000000001</v>
      </c>
      <c r="Z29" s="1">
        <v>138.4486</v>
      </c>
      <c r="AA29" s="1">
        <v>139.56200000000001</v>
      </c>
      <c r="AB29" s="1">
        <v>107.913</v>
      </c>
      <c r="AC29" s="1">
        <v>127.68940000000001</v>
      </c>
      <c r="AD29" s="1">
        <v>172.2902</v>
      </c>
      <c r="AE29" s="1">
        <v>142.6968</v>
      </c>
      <c r="AF29" s="1">
        <v>193.83279999999999</v>
      </c>
      <c r="AG29" s="1">
        <v>148.1738</v>
      </c>
      <c r="AH29" s="1">
        <v>156.25899999999999</v>
      </c>
      <c r="AI29" s="1"/>
      <c r="AJ29" s="1">
        <f t="shared" si="9"/>
        <v>378</v>
      </c>
      <c r="AK29" s="1">
        <f t="shared" si="10"/>
        <v>0</v>
      </c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</row>
    <row r="30" spans="1:52" x14ac:dyDescent="0.25">
      <c r="A30" s="15" t="s">
        <v>69</v>
      </c>
      <c r="B30" s="15" t="s">
        <v>38</v>
      </c>
      <c r="C30" s="15"/>
      <c r="D30" s="15"/>
      <c r="E30" s="15"/>
      <c r="F30" s="15"/>
      <c r="G30" s="16">
        <v>0</v>
      </c>
      <c r="H30" s="15">
        <v>45</v>
      </c>
      <c r="I30" s="15" t="s">
        <v>39</v>
      </c>
      <c r="J30" s="15"/>
      <c r="K30" s="15">
        <f t="shared" si="2"/>
        <v>0</v>
      </c>
      <c r="L30" s="15">
        <f t="shared" si="3"/>
        <v>0</v>
      </c>
      <c r="M30" s="15"/>
      <c r="N30" s="15">
        <v>0</v>
      </c>
      <c r="O30" s="15"/>
      <c r="P30" s="15"/>
      <c r="Q30" s="15">
        <f t="shared" si="4"/>
        <v>0</v>
      </c>
      <c r="R30" s="17"/>
      <c r="S30" s="5">
        <f t="shared" si="6"/>
        <v>0</v>
      </c>
      <c r="T30" s="17"/>
      <c r="U30" s="17"/>
      <c r="V30" s="15"/>
      <c r="W30" s="15" t="e">
        <f t="shared" si="7"/>
        <v>#DIV/0!</v>
      </c>
      <c r="X30" s="15" t="e">
        <f t="shared" si="8"/>
        <v>#DIV/0!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 t="s">
        <v>60</v>
      </c>
      <c r="AJ30" s="1">
        <f t="shared" si="9"/>
        <v>0</v>
      </c>
      <c r="AK30" s="1">
        <f t="shared" si="10"/>
        <v>0</v>
      </c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</row>
    <row r="31" spans="1:52" x14ac:dyDescent="0.25">
      <c r="A31" s="15" t="s">
        <v>70</v>
      </c>
      <c r="B31" s="15" t="s">
        <v>38</v>
      </c>
      <c r="C31" s="15">
        <v>756.56399999999996</v>
      </c>
      <c r="D31" s="15">
        <v>89.819000000000003</v>
      </c>
      <c r="E31" s="15">
        <v>89.819000000000003</v>
      </c>
      <c r="F31" s="15"/>
      <c r="G31" s="16">
        <v>0</v>
      </c>
      <c r="H31" s="15">
        <v>40</v>
      </c>
      <c r="I31" s="15" t="s">
        <v>39</v>
      </c>
      <c r="J31" s="15">
        <v>89.819000000000003</v>
      </c>
      <c r="K31" s="15">
        <f t="shared" si="2"/>
        <v>0</v>
      </c>
      <c r="L31" s="15">
        <f t="shared" si="3"/>
        <v>89.819000000000003</v>
      </c>
      <c r="M31" s="15"/>
      <c r="N31" s="15">
        <v>0</v>
      </c>
      <c r="O31" s="15"/>
      <c r="P31" s="15"/>
      <c r="Q31" s="15">
        <f t="shared" si="4"/>
        <v>17.963799999999999</v>
      </c>
      <c r="R31" s="17"/>
      <c r="S31" s="5">
        <f t="shared" si="6"/>
        <v>0</v>
      </c>
      <c r="T31" s="17"/>
      <c r="U31" s="17"/>
      <c r="V31" s="15"/>
      <c r="W31" s="15">
        <f t="shared" si="7"/>
        <v>0</v>
      </c>
      <c r="X31" s="15">
        <f t="shared" si="8"/>
        <v>0</v>
      </c>
      <c r="Y31" s="15">
        <v>169.2766</v>
      </c>
      <c r="Z31" s="15">
        <v>24.254799999999999</v>
      </c>
      <c r="AA31" s="15">
        <v>24.254799999999999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 t="s">
        <v>60</v>
      </c>
      <c r="AJ31" s="1">
        <f t="shared" si="9"/>
        <v>0</v>
      </c>
      <c r="AK31" s="1">
        <f t="shared" si="10"/>
        <v>0</v>
      </c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</row>
    <row r="32" spans="1:52" x14ac:dyDescent="0.25">
      <c r="A32" s="15" t="s">
        <v>71</v>
      </c>
      <c r="B32" s="15" t="s">
        <v>38</v>
      </c>
      <c r="C32" s="15"/>
      <c r="D32" s="15"/>
      <c r="E32" s="15"/>
      <c r="F32" s="15"/>
      <c r="G32" s="16">
        <v>0</v>
      </c>
      <c r="H32" s="15">
        <v>30</v>
      </c>
      <c r="I32" s="15" t="s">
        <v>39</v>
      </c>
      <c r="J32" s="15"/>
      <c r="K32" s="15">
        <f t="shared" si="2"/>
        <v>0</v>
      </c>
      <c r="L32" s="15">
        <f t="shared" si="3"/>
        <v>0</v>
      </c>
      <c r="M32" s="15"/>
      <c r="N32" s="15">
        <v>0</v>
      </c>
      <c r="O32" s="15"/>
      <c r="P32" s="15"/>
      <c r="Q32" s="15">
        <f t="shared" si="4"/>
        <v>0</v>
      </c>
      <c r="R32" s="17"/>
      <c r="S32" s="5">
        <f t="shared" si="6"/>
        <v>0</v>
      </c>
      <c r="T32" s="17"/>
      <c r="U32" s="17"/>
      <c r="V32" s="15"/>
      <c r="W32" s="15" t="e">
        <f t="shared" si="7"/>
        <v>#DIV/0!</v>
      </c>
      <c r="X32" s="15" t="e">
        <f t="shared" si="8"/>
        <v>#DIV/0!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 t="s">
        <v>60</v>
      </c>
      <c r="AJ32" s="1">
        <f t="shared" si="9"/>
        <v>0</v>
      </c>
      <c r="AK32" s="1">
        <f t="shared" si="10"/>
        <v>0</v>
      </c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</row>
    <row r="33" spans="1:52" x14ac:dyDescent="0.25">
      <c r="A33" s="15" t="s">
        <v>72</v>
      </c>
      <c r="B33" s="15" t="s">
        <v>38</v>
      </c>
      <c r="C33" s="15"/>
      <c r="D33" s="15"/>
      <c r="E33" s="15"/>
      <c r="F33" s="15"/>
      <c r="G33" s="16">
        <v>0</v>
      </c>
      <c r="H33" s="15">
        <v>50</v>
      </c>
      <c r="I33" s="15" t="s">
        <v>39</v>
      </c>
      <c r="J33" s="15"/>
      <c r="K33" s="15">
        <f t="shared" si="2"/>
        <v>0</v>
      </c>
      <c r="L33" s="15">
        <f t="shared" si="3"/>
        <v>0</v>
      </c>
      <c r="M33" s="15"/>
      <c r="N33" s="15">
        <v>0</v>
      </c>
      <c r="O33" s="15"/>
      <c r="P33" s="15"/>
      <c r="Q33" s="15">
        <f t="shared" si="4"/>
        <v>0</v>
      </c>
      <c r="R33" s="17"/>
      <c r="S33" s="5">
        <f t="shared" si="6"/>
        <v>0</v>
      </c>
      <c r="T33" s="17"/>
      <c r="U33" s="17"/>
      <c r="V33" s="15"/>
      <c r="W33" s="15" t="e">
        <f t="shared" si="7"/>
        <v>#DIV/0!</v>
      </c>
      <c r="X33" s="15" t="e">
        <f t="shared" si="8"/>
        <v>#DIV/0!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 t="s">
        <v>60</v>
      </c>
      <c r="AJ33" s="1">
        <f t="shared" si="9"/>
        <v>0</v>
      </c>
      <c r="AK33" s="1">
        <f t="shared" si="10"/>
        <v>0</v>
      </c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</row>
    <row r="34" spans="1:52" x14ac:dyDescent="0.25">
      <c r="A34" s="1" t="s">
        <v>73</v>
      </c>
      <c r="B34" s="1" t="s">
        <v>38</v>
      </c>
      <c r="C34" s="1">
        <v>60.540999999999997</v>
      </c>
      <c r="D34" s="1"/>
      <c r="E34" s="1">
        <v>17.366</v>
      </c>
      <c r="F34" s="1">
        <v>40.402000000000001</v>
      </c>
      <c r="G34" s="7">
        <v>1</v>
      </c>
      <c r="H34" s="1">
        <v>50</v>
      </c>
      <c r="I34" s="1" t="s">
        <v>39</v>
      </c>
      <c r="J34" s="1">
        <v>18.399999999999999</v>
      </c>
      <c r="K34" s="1">
        <f t="shared" si="2"/>
        <v>-1.0339999999999989</v>
      </c>
      <c r="L34" s="1">
        <f t="shared" si="3"/>
        <v>17.366</v>
      </c>
      <c r="M34" s="1"/>
      <c r="N34" s="1">
        <v>0</v>
      </c>
      <c r="O34" s="1"/>
      <c r="P34" s="1"/>
      <c r="Q34" s="1">
        <f t="shared" si="4"/>
        <v>3.4731999999999998</v>
      </c>
      <c r="R34" s="5"/>
      <c r="S34" s="5">
        <f t="shared" si="6"/>
        <v>0</v>
      </c>
      <c r="T34" s="5"/>
      <c r="U34" s="5"/>
      <c r="V34" s="1"/>
      <c r="W34" s="1">
        <f t="shared" si="7"/>
        <v>11.632500287918923</v>
      </c>
      <c r="X34" s="1">
        <f t="shared" si="8"/>
        <v>11.632500287918923</v>
      </c>
      <c r="Y34" s="1">
        <v>3.1503999999999999</v>
      </c>
      <c r="Z34" s="1">
        <v>1.6772</v>
      </c>
      <c r="AA34" s="1">
        <v>1.8615999999999999</v>
      </c>
      <c r="AB34" s="1">
        <v>2.0434000000000001</v>
      </c>
      <c r="AC34" s="1">
        <v>7.6715999999999998</v>
      </c>
      <c r="AD34" s="1">
        <v>6.3672000000000004</v>
      </c>
      <c r="AE34" s="1">
        <v>0.55359999999999998</v>
      </c>
      <c r="AF34" s="1">
        <v>1.4683999999999999</v>
      </c>
      <c r="AG34" s="1">
        <v>8.0381999999999998</v>
      </c>
      <c r="AH34" s="1">
        <v>9.3176000000000005</v>
      </c>
      <c r="AI34" s="20" t="s">
        <v>160</v>
      </c>
      <c r="AJ34" s="1">
        <f t="shared" si="9"/>
        <v>0</v>
      </c>
      <c r="AK34" s="1">
        <f t="shared" si="10"/>
        <v>0</v>
      </c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</row>
    <row r="35" spans="1:52" x14ac:dyDescent="0.25">
      <c r="A35" s="1" t="s">
        <v>74</v>
      </c>
      <c r="B35" s="1" t="s">
        <v>43</v>
      </c>
      <c r="C35" s="1">
        <v>1402</v>
      </c>
      <c r="D35" s="1">
        <v>2094</v>
      </c>
      <c r="E35" s="1">
        <v>1261</v>
      </c>
      <c r="F35" s="1">
        <v>1890</v>
      </c>
      <c r="G35" s="7">
        <v>0.4</v>
      </c>
      <c r="H35" s="1">
        <v>45</v>
      </c>
      <c r="I35" s="1" t="s">
        <v>39</v>
      </c>
      <c r="J35" s="1">
        <v>1368</v>
      </c>
      <c r="K35" s="1">
        <f t="shared" si="2"/>
        <v>-107</v>
      </c>
      <c r="L35" s="1">
        <f t="shared" si="3"/>
        <v>1057</v>
      </c>
      <c r="M35" s="1">
        <v>204</v>
      </c>
      <c r="N35" s="1">
        <v>550.00000000000045</v>
      </c>
      <c r="O35" s="1"/>
      <c r="P35" s="1"/>
      <c r="Q35" s="1">
        <f t="shared" si="4"/>
        <v>252.2</v>
      </c>
      <c r="R35" s="5">
        <f t="shared" ref="R35:R37" si="14">10.5*Q35-P35-O35-N35-F35</f>
        <v>208.09999999999945</v>
      </c>
      <c r="S35" s="5">
        <f t="shared" si="6"/>
        <v>208.09999999999945</v>
      </c>
      <c r="T35" s="5"/>
      <c r="U35" s="5"/>
      <c r="V35" s="1"/>
      <c r="W35" s="1">
        <f t="shared" si="7"/>
        <v>10.5</v>
      </c>
      <c r="X35" s="1">
        <f t="shared" si="8"/>
        <v>9.6748612212529768</v>
      </c>
      <c r="Y35" s="1">
        <v>273.8</v>
      </c>
      <c r="Z35" s="1">
        <v>246.2</v>
      </c>
      <c r="AA35" s="1">
        <v>241.6</v>
      </c>
      <c r="AB35" s="1">
        <v>218.2</v>
      </c>
      <c r="AC35" s="1">
        <v>230.2</v>
      </c>
      <c r="AD35" s="1">
        <v>246.2</v>
      </c>
      <c r="AE35" s="1">
        <v>213.6</v>
      </c>
      <c r="AF35" s="1">
        <v>222.2</v>
      </c>
      <c r="AG35" s="1">
        <v>185</v>
      </c>
      <c r="AH35" s="1">
        <v>197</v>
      </c>
      <c r="AI35" s="1" t="s">
        <v>47</v>
      </c>
      <c r="AJ35" s="1">
        <f t="shared" si="9"/>
        <v>83</v>
      </c>
      <c r="AK35" s="1">
        <f t="shared" si="10"/>
        <v>0</v>
      </c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</row>
    <row r="36" spans="1:52" x14ac:dyDescent="0.25">
      <c r="A36" s="1" t="s">
        <v>75</v>
      </c>
      <c r="B36" s="1" t="s">
        <v>43</v>
      </c>
      <c r="C36" s="1">
        <v>351</v>
      </c>
      <c r="D36" s="1">
        <v>310</v>
      </c>
      <c r="E36" s="1">
        <v>230</v>
      </c>
      <c r="F36" s="1">
        <v>368</v>
      </c>
      <c r="G36" s="7">
        <v>0.45</v>
      </c>
      <c r="H36" s="1">
        <v>50</v>
      </c>
      <c r="I36" s="1" t="s">
        <v>39</v>
      </c>
      <c r="J36" s="1">
        <v>257</v>
      </c>
      <c r="K36" s="1">
        <f t="shared" si="2"/>
        <v>-27</v>
      </c>
      <c r="L36" s="1">
        <f t="shared" si="3"/>
        <v>230</v>
      </c>
      <c r="M36" s="1"/>
      <c r="N36" s="1">
        <v>151</v>
      </c>
      <c r="O36" s="1"/>
      <c r="P36" s="1"/>
      <c r="Q36" s="1">
        <f t="shared" si="4"/>
        <v>46</v>
      </c>
      <c r="R36" s="5"/>
      <c r="S36" s="5">
        <f t="shared" si="6"/>
        <v>0</v>
      </c>
      <c r="T36" s="5"/>
      <c r="U36" s="5"/>
      <c r="V36" s="1"/>
      <c r="W36" s="1">
        <f t="shared" si="7"/>
        <v>11.282608695652174</v>
      </c>
      <c r="X36" s="1">
        <f t="shared" si="8"/>
        <v>11.282608695652174</v>
      </c>
      <c r="Y36" s="1">
        <v>58</v>
      </c>
      <c r="Z36" s="1">
        <v>49.2</v>
      </c>
      <c r="AA36" s="1">
        <v>61.2</v>
      </c>
      <c r="AB36" s="1">
        <v>83.2</v>
      </c>
      <c r="AC36" s="1">
        <v>70.400000000000006</v>
      </c>
      <c r="AD36" s="1">
        <v>17.399999999999999</v>
      </c>
      <c r="AE36" s="1">
        <v>37.200000000000003</v>
      </c>
      <c r="AF36" s="1">
        <v>259.60000000000002</v>
      </c>
      <c r="AG36" s="1">
        <v>355.8</v>
      </c>
      <c r="AH36" s="1">
        <v>181</v>
      </c>
      <c r="AI36" s="1" t="s">
        <v>76</v>
      </c>
      <c r="AJ36" s="1">
        <f t="shared" si="9"/>
        <v>0</v>
      </c>
      <c r="AK36" s="1">
        <f t="shared" si="10"/>
        <v>0</v>
      </c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</row>
    <row r="37" spans="1:52" x14ac:dyDescent="0.25">
      <c r="A37" s="1" t="s">
        <v>77</v>
      </c>
      <c r="B37" s="1" t="s">
        <v>43</v>
      </c>
      <c r="C37" s="1">
        <v>841</v>
      </c>
      <c r="D37" s="1">
        <v>1494</v>
      </c>
      <c r="E37" s="1">
        <v>1044</v>
      </c>
      <c r="F37" s="1">
        <v>1036</v>
      </c>
      <c r="G37" s="7">
        <v>0.4</v>
      </c>
      <c r="H37" s="1">
        <v>45</v>
      </c>
      <c r="I37" s="1" t="s">
        <v>39</v>
      </c>
      <c r="J37" s="1">
        <v>1118</v>
      </c>
      <c r="K37" s="1">
        <f t="shared" si="2"/>
        <v>-74</v>
      </c>
      <c r="L37" s="1">
        <f t="shared" si="3"/>
        <v>840</v>
      </c>
      <c r="M37" s="1">
        <v>204</v>
      </c>
      <c r="N37" s="1">
        <v>702.99999999999977</v>
      </c>
      <c r="O37" s="1"/>
      <c r="P37" s="1"/>
      <c r="Q37" s="1">
        <f t="shared" si="4"/>
        <v>208.8</v>
      </c>
      <c r="R37" s="5">
        <f t="shared" si="14"/>
        <v>453.40000000000032</v>
      </c>
      <c r="S37" s="5">
        <f t="shared" si="6"/>
        <v>453.40000000000032</v>
      </c>
      <c r="T37" s="5"/>
      <c r="U37" s="5"/>
      <c r="V37" s="1"/>
      <c r="W37" s="1">
        <f t="shared" si="7"/>
        <v>10.5</v>
      </c>
      <c r="X37" s="1">
        <f t="shared" si="8"/>
        <v>8.3285440613026811</v>
      </c>
      <c r="Y37" s="1">
        <v>201.2</v>
      </c>
      <c r="Z37" s="1">
        <v>186.8</v>
      </c>
      <c r="AA37" s="1">
        <v>186.2</v>
      </c>
      <c r="AB37" s="1">
        <v>149</v>
      </c>
      <c r="AC37" s="1">
        <v>139.19999999999999</v>
      </c>
      <c r="AD37" s="1">
        <v>165.4</v>
      </c>
      <c r="AE37" s="1">
        <v>172</v>
      </c>
      <c r="AF37" s="1">
        <v>185.6</v>
      </c>
      <c r="AG37" s="1">
        <v>141.80000000000001</v>
      </c>
      <c r="AH37" s="1">
        <v>150.19999999999999</v>
      </c>
      <c r="AI37" s="1"/>
      <c r="AJ37" s="1">
        <f t="shared" si="9"/>
        <v>181</v>
      </c>
      <c r="AK37" s="1">
        <f t="shared" si="10"/>
        <v>0</v>
      </c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 x14ac:dyDescent="0.25">
      <c r="A38" s="1" t="s">
        <v>78</v>
      </c>
      <c r="B38" s="1" t="s">
        <v>38</v>
      </c>
      <c r="C38" s="1">
        <v>625.76</v>
      </c>
      <c r="D38" s="1">
        <v>439.76</v>
      </c>
      <c r="E38" s="1">
        <v>300.02100000000002</v>
      </c>
      <c r="F38" s="1">
        <v>568.38699999999994</v>
      </c>
      <c r="G38" s="7">
        <v>1</v>
      </c>
      <c r="H38" s="1">
        <v>45</v>
      </c>
      <c r="I38" s="1" t="s">
        <v>39</v>
      </c>
      <c r="J38" s="1">
        <v>285.267</v>
      </c>
      <c r="K38" s="1">
        <f t="shared" ref="K38:K69" si="15">E38-J38</f>
        <v>14.754000000000019</v>
      </c>
      <c r="L38" s="1">
        <f t="shared" si="3"/>
        <v>256.959</v>
      </c>
      <c r="M38" s="1">
        <v>43.061999999999998</v>
      </c>
      <c r="N38" s="1">
        <v>187.7195999999999</v>
      </c>
      <c r="O38" s="1"/>
      <c r="P38" s="1"/>
      <c r="Q38" s="1">
        <f t="shared" si="4"/>
        <v>60.004200000000004</v>
      </c>
      <c r="R38" s="5"/>
      <c r="S38" s="5">
        <f t="shared" si="6"/>
        <v>0</v>
      </c>
      <c r="T38" s="5"/>
      <c r="U38" s="5"/>
      <c r="V38" s="1"/>
      <c r="W38" s="1">
        <f t="shared" si="7"/>
        <v>12.600894604044379</v>
      </c>
      <c r="X38" s="1">
        <f t="shared" si="8"/>
        <v>12.600894604044379</v>
      </c>
      <c r="Y38" s="1">
        <v>85.956800000000001</v>
      </c>
      <c r="Z38" s="1">
        <v>70.850600000000014</v>
      </c>
      <c r="AA38" s="1">
        <v>61.820800000000013</v>
      </c>
      <c r="AB38" s="1">
        <v>70.298199999999994</v>
      </c>
      <c r="AC38" s="1">
        <v>81.474199999999996</v>
      </c>
      <c r="AD38" s="1">
        <v>74.7346</v>
      </c>
      <c r="AE38" s="1">
        <v>41.038200000000003</v>
      </c>
      <c r="AF38" s="1">
        <v>70.729799999999997</v>
      </c>
      <c r="AG38" s="1">
        <v>51.452599999999997</v>
      </c>
      <c r="AH38" s="1">
        <v>43.813600000000001</v>
      </c>
      <c r="AI38" s="1"/>
      <c r="AJ38" s="1">
        <f t="shared" si="9"/>
        <v>0</v>
      </c>
      <c r="AK38" s="1">
        <f t="shared" si="10"/>
        <v>0</v>
      </c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 x14ac:dyDescent="0.25">
      <c r="A39" s="15" t="s">
        <v>79</v>
      </c>
      <c r="B39" s="15" t="s">
        <v>43</v>
      </c>
      <c r="C39" s="15"/>
      <c r="D39" s="15"/>
      <c r="E39" s="15">
        <v>1</v>
      </c>
      <c r="F39" s="15">
        <v>-1</v>
      </c>
      <c r="G39" s="16">
        <v>0</v>
      </c>
      <c r="H39" s="15">
        <v>45</v>
      </c>
      <c r="I39" s="15" t="s">
        <v>39</v>
      </c>
      <c r="J39" s="15">
        <v>1</v>
      </c>
      <c r="K39" s="15">
        <f t="shared" si="15"/>
        <v>0</v>
      </c>
      <c r="L39" s="15">
        <f t="shared" si="3"/>
        <v>1</v>
      </c>
      <c r="M39" s="15"/>
      <c r="N39" s="15">
        <v>0</v>
      </c>
      <c r="O39" s="15"/>
      <c r="P39" s="15"/>
      <c r="Q39" s="15">
        <f t="shared" si="4"/>
        <v>0.2</v>
      </c>
      <c r="R39" s="17"/>
      <c r="S39" s="5">
        <f t="shared" si="6"/>
        <v>0</v>
      </c>
      <c r="T39" s="17"/>
      <c r="U39" s="17"/>
      <c r="V39" s="15"/>
      <c r="W39" s="15">
        <f t="shared" si="7"/>
        <v>-5</v>
      </c>
      <c r="X39" s="15">
        <f t="shared" si="8"/>
        <v>-5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0.2</v>
      </c>
      <c r="AE39" s="15">
        <v>0.2</v>
      </c>
      <c r="AF39" s="15">
        <v>0</v>
      </c>
      <c r="AG39" s="15">
        <v>0</v>
      </c>
      <c r="AH39" s="15">
        <v>0</v>
      </c>
      <c r="AI39" s="15" t="s">
        <v>60</v>
      </c>
      <c r="AJ39" s="1">
        <f t="shared" si="9"/>
        <v>0</v>
      </c>
      <c r="AK39" s="1">
        <f t="shared" si="10"/>
        <v>0</v>
      </c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</row>
    <row r="40" spans="1:52" x14ac:dyDescent="0.25">
      <c r="A40" s="1" t="s">
        <v>80</v>
      </c>
      <c r="B40" s="1" t="s">
        <v>43</v>
      </c>
      <c r="C40" s="1">
        <v>351</v>
      </c>
      <c r="D40" s="1">
        <v>330</v>
      </c>
      <c r="E40" s="1">
        <v>507</v>
      </c>
      <c r="F40" s="1">
        <v>64</v>
      </c>
      <c r="G40" s="7">
        <v>0.35</v>
      </c>
      <c r="H40" s="1">
        <v>40</v>
      </c>
      <c r="I40" s="1" t="s">
        <v>39</v>
      </c>
      <c r="J40" s="1">
        <v>640</v>
      </c>
      <c r="K40" s="1">
        <f t="shared" si="15"/>
        <v>-133</v>
      </c>
      <c r="L40" s="1">
        <f t="shared" si="3"/>
        <v>447</v>
      </c>
      <c r="M40" s="1">
        <v>60</v>
      </c>
      <c r="N40" s="1">
        <v>643</v>
      </c>
      <c r="O40" s="1"/>
      <c r="P40" s="1"/>
      <c r="Q40" s="1">
        <f t="shared" si="4"/>
        <v>101.4</v>
      </c>
      <c r="R40" s="5">
        <f t="shared" ref="R40:R48" si="16">10.5*Q40-P40-O40-N40-F40</f>
        <v>357.70000000000005</v>
      </c>
      <c r="S40" s="5">
        <f t="shared" si="6"/>
        <v>357.70000000000005</v>
      </c>
      <c r="T40" s="5"/>
      <c r="U40" s="5"/>
      <c r="V40" s="1"/>
      <c r="W40" s="1">
        <f t="shared" si="7"/>
        <v>10.5</v>
      </c>
      <c r="X40" s="1">
        <f t="shared" si="8"/>
        <v>6.9723865877712026</v>
      </c>
      <c r="Y40" s="1">
        <v>104</v>
      </c>
      <c r="Z40" s="1">
        <v>36.6</v>
      </c>
      <c r="AA40" s="1">
        <v>34</v>
      </c>
      <c r="AB40" s="1">
        <v>59.2</v>
      </c>
      <c r="AC40" s="1">
        <v>47.8</v>
      </c>
      <c r="AD40" s="1">
        <v>27</v>
      </c>
      <c r="AE40" s="1">
        <v>29</v>
      </c>
      <c r="AF40" s="1">
        <v>46.4</v>
      </c>
      <c r="AG40" s="1">
        <v>35</v>
      </c>
      <c r="AH40" s="1">
        <v>33.6</v>
      </c>
      <c r="AI40" s="1" t="s">
        <v>62</v>
      </c>
      <c r="AJ40" s="1">
        <f t="shared" si="9"/>
        <v>125</v>
      </c>
      <c r="AK40" s="1">
        <f t="shared" si="10"/>
        <v>0</v>
      </c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</row>
    <row r="41" spans="1:52" x14ac:dyDescent="0.25">
      <c r="A41" s="1" t="s">
        <v>81</v>
      </c>
      <c r="B41" s="1" t="s">
        <v>38</v>
      </c>
      <c r="C41" s="1">
        <v>117.33</v>
      </c>
      <c r="D41" s="1"/>
      <c r="E41" s="1">
        <v>53.530999999999999</v>
      </c>
      <c r="F41" s="1">
        <v>50.048999999999999</v>
      </c>
      <c r="G41" s="7">
        <v>1</v>
      </c>
      <c r="H41" s="1">
        <v>40</v>
      </c>
      <c r="I41" s="1" t="s">
        <v>39</v>
      </c>
      <c r="J41" s="1">
        <v>64.900000000000006</v>
      </c>
      <c r="K41" s="1">
        <f t="shared" si="15"/>
        <v>-11.369000000000007</v>
      </c>
      <c r="L41" s="1">
        <f t="shared" si="3"/>
        <v>53.530999999999999</v>
      </c>
      <c r="M41" s="1"/>
      <c r="N41" s="1">
        <v>41.321399999999997</v>
      </c>
      <c r="O41" s="1"/>
      <c r="P41" s="1"/>
      <c r="Q41" s="1">
        <f t="shared" si="4"/>
        <v>10.706199999999999</v>
      </c>
      <c r="R41" s="5">
        <f t="shared" si="16"/>
        <v>21.044699999999999</v>
      </c>
      <c r="S41" s="5">
        <f t="shared" si="6"/>
        <v>21.044699999999999</v>
      </c>
      <c r="T41" s="5"/>
      <c r="U41" s="5"/>
      <c r="V41" s="1"/>
      <c r="W41" s="1">
        <f t="shared" si="7"/>
        <v>10.5</v>
      </c>
      <c r="X41" s="1">
        <f t="shared" si="8"/>
        <v>8.5343445853804329</v>
      </c>
      <c r="Y41" s="1">
        <v>11.1776</v>
      </c>
      <c r="Z41" s="1">
        <v>8.0286000000000008</v>
      </c>
      <c r="AA41" s="1">
        <v>7.0257999999999994</v>
      </c>
      <c r="AB41" s="1">
        <v>10.194000000000001</v>
      </c>
      <c r="AC41" s="1">
        <v>14.821</v>
      </c>
      <c r="AD41" s="1">
        <v>15.6356</v>
      </c>
      <c r="AE41" s="1">
        <v>10.5738</v>
      </c>
      <c r="AF41" s="1">
        <v>1.5162</v>
      </c>
      <c r="AG41" s="1">
        <v>10.4338</v>
      </c>
      <c r="AH41" s="1">
        <v>18.038399999999999</v>
      </c>
      <c r="AI41" s="1"/>
      <c r="AJ41" s="1">
        <f t="shared" si="9"/>
        <v>21</v>
      </c>
      <c r="AK41" s="1">
        <f t="shared" si="10"/>
        <v>0</v>
      </c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</row>
    <row r="42" spans="1:52" x14ac:dyDescent="0.25">
      <c r="A42" s="1" t="s">
        <v>82</v>
      </c>
      <c r="B42" s="1" t="s">
        <v>43</v>
      </c>
      <c r="C42" s="1">
        <v>151</v>
      </c>
      <c r="D42" s="1">
        <v>834</v>
      </c>
      <c r="E42" s="1">
        <v>361</v>
      </c>
      <c r="F42" s="1">
        <v>567</v>
      </c>
      <c r="G42" s="7">
        <v>0.4</v>
      </c>
      <c r="H42" s="1">
        <v>40</v>
      </c>
      <c r="I42" s="1" t="s">
        <v>39</v>
      </c>
      <c r="J42" s="1">
        <v>466</v>
      </c>
      <c r="K42" s="1">
        <f t="shared" si="15"/>
        <v>-105</v>
      </c>
      <c r="L42" s="1">
        <f t="shared" si="3"/>
        <v>301</v>
      </c>
      <c r="M42" s="1">
        <v>60</v>
      </c>
      <c r="N42" s="1">
        <v>0</v>
      </c>
      <c r="O42" s="1"/>
      <c r="P42" s="1"/>
      <c r="Q42" s="1">
        <f t="shared" si="4"/>
        <v>72.2</v>
      </c>
      <c r="R42" s="5">
        <f t="shared" si="16"/>
        <v>191.10000000000002</v>
      </c>
      <c r="S42" s="5">
        <f t="shared" si="6"/>
        <v>191.10000000000002</v>
      </c>
      <c r="T42" s="5"/>
      <c r="U42" s="5"/>
      <c r="V42" s="1"/>
      <c r="W42" s="1">
        <f t="shared" si="7"/>
        <v>10.5</v>
      </c>
      <c r="X42" s="1">
        <f t="shared" si="8"/>
        <v>7.8531855955678669</v>
      </c>
      <c r="Y42" s="1">
        <v>59</v>
      </c>
      <c r="Z42" s="1">
        <v>67</v>
      </c>
      <c r="AA42" s="1">
        <v>65.8</v>
      </c>
      <c r="AB42" s="1">
        <v>39.4</v>
      </c>
      <c r="AC42" s="1">
        <v>39.200000000000003</v>
      </c>
      <c r="AD42" s="1">
        <v>47.8</v>
      </c>
      <c r="AE42" s="1">
        <v>49</v>
      </c>
      <c r="AF42" s="1">
        <v>52.6</v>
      </c>
      <c r="AG42" s="1">
        <v>40.6</v>
      </c>
      <c r="AH42" s="1">
        <v>40</v>
      </c>
      <c r="AI42" s="1"/>
      <c r="AJ42" s="1">
        <f t="shared" si="9"/>
        <v>76</v>
      </c>
      <c r="AK42" s="1">
        <f t="shared" si="10"/>
        <v>0</v>
      </c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</row>
    <row r="43" spans="1:52" x14ac:dyDescent="0.25">
      <c r="A43" s="1" t="s">
        <v>83</v>
      </c>
      <c r="B43" s="1" t="s">
        <v>43</v>
      </c>
      <c r="C43" s="1">
        <v>367</v>
      </c>
      <c r="D43" s="1">
        <v>1038</v>
      </c>
      <c r="E43" s="1">
        <v>537</v>
      </c>
      <c r="F43" s="1">
        <v>777</v>
      </c>
      <c r="G43" s="7">
        <v>0.4</v>
      </c>
      <c r="H43" s="1">
        <v>45</v>
      </c>
      <c r="I43" s="1" t="s">
        <v>39</v>
      </c>
      <c r="J43" s="1">
        <v>587</v>
      </c>
      <c r="K43" s="1">
        <f t="shared" si="15"/>
        <v>-50</v>
      </c>
      <c r="L43" s="1">
        <f t="shared" si="3"/>
        <v>477</v>
      </c>
      <c r="M43" s="1">
        <v>60</v>
      </c>
      <c r="N43" s="1">
        <v>0</v>
      </c>
      <c r="O43" s="1"/>
      <c r="P43" s="1"/>
      <c r="Q43" s="1">
        <f t="shared" si="4"/>
        <v>107.4</v>
      </c>
      <c r="R43" s="5">
        <f t="shared" si="16"/>
        <v>350.70000000000005</v>
      </c>
      <c r="S43" s="5">
        <f t="shared" si="6"/>
        <v>350.70000000000005</v>
      </c>
      <c r="T43" s="5"/>
      <c r="U43" s="5"/>
      <c r="V43" s="1"/>
      <c r="W43" s="1">
        <f t="shared" si="7"/>
        <v>10.5</v>
      </c>
      <c r="X43" s="1">
        <f t="shared" si="8"/>
        <v>7.2346368715083793</v>
      </c>
      <c r="Y43" s="1">
        <v>94.6</v>
      </c>
      <c r="Z43" s="1">
        <v>101</v>
      </c>
      <c r="AA43" s="1">
        <v>109.2</v>
      </c>
      <c r="AB43" s="1">
        <v>90.8</v>
      </c>
      <c r="AC43" s="1">
        <v>81.2</v>
      </c>
      <c r="AD43" s="1">
        <v>89.8</v>
      </c>
      <c r="AE43" s="1">
        <v>89.8</v>
      </c>
      <c r="AF43" s="1">
        <v>85</v>
      </c>
      <c r="AG43" s="1">
        <v>70.2</v>
      </c>
      <c r="AH43" s="1">
        <v>80.2</v>
      </c>
      <c r="AI43" s="1" t="s">
        <v>47</v>
      </c>
      <c r="AJ43" s="1">
        <f t="shared" si="9"/>
        <v>140</v>
      </c>
      <c r="AK43" s="1">
        <f t="shared" si="10"/>
        <v>0</v>
      </c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</row>
    <row r="44" spans="1:52" x14ac:dyDescent="0.25">
      <c r="A44" s="1" t="s">
        <v>84</v>
      </c>
      <c r="B44" s="1" t="s">
        <v>38</v>
      </c>
      <c r="C44" s="1">
        <v>56.671999999999997</v>
      </c>
      <c r="D44" s="1">
        <v>141.99100000000001</v>
      </c>
      <c r="E44" s="1">
        <v>61.802</v>
      </c>
      <c r="F44" s="1">
        <v>120.961</v>
      </c>
      <c r="G44" s="7">
        <v>1</v>
      </c>
      <c r="H44" s="1">
        <v>40</v>
      </c>
      <c r="I44" s="1" t="s">
        <v>39</v>
      </c>
      <c r="J44" s="1">
        <v>103.8</v>
      </c>
      <c r="K44" s="1">
        <f t="shared" si="15"/>
        <v>-41.997999999999998</v>
      </c>
      <c r="L44" s="1">
        <f t="shared" si="3"/>
        <v>61.802</v>
      </c>
      <c r="M44" s="1"/>
      <c r="N44" s="1">
        <v>150</v>
      </c>
      <c r="O44" s="1"/>
      <c r="P44" s="1"/>
      <c r="Q44" s="1">
        <f t="shared" si="4"/>
        <v>12.3604</v>
      </c>
      <c r="R44" s="5"/>
      <c r="S44" s="5">
        <f t="shared" si="6"/>
        <v>0</v>
      </c>
      <c r="T44" s="5"/>
      <c r="U44" s="5"/>
      <c r="V44" s="1"/>
      <c r="W44" s="1">
        <f t="shared" si="7"/>
        <v>21.921701563056214</v>
      </c>
      <c r="X44" s="1">
        <f t="shared" si="8"/>
        <v>21.921701563056214</v>
      </c>
      <c r="Y44" s="1">
        <v>11.5212</v>
      </c>
      <c r="Z44" s="1">
        <v>15.338200000000001</v>
      </c>
      <c r="AA44" s="1">
        <v>11.880800000000001</v>
      </c>
      <c r="AB44" s="1">
        <v>10.1258</v>
      </c>
      <c r="AC44" s="1">
        <v>11.2706</v>
      </c>
      <c r="AD44" s="1">
        <v>10.634399999999999</v>
      </c>
      <c r="AE44" s="1">
        <v>10.061199999999999</v>
      </c>
      <c r="AF44" s="1">
        <v>7.9871999999999996</v>
      </c>
      <c r="AG44" s="1">
        <v>9.5608000000000004</v>
      </c>
      <c r="AH44" s="1">
        <v>14.3674</v>
      </c>
      <c r="AI44" s="1"/>
      <c r="AJ44" s="1">
        <f t="shared" si="9"/>
        <v>0</v>
      </c>
      <c r="AK44" s="1">
        <f t="shared" si="10"/>
        <v>0</v>
      </c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</row>
    <row r="45" spans="1:52" x14ac:dyDescent="0.25">
      <c r="A45" s="1" t="s">
        <v>85</v>
      </c>
      <c r="B45" s="1" t="s">
        <v>43</v>
      </c>
      <c r="C45" s="1">
        <v>553</v>
      </c>
      <c r="D45" s="1">
        <v>1122</v>
      </c>
      <c r="E45" s="1">
        <v>553</v>
      </c>
      <c r="F45" s="1">
        <v>828</v>
      </c>
      <c r="G45" s="7">
        <v>0.35</v>
      </c>
      <c r="H45" s="1">
        <v>40</v>
      </c>
      <c r="I45" s="1" t="s">
        <v>39</v>
      </c>
      <c r="J45" s="1">
        <v>821</v>
      </c>
      <c r="K45" s="1">
        <f t="shared" si="15"/>
        <v>-268</v>
      </c>
      <c r="L45" s="1">
        <f t="shared" si="3"/>
        <v>553</v>
      </c>
      <c r="M45" s="1"/>
      <c r="N45" s="1">
        <v>363.80000000000018</v>
      </c>
      <c r="O45" s="1"/>
      <c r="P45" s="1"/>
      <c r="Q45" s="1">
        <f t="shared" si="4"/>
        <v>110.6</v>
      </c>
      <c r="R45" s="5"/>
      <c r="S45" s="5">
        <f t="shared" si="6"/>
        <v>0</v>
      </c>
      <c r="T45" s="5"/>
      <c r="U45" s="5"/>
      <c r="V45" s="1"/>
      <c r="W45" s="1">
        <f t="shared" si="7"/>
        <v>10.775768535262209</v>
      </c>
      <c r="X45" s="1">
        <f t="shared" si="8"/>
        <v>10.775768535262209</v>
      </c>
      <c r="Y45" s="1">
        <v>145.19999999999999</v>
      </c>
      <c r="Z45" s="1">
        <v>124.6</v>
      </c>
      <c r="AA45" s="1">
        <v>122.6</v>
      </c>
      <c r="AB45" s="1">
        <v>97.2</v>
      </c>
      <c r="AC45" s="1">
        <v>93.4</v>
      </c>
      <c r="AD45" s="1">
        <v>93.4</v>
      </c>
      <c r="AE45" s="1">
        <v>87.4</v>
      </c>
      <c r="AF45" s="1">
        <v>69.8</v>
      </c>
      <c r="AG45" s="1">
        <v>64.400000000000006</v>
      </c>
      <c r="AH45" s="1">
        <v>91.6</v>
      </c>
      <c r="AI45" s="1" t="s">
        <v>86</v>
      </c>
      <c r="AJ45" s="1">
        <f t="shared" si="9"/>
        <v>0</v>
      </c>
      <c r="AK45" s="1">
        <f t="shared" si="10"/>
        <v>0</v>
      </c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</row>
    <row r="46" spans="1:52" x14ac:dyDescent="0.25">
      <c r="A46" s="1" t="s">
        <v>87</v>
      </c>
      <c r="B46" s="1" t="s">
        <v>43</v>
      </c>
      <c r="C46" s="1">
        <v>3</v>
      </c>
      <c r="D46" s="1">
        <v>324</v>
      </c>
      <c r="E46" s="1">
        <v>61</v>
      </c>
      <c r="F46" s="1">
        <v>258</v>
      </c>
      <c r="G46" s="7">
        <v>0.4</v>
      </c>
      <c r="H46" s="1">
        <v>40</v>
      </c>
      <c r="I46" s="1" t="s">
        <v>39</v>
      </c>
      <c r="J46" s="1">
        <v>117</v>
      </c>
      <c r="K46" s="1">
        <f t="shared" si="15"/>
        <v>-56</v>
      </c>
      <c r="L46" s="1">
        <f t="shared" si="3"/>
        <v>61</v>
      </c>
      <c r="M46" s="1"/>
      <c r="N46" s="1">
        <v>0</v>
      </c>
      <c r="O46" s="1"/>
      <c r="P46" s="1"/>
      <c r="Q46" s="1">
        <f t="shared" si="4"/>
        <v>12.2</v>
      </c>
      <c r="R46" s="5"/>
      <c r="S46" s="5">
        <f t="shared" si="6"/>
        <v>0</v>
      </c>
      <c r="T46" s="5"/>
      <c r="U46" s="5"/>
      <c r="V46" s="1"/>
      <c r="W46" s="1">
        <f t="shared" si="7"/>
        <v>21.147540983606557</v>
      </c>
      <c r="X46" s="1">
        <f t="shared" si="8"/>
        <v>21.147540983606557</v>
      </c>
      <c r="Y46" s="1">
        <v>4.4000000000000004</v>
      </c>
      <c r="Z46" s="1">
        <v>4.2</v>
      </c>
      <c r="AA46" s="1">
        <v>5</v>
      </c>
      <c r="AB46" s="1">
        <v>1</v>
      </c>
      <c r="AC46" s="1">
        <v>3.2</v>
      </c>
      <c r="AD46" s="1">
        <v>48.2</v>
      </c>
      <c r="AE46" s="1">
        <v>57.6</v>
      </c>
      <c r="AF46" s="1">
        <v>66.2</v>
      </c>
      <c r="AG46" s="1">
        <v>56.8</v>
      </c>
      <c r="AH46" s="1">
        <v>60.8</v>
      </c>
      <c r="AI46" s="1" t="s">
        <v>88</v>
      </c>
      <c r="AJ46" s="1">
        <f t="shared" si="9"/>
        <v>0</v>
      </c>
      <c r="AK46" s="1">
        <f t="shared" si="10"/>
        <v>0</v>
      </c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</row>
    <row r="47" spans="1:52" x14ac:dyDescent="0.25">
      <c r="A47" s="1" t="s">
        <v>89</v>
      </c>
      <c r="B47" s="1" t="s">
        <v>38</v>
      </c>
      <c r="C47" s="1">
        <v>179.227</v>
      </c>
      <c r="D47" s="1">
        <v>96.567999999999998</v>
      </c>
      <c r="E47" s="1">
        <v>139.16800000000001</v>
      </c>
      <c r="F47" s="1">
        <v>116.78100000000001</v>
      </c>
      <c r="G47" s="7">
        <v>1</v>
      </c>
      <c r="H47" s="1">
        <v>50</v>
      </c>
      <c r="I47" s="1" t="s">
        <v>39</v>
      </c>
      <c r="J47" s="1">
        <v>174.45</v>
      </c>
      <c r="K47" s="1">
        <f t="shared" si="15"/>
        <v>-35.281999999999982</v>
      </c>
      <c r="L47" s="1">
        <f t="shared" si="3"/>
        <v>139.16800000000001</v>
      </c>
      <c r="M47" s="1"/>
      <c r="N47" s="1">
        <v>107.93859999999999</v>
      </c>
      <c r="O47" s="1"/>
      <c r="P47" s="1"/>
      <c r="Q47" s="1">
        <f t="shared" si="4"/>
        <v>27.833600000000001</v>
      </c>
      <c r="R47" s="5">
        <f t="shared" si="16"/>
        <v>67.533199999999965</v>
      </c>
      <c r="S47" s="5">
        <f t="shared" si="6"/>
        <v>67.533199999999965</v>
      </c>
      <c r="T47" s="5"/>
      <c r="U47" s="5"/>
      <c r="V47" s="1"/>
      <c r="W47" s="1">
        <f t="shared" si="7"/>
        <v>10.499999999999998</v>
      </c>
      <c r="X47" s="1">
        <f t="shared" si="8"/>
        <v>8.0736807312025753</v>
      </c>
      <c r="Y47" s="1">
        <v>27.299600000000002</v>
      </c>
      <c r="Z47" s="1">
        <v>22.294799999999999</v>
      </c>
      <c r="AA47" s="1">
        <v>25.2546</v>
      </c>
      <c r="AB47" s="1">
        <v>29.015999999999998</v>
      </c>
      <c r="AC47" s="1">
        <v>28.9726</v>
      </c>
      <c r="AD47" s="1">
        <v>27.550599999999999</v>
      </c>
      <c r="AE47" s="1">
        <v>24.900600000000001</v>
      </c>
      <c r="AF47" s="1">
        <v>22.1234</v>
      </c>
      <c r="AG47" s="1">
        <v>24.8508</v>
      </c>
      <c r="AH47" s="1">
        <v>33.372999999999998</v>
      </c>
      <c r="AI47" s="1"/>
      <c r="AJ47" s="1">
        <f t="shared" si="9"/>
        <v>68</v>
      </c>
      <c r="AK47" s="1">
        <f t="shared" si="10"/>
        <v>0</v>
      </c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</row>
    <row r="48" spans="1:52" x14ac:dyDescent="0.25">
      <c r="A48" s="1" t="s">
        <v>90</v>
      </c>
      <c r="B48" s="1" t="s">
        <v>38</v>
      </c>
      <c r="C48" s="1">
        <v>1226.6769999999999</v>
      </c>
      <c r="D48" s="1">
        <v>21.684000000000001</v>
      </c>
      <c r="E48" s="1">
        <v>580.77599999999995</v>
      </c>
      <c r="F48" s="1">
        <v>588.21900000000005</v>
      </c>
      <c r="G48" s="7">
        <v>1</v>
      </c>
      <c r="H48" s="1">
        <v>50</v>
      </c>
      <c r="I48" s="1" t="s">
        <v>39</v>
      </c>
      <c r="J48" s="1">
        <v>581.53399999999999</v>
      </c>
      <c r="K48" s="1">
        <f t="shared" si="15"/>
        <v>-0.7580000000000382</v>
      </c>
      <c r="L48" s="1">
        <f t="shared" si="3"/>
        <v>537.20099999999991</v>
      </c>
      <c r="M48" s="1">
        <v>43.575000000000003</v>
      </c>
      <c r="N48" s="1">
        <v>238.06639999999979</v>
      </c>
      <c r="O48" s="1"/>
      <c r="P48" s="1"/>
      <c r="Q48" s="1">
        <f t="shared" si="4"/>
        <v>116.15519999999999</v>
      </c>
      <c r="R48" s="5">
        <f t="shared" si="16"/>
        <v>393.34420000000011</v>
      </c>
      <c r="S48" s="5">
        <f t="shared" si="6"/>
        <v>393.34420000000011</v>
      </c>
      <c r="T48" s="5"/>
      <c r="U48" s="5"/>
      <c r="V48" s="1"/>
      <c r="W48" s="1">
        <f t="shared" si="7"/>
        <v>10.5</v>
      </c>
      <c r="X48" s="1">
        <f t="shared" si="8"/>
        <v>7.1136324503767367</v>
      </c>
      <c r="Y48" s="1">
        <v>101.9816</v>
      </c>
      <c r="Z48" s="1">
        <v>88.563199999999995</v>
      </c>
      <c r="AA48" s="1">
        <v>91.916399999999996</v>
      </c>
      <c r="AB48" s="1">
        <v>104.374</v>
      </c>
      <c r="AC48" s="1">
        <v>112.3566</v>
      </c>
      <c r="AD48" s="1">
        <v>212.51599999999999</v>
      </c>
      <c r="AE48" s="1">
        <v>203.15559999999999</v>
      </c>
      <c r="AF48" s="1">
        <v>188.63339999999999</v>
      </c>
      <c r="AG48" s="1">
        <v>180.3518</v>
      </c>
      <c r="AH48" s="1">
        <v>196.77199999999999</v>
      </c>
      <c r="AI48" s="1"/>
      <c r="AJ48" s="1">
        <f t="shared" si="9"/>
        <v>393</v>
      </c>
      <c r="AK48" s="1">
        <f t="shared" si="10"/>
        <v>0</v>
      </c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</row>
    <row r="49" spans="1:52" x14ac:dyDescent="0.25">
      <c r="A49" s="15" t="s">
        <v>91</v>
      </c>
      <c r="B49" s="15" t="s">
        <v>38</v>
      </c>
      <c r="C49" s="15"/>
      <c r="D49" s="15"/>
      <c r="E49" s="15"/>
      <c r="F49" s="15"/>
      <c r="G49" s="16">
        <v>0</v>
      </c>
      <c r="H49" s="15">
        <v>40</v>
      </c>
      <c r="I49" s="15" t="s">
        <v>39</v>
      </c>
      <c r="J49" s="15"/>
      <c r="K49" s="15">
        <f t="shared" si="15"/>
        <v>0</v>
      </c>
      <c r="L49" s="15">
        <f t="shared" si="3"/>
        <v>0</v>
      </c>
      <c r="M49" s="15"/>
      <c r="N49" s="15">
        <v>0</v>
      </c>
      <c r="O49" s="15"/>
      <c r="P49" s="15"/>
      <c r="Q49" s="15">
        <f t="shared" si="4"/>
        <v>0</v>
      </c>
      <c r="R49" s="17"/>
      <c r="S49" s="5">
        <f t="shared" si="6"/>
        <v>0</v>
      </c>
      <c r="T49" s="17"/>
      <c r="U49" s="17"/>
      <c r="V49" s="15"/>
      <c r="W49" s="15" t="e">
        <f t="shared" si="7"/>
        <v>#DIV/0!</v>
      </c>
      <c r="X49" s="15" t="e">
        <f t="shared" si="8"/>
        <v>#DIV/0!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 t="s">
        <v>60</v>
      </c>
      <c r="AJ49" s="1">
        <f t="shared" si="9"/>
        <v>0</v>
      </c>
      <c r="AK49" s="1">
        <f t="shared" si="10"/>
        <v>0</v>
      </c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</row>
    <row r="50" spans="1:52" x14ac:dyDescent="0.25">
      <c r="A50" s="12" t="s">
        <v>92</v>
      </c>
      <c r="B50" s="12" t="s">
        <v>43</v>
      </c>
      <c r="C50" s="12">
        <v>60</v>
      </c>
      <c r="D50" s="12"/>
      <c r="E50" s="12"/>
      <c r="F50" s="12"/>
      <c r="G50" s="13">
        <v>0</v>
      </c>
      <c r="H50" s="12" t="e">
        <v>#N/A</v>
      </c>
      <c r="I50" s="12" t="s">
        <v>44</v>
      </c>
      <c r="J50" s="12"/>
      <c r="K50" s="12">
        <f t="shared" si="15"/>
        <v>0</v>
      </c>
      <c r="L50" s="12">
        <f t="shared" si="3"/>
        <v>0</v>
      </c>
      <c r="M50" s="12"/>
      <c r="N50" s="12">
        <v>0</v>
      </c>
      <c r="O50" s="12"/>
      <c r="P50" s="12"/>
      <c r="Q50" s="12">
        <f t="shared" si="4"/>
        <v>0</v>
      </c>
      <c r="R50" s="14"/>
      <c r="S50" s="5">
        <f t="shared" si="6"/>
        <v>0</v>
      </c>
      <c r="T50" s="14"/>
      <c r="U50" s="14"/>
      <c r="V50" s="12"/>
      <c r="W50" s="12" t="e">
        <f t="shared" si="7"/>
        <v>#DIV/0!</v>
      </c>
      <c r="X50" s="12" t="e">
        <f t="shared" si="8"/>
        <v>#DIV/0!</v>
      </c>
      <c r="Y50" s="12">
        <v>12</v>
      </c>
      <c r="Z50" s="12">
        <v>0</v>
      </c>
      <c r="AA50" s="12">
        <v>0</v>
      </c>
      <c r="AB50" s="12">
        <v>0.2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/>
      <c r="AJ50" s="1">
        <f t="shared" si="9"/>
        <v>0</v>
      </c>
      <c r="AK50" s="1">
        <f t="shared" si="10"/>
        <v>0</v>
      </c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</row>
    <row r="51" spans="1:52" x14ac:dyDescent="0.25">
      <c r="A51" s="1" t="s">
        <v>93</v>
      </c>
      <c r="B51" s="1" t="s">
        <v>43</v>
      </c>
      <c r="C51" s="1">
        <v>234</v>
      </c>
      <c r="D51" s="1">
        <v>160</v>
      </c>
      <c r="E51" s="1">
        <v>103</v>
      </c>
      <c r="F51" s="1">
        <v>251</v>
      </c>
      <c r="G51" s="7">
        <v>0.45</v>
      </c>
      <c r="H51" s="1">
        <v>50</v>
      </c>
      <c r="I51" s="1" t="s">
        <v>39</v>
      </c>
      <c r="J51" s="1">
        <v>105</v>
      </c>
      <c r="K51" s="1">
        <f t="shared" si="15"/>
        <v>-2</v>
      </c>
      <c r="L51" s="1">
        <f t="shared" si="3"/>
        <v>103</v>
      </c>
      <c r="M51" s="1"/>
      <c r="N51" s="1">
        <v>0</v>
      </c>
      <c r="O51" s="1"/>
      <c r="P51" s="1"/>
      <c r="Q51" s="1">
        <f t="shared" si="4"/>
        <v>20.6</v>
      </c>
      <c r="R51" s="5"/>
      <c r="S51" s="5">
        <f t="shared" si="6"/>
        <v>0</v>
      </c>
      <c r="T51" s="5"/>
      <c r="U51" s="5"/>
      <c r="V51" s="1"/>
      <c r="W51" s="1">
        <f t="shared" si="7"/>
        <v>12.184466019417474</v>
      </c>
      <c r="X51" s="1">
        <f t="shared" si="8"/>
        <v>12.184466019417474</v>
      </c>
      <c r="Y51" s="1">
        <v>23</v>
      </c>
      <c r="Z51" s="1">
        <v>31.4</v>
      </c>
      <c r="AA51" s="1">
        <v>25.6</v>
      </c>
      <c r="AB51" s="1">
        <v>31.2</v>
      </c>
      <c r="AC51" s="1">
        <v>34.200000000000003</v>
      </c>
      <c r="AD51" s="1">
        <v>34.4</v>
      </c>
      <c r="AE51" s="1">
        <v>35.799999999999997</v>
      </c>
      <c r="AF51" s="1">
        <v>14.2</v>
      </c>
      <c r="AG51" s="1">
        <v>23.2</v>
      </c>
      <c r="AH51" s="1">
        <v>37.200000000000003</v>
      </c>
      <c r="AI51" s="1" t="s">
        <v>47</v>
      </c>
      <c r="AJ51" s="1">
        <f t="shared" si="9"/>
        <v>0</v>
      </c>
      <c r="AK51" s="1">
        <f t="shared" si="10"/>
        <v>0</v>
      </c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</row>
    <row r="52" spans="1:52" x14ac:dyDescent="0.25">
      <c r="A52" s="15" t="s">
        <v>94</v>
      </c>
      <c r="B52" s="15" t="s">
        <v>38</v>
      </c>
      <c r="C52" s="15"/>
      <c r="D52" s="15"/>
      <c r="E52" s="15"/>
      <c r="F52" s="15"/>
      <c r="G52" s="16">
        <v>0</v>
      </c>
      <c r="H52" s="15">
        <v>40</v>
      </c>
      <c r="I52" s="15" t="s">
        <v>39</v>
      </c>
      <c r="J52" s="15"/>
      <c r="K52" s="15">
        <f t="shared" si="15"/>
        <v>0</v>
      </c>
      <c r="L52" s="15">
        <f t="shared" si="3"/>
        <v>0</v>
      </c>
      <c r="M52" s="15"/>
      <c r="N52" s="15">
        <v>0</v>
      </c>
      <c r="O52" s="15"/>
      <c r="P52" s="15"/>
      <c r="Q52" s="15">
        <f t="shared" si="4"/>
        <v>0</v>
      </c>
      <c r="R52" s="17"/>
      <c r="S52" s="5">
        <f t="shared" si="6"/>
        <v>0</v>
      </c>
      <c r="T52" s="17"/>
      <c r="U52" s="17"/>
      <c r="V52" s="15"/>
      <c r="W52" s="15" t="e">
        <f t="shared" si="7"/>
        <v>#DIV/0!</v>
      </c>
      <c r="X52" s="15" t="e">
        <f t="shared" si="8"/>
        <v>#DIV/0!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  <c r="AF52" s="15">
        <v>0</v>
      </c>
      <c r="AG52" s="15">
        <v>0</v>
      </c>
      <c r="AH52" s="15">
        <v>0</v>
      </c>
      <c r="AI52" s="15" t="s">
        <v>95</v>
      </c>
      <c r="AJ52" s="1">
        <f t="shared" si="9"/>
        <v>0</v>
      </c>
      <c r="AK52" s="1">
        <f t="shared" si="10"/>
        <v>0</v>
      </c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</row>
    <row r="53" spans="1:52" x14ac:dyDescent="0.25">
      <c r="A53" s="1" t="s">
        <v>96</v>
      </c>
      <c r="B53" s="1" t="s">
        <v>43</v>
      </c>
      <c r="C53" s="1">
        <v>30</v>
      </c>
      <c r="D53" s="1">
        <v>144</v>
      </c>
      <c r="E53" s="1">
        <v>78</v>
      </c>
      <c r="F53" s="1">
        <v>70</v>
      </c>
      <c r="G53" s="7">
        <v>0.4</v>
      </c>
      <c r="H53" s="1">
        <v>40</v>
      </c>
      <c r="I53" s="1" t="s">
        <v>39</v>
      </c>
      <c r="J53" s="1">
        <v>84</v>
      </c>
      <c r="K53" s="1">
        <f t="shared" si="15"/>
        <v>-6</v>
      </c>
      <c r="L53" s="1">
        <f t="shared" si="3"/>
        <v>78</v>
      </c>
      <c r="M53" s="1"/>
      <c r="N53" s="1">
        <v>55.600000000000023</v>
      </c>
      <c r="O53" s="1"/>
      <c r="P53" s="1"/>
      <c r="Q53" s="1">
        <f t="shared" si="4"/>
        <v>15.6</v>
      </c>
      <c r="R53" s="5">
        <f t="shared" ref="R53:R62" si="17">10.5*Q53-P53-O53-N53-F53</f>
        <v>38.19999999999996</v>
      </c>
      <c r="S53" s="5">
        <f t="shared" si="6"/>
        <v>38.19999999999996</v>
      </c>
      <c r="T53" s="5"/>
      <c r="U53" s="5"/>
      <c r="V53" s="1"/>
      <c r="W53" s="1">
        <f t="shared" si="7"/>
        <v>10.5</v>
      </c>
      <c r="X53" s="1">
        <f t="shared" si="8"/>
        <v>8.0512820512820529</v>
      </c>
      <c r="Y53" s="1">
        <v>15.8</v>
      </c>
      <c r="Z53" s="1">
        <v>12.6</v>
      </c>
      <c r="AA53" s="1">
        <v>11.8</v>
      </c>
      <c r="AB53" s="1">
        <v>10.4</v>
      </c>
      <c r="AC53" s="1">
        <v>8.6</v>
      </c>
      <c r="AD53" s="1">
        <v>9.6</v>
      </c>
      <c r="AE53" s="1">
        <v>9.1999999999999993</v>
      </c>
      <c r="AF53" s="1">
        <v>12</v>
      </c>
      <c r="AG53" s="1">
        <v>11.6</v>
      </c>
      <c r="AH53" s="1">
        <v>8</v>
      </c>
      <c r="AI53" s="1"/>
      <c r="AJ53" s="1">
        <f t="shared" si="9"/>
        <v>15</v>
      </c>
      <c r="AK53" s="1">
        <f t="shared" si="10"/>
        <v>0</v>
      </c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</row>
    <row r="54" spans="1:52" x14ac:dyDescent="0.25">
      <c r="A54" s="1" t="s">
        <v>97</v>
      </c>
      <c r="B54" s="1" t="s">
        <v>43</v>
      </c>
      <c r="C54" s="1">
        <v>69</v>
      </c>
      <c r="D54" s="1">
        <v>105</v>
      </c>
      <c r="E54" s="1">
        <v>77</v>
      </c>
      <c r="F54" s="1">
        <v>80</v>
      </c>
      <c r="G54" s="7">
        <v>0.4</v>
      </c>
      <c r="H54" s="1">
        <v>40</v>
      </c>
      <c r="I54" s="1" t="s">
        <v>39</v>
      </c>
      <c r="J54" s="1">
        <v>91</v>
      </c>
      <c r="K54" s="1">
        <f t="shared" si="15"/>
        <v>-14</v>
      </c>
      <c r="L54" s="1">
        <f t="shared" si="3"/>
        <v>77</v>
      </c>
      <c r="M54" s="1"/>
      <c r="N54" s="1">
        <v>43.400000000000013</v>
      </c>
      <c r="O54" s="1"/>
      <c r="P54" s="1"/>
      <c r="Q54" s="1">
        <f t="shared" si="4"/>
        <v>15.4</v>
      </c>
      <c r="R54" s="5">
        <f t="shared" si="17"/>
        <v>38.300000000000011</v>
      </c>
      <c r="S54" s="5">
        <f t="shared" si="6"/>
        <v>38.300000000000011</v>
      </c>
      <c r="T54" s="5"/>
      <c r="U54" s="5"/>
      <c r="V54" s="1"/>
      <c r="W54" s="1">
        <f t="shared" si="7"/>
        <v>10.5</v>
      </c>
      <c r="X54" s="1">
        <f t="shared" si="8"/>
        <v>8.0129870129870131</v>
      </c>
      <c r="Y54" s="1">
        <v>15.4</v>
      </c>
      <c r="Z54" s="1">
        <v>13.2</v>
      </c>
      <c r="AA54" s="1">
        <v>9.4</v>
      </c>
      <c r="AB54" s="1">
        <v>1.4</v>
      </c>
      <c r="AC54" s="1">
        <v>2.8</v>
      </c>
      <c r="AD54" s="1">
        <v>8.6</v>
      </c>
      <c r="AE54" s="1">
        <v>10.4</v>
      </c>
      <c r="AF54" s="1">
        <v>10.6</v>
      </c>
      <c r="AG54" s="1">
        <v>9.1999999999999993</v>
      </c>
      <c r="AH54" s="1">
        <v>9.8000000000000007</v>
      </c>
      <c r="AI54" s="1" t="s">
        <v>98</v>
      </c>
      <c r="AJ54" s="1">
        <f t="shared" si="9"/>
        <v>15</v>
      </c>
      <c r="AK54" s="1">
        <f t="shared" si="10"/>
        <v>0</v>
      </c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</row>
    <row r="55" spans="1:52" x14ac:dyDescent="0.25">
      <c r="A55" s="1" t="s">
        <v>99</v>
      </c>
      <c r="B55" s="1" t="s">
        <v>38</v>
      </c>
      <c r="C55" s="1">
        <v>28.347999999999999</v>
      </c>
      <c r="D55" s="1">
        <v>236.79300000000001</v>
      </c>
      <c r="E55" s="1">
        <v>144.494</v>
      </c>
      <c r="F55" s="1">
        <v>104.523</v>
      </c>
      <c r="G55" s="7">
        <v>1</v>
      </c>
      <c r="H55" s="1">
        <v>50</v>
      </c>
      <c r="I55" s="1" t="s">
        <v>39</v>
      </c>
      <c r="J55" s="1">
        <v>179.8</v>
      </c>
      <c r="K55" s="1">
        <f t="shared" si="15"/>
        <v>-35.306000000000012</v>
      </c>
      <c r="L55" s="1">
        <f t="shared" si="3"/>
        <v>122.857</v>
      </c>
      <c r="M55" s="1">
        <v>21.637</v>
      </c>
      <c r="N55" s="1">
        <v>85.418999999999983</v>
      </c>
      <c r="O55" s="1"/>
      <c r="P55" s="1"/>
      <c r="Q55" s="1">
        <f t="shared" si="4"/>
        <v>28.898800000000001</v>
      </c>
      <c r="R55" s="5">
        <f t="shared" si="17"/>
        <v>113.49540000000005</v>
      </c>
      <c r="S55" s="5">
        <f t="shared" si="6"/>
        <v>113.49540000000005</v>
      </c>
      <c r="T55" s="5"/>
      <c r="U55" s="5"/>
      <c r="V55" s="1"/>
      <c r="W55" s="1">
        <f t="shared" si="7"/>
        <v>10.5</v>
      </c>
      <c r="X55" s="1">
        <f t="shared" si="8"/>
        <v>6.5726604564895421</v>
      </c>
      <c r="Y55" s="1">
        <v>23.081199999999999</v>
      </c>
      <c r="Z55" s="1">
        <v>20.8338</v>
      </c>
      <c r="AA55" s="1">
        <v>23.843399999999999</v>
      </c>
      <c r="AB55" s="1">
        <v>18.227599999999999</v>
      </c>
      <c r="AC55" s="1">
        <v>14.6684</v>
      </c>
      <c r="AD55" s="1">
        <v>20.7562</v>
      </c>
      <c r="AE55" s="1">
        <v>22.980799999999999</v>
      </c>
      <c r="AF55" s="1">
        <v>21.758800000000001</v>
      </c>
      <c r="AG55" s="1">
        <v>18.047999999999998</v>
      </c>
      <c r="AH55" s="1">
        <v>22.817599999999999</v>
      </c>
      <c r="AI55" s="1"/>
      <c r="AJ55" s="1">
        <f t="shared" si="9"/>
        <v>113</v>
      </c>
      <c r="AK55" s="1">
        <f t="shared" si="10"/>
        <v>0</v>
      </c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</row>
    <row r="56" spans="1:52" x14ac:dyDescent="0.25">
      <c r="A56" s="1" t="s">
        <v>100</v>
      </c>
      <c r="B56" s="1" t="s">
        <v>38</v>
      </c>
      <c r="C56" s="1">
        <v>714.59</v>
      </c>
      <c r="D56" s="1">
        <v>495.84</v>
      </c>
      <c r="E56" s="1">
        <v>528.53300000000002</v>
      </c>
      <c r="F56" s="1">
        <v>531.21500000000003</v>
      </c>
      <c r="G56" s="7">
        <v>1</v>
      </c>
      <c r="H56" s="1">
        <v>50</v>
      </c>
      <c r="I56" s="1" t="s">
        <v>39</v>
      </c>
      <c r="J56" s="1">
        <v>513.69000000000005</v>
      </c>
      <c r="K56" s="1">
        <f t="shared" si="15"/>
        <v>14.842999999999961</v>
      </c>
      <c r="L56" s="1">
        <f t="shared" si="3"/>
        <v>399.13800000000003</v>
      </c>
      <c r="M56" s="1">
        <v>129.39500000000001</v>
      </c>
      <c r="N56" s="1">
        <v>229.85439999999991</v>
      </c>
      <c r="O56" s="1"/>
      <c r="P56" s="1"/>
      <c r="Q56" s="1">
        <f t="shared" si="4"/>
        <v>105.70660000000001</v>
      </c>
      <c r="R56" s="5">
        <f t="shared" si="17"/>
        <v>348.84990000000005</v>
      </c>
      <c r="S56" s="5">
        <f t="shared" si="6"/>
        <v>348.84990000000005</v>
      </c>
      <c r="T56" s="5"/>
      <c r="U56" s="5"/>
      <c r="V56" s="1"/>
      <c r="W56" s="1">
        <f t="shared" si="7"/>
        <v>10.5</v>
      </c>
      <c r="X56" s="1">
        <f t="shared" si="8"/>
        <v>7.1998285821320511</v>
      </c>
      <c r="Y56" s="1">
        <v>93.241399999999999</v>
      </c>
      <c r="Z56" s="1">
        <v>83.374200000000002</v>
      </c>
      <c r="AA56" s="1">
        <v>76.477000000000004</v>
      </c>
      <c r="AB56" s="1">
        <v>68.045199999999994</v>
      </c>
      <c r="AC56" s="1">
        <v>106.3288</v>
      </c>
      <c r="AD56" s="1">
        <v>105.8222</v>
      </c>
      <c r="AE56" s="1">
        <v>83.827200000000005</v>
      </c>
      <c r="AF56" s="1">
        <v>77.943399999999997</v>
      </c>
      <c r="AG56" s="1">
        <v>51.977200000000003</v>
      </c>
      <c r="AH56" s="1">
        <v>46.274999999999999</v>
      </c>
      <c r="AI56" s="1"/>
      <c r="AJ56" s="1">
        <f t="shared" si="9"/>
        <v>349</v>
      </c>
      <c r="AK56" s="1">
        <f t="shared" si="10"/>
        <v>0</v>
      </c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</row>
    <row r="57" spans="1:52" x14ac:dyDescent="0.25">
      <c r="A57" s="1" t="s">
        <v>101</v>
      </c>
      <c r="B57" s="1" t="s">
        <v>38</v>
      </c>
      <c r="C57" s="1">
        <v>374.54599999999999</v>
      </c>
      <c r="D57" s="1">
        <v>53.731999999999999</v>
      </c>
      <c r="E57" s="1">
        <v>53.095999999999997</v>
      </c>
      <c r="F57" s="1">
        <v>259.88799999999998</v>
      </c>
      <c r="G57" s="7">
        <v>1</v>
      </c>
      <c r="H57" s="1">
        <v>50</v>
      </c>
      <c r="I57" s="1" t="s">
        <v>39</v>
      </c>
      <c r="J57" s="1">
        <v>53.2</v>
      </c>
      <c r="K57" s="1">
        <f t="shared" si="15"/>
        <v>-0.10400000000000631</v>
      </c>
      <c r="L57" s="1">
        <f t="shared" si="3"/>
        <v>53.095999999999997</v>
      </c>
      <c r="M57" s="1"/>
      <c r="N57" s="1">
        <v>0</v>
      </c>
      <c r="O57" s="1"/>
      <c r="P57" s="1"/>
      <c r="Q57" s="1">
        <f t="shared" si="4"/>
        <v>10.619199999999999</v>
      </c>
      <c r="R57" s="5"/>
      <c r="S57" s="5">
        <f t="shared" si="6"/>
        <v>0</v>
      </c>
      <c r="T57" s="5"/>
      <c r="U57" s="5"/>
      <c r="V57" s="1"/>
      <c r="W57" s="1">
        <f t="shared" si="7"/>
        <v>24.473406659635376</v>
      </c>
      <c r="X57" s="1">
        <f t="shared" si="8"/>
        <v>24.473406659635376</v>
      </c>
      <c r="Y57" s="1">
        <v>30.541599999999999</v>
      </c>
      <c r="Z57" s="1">
        <v>5.1849999999999969</v>
      </c>
      <c r="AA57" s="1">
        <v>5.4548000000000014</v>
      </c>
      <c r="AB57" s="1">
        <v>29.638200000000001</v>
      </c>
      <c r="AC57" s="1">
        <v>28.748999999999999</v>
      </c>
      <c r="AD57" s="1">
        <v>25.186800000000002</v>
      </c>
      <c r="AE57" s="1">
        <v>25.7958</v>
      </c>
      <c r="AF57" s="1">
        <v>5.7170000000000014</v>
      </c>
      <c r="AG57" s="1">
        <v>1.7465999999999999</v>
      </c>
      <c r="AH57" s="1">
        <v>41.75</v>
      </c>
      <c r="AI57" s="21" t="s">
        <v>102</v>
      </c>
      <c r="AJ57" s="1">
        <f t="shared" si="9"/>
        <v>0</v>
      </c>
      <c r="AK57" s="1">
        <f t="shared" si="10"/>
        <v>0</v>
      </c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</row>
    <row r="58" spans="1:52" x14ac:dyDescent="0.25">
      <c r="A58" s="1" t="s">
        <v>103</v>
      </c>
      <c r="B58" s="1" t="s">
        <v>43</v>
      </c>
      <c r="C58" s="1">
        <v>286</v>
      </c>
      <c r="D58" s="1">
        <v>60</v>
      </c>
      <c r="E58" s="1">
        <v>164</v>
      </c>
      <c r="F58" s="1">
        <v>157</v>
      </c>
      <c r="G58" s="7">
        <v>0.4</v>
      </c>
      <c r="H58" s="1">
        <v>50</v>
      </c>
      <c r="I58" s="1" t="s">
        <v>39</v>
      </c>
      <c r="J58" s="1">
        <v>170</v>
      </c>
      <c r="K58" s="1">
        <f t="shared" si="15"/>
        <v>-6</v>
      </c>
      <c r="L58" s="1">
        <f t="shared" si="3"/>
        <v>144</v>
      </c>
      <c r="M58" s="1">
        <v>20</v>
      </c>
      <c r="N58" s="1">
        <v>88</v>
      </c>
      <c r="O58" s="1"/>
      <c r="P58" s="1"/>
      <c r="Q58" s="1">
        <f t="shared" si="4"/>
        <v>32.799999999999997</v>
      </c>
      <c r="R58" s="5">
        <f t="shared" si="17"/>
        <v>99.399999999999977</v>
      </c>
      <c r="S58" s="5">
        <f t="shared" si="6"/>
        <v>99.399999999999977</v>
      </c>
      <c r="T58" s="5"/>
      <c r="U58" s="5"/>
      <c r="V58" s="1"/>
      <c r="W58" s="1">
        <f t="shared" si="7"/>
        <v>10.5</v>
      </c>
      <c r="X58" s="1">
        <f t="shared" si="8"/>
        <v>7.4695121951219523</v>
      </c>
      <c r="Y58" s="1">
        <v>29.2</v>
      </c>
      <c r="Z58" s="1">
        <v>28.8</v>
      </c>
      <c r="AA58" s="1">
        <v>30.4</v>
      </c>
      <c r="AB58" s="1">
        <v>28.8</v>
      </c>
      <c r="AC58" s="1">
        <v>34.6</v>
      </c>
      <c r="AD58" s="1">
        <v>53</v>
      </c>
      <c r="AE58" s="1">
        <v>46.2</v>
      </c>
      <c r="AF58" s="1">
        <v>6.6</v>
      </c>
      <c r="AG58" s="1">
        <v>4</v>
      </c>
      <c r="AH58" s="1">
        <v>37.405999999999999</v>
      </c>
      <c r="AI58" s="1"/>
      <c r="AJ58" s="1">
        <f t="shared" si="9"/>
        <v>40</v>
      </c>
      <c r="AK58" s="1">
        <f t="shared" si="10"/>
        <v>0</v>
      </c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</row>
    <row r="59" spans="1:52" x14ac:dyDescent="0.25">
      <c r="A59" s="1" t="s">
        <v>104</v>
      </c>
      <c r="B59" s="1" t="s">
        <v>43</v>
      </c>
      <c r="C59" s="1">
        <v>1124</v>
      </c>
      <c r="D59" s="1">
        <v>378</v>
      </c>
      <c r="E59" s="1">
        <v>826.43</v>
      </c>
      <c r="F59" s="1">
        <v>441.57</v>
      </c>
      <c r="G59" s="7">
        <v>0.4</v>
      </c>
      <c r="H59" s="1">
        <v>40</v>
      </c>
      <c r="I59" s="1" t="s">
        <v>39</v>
      </c>
      <c r="J59" s="1">
        <v>873</v>
      </c>
      <c r="K59" s="1">
        <f t="shared" si="15"/>
        <v>-46.57000000000005</v>
      </c>
      <c r="L59" s="1">
        <f t="shared" si="3"/>
        <v>718.43</v>
      </c>
      <c r="M59" s="1">
        <v>108</v>
      </c>
      <c r="N59" s="1">
        <v>891.56099999999981</v>
      </c>
      <c r="O59" s="1"/>
      <c r="P59" s="1"/>
      <c r="Q59" s="1">
        <f t="shared" si="4"/>
        <v>165.286</v>
      </c>
      <c r="R59" s="5">
        <f t="shared" si="17"/>
        <v>402.37200000000013</v>
      </c>
      <c r="S59" s="5">
        <f t="shared" si="6"/>
        <v>402.37200000000013</v>
      </c>
      <c r="T59" s="5"/>
      <c r="U59" s="5"/>
      <c r="V59" s="1"/>
      <c r="W59" s="1">
        <f t="shared" si="7"/>
        <v>10.5</v>
      </c>
      <c r="X59" s="1">
        <f t="shared" si="8"/>
        <v>8.065601442348413</v>
      </c>
      <c r="Y59" s="1">
        <v>168.48599999999999</v>
      </c>
      <c r="Z59" s="1">
        <v>92.6</v>
      </c>
      <c r="AA59" s="1">
        <v>92.8</v>
      </c>
      <c r="AB59" s="1">
        <v>153.19999999999999</v>
      </c>
      <c r="AC59" s="1">
        <v>153.4</v>
      </c>
      <c r="AD59" s="1">
        <v>112.2</v>
      </c>
      <c r="AE59" s="1">
        <v>108.4</v>
      </c>
      <c r="AF59" s="1">
        <v>122.6</v>
      </c>
      <c r="AG59" s="1">
        <v>103.2</v>
      </c>
      <c r="AH59" s="1">
        <v>90.6</v>
      </c>
      <c r="AI59" s="1"/>
      <c r="AJ59" s="1">
        <f t="shared" si="9"/>
        <v>161</v>
      </c>
      <c r="AK59" s="1">
        <f t="shared" si="10"/>
        <v>0</v>
      </c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</row>
    <row r="60" spans="1:52" x14ac:dyDescent="0.25">
      <c r="A60" s="1" t="s">
        <v>105</v>
      </c>
      <c r="B60" s="1" t="s">
        <v>43</v>
      </c>
      <c r="C60" s="1"/>
      <c r="D60" s="1">
        <v>792</v>
      </c>
      <c r="E60" s="1">
        <v>522</v>
      </c>
      <c r="F60" s="1">
        <v>265</v>
      </c>
      <c r="G60" s="7">
        <v>0.4</v>
      </c>
      <c r="H60" s="1">
        <v>40</v>
      </c>
      <c r="I60" s="1" t="s">
        <v>39</v>
      </c>
      <c r="J60" s="1">
        <v>651</v>
      </c>
      <c r="K60" s="1">
        <f t="shared" si="15"/>
        <v>-129</v>
      </c>
      <c r="L60" s="1">
        <f t="shared" si="3"/>
        <v>414</v>
      </c>
      <c r="M60" s="1">
        <v>108</v>
      </c>
      <c r="N60" s="1">
        <v>221.8000000000001</v>
      </c>
      <c r="O60" s="1"/>
      <c r="P60" s="1"/>
      <c r="Q60" s="1">
        <f t="shared" si="4"/>
        <v>104.4</v>
      </c>
      <c r="R60" s="5">
        <f t="shared" si="17"/>
        <v>609.4</v>
      </c>
      <c r="S60" s="5">
        <f t="shared" si="6"/>
        <v>609.4</v>
      </c>
      <c r="T60" s="5"/>
      <c r="U60" s="5"/>
      <c r="V60" s="1"/>
      <c r="W60" s="1">
        <f t="shared" si="7"/>
        <v>10.5</v>
      </c>
      <c r="X60" s="1">
        <f t="shared" si="8"/>
        <v>4.6628352490421463</v>
      </c>
      <c r="Y60" s="1">
        <v>64.2</v>
      </c>
      <c r="Z60" s="1">
        <v>51.4</v>
      </c>
      <c r="AA60" s="1">
        <v>69.8</v>
      </c>
      <c r="AB60" s="1">
        <v>114.6</v>
      </c>
      <c r="AC60" s="1">
        <v>105.8</v>
      </c>
      <c r="AD60" s="1">
        <v>71.400000000000006</v>
      </c>
      <c r="AE60" s="1">
        <v>74</v>
      </c>
      <c r="AF60" s="1">
        <v>108.8</v>
      </c>
      <c r="AG60" s="1">
        <v>81.400000000000006</v>
      </c>
      <c r="AH60" s="1">
        <v>70.8</v>
      </c>
      <c r="AI60" s="1"/>
      <c r="AJ60" s="1">
        <f t="shared" si="9"/>
        <v>244</v>
      </c>
      <c r="AK60" s="1">
        <f t="shared" si="10"/>
        <v>0</v>
      </c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</row>
    <row r="61" spans="1:52" x14ac:dyDescent="0.25">
      <c r="A61" s="1" t="s">
        <v>106</v>
      </c>
      <c r="B61" s="1" t="s">
        <v>38</v>
      </c>
      <c r="C61" s="1">
        <v>407.202</v>
      </c>
      <c r="D61" s="1">
        <v>267.24400000000003</v>
      </c>
      <c r="E61" s="1">
        <v>228.76599999999999</v>
      </c>
      <c r="F61" s="1">
        <v>353.47800000000001</v>
      </c>
      <c r="G61" s="7">
        <v>1</v>
      </c>
      <c r="H61" s="1">
        <v>40</v>
      </c>
      <c r="I61" s="1" t="s">
        <v>39</v>
      </c>
      <c r="J61" s="1">
        <v>240.52600000000001</v>
      </c>
      <c r="K61" s="1">
        <f t="shared" si="15"/>
        <v>-11.760000000000019</v>
      </c>
      <c r="L61" s="1">
        <f t="shared" si="3"/>
        <v>180.11099999999999</v>
      </c>
      <c r="M61" s="1">
        <v>48.655000000000001</v>
      </c>
      <c r="N61" s="1">
        <v>18.320999999999909</v>
      </c>
      <c r="O61" s="1"/>
      <c r="P61" s="1"/>
      <c r="Q61" s="1">
        <f t="shared" si="4"/>
        <v>45.7532</v>
      </c>
      <c r="R61" s="5">
        <f t="shared" si="17"/>
        <v>108.60960000000006</v>
      </c>
      <c r="S61" s="5">
        <f t="shared" si="6"/>
        <v>108.60960000000006</v>
      </c>
      <c r="T61" s="5"/>
      <c r="U61" s="5"/>
      <c r="V61" s="1"/>
      <c r="W61" s="1">
        <f t="shared" si="7"/>
        <v>10.5</v>
      </c>
      <c r="X61" s="1">
        <f t="shared" si="8"/>
        <v>8.1261857094148588</v>
      </c>
      <c r="Y61" s="1">
        <v>45.354599999999998</v>
      </c>
      <c r="Z61" s="1">
        <v>45.513399999999997</v>
      </c>
      <c r="AA61" s="1">
        <v>33.489400000000003</v>
      </c>
      <c r="AB61" s="1">
        <v>8.1622000000000003</v>
      </c>
      <c r="AC61" s="1">
        <v>5.0213999999999999</v>
      </c>
      <c r="AD61" s="1">
        <v>53.783200000000001</v>
      </c>
      <c r="AE61" s="1">
        <v>50.0608</v>
      </c>
      <c r="AF61" s="1">
        <v>22.703800000000001</v>
      </c>
      <c r="AG61" s="1">
        <v>26.747399999999999</v>
      </c>
      <c r="AH61" s="1">
        <v>37.057600000000001</v>
      </c>
      <c r="AI61" s="1"/>
      <c r="AJ61" s="1">
        <f t="shared" si="9"/>
        <v>109</v>
      </c>
      <c r="AK61" s="1">
        <f t="shared" si="10"/>
        <v>0</v>
      </c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</row>
    <row r="62" spans="1:52" x14ac:dyDescent="0.25">
      <c r="A62" s="1" t="s">
        <v>107</v>
      </c>
      <c r="B62" s="1" t="s">
        <v>38</v>
      </c>
      <c r="C62" s="1">
        <v>195.73</v>
      </c>
      <c r="D62" s="1">
        <v>219.47300000000001</v>
      </c>
      <c r="E62" s="1">
        <v>251.66200000000001</v>
      </c>
      <c r="F62" s="1">
        <v>145.58199999999999</v>
      </c>
      <c r="G62" s="7">
        <v>1</v>
      </c>
      <c r="H62" s="1">
        <v>40</v>
      </c>
      <c r="I62" s="1" t="s">
        <v>39</v>
      </c>
      <c r="J62" s="1">
        <v>264.19099999999997</v>
      </c>
      <c r="K62" s="1">
        <f t="shared" si="15"/>
        <v>-12.528999999999968</v>
      </c>
      <c r="L62" s="1">
        <f t="shared" si="3"/>
        <v>187.99600000000001</v>
      </c>
      <c r="M62" s="1">
        <v>63.665999999999997</v>
      </c>
      <c r="N62" s="1">
        <v>122.099</v>
      </c>
      <c r="O62" s="1"/>
      <c r="P62" s="1"/>
      <c r="Q62" s="1">
        <f t="shared" si="4"/>
        <v>50.3324</v>
      </c>
      <c r="R62" s="5">
        <f t="shared" si="17"/>
        <v>260.80919999999998</v>
      </c>
      <c r="S62" s="5">
        <f t="shared" si="6"/>
        <v>260.80919999999998</v>
      </c>
      <c r="T62" s="5"/>
      <c r="U62" s="5"/>
      <c r="V62" s="1"/>
      <c r="W62" s="1">
        <f t="shared" si="7"/>
        <v>10.5</v>
      </c>
      <c r="X62" s="1">
        <f t="shared" si="8"/>
        <v>5.3182641797331334</v>
      </c>
      <c r="Y62" s="1">
        <v>33.1736</v>
      </c>
      <c r="Z62" s="1">
        <v>28.763400000000001</v>
      </c>
      <c r="AA62" s="1">
        <v>24.647200000000002</v>
      </c>
      <c r="AB62" s="1">
        <v>23.712199999999999</v>
      </c>
      <c r="AC62" s="1">
        <v>28.724799999999998</v>
      </c>
      <c r="AD62" s="1">
        <v>40.096800000000002</v>
      </c>
      <c r="AE62" s="1">
        <v>33.127600000000001</v>
      </c>
      <c r="AF62" s="1">
        <v>12.061199999999999</v>
      </c>
      <c r="AG62" s="1">
        <v>17.687799999999999</v>
      </c>
      <c r="AH62" s="1">
        <v>29.1022</v>
      </c>
      <c r="AI62" s="1"/>
      <c r="AJ62" s="1">
        <f t="shared" si="9"/>
        <v>261</v>
      </c>
      <c r="AK62" s="1">
        <f t="shared" si="10"/>
        <v>0</v>
      </c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</row>
    <row r="63" spans="1:52" x14ac:dyDescent="0.25">
      <c r="A63" s="12" t="s">
        <v>108</v>
      </c>
      <c r="B63" s="12" t="s">
        <v>38</v>
      </c>
      <c r="C63" s="12">
        <v>68.278999999999996</v>
      </c>
      <c r="D63" s="12"/>
      <c r="E63" s="12"/>
      <c r="F63" s="12"/>
      <c r="G63" s="13">
        <v>0</v>
      </c>
      <c r="H63" s="12" t="e">
        <v>#N/A</v>
      </c>
      <c r="I63" s="12" t="s">
        <v>44</v>
      </c>
      <c r="J63" s="12"/>
      <c r="K63" s="12">
        <f t="shared" si="15"/>
        <v>0</v>
      </c>
      <c r="L63" s="12">
        <f t="shared" si="3"/>
        <v>0</v>
      </c>
      <c r="M63" s="12"/>
      <c r="N63" s="12">
        <v>0</v>
      </c>
      <c r="O63" s="12"/>
      <c r="P63" s="12"/>
      <c r="Q63" s="12">
        <f t="shared" si="4"/>
        <v>0</v>
      </c>
      <c r="R63" s="14"/>
      <c r="S63" s="5">
        <f t="shared" si="6"/>
        <v>0</v>
      </c>
      <c r="T63" s="14"/>
      <c r="U63" s="14"/>
      <c r="V63" s="12"/>
      <c r="W63" s="12" t="e">
        <f t="shared" si="7"/>
        <v>#DIV/0!</v>
      </c>
      <c r="X63" s="12" t="e">
        <f t="shared" si="8"/>
        <v>#DIV/0!</v>
      </c>
      <c r="Y63" s="12">
        <v>13.655799999999999</v>
      </c>
      <c r="Z63" s="12">
        <v>0</v>
      </c>
      <c r="AA63" s="12">
        <v>0</v>
      </c>
      <c r="AB63" s="12">
        <v>0</v>
      </c>
      <c r="AC63" s="12">
        <v>0</v>
      </c>
      <c r="AD63" s="12">
        <v>0</v>
      </c>
      <c r="AE63" s="12">
        <v>0</v>
      </c>
      <c r="AF63" s="12">
        <v>0</v>
      </c>
      <c r="AG63" s="12">
        <v>0</v>
      </c>
      <c r="AH63" s="12">
        <v>0</v>
      </c>
      <c r="AI63" s="12"/>
      <c r="AJ63" s="1">
        <f t="shared" si="9"/>
        <v>0</v>
      </c>
      <c r="AK63" s="1">
        <f t="shared" si="10"/>
        <v>0</v>
      </c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</row>
    <row r="64" spans="1:52" x14ac:dyDescent="0.25">
      <c r="A64" s="1" t="s">
        <v>109</v>
      </c>
      <c r="B64" s="1" t="s">
        <v>38</v>
      </c>
      <c r="C64" s="1">
        <v>285.01600000000002</v>
      </c>
      <c r="D64" s="1">
        <v>83.036000000000001</v>
      </c>
      <c r="E64" s="1">
        <v>168.14599999999999</v>
      </c>
      <c r="F64" s="1">
        <v>118.026</v>
      </c>
      <c r="G64" s="7">
        <v>1</v>
      </c>
      <c r="H64" s="1">
        <v>40</v>
      </c>
      <c r="I64" s="1" t="s">
        <v>39</v>
      </c>
      <c r="J64" s="1">
        <v>178.1</v>
      </c>
      <c r="K64" s="1">
        <f t="shared" si="15"/>
        <v>-9.9540000000000077</v>
      </c>
      <c r="L64" s="1">
        <f t="shared" si="3"/>
        <v>153.45599999999999</v>
      </c>
      <c r="M64" s="1">
        <v>14.69</v>
      </c>
      <c r="N64" s="1">
        <v>190.72290000000001</v>
      </c>
      <c r="O64" s="1"/>
      <c r="P64" s="1"/>
      <c r="Q64" s="1">
        <f t="shared" si="4"/>
        <v>33.629199999999997</v>
      </c>
      <c r="R64" s="5">
        <f t="shared" ref="R64:R65" si="18">10.5*Q64-P64-O64-N64-F64</f>
        <v>44.357699999999952</v>
      </c>
      <c r="S64" s="5">
        <f t="shared" si="6"/>
        <v>44.357699999999952</v>
      </c>
      <c r="T64" s="5"/>
      <c r="U64" s="5"/>
      <c r="V64" s="1"/>
      <c r="W64" s="1">
        <f t="shared" si="7"/>
        <v>10.5</v>
      </c>
      <c r="X64" s="1">
        <f t="shared" si="8"/>
        <v>9.1809766512435633</v>
      </c>
      <c r="Y64" s="1">
        <v>37.529800000000002</v>
      </c>
      <c r="Z64" s="1">
        <v>26.715399999999999</v>
      </c>
      <c r="AA64" s="1">
        <v>22.999600000000001</v>
      </c>
      <c r="AB64" s="1">
        <v>31.666599999999999</v>
      </c>
      <c r="AC64" s="1">
        <v>35.583000000000013</v>
      </c>
      <c r="AD64" s="1">
        <v>50.459200000000003</v>
      </c>
      <c r="AE64" s="1">
        <v>43.281599999999997</v>
      </c>
      <c r="AF64" s="1">
        <v>10.667400000000001</v>
      </c>
      <c r="AG64" s="1">
        <v>13.9076</v>
      </c>
      <c r="AH64" s="1">
        <v>27.576599999999999</v>
      </c>
      <c r="AI64" s="1"/>
      <c r="AJ64" s="1">
        <f t="shared" si="9"/>
        <v>44</v>
      </c>
      <c r="AK64" s="1">
        <f t="shared" si="10"/>
        <v>0</v>
      </c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</row>
    <row r="65" spans="1:52" x14ac:dyDescent="0.25">
      <c r="A65" s="1" t="s">
        <v>110</v>
      </c>
      <c r="B65" s="1" t="s">
        <v>38</v>
      </c>
      <c r="C65" s="1">
        <v>84.301000000000002</v>
      </c>
      <c r="D65" s="1">
        <v>38.081000000000003</v>
      </c>
      <c r="E65" s="1">
        <v>43.009</v>
      </c>
      <c r="F65" s="1">
        <v>31.068000000000001</v>
      </c>
      <c r="G65" s="7">
        <v>1</v>
      </c>
      <c r="H65" s="1">
        <v>30</v>
      </c>
      <c r="I65" s="1" t="s">
        <v>39</v>
      </c>
      <c r="J65" s="1">
        <v>54.8</v>
      </c>
      <c r="K65" s="1">
        <f t="shared" si="15"/>
        <v>-11.790999999999997</v>
      </c>
      <c r="L65" s="1">
        <f t="shared" si="3"/>
        <v>43.009</v>
      </c>
      <c r="M65" s="1"/>
      <c r="N65" s="1">
        <v>27.020800000000008</v>
      </c>
      <c r="O65" s="1"/>
      <c r="P65" s="1"/>
      <c r="Q65" s="1">
        <f t="shared" si="4"/>
        <v>8.6018000000000008</v>
      </c>
      <c r="R65" s="5">
        <f t="shared" si="18"/>
        <v>32.230100000000007</v>
      </c>
      <c r="S65" s="5">
        <f t="shared" si="6"/>
        <v>32.230100000000007</v>
      </c>
      <c r="T65" s="5"/>
      <c r="U65" s="5"/>
      <c r="V65" s="1"/>
      <c r="W65" s="1">
        <f t="shared" si="7"/>
        <v>10.5</v>
      </c>
      <c r="X65" s="1">
        <f t="shared" si="8"/>
        <v>6.7530981887511921</v>
      </c>
      <c r="Y65" s="1">
        <v>7.6099999999999994</v>
      </c>
      <c r="Z65" s="1">
        <v>8.7211999999999996</v>
      </c>
      <c r="AA65" s="1">
        <v>10.027799999999999</v>
      </c>
      <c r="AB65" s="1">
        <v>11.640599999999999</v>
      </c>
      <c r="AC65" s="1">
        <v>10.793799999999999</v>
      </c>
      <c r="AD65" s="1">
        <v>11.015000000000001</v>
      </c>
      <c r="AE65" s="1">
        <v>10.7562</v>
      </c>
      <c r="AF65" s="1">
        <v>10.955</v>
      </c>
      <c r="AG65" s="1">
        <v>9.2786000000000008</v>
      </c>
      <c r="AH65" s="1">
        <v>10.811</v>
      </c>
      <c r="AI65" s="1"/>
      <c r="AJ65" s="1">
        <f t="shared" si="9"/>
        <v>32</v>
      </c>
      <c r="AK65" s="1">
        <f t="shared" si="10"/>
        <v>0</v>
      </c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</row>
    <row r="66" spans="1:52" x14ac:dyDescent="0.25">
      <c r="A66" s="1" t="s">
        <v>111</v>
      </c>
      <c r="B66" s="1" t="s">
        <v>43</v>
      </c>
      <c r="C66" s="1">
        <v>932</v>
      </c>
      <c r="D66" s="1">
        <v>144</v>
      </c>
      <c r="E66" s="1">
        <v>396</v>
      </c>
      <c r="F66" s="1">
        <v>310</v>
      </c>
      <c r="G66" s="7">
        <v>0.6</v>
      </c>
      <c r="H66" s="1">
        <v>60</v>
      </c>
      <c r="I66" s="11" t="s">
        <v>46</v>
      </c>
      <c r="J66" s="1">
        <v>521</v>
      </c>
      <c r="K66" s="1">
        <f t="shared" si="15"/>
        <v>-125</v>
      </c>
      <c r="L66" s="1">
        <f t="shared" si="3"/>
        <v>396</v>
      </c>
      <c r="M66" s="1"/>
      <c r="N66" s="1">
        <v>0</v>
      </c>
      <c r="O66" s="1"/>
      <c r="P66" s="1"/>
      <c r="Q66" s="1">
        <f t="shared" si="4"/>
        <v>79.2</v>
      </c>
      <c r="R66" s="5">
        <v>100</v>
      </c>
      <c r="S66" s="5">
        <f t="shared" si="6"/>
        <v>100</v>
      </c>
      <c r="T66" s="5"/>
      <c r="U66" s="5"/>
      <c r="V66" s="1"/>
      <c r="W66" s="1">
        <f t="shared" si="7"/>
        <v>5.1767676767676765</v>
      </c>
      <c r="X66" s="1">
        <f t="shared" si="8"/>
        <v>3.9141414141414139</v>
      </c>
      <c r="Y66" s="1">
        <v>175</v>
      </c>
      <c r="Z66" s="1">
        <v>200.8</v>
      </c>
      <c r="AA66" s="1">
        <v>245.2</v>
      </c>
      <c r="AB66" s="1">
        <v>191.2</v>
      </c>
      <c r="AC66" s="1">
        <v>88.6</v>
      </c>
      <c r="AD66" s="1">
        <v>48.4</v>
      </c>
      <c r="AE66" s="1">
        <v>26.2</v>
      </c>
      <c r="AF66" s="1">
        <v>30.2</v>
      </c>
      <c r="AG66" s="1">
        <v>67.599999999999994</v>
      </c>
      <c r="AH66" s="1">
        <v>76.599999999999994</v>
      </c>
      <c r="AI66" s="1" t="s">
        <v>112</v>
      </c>
      <c r="AJ66" s="1">
        <f t="shared" si="9"/>
        <v>60</v>
      </c>
      <c r="AK66" s="1">
        <f t="shared" si="10"/>
        <v>0</v>
      </c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</row>
    <row r="67" spans="1:52" x14ac:dyDescent="0.25">
      <c r="A67" s="15" t="s">
        <v>113</v>
      </c>
      <c r="B67" s="15" t="s">
        <v>43</v>
      </c>
      <c r="C67" s="15"/>
      <c r="D67" s="15"/>
      <c r="E67" s="15"/>
      <c r="F67" s="15"/>
      <c r="G67" s="16">
        <v>0</v>
      </c>
      <c r="H67" s="15">
        <v>50</v>
      </c>
      <c r="I67" s="15" t="s">
        <v>39</v>
      </c>
      <c r="J67" s="15"/>
      <c r="K67" s="15">
        <f t="shared" si="15"/>
        <v>0</v>
      </c>
      <c r="L67" s="15">
        <f t="shared" si="3"/>
        <v>0</v>
      </c>
      <c r="M67" s="15"/>
      <c r="N67" s="15">
        <v>0</v>
      </c>
      <c r="O67" s="15"/>
      <c r="P67" s="15"/>
      <c r="Q67" s="15">
        <f t="shared" si="4"/>
        <v>0</v>
      </c>
      <c r="R67" s="17"/>
      <c r="S67" s="5">
        <f t="shared" si="6"/>
        <v>0</v>
      </c>
      <c r="T67" s="17"/>
      <c r="U67" s="17"/>
      <c r="V67" s="15"/>
      <c r="W67" s="15" t="e">
        <f t="shared" si="7"/>
        <v>#DIV/0!</v>
      </c>
      <c r="X67" s="15" t="e">
        <f t="shared" si="8"/>
        <v>#DIV/0!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  <c r="AF67" s="15">
        <v>0</v>
      </c>
      <c r="AG67" s="15">
        <v>0</v>
      </c>
      <c r="AH67" s="15">
        <v>0</v>
      </c>
      <c r="AI67" s="15" t="s">
        <v>60</v>
      </c>
      <c r="AJ67" s="1">
        <f t="shared" si="9"/>
        <v>0</v>
      </c>
      <c r="AK67" s="1">
        <f t="shared" si="10"/>
        <v>0</v>
      </c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</row>
    <row r="68" spans="1:52" x14ac:dyDescent="0.25">
      <c r="A68" s="15" t="s">
        <v>114</v>
      </c>
      <c r="B68" s="15" t="s">
        <v>43</v>
      </c>
      <c r="C68" s="15"/>
      <c r="D68" s="15"/>
      <c r="E68" s="15"/>
      <c r="F68" s="15"/>
      <c r="G68" s="16">
        <v>0</v>
      </c>
      <c r="H68" s="15">
        <v>50</v>
      </c>
      <c r="I68" s="15" t="s">
        <v>39</v>
      </c>
      <c r="J68" s="15"/>
      <c r="K68" s="15">
        <f t="shared" si="15"/>
        <v>0</v>
      </c>
      <c r="L68" s="15">
        <f t="shared" si="3"/>
        <v>0</v>
      </c>
      <c r="M68" s="15"/>
      <c r="N68" s="15">
        <v>0</v>
      </c>
      <c r="O68" s="15"/>
      <c r="P68" s="15"/>
      <c r="Q68" s="15">
        <f t="shared" si="4"/>
        <v>0</v>
      </c>
      <c r="R68" s="17"/>
      <c r="S68" s="5">
        <f t="shared" si="6"/>
        <v>0</v>
      </c>
      <c r="T68" s="17"/>
      <c r="U68" s="17"/>
      <c r="V68" s="15"/>
      <c r="W68" s="15" t="e">
        <f t="shared" si="7"/>
        <v>#DIV/0!</v>
      </c>
      <c r="X68" s="15" t="e">
        <f t="shared" si="8"/>
        <v>#DIV/0!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  <c r="AF68" s="15">
        <v>0</v>
      </c>
      <c r="AG68" s="15">
        <v>0</v>
      </c>
      <c r="AH68" s="15">
        <v>0</v>
      </c>
      <c r="AI68" s="15" t="s">
        <v>60</v>
      </c>
      <c r="AJ68" s="1">
        <f t="shared" si="9"/>
        <v>0</v>
      </c>
      <c r="AK68" s="1">
        <f t="shared" si="10"/>
        <v>0</v>
      </c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</row>
    <row r="69" spans="1:52" x14ac:dyDescent="0.25">
      <c r="A69" s="15" t="s">
        <v>115</v>
      </c>
      <c r="B69" s="15" t="s">
        <v>43</v>
      </c>
      <c r="C69" s="15"/>
      <c r="D69" s="15"/>
      <c r="E69" s="15"/>
      <c r="F69" s="15"/>
      <c r="G69" s="16">
        <v>0</v>
      </c>
      <c r="H69" s="15">
        <v>30</v>
      </c>
      <c r="I69" s="15" t="s">
        <v>39</v>
      </c>
      <c r="J69" s="15"/>
      <c r="K69" s="15">
        <f t="shared" si="15"/>
        <v>0</v>
      </c>
      <c r="L69" s="15">
        <f t="shared" si="3"/>
        <v>0</v>
      </c>
      <c r="M69" s="15"/>
      <c r="N69" s="15">
        <v>0</v>
      </c>
      <c r="O69" s="15"/>
      <c r="P69" s="15"/>
      <c r="Q69" s="15">
        <f t="shared" si="4"/>
        <v>0</v>
      </c>
      <c r="R69" s="17"/>
      <c r="S69" s="5">
        <f t="shared" si="6"/>
        <v>0</v>
      </c>
      <c r="T69" s="17"/>
      <c r="U69" s="17"/>
      <c r="V69" s="15"/>
      <c r="W69" s="15" t="e">
        <f t="shared" si="7"/>
        <v>#DIV/0!</v>
      </c>
      <c r="X69" s="15" t="e">
        <f t="shared" si="8"/>
        <v>#DIV/0!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  <c r="AF69" s="15">
        <v>0</v>
      </c>
      <c r="AG69" s="15">
        <v>0</v>
      </c>
      <c r="AH69" s="15">
        <v>0</v>
      </c>
      <c r="AI69" s="15" t="s">
        <v>60</v>
      </c>
      <c r="AJ69" s="1">
        <f t="shared" si="9"/>
        <v>0</v>
      </c>
      <c r="AK69" s="1">
        <f t="shared" si="10"/>
        <v>0</v>
      </c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</row>
    <row r="70" spans="1:52" x14ac:dyDescent="0.25">
      <c r="A70" s="1" t="s">
        <v>116</v>
      </c>
      <c r="B70" s="1" t="s">
        <v>43</v>
      </c>
      <c r="C70" s="1">
        <v>149</v>
      </c>
      <c r="D70" s="1">
        <v>80</v>
      </c>
      <c r="E70" s="1">
        <v>71</v>
      </c>
      <c r="F70" s="1">
        <v>120</v>
      </c>
      <c r="G70" s="7">
        <v>0.6</v>
      </c>
      <c r="H70" s="1">
        <v>55</v>
      </c>
      <c r="I70" s="1" t="s">
        <v>39</v>
      </c>
      <c r="J70" s="1">
        <v>81</v>
      </c>
      <c r="K70" s="1">
        <f t="shared" ref="K70:K100" si="19">E70-J70</f>
        <v>-10</v>
      </c>
      <c r="L70" s="1">
        <f t="shared" si="3"/>
        <v>71</v>
      </c>
      <c r="M70" s="1"/>
      <c r="N70" s="1">
        <v>107.6</v>
      </c>
      <c r="O70" s="1"/>
      <c r="P70" s="1"/>
      <c r="Q70" s="1">
        <f t="shared" si="4"/>
        <v>14.2</v>
      </c>
      <c r="R70" s="5"/>
      <c r="S70" s="5">
        <f t="shared" si="6"/>
        <v>0</v>
      </c>
      <c r="T70" s="5"/>
      <c r="U70" s="5"/>
      <c r="V70" s="1"/>
      <c r="W70" s="1">
        <f t="shared" si="7"/>
        <v>16.028169014084508</v>
      </c>
      <c r="X70" s="1">
        <f t="shared" si="8"/>
        <v>16.028169014084508</v>
      </c>
      <c r="Y70" s="1">
        <v>23.6</v>
      </c>
      <c r="Z70" s="1">
        <v>15.8</v>
      </c>
      <c r="AA70" s="1">
        <v>19.399999999999999</v>
      </c>
      <c r="AB70" s="1">
        <v>33.6</v>
      </c>
      <c r="AC70" s="1">
        <v>26.4</v>
      </c>
      <c r="AD70" s="1">
        <v>19.8</v>
      </c>
      <c r="AE70" s="1">
        <v>19.399999999999999</v>
      </c>
      <c r="AF70" s="1">
        <v>17.600000000000001</v>
      </c>
      <c r="AG70" s="1">
        <v>23.8</v>
      </c>
      <c r="AH70" s="1">
        <v>31</v>
      </c>
      <c r="AI70" s="1" t="s">
        <v>47</v>
      </c>
      <c r="AJ70" s="1">
        <f t="shared" si="9"/>
        <v>0</v>
      </c>
      <c r="AK70" s="1">
        <f t="shared" si="10"/>
        <v>0</v>
      </c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</row>
    <row r="71" spans="1:52" x14ac:dyDescent="0.25">
      <c r="A71" s="15" t="s">
        <v>117</v>
      </c>
      <c r="B71" s="15" t="s">
        <v>43</v>
      </c>
      <c r="C71" s="15"/>
      <c r="D71" s="15"/>
      <c r="E71" s="15"/>
      <c r="F71" s="15"/>
      <c r="G71" s="16">
        <v>0</v>
      </c>
      <c r="H71" s="15">
        <v>40</v>
      </c>
      <c r="I71" s="15" t="s">
        <v>39</v>
      </c>
      <c r="J71" s="15"/>
      <c r="K71" s="15">
        <f t="shared" si="19"/>
        <v>0</v>
      </c>
      <c r="L71" s="15">
        <f t="shared" ref="L71:L101" si="20">E71-M71</f>
        <v>0</v>
      </c>
      <c r="M71" s="15"/>
      <c r="N71" s="15">
        <v>0</v>
      </c>
      <c r="O71" s="15"/>
      <c r="P71" s="15"/>
      <c r="Q71" s="15">
        <f t="shared" ref="Q71:Q101" si="21">E71/5</f>
        <v>0</v>
      </c>
      <c r="R71" s="17"/>
      <c r="S71" s="5">
        <f t="shared" ref="S71:S101" si="22">R71-T71</f>
        <v>0</v>
      </c>
      <c r="T71" s="17"/>
      <c r="U71" s="17"/>
      <c r="V71" s="15"/>
      <c r="W71" s="15" t="e">
        <f t="shared" ref="W71:W101" si="23">(F71+N71+O71+P71+R71)/Q71</f>
        <v>#DIV/0!</v>
      </c>
      <c r="X71" s="15" t="e">
        <f t="shared" ref="X71:X101" si="24">(F71+N71+O71+P71)/Q71</f>
        <v>#DIV/0!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  <c r="AF71" s="15">
        <v>0</v>
      </c>
      <c r="AG71" s="15">
        <v>0</v>
      </c>
      <c r="AH71" s="15">
        <v>0</v>
      </c>
      <c r="AI71" s="15" t="s">
        <v>60</v>
      </c>
      <c r="AJ71" s="1">
        <f t="shared" ref="AJ71:AJ101" si="25">ROUND(G71*S71,0)</f>
        <v>0</v>
      </c>
      <c r="AK71" s="1">
        <f t="shared" ref="AK71:AK101" si="26">ROUND(G71*T71,0)</f>
        <v>0</v>
      </c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</row>
    <row r="72" spans="1:52" x14ac:dyDescent="0.25">
      <c r="A72" s="1" t="s">
        <v>118</v>
      </c>
      <c r="B72" s="1" t="s">
        <v>43</v>
      </c>
      <c r="C72" s="1">
        <v>128</v>
      </c>
      <c r="D72" s="1">
        <v>36</v>
      </c>
      <c r="E72" s="1">
        <v>87</v>
      </c>
      <c r="F72" s="1">
        <v>55</v>
      </c>
      <c r="G72" s="7">
        <v>0.4</v>
      </c>
      <c r="H72" s="1">
        <v>50</v>
      </c>
      <c r="I72" s="1" t="s">
        <v>39</v>
      </c>
      <c r="J72" s="1">
        <v>95</v>
      </c>
      <c r="K72" s="1">
        <f t="shared" si="19"/>
        <v>-8</v>
      </c>
      <c r="L72" s="1">
        <f t="shared" si="20"/>
        <v>87</v>
      </c>
      <c r="M72" s="1"/>
      <c r="N72" s="1">
        <v>97.600000000000023</v>
      </c>
      <c r="O72" s="1"/>
      <c r="P72" s="1"/>
      <c r="Q72" s="1">
        <f t="shared" si="21"/>
        <v>17.399999999999999</v>
      </c>
      <c r="R72" s="5">
        <f t="shared" ref="R72" si="27">10.5*Q72-P72-O72-N72-F72</f>
        <v>30.099999999999966</v>
      </c>
      <c r="S72" s="5">
        <f t="shared" si="22"/>
        <v>30.099999999999966</v>
      </c>
      <c r="T72" s="5"/>
      <c r="U72" s="5"/>
      <c r="V72" s="1"/>
      <c r="W72" s="1">
        <f t="shared" si="23"/>
        <v>10.5</v>
      </c>
      <c r="X72" s="1">
        <f t="shared" si="24"/>
        <v>8.7701149425287372</v>
      </c>
      <c r="Y72" s="1">
        <v>18.8</v>
      </c>
      <c r="Z72" s="1">
        <v>13.2</v>
      </c>
      <c r="AA72" s="1">
        <v>11.8</v>
      </c>
      <c r="AB72" s="1">
        <v>16</v>
      </c>
      <c r="AC72" s="1">
        <v>17.2</v>
      </c>
      <c r="AD72" s="1">
        <v>13.2</v>
      </c>
      <c r="AE72" s="1">
        <v>13</v>
      </c>
      <c r="AF72" s="1">
        <v>7.2</v>
      </c>
      <c r="AG72" s="1">
        <v>12</v>
      </c>
      <c r="AH72" s="1">
        <v>14.2</v>
      </c>
      <c r="AI72" s="1" t="s">
        <v>47</v>
      </c>
      <c r="AJ72" s="1">
        <f t="shared" si="25"/>
        <v>12</v>
      </c>
      <c r="AK72" s="1">
        <f t="shared" si="26"/>
        <v>0</v>
      </c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</row>
    <row r="73" spans="1:52" x14ac:dyDescent="0.25">
      <c r="A73" s="11" t="s">
        <v>119</v>
      </c>
      <c r="B73" s="1" t="s">
        <v>43</v>
      </c>
      <c r="C73" s="1"/>
      <c r="D73" s="1"/>
      <c r="E73" s="1"/>
      <c r="F73" s="1"/>
      <c r="G73" s="7">
        <v>0.06</v>
      </c>
      <c r="H73" s="1">
        <v>60</v>
      </c>
      <c r="I73" s="1" t="s">
        <v>39</v>
      </c>
      <c r="J73" s="1"/>
      <c r="K73" s="1">
        <f t="shared" si="19"/>
        <v>0</v>
      </c>
      <c r="L73" s="1">
        <f t="shared" si="20"/>
        <v>0</v>
      </c>
      <c r="M73" s="1"/>
      <c r="N73" s="11"/>
      <c r="O73" s="1"/>
      <c r="P73" s="1"/>
      <c r="Q73" s="1">
        <f t="shared" si="21"/>
        <v>0</v>
      </c>
      <c r="R73" s="18">
        <v>10</v>
      </c>
      <c r="S73" s="5">
        <f t="shared" si="22"/>
        <v>10</v>
      </c>
      <c r="T73" s="18"/>
      <c r="U73" s="5"/>
      <c r="V73" s="1"/>
      <c r="W73" s="1" t="e">
        <f t="shared" si="23"/>
        <v>#DIV/0!</v>
      </c>
      <c r="X73" s="1" t="e">
        <f t="shared" si="24"/>
        <v>#DIV/0!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1" t="s">
        <v>120</v>
      </c>
      <c r="AJ73" s="1">
        <f t="shared" si="25"/>
        <v>1</v>
      </c>
      <c r="AK73" s="1">
        <f t="shared" si="26"/>
        <v>0</v>
      </c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</row>
    <row r="74" spans="1:52" x14ac:dyDescent="0.25">
      <c r="A74" s="1" t="s">
        <v>121</v>
      </c>
      <c r="B74" s="1" t="s">
        <v>43</v>
      </c>
      <c r="C74" s="1">
        <v>15</v>
      </c>
      <c r="D74" s="1">
        <v>10</v>
      </c>
      <c r="E74" s="1">
        <v>2</v>
      </c>
      <c r="F74" s="1">
        <v>22</v>
      </c>
      <c r="G74" s="7">
        <v>0.4</v>
      </c>
      <c r="H74" s="1">
        <v>55</v>
      </c>
      <c r="I74" s="1" t="s">
        <v>39</v>
      </c>
      <c r="J74" s="1">
        <v>3</v>
      </c>
      <c r="K74" s="1">
        <f t="shared" si="19"/>
        <v>-1</v>
      </c>
      <c r="L74" s="1">
        <f t="shared" si="20"/>
        <v>2</v>
      </c>
      <c r="M74" s="1"/>
      <c r="N74" s="1">
        <v>0</v>
      </c>
      <c r="O74" s="1"/>
      <c r="P74" s="1"/>
      <c r="Q74" s="1">
        <f t="shared" si="21"/>
        <v>0.4</v>
      </c>
      <c r="R74" s="5"/>
      <c r="S74" s="5">
        <f t="shared" si="22"/>
        <v>0</v>
      </c>
      <c r="T74" s="5"/>
      <c r="U74" s="5"/>
      <c r="V74" s="1"/>
      <c r="W74" s="1">
        <f t="shared" si="23"/>
        <v>55</v>
      </c>
      <c r="X74" s="1">
        <f t="shared" si="24"/>
        <v>55</v>
      </c>
      <c r="Y74" s="1">
        <v>0.2</v>
      </c>
      <c r="Z74" s="1">
        <v>0</v>
      </c>
      <c r="AA74" s="1">
        <v>0</v>
      </c>
      <c r="AB74" s="1">
        <v>0.2</v>
      </c>
      <c r="AC74" s="1">
        <v>0.2</v>
      </c>
      <c r="AD74" s="1">
        <v>1</v>
      </c>
      <c r="AE74" s="1">
        <v>1.2</v>
      </c>
      <c r="AF74" s="1">
        <v>0.8</v>
      </c>
      <c r="AG74" s="1">
        <v>0.6</v>
      </c>
      <c r="AH74" s="1">
        <v>0.2</v>
      </c>
      <c r="AI74" s="21" t="s">
        <v>102</v>
      </c>
      <c r="AJ74" s="1">
        <f t="shared" si="25"/>
        <v>0</v>
      </c>
      <c r="AK74" s="1">
        <f t="shared" si="26"/>
        <v>0</v>
      </c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</row>
    <row r="75" spans="1:52" x14ac:dyDescent="0.25">
      <c r="A75" s="1" t="s">
        <v>122</v>
      </c>
      <c r="B75" s="1" t="s">
        <v>38</v>
      </c>
      <c r="C75" s="1">
        <v>18.763000000000002</v>
      </c>
      <c r="D75" s="1"/>
      <c r="E75" s="1">
        <v>1.44</v>
      </c>
      <c r="F75" s="1">
        <v>17.323</v>
      </c>
      <c r="G75" s="7">
        <v>1</v>
      </c>
      <c r="H75" s="1">
        <v>55</v>
      </c>
      <c r="I75" s="1" t="s">
        <v>39</v>
      </c>
      <c r="J75" s="1">
        <v>1</v>
      </c>
      <c r="K75" s="1">
        <f t="shared" si="19"/>
        <v>0.43999999999999995</v>
      </c>
      <c r="L75" s="1">
        <f t="shared" si="20"/>
        <v>1.44</v>
      </c>
      <c r="M75" s="1"/>
      <c r="N75" s="1">
        <v>0</v>
      </c>
      <c r="O75" s="1"/>
      <c r="P75" s="1"/>
      <c r="Q75" s="1">
        <f t="shared" si="21"/>
        <v>0.28799999999999998</v>
      </c>
      <c r="R75" s="5"/>
      <c r="S75" s="5">
        <f t="shared" si="22"/>
        <v>0</v>
      </c>
      <c r="T75" s="5"/>
      <c r="U75" s="5"/>
      <c r="V75" s="1"/>
      <c r="W75" s="1">
        <f t="shared" si="23"/>
        <v>60.149305555555564</v>
      </c>
      <c r="X75" s="1">
        <f t="shared" si="24"/>
        <v>60.149305555555564</v>
      </c>
      <c r="Y75" s="1">
        <v>0.28799999999999998</v>
      </c>
      <c r="Z75" s="1">
        <v>1.6706000000000001</v>
      </c>
      <c r="AA75" s="1">
        <v>1.6706000000000001</v>
      </c>
      <c r="AB75" s="1">
        <v>0</v>
      </c>
      <c r="AC75" s="1">
        <v>0</v>
      </c>
      <c r="AD75" s="1">
        <v>1.4498</v>
      </c>
      <c r="AE75" s="1">
        <v>1.4498</v>
      </c>
      <c r="AF75" s="1">
        <v>0.28960000000000002</v>
      </c>
      <c r="AG75" s="1">
        <v>0.57840000000000003</v>
      </c>
      <c r="AH75" s="1">
        <v>0.2888</v>
      </c>
      <c r="AI75" s="20" t="s">
        <v>162</v>
      </c>
      <c r="AJ75" s="1">
        <f t="shared" si="25"/>
        <v>0</v>
      </c>
      <c r="AK75" s="1">
        <f t="shared" si="26"/>
        <v>0</v>
      </c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</row>
    <row r="76" spans="1:52" x14ac:dyDescent="0.25">
      <c r="A76" s="12" t="s">
        <v>123</v>
      </c>
      <c r="B76" s="12" t="s">
        <v>38</v>
      </c>
      <c r="C76" s="12">
        <v>71.921000000000006</v>
      </c>
      <c r="D76" s="12"/>
      <c r="E76" s="12">
        <v>60.393000000000001</v>
      </c>
      <c r="F76" s="12">
        <v>-6.5709999999999997</v>
      </c>
      <c r="G76" s="13">
        <v>0</v>
      </c>
      <c r="H76" s="12">
        <v>50</v>
      </c>
      <c r="I76" s="12" t="s">
        <v>44</v>
      </c>
      <c r="J76" s="12">
        <v>57.4</v>
      </c>
      <c r="K76" s="12">
        <f t="shared" si="19"/>
        <v>2.9930000000000021</v>
      </c>
      <c r="L76" s="12">
        <f t="shared" si="20"/>
        <v>60.393000000000001</v>
      </c>
      <c r="M76" s="12"/>
      <c r="N76" s="12">
        <v>0</v>
      </c>
      <c r="O76" s="12"/>
      <c r="P76" s="12"/>
      <c r="Q76" s="12">
        <f t="shared" si="21"/>
        <v>12.0786</v>
      </c>
      <c r="R76" s="14"/>
      <c r="S76" s="5">
        <f t="shared" si="22"/>
        <v>0</v>
      </c>
      <c r="T76" s="14"/>
      <c r="U76" s="14"/>
      <c r="V76" s="12"/>
      <c r="W76" s="12">
        <f t="shared" si="23"/>
        <v>-0.5440200023181494</v>
      </c>
      <c r="X76" s="12">
        <f t="shared" si="24"/>
        <v>-0.5440200023181494</v>
      </c>
      <c r="Y76" s="12">
        <v>11.2844</v>
      </c>
      <c r="Z76" s="12">
        <v>13.769</v>
      </c>
      <c r="AA76" s="12">
        <v>12.1906</v>
      </c>
      <c r="AB76" s="12">
        <v>17.401</v>
      </c>
      <c r="AC76" s="12">
        <v>20.459199999999999</v>
      </c>
      <c r="AD76" s="12">
        <v>19.576000000000001</v>
      </c>
      <c r="AE76" s="12">
        <v>22.449000000000002</v>
      </c>
      <c r="AF76" s="12">
        <v>15.4742</v>
      </c>
      <c r="AG76" s="12">
        <v>13.44</v>
      </c>
      <c r="AH76" s="12">
        <v>18.978200000000001</v>
      </c>
      <c r="AI76" s="12" t="s">
        <v>124</v>
      </c>
      <c r="AJ76" s="1">
        <f t="shared" si="25"/>
        <v>0</v>
      </c>
      <c r="AK76" s="1">
        <f t="shared" si="26"/>
        <v>0</v>
      </c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</row>
    <row r="77" spans="1:52" x14ac:dyDescent="0.25">
      <c r="A77" s="15" t="s">
        <v>125</v>
      </c>
      <c r="B77" s="15" t="s">
        <v>43</v>
      </c>
      <c r="C77" s="15"/>
      <c r="D77" s="15"/>
      <c r="E77" s="15"/>
      <c r="F77" s="15"/>
      <c r="G77" s="16">
        <v>0</v>
      </c>
      <c r="H77" s="15">
        <v>40</v>
      </c>
      <c r="I77" s="15" t="s">
        <v>39</v>
      </c>
      <c r="J77" s="15"/>
      <c r="K77" s="15">
        <f t="shared" si="19"/>
        <v>0</v>
      </c>
      <c r="L77" s="15">
        <f t="shared" si="20"/>
        <v>0</v>
      </c>
      <c r="M77" s="15"/>
      <c r="N77" s="15">
        <v>0</v>
      </c>
      <c r="O77" s="15"/>
      <c r="P77" s="15"/>
      <c r="Q77" s="15">
        <f t="shared" si="21"/>
        <v>0</v>
      </c>
      <c r="R77" s="17"/>
      <c r="S77" s="5">
        <f t="shared" si="22"/>
        <v>0</v>
      </c>
      <c r="T77" s="17"/>
      <c r="U77" s="17"/>
      <c r="V77" s="15"/>
      <c r="W77" s="15" t="e">
        <f t="shared" si="23"/>
        <v>#DIV/0!</v>
      </c>
      <c r="X77" s="15" t="e">
        <f t="shared" si="24"/>
        <v>#DIV/0!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  <c r="AF77" s="15">
        <v>0</v>
      </c>
      <c r="AG77" s="15">
        <v>0</v>
      </c>
      <c r="AH77" s="15">
        <v>0</v>
      </c>
      <c r="AI77" s="15" t="s">
        <v>126</v>
      </c>
      <c r="AJ77" s="1">
        <f t="shared" si="25"/>
        <v>0</v>
      </c>
      <c r="AK77" s="1">
        <f t="shared" si="26"/>
        <v>0</v>
      </c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</row>
    <row r="78" spans="1:52" x14ac:dyDescent="0.25">
      <c r="A78" s="1" t="s">
        <v>127</v>
      </c>
      <c r="B78" s="1" t="s">
        <v>43</v>
      </c>
      <c r="C78" s="1">
        <v>2</v>
      </c>
      <c r="D78" s="1">
        <v>31</v>
      </c>
      <c r="E78" s="1">
        <v>7</v>
      </c>
      <c r="F78" s="1">
        <v>24</v>
      </c>
      <c r="G78" s="7">
        <v>0.2</v>
      </c>
      <c r="H78" s="1">
        <v>35</v>
      </c>
      <c r="I78" s="1" t="s">
        <v>39</v>
      </c>
      <c r="J78" s="1">
        <v>8</v>
      </c>
      <c r="K78" s="1">
        <f t="shared" si="19"/>
        <v>-1</v>
      </c>
      <c r="L78" s="1">
        <f t="shared" si="20"/>
        <v>7</v>
      </c>
      <c r="M78" s="1"/>
      <c r="N78" s="1">
        <v>0</v>
      </c>
      <c r="O78" s="1"/>
      <c r="P78" s="1"/>
      <c r="Q78" s="1">
        <f t="shared" si="21"/>
        <v>1.4</v>
      </c>
      <c r="R78" s="5"/>
      <c r="S78" s="5">
        <f t="shared" si="22"/>
        <v>0</v>
      </c>
      <c r="T78" s="5"/>
      <c r="U78" s="5"/>
      <c r="V78" s="1"/>
      <c r="W78" s="1">
        <f t="shared" si="23"/>
        <v>17.142857142857142</v>
      </c>
      <c r="X78" s="1">
        <f t="shared" si="24"/>
        <v>17.142857142857142</v>
      </c>
      <c r="Y78" s="1">
        <v>0</v>
      </c>
      <c r="Z78" s="1">
        <v>2.6</v>
      </c>
      <c r="AA78" s="1">
        <v>2.6</v>
      </c>
      <c r="AB78" s="1">
        <v>0.4</v>
      </c>
      <c r="AC78" s="1">
        <v>0.4</v>
      </c>
      <c r="AD78" s="1">
        <v>0</v>
      </c>
      <c r="AE78" s="1">
        <v>0</v>
      </c>
      <c r="AF78" s="1">
        <v>1.8</v>
      </c>
      <c r="AG78" s="1">
        <v>1.8</v>
      </c>
      <c r="AH78" s="1">
        <v>0</v>
      </c>
      <c r="AI78" s="22" t="s">
        <v>161</v>
      </c>
      <c r="AJ78" s="1">
        <f t="shared" si="25"/>
        <v>0</v>
      </c>
      <c r="AK78" s="1">
        <f t="shared" si="26"/>
        <v>0</v>
      </c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</row>
    <row r="79" spans="1:52" x14ac:dyDescent="0.25">
      <c r="A79" s="1" t="s">
        <v>128</v>
      </c>
      <c r="B79" s="1" t="s">
        <v>38</v>
      </c>
      <c r="C79" s="1">
        <v>4406.6509999999998</v>
      </c>
      <c r="D79" s="1">
        <v>1462.81</v>
      </c>
      <c r="E79" s="1">
        <v>3034.0230000000001</v>
      </c>
      <c r="F79" s="1">
        <v>2130.5700000000002</v>
      </c>
      <c r="G79" s="7">
        <v>1</v>
      </c>
      <c r="H79" s="1">
        <v>60</v>
      </c>
      <c r="I79" s="1" t="s">
        <v>39</v>
      </c>
      <c r="J79" s="1">
        <v>3050.48</v>
      </c>
      <c r="K79" s="1">
        <f t="shared" si="19"/>
        <v>-16.45699999999988</v>
      </c>
      <c r="L79" s="1">
        <f t="shared" si="20"/>
        <v>2387.7430000000004</v>
      </c>
      <c r="M79" s="1">
        <v>646.28</v>
      </c>
      <c r="N79" s="1">
        <v>1007.494199999999</v>
      </c>
      <c r="O79" s="1">
        <v>1350</v>
      </c>
      <c r="P79" s="1"/>
      <c r="Q79" s="1">
        <f t="shared" si="21"/>
        <v>606.80460000000005</v>
      </c>
      <c r="R79" s="5">
        <f>11*Q79-P79-O79-N79-F79</f>
        <v>2186.7864000000013</v>
      </c>
      <c r="S79" s="5">
        <f t="shared" si="22"/>
        <v>1186.7864000000013</v>
      </c>
      <c r="T79" s="5">
        <v>1000</v>
      </c>
      <c r="U79" s="5"/>
      <c r="V79" s="1"/>
      <c r="W79" s="1">
        <f t="shared" si="23"/>
        <v>10.999999999999998</v>
      </c>
      <c r="X79" s="1">
        <f t="shared" si="24"/>
        <v>7.396226396437994</v>
      </c>
      <c r="Y79" s="1">
        <v>541.07579999999996</v>
      </c>
      <c r="Z79" s="1">
        <v>395.20519999999999</v>
      </c>
      <c r="AA79" s="1">
        <v>385.33859999999999</v>
      </c>
      <c r="AB79" s="1">
        <v>527.70839999999998</v>
      </c>
      <c r="AC79" s="1">
        <v>533.19940000000008</v>
      </c>
      <c r="AD79" s="1">
        <v>391.99459999999999</v>
      </c>
      <c r="AE79" s="1">
        <v>409.6884</v>
      </c>
      <c r="AF79" s="1">
        <v>348.62119999999999</v>
      </c>
      <c r="AG79" s="1">
        <v>432.40300000000002</v>
      </c>
      <c r="AH79" s="1">
        <v>542.8972</v>
      </c>
      <c r="AI79" s="1" t="s">
        <v>62</v>
      </c>
      <c r="AJ79" s="1">
        <f t="shared" si="25"/>
        <v>1187</v>
      </c>
      <c r="AK79" s="1">
        <f t="shared" si="26"/>
        <v>1000</v>
      </c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</row>
    <row r="80" spans="1:52" x14ac:dyDescent="0.25">
      <c r="A80" s="1" t="s">
        <v>129</v>
      </c>
      <c r="B80" s="1" t="s">
        <v>38</v>
      </c>
      <c r="C80" s="1">
        <v>2344.8040000000001</v>
      </c>
      <c r="D80" s="1">
        <v>881.93499999999995</v>
      </c>
      <c r="E80" s="1">
        <v>1257.0340000000001</v>
      </c>
      <c r="F80" s="1">
        <v>1298.213</v>
      </c>
      <c r="G80" s="7">
        <v>1</v>
      </c>
      <c r="H80" s="1">
        <v>60</v>
      </c>
      <c r="I80" s="1" t="s">
        <v>39</v>
      </c>
      <c r="J80" s="1">
        <v>1281.4749999999999</v>
      </c>
      <c r="K80" s="1">
        <f t="shared" si="19"/>
        <v>-24.440999999999804</v>
      </c>
      <c r="L80" s="1">
        <f t="shared" si="20"/>
        <v>690.1640000000001</v>
      </c>
      <c r="M80" s="1">
        <v>566.87</v>
      </c>
      <c r="N80" s="1">
        <v>863.61040000000025</v>
      </c>
      <c r="O80" s="1"/>
      <c r="P80" s="1"/>
      <c r="Q80" s="1">
        <f t="shared" si="21"/>
        <v>251.40680000000003</v>
      </c>
      <c r="R80" s="5">
        <f>11*Q80-P80-O80-N80-F80</f>
        <v>603.65140000000019</v>
      </c>
      <c r="S80" s="5">
        <f t="shared" si="22"/>
        <v>603.65140000000019</v>
      </c>
      <c r="T80" s="5"/>
      <c r="U80" s="5"/>
      <c r="V80" s="1"/>
      <c r="W80" s="1">
        <f t="shared" si="23"/>
        <v>11</v>
      </c>
      <c r="X80" s="1">
        <f t="shared" si="24"/>
        <v>8.5989058370736196</v>
      </c>
      <c r="Y80" s="1">
        <v>251.52459999999999</v>
      </c>
      <c r="Z80" s="1">
        <v>167.60140000000001</v>
      </c>
      <c r="AA80" s="1">
        <v>175.3792</v>
      </c>
      <c r="AB80" s="1">
        <v>233.99199999999999</v>
      </c>
      <c r="AC80" s="1">
        <v>239.4606</v>
      </c>
      <c r="AD80" s="1">
        <v>231.31639999999999</v>
      </c>
      <c r="AE80" s="1">
        <v>176.95740000000001</v>
      </c>
      <c r="AF80" s="1">
        <v>193.71940000000001</v>
      </c>
      <c r="AG80" s="1">
        <v>147.5848</v>
      </c>
      <c r="AH80" s="1">
        <v>153.77279999999999</v>
      </c>
      <c r="AI80" s="1" t="s">
        <v>62</v>
      </c>
      <c r="AJ80" s="1">
        <f t="shared" si="25"/>
        <v>604</v>
      </c>
      <c r="AK80" s="1">
        <f t="shared" si="26"/>
        <v>0</v>
      </c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</row>
    <row r="81" spans="1:52" x14ac:dyDescent="0.25">
      <c r="A81" s="12" t="s">
        <v>130</v>
      </c>
      <c r="B81" s="12" t="s">
        <v>38</v>
      </c>
      <c r="C81" s="12"/>
      <c r="D81" s="12"/>
      <c r="E81" s="12">
        <v>2.492</v>
      </c>
      <c r="F81" s="12">
        <v>-2.492</v>
      </c>
      <c r="G81" s="13">
        <v>0</v>
      </c>
      <c r="H81" s="12" t="e">
        <v>#N/A</v>
      </c>
      <c r="I81" s="12" t="s">
        <v>44</v>
      </c>
      <c r="J81" s="12"/>
      <c r="K81" s="12">
        <f t="shared" si="19"/>
        <v>2.492</v>
      </c>
      <c r="L81" s="12">
        <f t="shared" si="20"/>
        <v>2.492</v>
      </c>
      <c r="M81" s="12"/>
      <c r="N81" s="12">
        <v>0</v>
      </c>
      <c r="O81" s="12"/>
      <c r="P81" s="12"/>
      <c r="Q81" s="12">
        <f t="shared" si="21"/>
        <v>0.49840000000000001</v>
      </c>
      <c r="R81" s="14"/>
      <c r="S81" s="5">
        <f t="shared" si="22"/>
        <v>0</v>
      </c>
      <c r="T81" s="14"/>
      <c r="U81" s="14"/>
      <c r="V81" s="12"/>
      <c r="W81" s="12">
        <f t="shared" si="23"/>
        <v>-5</v>
      </c>
      <c r="X81" s="12">
        <f t="shared" si="24"/>
        <v>-5</v>
      </c>
      <c r="Y81" s="12">
        <v>0.49840000000000001</v>
      </c>
      <c r="Z81" s="12">
        <v>0</v>
      </c>
      <c r="AA81" s="12">
        <v>0</v>
      </c>
      <c r="AB81" s="12">
        <v>0.52060000000000006</v>
      </c>
      <c r="AC81" s="12">
        <v>0</v>
      </c>
      <c r="AD81" s="12">
        <v>0</v>
      </c>
      <c r="AE81" s="12">
        <v>0</v>
      </c>
      <c r="AF81" s="12">
        <v>0</v>
      </c>
      <c r="AG81" s="12">
        <v>0</v>
      </c>
      <c r="AH81" s="12">
        <v>0</v>
      </c>
      <c r="AI81" s="12"/>
      <c r="AJ81" s="1">
        <f t="shared" si="25"/>
        <v>0</v>
      </c>
      <c r="AK81" s="1">
        <f t="shared" si="26"/>
        <v>0</v>
      </c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</row>
    <row r="82" spans="1:52" x14ac:dyDescent="0.25">
      <c r="A82" s="1" t="s">
        <v>131</v>
      </c>
      <c r="B82" s="1" t="s">
        <v>38</v>
      </c>
      <c r="C82" s="1">
        <v>1439.278</v>
      </c>
      <c r="D82" s="1">
        <v>2146.9769999999999</v>
      </c>
      <c r="E82" s="1">
        <v>2387.8850000000002</v>
      </c>
      <c r="F82" s="1">
        <v>881.024</v>
      </c>
      <c r="G82" s="7">
        <v>1</v>
      </c>
      <c r="H82" s="1">
        <v>60</v>
      </c>
      <c r="I82" s="1" t="s">
        <v>39</v>
      </c>
      <c r="J82" s="1">
        <v>2511.7710000000002</v>
      </c>
      <c r="K82" s="1">
        <f t="shared" si="19"/>
        <v>-123.88599999999997</v>
      </c>
      <c r="L82" s="1">
        <f t="shared" si="20"/>
        <v>2387.8850000000002</v>
      </c>
      <c r="M82" s="1"/>
      <c r="N82" s="1">
        <v>784.59349999999949</v>
      </c>
      <c r="O82" s="1">
        <v>800</v>
      </c>
      <c r="P82" s="1">
        <v>1000</v>
      </c>
      <c r="Q82" s="1">
        <f t="shared" si="21"/>
        <v>477.57700000000006</v>
      </c>
      <c r="R82" s="5">
        <f t="shared" ref="R82:R83" si="28">11*Q82-P82-O82-N82-F82</f>
        <v>1787.7295000000013</v>
      </c>
      <c r="S82" s="5">
        <f t="shared" si="22"/>
        <v>1087.7295000000013</v>
      </c>
      <c r="T82" s="5">
        <v>700</v>
      </c>
      <c r="U82" s="5"/>
      <c r="V82" s="1"/>
      <c r="W82" s="1">
        <f t="shared" si="23"/>
        <v>11</v>
      </c>
      <c r="X82" s="1">
        <f t="shared" si="24"/>
        <v>7.2566675112076142</v>
      </c>
      <c r="Y82" s="1">
        <v>455.36860000000001</v>
      </c>
      <c r="Z82" s="1">
        <v>290.72300000000001</v>
      </c>
      <c r="AA82" s="1">
        <v>297.3904</v>
      </c>
      <c r="AB82" s="1">
        <v>298.51600000000002</v>
      </c>
      <c r="AC82" s="1">
        <v>258.31079999999997</v>
      </c>
      <c r="AD82" s="1">
        <v>164.2698</v>
      </c>
      <c r="AE82" s="1">
        <v>181.83359999999999</v>
      </c>
      <c r="AF82" s="1">
        <v>178.24760000000001</v>
      </c>
      <c r="AG82" s="1">
        <v>131.71719999999999</v>
      </c>
      <c r="AH82" s="1">
        <v>139.10040000000001</v>
      </c>
      <c r="AI82" s="1" t="s">
        <v>132</v>
      </c>
      <c r="AJ82" s="1">
        <f t="shared" si="25"/>
        <v>1088</v>
      </c>
      <c r="AK82" s="1">
        <f t="shared" si="26"/>
        <v>700</v>
      </c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</row>
    <row r="83" spans="1:52" x14ac:dyDescent="0.25">
      <c r="A83" s="1" t="s">
        <v>133</v>
      </c>
      <c r="B83" s="1" t="s">
        <v>38</v>
      </c>
      <c r="C83" s="1">
        <v>3039.326</v>
      </c>
      <c r="D83" s="1">
        <v>2023.5350000000001</v>
      </c>
      <c r="E83" s="1">
        <v>2724.2579999999998</v>
      </c>
      <c r="F83" s="1">
        <v>689.23400000000004</v>
      </c>
      <c r="G83" s="7">
        <v>1</v>
      </c>
      <c r="H83" s="1">
        <v>60</v>
      </c>
      <c r="I83" s="1" t="s">
        <v>39</v>
      </c>
      <c r="J83" s="1">
        <v>2750.761</v>
      </c>
      <c r="K83" s="1">
        <f t="shared" si="19"/>
        <v>-26.503000000000156</v>
      </c>
      <c r="L83" s="1">
        <f t="shared" si="20"/>
        <v>1883.2349999999997</v>
      </c>
      <c r="M83" s="1">
        <v>841.02300000000002</v>
      </c>
      <c r="N83" s="1">
        <v>981.53900000000067</v>
      </c>
      <c r="O83" s="1">
        <v>1200</v>
      </c>
      <c r="P83" s="1">
        <v>2000</v>
      </c>
      <c r="Q83" s="1">
        <f t="shared" si="21"/>
        <v>544.85159999999996</v>
      </c>
      <c r="R83" s="5">
        <f t="shared" si="28"/>
        <v>1122.594599999999</v>
      </c>
      <c r="S83" s="5">
        <f t="shared" si="22"/>
        <v>1122.594599999999</v>
      </c>
      <c r="T83" s="5"/>
      <c r="U83" s="5"/>
      <c r="V83" s="1"/>
      <c r="W83" s="1">
        <f t="shared" si="23"/>
        <v>11</v>
      </c>
      <c r="X83" s="1">
        <f t="shared" si="24"/>
        <v>8.939632369621382</v>
      </c>
      <c r="Y83" s="1">
        <v>645.95100000000002</v>
      </c>
      <c r="Z83" s="1">
        <v>176.8768</v>
      </c>
      <c r="AA83" s="1">
        <v>131.86940000000001</v>
      </c>
      <c r="AB83" s="1">
        <v>350.85899999999998</v>
      </c>
      <c r="AC83" s="1">
        <v>321.74360000000001</v>
      </c>
      <c r="AD83" s="1">
        <v>675.32060000000001</v>
      </c>
      <c r="AE83" s="1">
        <v>735.18680000000006</v>
      </c>
      <c r="AF83" s="1">
        <v>514.34320000000002</v>
      </c>
      <c r="AG83" s="1">
        <v>549.89760000000001</v>
      </c>
      <c r="AH83" s="1">
        <v>591.75459999999998</v>
      </c>
      <c r="AI83" s="1"/>
      <c r="AJ83" s="1">
        <f t="shared" si="25"/>
        <v>1123</v>
      </c>
      <c r="AK83" s="1">
        <f t="shared" si="26"/>
        <v>0</v>
      </c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</row>
    <row r="84" spans="1:52" x14ac:dyDescent="0.25">
      <c r="A84" s="1" t="s">
        <v>134</v>
      </c>
      <c r="B84" s="1" t="s">
        <v>38</v>
      </c>
      <c r="C84" s="1">
        <v>28.213999999999999</v>
      </c>
      <c r="D84" s="1"/>
      <c r="E84" s="1">
        <v>1.335</v>
      </c>
      <c r="F84" s="1">
        <v>25.545000000000002</v>
      </c>
      <c r="G84" s="7">
        <v>1</v>
      </c>
      <c r="H84" s="1">
        <v>55</v>
      </c>
      <c r="I84" s="1" t="s">
        <v>39</v>
      </c>
      <c r="J84" s="1">
        <v>2.65</v>
      </c>
      <c r="K84" s="1">
        <f t="shared" si="19"/>
        <v>-1.3149999999999999</v>
      </c>
      <c r="L84" s="1">
        <f t="shared" si="20"/>
        <v>1.335</v>
      </c>
      <c r="M84" s="1"/>
      <c r="N84" s="1">
        <v>0</v>
      </c>
      <c r="O84" s="1"/>
      <c r="P84" s="1"/>
      <c r="Q84" s="1">
        <f t="shared" si="21"/>
        <v>0.26700000000000002</v>
      </c>
      <c r="R84" s="5"/>
      <c r="S84" s="5">
        <f t="shared" si="22"/>
        <v>0</v>
      </c>
      <c r="T84" s="5"/>
      <c r="U84" s="5"/>
      <c r="V84" s="1"/>
      <c r="W84" s="1">
        <f t="shared" si="23"/>
        <v>95.674157303370791</v>
      </c>
      <c r="X84" s="1">
        <f t="shared" si="24"/>
        <v>95.674157303370791</v>
      </c>
      <c r="Y84" s="1">
        <v>0.26700000000000002</v>
      </c>
      <c r="Z84" s="1">
        <v>1.0716000000000001</v>
      </c>
      <c r="AA84" s="1">
        <v>1.0716000000000001</v>
      </c>
      <c r="AB84" s="1">
        <v>1.0642</v>
      </c>
      <c r="AC84" s="1">
        <v>1.6112</v>
      </c>
      <c r="AD84" s="1">
        <v>0.8146000000000001</v>
      </c>
      <c r="AE84" s="1">
        <v>0.8103999999999999</v>
      </c>
      <c r="AF84" s="1">
        <v>0.8156000000000001</v>
      </c>
      <c r="AG84" s="1">
        <v>0.27279999999999999</v>
      </c>
      <c r="AH84" s="1">
        <v>0.27179999999999999</v>
      </c>
      <c r="AI84" s="20" t="s">
        <v>163</v>
      </c>
      <c r="AJ84" s="1">
        <f t="shared" si="25"/>
        <v>0</v>
      </c>
      <c r="AK84" s="1">
        <f t="shared" si="26"/>
        <v>0</v>
      </c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</row>
    <row r="85" spans="1:52" x14ac:dyDescent="0.25">
      <c r="A85" s="1" t="s">
        <v>135</v>
      </c>
      <c r="B85" s="1" t="s">
        <v>38</v>
      </c>
      <c r="C85" s="1">
        <v>41.768999999999998</v>
      </c>
      <c r="D85" s="1"/>
      <c r="E85" s="1">
        <v>7.6059999999999999</v>
      </c>
      <c r="F85" s="1">
        <v>32.328000000000003</v>
      </c>
      <c r="G85" s="7">
        <v>1</v>
      </c>
      <c r="H85" s="1">
        <v>55</v>
      </c>
      <c r="I85" s="1" t="s">
        <v>39</v>
      </c>
      <c r="J85" s="1">
        <v>7.95</v>
      </c>
      <c r="K85" s="1">
        <f t="shared" si="19"/>
        <v>-0.34400000000000031</v>
      </c>
      <c r="L85" s="1">
        <f t="shared" si="20"/>
        <v>7.6059999999999999</v>
      </c>
      <c r="M85" s="1"/>
      <c r="N85" s="1">
        <v>0</v>
      </c>
      <c r="O85" s="1"/>
      <c r="P85" s="1"/>
      <c r="Q85" s="1">
        <f t="shared" si="21"/>
        <v>1.5211999999999999</v>
      </c>
      <c r="R85" s="5"/>
      <c r="S85" s="5">
        <f t="shared" si="22"/>
        <v>0</v>
      </c>
      <c r="T85" s="5"/>
      <c r="U85" s="5"/>
      <c r="V85" s="1"/>
      <c r="W85" s="1">
        <f t="shared" si="23"/>
        <v>21.251643439389959</v>
      </c>
      <c r="X85" s="1">
        <f t="shared" si="24"/>
        <v>21.251643439389959</v>
      </c>
      <c r="Y85" s="1">
        <v>0.98180000000000001</v>
      </c>
      <c r="Z85" s="1">
        <v>1.0815999999999999</v>
      </c>
      <c r="AA85" s="1">
        <v>1.0786</v>
      </c>
      <c r="AB85" s="1">
        <v>1.6180000000000001</v>
      </c>
      <c r="AC85" s="1">
        <v>3.4996</v>
      </c>
      <c r="AD85" s="1">
        <v>4.0282</v>
      </c>
      <c r="AE85" s="1">
        <v>2.1478000000000002</v>
      </c>
      <c r="AF85" s="1">
        <v>0.2702</v>
      </c>
      <c r="AG85" s="1">
        <v>1.0928</v>
      </c>
      <c r="AH85" s="1">
        <v>2.1669999999999998</v>
      </c>
      <c r="AI85" s="20" t="s">
        <v>164</v>
      </c>
      <c r="AJ85" s="1">
        <f t="shared" si="25"/>
        <v>0</v>
      </c>
      <c r="AK85" s="1">
        <f t="shared" si="26"/>
        <v>0</v>
      </c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</row>
    <row r="86" spans="1:52" x14ac:dyDescent="0.25">
      <c r="A86" s="1" t="s">
        <v>136</v>
      </c>
      <c r="B86" s="1" t="s">
        <v>38</v>
      </c>
      <c r="C86" s="1">
        <v>6.7759999999999998</v>
      </c>
      <c r="D86" s="1"/>
      <c r="E86" s="1"/>
      <c r="F86" s="1"/>
      <c r="G86" s="7">
        <v>1</v>
      </c>
      <c r="H86" s="1">
        <v>55</v>
      </c>
      <c r="I86" s="1" t="s">
        <v>39</v>
      </c>
      <c r="J86" s="1">
        <v>1.3</v>
      </c>
      <c r="K86" s="1">
        <f t="shared" si="19"/>
        <v>-1.3</v>
      </c>
      <c r="L86" s="1">
        <f t="shared" si="20"/>
        <v>0</v>
      </c>
      <c r="M86" s="1"/>
      <c r="N86" s="1">
        <v>0</v>
      </c>
      <c r="O86" s="1"/>
      <c r="P86" s="1"/>
      <c r="Q86" s="1">
        <f t="shared" si="21"/>
        <v>0</v>
      </c>
      <c r="R86" s="23">
        <f t="shared" ref="R86:R94" si="29">10.5*Q86-P86-O86-N86-F86</f>
        <v>0</v>
      </c>
      <c r="S86" s="5">
        <f t="shared" si="22"/>
        <v>0</v>
      </c>
      <c r="T86" s="23"/>
      <c r="U86" s="5"/>
      <c r="V86" s="1"/>
      <c r="W86" s="1" t="e">
        <f t="shared" si="23"/>
        <v>#DIV/0!</v>
      </c>
      <c r="X86" s="1" t="e">
        <f t="shared" si="24"/>
        <v>#DIV/0!</v>
      </c>
      <c r="Y86" s="1">
        <v>0</v>
      </c>
      <c r="Z86" s="1">
        <v>0.27200000000000002</v>
      </c>
      <c r="AA86" s="1">
        <v>0.54200000000000004</v>
      </c>
      <c r="AB86" s="1">
        <v>0.8076000000000001</v>
      </c>
      <c r="AC86" s="1">
        <v>0.53760000000000008</v>
      </c>
      <c r="AD86" s="1">
        <v>0.187</v>
      </c>
      <c r="AE86" s="1">
        <v>0.45600000000000002</v>
      </c>
      <c r="AF86" s="1">
        <v>0.53579999999999994</v>
      </c>
      <c r="AG86" s="1">
        <v>0.26679999999999998</v>
      </c>
      <c r="AH86" s="1">
        <v>0.26600000000000001</v>
      </c>
      <c r="AI86" s="24" t="s">
        <v>166</v>
      </c>
      <c r="AJ86" s="1">
        <f t="shared" si="25"/>
        <v>0</v>
      </c>
      <c r="AK86" s="1">
        <f t="shared" si="26"/>
        <v>0</v>
      </c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</row>
    <row r="87" spans="1:52" x14ac:dyDescent="0.25">
      <c r="A87" s="1" t="s">
        <v>137</v>
      </c>
      <c r="B87" s="1" t="s">
        <v>38</v>
      </c>
      <c r="C87" s="1">
        <v>117.583</v>
      </c>
      <c r="D87" s="1">
        <v>24.28</v>
      </c>
      <c r="E87" s="1">
        <v>6.38</v>
      </c>
      <c r="F87" s="1">
        <v>135.483</v>
      </c>
      <c r="G87" s="7">
        <v>1</v>
      </c>
      <c r="H87" s="1">
        <v>60</v>
      </c>
      <c r="I87" s="1" t="s">
        <v>39</v>
      </c>
      <c r="J87" s="1">
        <v>18.399999999999999</v>
      </c>
      <c r="K87" s="1">
        <f t="shared" si="19"/>
        <v>-12.02</v>
      </c>
      <c r="L87" s="1">
        <f t="shared" si="20"/>
        <v>6.38</v>
      </c>
      <c r="M87" s="1"/>
      <c r="N87" s="1">
        <v>0</v>
      </c>
      <c r="O87" s="1"/>
      <c r="P87" s="1"/>
      <c r="Q87" s="1">
        <f t="shared" si="21"/>
        <v>1.276</v>
      </c>
      <c r="R87" s="5"/>
      <c r="S87" s="5">
        <f t="shared" si="22"/>
        <v>0</v>
      </c>
      <c r="T87" s="5"/>
      <c r="U87" s="5"/>
      <c r="V87" s="1"/>
      <c r="W87" s="1">
        <f t="shared" si="23"/>
        <v>106.17789968652038</v>
      </c>
      <c r="X87" s="1">
        <f t="shared" si="24"/>
        <v>106.17789968652038</v>
      </c>
      <c r="Y87" s="1">
        <v>0.95600000000000007</v>
      </c>
      <c r="Z87" s="1">
        <v>0</v>
      </c>
      <c r="AA87" s="1">
        <v>0.1588</v>
      </c>
      <c r="AB87" s="1">
        <v>12.1892</v>
      </c>
      <c r="AC87" s="1">
        <v>12.1904</v>
      </c>
      <c r="AD87" s="1">
        <v>8.9773999999999994</v>
      </c>
      <c r="AE87" s="1">
        <v>8.817400000000001</v>
      </c>
      <c r="AF87" s="1">
        <v>3.0908000000000002</v>
      </c>
      <c r="AG87" s="1">
        <v>3.4098000000000002</v>
      </c>
      <c r="AH87" s="1">
        <v>0.48060000000000003</v>
      </c>
      <c r="AI87" s="20" t="s">
        <v>165</v>
      </c>
      <c r="AJ87" s="1">
        <f t="shared" si="25"/>
        <v>0</v>
      </c>
      <c r="AK87" s="1">
        <f t="shared" si="26"/>
        <v>0</v>
      </c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</row>
    <row r="88" spans="1:52" x14ac:dyDescent="0.25">
      <c r="A88" s="1" t="s">
        <v>138</v>
      </c>
      <c r="B88" s="1" t="s">
        <v>43</v>
      </c>
      <c r="C88" s="1">
        <v>16</v>
      </c>
      <c r="D88" s="1">
        <v>30</v>
      </c>
      <c r="E88" s="1">
        <v>7</v>
      </c>
      <c r="F88" s="1">
        <v>33</v>
      </c>
      <c r="G88" s="7">
        <v>0.3</v>
      </c>
      <c r="H88" s="1">
        <v>40</v>
      </c>
      <c r="I88" s="1" t="s">
        <v>39</v>
      </c>
      <c r="J88" s="1">
        <v>11</v>
      </c>
      <c r="K88" s="1">
        <f t="shared" si="19"/>
        <v>-4</v>
      </c>
      <c r="L88" s="1">
        <f t="shared" si="20"/>
        <v>7</v>
      </c>
      <c r="M88" s="1"/>
      <c r="N88" s="1">
        <v>0</v>
      </c>
      <c r="O88" s="1"/>
      <c r="P88" s="1"/>
      <c r="Q88" s="1">
        <f t="shared" si="21"/>
        <v>1.4</v>
      </c>
      <c r="R88" s="5"/>
      <c r="S88" s="5">
        <f t="shared" si="22"/>
        <v>0</v>
      </c>
      <c r="T88" s="5"/>
      <c r="U88" s="5"/>
      <c r="V88" s="1"/>
      <c r="W88" s="1">
        <f t="shared" si="23"/>
        <v>23.571428571428573</v>
      </c>
      <c r="X88" s="1">
        <f t="shared" si="24"/>
        <v>23.571428571428573</v>
      </c>
      <c r="Y88" s="1">
        <v>0.8</v>
      </c>
      <c r="Z88" s="1">
        <v>2.8</v>
      </c>
      <c r="AA88" s="1">
        <v>3</v>
      </c>
      <c r="AB88" s="1">
        <v>2.2000000000000002</v>
      </c>
      <c r="AC88" s="1">
        <v>2.2000000000000002</v>
      </c>
      <c r="AD88" s="1">
        <v>2.8</v>
      </c>
      <c r="AE88" s="1">
        <v>3.2</v>
      </c>
      <c r="AF88" s="1">
        <v>2.8</v>
      </c>
      <c r="AG88" s="1">
        <v>2.2000000000000002</v>
      </c>
      <c r="AH88" s="1">
        <v>1.6</v>
      </c>
      <c r="AI88" s="21" t="s">
        <v>102</v>
      </c>
      <c r="AJ88" s="1">
        <f t="shared" si="25"/>
        <v>0</v>
      </c>
      <c r="AK88" s="1">
        <f t="shared" si="26"/>
        <v>0</v>
      </c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</row>
    <row r="89" spans="1:52" x14ac:dyDescent="0.25">
      <c r="A89" s="1" t="s">
        <v>139</v>
      </c>
      <c r="B89" s="1" t="s">
        <v>43</v>
      </c>
      <c r="C89" s="1">
        <v>33</v>
      </c>
      <c r="D89" s="1"/>
      <c r="E89" s="1">
        <v>14</v>
      </c>
      <c r="F89" s="1">
        <v>10</v>
      </c>
      <c r="G89" s="7">
        <v>0.3</v>
      </c>
      <c r="H89" s="1">
        <v>40</v>
      </c>
      <c r="I89" s="1" t="s">
        <v>39</v>
      </c>
      <c r="J89" s="1">
        <v>17</v>
      </c>
      <c r="K89" s="1">
        <f t="shared" si="19"/>
        <v>-3</v>
      </c>
      <c r="L89" s="1">
        <f t="shared" si="20"/>
        <v>14</v>
      </c>
      <c r="M89" s="1"/>
      <c r="N89" s="1">
        <v>0</v>
      </c>
      <c r="O89" s="1"/>
      <c r="P89" s="1"/>
      <c r="Q89" s="1">
        <f t="shared" si="21"/>
        <v>2.8</v>
      </c>
      <c r="R89" s="5">
        <f t="shared" si="29"/>
        <v>19.399999999999999</v>
      </c>
      <c r="S89" s="5">
        <f t="shared" si="22"/>
        <v>19.399999999999999</v>
      </c>
      <c r="T89" s="5"/>
      <c r="U89" s="5"/>
      <c r="V89" s="1"/>
      <c r="W89" s="1">
        <f t="shared" si="23"/>
        <v>10.5</v>
      </c>
      <c r="X89" s="1">
        <f t="shared" si="24"/>
        <v>3.5714285714285716</v>
      </c>
      <c r="Y89" s="1">
        <v>1</v>
      </c>
      <c r="Z89" s="1">
        <v>2.4</v>
      </c>
      <c r="AA89" s="1">
        <v>2.4</v>
      </c>
      <c r="AB89" s="1">
        <v>1.4</v>
      </c>
      <c r="AC89" s="1">
        <v>1.6</v>
      </c>
      <c r="AD89" s="1">
        <v>1.6</v>
      </c>
      <c r="AE89" s="1">
        <v>2</v>
      </c>
      <c r="AF89" s="1">
        <v>2.4</v>
      </c>
      <c r="AG89" s="1">
        <v>2.4</v>
      </c>
      <c r="AH89" s="1">
        <v>1.4</v>
      </c>
      <c r="AI89" s="1" t="s">
        <v>140</v>
      </c>
      <c r="AJ89" s="1">
        <f t="shared" si="25"/>
        <v>6</v>
      </c>
      <c r="AK89" s="1">
        <f t="shared" si="26"/>
        <v>0</v>
      </c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</row>
    <row r="90" spans="1:52" x14ac:dyDescent="0.25">
      <c r="A90" s="1" t="s">
        <v>141</v>
      </c>
      <c r="B90" s="1" t="s">
        <v>43</v>
      </c>
      <c r="C90" s="1">
        <v>55</v>
      </c>
      <c r="D90" s="1">
        <v>128</v>
      </c>
      <c r="E90" s="1">
        <v>77</v>
      </c>
      <c r="F90" s="1">
        <v>90</v>
      </c>
      <c r="G90" s="7">
        <v>0.3</v>
      </c>
      <c r="H90" s="1">
        <v>40</v>
      </c>
      <c r="I90" s="1" t="s">
        <v>39</v>
      </c>
      <c r="J90" s="1">
        <v>100</v>
      </c>
      <c r="K90" s="1">
        <f t="shared" si="19"/>
        <v>-23</v>
      </c>
      <c r="L90" s="1">
        <f t="shared" si="20"/>
        <v>77</v>
      </c>
      <c r="M90" s="1"/>
      <c r="N90" s="1">
        <v>0</v>
      </c>
      <c r="O90" s="1"/>
      <c r="P90" s="1"/>
      <c r="Q90" s="1">
        <f t="shared" si="21"/>
        <v>15.4</v>
      </c>
      <c r="R90" s="5">
        <f t="shared" si="29"/>
        <v>71.700000000000017</v>
      </c>
      <c r="S90" s="5">
        <f t="shared" si="22"/>
        <v>71.700000000000017</v>
      </c>
      <c r="T90" s="5"/>
      <c r="U90" s="5"/>
      <c r="V90" s="1"/>
      <c r="W90" s="1">
        <f t="shared" si="23"/>
        <v>10.5</v>
      </c>
      <c r="X90" s="1">
        <f t="shared" si="24"/>
        <v>5.8441558441558437</v>
      </c>
      <c r="Y90" s="1">
        <v>12.8</v>
      </c>
      <c r="Z90" s="1">
        <v>15</v>
      </c>
      <c r="AA90" s="1">
        <v>15</v>
      </c>
      <c r="AB90" s="1">
        <v>9</v>
      </c>
      <c r="AC90" s="1">
        <v>9.1999999999999993</v>
      </c>
      <c r="AD90" s="1">
        <v>13.4</v>
      </c>
      <c r="AE90" s="1">
        <v>12.4</v>
      </c>
      <c r="AF90" s="1">
        <v>13.8</v>
      </c>
      <c r="AG90" s="1">
        <v>17.399999999999999</v>
      </c>
      <c r="AH90" s="1">
        <v>14.4</v>
      </c>
      <c r="AI90" s="1"/>
      <c r="AJ90" s="1">
        <f t="shared" si="25"/>
        <v>22</v>
      </c>
      <c r="AK90" s="1">
        <f t="shared" si="26"/>
        <v>0</v>
      </c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</row>
    <row r="91" spans="1:52" x14ac:dyDescent="0.25">
      <c r="A91" s="1" t="s">
        <v>142</v>
      </c>
      <c r="B91" s="1" t="s">
        <v>38</v>
      </c>
      <c r="C91" s="1">
        <v>21.6</v>
      </c>
      <c r="D91" s="1"/>
      <c r="E91" s="1">
        <v>5.4020000000000001</v>
      </c>
      <c r="F91" s="1">
        <v>16.198</v>
      </c>
      <c r="G91" s="7">
        <v>1</v>
      </c>
      <c r="H91" s="1">
        <v>50</v>
      </c>
      <c r="I91" s="1" t="s">
        <v>39</v>
      </c>
      <c r="J91" s="1">
        <v>5.0999999999999996</v>
      </c>
      <c r="K91" s="1">
        <f t="shared" si="19"/>
        <v>0.30200000000000049</v>
      </c>
      <c r="L91" s="1">
        <f t="shared" si="20"/>
        <v>5.4020000000000001</v>
      </c>
      <c r="M91" s="1"/>
      <c r="N91" s="1">
        <v>0</v>
      </c>
      <c r="O91" s="1"/>
      <c r="P91" s="1"/>
      <c r="Q91" s="1">
        <f t="shared" si="21"/>
        <v>1.0804</v>
      </c>
      <c r="R91" s="5"/>
      <c r="S91" s="5">
        <f t="shared" si="22"/>
        <v>0</v>
      </c>
      <c r="T91" s="5"/>
      <c r="U91" s="5"/>
      <c r="V91" s="1"/>
      <c r="W91" s="1">
        <f t="shared" si="23"/>
        <v>14.992595335061088</v>
      </c>
      <c r="X91" s="1">
        <f t="shared" si="24"/>
        <v>14.992595335061088</v>
      </c>
      <c r="Y91" s="1">
        <v>1.0804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9" t="s">
        <v>143</v>
      </c>
      <c r="AJ91" s="1">
        <f t="shared" si="25"/>
        <v>0</v>
      </c>
      <c r="AK91" s="1">
        <f t="shared" si="26"/>
        <v>0</v>
      </c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</row>
    <row r="92" spans="1:52" x14ac:dyDescent="0.25">
      <c r="A92" s="1" t="s">
        <v>144</v>
      </c>
      <c r="B92" s="1" t="s">
        <v>43</v>
      </c>
      <c r="C92" s="1">
        <v>79</v>
      </c>
      <c r="D92" s="1"/>
      <c r="E92" s="1">
        <v>33</v>
      </c>
      <c r="F92" s="1">
        <v>32</v>
      </c>
      <c r="G92" s="7">
        <v>0.05</v>
      </c>
      <c r="H92" s="1">
        <v>120</v>
      </c>
      <c r="I92" s="1" t="s">
        <v>39</v>
      </c>
      <c r="J92" s="1">
        <v>37</v>
      </c>
      <c r="K92" s="1">
        <f t="shared" si="19"/>
        <v>-4</v>
      </c>
      <c r="L92" s="1">
        <f t="shared" si="20"/>
        <v>33</v>
      </c>
      <c r="M92" s="1"/>
      <c r="N92" s="1">
        <v>49.8</v>
      </c>
      <c r="O92" s="1"/>
      <c r="P92" s="1"/>
      <c r="Q92" s="1">
        <f t="shared" si="21"/>
        <v>6.6</v>
      </c>
      <c r="R92" s="5"/>
      <c r="S92" s="5">
        <f t="shared" si="22"/>
        <v>0</v>
      </c>
      <c r="T92" s="5"/>
      <c r="U92" s="5"/>
      <c r="V92" s="1"/>
      <c r="W92" s="1">
        <f t="shared" si="23"/>
        <v>12.393939393939394</v>
      </c>
      <c r="X92" s="1">
        <f t="shared" si="24"/>
        <v>12.393939393939394</v>
      </c>
      <c r="Y92" s="1">
        <v>9.1999999999999993</v>
      </c>
      <c r="Z92" s="1">
        <v>3.8</v>
      </c>
      <c r="AA92" s="1">
        <v>0.8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 t="s">
        <v>145</v>
      </c>
      <c r="AJ92" s="1">
        <f t="shared" si="25"/>
        <v>0</v>
      </c>
      <c r="AK92" s="1">
        <f t="shared" si="26"/>
        <v>0</v>
      </c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</row>
    <row r="93" spans="1:52" x14ac:dyDescent="0.25">
      <c r="A93" s="1" t="s">
        <v>146</v>
      </c>
      <c r="B93" s="1" t="s">
        <v>38</v>
      </c>
      <c r="C93" s="1">
        <v>7012.9409999999998</v>
      </c>
      <c r="D93" s="1">
        <v>1944.8489999999999</v>
      </c>
      <c r="E93" s="1">
        <v>5276.6170000000002</v>
      </c>
      <c r="F93" s="1">
        <v>3042.7840000000001</v>
      </c>
      <c r="G93" s="7">
        <v>1</v>
      </c>
      <c r="H93" s="1">
        <v>40</v>
      </c>
      <c r="I93" s="1" t="s">
        <v>39</v>
      </c>
      <c r="J93" s="1">
        <v>5151.93</v>
      </c>
      <c r="K93" s="1">
        <f t="shared" si="19"/>
        <v>124.6869999999999</v>
      </c>
      <c r="L93" s="1">
        <f t="shared" si="20"/>
        <v>5172.8550000000005</v>
      </c>
      <c r="M93" s="1">
        <v>103.762</v>
      </c>
      <c r="N93" s="1">
        <v>1247.8954000000001</v>
      </c>
      <c r="O93" s="1">
        <v>1600</v>
      </c>
      <c r="P93" s="1">
        <v>2320</v>
      </c>
      <c r="Q93" s="1">
        <f t="shared" si="21"/>
        <v>1055.3234</v>
      </c>
      <c r="R93" s="5">
        <f t="shared" si="29"/>
        <v>2870.2162999999987</v>
      </c>
      <c r="S93" s="5">
        <f t="shared" si="22"/>
        <v>1370.2162999999987</v>
      </c>
      <c r="T93" s="5">
        <v>1500</v>
      </c>
      <c r="U93" s="5"/>
      <c r="V93" s="1"/>
      <c r="W93" s="1">
        <f t="shared" si="23"/>
        <v>10.5</v>
      </c>
      <c r="X93" s="1">
        <f t="shared" si="24"/>
        <v>7.7802495424625295</v>
      </c>
      <c r="Y93" s="1">
        <v>984.75660000000005</v>
      </c>
      <c r="Z93" s="1">
        <v>746.59719999999993</v>
      </c>
      <c r="AA93" s="1">
        <v>732.85320000000002</v>
      </c>
      <c r="AB93" s="1">
        <v>833.77319999999997</v>
      </c>
      <c r="AC93" s="1">
        <v>852.93179999999995</v>
      </c>
      <c r="AD93" s="1">
        <v>1290.4069999999999</v>
      </c>
      <c r="AE93" s="1">
        <v>1456.4558</v>
      </c>
      <c r="AF93" s="1">
        <v>1056.0206000000001</v>
      </c>
      <c r="AG93" s="1">
        <v>1007.1074</v>
      </c>
      <c r="AH93" s="1">
        <v>1297.9582</v>
      </c>
      <c r="AI93" s="1" t="s">
        <v>62</v>
      </c>
      <c r="AJ93" s="1">
        <f t="shared" si="25"/>
        <v>1370</v>
      </c>
      <c r="AK93" s="1">
        <f t="shared" si="26"/>
        <v>1500</v>
      </c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</row>
    <row r="94" spans="1:52" x14ac:dyDescent="0.25">
      <c r="A94" s="1" t="s">
        <v>147</v>
      </c>
      <c r="B94" s="1" t="s">
        <v>43</v>
      </c>
      <c r="C94" s="1">
        <v>125</v>
      </c>
      <c r="D94" s="1">
        <v>102</v>
      </c>
      <c r="E94" s="1">
        <v>163</v>
      </c>
      <c r="F94" s="1">
        <v>30</v>
      </c>
      <c r="G94" s="7">
        <v>0.3</v>
      </c>
      <c r="H94" s="1">
        <v>40</v>
      </c>
      <c r="I94" s="1" t="s">
        <v>39</v>
      </c>
      <c r="J94" s="1">
        <v>222</v>
      </c>
      <c r="K94" s="1">
        <f t="shared" si="19"/>
        <v>-59</v>
      </c>
      <c r="L94" s="1">
        <f t="shared" si="20"/>
        <v>163</v>
      </c>
      <c r="M94" s="1"/>
      <c r="N94" s="1">
        <v>234.2</v>
      </c>
      <c r="O94" s="1"/>
      <c r="P94" s="1"/>
      <c r="Q94" s="1">
        <f t="shared" si="21"/>
        <v>32.6</v>
      </c>
      <c r="R94" s="5">
        <f t="shared" si="29"/>
        <v>78.100000000000023</v>
      </c>
      <c r="S94" s="5">
        <f t="shared" si="22"/>
        <v>78.100000000000023</v>
      </c>
      <c r="T94" s="5"/>
      <c r="U94" s="5"/>
      <c r="V94" s="1"/>
      <c r="W94" s="1">
        <f t="shared" si="23"/>
        <v>10.5</v>
      </c>
      <c r="X94" s="1">
        <f t="shared" si="24"/>
        <v>8.1042944785276063</v>
      </c>
      <c r="Y94" s="1">
        <v>37.6</v>
      </c>
      <c r="Z94" s="1">
        <v>5.6</v>
      </c>
      <c r="AA94" s="1">
        <v>2.8</v>
      </c>
      <c r="AB94" s="1">
        <v>21.8</v>
      </c>
      <c r="AC94" s="1">
        <v>25.2</v>
      </c>
      <c r="AD94" s="1">
        <v>26.6</v>
      </c>
      <c r="AE94" s="1">
        <v>25.2</v>
      </c>
      <c r="AF94" s="1">
        <v>26.8</v>
      </c>
      <c r="AG94" s="1">
        <v>28</v>
      </c>
      <c r="AH94" s="1">
        <v>26.8</v>
      </c>
      <c r="AI94" s="1" t="s">
        <v>148</v>
      </c>
      <c r="AJ94" s="1">
        <f t="shared" si="25"/>
        <v>23</v>
      </c>
      <c r="AK94" s="1">
        <f t="shared" si="26"/>
        <v>0</v>
      </c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</row>
    <row r="95" spans="1:52" x14ac:dyDescent="0.25">
      <c r="A95" s="1" t="s">
        <v>149</v>
      </c>
      <c r="B95" s="1" t="s">
        <v>43</v>
      </c>
      <c r="C95" s="1">
        <v>57</v>
      </c>
      <c r="D95" s="1">
        <v>222</v>
      </c>
      <c r="E95" s="1">
        <v>107</v>
      </c>
      <c r="F95" s="1">
        <v>147</v>
      </c>
      <c r="G95" s="7">
        <v>0.3</v>
      </c>
      <c r="H95" s="1">
        <v>40</v>
      </c>
      <c r="I95" s="1" t="s">
        <v>39</v>
      </c>
      <c r="J95" s="1">
        <v>145</v>
      </c>
      <c r="K95" s="1">
        <f t="shared" si="19"/>
        <v>-38</v>
      </c>
      <c r="L95" s="1">
        <f t="shared" si="20"/>
        <v>107</v>
      </c>
      <c r="M95" s="1"/>
      <c r="N95" s="1">
        <v>100</v>
      </c>
      <c r="O95" s="1"/>
      <c r="P95" s="1"/>
      <c r="Q95" s="1">
        <f t="shared" si="21"/>
        <v>21.4</v>
      </c>
      <c r="R95" s="5"/>
      <c r="S95" s="5">
        <f t="shared" si="22"/>
        <v>0</v>
      </c>
      <c r="T95" s="5"/>
      <c r="U95" s="5"/>
      <c r="V95" s="1"/>
      <c r="W95" s="1">
        <f t="shared" si="23"/>
        <v>11.542056074766355</v>
      </c>
      <c r="X95" s="1">
        <f t="shared" si="24"/>
        <v>11.542056074766355</v>
      </c>
      <c r="Y95" s="1">
        <v>17.600000000000001</v>
      </c>
      <c r="Z95" s="1">
        <v>23.8</v>
      </c>
      <c r="AA95" s="1">
        <v>25</v>
      </c>
      <c r="AB95" s="1">
        <v>16.8</v>
      </c>
      <c r="AC95" s="1">
        <v>17</v>
      </c>
      <c r="AD95" s="1">
        <v>21</v>
      </c>
      <c r="AE95" s="1">
        <v>21</v>
      </c>
      <c r="AF95" s="1">
        <v>20</v>
      </c>
      <c r="AG95" s="1">
        <v>21.2</v>
      </c>
      <c r="AH95" s="1">
        <v>20.2</v>
      </c>
      <c r="AI95" s="1" t="s">
        <v>150</v>
      </c>
      <c r="AJ95" s="1">
        <f t="shared" si="25"/>
        <v>0</v>
      </c>
      <c r="AK95" s="1">
        <f t="shared" si="26"/>
        <v>0</v>
      </c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</row>
    <row r="96" spans="1:52" x14ac:dyDescent="0.25">
      <c r="A96" s="1" t="s">
        <v>151</v>
      </c>
      <c r="B96" s="1" t="s">
        <v>38</v>
      </c>
      <c r="C96" s="1">
        <v>23.277000000000001</v>
      </c>
      <c r="D96" s="1">
        <v>40.706000000000003</v>
      </c>
      <c r="E96" s="1">
        <v>16.844999999999999</v>
      </c>
      <c r="F96" s="1">
        <v>38.927999999999997</v>
      </c>
      <c r="G96" s="7">
        <v>1</v>
      </c>
      <c r="H96" s="1">
        <v>45</v>
      </c>
      <c r="I96" s="1" t="s">
        <v>39</v>
      </c>
      <c r="J96" s="1">
        <v>17.05</v>
      </c>
      <c r="K96" s="1">
        <f t="shared" si="19"/>
        <v>-0.20500000000000185</v>
      </c>
      <c r="L96" s="1">
        <f t="shared" si="20"/>
        <v>16.844999999999999</v>
      </c>
      <c r="M96" s="1"/>
      <c r="N96" s="1">
        <v>0</v>
      </c>
      <c r="O96" s="1"/>
      <c r="P96" s="1"/>
      <c r="Q96" s="1">
        <f t="shared" si="21"/>
        <v>3.3689999999999998</v>
      </c>
      <c r="R96" s="5"/>
      <c r="S96" s="5">
        <f t="shared" si="22"/>
        <v>0</v>
      </c>
      <c r="T96" s="5"/>
      <c r="U96" s="5"/>
      <c r="V96" s="1"/>
      <c r="W96" s="1">
        <f t="shared" si="23"/>
        <v>11.554764024933215</v>
      </c>
      <c r="X96" s="1">
        <f t="shared" si="24"/>
        <v>11.554764024933215</v>
      </c>
      <c r="Y96" s="1">
        <v>3.8780000000000001</v>
      </c>
      <c r="Z96" s="1">
        <v>4.3487999999999998</v>
      </c>
      <c r="AA96" s="1">
        <v>4.0377999999999998</v>
      </c>
      <c r="AB96" s="1">
        <v>4.2898000000000014</v>
      </c>
      <c r="AC96" s="1">
        <v>3.4994000000000001</v>
      </c>
      <c r="AD96" s="1">
        <v>4.0082000000000004</v>
      </c>
      <c r="AE96" s="1">
        <v>3.9998</v>
      </c>
      <c r="AF96" s="1">
        <v>1.0733999999999999</v>
      </c>
      <c r="AG96" s="1">
        <v>2.4333999999999998</v>
      </c>
      <c r="AH96" s="1">
        <v>3.2648000000000001</v>
      </c>
      <c r="AI96" s="1" t="s">
        <v>152</v>
      </c>
      <c r="AJ96" s="1">
        <f t="shared" si="25"/>
        <v>0</v>
      </c>
      <c r="AK96" s="1">
        <f t="shared" si="26"/>
        <v>0</v>
      </c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</row>
    <row r="97" spans="1:52" x14ac:dyDescent="0.25">
      <c r="A97" s="1" t="s">
        <v>153</v>
      </c>
      <c r="B97" s="1" t="s">
        <v>43</v>
      </c>
      <c r="C97" s="1">
        <v>14</v>
      </c>
      <c r="D97" s="1">
        <v>12</v>
      </c>
      <c r="E97" s="1">
        <v>18</v>
      </c>
      <c r="F97" s="1">
        <v>7</v>
      </c>
      <c r="G97" s="7">
        <v>0.33</v>
      </c>
      <c r="H97" s="1">
        <v>40</v>
      </c>
      <c r="I97" s="1" t="s">
        <v>39</v>
      </c>
      <c r="J97" s="1">
        <v>17</v>
      </c>
      <c r="K97" s="1">
        <f t="shared" si="19"/>
        <v>1</v>
      </c>
      <c r="L97" s="1">
        <f t="shared" si="20"/>
        <v>18</v>
      </c>
      <c r="M97" s="1"/>
      <c r="N97" s="1">
        <v>4.8000000000000007</v>
      </c>
      <c r="O97" s="1"/>
      <c r="P97" s="1"/>
      <c r="Q97" s="1">
        <f t="shared" si="21"/>
        <v>3.6</v>
      </c>
      <c r="R97" s="5">
        <f>10*Q97-P97-O97-N97-F97</f>
        <v>24.2</v>
      </c>
      <c r="S97" s="5">
        <f t="shared" si="22"/>
        <v>24.2</v>
      </c>
      <c r="T97" s="5"/>
      <c r="U97" s="5"/>
      <c r="V97" s="1"/>
      <c r="W97" s="1">
        <f t="shared" si="23"/>
        <v>10</v>
      </c>
      <c r="X97" s="1">
        <f t="shared" si="24"/>
        <v>3.2777777777777777</v>
      </c>
      <c r="Y97" s="1">
        <v>2.2000000000000002</v>
      </c>
      <c r="Z97" s="1">
        <v>1.6</v>
      </c>
      <c r="AA97" s="1">
        <v>1.6</v>
      </c>
      <c r="AB97" s="1">
        <v>1</v>
      </c>
      <c r="AC97" s="1">
        <v>1</v>
      </c>
      <c r="AD97" s="1">
        <v>2</v>
      </c>
      <c r="AE97" s="1">
        <v>2.2000000000000002</v>
      </c>
      <c r="AF97" s="1">
        <v>1.2</v>
      </c>
      <c r="AG97" s="1">
        <v>1.4</v>
      </c>
      <c r="AH97" s="1">
        <v>1.8</v>
      </c>
      <c r="AI97" s="1"/>
      <c r="AJ97" s="1">
        <f t="shared" si="25"/>
        <v>8</v>
      </c>
      <c r="AK97" s="1">
        <f t="shared" si="26"/>
        <v>0</v>
      </c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</row>
    <row r="98" spans="1:52" x14ac:dyDescent="0.25">
      <c r="A98" s="12" t="s">
        <v>154</v>
      </c>
      <c r="B98" s="12" t="s">
        <v>43</v>
      </c>
      <c r="C98" s="12">
        <v>5</v>
      </c>
      <c r="D98" s="12"/>
      <c r="E98" s="12"/>
      <c r="F98" s="12"/>
      <c r="G98" s="13">
        <v>0</v>
      </c>
      <c r="H98" s="12">
        <v>50</v>
      </c>
      <c r="I98" s="12" t="s">
        <v>44</v>
      </c>
      <c r="J98" s="12">
        <v>6</v>
      </c>
      <c r="K98" s="12">
        <f t="shared" si="19"/>
        <v>-6</v>
      </c>
      <c r="L98" s="12">
        <f t="shared" si="20"/>
        <v>0</v>
      </c>
      <c r="M98" s="12"/>
      <c r="N98" s="12">
        <v>0</v>
      </c>
      <c r="O98" s="12"/>
      <c r="P98" s="12"/>
      <c r="Q98" s="12">
        <f t="shared" si="21"/>
        <v>0</v>
      </c>
      <c r="R98" s="14"/>
      <c r="S98" s="5">
        <f t="shared" si="22"/>
        <v>0</v>
      </c>
      <c r="T98" s="14"/>
      <c r="U98" s="14"/>
      <c r="V98" s="12"/>
      <c r="W98" s="12" t="e">
        <f t="shared" si="23"/>
        <v>#DIV/0!</v>
      </c>
      <c r="X98" s="12" t="e">
        <f t="shared" si="24"/>
        <v>#DIV/0!</v>
      </c>
      <c r="Y98" s="12">
        <v>0</v>
      </c>
      <c r="Z98" s="12">
        <v>-0.2</v>
      </c>
      <c r="AA98" s="12">
        <v>-0.2</v>
      </c>
      <c r="AB98" s="12">
        <v>0.4</v>
      </c>
      <c r="AC98" s="12">
        <v>0.4</v>
      </c>
      <c r="AD98" s="12">
        <v>-0.2</v>
      </c>
      <c r="AE98" s="12">
        <v>0</v>
      </c>
      <c r="AF98" s="12">
        <v>0.8</v>
      </c>
      <c r="AG98" s="12">
        <v>0.6</v>
      </c>
      <c r="AH98" s="12">
        <v>0.2</v>
      </c>
      <c r="AI98" s="12" t="s">
        <v>124</v>
      </c>
      <c r="AJ98" s="1">
        <f t="shared" si="25"/>
        <v>0</v>
      </c>
      <c r="AK98" s="1">
        <f t="shared" si="26"/>
        <v>0</v>
      </c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</row>
    <row r="99" spans="1:52" x14ac:dyDescent="0.25">
      <c r="A99" s="1" t="s">
        <v>155</v>
      </c>
      <c r="B99" s="1" t="s">
        <v>43</v>
      </c>
      <c r="C99" s="1">
        <v>42</v>
      </c>
      <c r="D99" s="1"/>
      <c r="E99" s="1">
        <v>13</v>
      </c>
      <c r="F99" s="1">
        <v>26</v>
      </c>
      <c r="G99" s="7">
        <v>0.3</v>
      </c>
      <c r="H99" s="1">
        <v>40</v>
      </c>
      <c r="I99" s="1" t="s">
        <v>39</v>
      </c>
      <c r="J99" s="1">
        <v>13</v>
      </c>
      <c r="K99" s="1">
        <f t="shared" si="19"/>
        <v>0</v>
      </c>
      <c r="L99" s="1">
        <f t="shared" si="20"/>
        <v>13</v>
      </c>
      <c r="M99" s="1"/>
      <c r="N99" s="1">
        <v>30</v>
      </c>
      <c r="O99" s="1"/>
      <c r="P99" s="1"/>
      <c r="Q99" s="1">
        <f t="shared" si="21"/>
        <v>2.6</v>
      </c>
      <c r="R99" s="5"/>
      <c r="S99" s="5">
        <f t="shared" si="22"/>
        <v>0</v>
      </c>
      <c r="T99" s="5"/>
      <c r="U99" s="5"/>
      <c r="V99" s="1"/>
      <c r="W99" s="1">
        <f t="shared" si="23"/>
        <v>21.538461538461537</v>
      </c>
      <c r="X99" s="1">
        <f t="shared" si="24"/>
        <v>21.538461538461537</v>
      </c>
      <c r="Y99" s="1">
        <v>1.8</v>
      </c>
      <c r="Z99" s="1">
        <v>1.4</v>
      </c>
      <c r="AA99" s="1">
        <v>2</v>
      </c>
      <c r="AB99" s="1">
        <v>3</v>
      </c>
      <c r="AC99" s="1">
        <v>3.2</v>
      </c>
      <c r="AD99" s="1">
        <v>1.2</v>
      </c>
      <c r="AE99" s="1">
        <v>0</v>
      </c>
      <c r="AF99" s="1">
        <v>0</v>
      </c>
      <c r="AG99" s="1">
        <v>0</v>
      </c>
      <c r="AH99" s="1">
        <v>0</v>
      </c>
      <c r="AI99" s="19" t="s">
        <v>143</v>
      </c>
      <c r="AJ99" s="1">
        <f t="shared" si="25"/>
        <v>0</v>
      </c>
      <c r="AK99" s="1">
        <f t="shared" si="26"/>
        <v>0</v>
      </c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</row>
    <row r="100" spans="1:52" x14ac:dyDescent="0.25">
      <c r="A100" s="12" t="s">
        <v>156</v>
      </c>
      <c r="B100" s="12" t="s">
        <v>43</v>
      </c>
      <c r="C100" s="12">
        <v>353</v>
      </c>
      <c r="D100" s="12"/>
      <c r="E100" s="12">
        <v>233</v>
      </c>
      <c r="F100" s="12">
        <v>-31</v>
      </c>
      <c r="G100" s="13">
        <v>0</v>
      </c>
      <c r="H100" s="12" t="e">
        <v>#N/A</v>
      </c>
      <c r="I100" s="12" t="s">
        <v>44</v>
      </c>
      <c r="J100" s="12">
        <v>312</v>
      </c>
      <c r="K100" s="12">
        <f t="shared" si="19"/>
        <v>-79</v>
      </c>
      <c r="L100" s="12">
        <f t="shared" si="20"/>
        <v>233</v>
      </c>
      <c r="M100" s="12"/>
      <c r="N100" s="12">
        <v>0</v>
      </c>
      <c r="O100" s="12"/>
      <c r="P100" s="12"/>
      <c r="Q100" s="12">
        <f t="shared" si="21"/>
        <v>46.6</v>
      </c>
      <c r="R100" s="14"/>
      <c r="S100" s="5">
        <f t="shared" si="22"/>
        <v>0</v>
      </c>
      <c r="T100" s="14"/>
      <c r="U100" s="14"/>
      <c r="V100" s="12"/>
      <c r="W100" s="12">
        <f t="shared" si="23"/>
        <v>-0.66523605150214593</v>
      </c>
      <c r="X100" s="12">
        <f t="shared" si="24"/>
        <v>-0.66523605150214593</v>
      </c>
      <c r="Y100" s="12">
        <v>69</v>
      </c>
      <c r="Z100" s="12">
        <v>58</v>
      </c>
      <c r="AA100" s="12">
        <v>2.8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 t="s">
        <v>157</v>
      </c>
      <c r="AJ100" s="1">
        <f t="shared" si="25"/>
        <v>0</v>
      </c>
      <c r="AK100" s="1">
        <f t="shared" si="26"/>
        <v>0</v>
      </c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</row>
    <row r="101" spans="1:52" x14ac:dyDescent="0.25">
      <c r="A101" s="10" t="s">
        <v>158</v>
      </c>
      <c r="B101" s="1" t="s">
        <v>43</v>
      </c>
      <c r="C101" s="1"/>
      <c r="D101" s="1">
        <v>126</v>
      </c>
      <c r="E101" s="1"/>
      <c r="F101" s="1">
        <v>126</v>
      </c>
      <c r="G101" s="7">
        <v>0.12</v>
      </c>
      <c r="H101" s="1">
        <v>45</v>
      </c>
      <c r="I101" s="1" t="s">
        <v>39</v>
      </c>
      <c r="J101" s="1"/>
      <c r="K101" s="1">
        <f t="shared" ref="K101" si="30">E101-J101</f>
        <v>0</v>
      </c>
      <c r="L101" s="1">
        <f t="shared" si="20"/>
        <v>0</v>
      </c>
      <c r="M101" s="1"/>
      <c r="N101" s="1">
        <v>0</v>
      </c>
      <c r="O101" s="1"/>
      <c r="P101" s="1"/>
      <c r="Q101" s="1">
        <f t="shared" si="21"/>
        <v>0</v>
      </c>
      <c r="R101" s="5"/>
      <c r="S101" s="5">
        <f t="shared" si="22"/>
        <v>0</v>
      </c>
      <c r="T101" s="5"/>
      <c r="U101" s="5"/>
      <c r="V101" s="1"/>
      <c r="W101" s="1" t="e">
        <f t="shared" si="23"/>
        <v>#DIV/0!</v>
      </c>
      <c r="X101" s="1" t="e">
        <f t="shared" si="24"/>
        <v>#DIV/0!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 t="s">
        <v>145</v>
      </c>
      <c r="AJ101" s="1">
        <f t="shared" si="25"/>
        <v>0</v>
      </c>
      <c r="AK101" s="1">
        <f t="shared" si="26"/>
        <v>0</v>
      </c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</row>
    <row r="102" spans="1:52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</row>
    <row r="103" spans="1:52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</row>
    <row r="104" spans="1:52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</row>
    <row r="105" spans="1:52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</row>
    <row r="106" spans="1:52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</row>
    <row r="107" spans="1:52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</row>
    <row r="108" spans="1:52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</row>
    <row r="109" spans="1:52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</row>
    <row r="110" spans="1:52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</row>
    <row r="111" spans="1:52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</row>
    <row r="112" spans="1:52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</row>
    <row r="113" spans="1:52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</row>
    <row r="114" spans="1:52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</row>
    <row r="115" spans="1:52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</row>
    <row r="116" spans="1:52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</row>
    <row r="117" spans="1:52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</row>
    <row r="118" spans="1:52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</row>
    <row r="119" spans="1:52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</row>
    <row r="120" spans="1:52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</row>
    <row r="121" spans="1:52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</row>
    <row r="122" spans="1:52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</row>
    <row r="123" spans="1:52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</row>
    <row r="124" spans="1:52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</row>
    <row r="125" spans="1:52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</row>
    <row r="126" spans="1:52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</row>
    <row r="127" spans="1:52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</row>
    <row r="128" spans="1:52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</row>
    <row r="129" spans="1:52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</row>
    <row r="130" spans="1:52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</row>
    <row r="131" spans="1:52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</row>
    <row r="132" spans="1:52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</row>
    <row r="133" spans="1:52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</row>
    <row r="134" spans="1:52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</row>
    <row r="135" spans="1:52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</row>
    <row r="136" spans="1:52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</row>
    <row r="137" spans="1:52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</row>
    <row r="138" spans="1:52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</row>
    <row r="139" spans="1:52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</row>
    <row r="140" spans="1:52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</row>
    <row r="141" spans="1:52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</row>
    <row r="142" spans="1:52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</row>
    <row r="143" spans="1:52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</row>
    <row r="144" spans="1:52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</row>
    <row r="145" spans="1:52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</row>
    <row r="146" spans="1:52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</row>
    <row r="147" spans="1:52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</row>
    <row r="148" spans="1:52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</row>
    <row r="149" spans="1:52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</row>
    <row r="150" spans="1:52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</row>
    <row r="151" spans="1:52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</row>
    <row r="152" spans="1:52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</row>
    <row r="153" spans="1:52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</row>
    <row r="154" spans="1:52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</row>
    <row r="155" spans="1:52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</row>
    <row r="156" spans="1:52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</row>
    <row r="157" spans="1:52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</row>
    <row r="158" spans="1:52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</row>
    <row r="159" spans="1:52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</row>
    <row r="160" spans="1:52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</row>
    <row r="161" spans="1:52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</row>
    <row r="162" spans="1:52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</row>
    <row r="163" spans="1:52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</row>
    <row r="164" spans="1:52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</row>
    <row r="165" spans="1:52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</row>
    <row r="166" spans="1:52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</row>
    <row r="167" spans="1:52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</row>
    <row r="168" spans="1:52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</row>
    <row r="169" spans="1:52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</row>
    <row r="170" spans="1:52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</row>
    <row r="171" spans="1:52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</row>
    <row r="172" spans="1:52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</row>
    <row r="173" spans="1:52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</row>
    <row r="174" spans="1:52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</row>
    <row r="175" spans="1:52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</row>
    <row r="176" spans="1:52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</row>
    <row r="177" spans="1:52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</row>
    <row r="178" spans="1:52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</row>
    <row r="179" spans="1:52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</row>
    <row r="180" spans="1:52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</row>
    <row r="181" spans="1:52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</row>
    <row r="182" spans="1:52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</row>
    <row r="183" spans="1:52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</row>
    <row r="184" spans="1:52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</row>
    <row r="185" spans="1:52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</row>
    <row r="186" spans="1:52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</row>
    <row r="187" spans="1:52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</row>
    <row r="188" spans="1:52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</row>
    <row r="189" spans="1:52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</row>
    <row r="190" spans="1:52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</row>
    <row r="191" spans="1:52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</row>
    <row r="192" spans="1:52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</row>
    <row r="193" spans="1:52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</row>
    <row r="194" spans="1:52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</row>
    <row r="195" spans="1:52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</row>
    <row r="196" spans="1:52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</row>
    <row r="197" spans="1:52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</row>
    <row r="198" spans="1:52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</row>
    <row r="199" spans="1:52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</row>
    <row r="200" spans="1:52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</row>
    <row r="201" spans="1:52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</row>
    <row r="202" spans="1:52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</row>
    <row r="203" spans="1:52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</row>
    <row r="204" spans="1:52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</row>
    <row r="205" spans="1:52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</row>
    <row r="206" spans="1:52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</row>
    <row r="207" spans="1:52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</row>
    <row r="208" spans="1:52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</row>
    <row r="209" spans="1:52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</row>
    <row r="210" spans="1:52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</row>
    <row r="211" spans="1:52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</row>
    <row r="212" spans="1:52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</row>
    <row r="213" spans="1:52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</row>
    <row r="214" spans="1:52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</row>
    <row r="215" spans="1:52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</row>
    <row r="216" spans="1:52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</row>
    <row r="217" spans="1:52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</row>
    <row r="218" spans="1:52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</row>
    <row r="219" spans="1:52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</row>
    <row r="220" spans="1:52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</row>
    <row r="221" spans="1:52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</row>
    <row r="222" spans="1:52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</row>
    <row r="223" spans="1:52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</row>
    <row r="224" spans="1:52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</row>
    <row r="225" spans="1:52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</row>
    <row r="226" spans="1:52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</row>
    <row r="227" spans="1:52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</row>
    <row r="228" spans="1:52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</row>
    <row r="229" spans="1:52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</row>
    <row r="230" spans="1:52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</row>
    <row r="231" spans="1:52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</row>
    <row r="232" spans="1:52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</row>
    <row r="233" spans="1:52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</row>
    <row r="234" spans="1:52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</row>
    <row r="235" spans="1:52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</row>
    <row r="236" spans="1:52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</row>
    <row r="237" spans="1:52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</row>
    <row r="238" spans="1:52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</row>
    <row r="239" spans="1:52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</row>
    <row r="240" spans="1:52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</row>
    <row r="241" spans="1:52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</row>
    <row r="242" spans="1:52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</row>
    <row r="243" spans="1:52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</row>
    <row r="244" spans="1:52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</row>
    <row r="245" spans="1:52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</row>
    <row r="246" spans="1:52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</row>
    <row r="247" spans="1:52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</row>
    <row r="248" spans="1:52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</row>
    <row r="249" spans="1:52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</row>
    <row r="250" spans="1:52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</row>
    <row r="251" spans="1:52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</row>
    <row r="252" spans="1:52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</row>
    <row r="253" spans="1:52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</row>
    <row r="254" spans="1:52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</row>
    <row r="255" spans="1:52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</row>
    <row r="256" spans="1:52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</row>
    <row r="257" spans="1:52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</row>
    <row r="258" spans="1:52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</row>
    <row r="259" spans="1:52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</row>
    <row r="260" spans="1:52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</row>
    <row r="261" spans="1:52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</row>
    <row r="262" spans="1:52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</row>
    <row r="263" spans="1:52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</row>
    <row r="264" spans="1:52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</row>
    <row r="265" spans="1:52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</row>
    <row r="266" spans="1:52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</row>
    <row r="267" spans="1:52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</row>
    <row r="268" spans="1:52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</row>
    <row r="269" spans="1:52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</row>
    <row r="270" spans="1:52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</row>
    <row r="271" spans="1:52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</row>
    <row r="272" spans="1:52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</row>
    <row r="273" spans="1:52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</row>
    <row r="274" spans="1:52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</row>
    <row r="275" spans="1:52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</row>
    <row r="276" spans="1:52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</row>
    <row r="277" spans="1:52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</row>
    <row r="278" spans="1:52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</row>
    <row r="279" spans="1:52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</row>
    <row r="280" spans="1:52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</row>
    <row r="281" spans="1:52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</row>
    <row r="282" spans="1:52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</row>
    <row r="283" spans="1:52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</row>
    <row r="284" spans="1:52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</row>
    <row r="285" spans="1:52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</row>
    <row r="286" spans="1:52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</row>
    <row r="287" spans="1:52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</row>
    <row r="288" spans="1:52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</row>
    <row r="289" spans="1:52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</row>
    <row r="290" spans="1:52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</row>
    <row r="291" spans="1:52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</row>
    <row r="292" spans="1:52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</row>
    <row r="293" spans="1:52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</row>
    <row r="294" spans="1:52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</row>
    <row r="295" spans="1:52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</row>
    <row r="296" spans="1:52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</row>
    <row r="297" spans="1:52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</row>
    <row r="298" spans="1:52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</row>
    <row r="299" spans="1:52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</row>
    <row r="300" spans="1:52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</row>
    <row r="301" spans="1:52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</row>
    <row r="302" spans="1:52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</row>
    <row r="303" spans="1:52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</row>
    <row r="304" spans="1:52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</row>
    <row r="305" spans="1:52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</row>
    <row r="306" spans="1:52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</row>
    <row r="307" spans="1:52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</row>
    <row r="308" spans="1:52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</row>
    <row r="309" spans="1:52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</row>
    <row r="310" spans="1:52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</row>
    <row r="311" spans="1:52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</row>
    <row r="312" spans="1:52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</row>
    <row r="313" spans="1:52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</row>
    <row r="314" spans="1:52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</row>
    <row r="315" spans="1:52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</row>
    <row r="316" spans="1:52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</row>
    <row r="317" spans="1:52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</row>
    <row r="318" spans="1:52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</row>
    <row r="319" spans="1:52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</row>
    <row r="320" spans="1:52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</row>
    <row r="321" spans="1:52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</row>
    <row r="322" spans="1:52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</row>
    <row r="323" spans="1:52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</row>
    <row r="324" spans="1:52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</row>
    <row r="325" spans="1:52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</row>
    <row r="326" spans="1:52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</row>
    <row r="327" spans="1:52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</row>
    <row r="328" spans="1:52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</row>
    <row r="329" spans="1:52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</row>
    <row r="330" spans="1:52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</row>
    <row r="331" spans="1:52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</row>
    <row r="332" spans="1:52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</row>
    <row r="333" spans="1:52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</row>
    <row r="334" spans="1:52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</row>
    <row r="335" spans="1:52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</row>
    <row r="336" spans="1:52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</row>
    <row r="337" spans="1:52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</row>
    <row r="338" spans="1:52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</row>
    <row r="339" spans="1:52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</row>
    <row r="340" spans="1:52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</row>
    <row r="341" spans="1:52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</row>
    <row r="342" spans="1:52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</row>
    <row r="343" spans="1:52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</row>
    <row r="344" spans="1:52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</row>
    <row r="345" spans="1:52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</row>
    <row r="346" spans="1:52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</row>
    <row r="347" spans="1:52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</row>
    <row r="348" spans="1:52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</row>
    <row r="349" spans="1:52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</row>
    <row r="350" spans="1:52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</row>
    <row r="351" spans="1:52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</row>
    <row r="352" spans="1:52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</row>
    <row r="353" spans="1:52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</row>
    <row r="354" spans="1:52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</row>
    <row r="355" spans="1:52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</row>
    <row r="356" spans="1:52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</row>
    <row r="357" spans="1:52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</row>
    <row r="358" spans="1:52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</row>
    <row r="359" spans="1:52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</row>
    <row r="360" spans="1:52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</row>
    <row r="361" spans="1:52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</row>
    <row r="362" spans="1:52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</row>
    <row r="363" spans="1:52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</row>
    <row r="364" spans="1:52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</row>
    <row r="365" spans="1:52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</row>
    <row r="366" spans="1:52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</row>
    <row r="367" spans="1:52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</row>
    <row r="368" spans="1:52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</row>
    <row r="369" spans="1:52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</row>
    <row r="370" spans="1:52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</row>
    <row r="371" spans="1:52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</row>
    <row r="372" spans="1:52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</row>
    <row r="373" spans="1:52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</row>
    <row r="374" spans="1:52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</row>
    <row r="375" spans="1:52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</row>
    <row r="376" spans="1:52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</row>
    <row r="377" spans="1:52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</row>
    <row r="378" spans="1:52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</row>
    <row r="379" spans="1:52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</row>
    <row r="380" spans="1:52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</row>
    <row r="381" spans="1:52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</row>
    <row r="382" spans="1:52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</row>
    <row r="383" spans="1:52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</row>
    <row r="384" spans="1:52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</row>
    <row r="385" spans="1:52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</row>
    <row r="386" spans="1:52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</row>
    <row r="387" spans="1:52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</row>
    <row r="388" spans="1:52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</row>
    <row r="389" spans="1:52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</row>
    <row r="390" spans="1:52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</row>
    <row r="391" spans="1:52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</row>
    <row r="392" spans="1:52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</row>
    <row r="393" spans="1:52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</row>
    <row r="394" spans="1:52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</row>
    <row r="395" spans="1:52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</row>
    <row r="396" spans="1:52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</row>
    <row r="397" spans="1:52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</row>
    <row r="398" spans="1:52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</row>
    <row r="399" spans="1:52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</row>
    <row r="400" spans="1:52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</row>
    <row r="401" spans="1:52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</row>
    <row r="402" spans="1:52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</row>
    <row r="403" spans="1:52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</row>
    <row r="404" spans="1:52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</row>
    <row r="405" spans="1:52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</row>
    <row r="406" spans="1:52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</row>
    <row r="407" spans="1:52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</row>
    <row r="408" spans="1:52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</row>
    <row r="409" spans="1:52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</row>
    <row r="410" spans="1:52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</row>
    <row r="411" spans="1:52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</row>
    <row r="412" spans="1:52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</row>
    <row r="413" spans="1:52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</row>
    <row r="414" spans="1:52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</row>
    <row r="415" spans="1:52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</row>
    <row r="416" spans="1:52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</row>
    <row r="417" spans="1:52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</row>
    <row r="418" spans="1:52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</row>
    <row r="419" spans="1:52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</row>
    <row r="420" spans="1:52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</row>
    <row r="421" spans="1:52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</row>
    <row r="422" spans="1:52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</row>
    <row r="423" spans="1:52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</row>
    <row r="424" spans="1:52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</row>
    <row r="425" spans="1:52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</row>
    <row r="426" spans="1:52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</row>
    <row r="427" spans="1:52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</row>
    <row r="428" spans="1:52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</row>
    <row r="429" spans="1:52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</row>
    <row r="430" spans="1:52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</row>
    <row r="431" spans="1:52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</row>
    <row r="432" spans="1:52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</row>
    <row r="433" spans="1:52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</row>
    <row r="434" spans="1:52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</row>
    <row r="435" spans="1:52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</row>
    <row r="436" spans="1:52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</row>
    <row r="437" spans="1:52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</row>
    <row r="438" spans="1:52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</row>
    <row r="439" spans="1:52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</row>
    <row r="440" spans="1:52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</row>
    <row r="441" spans="1:52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</row>
    <row r="442" spans="1:52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</row>
    <row r="443" spans="1:52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</row>
    <row r="444" spans="1:52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</row>
    <row r="445" spans="1:52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</row>
    <row r="446" spans="1:52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</row>
    <row r="447" spans="1:52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</row>
    <row r="448" spans="1:52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</row>
    <row r="449" spans="1:52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</row>
    <row r="450" spans="1:52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</row>
    <row r="451" spans="1:52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</row>
    <row r="452" spans="1:52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</row>
    <row r="453" spans="1:52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</row>
    <row r="454" spans="1:52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</row>
    <row r="455" spans="1:52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</row>
    <row r="456" spans="1:52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</row>
    <row r="457" spans="1:52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</row>
    <row r="458" spans="1:52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</row>
    <row r="459" spans="1:52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</row>
    <row r="460" spans="1:52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</row>
    <row r="461" spans="1:52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</row>
    <row r="462" spans="1:52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</row>
    <row r="463" spans="1:52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</row>
    <row r="464" spans="1:52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</row>
    <row r="465" spans="1:52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</row>
    <row r="466" spans="1:52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</row>
    <row r="467" spans="1:52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</row>
    <row r="468" spans="1:52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</row>
    <row r="469" spans="1:52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</row>
    <row r="470" spans="1:52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</row>
    <row r="471" spans="1:52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</row>
    <row r="472" spans="1:52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</row>
    <row r="473" spans="1:52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</row>
    <row r="474" spans="1:52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</row>
    <row r="475" spans="1:52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</row>
    <row r="476" spans="1:52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</row>
    <row r="477" spans="1:52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</row>
    <row r="478" spans="1:52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</row>
    <row r="479" spans="1:52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</row>
    <row r="480" spans="1:52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</row>
    <row r="481" spans="1:52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</row>
    <row r="482" spans="1:52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</row>
    <row r="483" spans="1:52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</row>
    <row r="484" spans="1:52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</row>
    <row r="485" spans="1:52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</row>
    <row r="486" spans="1:52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</row>
    <row r="487" spans="1:52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</row>
    <row r="488" spans="1:52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</row>
    <row r="489" spans="1:52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</row>
    <row r="490" spans="1:52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</row>
    <row r="491" spans="1:52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</row>
    <row r="492" spans="1:52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</row>
    <row r="493" spans="1:52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</row>
    <row r="494" spans="1:52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</row>
    <row r="495" spans="1:52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</row>
    <row r="496" spans="1:52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</row>
    <row r="497" spans="1:52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</row>
    <row r="498" spans="1:52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</row>
    <row r="499" spans="1:52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</row>
  </sheetData>
  <autoFilter ref="A3:AJ101" xr:uid="{3B669773-445D-4112-BAC3-ADC9E6E8A049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2025-04-17T13:31:27Z</dcterms:created>
  <dcterms:modified xsi:type="dcterms:W3CDTF">2025-04-18T08:45:29Z</dcterms:modified>
</cp:coreProperties>
</file>