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48DE83A8-99D9-4F38-B167-41ACD9F140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2" i="1" l="1"/>
  <c r="X591" i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Y28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9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Y103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3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2" i="1"/>
  <c r="X593" i="1"/>
  <c r="X594" i="1"/>
  <c r="Z23" i="1"/>
  <c r="Z28" i="1" s="1"/>
  <c r="BN23" i="1"/>
  <c r="BP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32" i="1"/>
  <c r="Z37" i="1"/>
  <c r="BN37" i="1"/>
  <c r="BP37" i="1"/>
  <c r="Z39" i="1"/>
  <c r="BN39" i="1"/>
  <c r="Y42" i="1"/>
  <c r="Y592" i="1" s="1"/>
  <c r="D602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Z77" i="1" s="1"/>
  <c r="BN72" i="1"/>
  <c r="BP72" i="1"/>
  <c r="Z74" i="1"/>
  <c r="BN74" i="1"/>
  <c r="Z76" i="1"/>
  <c r="BN76" i="1"/>
  <c r="Z80" i="1"/>
  <c r="Z83" i="1" s="1"/>
  <c r="BN80" i="1"/>
  <c r="BP80" i="1"/>
  <c r="Z82" i="1"/>
  <c r="BN82" i="1"/>
  <c r="Y83" i="1"/>
  <c r="Z87" i="1"/>
  <c r="Z90" i="1" s="1"/>
  <c r="BN87" i="1"/>
  <c r="BP87" i="1"/>
  <c r="Z89" i="1"/>
  <c r="BN89" i="1"/>
  <c r="Y90" i="1"/>
  <c r="Z94" i="1"/>
  <c r="Z102" i="1" s="1"/>
  <c r="BN94" i="1"/>
  <c r="BP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BP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Y128" i="1"/>
  <c r="Z131" i="1"/>
  <c r="Z133" i="1" s="1"/>
  <c r="BN131" i="1"/>
  <c r="BP131" i="1"/>
  <c r="BP132" i="1"/>
  <c r="BN132" i="1"/>
  <c r="Z132" i="1"/>
  <c r="Y134" i="1"/>
  <c r="Y140" i="1"/>
  <c r="BP137" i="1"/>
  <c r="BN137" i="1"/>
  <c r="Z137" i="1"/>
  <c r="Z139" i="1" s="1"/>
  <c r="G602" i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F9" i="1"/>
  <c r="J9" i="1"/>
  <c r="Y41" i="1"/>
  <c r="Y91" i="1"/>
  <c r="Y110" i="1"/>
  <c r="BP143" i="1"/>
  <c r="Y594" i="1" s="1"/>
  <c r="BN143" i="1"/>
  <c r="Y593" i="1" s="1"/>
  <c r="Y595" i="1" s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2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2" i="1"/>
  <c r="Y442" i="1"/>
  <c r="BP430" i="1"/>
  <c r="BN430" i="1"/>
  <c r="Z430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1" i="1"/>
  <c r="BN481" i="1"/>
  <c r="Z481" i="1"/>
  <c r="Z496" i="1" s="1"/>
  <c r="BP485" i="1"/>
  <c r="BN485" i="1"/>
  <c r="Z485" i="1"/>
  <c r="BP488" i="1"/>
  <c r="BN488" i="1"/>
  <c r="Z488" i="1"/>
  <c r="BP495" i="1"/>
  <c r="BN495" i="1"/>
  <c r="Z495" i="1"/>
  <c r="Y497" i="1"/>
  <c r="Y503" i="1"/>
  <c r="BP499" i="1"/>
  <c r="BN499" i="1"/>
  <c r="Z499" i="1"/>
  <c r="BP501" i="1"/>
  <c r="BN501" i="1"/>
  <c r="Z501" i="1"/>
  <c r="BP513" i="1"/>
  <c r="BN513" i="1"/>
  <c r="Z513" i="1"/>
  <c r="Y519" i="1"/>
  <c r="Y524" i="1"/>
  <c r="BP521" i="1"/>
  <c r="BN521" i="1"/>
  <c r="Z521" i="1"/>
  <c r="Y525" i="1"/>
  <c r="BP528" i="1"/>
  <c r="BN528" i="1"/>
  <c r="Z528" i="1"/>
  <c r="Y530" i="1"/>
  <c r="Y548" i="1"/>
  <c r="BP543" i="1"/>
  <c r="BN543" i="1"/>
  <c r="Z543" i="1"/>
  <c r="AD602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P602" i="1"/>
  <c r="X602" i="1"/>
  <c r="H602" i="1"/>
  <c r="Y155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2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2" i="1"/>
  <c r="Z320" i="1"/>
  <c r="Z325" i="1" s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Z340" i="1" s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Z421" i="1" s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3" i="1"/>
  <c r="Y448" i="1"/>
  <c r="BP445" i="1"/>
  <c r="BN445" i="1"/>
  <c r="Z445" i="1"/>
  <c r="Z447" i="1" s="1"/>
  <c r="Z602" i="1"/>
  <c r="Y461" i="1"/>
  <c r="BP458" i="1"/>
  <c r="BN458" i="1"/>
  <c r="Z458" i="1"/>
  <c r="BP483" i="1"/>
  <c r="BN483" i="1"/>
  <c r="Z483" i="1"/>
  <c r="BP486" i="1"/>
  <c r="BN486" i="1"/>
  <c r="Z486" i="1"/>
  <c r="BP493" i="1"/>
  <c r="BN493" i="1"/>
  <c r="Z493" i="1"/>
  <c r="BP500" i="1"/>
  <c r="BN500" i="1"/>
  <c r="Z500" i="1"/>
  <c r="BP502" i="1"/>
  <c r="BN502" i="1"/>
  <c r="Z502" i="1"/>
  <c r="Y504" i="1"/>
  <c r="BP512" i="1"/>
  <c r="BN512" i="1"/>
  <c r="Z512" i="1"/>
  <c r="Z518" i="1" s="1"/>
  <c r="BP516" i="1"/>
  <c r="BN516" i="1"/>
  <c r="Z516" i="1"/>
  <c r="Y453" i="1"/>
  <c r="Y467" i="1"/>
  <c r="AC602" i="1"/>
  <c r="Y496" i="1"/>
  <c r="Y518" i="1"/>
  <c r="BP523" i="1"/>
  <c r="BN523" i="1"/>
  <c r="Z523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Z385" i="1" l="1"/>
  <c r="Z353" i="1"/>
  <c r="Z282" i="1"/>
  <c r="Z273" i="1"/>
  <c r="Z238" i="1"/>
  <c r="Z566" i="1"/>
  <c r="Z548" i="1"/>
  <c r="Z503" i="1"/>
  <c r="Z408" i="1"/>
  <c r="Z370" i="1"/>
  <c r="Z183" i="1"/>
  <c r="X595" i="1"/>
  <c r="Z209" i="1"/>
  <c r="Z524" i="1"/>
  <c r="Z442" i="1"/>
  <c r="Z161" i="1"/>
  <c r="Z110" i="1"/>
  <c r="Z41" i="1"/>
  <c r="Z597" i="1" s="1"/>
  <c r="Y596" i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<sst xmlns="http://schemas.openxmlformats.org/spreadsheetml/2006/main" count="2725" uniqueCount="977">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</sst>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0</v>
      </c>
      <c r="Y55" s="667">
        <f>IFERROR(Y49/H49,"0")+IFERROR(Y50/H50,"0")+IFERROR(Y51/H51,"0")+IFERROR(Y52/H52,"0")+IFERROR(Y53/H53,"0")+IFERROR(Y54/H54,"0")</f>
        <v>0</v>
      </c>
      <c r="Z55" s="667">
        <f>IFERROR(IF(Z49="",0,Z49),"0")+IFERROR(IF(Z50="",0,Z50),"0")+IFERROR(IF(Z51="",0,Z51),"0")+IFERROR(IF(Z52="",0,Z52),"0")+IFERROR(IF(Z53="",0,Z53),"0")+IFERROR(IF(Z54="",0,Z54),"0")</f>
        <v>0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0</v>
      </c>
      <c r="Y56" s="667">
        <f>IFERROR(SUM(Y49:Y54),"0")</f>
        <v>0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700</v>
      </c>
      <c r="Y379" s="666">
        <f t="shared" si="58"/>
        <v>705</v>
      </c>
      <c r="Z379" s="36">
        <f>IFERROR(IF(Y379=0,"",ROUNDUP(Y379/H379,0)*0.02175),"")</f>
        <v>1.0222499999999999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722.4</v>
      </c>
      <c r="BN379" s="64">
        <f t="shared" si="60"/>
        <v>727.56</v>
      </c>
      <c r="BO379" s="64">
        <f t="shared" si="61"/>
        <v>0.9722222222222221</v>
      </c>
      <c r="BP379" s="64">
        <f t="shared" si="62"/>
        <v>0.97916666666666663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46.666666666666664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1.0222499999999999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700</v>
      </c>
      <c r="Y386" s="667">
        <f>IFERROR(SUM(Y375:Y384),"0")</f>
        <v>705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800</v>
      </c>
      <c r="Y388" s="666">
        <f>IFERROR(IF(X388="",0,CEILING((X388/$H388),1)*$H388),"")</f>
        <v>810</v>
      </c>
      <c r="Z388" s="36">
        <f>IFERROR(IF(Y388=0,"",ROUNDUP(Y388/H388,0)*0.02175),"")</f>
        <v>1.1744999999999999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825.6</v>
      </c>
      <c r="BN388" s="64">
        <f>IFERROR(Y388*I388/H388,"0")</f>
        <v>835.92000000000007</v>
      </c>
      <c r="BO388" s="64">
        <f>IFERROR(1/J388*(X388/H388),"0")</f>
        <v>1.1111111111111112</v>
      </c>
      <c r="BP388" s="64">
        <f>IFERROR(1/J388*(Y388/H388),"0")</f>
        <v>1.125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53.333333333333336</v>
      </c>
      <c r="Y390" s="667">
        <f>IFERROR(Y388/H388,"0")+IFERROR(Y389/H389,"0")</f>
        <v>54</v>
      </c>
      <c r="Z390" s="667">
        <f>IFERROR(IF(Z388="",0,Z388),"0")+IFERROR(IF(Z389="",0,Z389),"0")</f>
        <v>1.1744999999999999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800</v>
      </c>
      <c r="Y391" s="667">
        <f>IFERROR(SUM(Y388:Y389),"0")</f>
        <v>810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1500</v>
      </c>
      <c r="Y416" s="666">
        <f>IFERROR(IF(X416="",0,CEILING((X416/$H416),1)*$H416),"")</f>
        <v>1503</v>
      </c>
      <c r="Z416" s="36">
        <f>IFERROR(IF(Y416=0,"",ROUNDUP(Y416/H416,0)*0.01898),"")</f>
        <v>3.1696599999999999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1586.5</v>
      </c>
      <c r="BN416" s="64">
        <f>IFERROR(Y416*I416/H416,"0")</f>
        <v>1589.673</v>
      </c>
      <c r="BO416" s="64">
        <f>IFERROR(1/J416*(X416/H416),"0")</f>
        <v>2.6041666666666665</v>
      </c>
      <c r="BP416" s="64">
        <f>IFERROR(1/J416*(Y416/H416),"0")</f>
        <v>2.609375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166.66666666666666</v>
      </c>
      <c r="Y421" s="667">
        <f>IFERROR(Y416/H416,"0")+IFERROR(Y417/H417,"0")+IFERROR(Y418/H418,"0")+IFERROR(Y419/H419,"0")+IFERROR(Y420/H420,"0")</f>
        <v>167</v>
      </c>
      <c r="Z421" s="667">
        <f>IFERROR(IF(Z416="",0,Z416),"0")+IFERROR(IF(Z417="",0,Z417),"0")+IFERROR(IF(Z418="",0,Z418),"0")+IFERROR(IF(Z419="",0,Z419),"0")+IFERROR(IF(Z420="",0,Z420),"0")</f>
        <v>3.1696599999999999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1500</v>
      </c>
      <c r="Y422" s="667">
        <f>IFERROR(SUM(Y416:Y420),"0")</f>
        <v>1503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1000</v>
      </c>
      <c r="Y482" s="666">
        <f t="shared" si="69"/>
        <v>1003.2</v>
      </c>
      <c r="Z482" s="36">
        <f t="shared" si="70"/>
        <v>2.2724000000000002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1068.1818181818182</v>
      </c>
      <c r="BN482" s="64">
        <f t="shared" si="72"/>
        <v>1071.5999999999999</v>
      </c>
      <c r="BO482" s="64">
        <f t="shared" si="73"/>
        <v>1.821095571095571</v>
      </c>
      <c r="BP482" s="64">
        <f t="shared" si="74"/>
        <v>1.8269230769230771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1000</v>
      </c>
      <c r="Y484" s="666">
        <f t="shared" si="69"/>
        <v>1003.2</v>
      </c>
      <c r="Z484" s="36">
        <f t="shared" si="70"/>
        <v>2.2724000000000002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1068.1818181818182</v>
      </c>
      <c r="BN484" s="64">
        <f t="shared" si="72"/>
        <v>1071.5999999999999</v>
      </c>
      <c r="BO484" s="64">
        <f t="shared" si="73"/>
        <v>1.821095571095571</v>
      </c>
      <c r="BP484" s="64">
        <f t="shared" si="74"/>
        <v>1.8269230769230771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378.78787878787875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380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4.5448000000000004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2000</v>
      </c>
      <c r="Y497" s="667">
        <f>IFERROR(SUM(Y480:Y495),"0")</f>
        <v>2006.4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5000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5024.3999999999996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5270.863636363636</v>
      </c>
      <c r="Y593" s="667">
        <f>IFERROR(SUM(BN22:BN589),"0")</f>
        <v>5296.353000000001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9</v>
      </c>
      <c r="Y594" s="38">
        <f>ROUNDUP(SUM(BP22:BP589),0)</f>
        <v>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5495.863636363636</v>
      </c>
      <c r="Y595" s="667">
        <f>GrossWeightTotalR+PalletQtyTotalR*25</f>
        <v>5521.353000000001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645.45454545454538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648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9.9112100000000005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1515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1503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2006.4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