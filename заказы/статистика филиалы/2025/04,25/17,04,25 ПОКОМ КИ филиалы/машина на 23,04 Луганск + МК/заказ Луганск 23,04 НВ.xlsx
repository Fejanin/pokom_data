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D0E7D50E-F43F-49F6-8F94-C15CBF9119B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X590" i="1"/>
  <c r="BO589" i="1"/>
  <c r="BM589" i="1"/>
  <c r="Y589" i="1"/>
  <c r="Y591" i="1" s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9" i="1"/>
  <c r="Y578" i="1"/>
  <c r="X578" i="1"/>
  <c r="BP577" i="1"/>
  <c r="BO577" i="1"/>
  <c r="BN577" i="1"/>
  <c r="BM577" i="1"/>
  <c r="Z577" i="1"/>
  <c r="Z578" i="1" s="1"/>
  <c r="Y577" i="1"/>
  <c r="X574" i="1"/>
  <c r="X573" i="1"/>
  <c r="BO572" i="1"/>
  <c r="BM572" i="1"/>
  <c r="Y572" i="1"/>
  <c r="BO571" i="1"/>
  <c r="BM571" i="1"/>
  <c r="Y571" i="1"/>
  <c r="BO570" i="1"/>
  <c r="BM570" i="1"/>
  <c r="Y570" i="1"/>
  <c r="BO569" i="1"/>
  <c r="BM569" i="1"/>
  <c r="Y569" i="1"/>
  <c r="X567" i="1"/>
  <c r="Y566" i="1"/>
  <c r="X566" i="1"/>
  <c r="BP565" i="1"/>
  <c r="BO565" i="1"/>
  <c r="BN565" i="1"/>
  <c r="BM565" i="1"/>
  <c r="Z565" i="1"/>
  <c r="Y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Z566" i="1" s="1"/>
  <c r="Y561" i="1"/>
  <c r="Y567" i="1" s="1"/>
  <c r="X559" i="1"/>
  <c r="X558" i="1"/>
  <c r="BO557" i="1"/>
  <c r="BM557" i="1"/>
  <c r="Y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X549" i="1"/>
  <c r="Y548" i="1"/>
  <c r="X548" i="1"/>
  <c r="BP547" i="1"/>
  <c r="BO547" i="1"/>
  <c r="BN547" i="1"/>
  <c r="BM547" i="1"/>
  <c r="Z547" i="1"/>
  <c r="Y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Z548" i="1" s="1"/>
  <c r="Y543" i="1"/>
  <c r="Y549" i="1" s="1"/>
  <c r="X541" i="1"/>
  <c r="X540" i="1"/>
  <c r="BO539" i="1"/>
  <c r="BM539" i="1"/>
  <c r="Y539" i="1"/>
  <c r="BO538" i="1"/>
  <c r="BM538" i="1"/>
  <c r="Y538" i="1"/>
  <c r="BO537" i="1"/>
  <c r="BM537" i="1"/>
  <c r="Y537" i="1"/>
  <c r="BO536" i="1"/>
  <c r="BM536" i="1"/>
  <c r="Y536" i="1"/>
  <c r="BO535" i="1"/>
  <c r="BN535" i="1"/>
  <c r="BM535" i="1"/>
  <c r="Z535" i="1"/>
  <c r="Y535" i="1"/>
  <c r="BP535" i="1" s="1"/>
  <c r="BP534" i="1"/>
  <c r="BO534" i="1"/>
  <c r="BN534" i="1"/>
  <c r="BM534" i="1"/>
  <c r="Z534" i="1"/>
  <c r="Y534" i="1"/>
  <c r="X530" i="1"/>
  <c r="X529" i="1"/>
  <c r="BO528" i="1"/>
  <c r="BM528" i="1"/>
  <c r="Y528" i="1"/>
  <c r="BP528" i="1" s="1"/>
  <c r="BO527" i="1"/>
  <c r="BM527" i="1"/>
  <c r="Y527" i="1"/>
  <c r="Y530" i="1" s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BP522" i="1" s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BO514" i="1"/>
  <c r="BM514" i="1"/>
  <c r="Y514" i="1"/>
  <c r="P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Y467" i="1" s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Y453" i="1" s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Y396" i="1" s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BO377" i="1"/>
  <c r="BM377" i="1"/>
  <c r="Y377" i="1"/>
  <c r="BP377" i="1" s="1"/>
  <c r="P377" i="1"/>
  <c r="BP376" i="1"/>
  <c r="BO376" i="1"/>
  <c r="BN376" i="1"/>
  <c r="BM376" i="1"/>
  <c r="Z376" i="1"/>
  <c r="Y376" i="1"/>
  <c r="P376" i="1"/>
  <c r="BO375" i="1"/>
  <c r="BM375" i="1"/>
  <c r="Y375" i="1"/>
  <c r="Y386" i="1" s="1"/>
  <c r="P375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V602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4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Y340" i="1" s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2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Y326" i="1" s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2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S602" i="1" s="1"/>
  <c r="P304" i="1"/>
  <c r="X301" i="1"/>
  <c r="X300" i="1"/>
  <c r="BO299" i="1"/>
  <c r="BM299" i="1"/>
  <c r="Y299" i="1"/>
  <c r="R602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2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602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2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Y262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3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2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Y221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2" i="1" s="1"/>
  <c r="P191" i="1"/>
  <c r="X188" i="1"/>
  <c r="X187" i="1"/>
  <c r="BO186" i="1"/>
  <c r="BM186" i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I602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Y162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2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O123" i="1"/>
  <c r="BM123" i="1"/>
  <c r="Y123" i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P120" i="1"/>
  <c r="BP119" i="1"/>
  <c r="BO119" i="1"/>
  <c r="BN119" i="1"/>
  <c r="BM119" i="1"/>
  <c r="Z119" i="1"/>
  <c r="Y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X91" i="1"/>
  <c r="Y90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Y56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2" i="1" s="1"/>
  <c r="P37" i="1"/>
  <c r="X33" i="1"/>
  <c r="X32" i="1"/>
  <c r="BO31" i="1"/>
  <c r="BM31" i="1"/>
  <c r="Y31" i="1"/>
  <c r="Y33" i="1" s="1"/>
  <c r="P31" i="1"/>
  <c r="X29" i="1"/>
  <c r="X28" i="1"/>
  <c r="X596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Y29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602" i="1"/>
  <c r="X593" i="1"/>
  <c r="X594" i="1"/>
  <c r="Z23" i="1"/>
  <c r="Z28" i="1" s="1"/>
  <c r="BN23" i="1"/>
  <c r="BP23" i="1"/>
  <c r="Z24" i="1"/>
  <c r="BN24" i="1"/>
  <c r="Z25" i="1"/>
  <c r="BN25" i="1"/>
  <c r="Z27" i="1"/>
  <c r="BN27" i="1"/>
  <c r="Y28" i="1"/>
  <c r="X592" i="1"/>
  <c r="Z31" i="1"/>
  <c r="Z32" i="1" s="1"/>
  <c r="BN31" i="1"/>
  <c r="BP31" i="1"/>
  <c r="Y32" i="1"/>
  <c r="Z37" i="1"/>
  <c r="BN37" i="1"/>
  <c r="BP37" i="1"/>
  <c r="Z39" i="1"/>
  <c r="BN39" i="1"/>
  <c r="Y42" i="1"/>
  <c r="Y592" i="1" s="1"/>
  <c r="D602" i="1"/>
  <c r="Z50" i="1"/>
  <c r="Z55" i="1" s="1"/>
  <c r="BN50" i="1"/>
  <c r="BP50" i="1"/>
  <c r="Z52" i="1"/>
  <c r="BN52" i="1"/>
  <c r="Z54" i="1"/>
  <c r="BN54" i="1"/>
  <c r="Y55" i="1"/>
  <c r="Z58" i="1"/>
  <c r="Z62" i="1" s="1"/>
  <c r="BN58" i="1"/>
  <c r="BP58" i="1"/>
  <c r="Z60" i="1"/>
  <c r="BN60" i="1"/>
  <c r="Y63" i="1"/>
  <c r="Z66" i="1"/>
  <c r="Z68" i="1" s="1"/>
  <c r="BN66" i="1"/>
  <c r="BP66" i="1"/>
  <c r="Y78" i="1"/>
  <c r="Z72" i="1"/>
  <c r="Z77" i="1" s="1"/>
  <c r="BN72" i="1"/>
  <c r="Z74" i="1"/>
  <c r="BN74" i="1"/>
  <c r="Z76" i="1"/>
  <c r="BN76" i="1"/>
  <c r="Y77" i="1"/>
  <c r="Y84" i="1"/>
  <c r="Z90" i="1"/>
  <c r="BP88" i="1"/>
  <c r="BN88" i="1"/>
  <c r="Z88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6" i="1"/>
  <c r="BP113" i="1"/>
  <c r="BN113" i="1"/>
  <c r="Z113" i="1"/>
  <c r="Y129" i="1"/>
  <c r="BP123" i="1"/>
  <c r="BN123" i="1"/>
  <c r="Z123" i="1"/>
  <c r="F9" i="1"/>
  <c r="J9" i="1"/>
  <c r="Y41" i="1"/>
  <c r="Z83" i="1"/>
  <c r="BP81" i="1"/>
  <c r="BN81" i="1"/>
  <c r="Y593" i="1" s="1"/>
  <c r="Z81" i="1"/>
  <c r="Y103" i="1"/>
  <c r="BP93" i="1"/>
  <c r="BN93" i="1"/>
  <c r="Z93" i="1"/>
  <c r="BP96" i="1"/>
  <c r="Y594" i="1" s="1"/>
  <c r="BN96" i="1"/>
  <c r="Z96" i="1"/>
  <c r="BP98" i="1"/>
  <c r="BN98" i="1"/>
  <c r="Z98" i="1"/>
  <c r="Y102" i="1"/>
  <c r="BP107" i="1"/>
  <c r="BN107" i="1"/>
  <c r="Z107" i="1"/>
  <c r="Z110" i="1" s="1"/>
  <c r="BP115" i="1"/>
  <c r="BN115" i="1"/>
  <c r="Z115" i="1"/>
  <c r="Y117" i="1"/>
  <c r="Y128" i="1"/>
  <c r="BP120" i="1"/>
  <c r="BN120" i="1"/>
  <c r="Z120" i="1"/>
  <c r="Z128" i="1" s="1"/>
  <c r="BP124" i="1"/>
  <c r="BN124" i="1"/>
  <c r="Z124" i="1"/>
  <c r="E602" i="1"/>
  <c r="Y91" i="1"/>
  <c r="F602" i="1"/>
  <c r="Y110" i="1"/>
  <c r="Z126" i="1"/>
  <c r="BN126" i="1"/>
  <c r="Z132" i="1"/>
  <c r="Z133" i="1" s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2" i="1"/>
  <c r="Y155" i="1"/>
  <c r="Z158" i="1"/>
  <c r="Z161" i="1" s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Z183" i="1" s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Z221" i="1" s="1"/>
  <c r="BN213" i="1"/>
  <c r="BP213" i="1"/>
  <c r="Z215" i="1"/>
  <c r="BN215" i="1"/>
  <c r="Z217" i="1"/>
  <c r="BN217" i="1"/>
  <c r="Z219" i="1"/>
  <c r="BN219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2" i="1"/>
  <c r="Z256" i="1"/>
  <c r="Z261" i="1" s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Z273" i="1" s="1"/>
  <c r="BN270" i="1"/>
  <c r="BP270" i="1"/>
  <c r="Z272" i="1"/>
  <c r="BN272" i="1"/>
  <c r="Y273" i="1"/>
  <c r="Z277" i="1"/>
  <c r="Z282" i="1" s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1" i="1"/>
  <c r="Y316" i="1"/>
  <c r="U602" i="1"/>
  <c r="Z320" i="1"/>
  <c r="Z325" i="1" s="1"/>
  <c r="BN320" i="1"/>
  <c r="BP320" i="1"/>
  <c r="Z322" i="1"/>
  <c r="BN322" i="1"/>
  <c r="Z324" i="1"/>
  <c r="BN324" i="1"/>
  <c r="Y325" i="1"/>
  <c r="Z328" i="1"/>
  <c r="Z332" i="1" s="1"/>
  <c r="BN328" i="1"/>
  <c r="BP328" i="1"/>
  <c r="Z330" i="1"/>
  <c r="BN330" i="1"/>
  <c r="Y333" i="1"/>
  <c r="Z336" i="1"/>
  <c r="Z340" i="1" s="1"/>
  <c r="BN336" i="1"/>
  <c r="BP336" i="1"/>
  <c r="Z338" i="1"/>
  <c r="BN338" i="1"/>
  <c r="Z344" i="1"/>
  <c r="Z346" i="1" s="1"/>
  <c r="BN344" i="1"/>
  <c r="BP344" i="1"/>
  <c r="Z349" i="1"/>
  <c r="Z353" i="1" s="1"/>
  <c r="BN349" i="1"/>
  <c r="BP349" i="1"/>
  <c r="Z350" i="1"/>
  <c r="BN350" i="1"/>
  <c r="Z352" i="1"/>
  <c r="BN352" i="1"/>
  <c r="Y353" i="1"/>
  <c r="Z356" i="1"/>
  <c r="Z359" i="1" s="1"/>
  <c r="BN356" i="1"/>
  <c r="BP356" i="1"/>
  <c r="Z358" i="1"/>
  <c r="BN358" i="1"/>
  <c r="Y359" i="1"/>
  <c r="Z363" i="1"/>
  <c r="Z364" i="1" s="1"/>
  <c r="BN363" i="1"/>
  <c r="BP363" i="1"/>
  <c r="Y364" i="1"/>
  <c r="Z367" i="1"/>
  <c r="Z370" i="1" s="1"/>
  <c r="BN367" i="1"/>
  <c r="BP367" i="1"/>
  <c r="Z369" i="1"/>
  <c r="BN369" i="1"/>
  <c r="Y370" i="1"/>
  <c r="Z375" i="1"/>
  <c r="Z385" i="1" s="1"/>
  <c r="BN375" i="1"/>
  <c r="BP375" i="1"/>
  <c r="Z377" i="1"/>
  <c r="BN377" i="1"/>
  <c r="Z379" i="1"/>
  <c r="BN379" i="1"/>
  <c r="Z381" i="1"/>
  <c r="BN381" i="1"/>
  <c r="Z383" i="1"/>
  <c r="BN383" i="1"/>
  <c r="BP384" i="1"/>
  <c r="BN384" i="1"/>
  <c r="Z384" i="1"/>
  <c r="Y391" i="1"/>
  <c r="BP388" i="1"/>
  <c r="BN388" i="1"/>
  <c r="Z388" i="1"/>
  <c r="Z390" i="1" s="1"/>
  <c r="BP394" i="1"/>
  <c r="BN394" i="1"/>
  <c r="Z394" i="1"/>
  <c r="BP404" i="1"/>
  <c r="BN404" i="1"/>
  <c r="Z404" i="1"/>
  <c r="Z408" i="1" s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7" i="1"/>
  <c r="BN437" i="1"/>
  <c r="Z437" i="1"/>
  <c r="BP440" i="1"/>
  <c r="BN440" i="1"/>
  <c r="Z440" i="1"/>
  <c r="Y447" i="1"/>
  <c r="Y460" i="1"/>
  <c r="BP456" i="1"/>
  <c r="BN456" i="1"/>
  <c r="Z456" i="1"/>
  <c r="BP465" i="1"/>
  <c r="BN465" i="1"/>
  <c r="Z465" i="1"/>
  <c r="AB602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2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BP515" i="1"/>
  <c r="BN515" i="1"/>
  <c r="Z515" i="1"/>
  <c r="Y139" i="1"/>
  <c r="Y172" i="1"/>
  <c r="Y193" i="1"/>
  <c r="Y238" i="1"/>
  <c r="Y267" i="1"/>
  <c r="Y274" i="1"/>
  <c r="Y283" i="1"/>
  <c r="Y288" i="1"/>
  <c r="Y301" i="1"/>
  <c r="Y306" i="1"/>
  <c r="Y365" i="1"/>
  <c r="W602" i="1"/>
  <c r="Y385" i="1"/>
  <c r="Y395" i="1"/>
  <c r="BP393" i="1"/>
  <c r="BN393" i="1"/>
  <c r="Z393" i="1"/>
  <c r="Z395" i="1" s="1"/>
  <c r="BP406" i="1"/>
  <c r="BN406" i="1"/>
  <c r="Z406" i="1"/>
  <c r="BP417" i="1"/>
  <c r="BN417" i="1"/>
  <c r="Z417" i="1"/>
  <c r="Y421" i="1"/>
  <c r="Y425" i="1"/>
  <c r="BP424" i="1"/>
  <c r="BN424" i="1"/>
  <c r="Z424" i="1"/>
  <c r="Z425" i="1" s="1"/>
  <c r="Y426" i="1"/>
  <c r="BP435" i="1"/>
  <c r="BN435" i="1"/>
  <c r="Z435" i="1"/>
  <c r="BP438" i="1"/>
  <c r="BN438" i="1"/>
  <c r="Z438" i="1"/>
  <c r="Z442" i="1" s="1"/>
  <c r="Y442" i="1"/>
  <c r="BP446" i="1"/>
  <c r="BN446" i="1"/>
  <c r="Z446" i="1"/>
  <c r="Z447" i="1" s="1"/>
  <c r="Y448" i="1"/>
  <c r="Z602" i="1"/>
  <c r="Y454" i="1"/>
  <c r="BP451" i="1"/>
  <c r="BN451" i="1"/>
  <c r="Z451" i="1"/>
  <c r="Z453" i="1" s="1"/>
  <c r="BP459" i="1"/>
  <c r="BN459" i="1"/>
  <c r="Z459" i="1"/>
  <c r="Y461" i="1"/>
  <c r="AA602" i="1"/>
  <c r="Y466" i="1"/>
  <c r="BP464" i="1"/>
  <c r="BN464" i="1"/>
  <c r="Z464" i="1"/>
  <c r="Z466" i="1" s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Y519" i="1"/>
  <c r="Y525" i="1"/>
  <c r="Y524" i="1"/>
  <c r="BP521" i="1"/>
  <c r="BN521" i="1"/>
  <c r="Z521" i="1"/>
  <c r="Z524" i="1" s="1"/>
  <c r="X602" i="1"/>
  <c r="Y409" i="1"/>
  <c r="Y602" i="1"/>
  <c r="Y443" i="1"/>
  <c r="Z527" i="1"/>
  <c r="Z529" i="1" s="1"/>
  <c r="BN527" i="1"/>
  <c r="BP527" i="1"/>
  <c r="Z528" i="1"/>
  <c r="BN528" i="1"/>
  <c r="Y529" i="1"/>
  <c r="AD602" i="1"/>
  <c r="Y540" i="1"/>
  <c r="BP537" i="1"/>
  <c r="BN537" i="1"/>
  <c r="Z537" i="1"/>
  <c r="BP539" i="1"/>
  <c r="BN539" i="1"/>
  <c r="Z539" i="1"/>
  <c r="Y541" i="1"/>
  <c r="Y558" i="1"/>
  <c r="BP551" i="1"/>
  <c r="BN551" i="1"/>
  <c r="Z551" i="1"/>
  <c r="BP553" i="1"/>
  <c r="BN553" i="1"/>
  <c r="Z553" i="1"/>
  <c r="BP555" i="1"/>
  <c r="BN555" i="1"/>
  <c r="Z555" i="1"/>
  <c r="BP557" i="1"/>
  <c r="BN557" i="1"/>
  <c r="Z557" i="1"/>
  <c r="Y559" i="1"/>
  <c r="Y573" i="1"/>
  <c r="BP569" i="1"/>
  <c r="BN569" i="1"/>
  <c r="Z569" i="1"/>
  <c r="BP571" i="1"/>
  <c r="BN571" i="1"/>
  <c r="Z571" i="1"/>
  <c r="AE602" i="1"/>
  <c r="Z522" i="1"/>
  <c r="BN522" i="1"/>
  <c r="BP536" i="1"/>
  <c r="BN536" i="1"/>
  <c r="Z536" i="1"/>
  <c r="Z540" i="1" s="1"/>
  <c r="BP538" i="1"/>
  <c r="BN538" i="1"/>
  <c r="Z538" i="1"/>
  <c r="BP552" i="1"/>
  <c r="BN552" i="1"/>
  <c r="Z552" i="1"/>
  <c r="BP554" i="1"/>
  <c r="BN554" i="1"/>
  <c r="Z554" i="1"/>
  <c r="BP556" i="1"/>
  <c r="BN556" i="1"/>
  <c r="Z556" i="1"/>
  <c r="BP570" i="1"/>
  <c r="BN570" i="1"/>
  <c r="Z570" i="1"/>
  <c r="BP572" i="1"/>
  <c r="BN572" i="1"/>
  <c r="Z572" i="1"/>
  <c r="Y574" i="1"/>
  <c r="Y582" i="1"/>
  <c r="BP581" i="1"/>
  <c r="BN581" i="1"/>
  <c r="Z581" i="1"/>
  <c r="Z582" i="1" s="1"/>
  <c r="Y583" i="1"/>
  <c r="Y579" i="1"/>
  <c r="Z589" i="1"/>
  <c r="Z590" i="1" s="1"/>
  <c r="BN589" i="1"/>
  <c r="BP589" i="1"/>
  <c r="Y590" i="1"/>
  <c r="Y595" i="1" l="1"/>
  <c r="Z573" i="1"/>
  <c r="Z518" i="1"/>
  <c r="Z496" i="1"/>
  <c r="X595" i="1"/>
  <c r="Z558" i="1"/>
  <c r="Z460" i="1"/>
  <c r="Z421" i="1"/>
  <c r="Z238" i="1"/>
  <c r="Z209" i="1"/>
  <c r="Z102" i="1"/>
  <c r="Z116" i="1"/>
  <c r="Z41" i="1"/>
  <c r="Z597" i="1" s="1"/>
  <c r="Y596" i="1"/>
</calcChain>
</file>

<file path=xl/sharedStrings.xml><?xml version="1.0" encoding="utf-8"?>
<sst xmlns="http://schemas.openxmlformats.org/spreadsheetml/2006/main" count="2725" uniqueCount="977">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</sst>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2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45768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4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/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19</v>
      </c>
      <c r="Q8" s="814">
        <v>0.41666666666666669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20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21</v>
      </c>
      <c r="Q10" s="857"/>
      <c r="R10" s="858"/>
      <c r="U10" s="24" t="s">
        <v>22</v>
      </c>
      <c r="V10" s="708" t="s">
        <v>23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1"/>
      <c r="R11" s="802"/>
      <c r="U11" s="24" t="s">
        <v>26</v>
      </c>
      <c r="V11" s="966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28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29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30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31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32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33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35</v>
      </c>
      <c r="B17" s="704" t="s">
        <v>36</v>
      </c>
      <c r="C17" s="821" t="s">
        <v>37</v>
      </c>
      <c r="D17" s="704" t="s">
        <v>38</v>
      </c>
      <c r="E17" s="777"/>
      <c r="F17" s="704" t="s">
        <v>39</v>
      </c>
      <c r="G17" s="704" t="s">
        <v>40</v>
      </c>
      <c r="H17" s="704" t="s">
        <v>41</v>
      </c>
      <c r="I17" s="704" t="s">
        <v>42</v>
      </c>
      <c r="J17" s="704" t="s">
        <v>43</v>
      </c>
      <c r="K17" s="704" t="s">
        <v>44</v>
      </c>
      <c r="L17" s="704" t="s">
        <v>45</v>
      </c>
      <c r="M17" s="704" t="s">
        <v>46</v>
      </c>
      <c r="N17" s="704" t="s">
        <v>47</v>
      </c>
      <c r="O17" s="704" t="s">
        <v>48</v>
      </c>
      <c r="P17" s="704" t="s">
        <v>49</v>
      </c>
      <c r="Q17" s="776"/>
      <c r="R17" s="776"/>
      <c r="S17" s="776"/>
      <c r="T17" s="777"/>
      <c r="U17" s="1040" t="s">
        <v>50</v>
      </c>
      <c r="V17" s="805"/>
      <c r="W17" s="704" t="s">
        <v>51</v>
      </c>
      <c r="X17" s="704" t="s">
        <v>52</v>
      </c>
      <c r="Y17" s="1041" t="s">
        <v>53</v>
      </c>
      <c r="Z17" s="941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9"/>
      <c r="AF17" s="1000"/>
      <c r="AG17" s="66"/>
      <c r="BD17" s="65" t="s">
        <v>59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60</v>
      </c>
      <c r="V18" s="67" t="s">
        <v>61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62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9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6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87</v>
      </c>
      <c r="Q28" s="687"/>
      <c r="R28" s="687"/>
      <c r="S28" s="687"/>
      <c r="T28" s="687"/>
      <c r="U28" s="687"/>
      <c r="V28" s="688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87</v>
      </c>
      <c r="Q29" s="687"/>
      <c r="R29" s="687"/>
      <c r="S29" s="687"/>
      <c r="T29" s="687"/>
      <c r="U29" s="687"/>
      <c r="V29" s="688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87</v>
      </c>
      <c r="Q32" s="687"/>
      <c r="R32" s="687"/>
      <c r="S32" s="687"/>
      <c r="T32" s="687"/>
      <c r="U32" s="687"/>
      <c r="V32" s="688"/>
      <c r="W32" s="37" t="s">
        <v>88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87</v>
      </c>
      <c r="Q33" s="687"/>
      <c r="R33" s="687"/>
      <c r="S33" s="687"/>
      <c r="T33" s="687"/>
      <c r="U33" s="687"/>
      <c r="V33" s="688"/>
      <c r="W33" s="37" t="s">
        <v>68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5">
        <v>357</v>
      </c>
      <c r="Y37" s="666">
        <f>IFERROR(IF(X37="",0,CEILING((X37/$H37),1)*$H37),"")</f>
        <v>367.20000000000005</v>
      </c>
      <c r="Z37" s="36">
        <f>IFERROR(IF(Y37=0,"",ROUNDUP(Y37/H37,0)*0.01898),"")</f>
        <v>0.64532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371.37916666666666</v>
      </c>
      <c r="BN37" s="64">
        <f>IFERROR(Y37*I37/H37,"0")</f>
        <v>381.99</v>
      </c>
      <c r="BO37" s="64">
        <f>IFERROR(1/J37*(X37/H37),"0")</f>
        <v>0.51649305555555547</v>
      </c>
      <c r="BP37" s="64">
        <f>IFERROR(1/J37*(Y37/H37),"0")</f>
        <v>0.53125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87</v>
      </c>
      <c r="Q41" s="687"/>
      <c r="R41" s="687"/>
      <c r="S41" s="687"/>
      <c r="T41" s="687"/>
      <c r="U41" s="687"/>
      <c r="V41" s="688"/>
      <c r="W41" s="37" t="s">
        <v>88</v>
      </c>
      <c r="X41" s="667">
        <f>IFERROR(X37/H37,"0")+IFERROR(X38/H38,"0")+IFERROR(X39/H39,"0")+IFERROR(X40/H40,"0")</f>
        <v>33.05555555555555</v>
      </c>
      <c r="Y41" s="667">
        <f>IFERROR(Y37/H37,"0")+IFERROR(Y38/H38,"0")+IFERROR(Y39/H39,"0")+IFERROR(Y40/H40,"0")</f>
        <v>34</v>
      </c>
      <c r="Z41" s="667">
        <f>IFERROR(IF(Z37="",0,Z37),"0")+IFERROR(IF(Z38="",0,Z38),"0")+IFERROR(IF(Z39="",0,Z39),"0")+IFERROR(IF(Z40="",0,Z40),"0")</f>
        <v>0.64532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87</v>
      </c>
      <c r="Q42" s="687"/>
      <c r="R42" s="687"/>
      <c r="S42" s="687"/>
      <c r="T42" s="687"/>
      <c r="U42" s="687"/>
      <c r="V42" s="688"/>
      <c r="W42" s="37" t="s">
        <v>68</v>
      </c>
      <c r="X42" s="667">
        <f>IFERROR(SUM(X37:X40),"0")</f>
        <v>357</v>
      </c>
      <c r="Y42" s="667">
        <f>IFERROR(SUM(Y37:Y40),"0")</f>
        <v>367.20000000000005</v>
      </c>
      <c r="Z42" s="37"/>
      <c r="AA42" s="668"/>
      <c r="AB42" s="668"/>
      <c r="AC42" s="668"/>
    </row>
    <row r="43" spans="1:68" ht="14.25" customHeight="1" x14ac:dyDescent="0.25">
      <c r="A43" s="683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87</v>
      </c>
      <c r="Q45" s="687"/>
      <c r="R45" s="687"/>
      <c r="S45" s="687"/>
      <c r="T45" s="687"/>
      <c r="U45" s="687"/>
      <c r="V45" s="688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87</v>
      </c>
      <c r="Q46" s="687"/>
      <c r="R46" s="687"/>
      <c r="S46" s="687"/>
      <c r="T46" s="687"/>
      <c r="U46" s="687"/>
      <c r="V46" s="688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200</v>
      </c>
      <c r="Y50" s="666">
        <f t="shared" si="6"/>
        <v>205.20000000000002</v>
      </c>
      <c r="Z50" s="36">
        <f>IFERROR(IF(Y50=0,"",ROUNDUP(Y50/H50,0)*0.01898),"")</f>
        <v>0.36062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208.05555555555554</v>
      </c>
      <c r="BN50" s="64">
        <f t="shared" si="8"/>
        <v>213.46499999999997</v>
      </c>
      <c r="BO50" s="64">
        <f t="shared" si="9"/>
        <v>0.28935185185185186</v>
      </c>
      <c r="BP50" s="64">
        <f t="shared" si="10"/>
        <v>0.296875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87</v>
      </c>
      <c r="Q55" s="687"/>
      <c r="R55" s="687"/>
      <c r="S55" s="687"/>
      <c r="T55" s="687"/>
      <c r="U55" s="687"/>
      <c r="V55" s="688"/>
      <c r="W55" s="37" t="s">
        <v>88</v>
      </c>
      <c r="X55" s="667">
        <f>IFERROR(X49/H49,"0")+IFERROR(X50/H50,"0")+IFERROR(X51/H51,"0")+IFERROR(X52/H52,"0")+IFERROR(X53/H53,"0")+IFERROR(X54/H54,"0")</f>
        <v>18.518518518518519</v>
      </c>
      <c r="Y55" s="667">
        <f>IFERROR(Y49/H49,"0")+IFERROR(Y50/H50,"0")+IFERROR(Y51/H51,"0")+IFERROR(Y52/H52,"0")+IFERROR(Y53/H53,"0")+IFERROR(Y54/H54,"0")</f>
        <v>19</v>
      </c>
      <c r="Z55" s="667">
        <f>IFERROR(IF(Z49="",0,Z49),"0")+IFERROR(IF(Z50="",0,Z50),"0")+IFERROR(IF(Z51="",0,Z51),"0")+IFERROR(IF(Z52="",0,Z52),"0")+IFERROR(IF(Z53="",0,Z53),"0")+IFERROR(IF(Z54="",0,Z54),"0")</f>
        <v>0.36062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87</v>
      </c>
      <c r="Q56" s="687"/>
      <c r="R56" s="687"/>
      <c r="S56" s="687"/>
      <c r="T56" s="687"/>
      <c r="U56" s="687"/>
      <c r="V56" s="688"/>
      <c r="W56" s="37" t="s">
        <v>68</v>
      </c>
      <c r="X56" s="667">
        <f>IFERROR(SUM(X49:X54),"0")</f>
        <v>200</v>
      </c>
      <c r="Y56" s="667">
        <f>IFERROR(SUM(Y49:Y54),"0")</f>
        <v>205.20000000000002</v>
      </c>
      <c r="Z56" s="37"/>
      <c r="AA56" s="668"/>
      <c r="AB56" s="668"/>
      <c r="AC56" s="668"/>
    </row>
    <row r="57" spans="1:68" ht="14.25" customHeight="1" x14ac:dyDescent="0.25">
      <c r="A57" s="683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197</v>
      </c>
      <c r="Y58" s="666">
        <f>IFERROR(IF(X58="",0,CEILING((X58/$H58),1)*$H58),"")</f>
        <v>205.20000000000002</v>
      </c>
      <c r="Z58" s="36">
        <f>IFERROR(IF(Y58=0,"",ROUNDUP(Y58/H58,0)*0.01898),"")</f>
        <v>0.36062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204.93472222222221</v>
      </c>
      <c r="BN58" s="64">
        <f>IFERROR(Y58*I58/H58,"0")</f>
        <v>213.46499999999997</v>
      </c>
      <c r="BO58" s="64">
        <f>IFERROR(1/J58*(X58/H58),"0")</f>
        <v>0.28501157407407407</v>
      </c>
      <c r="BP58" s="64">
        <f>IFERROR(1/J58*(Y58/H58),"0")</f>
        <v>0.296875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87</v>
      </c>
      <c r="Q62" s="687"/>
      <c r="R62" s="687"/>
      <c r="S62" s="687"/>
      <c r="T62" s="687"/>
      <c r="U62" s="687"/>
      <c r="V62" s="688"/>
      <c r="W62" s="37" t="s">
        <v>88</v>
      </c>
      <c r="X62" s="667">
        <f>IFERROR(X58/H58,"0")+IFERROR(X59/H59,"0")+IFERROR(X60/H60,"0")+IFERROR(X61/H61,"0")</f>
        <v>18.24074074074074</v>
      </c>
      <c r="Y62" s="667">
        <f>IFERROR(Y58/H58,"0")+IFERROR(Y59/H59,"0")+IFERROR(Y60/H60,"0")+IFERROR(Y61/H61,"0")</f>
        <v>19</v>
      </c>
      <c r="Z62" s="667">
        <f>IFERROR(IF(Z58="",0,Z58),"0")+IFERROR(IF(Z59="",0,Z59),"0")+IFERROR(IF(Z60="",0,Z60),"0")+IFERROR(IF(Z61="",0,Z61),"0")</f>
        <v>0.36062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87</v>
      </c>
      <c r="Q63" s="687"/>
      <c r="R63" s="687"/>
      <c r="S63" s="687"/>
      <c r="T63" s="687"/>
      <c r="U63" s="687"/>
      <c r="V63" s="688"/>
      <c r="W63" s="37" t="s">
        <v>68</v>
      </c>
      <c r="X63" s="667">
        <f>IFERROR(SUM(X58:X61),"0")</f>
        <v>197</v>
      </c>
      <c r="Y63" s="667">
        <f>IFERROR(SUM(Y58:Y61),"0")</f>
        <v>205.20000000000002</v>
      </c>
      <c r="Z63" s="37"/>
      <c r="AA63" s="668"/>
      <c r="AB63" s="668"/>
      <c r="AC63" s="668"/>
    </row>
    <row r="64" spans="1:68" ht="14.25" customHeight="1" x14ac:dyDescent="0.25">
      <c r="A64" s="683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87</v>
      </c>
      <c r="Q68" s="687"/>
      <c r="R68" s="687"/>
      <c r="S68" s="687"/>
      <c r="T68" s="687"/>
      <c r="U68" s="687"/>
      <c r="V68" s="688"/>
      <c r="W68" s="37" t="s">
        <v>88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87</v>
      </c>
      <c r="Q69" s="687"/>
      <c r="R69" s="687"/>
      <c r="S69" s="687"/>
      <c r="T69" s="687"/>
      <c r="U69" s="687"/>
      <c r="V69" s="688"/>
      <c r="W69" s="37" t="s">
        <v>68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87</v>
      </c>
      <c r="Q77" s="687"/>
      <c r="R77" s="687"/>
      <c r="S77" s="687"/>
      <c r="T77" s="687"/>
      <c r="U77" s="687"/>
      <c r="V77" s="688"/>
      <c r="W77" s="37" t="s">
        <v>88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87</v>
      </c>
      <c r="Q78" s="687"/>
      <c r="R78" s="687"/>
      <c r="S78" s="687"/>
      <c r="T78" s="687"/>
      <c r="U78" s="687"/>
      <c r="V78" s="688"/>
      <c r="W78" s="37" t="s">
        <v>68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3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87</v>
      </c>
      <c r="Q83" s="687"/>
      <c r="R83" s="687"/>
      <c r="S83" s="687"/>
      <c r="T83" s="687"/>
      <c r="U83" s="687"/>
      <c r="V83" s="688"/>
      <c r="W83" s="37" t="s">
        <v>88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87</v>
      </c>
      <c r="Q84" s="687"/>
      <c r="R84" s="687"/>
      <c r="S84" s="687"/>
      <c r="T84" s="687"/>
      <c r="U84" s="687"/>
      <c r="V84" s="688"/>
      <c r="W84" s="37" t="s">
        <v>68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718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335</v>
      </c>
      <c r="Y87" s="666">
        <f>IFERROR(IF(X87="",0,CEILING((X87/$H87),1)*$H87),"")</f>
        <v>345.6</v>
      </c>
      <c r="Z87" s="36">
        <f>IFERROR(IF(Y87=0,"",ROUNDUP(Y87/H87,0)*0.01898),"")</f>
        <v>0.60736000000000001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348.49305555555554</v>
      </c>
      <c r="BN87" s="64">
        <f>IFERROR(Y87*I87/H87,"0")</f>
        <v>359.52</v>
      </c>
      <c r="BO87" s="64">
        <f>IFERROR(1/J87*(X87/H87),"0")</f>
        <v>0.4846643518518518</v>
      </c>
      <c r="BP87" s="64">
        <f>IFERROR(1/J87*(Y87/H87),"0")</f>
        <v>0.5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87</v>
      </c>
      <c r="Q90" s="687"/>
      <c r="R90" s="687"/>
      <c r="S90" s="687"/>
      <c r="T90" s="687"/>
      <c r="U90" s="687"/>
      <c r="V90" s="688"/>
      <c r="W90" s="37" t="s">
        <v>88</v>
      </c>
      <c r="X90" s="667">
        <f>IFERROR(X87/H87,"0")+IFERROR(X88/H88,"0")+IFERROR(X89/H89,"0")</f>
        <v>31.018518518518515</v>
      </c>
      <c r="Y90" s="667">
        <f>IFERROR(Y87/H87,"0")+IFERROR(Y88/H88,"0")+IFERROR(Y89/H89,"0")</f>
        <v>32</v>
      </c>
      <c r="Z90" s="667">
        <f>IFERROR(IF(Z87="",0,Z87),"0")+IFERROR(IF(Z88="",0,Z88),"0")+IFERROR(IF(Z89="",0,Z89),"0")</f>
        <v>0.60736000000000001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87</v>
      </c>
      <c r="Q91" s="687"/>
      <c r="R91" s="687"/>
      <c r="S91" s="687"/>
      <c r="T91" s="687"/>
      <c r="U91" s="687"/>
      <c r="V91" s="688"/>
      <c r="W91" s="37" t="s">
        <v>68</v>
      </c>
      <c r="X91" s="667">
        <f>IFERROR(SUM(X87:X89),"0")</f>
        <v>335</v>
      </c>
      <c r="Y91" s="667">
        <f>IFERROR(SUM(Y87:Y89),"0")</f>
        <v>345.6</v>
      </c>
      <c r="Z91" s="37"/>
      <c r="AA91" s="668"/>
      <c r="AB91" s="668"/>
      <c r="AC91" s="668"/>
    </row>
    <row r="92" spans="1:68" ht="14.25" customHeight="1" x14ac:dyDescent="0.25">
      <c r="A92" s="683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3" t="s">
        <v>189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7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198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772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198</v>
      </c>
      <c r="B98" s="54" t="s">
        <v>201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944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2"/>
      <c r="R101" s="672"/>
      <c r="S101" s="672"/>
      <c r="T101" s="673"/>
      <c r="U101" s="34"/>
      <c r="V101" s="34"/>
      <c r="W101" s="35" t="s">
        <v>68</v>
      </c>
      <c r="X101" s="665">
        <v>0</v>
      </c>
      <c r="Y101" s="666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87</v>
      </c>
      <c r="Q102" s="687"/>
      <c r="R102" s="687"/>
      <c r="S102" s="687"/>
      <c r="T102" s="687"/>
      <c r="U102" s="687"/>
      <c r="V102" s="688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87</v>
      </c>
      <c r="Q103" s="687"/>
      <c r="R103" s="687"/>
      <c r="S103" s="687"/>
      <c r="T103" s="687"/>
      <c r="U103" s="687"/>
      <c r="V103" s="688"/>
      <c r="W103" s="37" t="s">
        <v>68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customHeight="1" x14ac:dyDescent="0.25">
      <c r="A104" s="718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335</v>
      </c>
      <c r="Y106" s="666">
        <f>IFERROR(IF(X106="",0,CEILING((X106/$H106),1)*$H106),"")</f>
        <v>345.6</v>
      </c>
      <c r="Z106" s="36">
        <f>IFERROR(IF(Y106=0,"",ROUNDUP(Y106/H106,0)*0.01898),"")</f>
        <v>0.60736000000000001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348.49305555555554</v>
      </c>
      <c r="BN106" s="64">
        <f>IFERROR(Y106*I106/H106,"0")</f>
        <v>359.52</v>
      </c>
      <c r="BO106" s="64">
        <f>IFERROR(1/J106*(X106/H106),"0")</f>
        <v>0.4846643518518518</v>
      </c>
      <c r="BP106" s="64">
        <f>IFERROR(1/J106*(Y106/H106),"0")</f>
        <v>0.5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87</v>
      </c>
      <c r="Q110" s="687"/>
      <c r="R110" s="687"/>
      <c r="S110" s="687"/>
      <c r="T110" s="687"/>
      <c r="U110" s="687"/>
      <c r="V110" s="688"/>
      <c r="W110" s="37" t="s">
        <v>88</v>
      </c>
      <c r="X110" s="667">
        <f>IFERROR(X106/H106,"0")+IFERROR(X107/H107,"0")+IFERROR(X108/H108,"0")+IFERROR(X109/H109,"0")</f>
        <v>31.018518518518515</v>
      </c>
      <c r="Y110" s="667">
        <f>IFERROR(Y106/H106,"0")+IFERROR(Y107/H107,"0")+IFERROR(Y108/H108,"0")+IFERROR(Y109/H109,"0")</f>
        <v>32</v>
      </c>
      <c r="Z110" s="667">
        <f>IFERROR(IF(Z106="",0,Z106),"0")+IFERROR(IF(Z107="",0,Z107),"0")+IFERROR(IF(Z108="",0,Z108),"0")+IFERROR(IF(Z109="",0,Z109),"0")</f>
        <v>0.60736000000000001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87</v>
      </c>
      <c r="Q111" s="687"/>
      <c r="R111" s="687"/>
      <c r="S111" s="687"/>
      <c r="T111" s="687"/>
      <c r="U111" s="687"/>
      <c r="V111" s="688"/>
      <c r="W111" s="37" t="s">
        <v>68</v>
      </c>
      <c r="X111" s="667">
        <f>IFERROR(SUM(X106:X109),"0")</f>
        <v>335</v>
      </c>
      <c r="Y111" s="667">
        <f>IFERROR(SUM(Y106:Y109),"0")</f>
        <v>345.6</v>
      </c>
      <c r="Z111" s="37"/>
      <c r="AA111" s="668"/>
      <c r="AB111" s="668"/>
      <c r="AC111" s="668"/>
    </row>
    <row r="112" spans="1:68" ht="14.25" customHeight="1" x14ac:dyDescent="0.25">
      <c r="A112" s="683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87</v>
      </c>
      <c r="Q116" s="687"/>
      <c r="R116" s="687"/>
      <c r="S116" s="687"/>
      <c r="T116" s="687"/>
      <c r="U116" s="687"/>
      <c r="V116" s="688"/>
      <c r="W116" s="37" t="s">
        <v>88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87</v>
      </c>
      <c r="Q117" s="687"/>
      <c r="R117" s="687"/>
      <c r="S117" s="687"/>
      <c r="T117" s="687"/>
      <c r="U117" s="687"/>
      <c r="V117" s="688"/>
      <c r="W117" s="37" t="s">
        <v>68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3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6" t="s">
        <v>228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2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7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3" t="s">
        <v>240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87</v>
      </c>
      <c r="Q128" s="687"/>
      <c r="R128" s="687"/>
      <c r="S128" s="687"/>
      <c r="T128" s="687"/>
      <c r="U128" s="687"/>
      <c r="V128" s="688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0</v>
      </c>
      <c r="Y128" s="667">
        <f>IFERROR(Y119/H119,"0")+IFERROR(Y120/H120,"0")+IFERROR(Y121/H121,"0")+IFERROR(Y122/H122,"0")+IFERROR(Y123/H123,"0")+IFERROR(Y124/H124,"0")+IFERROR(Y125/H125,"0")+IFERROR(Y126/H126,"0")+IFERROR(Y127/H127,"0")</f>
        <v>0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87</v>
      </c>
      <c r="Q129" s="687"/>
      <c r="R129" s="687"/>
      <c r="S129" s="687"/>
      <c r="T129" s="687"/>
      <c r="U129" s="687"/>
      <c r="V129" s="688"/>
      <c r="W129" s="37" t="s">
        <v>68</v>
      </c>
      <c r="X129" s="667">
        <f>IFERROR(SUM(X119:X127),"0")</f>
        <v>0</v>
      </c>
      <c r="Y129" s="667">
        <f>IFERROR(SUM(Y119:Y127),"0")</f>
        <v>0</v>
      </c>
      <c r="Z129" s="37"/>
      <c r="AA129" s="668"/>
      <c r="AB129" s="668"/>
      <c r="AC129" s="668"/>
    </row>
    <row r="130" spans="1:68" ht="14.25" customHeight="1" x14ac:dyDescent="0.25">
      <c r="A130" s="683" t="s">
        <v>170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87</v>
      </c>
      <c r="Q133" s="687"/>
      <c r="R133" s="687"/>
      <c r="S133" s="687"/>
      <c r="T133" s="687"/>
      <c r="U133" s="687"/>
      <c r="V133" s="688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87</v>
      </c>
      <c r="Q134" s="687"/>
      <c r="R134" s="687"/>
      <c r="S134" s="687"/>
      <c r="T134" s="687"/>
      <c r="U134" s="687"/>
      <c r="V134" s="688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254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97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255</v>
      </c>
      <c r="B137" s="54" t="s">
        <v>256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87</v>
      </c>
      <c r="Q139" s="687"/>
      <c r="R139" s="687"/>
      <c r="S139" s="687"/>
      <c r="T139" s="687"/>
      <c r="U139" s="687"/>
      <c r="V139" s="688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87</v>
      </c>
      <c r="Q140" s="687"/>
      <c r="R140" s="687"/>
      <c r="S140" s="687"/>
      <c r="T140" s="687"/>
      <c r="U140" s="687"/>
      <c r="V140" s="688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3" t="s">
        <v>144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259</v>
      </c>
      <c r="B142" s="54" t="s">
        <v>260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87</v>
      </c>
      <c r="Q144" s="687"/>
      <c r="R144" s="687"/>
      <c r="S144" s="687"/>
      <c r="T144" s="687"/>
      <c r="U144" s="687"/>
      <c r="V144" s="688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87</v>
      </c>
      <c r="Q145" s="687"/>
      <c r="R145" s="687"/>
      <c r="S145" s="687"/>
      <c r="T145" s="687"/>
      <c r="U145" s="687"/>
      <c r="V145" s="688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63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87</v>
      </c>
      <c r="Q149" s="687"/>
      <c r="R149" s="687"/>
      <c r="S149" s="687"/>
      <c r="T149" s="687"/>
      <c r="U149" s="687"/>
      <c r="V149" s="688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87</v>
      </c>
      <c r="Q150" s="687"/>
      <c r="R150" s="687"/>
      <c r="S150" s="687"/>
      <c r="T150" s="687"/>
      <c r="U150" s="687"/>
      <c r="V150" s="688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718" t="s">
        <v>95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97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87</v>
      </c>
      <c r="Q154" s="687"/>
      <c r="R154" s="687"/>
      <c r="S154" s="687"/>
      <c r="T154" s="687"/>
      <c r="U154" s="687"/>
      <c r="V154" s="688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87</v>
      </c>
      <c r="Q155" s="687"/>
      <c r="R155" s="687"/>
      <c r="S155" s="687"/>
      <c r="T155" s="687"/>
      <c r="U155" s="687"/>
      <c r="V155" s="688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144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87</v>
      </c>
      <c r="Q161" s="687"/>
      <c r="R161" s="687"/>
      <c r="S161" s="687"/>
      <c r="T161" s="687"/>
      <c r="U161" s="687"/>
      <c r="V161" s="688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87</v>
      </c>
      <c r="Q162" s="687"/>
      <c r="R162" s="687"/>
      <c r="S162" s="687"/>
      <c r="T162" s="687"/>
      <c r="U162" s="687"/>
      <c r="V162" s="688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63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87</v>
      </c>
      <c r="Q165" s="687"/>
      <c r="R165" s="687"/>
      <c r="S165" s="687"/>
      <c r="T165" s="687"/>
      <c r="U165" s="687"/>
      <c r="V165" s="688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87</v>
      </c>
      <c r="Q166" s="687"/>
      <c r="R166" s="687"/>
      <c r="S166" s="687"/>
      <c r="T166" s="687"/>
      <c r="U166" s="687"/>
      <c r="V166" s="688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283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284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87</v>
      </c>
      <c r="Q171" s="687"/>
      <c r="R171" s="687"/>
      <c r="S171" s="687"/>
      <c r="T171" s="687"/>
      <c r="U171" s="687"/>
      <c r="V171" s="688"/>
      <c r="W171" s="37" t="s">
        <v>88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87</v>
      </c>
      <c r="Q172" s="687"/>
      <c r="R172" s="687"/>
      <c r="S172" s="687"/>
      <c r="T172" s="687"/>
      <c r="U172" s="687"/>
      <c r="V172" s="688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7" t="s">
        <v>303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87</v>
      </c>
      <c r="Q183" s="687"/>
      <c r="R183" s="687"/>
      <c r="S183" s="687"/>
      <c r="T183" s="687"/>
      <c r="U183" s="687"/>
      <c r="V183" s="688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87</v>
      </c>
      <c r="Q184" s="687"/>
      <c r="R184" s="687"/>
      <c r="S184" s="687"/>
      <c r="T184" s="687"/>
      <c r="U184" s="687"/>
      <c r="V184" s="688"/>
      <c r="W184" s="37" t="s">
        <v>68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83" t="s">
        <v>89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7" t="s">
        <v>316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87</v>
      </c>
      <c r="Q187" s="687"/>
      <c r="R187" s="687"/>
      <c r="S187" s="687"/>
      <c r="T187" s="687"/>
      <c r="U187" s="687"/>
      <c r="V187" s="688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87</v>
      </c>
      <c r="Q188" s="687"/>
      <c r="R188" s="687"/>
      <c r="S188" s="687"/>
      <c r="T188" s="687"/>
      <c r="U188" s="687"/>
      <c r="V188" s="688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318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97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319</v>
      </c>
      <c r="B191" s="54" t="s">
        <v>320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322</v>
      </c>
      <c r="B192" s="54" t="s">
        <v>323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87</v>
      </c>
      <c r="Q193" s="687"/>
      <c r="R193" s="687"/>
      <c r="S193" s="687"/>
      <c r="T193" s="687"/>
      <c r="U193" s="687"/>
      <c r="V193" s="688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87</v>
      </c>
      <c r="Q194" s="687"/>
      <c r="R194" s="687"/>
      <c r="S194" s="687"/>
      <c r="T194" s="687"/>
      <c r="U194" s="687"/>
      <c r="V194" s="688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324</v>
      </c>
      <c r="B196" s="54" t="s">
        <v>325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327</v>
      </c>
      <c r="B197" s="54" t="s">
        <v>328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87</v>
      </c>
      <c r="Q198" s="687"/>
      <c r="R198" s="687"/>
      <c r="S198" s="687"/>
      <c r="T198" s="687"/>
      <c r="U198" s="687"/>
      <c r="V198" s="688"/>
      <c r="W198" s="37" t="s">
        <v>88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87</v>
      </c>
      <c r="Q199" s="687"/>
      <c r="R199" s="687"/>
      <c r="S199" s="687"/>
      <c r="T199" s="687"/>
      <c r="U199" s="687"/>
      <c r="V199" s="688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329</v>
      </c>
      <c r="B201" s="54" t="s">
        <v>330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332</v>
      </c>
      <c r="B202" s="54" t="s">
        <v>333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335</v>
      </c>
      <c r="B203" s="54" t="s">
        <v>336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345</v>
      </c>
      <c r="B207" s="54" t="s">
        <v>346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87</v>
      </c>
      <c r="Q209" s="687"/>
      <c r="R209" s="687"/>
      <c r="S209" s="687"/>
      <c r="T209" s="687"/>
      <c r="U209" s="687"/>
      <c r="V209" s="688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87</v>
      </c>
      <c r="Q210" s="687"/>
      <c r="R210" s="687"/>
      <c r="S210" s="687"/>
      <c r="T210" s="687"/>
      <c r="U210" s="687"/>
      <c r="V210" s="688"/>
      <c r="W210" s="37" t="s">
        <v>68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customHeight="1" x14ac:dyDescent="0.25">
      <c r="A211" s="683" t="s">
        <v>63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349</v>
      </c>
      <c r="B212" s="54" t="s">
        <v>350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352</v>
      </c>
      <c r="B213" s="54" t="s">
        <v>353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355</v>
      </c>
      <c r="B214" s="54" t="s">
        <v>356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365</v>
      </c>
      <c r="B218" s="54" t="s">
        <v>366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367</v>
      </c>
      <c r="B219" s="54" t="s">
        <v>368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87</v>
      </c>
      <c r="Q221" s="687"/>
      <c r="R221" s="687"/>
      <c r="S221" s="687"/>
      <c r="T221" s="687"/>
      <c r="U221" s="687"/>
      <c r="V221" s="688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87</v>
      </c>
      <c r="Q222" s="687"/>
      <c r="R222" s="687"/>
      <c r="S222" s="687"/>
      <c r="T222" s="687"/>
      <c r="U222" s="687"/>
      <c r="V222" s="688"/>
      <c r="W222" s="37" t="s">
        <v>68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customHeight="1" x14ac:dyDescent="0.25">
      <c r="A223" s="683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373</v>
      </c>
      <c r="B224" s="54" t="s">
        <v>374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376</v>
      </c>
      <c r="B225" s="54" t="s">
        <v>377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87</v>
      </c>
      <c r="Q226" s="687"/>
      <c r="R226" s="687"/>
      <c r="S226" s="687"/>
      <c r="T226" s="687"/>
      <c r="U226" s="687"/>
      <c r="V226" s="688"/>
      <c r="W226" s="37" t="s">
        <v>88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87</v>
      </c>
      <c r="Q227" s="687"/>
      <c r="R227" s="687"/>
      <c r="S227" s="687"/>
      <c r="T227" s="687"/>
      <c r="U227" s="687"/>
      <c r="V227" s="688"/>
      <c r="W227" s="37" t="s">
        <v>68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8" t="s">
        <v>379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97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380</v>
      </c>
      <c r="B230" s="54" t="s">
        <v>381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380</v>
      </c>
      <c r="B231" s="54" t="s">
        <v>383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386</v>
      </c>
      <c r="B232" s="54" t="s">
        <v>387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389</v>
      </c>
      <c r="B233" s="54" t="s">
        <v>390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389</v>
      </c>
      <c r="B234" s="54" t="s">
        <v>392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395</v>
      </c>
      <c r="B236" s="54" t="s">
        <v>396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87</v>
      </c>
      <c r="Q238" s="687"/>
      <c r="R238" s="687"/>
      <c r="S238" s="687"/>
      <c r="T238" s="687"/>
      <c r="U238" s="687"/>
      <c r="V238" s="688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87</v>
      </c>
      <c r="Q239" s="687"/>
      <c r="R239" s="687"/>
      <c r="S239" s="687"/>
      <c r="T239" s="687"/>
      <c r="U239" s="687"/>
      <c r="V239" s="688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3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399</v>
      </c>
      <c r="B241" s="54" t="s">
        <v>400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401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399</v>
      </c>
      <c r="B242" s="54" t="s">
        <v>403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87</v>
      </c>
      <c r="Q243" s="687"/>
      <c r="R243" s="687"/>
      <c r="S243" s="687"/>
      <c r="T243" s="687"/>
      <c r="U243" s="687"/>
      <c r="V243" s="688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87</v>
      </c>
      <c r="Q244" s="687"/>
      <c r="R244" s="687"/>
      <c r="S244" s="687"/>
      <c r="T244" s="687"/>
      <c r="U244" s="687"/>
      <c r="V244" s="688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404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405</v>
      </c>
      <c r="B246" s="54" t="s">
        <v>406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7" t="s">
        <v>407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87</v>
      </c>
      <c r="Q247" s="687"/>
      <c r="R247" s="687"/>
      <c r="S247" s="687"/>
      <c r="T247" s="687"/>
      <c r="U247" s="687"/>
      <c r="V247" s="688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87</v>
      </c>
      <c r="Q248" s="687"/>
      <c r="R248" s="687"/>
      <c r="S248" s="687"/>
      <c r="T248" s="687"/>
      <c r="U248" s="687"/>
      <c r="V248" s="688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409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410</v>
      </c>
      <c r="B250" s="54" t="s">
        <v>411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1" t="s">
        <v>412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87</v>
      </c>
      <c r="Q251" s="687"/>
      <c r="R251" s="687"/>
      <c r="S251" s="687"/>
      <c r="T251" s="687"/>
      <c r="U251" s="687"/>
      <c r="V251" s="688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87</v>
      </c>
      <c r="Q252" s="687"/>
      <c r="R252" s="687"/>
      <c r="S252" s="687"/>
      <c r="T252" s="687"/>
      <c r="U252" s="687"/>
      <c r="V252" s="688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414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97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415</v>
      </c>
      <c r="B255" s="54" t="s">
        <v>416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418</v>
      </c>
      <c r="B257" s="54" t="s">
        <v>421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423</v>
      </c>
      <c r="B258" s="54" t="s">
        <v>424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426</v>
      </c>
      <c r="B259" s="54" t="s">
        <v>427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429</v>
      </c>
      <c r="B260" s="54" t="s">
        <v>430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87</v>
      </c>
      <c r="Q261" s="687"/>
      <c r="R261" s="687"/>
      <c r="S261" s="687"/>
      <c r="T261" s="687"/>
      <c r="U261" s="687"/>
      <c r="V261" s="688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87</v>
      </c>
      <c r="Q262" s="687"/>
      <c r="R262" s="687"/>
      <c r="S262" s="687"/>
      <c r="T262" s="687"/>
      <c r="U262" s="687"/>
      <c r="V262" s="688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432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97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433</v>
      </c>
      <c r="B265" s="54" t="s">
        <v>434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87</v>
      </c>
      <c r="Q266" s="687"/>
      <c r="R266" s="687"/>
      <c r="S266" s="687"/>
      <c r="T266" s="687"/>
      <c r="U266" s="687"/>
      <c r="V266" s="688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87</v>
      </c>
      <c r="Q267" s="687"/>
      <c r="R267" s="687"/>
      <c r="S267" s="687"/>
      <c r="T267" s="687"/>
      <c r="U267" s="687"/>
      <c r="V267" s="688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436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97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87</v>
      </c>
      <c r="Q273" s="687"/>
      <c r="R273" s="687"/>
      <c r="S273" s="687"/>
      <c r="T273" s="687"/>
      <c r="U273" s="687"/>
      <c r="V273" s="688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87</v>
      </c>
      <c r="Q274" s="687"/>
      <c r="R274" s="687"/>
      <c r="S274" s="687"/>
      <c r="T274" s="687"/>
      <c r="U274" s="687"/>
      <c r="V274" s="688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445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63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446</v>
      </c>
      <c r="B277" s="54" t="s">
        <v>447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449</v>
      </c>
      <c r="B278" s="54" t="s">
        <v>450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452</v>
      </c>
      <c r="B279" s="54" t="s">
        <v>453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454</v>
      </c>
      <c r="B280" s="54" t="s">
        <v>455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87</v>
      </c>
      <c r="Q282" s="687"/>
      <c r="R282" s="687"/>
      <c r="S282" s="687"/>
      <c r="T282" s="687"/>
      <c r="U282" s="687"/>
      <c r="V282" s="688"/>
      <c r="W282" s="37" t="s">
        <v>88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87</v>
      </c>
      <c r="Q283" s="687"/>
      <c r="R283" s="687"/>
      <c r="S283" s="687"/>
      <c r="T283" s="687"/>
      <c r="U283" s="687"/>
      <c r="V283" s="688"/>
      <c r="W283" s="37" t="s">
        <v>68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8" t="s">
        <v>459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97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460</v>
      </c>
      <c r="B286" s="54" t="s">
        <v>461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87</v>
      </c>
      <c r="Q287" s="687"/>
      <c r="R287" s="687"/>
      <c r="S287" s="687"/>
      <c r="T287" s="687"/>
      <c r="U287" s="687"/>
      <c r="V287" s="688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87</v>
      </c>
      <c r="Q288" s="687"/>
      <c r="R288" s="687"/>
      <c r="S288" s="687"/>
      <c r="T288" s="687"/>
      <c r="U288" s="687"/>
      <c r="V288" s="688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463</v>
      </c>
      <c r="B290" s="54" t="s">
        <v>464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87</v>
      </c>
      <c r="Q291" s="687"/>
      <c r="R291" s="687"/>
      <c r="S291" s="687"/>
      <c r="T291" s="687"/>
      <c r="U291" s="687"/>
      <c r="V291" s="688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87</v>
      </c>
      <c r="Q292" s="687"/>
      <c r="R292" s="687"/>
      <c r="S292" s="687"/>
      <c r="T292" s="687"/>
      <c r="U292" s="687"/>
      <c r="V292" s="688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63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466</v>
      </c>
      <c r="B294" s="54" t="s">
        <v>467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87</v>
      </c>
      <c r="Q295" s="687"/>
      <c r="R295" s="687"/>
      <c r="S295" s="687"/>
      <c r="T295" s="687"/>
      <c r="U295" s="687"/>
      <c r="V295" s="688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87</v>
      </c>
      <c r="Q296" s="687"/>
      <c r="R296" s="687"/>
      <c r="S296" s="687"/>
      <c r="T296" s="687"/>
      <c r="U296" s="687"/>
      <c r="V296" s="688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469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63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470</v>
      </c>
      <c r="B299" s="54" t="s">
        <v>471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87</v>
      </c>
      <c r="Q300" s="687"/>
      <c r="R300" s="687"/>
      <c r="S300" s="687"/>
      <c r="T300" s="687"/>
      <c r="U300" s="687"/>
      <c r="V300" s="688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87</v>
      </c>
      <c r="Q301" s="687"/>
      <c r="R301" s="687"/>
      <c r="S301" s="687"/>
      <c r="T301" s="687"/>
      <c r="U301" s="687"/>
      <c r="V301" s="688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473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97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474</v>
      </c>
      <c r="B304" s="54" t="s">
        <v>475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87</v>
      </c>
      <c r="Q305" s="687"/>
      <c r="R305" s="687"/>
      <c r="S305" s="687"/>
      <c r="T305" s="687"/>
      <c r="U305" s="687"/>
      <c r="V305" s="688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87</v>
      </c>
      <c r="Q306" s="687"/>
      <c r="R306" s="687"/>
      <c r="S306" s="687"/>
      <c r="T306" s="687"/>
      <c r="U306" s="687"/>
      <c r="V306" s="688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476</v>
      </c>
      <c r="B308" s="54" t="s">
        <v>477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479</v>
      </c>
      <c r="B309" s="54" t="s">
        <v>480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87</v>
      </c>
      <c r="Q310" s="687"/>
      <c r="R310" s="687"/>
      <c r="S310" s="687"/>
      <c r="T310" s="687"/>
      <c r="U310" s="687"/>
      <c r="V310" s="688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87</v>
      </c>
      <c r="Q311" s="687"/>
      <c r="R311" s="687"/>
      <c r="S311" s="687"/>
      <c r="T311" s="687"/>
      <c r="U311" s="687"/>
      <c r="V311" s="688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8" t="s">
        <v>481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97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482</v>
      </c>
      <c r="B314" s="54" t="s">
        <v>483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87</v>
      </c>
      <c r="Q315" s="687"/>
      <c r="R315" s="687"/>
      <c r="S315" s="687"/>
      <c r="T315" s="687"/>
      <c r="U315" s="687"/>
      <c r="V315" s="688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87</v>
      </c>
      <c r="Q316" s="687"/>
      <c r="R316" s="687"/>
      <c r="S316" s="687"/>
      <c r="T316" s="687"/>
      <c r="U316" s="687"/>
      <c r="V316" s="688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486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97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487</v>
      </c>
      <c r="B319" s="54" t="s">
        <v>488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490</v>
      </c>
      <c r="B320" s="54" t="s">
        <v>491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490</v>
      </c>
      <c r="B321" s="54" t="s">
        <v>493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495</v>
      </c>
      <c r="B322" s="54" t="s">
        <v>496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498</v>
      </c>
      <c r="B323" s="54" t="s">
        <v>499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501</v>
      </c>
      <c r="B324" s="54" t="s">
        <v>502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87</v>
      </c>
      <c r="Q325" s="687"/>
      <c r="R325" s="687"/>
      <c r="S325" s="687"/>
      <c r="T325" s="687"/>
      <c r="U325" s="687"/>
      <c r="V325" s="688"/>
      <c r="W325" s="37" t="s">
        <v>88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87</v>
      </c>
      <c r="Q326" s="687"/>
      <c r="R326" s="687"/>
      <c r="S326" s="687"/>
      <c r="T326" s="687"/>
      <c r="U326" s="687"/>
      <c r="V326" s="688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3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503</v>
      </c>
      <c r="B328" s="54" t="s">
        <v>504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506</v>
      </c>
      <c r="B329" s="54" t="s">
        <v>507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509</v>
      </c>
      <c r="B330" s="54" t="s">
        <v>510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512</v>
      </c>
      <c r="B331" s="54" t="s">
        <v>513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87</v>
      </c>
      <c r="Q332" s="687"/>
      <c r="R332" s="687"/>
      <c r="S332" s="687"/>
      <c r="T332" s="687"/>
      <c r="U332" s="687"/>
      <c r="V332" s="688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87</v>
      </c>
      <c r="Q333" s="687"/>
      <c r="R333" s="687"/>
      <c r="S333" s="687"/>
      <c r="T333" s="687"/>
      <c r="U333" s="687"/>
      <c r="V333" s="688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3" t="s">
        <v>63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514</v>
      </c>
      <c r="B335" s="54" t="s">
        <v>515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517</v>
      </c>
      <c r="B336" s="54" t="s">
        <v>518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520</v>
      </c>
      <c r="B337" s="54" t="s">
        <v>521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523</v>
      </c>
      <c r="B338" s="54" t="s">
        <v>524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526</v>
      </c>
      <c r="B339" s="54" t="s">
        <v>527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87</v>
      </c>
      <c r="Q340" s="687"/>
      <c r="R340" s="687"/>
      <c r="S340" s="687"/>
      <c r="T340" s="687"/>
      <c r="U340" s="687"/>
      <c r="V340" s="688"/>
      <c r="W340" s="37" t="s">
        <v>88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87</v>
      </c>
      <c r="Q341" s="687"/>
      <c r="R341" s="687"/>
      <c r="S341" s="687"/>
      <c r="T341" s="687"/>
      <c r="U341" s="687"/>
      <c r="V341" s="688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3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529</v>
      </c>
      <c r="B343" s="54" t="s">
        <v>530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532</v>
      </c>
      <c r="B344" s="54" t="s">
        <v>533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535</v>
      </c>
      <c r="B345" s="54" t="s">
        <v>536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87</v>
      </c>
      <c r="Q346" s="687"/>
      <c r="R346" s="687"/>
      <c r="S346" s="687"/>
      <c r="T346" s="687"/>
      <c r="U346" s="687"/>
      <c r="V346" s="688"/>
      <c r="W346" s="37" t="s">
        <v>88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87</v>
      </c>
      <c r="Q347" s="687"/>
      <c r="R347" s="687"/>
      <c r="S347" s="687"/>
      <c r="T347" s="687"/>
      <c r="U347" s="687"/>
      <c r="V347" s="688"/>
      <c r="W347" s="37" t="s">
        <v>68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3" t="s">
        <v>89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538</v>
      </c>
      <c r="B349" s="54" t="s">
        <v>539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7" t="s">
        <v>540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542</v>
      </c>
      <c r="B350" s="54" t="s">
        <v>543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90" t="s">
        <v>544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546</v>
      </c>
      <c r="B351" s="54" t="s">
        <v>547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549</v>
      </c>
      <c r="B352" s="54" t="s">
        <v>550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87</v>
      </c>
      <c r="Q353" s="687"/>
      <c r="R353" s="687"/>
      <c r="S353" s="687"/>
      <c r="T353" s="687"/>
      <c r="U353" s="687"/>
      <c r="V353" s="688"/>
      <c r="W353" s="37" t="s">
        <v>88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87</v>
      </c>
      <c r="Q354" s="687"/>
      <c r="R354" s="687"/>
      <c r="S354" s="687"/>
      <c r="T354" s="687"/>
      <c r="U354" s="687"/>
      <c r="V354" s="688"/>
      <c r="W354" s="37" t="s">
        <v>68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3" t="s">
        <v>551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552</v>
      </c>
      <c r="B356" s="54" t="s">
        <v>553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556</v>
      </c>
      <c r="B357" s="54" t="s">
        <v>557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558</v>
      </c>
      <c r="B358" s="54" t="s">
        <v>559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87</v>
      </c>
      <c r="Q359" s="687"/>
      <c r="R359" s="687"/>
      <c r="S359" s="687"/>
      <c r="T359" s="687"/>
      <c r="U359" s="687"/>
      <c r="V359" s="688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87</v>
      </c>
      <c r="Q360" s="687"/>
      <c r="R360" s="687"/>
      <c r="S360" s="687"/>
      <c r="T360" s="687"/>
      <c r="U360" s="687"/>
      <c r="V360" s="688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560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561</v>
      </c>
      <c r="B363" s="54" t="s">
        <v>562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87</v>
      </c>
      <c r="Q364" s="687"/>
      <c r="R364" s="687"/>
      <c r="S364" s="687"/>
      <c r="T364" s="687"/>
      <c r="U364" s="687"/>
      <c r="V364" s="688"/>
      <c r="W364" s="37" t="s">
        <v>88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87</v>
      </c>
      <c r="Q365" s="687"/>
      <c r="R365" s="687"/>
      <c r="S365" s="687"/>
      <c r="T365" s="687"/>
      <c r="U365" s="687"/>
      <c r="V365" s="688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3" t="s">
        <v>63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564</v>
      </c>
      <c r="B367" s="54" t="s">
        <v>565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567</v>
      </c>
      <c r="B368" s="54" t="s">
        <v>568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570</v>
      </c>
      <c r="B369" s="54" t="s">
        <v>571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87</v>
      </c>
      <c r="Q370" s="687"/>
      <c r="R370" s="687"/>
      <c r="S370" s="687"/>
      <c r="T370" s="687"/>
      <c r="U370" s="687"/>
      <c r="V370" s="688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87</v>
      </c>
      <c r="Q371" s="687"/>
      <c r="R371" s="687"/>
      <c r="S371" s="687"/>
      <c r="T371" s="687"/>
      <c r="U371" s="687"/>
      <c r="V371" s="688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681" t="s">
        <v>573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574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97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575</v>
      </c>
      <c r="B375" s="54" t="s">
        <v>576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486</v>
      </c>
      <c r="Y375" s="666">
        <f t="shared" ref="Y375:Y384" si="58">IFERROR(IF(X375="",0,CEILING((X375/$H375),1)*$H375),"")</f>
        <v>495</v>
      </c>
      <c r="Z375" s="36">
        <f>IFERROR(IF(Y375=0,"",ROUNDUP(Y375/H375,0)*0.02175),"")</f>
        <v>0.71775</v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501.55200000000002</v>
      </c>
      <c r="BN375" s="64">
        <f t="shared" ref="BN375:BN384" si="60">IFERROR(Y375*I375/H375,"0")</f>
        <v>510.84000000000003</v>
      </c>
      <c r="BO375" s="64">
        <f t="shared" ref="BO375:BO384" si="61">IFERROR(1/J375*(X375/H375),"0")</f>
        <v>0.67499999999999993</v>
      </c>
      <c r="BP375" s="64">
        <f t="shared" ref="BP375:BP384" si="62">IFERROR(1/J375*(Y375/H375),"0")</f>
        <v>0.6875</v>
      </c>
    </row>
    <row r="376" spans="1:68" ht="27" customHeight="1" x14ac:dyDescent="0.25">
      <c r="A376" s="54" t="s">
        <v>575</v>
      </c>
      <c r="B376" s="54" t="s">
        <v>578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580</v>
      </c>
      <c r="B377" s="54" t="s">
        <v>581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0</v>
      </c>
      <c r="Y377" s="666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580</v>
      </c>
      <c r="B378" s="54" t="s">
        <v>583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584</v>
      </c>
      <c r="B379" s="54" t="s">
        <v>585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1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0</v>
      </c>
      <c r="Y379" s="666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587</v>
      </c>
      <c r="B380" s="54" t="s">
        <v>588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584</v>
      </c>
      <c r="B381" s="54" t="s">
        <v>590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591</v>
      </c>
      <c r="B382" s="54" t="s">
        <v>592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594</v>
      </c>
      <c r="B383" s="54" t="s">
        <v>595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596</v>
      </c>
      <c r="B384" s="54" t="s">
        <v>597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87</v>
      </c>
      <c r="Q385" s="687"/>
      <c r="R385" s="687"/>
      <c r="S385" s="687"/>
      <c r="T385" s="687"/>
      <c r="U385" s="687"/>
      <c r="V385" s="688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32.4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33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0.71775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87</v>
      </c>
      <c r="Q386" s="687"/>
      <c r="R386" s="687"/>
      <c r="S386" s="687"/>
      <c r="T386" s="687"/>
      <c r="U386" s="687"/>
      <c r="V386" s="688"/>
      <c r="W386" s="37" t="s">
        <v>68</v>
      </c>
      <c r="X386" s="667">
        <f>IFERROR(SUM(X375:X384),"0")</f>
        <v>486</v>
      </c>
      <c r="Y386" s="667">
        <f>IFERROR(SUM(Y375:Y384),"0")</f>
        <v>495</v>
      </c>
      <c r="Z386" s="37"/>
      <c r="AA386" s="668"/>
      <c r="AB386" s="668"/>
      <c r="AC386" s="668"/>
    </row>
    <row r="387" spans="1:68" ht="14.25" customHeight="1" x14ac:dyDescent="0.25">
      <c r="A387" s="683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598</v>
      </c>
      <c r="B388" s="54" t="s">
        <v>599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716</v>
      </c>
      <c r="Y388" s="666">
        <f>IFERROR(IF(X388="",0,CEILING((X388/$H388),1)*$H388),"")</f>
        <v>720</v>
      </c>
      <c r="Z388" s="36">
        <f>IFERROR(IF(Y388=0,"",ROUNDUP(Y388/H388,0)*0.02175),"")</f>
        <v>1.044</v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738.91200000000003</v>
      </c>
      <c r="BN388" s="64">
        <f>IFERROR(Y388*I388/H388,"0")</f>
        <v>743.04000000000008</v>
      </c>
      <c r="BO388" s="64">
        <f>IFERROR(1/J388*(X388/H388),"0")</f>
        <v>0.99444444444444446</v>
      </c>
      <c r="BP388" s="64">
        <f>IFERROR(1/J388*(Y388/H388),"0")</f>
        <v>1</v>
      </c>
    </row>
    <row r="389" spans="1:68" ht="27" customHeight="1" x14ac:dyDescent="0.25">
      <c r="A389" s="54" t="s">
        <v>601</v>
      </c>
      <c r="B389" s="54" t="s">
        <v>602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87</v>
      </c>
      <c r="Q390" s="687"/>
      <c r="R390" s="687"/>
      <c r="S390" s="687"/>
      <c r="T390" s="687"/>
      <c r="U390" s="687"/>
      <c r="V390" s="688"/>
      <c r="W390" s="37" t="s">
        <v>88</v>
      </c>
      <c r="X390" s="667">
        <f>IFERROR(X388/H388,"0")+IFERROR(X389/H389,"0")</f>
        <v>47.733333333333334</v>
      </c>
      <c r="Y390" s="667">
        <f>IFERROR(Y388/H388,"0")+IFERROR(Y389/H389,"0")</f>
        <v>48</v>
      </c>
      <c r="Z390" s="667">
        <f>IFERROR(IF(Z388="",0,Z388),"0")+IFERROR(IF(Z389="",0,Z389),"0")</f>
        <v>1.044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87</v>
      </c>
      <c r="Q391" s="687"/>
      <c r="R391" s="687"/>
      <c r="S391" s="687"/>
      <c r="T391" s="687"/>
      <c r="U391" s="687"/>
      <c r="V391" s="688"/>
      <c r="W391" s="37" t="s">
        <v>68</v>
      </c>
      <c r="X391" s="667">
        <f>IFERROR(SUM(X388:X389),"0")</f>
        <v>716</v>
      </c>
      <c r="Y391" s="667">
        <f>IFERROR(SUM(Y388:Y389),"0")</f>
        <v>720</v>
      </c>
      <c r="Z391" s="37"/>
      <c r="AA391" s="668"/>
      <c r="AB391" s="668"/>
      <c r="AC391" s="668"/>
    </row>
    <row r="392" spans="1:68" ht="14.25" customHeight="1" x14ac:dyDescent="0.25">
      <c r="A392" s="683" t="s">
        <v>63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603</v>
      </c>
      <c r="B393" s="54" t="s">
        <v>604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605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607</v>
      </c>
      <c r="B394" s="54" t="s">
        <v>608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4" t="s">
        <v>609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87</v>
      </c>
      <c r="Q395" s="687"/>
      <c r="R395" s="687"/>
      <c r="S395" s="687"/>
      <c r="T395" s="687"/>
      <c r="U395" s="687"/>
      <c r="V395" s="688"/>
      <c r="W395" s="37" t="s">
        <v>88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87</v>
      </c>
      <c r="Q396" s="687"/>
      <c r="R396" s="687"/>
      <c r="S396" s="687"/>
      <c r="T396" s="687"/>
      <c r="U396" s="687"/>
      <c r="V396" s="688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3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611</v>
      </c>
      <c r="B398" s="54" t="s">
        <v>612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0" t="s">
        <v>613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87</v>
      </c>
      <c r="Q399" s="687"/>
      <c r="R399" s="687"/>
      <c r="S399" s="687"/>
      <c r="T399" s="687"/>
      <c r="U399" s="687"/>
      <c r="V399" s="688"/>
      <c r="W399" s="37" t="s">
        <v>88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87</v>
      </c>
      <c r="Q400" s="687"/>
      <c r="R400" s="687"/>
      <c r="S400" s="687"/>
      <c r="T400" s="687"/>
      <c r="U400" s="687"/>
      <c r="V400" s="688"/>
      <c r="W400" s="37" t="s">
        <v>68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8" t="s">
        <v>615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97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616</v>
      </c>
      <c r="B403" s="54" t="s">
        <v>617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616</v>
      </c>
      <c r="B404" s="54" t="s">
        <v>619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621</v>
      </c>
      <c r="B405" s="54" t="s">
        <v>622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624</v>
      </c>
      <c r="B406" s="54" t="s">
        <v>625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626</v>
      </c>
      <c r="B407" s="54" t="s">
        <v>627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87</v>
      </c>
      <c r="Q408" s="687"/>
      <c r="R408" s="687"/>
      <c r="S408" s="687"/>
      <c r="T408" s="687"/>
      <c r="U408" s="687"/>
      <c r="V408" s="688"/>
      <c r="W408" s="37" t="s">
        <v>88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87</v>
      </c>
      <c r="Q409" s="687"/>
      <c r="R409" s="687"/>
      <c r="S409" s="687"/>
      <c r="T409" s="687"/>
      <c r="U409" s="687"/>
      <c r="V409" s="688"/>
      <c r="W409" s="37" t="s">
        <v>68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144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628</v>
      </c>
      <c r="B411" s="54" t="s">
        <v>629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68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631</v>
      </c>
      <c r="B412" s="54" t="s">
        <v>632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87</v>
      </c>
      <c r="Q413" s="687"/>
      <c r="R413" s="687"/>
      <c r="S413" s="687"/>
      <c r="T413" s="687"/>
      <c r="U413" s="687"/>
      <c r="V413" s="688"/>
      <c r="W413" s="37" t="s">
        <v>88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87</v>
      </c>
      <c r="Q414" s="687"/>
      <c r="R414" s="687"/>
      <c r="S414" s="687"/>
      <c r="T414" s="687"/>
      <c r="U414" s="687"/>
      <c r="V414" s="688"/>
      <c r="W414" s="37" t="s">
        <v>68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63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633</v>
      </c>
      <c r="B416" s="54" t="s">
        <v>634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68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636</v>
      </c>
      <c r="B417" s="54" t="s">
        <v>637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6" t="s">
        <v>638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640</v>
      </c>
      <c r="B418" s="54" t="s">
        <v>641</v>
      </c>
      <c r="C418" s="31">
        <v>4301051660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640</v>
      </c>
      <c r="B419" s="54" t="s">
        <v>642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644</v>
      </c>
      <c r="B420" s="54" t="s">
        <v>645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87</v>
      </c>
      <c r="Q421" s="687"/>
      <c r="R421" s="687"/>
      <c r="S421" s="687"/>
      <c r="T421" s="687"/>
      <c r="U421" s="687"/>
      <c r="V421" s="688"/>
      <c r="W421" s="37" t="s">
        <v>88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87</v>
      </c>
      <c r="Q422" s="687"/>
      <c r="R422" s="687"/>
      <c r="S422" s="687"/>
      <c r="T422" s="687"/>
      <c r="U422" s="687"/>
      <c r="V422" s="688"/>
      <c r="W422" s="37" t="s">
        <v>68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customHeight="1" x14ac:dyDescent="0.25">
      <c r="A423" s="683" t="s">
        <v>170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647</v>
      </c>
      <c r="B424" s="54" t="s">
        <v>648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9" t="s">
        <v>649</v>
      </c>
      <c r="Q424" s="672"/>
      <c r="R424" s="672"/>
      <c r="S424" s="672"/>
      <c r="T424" s="673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87</v>
      </c>
      <c r="Q425" s="687"/>
      <c r="R425" s="687"/>
      <c r="S425" s="687"/>
      <c r="T425" s="687"/>
      <c r="U425" s="687"/>
      <c r="V425" s="688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87</v>
      </c>
      <c r="Q426" s="687"/>
      <c r="R426" s="687"/>
      <c r="S426" s="687"/>
      <c r="T426" s="687"/>
      <c r="U426" s="687"/>
      <c r="V426" s="688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651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652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144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653</v>
      </c>
      <c r="B430" s="54" t="s">
        <v>654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5" t="s">
        <v>655</v>
      </c>
      <c r="Q430" s="672"/>
      <c r="R430" s="672"/>
      <c r="S430" s="672"/>
      <c r="T430" s="673"/>
      <c r="U430" s="34"/>
      <c r="V430" s="34"/>
      <c r="W430" s="35" t="s">
        <v>68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657</v>
      </c>
      <c r="B431" s="54" t="s">
        <v>658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0" t="s">
        <v>659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657</v>
      </c>
      <c r="B432" s="54" t="s">
        <v>661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1" t="s">
        <v>659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662</v>
      </c>
      <c r="B433" s="54" t="s">
        <v>663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9" t="s">
        <v>664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666</v>
      </c>
      <c r="B434" s="54" t="s">
        <v>667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7" t="s">
        <v>668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666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670</v>
      </c>
      <c r="B436" s="54" t="s">
        <v>671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672</v>
      </c>
      <c r="B437" s="54" t="s">
        <v>673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675</v>
      </c>
      <c r="B438" s="54" t="s">
        <v>676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5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675</v>
      </c>
      <c r="B439" s="54" t="s">
        <v>679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680</v>
      </c>
      <c r="B440" s="54" t="s">
        <v>681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683</v>
      </c>
      <c r="B441" s="54" t="s">
        <v>684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87</v>
      </c>
      <c r="Q442" s="687"/>
      <c r="R442" s="687"/>
      <c r="S442" s="687"/>
      <c r="T442" s="687"/>
      <c r="U442" s="687"/>
      <c r="V442" s="688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87</v>
      </c>
      <c r="Q443" s="687"/>
      <c r="R443" s="687"/>
      <c r="S443" s="687"/>
      <c r="T443" s="687"/>
      <c r="U443" s="687"/>
      <c r="V443" s="688"/>
      <c r="W443" s="37" t="s">
        <v>68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customHeight="1" x14ac:dyDescent="0.25">
      <c r="A444" s="683" t="s">
        <v>63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685</v>
      </c>
      <c r="B445" s="54" t="s">
        <v>686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87</v>
      </c>
      <c r="Q447" s="687"/>
      <c r="R447" s="687"/>
      <c r="S447" s="687"/>
      <c r="T447" s="687"/>
      <c r="U447" s="687"/>
      <c r="V447" s="688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87</v>
      </c>
      <c r="Q448" s="687"/>
      <c r="R448" s="687"/>
      <c r="S448" s="687"/>
      <c r="T448" s="687"/>
      <c r="U448" s="687"/>
      <c r="V448" s="688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691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692</v>
      </c>
      <c r="B451" s="54" t="s">
        <v>693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695</v>
      </c>
      <c r="B452" s="54" t="s">
        <v>696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87</v>
      </c>
      <c r="Q453" s="687"/>
      <c r="R453" s="687"/>
      <c r="S453" s="687"/>
      <c r="T453" s="687"/>
      <c r="U453" s="687"/>
      <c r="V453" s="688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87</v>
      </c>
      <c r="Q454" s="687"/>
      <c r="R454" s="687"/>
      <c r="S454" s="687"/>
      <c r="T454" s="687"/>
      <c r="U454" s="687"/>
      <c r="V454" s="688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698</v>
      </c>
      <c r="B456" s="54" t="s">
        <v>699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700</v>
      </c>
      <c r="Q456" s="672"/>
      <c r="R456" s="672"/>
      <c r="S456" s="672"/>
      <c r="T456" s="673"/>
      <c r="U456" s="34"/>
      <c r="V456" s="34"/>
      <c r="W456" s="35" t="s">
        <v>68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702</v>
      </c>
      <c r="B457" s="54" t="s">
        <v>703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705</v>
      </c>
      <c r="B458" s="54" t="s">
        <v>706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1" t="s">
        <v>707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709</v>
      </c>
      <c r="B459" s="54" t="s">
        <v>710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87</v>
      </c>
      <c r="Q460" s="687"/>
      <c r="R460" s="687"/>
      <c r="S460" s="687"/>
      <c r="T460" s="687"/>
      <c r="U460" s="687"/>
      <c r="V460" s="688"/>
      <c r="W460" s="37" t="s">
        <v>88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87</v>
      </c>
      <c r="Q461" s="687"/>
      <c r="R461" s="687"/>
      <c r="S461" s="687"/>
      <c r="T461" s="687"/>
      <c r="U461" s="687"/>
      <c r="V461" s="688"/>
      <c r="W461" s="37" t="s">
        <v>68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customHeight="1" x14ac:dyDescent="0.25">
      <c r="A462" s="718" t="s">
        <v>711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144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712</v>
      </c>
      <c r="B464" s="54" t="s">
        <v>713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715</v>
      </c>
      <c r="B465" s="54" t="s">
        <v>716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3" t="s">
        <v>717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87</v>
      </c>
      <c r="Q466" s="687"/>
      <c r="R466" s="687"/>
      <c r="S466" s="687"/>
      <c r="T466" s="687"/>
      <c r="U466" s="687"/>
      <c r="V466" s="688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87</v>
      </c>
      <c r="Q467" s="687"/>
      <c r="R467" s="687"/>
      <c r="S467" s="687"/>
      <c r="T467" s="687"/>
      <c r="U467" s="687"/>
      <c r="V467" s="688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719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720</v>
      </c>
      <c r="B470" s="54" t="s">
        <v>721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87</v>
      </c>
      <c r="Q471" s="687"/>
      <c r="R471" s="687"/>
      <c r="S471" s="687"/>
      <c r="T471" s="687"/>
      <c r="U471" s="687"/>
      <c r="V471" s="688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87</v>
      </c>
      <c r="Q472" s="687"/>
      <c r="R472" s="687"/>
      <c r="S472" s="687"/>
      <c r="T472" s="687"/>
      <c r="U472" s="687"/>
      <c r="V472" s="688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170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723</v>
      </c>
      <c r="B474" s="54" t="s">
        <v>724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87</v>
      </c>
      <c r="Q475" s="687"/>
      <c r="R475" s="687"/>
      <c r="S475" s="687"/>
      <c r="T475" s="687"/>
      <c r="U475" s="687"/>
      <c r="V475" s="688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87</v>
      </c>
      <c r="Q476" s="687"/>
      <c r="R476" s="687"/>
      <c r="S476" s="687"/>
      <c r="T476" s="687"/>
      <c r="U476" s="687"/>
      <c r="V476" s="688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726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726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97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727</v>
      </c>
      <c r="B480" s="54" t="s">
        <v>728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68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366</v>
      </c>
      <c r="Y482" s="666">
        <f t="shared" si="69"/>
        <v>369.6</v>
      </c>
      <c r="Z482" s="36">
        <f t="shared" si="70"/>
        <v>0.83720000000000006</v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390.95454545454538</v>
      </c>
      <c r="BN482" s="64">
        <f t="shared" si="72"/>
        <v>394.79999999999995</v>
      </c>
      <c r="BO482" s="64">
        <f t="shared" si="73"/>
        <v>0.66652097902097895</v>
      </c>
      <c r="BP482" s="64">
        <f t="shared" si="74"/>
        <v>0.67307692307692313</v>
      </c>
    </row>
    <row r="483" spans="1:68" ht="16.5" customHeight="1" x14ac:dyDescent="0.25">
      <c r="A483" s="54" t="s">
        <v>736</v>
      </c>
      <c r="B483" s="54" t="s">
        <v>737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740</v>
      </c>
      <c r="B484" s="54" t="s">
        <v>741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562</v>
      </c>
      <c r="Y484" s="666">
        <f t="shared" si="69"/>
        <v>564.96</v>
      </c>
      <c r="Z484" s="36">
        <f t="shared" si="70"/>
        <v>1.27972</v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600.31818181818176</v>
      </c>
      <c r="BN484" s="64">
        <f t="shared" si="72"/>
        <v>603.48</v>
      </c>
      <c r="BO484" s="64">
        <f t="shared" si="73"/>
        <v>1.023455710955711</v>
      </c>
      <c r="BP484" s="64">
        <f t="shared" si="74"/>
        <v>1.028846153846154</v>
      </c>
    </row>
    <row r="485" spans="1:68" ht="16.5" customHeight="1" x14ac:dyDescent="0.25">
      <c r="A485" s="54" t="s">
        <v>743</v>
      </c>
      <c r="B485" s="54" t="s">
        <v>744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1010" t="s">
        <v>748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749</v>
      </c>
      <c r="B487" s="54" t="s">
        <v>750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749</v>
      </c>
      <c r="B488" s="54" t="s">
        <v>751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752</v>
      </c>
      <c r="B489" s="54" t="s">
        <v>753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757</v>
      </c>
      <c r="B491" s="54" t="s">
        <v>758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68" t="s">
        <v>759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760</v>
      </c>
      <c r="B492" s="54" t="s">
        <v>761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783" t="s">
        <v>762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87</v>
      </c>
      <c r="Q496" s="687"/>
      <c r="R496" s="687"/>
      <c r="S496" s="687"/>
      <c r="T496" s="687"/>
      <c r="U496" s="687"/>
      <c r="V496" s="688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175.75757575757575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177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2.1169199999999999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87</v>
      </c>
      <c r="Q497" s="687"/>
      <c r="R497" s="687"/>
      <c r="S497" s="687"/>
      <c r="T497" s="687"/>
      <c r="U497" s="687"/>
      <c r="V497" s="688"/>
      <c r="W497" s="37" t="s">
        <v>68</v>
      </c>
      <c r="X497" s="667">
        <f>IFERROR(SUM(X480:X495),"0")</f>
        <v>928</v>
      </c>
      <c r="Y497" s="667">
        <f>IFERROR(SUM(Y480:Y495),"0")</f>
        <v>934.56000000000006</v>
      </c>
      <c r="Z497" s="37"/>
      <c r="AA497" s="668"/>
      <c r="AB497" s="668"/>
      <c r="AC497" s="668"/>
    </row>
    <row r="498" spans="1:68" ht="14.25" customHeight="1" x14ac:dyDescent="0.25">
      <c r="A498" s="683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913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846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745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87</v>
      </c>
      <c r="Q503" s="687"/>
      <c r="R503" s="687"/>
      <c r="S503" s="687"/>
      <c r="T503" s="687"/>
      <c r="U503" s="687"/>
      <c r="V503" s="688"/>
      <c r="W503" s="37" t="s">
        <v>88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87</v>
      </c>
      <c r="Q504" s="687"/>
      <c r="R504" s="687"/>
      <c r="S504" s="687"/>
      <c r="T504" s="687"/>
      <c r="U504" s="687"/>
      <c r="V504" s="688"/>
      <c r="W504" s="37" t="s">
        <v>68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customHeight="1" x14ac:dyDescent="0.25">
      <c r="A505" s="683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98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234</v>
      </c>
      <c r="Y506" s="666">
        <f t="shared" ref="Y506:Y517" si="75">IFERROR(IF(X506="",0,CEILING((X506/$H506),1)*$H506),"")</f>
        <v>237.60000000000002</v>
      </c>
      <c r="Z506" s="36">
        <f>IFERROR(IF(Y506=0,"",ROUNDUP(Y506/H506,0)*0.01196),"")</f>
        <v>0.53820000000000001</v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249.95454545454544</v>
      </c>
      <c r="BN506" s="64">
        <f t="shared" ref="BN506:BN517" si="77">IFERROR(Y506*I506/H506,"0")</f>
        <v>253.8</v>
      </c>
      <c r="BO506" s="64">
        <f t="shared" ref="BO506:BO517" si="78">IFERROR(1/J506*(X506/H506),"0")</f>
        <v>0.42613636363636359</v>
      </c>
      <c r="BP506" s="64">
        <f t="shared" ref="BP506:BP517" si="79">IFERROR(1/J506*(Y506/H506),"0")</f>
        <v>0.43269230769230771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7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219</v>
      </c>
      <c r="Y507" s="666">
        <f t="shared" si="75"/>
        <v>221.76000000000002</v>
      </c>
      <c r="Z507" s="36">
        <f>IFERROR(IF(Y507=0,"",ROUNDUP(Y507/H507,0)*0.01196),"")</f>
        <v>0.50231999999999999</v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233.93181818181813</v>
      </c>
      <c r="BN507" s="64">
        <f t="shared" si="77"/>
        <v>236.88</v>
      </c>
      <c r="BO507" s="64">
        <f t="shared" si="78"/>
        <v>0.39881993006993011</v>
      </c>
      <c r="BP507" s="64">
        <f t="shared" si="79"/>
        <v>0.40384615384615385</v>
      </c>
    </row>
    <row r="508" spans="1:68" ht="27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765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1006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795</v>
      </c>
      <c r="B510" s="54" t="s">
        <v>796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33" t="s">
        <v>797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795</v>
      </c>
      <c r="B511" s="54" t="s">
        <v>798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80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795</v>
      </c>
      <c r="B512" s="54" t="s">
        <v>800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92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833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860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807</v>
      </c>
      <c r="B515" s="54" t="s">
        <v>808</v>
      </c>
      <c r="C515" s="31">
        <v>4301031417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1015" t="s">
        <v>809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807</v>
      </c>
      <c r="B516" s="54" t="s">
        <v>810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807</v>
      </c>
      <c r="B517" s="54" t="s">
        <v>812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87</v>
      </c>
      <c r="Q518" s="687"/>
      <c r="R518" s="687"/>
      <c r="S518" s="687"/>
      <c r="T518" s="687"/>
      <c r="U518" s="687"/>
      <c r="V518" s="688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85.795454545454533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87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1.0405199999999999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87</v>
      </c>
      <c r="Q519" s="687"/>
      <c r="R519" s="687"/>
      <c r="S519" s="687"/>
      <c r="T519" s="687"/>
      <c r="U519" s="687"/>
      <c r="V519" s="688"/>
      <c r="W519" s="37" t="s">
        <v>68</v>
      </c>
      <c r="X519" s="667">
        <f>IFERROR(SUM(X506:X517),"0")</f>
        <v>453</v>
      </c>
      <c r="Y519" s="667">
        <f>IFERROR(SUM(Y506:Y517),"0")</f>
        <v>459.36</v>
      </c>
      <c r="Z519" s="37"/>
      <c r="AA519" s="668"/>
      <c r="AB519" s="668"/>
      <c r="AC519" s="668"/>
    </row>
    <row r="520" spans="1:68" ht="14.25" customHeight="1" x14ac:dyDescent="0.25">
      <c r="A520" s="683" t="s">
        <v>63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87</v>
      </c>
      <c r="Q524" s="687"/>
      <c r="R524" s="687"/>
      <c r="S524" s="687"/>
      <c r="T524" s="687"/>
      <c r="U524" s="687"/>
      <c r="V524" s="688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87</v>
      </c>
      <c r="Q525" s="687"/>
      <c r="R525" s="687"/>
      <c r="S525" s="687"/>
      <c r="T525" s="687"/>
      <c r="U525" s="687"/>
      <c r="V525" s="688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1031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87</v>
      </c>
      <c r="Q529" s="687"/>
      <c r="R529" s="687"/>
      <c r="S529" s="687"/>
      <c r="T529" s="687"/>
      <c r="U529" s="687"/>
      <c r="V529" s="688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87</v>
      </c>
      <c r="Q530" s="687"/>
      <c r="R530" s="687"/>
      <c r="S530" s="687"/>
      <c r="T530" s="687"/>
      <c r="U530" s="687"/>
      <c r="V530" s="688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828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828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97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1048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4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1052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764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89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748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87</v>
      </c>
      <c r="Q540" s="687"/>
      <c r="R540" s="687"/>
      <c r="S540" s="687"/>
      <c r="T540" s="687"/>
      <c r="U540" s="687"/>
      <c r="V540" s="688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87</v>
      </c>
      <c r="Q541" s="687"/>
      <c r="R541" s="687"/>
      <c r="S541" s="687"/>
      <c r="T541" s="687"/>
      <c r="U541" s="687"/>
      <c r="V541" s="688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66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842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789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974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87</v>
      </c>
      <c r="Q548" s="687"/>
      <c r="R548" s="687"/>
      <c r="S548" s="687"/>
      <c r="T548" s="687"/>
      <c r="U548" s="687"/>
      <c r="V548" s="688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87</v>
      </c>
      <c r="Q549" s="687"/>
      <c r="R549" s="687"/>
      <c r="S549" s="687"/>
      <c r="T549" s="687"/>
      <c r="U549" s="687"/>
      <c r="V549" s="688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6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713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5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1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960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7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964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87</v>
      </c>
      <c r="Q558" s="687"/>
      <c r="R558" s="687"/>
      <c r="S558" s="687"/>
      <c r="T558" s="687"/>
      <c r="U558" s="687"/>
      <c r="V558" s="688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87</v>
      </c>
      <c r="Q559" s="687"/>
      <c r="R559" s="687"/>
      <c r="S559" s="687"/>
      <c r="T559" s="687"/>
      <c r="U559" s="687"/>
      <c r="V559" s="688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3" t="s">
        <v>63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912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732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742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87</v>
      </c>
      <c r="Q566" s="687"/>
      <c r="R566" s="687"/>
      <c r="S566" s="687"/>
      <c r="T566" s="687"/>
      <c r="U566" s="687"/>
      <c r="V566" s="688"/>
      <c r="W566" s="37" t="s">
        <v>88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87</v>
      </c>
      <c r="Q567" s="687"/>
      <c r="R567" s="687"/>
      <c r="S567" s="687"/>
      <c r="T567" s="687"/>
      <c r="U567" s="687"/>
      <c r="V567" s="688"/>
      <c r="W567" s="37" t="s">
        <v>68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3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949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725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762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769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87</v>
      </c>
      <c r="Q573" s="687"/>
      <c r="R573" s="687"/>
      <c r="S573" s="687"/>
      <c r="T573" s="687"/>
      <c r="U573" s="687"/>
      <c r="V573" s="688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87</v>
      </c>
      <c r="Q574" s="687"/>
      <c r="R574" s="687"/>
      <c r="S574" s="687"/>
      <c r="T574" s="687"/>
      <c r="U574" s="687"/>
      <c r="V574" s="688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921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97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978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87</v>
      </c>
      <c r="Q578" s="687"/>
      <c r="R578" s="687"/>
      <c r="S578" s="687"/>
      <c r="T578" s="687"/>
      <c r="U578" s="687"/>
      <c r="V578" s="688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87</v>
      </c>
      <c r="Q579" s="687"/>
      <c r="R579" s="687"/>
      <c r="S579" s="687"/>
      <c r="T579" s="687"/>
      <c r="U579" s="687"/>
      <c r="V579" s="688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843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87</v>
      </c>
      <c r="Q582" s="687"/>
      <c r="R582" s="687"/>
      <c r="S582" s="687"/>
      <c r="T582" s="687"/>
      <c r="U582" s="687"/>
      <c r="V582" s="688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87</v>
      </c>
      <c r="Q583" s="687"/>
      <c r="R583" s="687"/>
      <c r="S583" s="687"/>
      <c r="T583" s="687"/>
      <c r="U583" s="687"/>
      <c r="V583" s="688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793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87</v>
      </c>
      <c r="Q586" s="687"/>
      <c r="R586" s="687"/>
      <c r="S586" s="687"/>
      <c r="T586" s="687"/>
      <c r="U586" s="687"/>
      <c r="V586" s="688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87</v>
      </c>
      <c r="Q587" s="687"/>
      <c r="R587" s="687"/>
      <c r="S587" s="687"/>
      <c r="T587" s="687"/>
      <c r="U587" s="687"/>
      <c r="V587" s="688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63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1025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87</v>
      </c>
      <c r="Q590" s="687"/>
      <c r="R590" s="687"/>
      <c r="S590" s="687"/>
      <c r="T590" s="687"/>
      <c r="U590" s="687"/>
      <c r="V590" s="688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87</v>
      </c>
      <c r="Q591" s="687"/>
      <c r="R591" s="687"/>
      <c r="S591" s="687"/>
      <c r="T591" s="687"/>
      <c r="U591" s="687"/>
      <c r="V591" s="688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938</v>
      </c>
      <c r="Q592" s="804"/>
      <c r="R592" s="804"/>
      <c r="S592" s="804"/>
      <c r="T592" s="804"/>
      <c r="U592" s="804"/>
      <c r="V592" s="805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4007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4077.7200000000003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939</v>
      </c>
      <c r="Q593" s="804"/>
      <c r="R593" s="804"/>
      <c r="S593" s="804"/>
      <c r="T593" s="804"/>
      <c r="U593" s="804"/>
      <c r="V593" s="805"/>
      <c r="W593" s="37" t="s">
        <v>68</v>
      </c>
      <c r="X593" s="667">
        <f>IFERROR(SUM(BM22:BM589),"0")</f>
        <v>4196.9786464646468</v>
      </c>
      <c r="Y593" s="667">
        <f>IFERROR(SUM(BN22:BN589),"0")</f>
        <v>4270.7999999999993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940</v>
      </c>
      <c r="Q594" s="804"/>
      <c r="R594" s="804"/>
      <c r="S594" s="804"/>
      <c r="T594" s="804"/>
      <c r="U594" s="804"/>
      <c r="V594" s="805"/>
      <c r="W594" s="37" t="s">
        <v>941</v>
      </c>
      <c r="X594" s="38">
        <f>ROUNDUP(SUM(BO22:BO589),0)</f>
        <v>7</v>
      </c>
      <c r="Y594" s="38">
        <f>ROUNDUP(SUM(BP22:BP589),0)</f>
        <v>7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942</v>
      </c>
      <c r="Q595" s="804"/>
      <c r="R595" s="804"/>
      <c r="S595" s="804"/>
      <c r="T595" s="804"/>
      <c r="U595" s="804"/>
      <c r="V595" s="805"/>
      <c r="W595" s="37" t="s">
        <v>68</v>
      </c>
      <c r="X595" s="667">
        <f>GrossWeightTotal+PalletQtyTotal*25</f>
        <v>4371.9786464646468</v>
      </c>
      <c r="Y595" s="667">
        <f>GrossWeightTotalR+PalletQtyTotalR*25</f>
        <v>4445.7999999999993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943</v>
      </c>
      <c r="Q596" s="804"/>
      <c r="R596" s="804"/>
      <c r="S596" s="804"/>
      <c r="T596" s="804"/>
      <c r="U596" s="804"/>
      <c r="V596" s="805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473.53821548821543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481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944</v>
      </c>
      <c r="Q597" s="804"/>
      <c r="R597" s="804"/>
      <c r="S597" s="804"/>
      <c r="T597" s="804"/>
      <c r="U597" s="804"/>
      <c r="V597" s="805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7.5004700000000009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5" t="s">
        <v>95</v>
      </c>
      <c r="D599" s="698"/>
      <c r="E599" s="698"/>
      <c r="F599" s="698"/>
      <c r="G599" s="698"/>
      <c r="H599" s="699"/>
      <c r="I599" s="675" t="s">
        <v>283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573</v>
      </c>
      <c r="X599" s="699"/>
      <c r="Y599" s="675" t="s">
        <v>651</v>
      </c>
      <c r="Z599" s="698"/>
      <c r="AA599" s="698"/>
      <c r="AB599" s="699"/>
      <c r="AC599" s="662" t="s">
        <v>726</v>
      </c>
      <c r="AD599" s="675" t="s">
        <v>828</v>
      </c>
      <c r="AE599" s="699"/>
      <c r="AF599" s="663"/>
    </row>
    <row r="600" spans="1:32" ht="14.25" customHeight="1" thickTop="1" x14ac:dyDescent="0.2">
      <c r="A600" s="987" t="s">
        <v>947</v>
      </c>
      <c r="B600" s="675" t="s">
        <v>62</v>
      </c>
      <c r="C600" s="675" t="s">
        <v>96</v>
      </c>
      <c r="D600" s="675" t="s">
        <v>115</v>
      </c>
      <c r="E600" s="675" t="s">
        <v>178</v>
      </c>
      <c r="F600" s="675" t="s">
        <v>209</v>
      </c>
      <c r="G600" s="675" t="s">
        <v>254</v>
      </c>
      <c r="H600" s="675" t="s">
        <v>95</v>
      </c>
      <c r="I600" s="675" t="s">
        <v>284</v>
      </c>
      <c r="J600" s="675" t="s">
        <v>318</v>
      </c>
      <c r="K600" s="675" t="s">
        <v>379</v>
      </c>
      <c r="L600" s="675" t="s">
        <v>414</v>
      </c>
      <c r="M600" s="675" t="s">
        <v>432</v>
      </c>
      <c r="N600" s="663"/>
      <c r="O600" s="675" t="s">
        <v>436</v>
      </c>
      <c r="P600" s="675" t="s">
        <v>445</v>
      </c>
      <c r="Q600" s="675" t="s">
        <v>459</v>
      </c>
      <c r="R600" s="675" t="s">
        <v>469</v>
      </c>
      <c r="S600" s="675" t="s">
        <v>473</v>
      </c>
      <c r="T600" s="675" t="s">
        <v>481</v>
      </c>
      <c r="U600" s="675" t="s">
        <v>486</v>
      </c>
      <c r="V600" s="675" t="s">
        <v>560</v>
      </c>
      <c r="W600" s="675" t="s">
        <v>574</v>
      </c>
      <c r="X600" s="675" t="s">
        <v>615</v>
      </c>
      <c r="Y600" s="675" t="s">
        <v>652</v>
      </c>
      <c r="Z600" s="675" t="s">
        <v>691</v>
      </c>
      <c r="AA600" s="675" t="s">
        <v>711</v>
      </c>
      <c r="AB600" s="675" t="s">
        <v>719</v>
      </c>
      <c r="AC600" s="675" t="s">
        <v>726</v>
      </c>
      <c r="AD600" s="675" t="s">
        <v>828</v>
      </c>
      <c r="AE600" s="675" t="s">
        <v>921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367.20000000000005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410.40000000000003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345.6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345.6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1215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1393.92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2025-04-21T07:44:10Z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