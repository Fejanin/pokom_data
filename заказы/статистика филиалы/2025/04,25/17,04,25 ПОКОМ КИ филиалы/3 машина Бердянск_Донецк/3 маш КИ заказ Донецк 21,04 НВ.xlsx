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8C7966B8-9BDD-4F8E-80A0-7A8C46A6BF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N474" i="1"/>
  <c r="BM474" i="1"/>
  <c r="Z474" i="1"/>
  <c r="Z475" i="1" s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Y172" i="1"/>
  <c r="X172" i="1"/>
  <c r="X171" i="1"/>
  <c r="BO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102" i="1" l="1"/>
  <c r="Z226" i="1"/>
  <c r="Z39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Z28" i="1" s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594" i="1" s="1"/>
  <c r="Z37" i="1"/>
  <c r="BN37" i="1"/>
  <c r="Y593" i="1" s="1"/>
  <c r="Y595" i="1" s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Z161" i="1" s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385" i="1" l="1"/>
  <c r="Z566" i="1"/>
  <c r="Z496" i="1"/>
  <c r="Z442" i="1"/>
  <c r="Y596" i="1"/>
  <c r="Z408" i="1"/>
  <c r="Z209" i="1"/>
  <c r="Z183" i="1"/>
  <c r="Y592" i="1"/>
  <c r="Z548" i="1"/>
  <c r="Z421" i="1"/>
  <c r="Z518" i="1"/>
  <c r="Z128" i="1"/>
  <c r="Z110" i="1"/>
  <c r="Z90" i="1"/>
  <c r="Z62" i="1"/>
  <c r="Z41" i="1"/>
  <c r="Z597" i="1" s="1"/>
  <c r="Z282" i="1"/>
  <c r="Z238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<sst xmlns="http://schemas.openxmlformats.org/spreadsheetml/2006/main" count="2725" uniqueCount="977">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</sst>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172</v>
      </c>
      <c r="Y37" s="666">
        <f>IFERROR(IF(X37="",0,CEILING((X37/$H37),1)*$H37),"")</f>
        <v>172.8</v>
      </c>
      <c r="Z37" s="36">
        <f>IFERROR(IF(Y37=0,"",ROUNDUP(Y37/H37,0)*0.01898),"")</f>
        <v>0.30368000000000001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178.92777777777775</v>
      </c>
      <c r="BN37" s="64">
        <f>IFERROR(Y37*I37/H37,"0")</f>
        <v>179.76</v>
      </c>
      <c r="BO37" s="64">
        <f>IFERROR(1/J37*(X37/H37),"0")</f>
        <v>0.24884259259259259</v>
      </c>
      <c r="BP37" s="64">
        <f>IFERROR(1/J37*(Y37/H37),"0")</f>
        <v>0.25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15.925925925925926</v>
      </c>
      <c r="Y41" s="667">
        <f>IFERROR(Y37/H37,"0")+IFERROR(Y38/H38,"0")+IFERROR(Y39/H39,"0")+IFERROR(Y40/H40,"0")</f>
        <v>16</v>
      </c>
      <c r="Z41" s="667">
        <f>IFERROR(IF(Z37="",0,Z37),"0")+IFERROR(IF(Z38="",0,Z38),"0")+IFERROR(IF(Z39="",0,Z39),"0")+IFERROR(IF(Z40="",0,Z40),"0")</f>
        <v>0.30368000000000001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172</v>
      </c>
      <c r="Y42" s="667">
        <f>IFERROR(SUM(Y37:Y40),"0")</f>
        <v>172.8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113</v>
      </c>
      <c r="Y50" s="666">
        <f t="shared" si="6"/>
        <v>118.80000000000001</v>
      </c>
      <c r="Z50" s="36">
        <f>IFERROR(IF(Y50=0,"",ROUNDUP(Y50/H50,0)*0.01898),"")</f>
        <v>0.20877999999999999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117.55138888888887</v>
      </c>
      <c r="BN50" s="64">
        <f t="shared" si="8"/>
        <v>123.58499999999999</v>
      </c>
      <c r="BO50" s="64">
        <f t="shared" si="9"/>
        <v>0.16348379629629628</v>
      </c>
      <c r="BP50" s="64">
        <f t="shared" si="10"/>
        <v>0.171875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40</v>
      </c>
      <c r="Y52" s="666">
        <f t="shared" si="6"/>
        <v>40</v>
      </c>
      <c r="Z52" s="36">
        <f>IFERROR(IF(Y52=0,"",ROUNDUP(Y52/H52,0)*0.00902),"")</f>
        <v>9.0200000000000002E-2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42.1</v>
      </c>
      <c r="BN52" s="64">
        <f t="shared" si="8"/>
        <v>42.1</v>
      </c>
      <c r="BO52" s="64">
        <f t="shared" si="9"/>
        <v>7.575757575757576E-2</v>
      </c>
      <c r="BP52" s="64">
        <f t="shared" si="10"/>
        <v>7.575757575757576E-2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20.462962962962962</v>
      </c>
      <c r="Y55" s="667">
        <f>IFERROR(Y49/H49,"0")+IFERROR(Y50/H50,"0")+IFERROR(Y51/H51,"0")+IFERROR(Y52/H52,"0")+IFERROR(Y53/H53,"0")+IFERROR(Y54/H54,"0")</f>
        <v>21</v>
      </c>
      <c r="Z55" s="667">
        <f>IFERROR(IF(Z49="",0,Z49),"0")+IFERROR(IF(Z50="",0,Z50),"0")+IFERROR(IF(Z51="",0,Z51),"0")+IFERROR(IF(Z52="",0,Z52),"0")+IFERROR(IF(Z53="",0,Z53),"0")+IFERROR(IF(Z54="",0,Z54),"0")</f>
        <v>0.29898000000000002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153</v>
      </c>
      <c r="Y56" s="667">
        <f>IFERROR(SUM(Y49:Y54),"0")</f>
        <v>158.80000000000001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68</v>
      </c>
      <c r="Y58" s="666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70.73888888888888</v>
      </c>
      <c r="BN58" s="64">
        <f>IFERROR(Y58*I58/H58,"0")</f>
        <v>78.64500000000001</v>
      </c>
      <c r="BO58" s="64">
        <f>IFERROR(1/J58*(X58/H58),"0")</f>
        <v>9.8379629629629622E-2</v>
      </c>
      <c r="BP58" s="64">
        <f>IFERROR(1/J58*(Y58/H58),"0")</f>
        <v>0.109375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6.2962962962962958</v>
      </c>
      <c r="Y62" s="667">
        <f>IFERROR(Y58/H58,"0")+IFERROR(Y59/H59,"0")+IFERROR(Y60/H60,"0")+IFERROR(Y61/H61,"0")</f>
        <v>7</v>
      </c>
      <c r="Z62" s="667">
        <f>IFERROR(IF(Z58="",0,Z58),"0")+IFERROR(IF(Z59="",0,Z59),"0")+IFERROR(IF(Z60="",0,Z60),"0")+IFERROR(IF(Z61="",0,Z61),"0")</f>
        <v>0.13286000000000001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68</v>
      </c>
      <c r="Y63" s="667">
        <f>IFERROR(SUM(Y58:Y61),"0")</f>
        <v>75.600000000000009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6</v>
      </c>
      <c r="Y67" s="666">
        <f>IFERROR(IF(X67="",0,CEILING((X67/$H67),1)*$H67),"")</f>
        <v>7.2</v>
      </c>
      <c r="Z67" s="36">
        <f>IFERROR(IF(Y67=0,"",ROUNDUP(Y67/H67,0)*0.00502),"")</f>
        <v>2.0080000000000001E-2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6.3333333333333321</v>
      </c>
      <c r="BN67" s="64">
        <f>IFERROR(Y67*I67/H67,"0")</f>
        <v>7.6</v>
      </c>
      <c r="BO67" s="64">
        <f>IFERROR(1/J67*(X67/H67),"0")</f>
        <v>1.4245014245014245E-2</v>
      </c>
      <c r="BP67" s="64">
        <f>IFERROR(1/J67*(Y67/H67),"0")</f>
        <v>1.7094017094017096E-2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3.333333333333333</v>
      </c>
      <c r="Y68" s="667">
        <f>IFERROR(Y65/H65,"0")+IFERROR(Y66/H66,"0")+IFERROR(Y67/H67,"0")</f>
        <v>4</v>
      </c>
      <c r="Z68" s="667">
        <f>IFERROR(IF(Z65="",0,Z65),"0")+IFERROR(IF(Z66="",0,Z66),"0")+IFERROR(IF(Z67="",0,Z67),"0")</f>
        <v>2.0080000000000001E-2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6</v>
      </c>
      <c r="Y69" s="667">
        <f>IFERROR(SUM(Y65:Y67),"0")</f>
        <v>7.2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32</v>
      </c>
      <c r="Y80" s="666">
        <f>IFERROR(IF(X80="",0,CEILING((X80/$H80),1)*$H80),"")</f>
        <v>33.6</v>
      </c>
      <c r="Z80" s="36">
        <f>IFERROR(IF(Y80=0,"",ROUNDUP(Y80/H80,0)*0.01898),"")</f>
        <v>7.5920000000000001E-2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33.977142857142859</v>
      </c>
      <c r="BN80" s="64">
        <f>IFERROR(Y80*I80/H80,"0")</f>
        <v>35.676000000000002</v>
      </c>
      <c r="BO80" s="64">
        <f>IFERROR(1/J80*(X80/H80),"0")</f>
        <v>5.9523809523809521E-2</v>
      </c>
      <c r="BP80" s="64">
        <f>IFERROR(1/J80*(Y80/H80),"0")</f>
        <v>6.25E-2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3.8095238095238093</v>
      </c>
      <c r="Y83" s="667">
        <f>IFERROR(Y80/H80,"0")+IFERROR(Y81/H81,"0")+IFERROR(Y82/H82,"0")</f>
        <v>4</v>
      </c>
      <c r="Z83" s="667">
        <f>IFERROR(IF(Z80="",0,Z80),"0")+IFERROR(IF(Z81="",0,Z81),"0")+IFERROR(IF(Z82="",0,Z82),"0")</f>
        <v>7.5920000000000001E-2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32</v>
      </c>
      <c r="Y84" s="667">
        <f>IFERROR(SUM(Y80:Y82),"0")</f>
        <v>33.6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393</v>
      </c>
      <c r="Y87" s="666">
        <f>IFERROR(IF(X87="",0,CEILING((X87/$H87),1)*$H87),"")</f>
        <v>399.6</v>
      </c>
      <c r="Z87" s="36">
        <f>IFERROR(IF(Y87=0,"",ROUNDUP(Y87/H87,0)*0.01898),"")</f>
        <v>0.70226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408.82916666666659</v>
      </c>
      <c r="BN87" s="64">
        <f>IFERROR(Y87*I87/H87,"0")</f>
        <v>415.69499999999999</v>
      </c>
      <c r="BO87" s="64">
        <f>IFERROR(1/J87*(X87/H87),"0")</f>
        <v>0.56857638888888884</v>
      </c>
      <c r="BP87" s="64">
        <f>IFERROR(1/J87*(Y87/H87),"0")</f>
        <v>0.578125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36.388888888888886</v>
      </c>
      <c r="Y90" s="667">
        <f>IFERROR(Y87/H87,"0")+IFERROR(Y88/H88,"0")+IFERROR(Y89/H89,"0")</f>
        <v>37</v>
      </c>
      <c r="Z90" s="667">
        <f>IFERROR(IF(Z87="",0,Z87),"0")+IFERROR(IF(Z88="",0,Z88),"0")+IFERROR(IF(Z89="",0,Z89),"0")</f>
        <v>0.70226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393</v>
      </c>
      <c r="Y91" s="667">
        <f>IFERROR(SUM(Y87:Y89),"0")</f>
        <v>399.6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129</v>
      </c>
      <c r="Y94" s="666">
        <f t="shared" si="16"/>
        <v>134.4</v>
      </c>
      <c r="Z94" s="36">
        <f>IFERROR(IF(Y94=0,"",ROUNDUP(Y94/H94,0)*0.01898),"")</f>
        <v>0.30368000000000001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136.97035714285715</v>
      </c>
      <c r="BN94" s="64">
        <f t="shared" si="18"/>
        <v>142.70400000000001</v>
      </c>
      <c r="BO94" s="64">
        <f t="shared" si="19"/>
        <v>0.23995535714285712</v>
      </c>
      <c r="BP94" s="64">
        <f t="shared" si="20"/>
        <v>0.25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279</v>
      </c>
      <c r="Y97" s="666">
        <f t="shared" si="16"/>
        <v>280.8</v>
      </c>
      <c r="Z97" s="36">
        <f>IFERROR(IF(Y97=0,"",ROUNDUP(Y97/H97,0)*0.00651),"")</f>
        <v>0.67703999999999998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305.03999999999996</v>
      </c>
      <c r="BN97" s="64">
        <f t="shared" si="18"/>
        <v>307.00799999999998</v>
      </c>
      <c r="BO97" s="64">
        <f t="shared" si="19"/>
        <v>0.56776556776556775</v>
      </c>
      <c r="BP97" s="64">
        <f t="shared" si="20"/>
        <v>0.57142857142857151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118.69047619047619</v>
      </c>
      <c r="Y102" s="667">
        <f>IFERROR(Y93/H93,"0")+IFERROR(Y94/H94,"0")+IFERROR(Y95/H95,"0")+IFERROR(Y96/H96,"0")+IFERROR(Y97/H97,"0")+IFERROR(Y98/H98,"0")+IFERROR(Y99/H99,"0")+IFERROR(Y100/H100,"0")+IFERROR(Y101/H101,"0")</f>
        <v>120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0.98072000000000004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408</v>
      </c>
      <c r="Y103" s="667">
        <f>IFERROR(SUM(Y93:Y101),"0")</f>
        <v>415.20000000000005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349</v>
      </c>
      <c r="Y106" s="666">
        <f>IFERROR(IF(X106="",0,CEILING((X106/$H106),1)*$H106),"")</f>
        <v>356.40000000000003</v>
      </c>
      <c r="Z106" s="36">
        <f>IFERROR(IF(Y106=0,"",ROUNDUP(Y106/H106,0)*0.01898),"")</f>
        <v>0.62634000000000001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363.05694444444441</v>
      </c>
      <c r="BN106" s="64">
        <f>IFERROR(Y106*I106/H106,"0")</f>
        <v>370.755</v>
      </c>
      <c r="BO106" s="64">
        <f>IFERROR(1/J106*(X106/H106),"0")</f>
        <v>0.5049189814814814</v>
      </c>
      <c r="BP106" s="64">
        <f>IFERROR(1/J106*(Y106/H106),"0")</f>
        <v>0.515625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32.31481481481481</v>
      </c>
      <c r="Y110" s="667">
        <f>IFERROR(Y106/H106,"0")+IFERROR(Y107/H107,"0")+IFERROR(Y108/H108,"0")+IFERROR(Y109/H109,"0")</f>
        <v>33</v>
      </c>
      <c r="Z110" s="667">
        <f>IFERROR(IF(Z106="",0,Z106),"0")+IFERROR(IF(Z107="",0,Z107),"0")+IFERROR(IF(Z108="",0,Z108),"0")+IFERROR(IF(Z109="",0,Z109),"0")</f>
        <v>0.62634000000000001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349</v>
      </c>
      <c r="Y111" s="667">
        <f>IFERROR(SUM(Y106:Y109),"0")</f>
        <v>356.40000000000003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12</v>
      </c>
      <c r="Y115" s="666">
        <f>IFERROR(IF(X115="",0,CEILING((X115/$H115),1)*$H115),"")</f>
        <v>12</v>
      </c>
      <c r="Z115" s="36">
        <f>IFERROR(IF(Y115=0,"",ROUNDUP(Y115/H115,0)*0.00651),"")</f>
        <v>3.2550000000000003E-2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12.9</v>
      </c>
      <c r="BN115" s="64">
        <f>IFERROR(Y115*I115/H115,"0")</f>
        <v>12.9</v>
      </c>
      <c r="BO115" s="64">
        <f>IFERROR(1/J115*(X115/H115),"0")</f>
        <v>2.7472527472527476E-2</v>
      </c>
      <c r="BP115" s="64">
        <f>IFERROR(1/J115*(Y115/H115),"0")</f>
        <v>2.7472527472527476E-2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5</v>
      </c>
      <c r="Y116" s="667">
        <f>IFERROR(Y113/H113,"0")+IFERROR(Y114/H114,"0")+IFERROR(Y115/H115,"0")</f>
        <v>5</v>
      </c>
      <c r="Z116" s="667">
        <f>IFERROR(IF(Z113="",0,Z113),"0")+IFERROR(IF(Z114="",0,Z114),"0")+IFERROR(IF(Z115="",0,Z115),"0")</f>
        <v>3.2550000000000003E-2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12</v>
      </c>
      <c r="Y117" s="667">
        <f>IFERROR(SUM(Y113:Y115),"0")</f>
        <v>12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351</v>
      </c>
      <c r="Y120" s="666">
        <f t="shared" si="21"/>
        <v>352.8</v>
      </c>
      <c r="Z120" s="36">
        <f>IFERROR(IF(Y120=0,"",ROUNDUP(Y120/H120,0)*0.01898),"")</f>
        <v>0.79715999999999998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372.43607142857144</v>
      </c>
      <c r="BN120" s="64">
        <f t="shared" si="23"/>
        <v>374.346</v>
      </c>
      <c r="BO120" s="64">
        <f t="shared" si="24"/>
        <v>0.6529017857142857</v>
      </c>
      <c r="BP120" s="64">
        <f t="shared" si="25"/>
        <v>0.65625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52</v>
      </c>
      <c r="Y125" s="666">
        <f t="shared" si="21"/>
        <v>54</v>
      </c>
      <c r="Z125" s="36">
        <f t="shared" si="26"/>
        <v>0.13020000000000001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56.853333333333325</v>
      </c>
      <c r="BN125" s="64">
        <f t="shared" si="23"/>
        <v>59.039999999999992</v>
      </c>
      <c r="BO125" s="64">
        <f t="shared" si="24"/>
        <v>0.10582010582010583</v>
      </c>
      <c r="BP125" s="64">
        <f t="shared" si="25"/>
        <v>0.1098901098901099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61.044973544973544</v>
      </c>
      <c r="Y128" s="667">
        <f>IFERROR(Y119/H119,"0")+IFERROR(Y120/H120,"0")+IFERROR(Y121/H121,"0")+IFERROR(Y122/H122,"0")+IFERROR(Y123/H123,"0")+IFERROR(Y124/H124,"0")+IFERROR(Y125/H125,"0")+IFERROR(Y126/H126,"0")+IFERROR(Y127/H127,"0")</f>
        <v>62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0.92735999999999996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403</v>
      </c>
      <c r="Y129" s="667">
        <f>IFERROR(SUM(Y119:Y127),"0")</f>
        <v>406.8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8</v>
      </c>
      <c r="Y170" s="666">
        <f>IFERROR(IF(X170="",0,CEILING((X170/$H170),1)*$H170),"")</f>
        <v>9.9</v>
      </c>
      <c r="Z170" s="36">
        <f>IFERROR(IF(Y170=0,"",ROUNDUP(Y170/H170,0)*0.00502),"")</f>
        <v>2.5100000000000001E-2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8.4040404040404049</v>
      </c>
      <c r="BN170" s="64">
        <f>IFERROR(Y170*I170/H170,"0")</f>
        <v>10.400000000000002</v>
      </c>
      <c r="BO170" s="64">
        <f>IFERROR(1/J170*(X170/H170),"0")</f>
        <v>1.7266683933350603E-2</v>
      </c>
      <c r="BP170" s="64">
        <f>IFERROR(1/J170*(Y170/H170),"0")</f>
        <v>2.1367521367521368E-2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4.0404040404040407</v>
      </c>
      <c r="Y171" s="667">
        <f>IFERROR(Y170/H170,"0")</f>
        <v>5</v>
      </c>
      <c r="Z171" s="667">
        <f>IFERROR(IF(Z170="",0,Z170),"0")</f>
        <v>2.5100000000000001E-2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8</v>
      </c>
      <c r="Y172" s="667">
        <f>IFERROR(SUM(Y170:Y170),"0")</f>
        <v>9.9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21</v>
      </c>
      <c r="Y174" s="666">
        <f t="shared" ref="Y174:Y182" si="27">IFERROR(IF(X174="",0,CEILING((X174/$H174),1)*$H174),"")</f>
        <v>21</v>
      </c>
      <c r="Z174" s="36">
        <f>IFERROR(IF(Y174=0,"",ROUNDUP(Y174/H174,0)*0.00902),"")</f>
        <v>4.5100000000000001E-2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22.349999999999998</v>
      </c>
      <c r="BN174" s="64">
        <f t="shared" ref="BN174:BN182" si="29">IFERROR(Y174*I174/H174,"0")</f>
        <v>22.349999999999998</v>
      </c>
      <c r="BO174" s="64">
        <f t="shared" ref="BO174:BO182" si="30">IFERROR(1/J174*(X174/H174),"0")</f>
        <v>3.787878787878788E-2</v>
      </c>
      <c r="BP174" s="64">
        <f t="shared" ref="BP174:BP182" si="31">IFERROR(1/J174*(Y174/H174),"0")</f>
        <v>3.787878787878788E-2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125</v>
      </c>
      <c r="Y177" s="666">
        <f t="shared" si="27"/>
        <v>126</v>
      </c>
      <c r="Z177" s="36">
        <f>IFERROR(IF(Y177=0,"",ROUNDUP(Y177/H177,0)*0.00502),"")</f>
        <v>0.30120000000000002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132.73809523809524</v>
      </c>
      <c r="BN177" s="64">
        <f t="shared" si="29"/>
        <v>133.80000000000001</v>
      </c>
      <c r="BO177" s="64">
        <f t="shared" si="30"/>
        <v>0.25437525437525438</v>
      </c>
      <c r="BP177" s="64">
        <f t="shared" si="31"/>
        <v>0.25641025641025644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64.523809523809518</v>
      </c>
      <c r="Y183" s="667">
        <f>IFERROR(Y174/H174,"0")+IFERROR(Y175/H175,"0")+IFERROR(Y176/H176,"0")+IFERROR(Y177/H177,"0")+IFERROR(Y178/H178,"0")+IFERROR(Y179/H179,"0")+IFERROR(Y180/H180,"0")+IFERROR(Y181/H181,"0")+IFERROR(Y182/H182,"0")</f>
        <v>65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0.34630000000000005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146</v>
      </c>
      <c r="Y184" s="667">
        <f>IFERROR(SUM(Y174:Y182),"0")</f>
        <v>147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109</v>
      </c>
      <c r="Y201" s="666">
        <f t="shared" ref="Y201:Y208" si="32">IFERROR(IF(X201="",0,CEILING((X201/$H201),1)*$H201),"")</f>
        <v>113.4</v>
      </c>
      <c r="Z201" s="36">
        <f>IFERROR(IF(Y201=0,"",ROUNDUP(Y201/H201,0)*0.00902),"")</f>
        <v>0.18942000000000001</v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113.23888888888888</v>
      </c>
      <c r="BN201" s="64">
        <f t="shared" ref="BN201:BN208" si="34">IFERROR(Y201*I201/H201,"0")</f>
        <v>117.81</v>
      </c>
      <c r="BO201" s="64">
        <f t="shared" ref="BO201:BO208" si="35">IFERROR(1/J201*(X201/H201),"0")</f>
        <v>0.15291806958473625</v>
      </c>
      <c r="BP201" s="64">
        <f t="shared" ref="BP201:BP208" si="36">IFERROR(1/J201*(Y201/H201),"0")</f>
        <v>0.15909090909090909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261</v>
      </c>
      <c r="Y202" s="666">
        <f t="shared" si="32"/>
        <v>264.60000000000002</v>
      </c>
      <c r="Z202" s="36">
        <f>IFERROR(IF(Y202=0,"",ROUNDUP(Y202/H202,0)*0.00902),"")</f>
        <v>0.44198000000000004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271.14999999999998</v>
      </c>
      <c r="BN202" s="64">
        <f t="shared" si="34"/>
        <v>274.89</v>
      </c>
      <c r="BO202" s="64">
        <f t="shared" si="35"/>
        <v>0.36616161616161613</v>
      </c>
      <c r="BP202" s="64">
        <f t="shared" si="36"/>
        <v>0.37121212121212122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44</v>
      </c>
      <c r="Y204" s="666">
        <f t="shared" si="32"/>
        <v>48.6</v>
      </c>
      <c r="Z204" s="36">
        <f>IFERROR(IF(Y204=0,"",ROUNDUP(Y204/H204,0)*0.00902),"")</f>
        <v>8.1180000000000002E-2</v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45.711111111111109</v>
      </c>
      <c r="BN204" s="64">
        <f t="shared" si="34"/>
        <v>50.49</v>
      </c>
      <c r="BO204" s="64">
        <f t="shared" si="35"/>
        <v>6.1728395061728392E-2</v>
      </c>
      <c r="BP204" s="64">
        <f t="shared" si="36"/>
        <v>6.8181818181818177E-2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23</v>
      </c>
      <c r="Y205" s="666">
        <f t="shared" si="32"/>
        <v>23.400000000000002</v>
      </c>
      <c r="Z205" s="36">
        <f>IFERROR(IF(Y205=0,"",ROUNDUP(Y205/H205,0)*0.00502),"")</f>
        <v>6.5259999999999999E-2</v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24.661111111111111</v>
      </c>
      <c r="BN205" s="64">
        <f t="shared" si="34"/>
        <v>25.090000000000003</v>
      </c>
      <c r="BO205" s="64">
        <f t="shared" si="35"/>
        <v>5.4605887939221276E-2</v>
      </c>
      <c r="BP205" s="64">
        <f t="shared" si="36"/>
        <v>5.5555555555555559E-2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22</v>
      </c>
      <c r="Y208" s="666">
        <f t="shared" si="32"/>
        <v>23.400000000000002</v>
      </c>
      <c r="Z208" s="36">
        <f>IFERROR(IF(Y208=0,"",ROUNDUP(Y208/H208,0)*0.00502),"")</f>
        <v>6.5259999999999999E-2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23.222222222222221</v>
      </c>
      <c r="BN208" s="64">
        <f t="shared" si="34"/>
        <v>24.7</v>
      </c>
      <c r="BO208" s="64">
        <f t="shared" si="35"/>
        <v>5.2231718898385564E-2</v>
      </c>
      <c r="BP208" s="64">
        <f t="shared" si="36"/>
        <v>5.5555555555555559E-2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101.66666666666666</v>
      </c>
      <c r="Y209" s="667">
        <f>IFERROR(Y201/H201,"0")+IFERROR(Y202/H202,"0")+IFERROR(Y203/H203,"0")+IFERROR(Y204/H204,"0")+IFERROR(Y205/H205,"0")+IFERROR(Y206/H206,"0")+IFERROR(Y207/H207,"0")+IFERROR(Y208/H208,"0")</f>
        <v>105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0.84310000000000007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459</v>
      </c>
      <c r="Y210" s="667">
        <f>IFERROR(SUM(Y201:Y208),"0")</f>
        <v>473.4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161</v>
      </c>
      <c r="Y215" s="666">
        <f t="shared" si="37"/>
        <v>163.19999999999999</v>
      </c>
      <c r="Z215" s="36">
        <f t="shared" ref="Z215:Z220" si="42">IFERROR(IF(Y215=0,"",ROUNDUP(Y215/H215,0)*0.00651),"")</f>
        <v>0.44268000000000002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179.11250000000001</v>
      </c>
      <c r="BN215" s="64">
        <f t="shared" si="39"/>
        <v>181.56</v>
      </c>
      <c r="BO215" s="64">
        <f t="shared" si="40"/>
        <v>0.36858974358974367</v>
      </c>
      <c r="BP215" s="64">
        <f t="shared" si="41"/>
        <v>0.37362637362637363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83</v>
      </c>
      <c r="Y217" s="666">
        <f t="shared" si="37"/>
        <v>84</v>
      </c>
      <c r="Z217" s="36">
        <f t="shared" si="42"/>
        <v>0.22785</v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91.715000000000003</v>
      </c>
      <c r="BN217" s="64">
        <f t="shared" si="39"/>
        <v>92.820000000000007</v>
      </c>
      <c r="BO217" s="64">
        <f t="shared" si="40"/>
        <v>0.19001831501831504</v>
      </c>
      <c r="BP217" s="64">
        <f t="shared" si="41"/>
        <v>0.19230769230769232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181</v>
      </c>
      <c r="Y218" s="666">
        <f t="shared" si="37"/>
        <v>182.4</v>
      </c>
      <c r="Z218" s="36">
        <f t="shared" si="42"/>
        <v>0.49476000000000003</v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200.005</v>
      </c>
      <c r="BN218" s="64">
        <f t="shared" si="39"/>
        <v>201.55200000000002</v>
      </c>
      <c r="BO218" s="64">
        <f t="shared" si="40"/>
        <v>0.41437728937728946</v>
      </c>
      <c r="BP218" s="64">
        <f t="shared" si="41"/>
        <v>0.4175824175824176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244</v>
      </c>
      <c r="Y220" s="666">
        <f t="shared" si="37"/>
        <v>244.79999999999998</v>
      </c>
      <c r="Z220" s="36">
        <f t="shared" si="42"/>
        <v>0.66402000000000005</v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270.23</v>
      </c>
      <c r="BN220" s="64">
        <f t="shared" si="39"/>
        <v>271.11599999999999</v>
      </c>
      <c r="BO220" s="64">
        <f t="shared" si="40"/>
        <v>0.55860805860805873</v>
      </c>
      <c r="BP220" s="64">
        <f t="shared" si="41"/>
        <v>0.56043956043956045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278.75000000000006</v>
      </c>
      <c r="Y221" s="667">
        <f>IFERROR(Y212/H212,"0")+IFERROR(Y213/H213,"0")+IFERROR(Y214/H214,"0")+IFERROR(Y215/H215,"0")+IFERROR(Y216/H216,"0")+IFERROR(Y217/H217,"0")+IFERROR(Y218/H218,"0")+IFERROR(Y219/H219,"0")+IFERROR(Y220/H220,"0")</f>
        <v>281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1.8293100000000002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669</v>
      </c>
      <c r="Y222" s="667">
        <f>IFERROR(SUM(Y212:Y220),"0")</f>
        <v>674.4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15</v>
      </c>
      <c r="Y224" s="666">
        <f>IFERROR(IF(X224="",0,CEILING((X224/$H224),1)*$H224),"")</f>
        <v>16.8</v>
      </c>
      <c r="Z224" s="36">
        <f>IFERROR(IF(Y224=0,"",ROUNDUP(Y224/H224,0)*0.00651),"")</f>
        <v>4.5569999999999999E-2</v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16.575000000000003</v>
      </c>
      <c r="BN224" s="64">
        <f>IFERROR(Y224*I224/H224,"0")</f>
        <v>18.564000000000004</v>
      </c>
      <c r="BO224" s="64">
        <f>IFERROR(1/J224*(X224/H224),"0")</f>
        <v>3.4340659340659344E-2</v>
      </c>
      <c r="BP224" s="64">
        <f>IFERROR(1/J224*(Y224/H224),"0")</f>
        <v>3.8461538461538471E-2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15</v>
      </c>
      <c r="Y225" s="666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16.575000000000003</v>
      </c>
      <c r="BN225" s="64">
        <f>IFERROR(Y225*I225/H225,"0")</f>
        <v>18.564000000000004</v>
      </c>
      <c r="BO225" s="64">
        <f>IFERROR(1/J225*(X225/H225),"0")</f>
        <v>3.4340659340659344E-2</v>
      </c>
      <c r="BP225" s="64">
        <f>IFERROR(1/J225*(Y225/H225),"0")</f>
        <v>3.8461538461538471E-2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12.5</v>
      </c>
      <c r="Y226" s="667">
        <f>IFERROR(Y224/H224,"0")+IFERROR(Y225/H225,"0")</f>
        <v>14.000000000000002</v>
      </c>
      <c r="Z226" s="667">
        <f>IFERROR(IF(Z224="",0,Z224),"0")+IFERROR(IF(Z225="",0,Z225),"0")</f>
        <v>9.1139999999999999E-2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30</v>
      </c>
      <c r="Y227" s="667">
        <f>IFERROR(SUM(Y224:Y225),"0")</f>
        <v>33.6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76</v>
      </c>
      <c r="Y279" s="666">
        <f>IFERROR(IF(X279="",0,CEILING((X279/$H279),1)*$H279),"")</f>
        <v>76.8</v>
      </c>
      <c r="Z279" s="36">
        <f>IFERROR(IF(Y279=0,"",ROUNDUP(Y279/H279,0)*0.00651),"")</f>
        <v>0.20832000000000001</v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83.980000000000018</v>
      </c>
      <c r="BN279" s="64">
        <f>IFERROR(Y279*I279/H279,"0")</f>
        <v>84.864000000000004</v>
      </c>
      <c r="BO279" s="64">
        <f>IFERROR(1/J279*(X279/H279),"0")</f>
        <v>0.17399267399267401</v>
      </c>
      <c r="BP279" s="64">
        <f>IFERROR(1/J279*(Y279/H279),"0")</f>
        <v>0.17582417582417584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140</v>
      </c>
      <c r="Y280" s="666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90</v>
      </c>
      <c r="Y282" s="667">
        <f>IFERROR(Y277/H277,"0")+IFERROR(Y278/H278,"0")+IFERROR(Y279/H279,"0")+IFERROR(Y280/H280,"0")+IFERROR(Y281/H281,"0")</f>
        <v>91</v>
      </c>
      <c r="Z282" s="667">
        <f>IFERROR(IF(Z277="",0,Z277),"0")+IFERROR(IF(Z278="",0,Z278),"0")+IFERROR(IF(Z279="",0,Z279),"0")+IFERROR(IF(Z280="",0,Z280),"0")+IFERROR(IF(Z281="",0,Z281),"0")</f>
        <v>0.59240999999999999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216</v>
      </c>
      <c r="Y283" s="667">
        <f>IFERROR(SUM(Y277:Y281),"0")</f>
        <v>218.39999999999998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378</v>
      </c>
      <c r="Y344" s="666">
        <f>IFERROR(IF(X344="",0,CEILING((X344/$H344),1)*$H344),"")</f>
        <v>382.2</v>
      </c>
      <c r="Z344" s="36">
        <f>IFERROR(IF(Y344=0,"",ROUNDUP(Y344/H344,0)*0.01898),"")</f>
        <v>0.93002000000000007</v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403.15153846153851</v>
      </c>
      <c r="BN344" s="64">
        <f>IFERROR(Y344*I344/H344,"0")</f>
        <v>407.63100000000009</v>
      </c>
      <c r="BO344" s="64">
        <f>IFERROR(1/J344*(X344/H344),"0")</f>
        <v>0.75721153846153844</v>
      </c>
      <c r="BP344" s="64">
        <f>IFERROR(1/J344*(Y344/H344),"0")</f>
        <v>0.765625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48.46153846153846</v>
      </c>
      <c r="Y346" s="667">
        <f>IFERROR(Y343/H343,"0")+IFERROR(Y344/H344,"0")+IFERROR(Y345/H345,"0")</f>
        <v>49</v>
      </c>
      <c r="Z346" s="667">
        <f>IFERROR(IF(Z343="",0,Z343),"0")+IFERROR(IF(Z344="",0,Z344),"0")+IFERROR(IF(Z345="",0,Z345),"0")</f>
        <v>0.93002000000000007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378</v>
      </c>
      <c r="Y347" s="667">
        <f>IFERROR(SUM(Y343:Y345),"0")</f>
        <v>382.2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3</v>
      </c>
      <c r="Y351" s="666">
        <f>IFERROR(IF(X351="",0,CEILING((X351/$H351),1)*$H351),"")</f>
        <v>5.0999999999999996</v>
      </c>
      <c r="Z351" s="36">
        <f>IFERROR(IF(Y351=0,"",ROUNDUP(Y351/H351,0)*0.00651),"")</f>
        <v>1.302E-2</v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3.4764705882352946</v>
      </c>
      <c r="BN351" s="64">
        <f>IFERROR(Y351*I351/H351,"0")</f>
        <v>5.91</v>
      </c>
      <c r="BO351" s="64">
        <f>IFERROR(1/J351*(X351/H351),"0")</f>
        <v>6.4641241111829352E-3</v>
      </c>
      <c r="BP351" s="64">
        <f>IFERROR(1/J351*(Y351/H351),"0")</f>
        <v>1.098901098901099E-2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35</v>
      </c>
      <c r="Y352" s="666">
        <f>IFERROR(IF(X352="",0,CEILING((X352/$H352),1)*$H352),"")</f>
        <v>35.699999999999996</v>
      </c>
      <c r="Z352" s="36">
        <f>IFERROR(IF(Y352=0,"",ROUNDUP(Y352/H352,0)*0.00651),"")</f>
        <v>9.1139999999999999E-2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39.529411764705884</v>
      </c>
      <c r="BN352" s="64">
        <f>IFERROR(Y352*I352/H352,"0")</f>
        <v>40.32</v>
      </c>
      <c r="BO352" s="64">
        <f>IFERROR(1/J352*(X352/H352),"0")</f>
        <v>7.5414781297134248E-2</v>
      </c>
      <c r="BP352" s="64">
        <f>IFERROR(1/J352*(Y352/H352),"0")</f>
        <v>7.6923076923076927E-2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14.901960784313726</v>
      </c>
      <c r="Y353" s="667">
        <f>IFERROR(Y349/H349,"0")+IFERROR(Y350/H350,"0")+IFERROR(Y351/H351,"0")+IFERROR(Y352/H352,"0")</f>
        <v>16</v>
      </c>
      <c r="Z353" s="667">
        <f>IFERROR(IF(Z349="",0,Z349),"0")+IFERROR(IF(Z350="",0,Z350),"0")+IFERROR(IF(Z351="",0,Z351),"0")+IFERROR(IF(Z352="",0,Z352),"0")</f>
        <v>0.10416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38</v>
      </c>
      <c r="Y354" s="667">
        <f>IFERROR(SUM(Y349:Y352),"0")</f>
        <v>40.799999999999997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1123</v>
      </c>
      <c r="Y375" s="666">
        <f t="shared" ref="Y375:Y384" si="58">IFERROR(IF(X375="",0,CEILING((X375/$H375),1)*$H375),"")</f>
        <v>1125</v>
      </c>
      <c r="Z375" s="36">
        <f>IFERROR(IF(Y375=0,"",ROUNDUP(Y375/H375,0)*0.02175),"")</f>
        <v>1.6312499999999999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1158.9360000000001</v>
      </c>
      <c r="BN375" s="64">
        <f t="shared" ref="BN375:BN384" si="60">IFERROR(Y375*I375/H375,"0")</f>
        <v>1161</v>
      </c>
      <c r="BO375" s="64">
        <f t="shared" ref="BO375:BO384" si="61">IFERROR(1/J375*(X375/H375),"0")</f>
        <v>1.559722222222222</v>
      </c>
      <c r="BP375" s="64">
        <f t="shared" ref="BP375:BP384" si="62">IFERROR(1/J375*(Y375/H375),"0")</f>
        <v>1.5625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604</v>
      </c>
      <c r="Y377" s="666">
        <f t="shared" si="58"/>
        <v>615</v>
      </c>
      <c r="Z377" s="36">
        <f>IFERROR(IF(Y377=0,"",ROUNDUP(Y377/H377,0)*0.02175),"")</f>
        <v>0.89174999999999993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623.32799999999997</v>
      </c>
      <c r="BN377" s="64">
        <f t="shared" si="60"/>
        <v>634.68000000000006</v>
      </c>
      <c r="BO377" s="64">
        <f t="shared" si="61"/>
        <v>0.8388888888888888</v>
      </c>
      <c r="BP377" s="64">
        <f t="shared" si="62"/>
        <v>0.85416666666666663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1088</v>
      </c>
      <c r="Y379" s="666">
        <f t="shared" si="58"/>
        <v>1095</v>
      </c>
      <c r="Z379" s="36">
        <f>IFERROR(IF(Y379=0,"",ROUNDUP(Y379/H379,0)*0.02175),"")</f>
        <v>1.58775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1122.816</v>
      </c>
      <c r="BN379" s="64">
        <f t="shared" si="60"/>
        <v>1130.0400000000002</v>
      </c>
      <c r="BO379" s="64">
        <f t="shared" si="61"/>
        <v>1.5111111111111111</v>
      </c>
      <c r="BP379" s="64">
        <f t="shared" si="62"/>
        <v>1.5208333333333333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794</v>
      </c>
      <c r="Y380" s="666">
        <f t="shared" si="58"/>
        <v>795</v>
      </c>
      <c r="Z380" s="36">
        <f>IFERROR(IF(Y380=0,"",ROUNDUP(Y380/H380,0)*0.02175),"")</f>
        <v>1.1527499999999999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819.40800000000002</v>
      </c>
      <c r="BN380" s="64">
        <f t="shared" si="60"/>
        <v>820.44</v>
      </c>
      <c r="BO380" s="64">
        <f t="shared" si="61"/>
        <v>1.1027777777777776</v>
      </c>
      <c r="BP380" s="64">
        <f t="shared" si="62"/>
        <v>1.1041666666666665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240.6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242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5.2634999999999996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3609</v>
      </c>
      <c r="Y386" s="667">
        <f>IFERROR(SUM(Y375:Y384),"0")</f>
        <v>3630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700</v>
      </c>
      <c r="Y388" s="666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46.666666666666664</v>
      </c>
      <c r="Y390" s="667">
        <f>IFERROR(Y388/H388,"0")+IFERROR(Y389/H389,"0")</f>
        <v>47</v>
      </c>
      <c r="Z390" s="667">
        <f>IFERROR(IF(Z388="",0,Z388),"0")+IFERROR(IF(Z389="",0,Z389),"0")</f>
        <v>1.0222499999999999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700</v>
      </c>
      <c r="Y391" s="667">
        <f>IFERROR(SUM(Y388:Y389),"0")</f>
        <v>705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1370</v>
      </c>
      <c r="Y416" s="666">
        <f>IFERROR(IF(X416="",0,CEILING((X416/$H416),1)*$H416),"")</f>
        <v>1377</v>
      </c>
      <c r="Z416" s="36">
        <f>IFERROR(IF(Y416=0,"",ROUNDUP(Y416/H416,0)*0.01898),"")</f>
        <v>2.90394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1449.0033333333333</v>
      </c>
      <c r="BN416" s="64">
        <f>IFERROR(Y416*I416/H416,"0")</f>
        <v>1456.4070000000002</v>
      </c>
      <c r="BO416" s="64">
        <f>IFERROR(1/J416*(X416/H416),"0")</f>
        <v>2.3784722222222223</v>
      </c>
      <c r="BP416" s="64">
        <f>IFERROR(1/J416*(Y416/H416),"0")</f>
        <v>2.390625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152.22222222222223</v>
      </c>
      <c r="Y421" s="667">
        <f>IFERROR(Y416/H416,"0")+IFERROR(Y417/H417,"0")+IFERROR(Y418/H418,"0")+IFERROR(Y419/H419,"0")+IFERROR(Y420/H420,"0")</f>
        <v>153</v>
      </c>
      <c r="Z421" s="667">
        <f>IFERROR(IF(Z416="",0,Z416),"0")+IFERROR(IF(Z417="",0,Z417),"0")+IFERROR(IF(Z418="",0,Z418),"0")+IFERROR(IF(Z419="",0,Z419),"0")+IFERROR(IF(Z420="",0,Z420),"0")</f>
        <v>2.90394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1370</v>
      </c>
      <c r="Y422" s="667">
        <f>IFERROR(SUM(Y416:Y420),"0")</f>
        <v>1377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95</v>
      </c>
      <c r="Y480" s="666">
        <f t="shared" ref="Y480:Y495" si="69">IFERROR(IF(X480="",0,CEILING((X480/$H480),1)*$H480),"")</f>
        <v>95.04</v>
      </c>
      <c r="Z480" s="36">
        <f t="shared" ref="Z480:Z485" si="70">IFERROR(IF(Y480=0,"",ROUNDUP(Y480/H480,0)*0.01196),"")</f>
        <v>0.21528</v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101.47727272727272</v>
      </c>
      <c r="BN480" s="64">
        <f t="shared" ref="BN480:BN495" si="72">IFERROR(Y480*I480/H480,"0")</f>
        <v>101.52000000000001</v>
      </c>
      <c r="BO480" s="64">
        <f t="shared" ref="BO480:BO495" si="73">IFERROR(1/J480*(X480/H480),"0")</f>
        <v>0.17300407925407926</v>
      </c>
      <c r="BP480" s="64">
        <f t="shared" ref="BP480:BP495" si="74">IFERROR(1/J480*(Y480/H480),"0")</f>
        <v>0.17307692307692307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1187</v>
      </c>
      <c r="Y482" s="666">
        <f t="shared" si="69"/>
        <v>1188</v>
      </c>
      <c r="Z482" s="36">
        <f t="shared" si="70"/>
        <v>2.6909999999999998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1267.931818181818</v>
      </c>
      <c r="BN482" s="64">
        <f t="shared" si="72"/>
        <v>1268.9999999999998</v>
      </c>
      <c r="BO482" s="64">
        <f t="shared" si="73"/>
        <v>2.1616404428904432</v>
      </c>
      <c r="BP482" s="64">
        <f t="shared" si="74"/>
        <v>2.1634615384615388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1107</v>
      </c>
      <c r="Y484" s="666">
        <f t="shared" si="69"/>
        <v>1108.8</v>
      </c>
      <c r="Z484" s="36">
        <f t="shared" si="70"/>
        <v>2.5116000000000001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1182.4772727272725</v>
      </c>
      <c r="BN484" s="64">
        <f t="shared" si="72"/>
        <v>1184.3999999999999</v>
      </c>
      <c r="BO484" s="64">
        <f t="shared" si="73"/>
        <v>2.0159527972027971</v>
      </c>
      <c r="BP484" s="64">
        <f t="shared" si="74"/>
        <v>2.0192307692307692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60</v>
      </c>
      <c r="Y487" s="666">
        <f t="shared" si="69"/>
        <v>61.2</v>
      </c>
      <c r="Z487" s="36">
        <f>IFERROR(IF(Y487=0,"",ROUNDUP(Y487/H487,0)*0.00902),"")</f>
        <v>0.15334</v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63.5</v>
      </c>
      <c r="BN487" s="64">
        <f t="shared" si="72"/>
        <v>64.77000000000001</v>
      </c>
      <c r="BO487" s="64">
        <f t="shared" si="73"/>
        <v>0.12626262626262627</v>
      </c>
      <c r="BP487" s="64">
        <f t="shared" si="74"/>
        <v>0.12878787878787878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469.12878787878793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470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5.5712200000000003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2449</v>
      </c>
      <c r="Y497" s="667">
        <f>IFERROR(SUM(Y480:Y495),"0")</f>
        <v>2453.04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752</v>
      </c>
      <c r="Y499" s="666">
        <f>IFERROR(IF(X499="",0,CEILING((X499/$H499),1)*$H499),"")</f>
        <v>755.04000000000008</v>
      </c>
      <c r="Z499" s="36">
        <f>IFERROR(IF(Y499=0,"",ROUNDUP(Y499/H499,0)*0.01196),"")</f>
        <v>1.71028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803.27272727272714</v>
      </c>
      <c r="BN499" s="64">
        <f>IFERROR(Y499*I499/H499,"0")</f>
        <v>806.5200000000001</v>
      </c>
      <c r="BO499" s="64">
        <f>IFERROR(1/J499*(X499/H499),"0")</f>
        <v>1.3694638694638694</v>
      </c>
      <c r="BP499" s="64">
        <f>IFERROR(1/J499*(Y499/H499),"0")</f>
        <v>1.375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142.42424242424241</v>
      </c>
      <c r="Y503" s="667">
        <f>IFERROR(Y499/H499,"0")+IFERROR(Y500/H500,"0")+IFERROR(Y501/H501,"0")+IFERROR(Y502/H502,"0")</f>
        <v>143</v>
      </c>
      <c r="Z503" s="667">
        <f>IFERROR(IF(Z499="",0,Z499),"0")+IFERROR(IF(Z500="",0,Z500),"0")+IFERROR(IF(Z501="",0,Z501),"0")+IFERROR(IF(Z502="",0,Z502),"0")</f>
        <v>1.71028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752</v>
      </c>
      <c r="Y504" s="667">
        <f>IFERROR(SUM(Y499:Y502),"0")</f>
        <v>755.04000000000008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610</v>
      </c>
      <c r="Y506" s="666">
        <f t="shared" ref="Y506:Y517" si="75">IFERROR(IF(X506="",0,CEILING((X506/$H506),1)*$H506),"")</f>
        <v>612.48</v>
      </c>
      <c r="Z506" s="36">
        <f>IFERROR(IF(Y506=0,"",ROUNDUP(Y506/H506,0)*0.01196),"")</f>
        <v>1.3873599999999999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651.59090909090901</v>
      </c>
      <c r="BN506" s="64">
        <f t="shared" ref="BN506:BN517" si="77">IFERROR(Y506*I506/H506,"0")</f>
        <v>654.24</v>
      </c>
      <c r="BO506" s="64">
        <f t="shared" ref="BO506:BO517" si="78">IFERROR(1/J506*(X506/H506),"0")</f>
        <v>1.1108682983682985</v>
      </c>
      <c r="BP506" s="64">
        <f t="shared" ref="BP506:BP517" si="79">IFERROR(1/J506*(Y506/H506),"0")</f>
        <v>1.1153846153846154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659</v>
      </c>
      <c r="Y507" s="666">
        <f t="shared" si="75"/>
        <v>660</v>
      </c>
      <c r="Z507" s="36">
        <f>IFERROR(IF(Y507=0,"",ROUNDUP(Y507/H507,0)*0.01196),"")</f>
        <v>1.4950000000000001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703.93181818181813</v>
      </c>
      <c r="BN507" s="64">
        <f t="shared" si="77"/>
        <v>704.99999999999989</v>
      </c>
      <c r="BO507" s="64">
        <f t="shared" si="78"/>
        <v>1.2001019813519813</v>
      </c>
      <c r="BP507" s="64">
        <f t="shared" si="79"/>
        <v>1.2019230769230771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936</v>
      </c>
      <c r="Y508" s="666">
        <f t="shared" si="75"/>
        <v>939.84</v>
      </c>
      <c r="Z508" s="36">
        <f>IFERROR(IF(Y508=0,"",ROUNDUP(Y508/H508,0)*0.01196),"")</f>
        <v>2.1288800000000001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999.81818181818176</v>
      </c>
      <c r="BN508" s="64">
        <f t="shared" si="77"/>
        <v>1003.9199999999998</v>
      </c>
      <c r="BO508" s="64">
        <f t="shared" si="78"/>
        <v>1.7045454545454544</v>
      </c>
      <c r="BP508" s="64">
        <f t="shared" si="79"/>
        <v>1.7115384615384617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417.61363636363632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419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5.0112400000000008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2205</v>
      </c>
      <c r="Y519" s="667">
        <f>IFERROR(SUM(Y506:Y517),"0")</f>
        <v>2212.3200000000002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15025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15150.100000000002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15871.931127885186</v>
      </c>
      <c r="Y593" s="667">
        <f>IFERROR(SUM(BN22:BN589),"0")</f>
        <v>16003.962000000001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26</v>
      </c>
      <c r="Y594" s="38">
        <f>ROUNDUP(SUM(BP22:BP589),0)</f>
        <v>26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16521.931127885186</v>
      </c>
      <c r="Y595" s="667">
        <f>GrossWeightTotalR+PalletQtyTotalR*25</f>
        <v>16653.962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2386.7671307994838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2409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30.344720000000002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172.8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275.20000000000005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814.8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775.2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156.9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1181.3999999999999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218.39999999999998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423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4335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1377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5420.4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