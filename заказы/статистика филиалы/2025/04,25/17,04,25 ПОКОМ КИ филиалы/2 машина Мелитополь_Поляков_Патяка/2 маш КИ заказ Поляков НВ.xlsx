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6820433F-D2CB-4CDE-A55A-69B81FD04C2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BO514" i="1"/>
  <c r="BM514" i="1"/>
  <c r="Y514" i="1"/>
  <c r="P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N474" i="1"/>
  <c r="BM474" i="1"/>
  <c r="Z474" i="1"/>
  <c r="Z475" i="1" s="1"/>
  <c r="Y474" i="1"/>
  <c r="P474" i="1"/>
  <c r="X472" i="1"/>
  <c r="Y471" i="1"/>
  <c r="X471" i="1"/>
  <c r="BP470" i="1"/>
  <c r="BO470" i="1"/>
  <c r="BN470" i="1"/>
  <c r="BM470" i="1"/>
  <c r="Z470" i="1"/>
  <c r="Z471" i="1" s="1"/>
  <c r="Y470" i="1"/>
  <c r="AB60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2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Y172" i="1"/>
  <c r="X172" i="1"/>
  <c r="X171" i="1"/>
  <c r="BO170" i="1"/>
  <c r="BM170" i="1"/>
  <c r="Z170" i="1"/>
  <c r="Z171" i="1" s="1"/>
  <c r="Y170" i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Y162" i="1" s="1"/>
  <c r="P157" i="1"/>
  <c r="X155" i="1"/>
  <c r="X154" i="1"/>
  <c r="BO153" i="1"/>
  <c r="BM153" i="1"/>
  <c r="Y153" i="1"/>
  <c r="H602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Y149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2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2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2" i="1" s="1"/>
  <c r="P37" i="1"/>
  <c r="X33" i="1"/>
  <c r="X32" i="1"/>
  <c r="BO31" i="1"/>
  <c r="BM31" i="1"/>
  <c r="Y31" i="1"/>
  <c r="Y32" i="1" s="1"/>
  <c r="P31" i="1"/>
  <c r="X29" i="1"/>
  <c r="X28" i="1"/>
  <c r="X596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3" i="1" s="1"/>
  <c r="Z22" i="1"/>
  <c r="Y22" i="1"/>
  <c r="P22" i="1"/>
  <c r="H10" i="1"/>
  <c r="F10" i="1"/>
  <c r="J9" i="1"/>
  <c r="F9" i="1"/>
  <c r="A9" i="1"/>
  <c r="A10" i="1" s="1"/>
  <c r="D7" i="1"/>
  <c r="Q6" i="1"/>
  <c r="P2" i="1"/>
  <c r="Z28" i="1" l="1"/>
  <c r="Z149" i="1"/>
  <c r="Z68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1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Y221" i="1"/>
  <c r="BP225" i="1"/>
  <c r="BN225" i="1"/>
  <c r="Z225" i="1"/>
  <c r="Z226" i="1" s="1"/>
  <c r="Y227" i="1"/>
  <c r="K602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P602" i="1"/>
  <c r="Y282" i="1"/>
  <c r="BP277" i="1"/>
  <c r="BN277" i="1"/>
  <c r="Z277" i="1"/>
  <c r="Z282" i="1" s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1" i="1"/>
  <c r="BP308" i="1"/>
  <c r="BN308" i="1"/>
  <c r="Z308" i="1"/>
  <c r="Z310" i="1" s="1"/>
  <c r="BP350" i="1"/>
  <c r="BN350" i="1"/>
  <c r="Z350" i="1"/>
  <c r="BP358" i="1"/>
  <c r="BN358" i="1"/>
  <c r="Z358" i="1"/>
  <c r="Y360" i="1"/>
  <c r="V602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2" i="1"/>
  <c r="H9" i="1"/>
  <c r="B602" i="1"/>
  <c r="X594" i="1"/>
  <c r="X595" i="1" s="1"/>
  <c r="Z23" i="1"/>
  <c r="BN23" i="1"/>
  <c r="Y593" i="1" s="1"/>
  <c r="Z24" i="1"/>
  <c r="BN24" i="1"/>
  <c r="Z25" i="1"/>
  <c r="BN25" i="1"/>
  <c r="Z27" i="1"/>
  <c r="BN27" i="1"/>
  <c r="Y28" i="1"/>
  <c r="X592" i="1"/>
  <c r="Z31" i="1"/>
  <c r="Z32" i="1" s="1"/>
  <c r="BN31" i="1"/>
  <c r="BP31" i="1"/>
  <c r="Z37" i="1"/>
  <c r="Z41" i="1" s="1"/>
  <c r="BN37" i="1"/>
  <c r="BP37" i="1"/>
  <c r="Y594" i="1" s="1"/>
  <c r="Z39" i="1"/>
  <c r="BN39" i="1"/>
  <c r="Y42" i="1"/>
  <c r="D602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BN66" i="1"/>
  <c r="Z72" i="1"/>
  <c r="Z77" i="1" s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2" i="1"/>
  <c r="Z138" i="1"/>
  <c r="Z139" i="1" s="1"/>
  <c r="BN138" i="1"/>
  <c r="Y139" i="1"/>
  <c r="Z142" i="1"/>
  <c r="Z144" i="1" s="1"/>
  <c r="BN142" i="1"/>
  <c r="BP142" i="1"/>
  <c r="Z148" i="1"/>
  <c r="BN148" i="1"/>
  <c r="Z153" i="1"/>
  <c r="Z154" i="1" s="1"/>
  <c r="BN153" i="1"/>
  <c r="BP153" i="1"/>
  <c r="Y154" i="1"/>
  <c r="Z157" i="1"/>
  <c r="BN157" i="1"/>
  <c r="BP157" i="1"/>
  <c r="Z159" i="1"/>
  <c r="BN159" i="1"/>
  <c r="Y171" i="1"/>
  <c r="BP170" i="1"/>
  <c r="BN170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2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Z221" i="1" s="1"/>
  <c r="BP219" i="1"/>
  <c r="BN219" i="1"/>
  <c r="Z219" i="1"/>
  <c r="Y226" i="1"/>
  <c r="BP232" i="1"/>
  <c r="BN232" i="1"/>
  <c r="Z232" i="1"/>
  <c r="BP236" i="1"/>
  <c r="BN236" i="1"/>
  <c r="Z236" i="1"/>
  <c r="Y243" i="1"/>
  <c r="Y247" i="1"/>
  <c r="BP246" i="1"/>
  <c r="BN246" i="1"/>
  <c r="Z246" i="1"/>
  <c r="Z247" i="1" s="1"/>
  <c r="Y248" i="1"/>
  <c r="BP256" i="1"/>
  <c r="BN256" i="1"/>
  <c r="Z256" i="1"/>
  <c r="Z261" i="1" s="1"/>
  <c r="BP260" i="1"/>
  <c r="BN260" i="1"/>
  <c r="Z260" i="1"/>
  <c r="Y262" i="1"/>
  <c r="M602" i="1"/>
  <c r="Y266" i="1"/>
  <c r="BP265" i="1"/>
  <c r="BN265" i="1"/>
  <c r="Z265" i="1"/>
  <c r="Z266" i="1" s="1"/>
  <c r="Y267" i="1"/>
  <c r="O602" i="1"/>
  <c r="Y273" i="1"/>
  <c r="BP270" i="1"/>
  <c r="BN270" i="1"/>
  <c r="Z270" i="1"/>
  <c r="Z273" i="1" s="1"/>
  <c r="BP279" i="1"/>
  <c r="BN279" i="1"/>
  <c r="Z279" i="1"/>
  <c r="Y310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2" i="1"/>
  <c r="Y442" i="1"/>
  <c r="BP430" i="1"/>
  <c r="BN430" i="1"/>
  <c r="Z430" i="1"/>
  <c r="Y443" i="1"/>
  <c r="BP432" i="1"/>
  <c r="BN432" i="1"/>
  <c r="Z432" i="1"/>
  <c r="BP434" i="1"/>
  <c r="BN434" i="1"/>
  <c r="Z434" i="1"/>
  <c r="BP439" i="1"/>
  <c r="BN439" i="1"/>
  <c r="Z439" i="1"/>
  <c r="BP452" i="1"/>
  <c r="BN452" i="1"/>
  <c r="Z452" i="1"/>
  <c r="Z453" i="1" s="1"/>
  <c r="Y454" i="1"/>
  <c r="Z460" i="1"/>
  <c r="BP457" i="1"/>
  <c r="BN457" i="1"/>
  <c r="Z457" i="1"/>
  <c r="Y460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L602" i="1"/>
  <c r="Y261" i="1"/>
  <c r="Y316" i="1"/>
  <c r="U602" i="1"/>
  <c r="Y325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6" i="1"/>
  <c r="BN436" i="1"/>
  <c r="Z436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467" i="1"/>
  <c r="Y472" i="1"/>
  <c r="Y475" i="1"/>
  <c r="BP474" i="1"/>
  <c r="Y476" i="1"/>
  <c r="AC602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BP515" i="1"/>
  <c r="BN515" i="1"/>
  <c r="Z515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Y595" i="1" l="1"/>
  <c r="Z518" i="1"/>
  <c r="Z238" i="1"/>
  <c r="Z566" i="1"/>
  <c r="Z524" i="1"/>
  <c r="Z529" i="1"/>
  <c r="Z496" i="1"/>
  <c r="Z385" i="1"/>
  <c r="Z359" i="1"/>
  <c r="Z353" i="1"/>
  <c r="Z442" i="1"/>
  <c r="Z332" i="1"/>
  <c r="Z161" i="1"/>
  <c r="Z83" i="1"/>
  <c r="Z597" i="1" s="1"/>
  <c r="Y596" i="1"/>
  <c r="Z408" i="1"/>
  <c r="Z370" i="1"/>
  <c r="Z209" i="1"/>
  <c r="Z183" i="1"/>
  <c r="Y592" i="1"/>
  <c r="Z548" i="1"/>
</calcChain>
</file>

<file path=xl/sharedStrings.xml><?xml version="1.0" encoding="utf-8"?>
<sst xmlns="http://schemas.openxmlformats.org/spreadsheetml/2006/main" count="2725" uniqueCount="977">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</sst>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4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45768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4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/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19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57"/>
      <c r="R10" s="858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1"/>
      <c r="R11" s="802"/>
      <c r="U11" s="24" t="s">
        <v>26</v>
      </c>
      <c r="V11" s="966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29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31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35</v>
      </c>
      <c r="B17" s="704" t="s">
        <v>36</v>
      </c>
      <c r="C17" s="821" t="s">
        <v>37</v>
      </c>
      <c r="D17" s="704" t="s">
        <v>38</v>
      </c>
      <c r="E17" s="777"/>
      <c r="F17" s="704" t="s">
        <v>39</v>
      </c>
      <c r="G17" s="704" t="s">
        <v>40</v>
      </c>
      <c r="H17" s="704" t="s">
        <v>41</v>
      </c>
      <c r="I17" s="704" t="s">
        <v>42</v>
      </c>
      <c r="J17" s="704" t="s">
        <v>43</v>
      </c>
      <c r="K17" s="704" t="s">
        <v>44</v>
      </c>
      <c r="L17" s="704" t="s">
        <v>45</v>
      </c>
      <c r="M17" s="704" t="s">
        <v>46</v>
      </c>
      <c r="N17" s="704" t="s">
        <v>47</v>
      </c>
      <c r="O17" s="704" t="s">
        <v>48</v>
      </c>
      <c r="P17" s="704" t="s">
        <v>49</v>
      </c>
      <c r="Q17" s="776"/>
      <c r="R17" s="776"/>
      <c r="S17" s="776"/>
      <c r="T17" s="777"/>
      <c r="U17" s="1040" t="s">
        <v>50</v>
      </c>
      <c r="V17" s="805"/>
      <c r="W17" s="704" t="s">
        <v>51</v>
      </c>
      <c r="X17" s="704" t="s">
        <v>52</v>
      </c>
      <c r="Y17" s="1041" t="s">
        <v>53</v>
      </c>
      <c r="Z17" s="941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9"/>
      <c r="AF17" s="1000"/>
      <c r="AG17" s="66"/>
      <c r="BD17" s="65" t="s">
        <v>59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60</v>
      </c>
      <c r="V18" s="67" t="s">
        <v>61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0</v>
      </c>
      <c r="Y37" s="666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0</v>
      </c>
      <c r="Y41" s="667">
        <f>IFERROR(Y37/H37,"0")+IFERROR(Y38/H38,"0")+IFERROR(Y39/H39,"0")+IFERROR(Y40/H40,"0")</f>
        <v>0</v>
      </c>
      <c r="Z41" s="667">
        <f>IFERROR(IF(Z37="",0,Z37),"0")+IFERROR(IF(Z38="",0,Z38),"0")+IFERROR(IF(Z39="",0,Z39),"0")+IFERROR(IF(Z40="",0,Z40),"0")</f>
        <v>0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0</v>
      </c>
      <c r="Y42" s="667">
        <f>IFERROR(SUM(Y37:Y40),"0")</f>
        <v>0</v>
      </c>
      <c r="Z42" s="37"/>
      <c r="AA42" s="668"/>
      <c r="AB42" s="668"/>
      <c r="AC42" s="668"/>
    </row>
    <row r="43" spans="1:68" ht="14.25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150</v>
      </c>
      <c r="Y50" s="666">
        <f t="shared" si="6"/>
        <v>151.20000000000002</v>
      </c>
      <c r="Z50" s="36">
        <f>IFERROR(IF(Y50=0,"",ROUNDUP(Y50/H50,0)*0.01898),"")</f>
        <v>0.26572000000000001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156.04166666666666</v>
      </c>
      <c r="BN50" s="64">
        <f t="shared" si="8"/>
        <v>157.29000000000002</v>
      </c>
      <c r="BO50" s="64">
        <f t="shared" si="9"/>
        <v>0.21701388888888887</v>
      </c>
      <c r="BP50" s="64">
        <f t="shared" si="10"/>
        <v>0.21875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22.5</v>
      </c>
      <c r="Y54" s="666">
        <f t="shared" si="6"/>
        <v>22.5</v>
      </c>
      <c r="Z54" s="36">
        <f>IFERROR(IF(Y54=0,"",ROUNDUP(Y54/H54,0)*0.00902),"")</f>
        <v>4.5100000000000001E-2</v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23.549999999999997</v>
      </c>
      <c r="BN54" s="64">
        <f t="shared" si="8"/>
        <v>23.549999999999997</v>
      </c>
      <c r="BO54" s="64">
        <f t="shared" si="9"/>
        <v>3.787878787878788E-2</v>
      </c>
      <c r="BP54" s="64">
        <f t="shared" si="10"/>
        <v>3.787878787878788E-2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18.888888888888886</v>
      </c>
      <c r="Y55" s="667">
        <f>IFERROR(Y49/H49,"0")+IFERROR(Y50/H50,"0")+IFERROR(Y51/H51,"0")+IFERROR(Y52/H52,"0")+IFERROR(Y53/H53,"0")+IFERROR(Y54/H54,"0")</f>
        <v>19</v>
      </c>
      <c r="Z55" s="667">
        <f>IFERROR(IF(Z49="",0,Z49),"0")+IFERROR(IF(Z50="",0,Z50),"0")+IFERROR(IF(Z51="",0,Z51),"0")+IFERROR(IF(Z52="",0,Z52),"0")+IFERROR(IF(Z53="",0,Z53),"0")+IFERROR(IF(Z54="",0,Z54),"0")</f>
        <v>0.31081999999999999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172.5</v>
      </c>
      <c r="Y56" s="667">
        <f>IFERROR(SUM(Y49:Y54),"0")</f>
        <v>173.70000000000002</v>
      </c>
      <c r="Z56" s="37"/>
      <c r="AA56" s="668"/>
      <c r="AB56" s="668"/>
      <c r="AC56" s="668"/>
    </row>
    <row r="57" spans="1:68" ht="14.25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150</v>
      </c>
      <c r="Y58" s="666">
        <f>IFERROR(IF(X58="",0,CEILING((X58/$H58),1)*$H58),"")</f>
        <v>151.20000000000002</v>
      </c>
      <c r="Z58" s="36">
        <f>IFERROR(IF(Y58=0,"",ROUNDUP(Y58/H58,0)*0.01898),"")</f>
        <v>0.26572000000000001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156.04166666666666</v>
      </c>
      <c r="BN58" s="64">
        <f>IFERROR(Y58*I58/H58,"0")</f>
        <v>157.29000000000002</v>
      </c>
      <c r="BO58" s="64">
        <f>IFERROR(1/J58*(X58/H58),"0")</f>
        <v>0.21701388888888887</v>
      </c>
      <c r="BP58" s="64">
        <f>IFERROR(1/J58*(Y58/H58),"0")</f>
        <v>0.21875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13.888888888888888</v>
      </c>
      <c r="Y62" s="667">
        <f>IFERROR(Y58/H58,"0")+IFERROR(Y59/H59,"0")+IFERROR(Y60/H60,"0")+IFERROR(Y61/H61,"0")</f>
        <v>14</v>
      </c>
      <c r="Z62" s="667">
        <f>IFERROR(IF(Z58="",0,Z58),"0")+IFERROR(IF(Z59="",0,Z59),"0")+IFERROR(IF(Z60="",0,Z60),"0")+IFERROR(IF(Z61="",0,Z61),"0")</f>
        <v>0.26572000000000001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150</v>
      </c>
      <c r="Y63" s="667">
        <f>IFERROR(SUM(Y58:Y61),"0")</f>
        <v>151.20000000000002</v>
      </c>
      <c r="Z63" s="37"/>
      <c r="AA63" s="668"/>
      <c r="AB63" s="668"/>
      <c r="AC63" s="668"/>
    </row>
    <row r="64" spans="1:68" ht="14.25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180</v>
      </c>
      <c r="Y73" s="666">
        <f t="shared" si="11"/>
        <v>184.8</v>
      </c>
      <c r="Z73" s="36">
        <f>IFERROR(IF(Y73=0,"",ROUNDUP(Y73/H73,0)*0.01898),"")</f>
        <v>0.41755999999999999</v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190.8642857142857</v>
      </c>
      <c r="BN73" s="64">
        <f t="shared" si="13"/>
        <v>195.95399999999998</v>
      </c>
      <c r="BO73" s="64">
        <f t="shared" si="14"/>
        <v>0.33482142857142855</v>
      </c>
      <c r="BP73" s="64">
        <f t="shared" si="15"/>
        <v>0.34375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21.428571428571427</v>
      </c>
      <c r="Y77" s="667">
        <f>IFERROR(Y71/H71,"0")+IFERROR(Y72/H72,"0")+IFERROR(Y73/H73,"0")+IFERROR(Y74/H74,"0")+IFERROR(Y75/H75,"0")+IFERROR(Y76/H76,"0")</f>
        <v>22</v>
      </c>
      <c r="Z77" s="667">
        <f>IFERROR(IF(Z71="",0,Z71),"0")+IFERROR(IF(Z72="",0,Z72),"0")+IFERROR(IF(Z73="",0,Z73),"0")+IFERROR(IF(Z74="",0,Z74),"0")+IFERROR(IF(Z75="",0,Z75),"0")+IFERROR(IF(Z76="",0,Z76),"0")</f>
        <v>0.41755999999999999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180</v>
      </c>
      <c r="Y78" s="667">
        <f>IFERROR(SUM(Y71:Y76),"0")</f>
        <v>184.8</v>
      </c>
      <c r="Z78" s="37"/>
      <c r="AA78" s="668"/>
      <c r="AB78" s="668"/>
      <c r="AC78" s="668"/>
    </row>
    <row r="79" spans="1:68" ht="14.25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0</v>
      </c>
      <c r="Y90" s="667">
        <f>IFERROR(Y87/H87,"0")+IFERROR(Y88/H88,"0")+IFERROR(Y89/H89,"0")</f>
        <v>0</v>
      </c>
      <c r="Z90" s="667">
        <f>IFERROR(IF(Z87="",0,Z87),"0")+IFERROR(IF(Z88="",0,Z88),"0")+IFERROR(IF(Z89="",0,Z89),"0")</f>
        <v>0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0</v>
      </c>
      <c r="Y91" s="667">
        <f>IFERROR(SUM(Y87:Y89),"0")</f>
        <v>0</v>
      </c>
      <c r="Z91" s="37"/>
      <c r="AA91" s="668"/>
      <c r="AB91" s="668"/>
      <c r="AC91" s="668"/>
    </row>
    <row r="92" spans="1:68" ht="14.25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3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2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4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6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2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7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0</v>
      </c>
      <c r="Y128" s="667">
        <f>IFERROR(Y119/H119,"0")+IFERROR(Y120/H120,"0")+IFERROR(Y121/H121,"0")+IFERROR(Y122/H122,"0")+IFERROR(Y123/H123,"0")+IFERROR(Y124/H124,"0")+IFERROR(Y125/H125,"0")+IFERROR(Y126/H126,"0")+IFERROR(Y127/H127,"0")</f>
        <v>0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0</v>
      </c>
      <c r="Y129" s="667">
        <f>IFERROR(SUM(Y119:Y127),"0")</f>
        <v>0</v>
      </c>
      <c r="Z129" s="37"/>
      <c r="AA129" s="668"/>
      <c r="AB129" s="668"/>
      <c r="AC129" s="668"/>
    </row>
    <row r="130" spans="1:68" ht="14.25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7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7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1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50</v>
      </c>
      <c r="Y343" s="666">
        <f>IFERROR(IF(X343="",0,CEILING((X343/$H343),1)*$H343),"")</f>
        <v>50.400000000000006</v>
      </c>
      <c r="Z343" s="36">
        <f>IFERROR(IF(Y343=0,"",ROUNDUP(Y343/H343,0)*0.01898),"")</f>
        <v>0.11388000000000001</v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53.089285714285715</v>
      </c>
      <c r="BN343" s="64">
        <f>IFERROR(Y343*I343/H343,"0")</f>
        <v>53.514000000000003</v>
      </c>
      <c r="BO343" s="64">
        <f>IFERROR(1/J343*(X343/H343),"0")</f>
        <v>9.3005952380952384E-2</v>
      </c>
      <c r="BP343" s="64">
        <f>IFERROR(1/J343*(Y343/H343),"0")</f>
        <v>9.375E-2</v>
      </c>
    </row>
    <row r="344" spans="1:68" ht="27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5.9523809523809526</v>
      </c>
      <c r="Y346" s="667">
        <f>IFERROR(Y343/H343,"0")+IFERROR(Y344/H344,"0")+IFERROR(Y345/H345,"0")</f>
        <v>6</v>
      </c>
      <c r="Z346" s="667">
        <f>IFERROR(IF(Z343="",0,Z343),"0")+IFERROR(IF(Z344="",0,Z344),"0")+IFERROR(IF(Z345="",0,Z345),"0")</f>
        <v>0.11388000000000001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50</v>
      </c>
      <c r="Y347" s="667">
        <f>IFERROR(SUM(Y343:Y345),"0")</f>
        <v>50.400000000000006</v>
      </c>
      <c r="Z347" s="37"/>
      <c r="AA347" s="668"/>
      <c r="AB347" s="668"/>
      <c r="AC347" s="668"/>
    </row>
    <row r="348" spans="1:68" ht="14.25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7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2000</v>
      </c>
      <c r="Y375" s="666">
        <f t="shared" ref="Y375:Y384" si="58">IFERROR(IF(X375="",0,CEILING((X375/$H375),1)*$H375),"")</f>
        <v>2010</v>
      </c>
      <c r="Z375" s="36">
        <f>IFERROR(IF(Y375=0,"",ROUNDUP(Y375/H375,0)*0.02175),"")</f>
        <v>2.9144999999999999</v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2064</v>
      </c>
      <c r="BN375" s="64">
        <f t="shared" ref="BN375:BN384" si="60">IFERROR(Y375*I375/H375,"0")</f>
        <v>2074.3200000000002</v>
      </c>
      <c r="BO375" s="64">
        <f t="shared" ref="BO375:BO384" si="61">IFERROR(1/J375*(X375/H375),"0")</f>
        <v>2.7777777777777777</v>
      </c>
      <c r="BP375" s="64">
        <f t="shared" ref="BP375:BP384" si="62">IFERROR(1/J375*(Y375/H375),"0")</f>
        <v>2.7916666666666665</v>
      </c>
    </row>
    <row r="376" spans="1:68" ht="27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1000</v>
      </c>
      <c r="Y377" s="666">
        <f t="shared" si="58"/>
        <v>1005</v>
      </c>
      <c r="Z377" s="36">
        <f>IFERROR(IF(Y377=0,"",ROUNDUP(Y377/H377,0)*0.02175),"")</f>
        <v>1.4572499999999999</v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1032</v>
      </c>
      <c r="BN377" s="64">
        <f t="shared" si="60"/>
        <v>1037.1600000000001</v>
      </c>
      <c r="BO377" s="64">
        <f t="shared" si="61"/>
        <v>1.3888888888888888</v>
      </c>
      <c r="BP377" s="64">
        <f t="shared" si="62"/>
        <v>1.3958333333333333</v>
      </c>
    </row>
    <row r="378" spans="1:68" ht="27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2500</v>
      </c>
      <c r="Y379" s="666">
        <f t="shared" si="58"/>
        <v>2505</v>
      </c>
      <c r="Z379" s="36">
        <f>IFERROR(IF(Y379=0,"",ROUNDUP(Y379/H379,0)*0.02175),"")</f>
        <v>3.6322499999999995</v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2580</v>
      </c>
      <c r="BN379" s="64">
        <f t="shared" si="60"/>
        <v>2585.1600000000003</v>
      </c>
      <c r="BO379" s="64">
        <f t="shared" si="61"/>
        <v>3.4722222222222219</v>
      </c>
      <c r="BP379" s="64">
        <f t="shared" si="62"/>
        <v>3.4791666666666665</v>
      </c>
    </row>
    <row r="380" spans="1:68" ht="27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366.66666666666663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368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8.0039999999999996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5500</v>
      </c>
      <c r="Y386" s="667">
        <f>IFERROR(SUM(Y375:Y384),"0")</f>
        <v>5520</v>
      </c>
      <c r="Z386" s="37"/>
      <c r="AA386" s="668"/>
      <c r="AB386" s="668"/>
      <c r="AC386" s="668"/>
    </row>
    <row r="387" spans="1:68" ht="14.25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3000</v>
      </c>
      <c r="Y388" s="666">
        <f>IFERROR(IF(X388="",0,CEILING((X388/$H388),1)*$H388),"")</f>
        <v>3000</v>
      </c>
      <c r="Z388" s="36">
        <f>IFERROR(IF(Y388=0,"",ROUNDUP(Y388/H388,0)*0.02175),"")</f>
        <v>4.3499999999999996</v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3096</v>
      </c>
      <c r="BN388" s="64">
        <f>IFERROR(Y388*I388/H388,"0")</f>
        <v>3096</v>
      </c>
      <c r="BO388" s="64">
        <f>IFERROR(1/J388*(X388/H388),"0")</f>
        <v>4.1666666666666661</v>
      </c>
      <c r="BP388" s="64">
        <f>IFERROR(1/J388*(Y388/H388),"0")</f>
        <v>4.1666666666666661</v>
      </c>
    </row>
    <row r="389" spans="1:68" ht="27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200</v>
      </c>
      <c r="Y390" s="667">
        <f>IFERROR(Y388/H388,"0")+IFERROR(Y389/H389,"0")</f>
        <v>200</v>
      </c>
      <c r="Z390" s="667">
        <f>IFERROR(IF(Z388="",0,Z388),"0")+IFERROR(IF(Z389="",0,Z389),"0")</f>
        <v>4.3499999999999996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3000</v>
      </c>
      <c r="Y391" s="667">
        <f>IFERROR(SUM(Y388:Y389),"0")</f>
        <v>3000</v>
      </c>
      <c r="Z391" s="37"/>
      <c r="AA391" s="668"/>
      <c r="AB391" s="668"/>
      <c r="AC391" s="668"/>
    </row>
    <row r="392" spans="1:68" ht="14.25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4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0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430</v>
      </c>
      <c r="Y398" s="666">
        <f>IFERROR(IF(X398="",0,CEILING((X398/$H398),1)*$H398),"")</f>
        <v>432</v>
      </c>
      <c r="Z398" s="36">
        <f>IFERROR(IF(Y398=0,"",ROUNDUP(Y398/H398,0)*0.01898),"")</f>
        <v>0.91104000000000007</v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454.79666666666668</v>
      </c>
      <c r="BN398" s="64">
        <f>IFERROR(Y398*I398/H398,"0")</f>
        <v>456.91199999999998</v>
      </c>
      <c r="BO398" s="64">
        <f>IFERROR(1/J398*(X398/H398),"0")</f>
        <v>0.74652777777777779</v>
      </c>
      <c r="BP398" s="64">
        <f>IFERROR(1/J398*(Y398/H398),"0")</f>
        <v>0.75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47.777777777777779</v>
      </c>
      <c r="Y399" s="667">
        <f>IFERROR(Y398/H398,"0")</f>
        <v>48</v>
      </c>
      <c r="Z399" s="667">
        <f>IFERROR(IF(Z398="",0,Z398),"0")</f>
        <v>0.91104000000000007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430</v>
      </c>
      <c r="Y400" s="667">
        <f>IFERROR(SUM(Y398:Y398),"0")</f>
        <v>432</v>
      </c>
      <c r="Z400" s="37"/>
      <c r="AA400" s="668"/>
      <c r="AB400" s="668"/>
      <c r="AC400" s="668"/>
    </row>
    <row r="401" spans="1:68" ht="16.5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100</v>
      </c>
      <c r="Y411" s="666">
        <f>IFERROR(IF(X411="",0,CEILING((X411/$H411),1)*$H411),"")</f>
        <v>100.74</v>
      </c>
      <c r="Z411" s="36">
        <f>IFERROR(IF(Y411=0,"",ROUNDUP(Y411/H411,0)*0.00902),"")</f>
        <v>0.20746000000000001</v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106.16438356164385</v>
      </c>
      <c r="BN411" s="64">
        <f>IFERROR(Y411*I411/H411,"0")</f>
        <v>106.95</v>
      </c>
      <c r="BO411" s="64">
        <f>IFERROR(1/J411*(X411/H411),"0")</f>
        <v>0.17296250172962502</v>
      </c>
      <c r="BP411" s="64">
        <f>IFERROR(1/J411*(Y411/H411),"0")</f>
        <v>0.17424242424242425</v>
      </c>
    </row>
    <row r="412" spans="1:68" ht="27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22.831050228310502</v>
      </c>
      <c r="Y413" s="667">
        <f>IFERROR(Y411/H411,"0")+IFERROR(Y412/H412,"0")</f>
        <v>23</v>
      </c>
      <c r="Z413" s="667">
        <f>IFERROR(IF(Z411="",0,Z411),"0")+IFERROR(IF(Z412="",0,Z412),"0")</f>
        <v>0.20746000000000001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100</v>
      </c>
      <c r="Y414" s="667">
        <f>IFERROR(SUM(Y411:Y412),"0")</f>
        <v>100.74</v>
      </c>
      <c r="Z414" s="37"/>
      <c r="AA414" s="668"/>
      <c r="AB414" s="668"/>
      <c r="AC414" s="668"/>
    </row>
    <row r="415" spans="1:68" ht="14.25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6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5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1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9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7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5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1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3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650</v>
      </c>
      <c r="Y484" s="666">
        <f t="shared" si="69"/>
        <v>654.72</v>
      </c>
      <c r="Z484" s="36">
        <f t="shared" si="70"/>
        <v>1.4830399999999999</v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694.31818181818176</v>
      </c>
      <c r="BN484" s="64">
        <f t="shared" si="72"/>
        <v>699.36</v>
      </c>
      <c r="BO484" s="64">
        <f t="shared" si="73"/>
        <v>1.1837121212121211</v>
      </c>
      <c r="BP484" s="64">
        <f t="shared" si="74"/>
        <v>1.1923076923076923</v>
      </c>
    </row>
    <row r="485" spans="1:68" ht="16.5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0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3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123.10606060606059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124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1.4830399999999999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650</v>
      </c>
      <c r="Y497" s="667">
        <f>IFERROR(SUM(Y480:Y495),"0")</f>
        <v>654.72</v>
      </c>
      <c r="Z497" s="37"/>
      <c r="AA497" s="668"/>
      <c r="AB497" s="668"/>
      <c r="AC497" s="668"/>
    </row>
    <row r="498" spans="1:68" ht="14.25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300</v>
      </c>
      <c r="Y499" s="666">
        <f>IFERROR(IF(X499="",0,CEILING((X499/$H499),1)*$H499),"")</f>
        <v>300.96000000000004</v>
      </c>
      <c r="Z499" s="36">
        <f>IFERROR(IF(Y499=0,"",ROUNDUP(Y499/H499,0)*0.01196),"")</f>
        <v>0.68171999999999999</v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320.45454545454544</v>
      </c>
      <c r="BN499" s="64">
        <f>IFERROR(Y499*I499/H499,"0")</f>
        <v>321.48</v>
      </c>
      <c r="BO499" s="64">
        <f>IFERROR(1/J499*(X499/H499),"0")</f>
        <v>0.54632867132867136</v>
      </c>
      <c r="BP499" s="64">
        <f>IFERROR(1/J499*(Y499/H499),"0")</f>
        <v>0.54807692307692313</v>
      </c>
    </row>
    <row r="500" spans="1:68" ht="16.5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46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5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56.818181818181813</v>
      </c>
      <c r="Y503" s="667">
        <f>IFERROR(Y499/H499,"0")+IFERROR(Y500/H500,"0")+IFERROR(Y501/H501,"0")+IFERROR(Y502/H502,"0")</f>
        <v>57.000000000000007</v>
      </c>
      <c r="Z503" s="667">
        <f>IFERROR(IF(Z499="",0,Z499),"0")+IFERROR(IF(Z500="",0,Z500),"0")+IFERROR(IF(Z501="",0,Z501),"0")+IFERROR(IF(Z502="",0,Z502),"0")</f>
        <v>0.68171999999999999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300</v>
      </c>
      <c r="Y504" s="667">
        <f>IFERROR(SUM(Y499:Y502),"0")</f>
        <v>300.96000000000004</v>
      </c>
      <c r="Z504" s="37"/>
      <c r="AA504" s="668"/>
      <c r="AB504" s="668"/>
      <c r="AC504" s="668"/>
    </row>
    <row r="505" spans="1:68" ht="14.25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8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200</v>
      </c>
      <c r="Y506" s="666">
        <f t="shared" ref="Y506:Y517" si="75">IFERROR(IF(X506="",0,CEILING((X506/$H506),1)*$H506),"")</f>
        <v>200.64000000000001</v>
      </c>
      <c r="Z506" s="36">
        <f>IFERROR(IF(Y506=0,"",ROUNDUP(Y506/H506,0)*0.01196),"")</f>
        <v>0.45448</v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213.63636363636363</v>
      </c>
      <c r="BN506" s="64">
        <f t="shared" ref="BN506:BN517" si="77">IFERROR(Y506*I506/H506,"0")</f>
        <v>214.32</v>
      </c>
      <c r="BO506" s="64">
        <f t="shared" ref="BO506:BO517" si="78">IFERROR(1/J506*(X506/H506),"0")</f>
        <v>0.36421911421911418</v>
      </c>
      <c r="BP506" s="64">
        <f t="shared" ref="BP506:BP517" si="79">IFERROR(1/J506*(Y506/H506),"0")</f>
        <v>0.36538461538461542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7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200</v>
      </c>
      <c r="Y507" s="666">
        <f t="shared" si="75"/>
        <v>200.64000000000001</v>
      </c>
      <c r="Z507" s="36">
        <f>IFERROR(IF(Y507=0,"",ROUNDUP(Y507/H507,0)*0.01196),"")</f>
        <v>0.45448</v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213.63636363636363</v>
      </c>
      <c r="BN507" s="64">
        <f t="shared" si="77"/>
        <v>214.32</v>
      </c>
      <c r="BO507" s="64">
        <f t="shared" si="78"/>
        <v>0.36421911421911418</v>
      </c>
      <c r="BP507" s="64">
        <f t="shared" si="79"/>
        <v>0.36538461538461542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5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300</v>
      </c>
      <c r="Y508" s="666">
        <f t="shared" si="75"/>
        <v>300.96000000000004</v>
      </c>
      <c r="Z508" s="36">
        <f>IFERROR(IF(Y508=0,"",ROUNDUP(Y508/H508,0)*0.01196),"")</f>
        <v>0.68171999999999999</v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320.45454545454544</v>
      </c>
      <c r="BN508" s="64">
        <f t="shared" si="77"/>
        <v>321.48</v>
      </c>
      <c r="BO508" s="64">
        <f t="shared" si="78"/>
        <v>0.54632867132867136</v>
      </c>
      <c r="BP508" s="64">
        <f t="shared" si="79"/>
        <v>0.54807692307692313</v>
      </c>
    </row>
    <row r="509" spans="1:68" ht="27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06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33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33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60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5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132.57575757575756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133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1.5906799999999999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700</v>
      </c>
      <c r="Y519" s="667">
        <f>IFERROR(SUM(Y506:Y517),"0")</f>
        <v>702.24</v>
      </c>
      <c r="Z519" s="37"/>
      <c r="AA519" s="668"/>
      <c r="AB519" s="668"/>
      <c r="AC519" s="668"/>
    </row>
    <row r="520" spans="1:68" ht="14.25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1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48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52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4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89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48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42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89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4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6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5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1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0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64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2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42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49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25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2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69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78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843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5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938</v>
      </c>
      <c r="Q592" s="804"/>
      <c r="R592" s="804"/>
      <c r="S592" s="804"/>
      <c r="T592" s="804"/>
      <c r="U592" s="804"/>
      <c r="V592" s="805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11232.5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11270.76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939</v>
      </c>
      <c r="Q593" s="804"/>
      <c r="R593" s="804"/>
      <c r="S593" s="804"/>
      <c r="T593" s="804"/>
      <c r="U593" s="804"/>
      <c r="V593" s="805"/>
      <c r="W593" s="37" t="s">
        <v>68</v>
      </c>
      <c r="X593" s="667">
        <f>IFERROR(SUM(BM22:BM589),"0")</f>
        <v>11675.047954990217</v>
      </c>
      <c r="Y593" s="667">
        <f>IFERROR(SUM(BN22:BN589),"0")</f>
        <v>11715.060000000001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940</v>
      </c>
      <c r="Q594" s="804"/>
      <c r="R594" s="804"/>
      <c r="S594" s="804"/>
      <c r="T594" s="804"/>
      <c r="U594" s="804"/>
      <c r="V594" s="805"/>
      <c r="W594" s="37" t="s">
        <v>941</v>
      </c>
      <c r="X594" s="38">
        <f>ROUNDUP(SUM(BO22:BO589),0)</f>
        <v>17</v>
      </c>
      <c r="Y594" s="38">
        <f>ROUNDUP(SUM(BP22:BP589),0)</f>
        <v>17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942</v>
      </c>
      <c r="Q595" s="804"/>
      <c r="R595" s="804"/>
      <c r="S595" s="804"/>
      <c r="T595" s="804"/>
      <c r="U595" s="804"/>
      <c r="V595" s="805"/>
      <c r="W595" s="37" t="s">
        <v>68</v>
      </c>
      <c r="X595" s="667">
        <f>GrossWeightTotal+PalletQtyTotal*25</f>
        <v>12100.047954990217</v>
      </c>
      <c r="Y595" s="667">
        <f>GrossWeightTotalR+PalletQtyTotalR*25</f>
        <v>12140.060000000001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943</v>
      </c>
      <c r="Q596" s="804"/>
      <c r="R596" s="804"/>
      <c r="S596" s="804"/>
      <c r="T596" s="804"/>
      <c r="U596" s="804"/>
      <c r="V596" s="805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1009.9342248314849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1014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944</v>
      </c>
      <c r="Q597" s="804"/>
      <c r="R597" s="804"/>
      <c r="S597" s="804"/>
      <c r="T597" s="804"/>
      <c r="U597" s="804"/>
      <c r="V597" s="805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18.335919999999994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698"/>
      <c r="E599" s="698"/>
      <c r="F599" s="698"/>
      <c r="G599" s="698"/>
      <c r="H599" s="699"/>
      <c r="I599" s="675" t="s">
        <v>283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573</v>
      </c>
      <c r="X599" s="699"/>
      <c r="Y599" s="675" t="s">
        <v>651</v>
      </c>
      <c r="Z599" s="698"/>
      <c r="AA599" s="698"/>
      <c r="AB599" s="699"/>
      <c r="AC599" s="662" t="s">
        <v>726</v>
      </c>
      <c r="AD599" s="675" t="s">
        <v>828</v>
      </c>
      <c r="AE599" s="699"/>
      <c r="AF599" s="663"/>
    </row>
    <row r="600" spans="1:32" ht="14.25" customHeight="1" thickTop="1" x14ac:dyDescent="0.2">
      <c r="A600" s="987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0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509.70000000000005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50.400000000000006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8952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100.74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1657.9200000000003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2025-04-18T07:27:00Z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