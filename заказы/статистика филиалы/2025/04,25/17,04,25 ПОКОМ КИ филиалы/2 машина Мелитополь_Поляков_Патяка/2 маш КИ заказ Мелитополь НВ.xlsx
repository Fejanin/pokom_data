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7,04,25 ПОКОМ КИ филиалы\2 машина Мелитополь_Поляков_Патяка\"/>
    </mc:Choice>
  </mc:AlternateContent>
  <xr:revisionPtr revIDLastSave="0" documentId="13_ncr:1_{181A5BA3-C55B-4FBA-9233-77F9F899453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P522" i="1"/>
  <c r="BO522" i="1"/>
  <c r="BN522" i="1"/>
  <c r="BM522" i="1"/>
  <c r="Z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BO514" i="1"/>
  <c r="BM514" i="1"/>
  <c r="Y514" i="1"/>
  <c r="P514" i="1"/>
  <c r="BP513" i="1"/>
  <c r="BO513" i="1"/>
  <c r="BN513" i="1"/>
  <c r="BM513" i="1"/>
  <c r="Z513" i="1"/>
  <c r="Y513" i="1"/>
  <c r="BP512" i="1"/>
  <c r="BO512" i="1"/>
  <c r="BN512" i="1"/>
  <c r="BM512" i="1"/>
  <c r="Z512" i="1"/>
  <c r="Y512" i="1"/>
  <c r="P512" i="1"/>
  <c r="BO511" i="1"/>
  <c r="BM511" i="1"/>
  <c r="Y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Y503" i="1"/>
  <c r="X503" i="1"/>
  <c r="BP502" i="1"/>
  <c r="BO502" i="1"/>
  <c r="BN502" i="1"/>
  <c r="BM502" i="1"/>
  <c r="Z502" i="1"/>
  <c r="Y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Z503" i="1" s="1"/>
  <c r="Y499" i="1"/>
  <c r="Y504" i="1" s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P493" i="1"/>
  <c r="BO493" i="1"/>
  <c r="BN493" i="1"/>
  <c r="BM493" i="1"/>
  <c r="Z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P488" i="1"/>
  <c r="BO488" i="1"/>
  <c r="BN488" i="1"/>
  <c r="BM488" i="1"/>
  <c r="Z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P483" i="1"/>
  <c r="BO483" i="1"/>
  <c r="BN483" i="1"/>
  <c r="BM483" i="1"/>
  <c r="Z483" i="1"/>
  <c r="Y483" i="1"/>
  <c r="P483" i="1"/>
  <c r="BO482" i="1"/>
  <c r="BM482" i="1"/>
  <c r="Y482" i="1"/>
  <c r="P482" i="1"/>
  <c r="BP481" i="1"/>
  <c r="BO481" i="1"/>
  <c r="BN481" i="1"/>
  <c r="BM481" i="1"/>
  <c r="Z481" i="1"/>
  <c r="Y481" i="1"/>
  <c r="P481" i="1"/>
  <c r="BO480" i="1"/>
  <c r="BM480" i="1"/>
  <c r="Y480" i="1"/>
  <c r="P480" i="1"/>
  <c r="X476" i="1"/>
  <c r="X475" i="1"/>
  <c r="BO474" i="1"/>
  <c r="BN474" i="1"/>
  <c r="BM474" i="1"/>
  <c r="Z474" i="1"/>
  <c r="Z475" i="1" s="1"/>
  <c r="Y474" i="1"/>
  <c r="P474" i="1"/>
  <c r="X472" i="1"/>
  <c r="Y471" i="1"/>
  <c r="X471" i="1"/>
  <c r="BP470" i="1"/>
  <c r="BO470" i="1"/>
  <c r="BN470" i="1"/>
  <c r="BM470" i="1"/>
  <c r="Z470" i="1"/>
  <c r="Z471" i="1" s="1"/>
  <c r="Y470" i="1"/>
  <c r="AB602" i="1" s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2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2" i="1" s="1"/>
  <c r="P314" i="1"/>
  <c r="X311" i="1"/>
  <c r="X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Y251" i="1"/>
  <c r="X251" i="1"/>
  <c r="BP250" i="1"/>
  <c r="BO250" i="1"/>
  <c r="BN250" i="1"/>
  <c r="BM250" i="1"/>
  <c r="Z250" i="1"/>
  <c r="Z251" i="1" s="1"/>
  <c r="Y250" i="1"/>
  <c r="Y252" i="1" s="1"/>
  <c r="X248" i="1"/>
  <c r="X247" i="1"/>
  <c r="BO246" i="1"/>
  <c r="BM246" i="1"/>
  <c r="Y246" i="1"/>
  <c r="X244" i="1"/>
  <c r="X243" i="1"/>
  <c r="BP242" i="1"/>
  <c r="BO242" i="1"/>
  <c r="BN242" i="1"/>
  <c r="BM242" i="1"/>
  <c r="Z242" i="1"/>
  <c r="Y242" i="1"/>
  <c r="P242" i="1"/>
  <c r="BO241" i="1"/>
  <c r="BM241" i="1"/>
  <c r="Y241" i="1"/>
  <c r="X239" i="1"/>
  <c r="X238" i="1"/>
  <c r="BP237" i="1"/>
  <c r="BO237" i="1"/>
  <c r="BN237" i="1"/>
  <c r="BM237" i="1"/>
  <c r="Z237" i="1"/>
  <c r="Y237" i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P224" i="1"/>
  <c r="BO224" i="1"/>
  <c r="BN224" i="1"/>
  <c r="BM224" i="1"/>
  <c r="Z224" i="1"/>
  <c r="Y224" i="1"/>
  <c r="P224" i="1"/>
  <c r="X222" i="1"/>
  <c r="X221" i="1"/>
  <c r="BP220" i="1"/>
  <c r="BO220" i="1"/>
  <c r="BN220" i="1"/>
  <c r="BM220" i="1"/>
  <c r="Z220" i="1"/>
  <c r="Y220" i="1"/>
  <c r="P220" i="1"/>
  <c r="BO219" i="1"/>
  <c r="BM219" i="1"/>
  <c r="Y219" i="1"/>
  <c r="P219" i="1"/>
  <c r="BP218" i="1"/>
  <c r="BO218" i="1"/>
  <c r="BN218" i="1"/>
  <c r="BM218" i="1"/>
  <c r="Z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X210" i="1"/>
  <c r="X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P204" i="1"/>
  <c r="BO204" i="1"/>
  <c r="BN204" i="1"/>
  <c r="BM204" i="1"/>
  <c r="Z204" i="1"/>
  <c r="Y204" i="1"/>
  <c r="P204" i="1"/>
  <c r="BO203" i="1"/>
  <c r="BM203" i="1"/>
  <c r="Y203" i="1"/>
  <c r="P203" i="1"/>
  <c r="BP202" i="1"/>
  <c r="BO202" i="1"/>
  <c r="BN202" i="1"/>
  <c r="BM202" i="1"/>
  <c r="Z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P196" i="1"/>
  <c r="BO196" i="1"/>
  <c r="BN196" i="1"/>
  <c r="BM196" i="1"/>
  <c r="Z196" i="1"/>
  <c r="Y196" i="1"/>
  <c r="P196" i="1"/>
  <c r="X194" i="1"/>
  <c r="Y193" i="1"/>
  <c r="X193" i="1"/>
  <c r="BP192" i="1"/>
  <c r="BO192" i="1"/>
  <c r="BN192" i="1"/>
  <c r="BM192" i="1"/>
  <c r="Z192" i="1"/>
  <c r="Y192" i="1"/>
  <c r="P192" i="1"/>
  <c r="BO191" i="1"/>
  <c r="BM191" i="1"/>
  <c r="Y191" i="1"/>
  <c r="P191" i="1"/>
  <c r="X188" i="1"/>
  <c r="X187" i="1"/>
  <c r="BO186" i="1"/>
  <c r="BM186" i="1"/>
  <c r="Y186" i="1"/>
  <c r="X184" i="1"/>
  <c r="X183" i="1"/>
  <c r="BP182" i="1"/>
  <c r="BO182" i="1"/>
  <c r="BN182" i="1"/>
  <c r="BM182" i="1"/>
  <c r="Z182" i="1"/>
  <c r="Y182" i="1"/>
  <c r="P182" i="1"/>
  <c r="BO181" i="1"/>
  <c r="BM181" i="1"/>
  <c r="Y181" i="1"/>
  <c r="P181" i="1"/>
  <c r="BP180" i="1"/>
  <c r="BO180" i="1"/>
  <c r="BN180" i="1"/>
  <c r="BM180" i="1"/>
  <c r="Z180" i="1"/>
  <c r="Y180" i="1"/>
  <c r="P180" i="1"/>
  <c r="BO179" i="1"/>
  <c r="BM179" i="1"/>
  <c r="Y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Y172" i="1"/>
  <c r="X172" i="1"/>
  <c r="X171" i="1"/>
  <c r="BO170" i="1"/>
  <c r="BM170" i="1"/>
  <c r="Z170" i="1"/>
  <c r="Z171" i="1" s="1"/>
  <c r="Y170" i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BP159" i="1" s="1"/>
  <c r="P159" i="1"/>
  <c r="BP158" i="1"/>
  <c r="BO158" i="1"/>
  <c r="BN158" i="1"/>
  <c r="BM158" i="1"/>
  <c r="Z158" i="1"/>
  <c r="Y158" i="1"/>
  <c r="P158" i="1"/>
  <c r="BO157" i="1"/>
  <c r="BM157" i="1"/>
  <c r="Y157" i="1"/>
  <c r="Y162" i="1" s="1"/>
  <c r="P157" i="1"/>
  <c r="X155" i="1"/>
  <c r="X154" i="1"/>
  <c r="BO153" i="1"/>
  <c r="BM153" i="1"/>
  <c r="Y153" i="1"/>
  <c r="H602" i="1" s="1"/>
  <c r="P153" i="1"/>
  <c r="X150" i="1"/>
  <c r="X149" i="1"/>
  <c r="BO148" i="1"/>
  <c r="BM148" i="1"/>
  <c r="Y148" i="1"/>
  <c r="BP148" i="1" s="1"/>
  <c r="P148" i="1"/>
  <c r="BP147" i="1"/>
  <c r="BO147" i="1"/>
  <c r="BN147" i="1"/>
  <c r="BM147" i="1"/>
  <c r="Z147" i="1"/>
  <c r="Y147" i="1"/>
  <c r="Y149" i="1" s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2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2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2" i="1" s="1"/>
  <c r="P37" i="1"/>
  <c r="X33" i="1"/>
  <c r="X32" i="1"/>
  <c r="BO31" i="1"/>
  <c r="BM31" i="1"/>
  <c r="Y31" i="1"/>
  <c r="Y32" i="1" s="1"/>
  <c r="P31" i="1"/>
  <c r="X29" i="1"/>
  <c r="X28" i="1"/>
  <c r="X596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3" i="1" s="1"/>
  <c r="Z22" i="1"/>
  <c r="Y22" i="1"/>
  <c r="P22" i="1"/>
  <c r="H10" i="1"/>
  <c r="F10" i="1"/>
  <c r="J9" i="1"/>
  <c r="F9" i="1"/>
  <c r="A9" i="1"/>
  <c r="A10" i="1" s="1"/>
  <c r="D7" i="1"/>
  <c r="Q6" i="1"/>
  <c r="P2" i="1"/>
  <c r="Z102" i="1" l="1"/>
  <c r="Z226" i="1"/>
  <c r="Z39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Y150" i="1"/>
  <c r="Y155" i="1"/>
  <c r="Y161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Z221" i="1" s="1"/>
  <c r="BP217" i="1"/>
  <c r="BN217" i="1"/>
  <c r="Z217" i="1"/>
  <c r="Y221" i="1"/>
  <c r="BP225" i="1"/>
  <c r="BN225" i="1"/>
  <c r="Z225" i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1" i="1"/>
  <c r="BP308" i="1"/>
  <c r="BN308" i="1"/>
  <c r="Z308" i="1"/>
  <c r="Z310" i="1" s="1"/>
  <c r="BP350" i="1"/>
  <c r="BN350" i="1"/>
  <c r="Z350" i="1"/>
  <c r="BP358" i="1"/>
  <c r="BN358" i="1"/>
  <c r="Z358" i="1"/>
  <c r="Y360" i="1"/>
  <c r="V602" i="1"/>
  <c r="Y364" i="1"/>
  <c r="BP363" i="1"/>
  <c r="BN363" i="1"/>
  <c r="Z363" i="1"/>
  <c r="Z364" i="1" s="1"/>
  <c r="Y365" i="1"/>
  <c r="Y370" i="1"/>
  <c r="BP367" i="1"/>
  <c r="BN367" i="1"/>
  <c r="Z367" i="1"/>
  <c r="Z370" i="1" s="1"/>
  <c r="Y371" i="1"/>
  <c r="BP377" i="1"/>
  <c r="BN377" i="1"/>
  <c r="Z377" i="1"/>
  <c r="BP381" i="1"/>
  <c r="BN381" i="1"/>
  <c r="Z381" i="1"/>
  <c r="Y385" i="1"/>
  <c r="BP389" i="1"/>
  <c r="BN389" i="1"/>
  <c r="Z389" i="1"/>
  <c r="Y391" i="1"/>
  <c r="Y399" i="1"/>
  <c r="BP398" i="1"/>
  <c r="BN398" i="1"/>
  <c r="Z398" i="1"/>
  <c r="Z399" i="1" s="1"/>
  <c r="Y400" i="1"/>
  <c r="X602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2" i="1"/>
  <c r="H9" i="1"/>
  <c r="B602" i="1"/>
  <c r="X594" i="1"/>
  <c r="X595" i="1" s="1"/>
  <c r="Z23" i="1"/>
  <c r="Z28" i="1" s="1"/>
  <c r="BN23" i="1"/>
  <c r="Z24" i="1"/>
  <c r="BN24" i="1"/>
  <c r="Z25" i="1"/>
  <c r="BN25" i="1"/>
  <c r="Z27" i="1"/>
  <c r="BN27" i="1"/>
  <c r="Y28" i="1"/>
  <c r="X592" i="1"/>
  <c r="Z31" i="1"/>
  <c r="Z32" i="1" s="1"/>
  <c r="BN31" i="1"/>
  <c r="BP31" i="1"/>
  <c r="Y594" i="1" s="1"/>
  <c r="Z37" i="1"/>
  <c r="BN37" i="1"/>
  <c r="Y593" i="1" s="1"/>
  <c r="Y595" i="1" s="1"/>
  <c r="BP37" i="1"/>
  <c r="Z39" i="1"/>
  <c r="BN39" i="1"/>
  <c r="Y42" i="1"/>
  <c r="D602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4" i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2" i="1"/>
  <c r="Z138" i="1"/>
  <c r="Z139" i="1" s="1"/>
  <c r="BN138" i="1"/>
  <c r="Y139" i="1"/>
  <c r="Z142" i="1"/>
  <c r="Z144" i="1" s="1"/>
  <c r="BN142" i="1"/>
  <c r="BP142" i="1"/>
  <c r="Z148" i="1"/>
  <c r="Z149" i="1" s="1"/>
  <c r="BN148" i="1"/>
  <c r="Z153" i="1"/>
  <c r="Z154" i="1" s="1"/>
  <c r="BN153" i="1"/>
  <c r="BP153" i="1"/>
  <c r="Y154" i="1"/>
  <c r="Z157" i="1"/>
  <c r="Z161" i="1" s="1"/>
  <c r="BN157" i="1"/>
  <c r="BP157" i="1"/>
  <c r="Z159" i="1"/>
  <c r="BN159" i="1"/>
  <c r="Y171" i="1"/>
  <c r="BP170" i="1"/>
  <c r="BN170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Z193" i="1" s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Z261" i="1" s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0" i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Z332" i="1" s="1"/>
  <c r="Y332" i="1"/>
  <c r="Z340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2" i="1"/>
  <c r="Y442" i="1"/>
  <c r="BP430" i="1"/>
  <c r="BN430" i="1"/>
  <c r="Z430" i="1"/>
  <c r="Y443" i="1"/>
  <c r="BP432" i="1"/>
  <c r="BN432" i="1"/>
  <c r="Z432" i="1"/>
  <c r="BP434" i="1"/>
  <c r="BN434" i="1"/>
  <c r="Z434" i="1"/>
  <c r="BP439" i="1"/>
  <c r="BN439" i="1"/>
  <c r="Z439" i="1"/>
  <c r="BP452" i="1"/>
  <c r="BN452" i="1"/>
  <c r="Z452" i="1"/>
  <c r="Z453" i="1" s="1"/>
  <c r="Y454" i="1"/>
  <c r="BP457" i="1"/>
  <c r="BN457" i="1"/>
  <c r="Z457" i="1"/>
  <c r="Z460" i="1" s="1"/>
  <c r="Y460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17" i="1"/>
  <c r="BN517" i="1"/>
  <c r="Z517" i="1"/>
  <c r="Z602" i="1"/>
  <c r="L602" i="1"/>
  <c r="Y261" i="1"/>
  <c r="Y316" i="1"/>
  <c r="U602" i="1"/>
  <c r="Y325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2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BP431" i="1"/>
  <c r="BN431" i="1"/>
  <c r="Z431" i="1"/>
  <c r="BP433" i="1"/>
  <c r="BN433" i="1"/>
  <c r="Z433" i="1"/>
  <c r="BP436" i="1"/>
  <c r="BN436" i="1"/>
  <c r="Z436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467" i="1"/>
  <c r="Y472" i="1"/>
  <c r="Y475" i="1"/>
  <c r="BP474" i="1"/>
  <c r="Y476" i="1"/>
  <c r="AC602" i="1"/>
  <c r="Y497" i="1"/>
  <c r="BP480" i="1"/>
  <c r="BN480" i="1"/>
  <c r="Z480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BP507" i="1"/>
  <c r="BN507" i="1"/>
  <c r="Z507" i="1"/>
  <c r="BP509" i="1"/>
  <c r="BN509" i="1"/>
  <c r="Z509" i="1"/>
  <c r="BP511" i="1"/>
  <c r="BN511" i="1"/>
  <c r="Z511" i="1"/>
  <c r="BP515" i="1"/>
  <c r="BN515" i="1"/>
  <c r="Z515" i="1"/>
  <c r="BP523" i="1"/>
  <c r="BN523" i="1"/>
  <c r="Z523" i="1"/>
  <c r="Y525" i="1"/>
  <c r="Y529" i="1"/>
  <c r="BP527" i="1"/>
  <c r="BN527" i="1"/>
  <c r="Z527" i="1"/>
  <c r="Z529" i="1" s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524" i="1"/>
  <c r="BP521" i="1"/>
  <c r="BN521" i="1"/>
  <c r="Z521" i="1"/>
  <c r="Z524" i="1" s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566" i="1" l="1"/>
  <c r="Z385" i="1"/>
  <c r="Z442" i="1"/>
  <c r="Y596" i="1"/>
  <c r="Z209" i="1"/>
  <c r="Y592" i="1"/>
  <c r="Z496" i="1"/>
  <c r="Z408" i="1"/>
  <c r="Z183" i="1"/>
  <c r="Z548" i="1"/>
  <c r="Z421" i="1"/>
  <c r="Z518" i="1"/>
  <c r="Z128" i="1"/>
  <c r="Z110" i="1"/>
  <c r="Z90" i="1"/>
  <c r="Z62" i="1"/>
  <c r="Z41" i="1"/>
  <c r="Z597" i="1" s="1"/>
  <c r="Z282" i="1"/>
  <c r="Z238" i="1"/>
</calcChain>
</file>

<file path=xl/sharedStrings.xml><?xml version="1.0" encoding="utf-8"?>
<sst xmlns="http://schemas.openxmlformats.org/spreadsheetml/2006/main" count="2725" uniqueCount="977">
  <si>
    <t xml:space="preserve">  БЛАНК ЗАКАЗА </t>
  </si>
  <si>
    <t>КИ</t>
  </si>
  <si>
    <t>на отгрузку продукции с ООО Трейд-Сервис с</t>
  </si>
  <si>
    <t>21.04.2025</t>
  </si>
  <si>
    <t>бланк создан</t>
  </si>
  <si>
    <t>17.04.2025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</si>
  <si>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</si>
  <si>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</si>
  <si>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</si>
  <si>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</si>
  <si>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</si>
  <si>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</si>
  <si>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</si>
  <si>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</si>
  <si>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</si>
  <si>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</si>
  <si>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</si>
  <si>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</si>
  <si>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</si>
  <si>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</si>
  <si>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</si>
  <si>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</si>
  <si>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</si>
  <si>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</si>
  <si>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</si>
  <si>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</si>
  <si>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</si>
  <si>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</si>
  <si>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</si>
  <si>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</si>
  <si>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</si>
  <si>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</si>
  <si>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</si>
  <si>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</si>
  <si>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</si>
  <si>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</si>
  <si>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</si>
  <si>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</si>
  <si>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</si>
  <si>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</si>
  <si>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</si>
  <si>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</si>
  <si>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</si>
  <si>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</si>
  <si>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</si>
  <si>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</si>
  <si>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</si>
  <si>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</si>
  <si>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</si>
  <si>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</si>
  <si>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</si>
  <si>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</si>
  <si>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</si>
  <si>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</si>
  <si>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</si>
  <si>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</si>
  <si>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</si>
  <si>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</si>
  <si>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</si>
  <si>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</si>
  <si>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</si>
  <si>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</si>
  <si>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</si>
  <si>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</si>
  <si>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</si>
  <si>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</si>
  <si>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</si>
  <si>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</si>
  <si>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</si>
  <si>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</si>
  <si>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</si>
  <si>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</si>
  <si>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</si>
  <si>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</si>
  <si>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</si>
  <si>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</si>
  <si>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</si>
  <si>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</si>
  <si>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</si>
  <si>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</si>
  <si>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</si>
  <si>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</si>
  <si>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</si>
  <si>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</si>
  <si>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</si>
  <si>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</si>
  <si>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</si>
  <si>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</si>
  <si>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</si>
  <si>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</si>
  <si>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</si>
  <si>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</si>
  <si>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</si>
  <si>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</si>
  <si>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</si>
  <si>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</si>
  <si>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</si>
  <si>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</si>
  <si>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</si>
  <si>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</si>
  <si>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</si>
  <si>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</si>
  <si>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</si>
  <si>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</si>
  <si>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</si>
  <si>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</si>
  <si>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</si>
  <si>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</si>
  <si>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</si>
  <si>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</si>
  <si>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</si>
  <si>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</si>
  <si>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</si>
  <si>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</si>
  <si>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</si>
  <si>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</si>
  <si>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</si>
  <si>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</si>
  <si>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</si>
  <si>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</si>
  <si>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</si>
  <si>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</si>
  <si>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</si>
  <si>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</si>
  <si>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</si>
  <si>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</si>
  <si>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</si>
  <si>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</si>
  <si>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</si>
  <si>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</si>
  <si>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</si>
  <si>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</si>
  <si>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</si>
  <si>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</si>
  <si>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</si>
  <si>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</si>
  <si>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</si>
  <si>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</si>
  <si>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</si>
  <si>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</si>
  <si>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</si>
  <si>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</si>
  <si>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</si>
  <si>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</si>
  <si>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</si>
  <si>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</si>
  <si>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</si>
  <si>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</si>
  <si>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</si>
  <si>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</si>
  <si>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</si>
  <si>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</si>
  <si>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</si>
  <si>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</si>
  <si>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</si>
  <si>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</si>
  <si>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</si>
  <si>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</si>
  <si>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</si>
  <si>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</si>
  <si>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</si>
  <si>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</si>
  <si>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</si>
  <si>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</si>
  <si>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</si>
  <si>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</si>
  <si>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</si>
  <si>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</si>
  <si>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</si>
  <si>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</si>
  <si>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</si>
  <si>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</si>
  <si>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</si>
  <si>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</si>
  <si>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</si>
  <si>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</si>
  <si>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</si>
  <si>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</si>
  <si>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</si>
  <si>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</si>
  <si>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</si>
  <si>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</si>
  <si>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</si>
  <si>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</si>
  <si>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</si>
  <si>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</si>
  <si>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</si>
  <si>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</si>
  <si>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</si>
  <si>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</si>
  <si>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</si>
  <si>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</si>
  <si>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</si>
  <si>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</si>
  <si>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</si>
  <si>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</si>
  <si>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</si>
  <si>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</si>
  <si>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</si>
  <si>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</si>
  <si>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</si>
  <si>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</si>
  <si>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</si>
  <si>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</si>
  <si>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</si>
  <si>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</si>
  <si>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</si>
  <si>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</si>
  <si>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</si>
  <si>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</si>
  <si>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</si>
  <si>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</si>
  <si>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</si>
  <si>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</si>
  <si>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</si>
  <si>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</si>
  <si>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</si>
  <si>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</si>
  <si>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</si>
  <si>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</si>
  <si>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</si>
  <si>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</si>
  <si>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</si>
  <si>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</si>
  <si>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</si>
  <si>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</si>
  <si>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</si>
  <si>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</si>
  <si>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</si>
  <si>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</si>
  <si>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</si>
  <si>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</si>
  <si>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</si>
  <si>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</si>
  <si>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</si>
  <si>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</si>
  <si>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</si>
  <si>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</si>
  <si>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</si>
  <si>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</si>
  <si>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</si>
  <si>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</si>
  <si>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</si>
  <si>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</si>
  <si>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</si>
  <si>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</si>
  <si>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</si>
  <si>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</si>
  <si>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</si>
  <si>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</si>
  <si>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</si>
  <si>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</si>
  <si>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</si>
  <si>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Д-RU.РА01.В.81742/25,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</si>
  <si>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</si>
  <si>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</si>
  <si>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</si>
  <si>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</si>
  <si>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</si>
  <si>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</si>
  <si>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</si>
  <si>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</si>
  <si>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</si>
  <si>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</si>
  <si>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</si>
  <si>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</si>
  <si>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</si>
  <si>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</si>
  <si>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</si>
  <si>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</si>
  <si>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</si>
  <si>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</si>
  <si>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</si>
  <si>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</si>
  <si>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</si>
  <si>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</si>
  <si>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</si>
  <si>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</si>
  <si>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</si>
  <si>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</si>
  <si>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</si>
  <si>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</si>
  <si>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</si>
  <si>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</si>
  <si>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</si>
  <si>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</si>
  <si>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</si>
  <si>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</si>
  <si>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</si>
  <si>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</si>
  <si>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</si>
  <si>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</si>
  <si>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</si>
  <si>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</si>
  <si>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</si>
  <si>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</si>
  <si>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</si>
  <si>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</si>
  <si>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</si>
  <si>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</si>
  <si>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</si>
  <si>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</si>
  <si>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</si>
  <si>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</si>
  <si>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</si>
  <si>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</si>
  <si>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</si>
  <si>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</si>
  <si>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</si>
  <si>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</si>
  <si>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</si>
  <si>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</si>
  <si>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</si>
  <si>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</si>
  <si>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</si>
  <si>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</si>
  <si>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</si>
  <si>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</si>
  <si>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</si>
  <si>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</si>
  <si>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</si>
  <si>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</si>
  <si>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</si>
  <si>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</si>
  <si>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</si>
  <si>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</si>
  <si>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</si>
  <si>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</si>
  <si>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</si>
  <si>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</si>
  <si>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</si>
  <si>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</si>
  <si>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</si>
  <si>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</si>
  <si>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</si>
  <si>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</si>
  <si>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</si>
  <si>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</si>
  <si>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</si>
  <si>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</si>
  <si>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</si>
  <si>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</si>
  <si>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</si>
  <si>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</si>
  <si>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</si>
  <si>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</si>
  <si>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</si>
  <si>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</si>
  <si>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</si>
  <si>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</si>
  <si>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</si>
  <si>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</si>
  <si>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</si>
  <si>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</si>
  <si>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</si>
  <si>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</si>
  <si>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</si>
  <si>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</si>
  <si>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</si>
  <si>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</si>
  <si>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</si>
  <si>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</si>
  <si>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</si>
  <si>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</si>
  <si>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</si>
  <si>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</si>
  <si>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</si>
  <si>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</si>
  <si>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</si>
  <si>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</si>
  <si>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</si>
  <si>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</si>
  <si>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</si>
  <si>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</si>
  <si>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</si>
  <si>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</si>
  <si>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</si>
  <si>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</si>
  <si>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</si>
  <si>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</si>
  <si>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</si>
  <si>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</si>
  <si>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</si>
  <si>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</si>
  <si>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</si>
  <si>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</si>
  <si>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</si>
  <si>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</si>
  <si>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</si>
  <si>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</si>
  <si>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</si>
  <si>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</si>
  <si>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</si>
  <si>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</si>
  <si>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</si>
  <si>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</si>
  <si>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</si>
  <si>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</si>
  <si>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</si>
  <si>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</si>
  <si>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</si>
  <si>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</si>
  <si>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</si>
  <si>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</si>
  <si>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</si>
  <si>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</si>
  <si>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</si>
  <si>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</si>
  <si>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</si>
  <si>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</si>
  <si>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</si>
  <si>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</si>
  <si>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</si>
  <si>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</si>
  <si>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</si>
  <si>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</si>
  <si>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</si>
  <si>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</si>
  <si>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</si>
  <si>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</si>
  <si>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</si>
  <si>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</si>
  <si>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</si>
  <si>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</si>
  <si>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</si>
  <si>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</si>
  <si>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</si>
  <si>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</si>
  <si>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</si>
  <si>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</si>
  <si>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</si>
  <si>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</si>
  <si>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</si>
  <si>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</si>
  <si>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</si>
  <si>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</si>
  <si>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</si>
  <si>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</si>
  <si>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</si>
  <si>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</si>
  <si>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</si>
  <si>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</si>
  <si>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</si>
  <si>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</si>
  <si>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</si>
  <si>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</si>
  <si>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</si>
  <si>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</si>
  <si>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</si>
  <si>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</si>
  <si>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</si>
  <si>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</si>
  <si>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</si>
  <si>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</si>
  <si>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</si>
  <si>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</si>
  <si>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</si>
  <si>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</si>
  <si>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</si>
  <si>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</si>
  <si>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</si>
  <si>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</si>
  <si>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</si>
  <si>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</si>
  <si>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</si>
  <si>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</si>
  <si>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</si>
  <si>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</si>
  <si>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</si>
  <si>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</si>
  <si>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</si>
  <si>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</si>
  <si>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</si>
  <si>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</si>
  <si>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</si>
  <si>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</si>
  <si>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</si>
  <si>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</si>
  <si>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</si>
  <si>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</si>
  <si>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</si>
  <si>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</si>
  <si>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</si>
  <si>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</si>
  <si>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</si>
  <si>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</si>
  <si>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</si>
  <si>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</si>
  <si>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</si>
  <si>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</si>
  <si>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</si>
  <si>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</si>
  <si>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</si>
  <si>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</si>
  <si>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</si>
  <si>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</si>
  <si>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</si>
  <si>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</si>
  <si>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</si>
  <si>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</si>
  <si>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</si>
  <si>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</si>
  <si>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</si>
  <si>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</si>
  <si>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</si>
  <si>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</si>
  <si>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</si>
  <si>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</si>
  <si>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</si>
  <si>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</si>
  <si>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</si>
  <si>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</si>
  <si>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</si>
  <si>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</si>
  <si>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</si>
  <si>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</si>
  <si>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</si>
  <si>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</si>
  <si>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</si>
  <si>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</si>
  <si>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</si>
  <si>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</si>
  <si>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</si>
  <si>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</si>
  <si>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</si>
  <si>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</si>
  <si>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</si>
  <si>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</si>
  <si>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</si>
  <si>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</si>
  <si>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</si>
  <si>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</si>
  <si>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</si>
  <si>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</si>
  <si>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</si>
  <si>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</si>
  <si>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</si>
  <si>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</si>
  <si>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</si>
  <si>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</si>
  <si>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</si>
  <si>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</si>
  <si>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</si>
  <si>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</si>
  <si>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</si>
  <si>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</si>
  <si>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</si>
  <si>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</si>
  <si>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</si>
  <si>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</si>
  <si>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</si>
  <si>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</si>
  <si>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</si>
  <si>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</si>
  <si>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</si>
  <si>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</si>
  <si>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</si>
  <si>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</si>
  <si>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</si>
  <si>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</si>
  <si>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</si>
  <si>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</si>
  <si>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</si>
  <si>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</si>
  <si>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</si>
  <si>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</si>
  <si>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</si>
  <si>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</si>
  <si>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</si>
  <si>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</si>
  <si>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</si>
  <si>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</si>
  <si>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</si>
  <si>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</si>
  <si>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</si>
  <si>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</si>
  <si>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</si>
  <si>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</si>
  <si>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</si>
  <si>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</si>
  <si>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</si>
  <si>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</si>
  <si>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</si>
  <si>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</si>
  <si>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</si>
  <si>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</si>
  <si>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</si>
  <si>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</si>
  <si>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</si>
  <si>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</si>
  <si>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</si>
  <si>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</si>
  <si>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</si>
  <si>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</si>
  <si>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</si>
  <si>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</si>
  <si>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</si>
  <si>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</si>
  <si>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</si>
  <si>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</si>
  <si>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</si>
  <si>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</si>
  <si>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</si>
  <si>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</si>
  <si>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</si>
  <si>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</si>
  <si>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</si>
  <si>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</si>
  <si>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</si>
  <si>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</si>
  <si>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</si>
  <si>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</si>
  <si>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</si>
  <si>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</si>
  <si>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</si>
  <si>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</si>
  <si>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</si>
  <si>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</si>
  <si>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</si>
  <si>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</si>
  <si>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</si>
  <si>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</si>
  <si>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</si>
  <si>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</si>
  <si>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</si>
  <si>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</si>
  <si>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</si>
  <si>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</si>
  <si>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</si>
  <si>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</si>
  <si>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</si>
  <si>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</si>
  <si>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</si>
  <si>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</si>
  <si>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</si>
  <si>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</si>
  <si>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</si>
  <si>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</si>
  <si>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</si>
  <si>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</si>
  <si>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</si>
  <si>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</si>
  <si>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</si>
  <si>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</si>
  <si>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</si>
  <si>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</si>
  <si>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</si>
  <si>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</si>
  <si>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</si>
  <si>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</si>
  <si>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</si>
  <si>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</si>
  <si>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</si>
  <si>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</si>
  <si>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</si>
  <si>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</si>
  <si>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</si>
  <si>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</si>
  <si>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</si>
  <si>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</si>
  <si>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</si>
  <si>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</si>
  <si>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</si>
  <si>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</si>
  <si>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</si>
  <si>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</si>
  <si>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</si>
  <si>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P004543</t>
  </si>
  <si>
    <t>В/к колбасы «Салями Филейбургская зернистая» срез Фикс.вес 0,28 фиброуз ТМ «Баварушка»</t>
  </si>
  <si>
    <t>P004353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</si>
  <si>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</si>
  <si>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</si>
  <si>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</si>
  <si>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</si>
  <si>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</si>
  <si>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</si>
  <si>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</si>
  <si>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</si>
  <si>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</si>
  <si>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P004355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</si>
  <si>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</si>
  <si>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</si>
  <si>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</si>
  <si>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</si>
  <si>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</si>
  <si>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</si>
  <si>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</si>
  <si>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</si>
  <si>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</si>
  <si>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</si>
  <si>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</si>
  <si>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</si>
  <si>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</si>
  <si>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</si>
  <si>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</si>
  <si>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</si>
  <si>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</si>
  <si>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</si>
  <si>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</si>
  <si>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</si>
  <si>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</si>
  <si>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</si>
  <si>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</si>
  <si>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</si>
  <si>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</si>
  <si>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</si>
  <si>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</si>
  <si>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</si>
  <si>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</si>
  <si>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</si>
  <si>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</si>
  <si>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</si>
  <si>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</si>
  <si>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</si>
  <si>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</si>
  <si>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</si>
  <si>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</si>
  <si>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</si>
  <si>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</si>
  <si>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</si>
  <si>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</si>
  <si>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</si>
  <si>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</si>
  <si>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</si>
  <si>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</si>
  <si>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</si>
  <si>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</si>
  <si>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</si>
  <si>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</si>
  <si>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</si>
  <si>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</si>
  <si>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</si>
  <si>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</si>
  <si>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</si>
  <si>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</si>
  <si>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</si>
  <si>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</si>
  <si>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</si>
  <si>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23.04.2025</t>
  </si>
  <si>
    <t>ЕАЭС N RU Д-RU.РА10.В.33801/23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</si>
  <si>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</si>
  <si>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</si>
  <si>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</si>
  <si>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</si>
  <si>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</si>
  <si>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</si>
  <si>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</si>
  <si>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</si>
  <si>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</si>
  <si>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</si>
  <si>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</si>
  <si>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</si>
  <si>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</si>
  <si>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</si>
  <si>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</si>
  <si>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</si>
  <si>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</si>
  <si>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</si>
  <si>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</si>
  <si>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</si>
  <si>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</si>
  <si>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</si>
  <si>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</si>
  <si>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</si>
  <si>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</si>
  <si>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</si>
  <si>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</si>
  <si>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</si>
  <si>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</si>
  <si>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</si>
  <si>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</si>
  <si>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</si>
  <si>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</si>
  <si>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</si>
  <si>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</si>
  <si>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</si>
  <si>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</si>
  <si>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</si>
  <si>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</si>
  <si>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</si>
  <si>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</si>
  <si>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</si>
  <si>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</si>
  <si>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</si>
  <si>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</si>
  <si>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</si>
  <si>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</si>
  <si>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</si>
  <si>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</si>
  <si>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</si>
  <si>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</si>
  <si>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</si>
  <si>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</si>
  <si>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</si>
  <si>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</si>
  <si>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</si>
  <si>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</si>
  <si>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</si>
  <si>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</si>
  <si>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</si>
  <si>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</si>
  <si>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</si>
  <si>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</si>
  <si>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</si>
  <si>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</si>
  <si>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</si>
  <si>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</si>
  <si>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</si>
  <si>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</si>
  <si>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</si>
  <si>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P003637</t>
  </si>
  <si>
    <t>ЕАЭС N RU Д-RU.РА01.В.81823/20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</si>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</sst>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248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2"/>
  <sheetViews>
    <sheetView showGridLines="0" tabSelected="1" topLeftCell="A574" zoomScaleNormal="100" zoomScaleSheetLayoutView="100" workbookViewId="0">
      <selection activeCell="AA598" sqref="AA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7" t="s">
        <v>0</v>
      </c>
      <c r="E1" s="696"/>
      <c r="F1" s="696"/>
      <c r="G1" s="12" t="s">
        <v>1</v>
      </c>
      <c r="H1" s="747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9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9"/>
      <c r="R2" s="679"/>
      <c r="S2" s="679"/>
      <c r="T2" s="679"/>
      <c r="U2" s="679"/>
      <c r="V2" s="679"/>
      <c r="W2" s="679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9"/>
      <c r="Q3" s="679"/>
      <c r="R3" s="679"/>
      <c r="S3" s="679"/>
      <c r="T3" s="679"/>
      <c r="U3" s="679"/>
      <c r="V3" s="679"/>
      <c r="W3" s="679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3" t="s">
        <v>8</v>
      </c>
      <c r="B5" s="804"/>
      <c r="C5" s="805"/>
      <c r="D5" s="753"/>
      <c r="E5" s="754"/>
      <c r="F5" s="1004" t="s">
        <v>9</v>
      </c>
      <c r="G5" s="805"/>
      <c r="H5" s="753"/>
      <c r="I5" s="943"/>
      <c r="J5" s="943"/>
      <c r="K5" s="943"/>
      <c r="L5" s="943"/>
      <c r="M5" s="754"/>
      <c r="N5" s="58"/>
      <c r="P5" s="24" t="s">
        <v>10</v>
      </c>
      <c r="Q5" s="1022">
        <v>45768</v>
      </c>
      <c r="R5" s="802"/>
      <c r="T5" s="851" t="s">
        <v>11</v>
      </c>
      <c r="U5" s="759"/>
      <c r="V5" s="853" t="s">
        <v>12</v>
      </c>
      <c r="W5" s="802"/>
      <c r="AB5" s="51"/>
      <c r="AC5" s="51"/>
      <c r="AD5" s="51"/>
      <c r="AE5" s="51"/>
    </row>
    <row r="6" spans="1:32" s="659" customFormat="1" ht="24" customHeight="1" x14ac:dyDescent="0.2">
      <c r="A6" s="803" t="s">
        <v>13</v>
      </c>
      <c r="B6" s="804"/>
      <c r="C6" s="805"/>
      <c r="D6" s="946" t="s">
        <v>14</v>
      </c>
      <c r="E6" s="947"/>
      <c r="F6" s="947"/>
      <c r="G6" s="947"/>
      <c r="H6" s="947"/>
      <c r="I6" s="947"/>
      <c r="J6" s="947"/>
      <c r="K6" s="947"/>
      <c r="L6" s="947"/>
      <c r="M6" s="802"/>
      <c r="N6" s="59"/>
      <c r="P6" s="24" t="s">
        <v>15</v>
      </c>
      <c r="Q6" s="1029" t="str">
        <f>IF(Q5=0," ",CHOOSE(WEEKDAY(Q5,2),"Понедельник","Вторник","Среда","Четверг","Пятница","Суббота","Воскресенье"))</f>
        <v>Понедельник</v>
      </c>
      <c r="R6" s="670"/>
      <c r="T6" s="856" t="s">
        <v>16</v>
      </c>
      <c r="U6" s="759"/>
      <c r="V6" s="926" t="s">
        <v>17</v>
      </c>
      <c r="W6" s="709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20" t="str">
        <f>IFERROR(VLOOKUP(DeliveryAddress,Table,3,0),1)</f>
        <v>4</v>
      </c>
      <c r="E7" s="721"/>
      <c r="F7" s="721"/>
      <c r="G7" s="721"/>
      <c r="H7" s="721"/>
      <c r="I7" s="721"/>
      <c r="J7" s="721"/>
      <c r="K7" s="721"/>
      <c r="L7" s="721"/>
      <c r="M7" s="722"/>
      <c r="N7" s="60"/>
      <c r="P7" s="24"/>
      <c r="Q7" s="42"/>
      <c r="R7" s="42"/>
      <c r="T7" s="679"/>
      <c r="U7" s="759"/>
      <c r="V7" s="927"/>
      <c r="W7" s="928"/>
      <c r="AB7" s="51"/>
      <c r="AC7" s="51"/>
      <c r="AD7" s="51"/>
      <c r="AE7" s="51"/>
    </row>
    <row r="8" spans="1:32" s="659" customFormat="1" ht="25.5" customHeight="1" x14ac:dyDescent="0.2">
      <c r="A8" s="1044" t="s">
        <v>18</v>
      </c>
      <c r="B8" s="687"/>
      <c r="C8" s="688"/>
      <c r="D8" s="733"/>
      <c r="E8" s="734"/>
      <c r="F8" s="734"/>
      <c r="G8" s="734"/>
      <c r="H8" s="734"/>
      <c r="I8" s="734"/>
      <c r="J8" s="734"/>
      <c r="K8" s="734"/>
      <c r="L8" s="734"/>
      <c r="M8" s="735"/>
      <c r="N8" s="61"/>
      <c r="P8" s="24" t="s">
        <v>19</v>
      </c>
      <c r="Q8" s="814">
        <v>0.41666666666666669</v>
      </c>
      <c r="R8" s="722"/>
      <c r="T8" s="679"/>
      <c r="U8" s="759"/>
      <c r="V8" s="927"/>
      <c r="W8" s="928"/>
      <c r="AB8" s="51"/>
      <c r="AC8" s="51"/>
      <c r="AD8" s="51"/>
      <c r="AE8" s="51"/>
    </row>
    <row r="9" spans="1:32" s="659" customFormat="1" ht="39.950000000000003" customHeight="1" x14ac:dyDescent="0.2">
      <c r="A9" s="83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9"/>
      <c r="C9" s="679"/>
      <c r="D9" s="829"/>
      <c r="E9" s="685"/>
      <c r="F9" s="83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9"/>
      <c r="H9" s="684" t="str">
        <f>IF(AND($A$9="Тип доверенности/получателя при получении в адресе перегруза:",$D$9="Разовая доверенность"),"Введите ФИО","")</f>
        <v/>
      </c>
      <c r="I9" s="685"/>
      <c r="J9" s="6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5"/>
      <c r="L9" s="685"/>
      <c r="M9" s="685"/>
      <c r="N9" s="657"/>
      <c r="P9" s="26" t="s">
        <v>20</v>
      </c>
      <c r="Q9" s="797"/>
      <c r="R9" s="798"/>
      <c r="T9" s="679"/>
      <c r="U9" s="759"/>
      <c r="V9" s="929"/>
      <c r="W9" s="930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9"/>
      <c r="C10" s="679"/>
      <c r="D10" s="829"/>
      <c r="E10" s="685"/>
      <c r="F10" s="83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9"/>
      <c r="H10" s="919" t="str">
        <f>IFERROR(VLOOKUP($D$10,Proxy,2,FALSE),"")</f>
        <v/>
      </c>
      <c r="I10" s="679"/>
      <c r="J10" s="679"/>
      <c r="K10" s="679"/>
      <c r="L10" s="679"/>
      <c r="M10" s="679"/>
      <c r="N10" s="658"/>
      <c r="P10" s="26" t="s">
        <v>21</v>
      </c>
      <c r="Q10" s="857"/>
      <c r="R10" s="858"/>
      <c r="U10" s="24" t="s">
        <v>22</v>
      </c>
      <c r="V10" s="708" t="s">
        <v>23</v>
      </c>
      <c r="W10" s="709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801"/>
      <c r="R11" s="802"/>
      <c r="U11" s="24" t="s">
        <v>26</v>
      </c>
      <c r="V11" s="966" t="s">
        <v>27</v>
      </c>
      <c r="W11" s="798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7" t="s">
        <v>28</v>
      </c>
      <c r="B12" s="804"/>
      <c r="C12" s="804"/>
      <c r="D12" s="804"/>
      <c r="E12" s="804"/>
      <c r="F12" s="804"/>
      <c r="G12" s="804"/>
      <c r="H12" s="804"/>
      <c r="I12" s="804"/>
      <c r="J12" s="804"/>
      <c r="K12" s="804"/>
      <c r="L12" s="804"/>
      <c r="M12" s="805"/>
      <c r="N12" s="62"/>
      <c r="P12" s="24" t="s">
        <v>29</v>
      </c>
      <c r="Q12" s="814"/>
      <c r="R12" s="722"/>
      <c r="S12" s="23"/>
      <c r="U12" s="24"/>
      <c r="V12" s="696"/>
      <c r="W12" s="679"/>
      <c r="AB12" s="51"/>
      <c r="AC12" s="51"/>
      <c r="AD12" s="51"/>
      <c r="AE12" s="51"/>
    </row>
    <row r="13" spans="1:32" s="659" customFormat="1" ht="23.25" customHeight="1" x14ac:dyDescent="0.2">
      <c r="A13" s="847" t="s">
        <v>30</v>
      </c>
      <c r="B13" s="804"/>
      <c r="C13" s="804"/>
      <c r="D13" s="804"/>
      <c r="E13" s="804"/>
      <c r="F13" s="804"/>
      <c r="G13" s="804"/>
      <c r="H13" s="804"/>
      <c r="I13" s="804"/>
      <c r="J13" s="804"/>
      <c r="K13" s="804"/>
      <c r="L13" s="804"/>
      <c r="M13" s="805"/>
      <c r="N13" s="62"/>
      <c r="O13" s="26"/>
      <c r="P13" s="26" t="s">
        <v>31</v>
      </c>
      <c r="Q13" s="966"/>
      <c r="R13" s="79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7" t="s">
        <v>32</v>
      </c>
      <c r="B14" s="804"/>
      <c r="C14" s="804"/>
      <c r="D14" s="804"/>
      <c r="E14" s="804"/>
      <c r="F14" s="804"/>
      <c r="G14" s="804"/>
      <c r="H14" s="804"/>
      <c r="I14" s="804"/>
      <c r="J14" s="804"/>
      <c r="K14" s="804"/>
      <c r="L14" s="804"/>
      <c r="M14" s="80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83" t="s">
        <v>33</v>
      </c>
      <c r="B15" s="804"/>
      <c r="C15" s="804"/>
      <c r="D15" s="804"/>
      <c r="E15" s="804"/>
      <c r="F15" s="804"/>
      <c r="G15" s="804"/>
      <c r="H15" s="804"/>
      <c r="I15" s="804"/>
      <c r="J15" s="804"/>
      <c r="K15" s="804"/>
      <c r="L15" s="804"/>
      <c r="M15" s="805"/>
      <c r="N15" s="63"/>
      <c r="P15" s="835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6"/>
      <c r="Q16" s="836"/>
      <c r="R16" s="836"/>
      <c r="S16" s="836"/>
      <c r="T16" s="83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4" t="s">
        <v>35</v>
      </c>
      <c r="B17" s="704" t="s">
        <v>36</v>
      </c>
      <c r="C17" s="821" t="s">
        <v>37</v>
      </c>
      <c r="D17" s="704" t="s">
        <v>38</v>
      </c>
      <c r="E17" s="777"/>
      <c r="F17" s="704" t="s">
        <v>39</v>
      </c>
      <c r="G17" s="704" t="s">
        <v>40</v>
      </c>
      <c r="H17" s="704" t="s">
        <v>41</v>
      </c>
      <c r="I17" s="704" t="s">
        <v>42</v>
      </c>
      <c r="J17" s="704" t="s">
        <v>43</v>
      </c>
      <c r="K17" s="704" t="s">
        <v>44</v>
      </c>
      <c r="L17" s="704" t="s">
        <v>45</v>
      </c>
      <c r="M17" s="704" t="s">
        <v>46</v>
      </c>
      <c r="N17" s="704" t="s">
        <v>47</v>
      </c>
      <c r="O17" s="704" t="s">
        <v>48</v>
      </c>
      <c r="P17" s="704" t="s">
        <v>49</v>
      </c>
      <c r="Q17" s="776"/>
      <c r="R17" s="776"/>
      <c r="S17" s="776"/>
      <c r="T17" s="777"/>
      <c r="U17" s="1040" t="s">
        <v>50</v>
      </c>
      <c r="V17" s="805"/>
      <c r="W17" s="704" t="s">
        <v>51</v>
      </c>
      <c r="X17" s="704" t="s">
        <v>52</v>
      </c>
      <c r="Y17" s="1041" t="s">
        <v>53</v>
      </c>
      <c r="Z17" s="941" t="s">
        <v>54</v>
      </c>
      <c r="AA17" s="916" t="s">
        <v>55</v>
      </c>
      <c r="AB17" s="916" t="s">
        <v>56</v>
      </c>
      <c r="AC17" s="916" t="s">
        <v>57</v>
      </c>
      <c r="AD17" s="916" t="s">
        <v>58</v>
      </c>
      <c r="AE17" s="999"/>
      <c r="AF17" s="1000"/>
      <c r="AG17" s="66"/>
      <c r="BD17" s="65" t="s">
        <v>59</v>
      </c>
    </row>
    <row r="18" spans="1:68" ht="14.25" customHeight="1" x14ac:dyDescent="0.2">
      <c r="A18" s="705"/>
      <c r="B18" s="705"/>
      <c r="C18" s="705"/>
      <c r="D18" s="778"/>
      <c r="E18" s="780"/>
      <c r="F18" s="705"/>
      <c r="G18" s="705"/>
      <c r="H18" s="705"/>
      <c r="I18" s="705"/>
      <c r="J18" s="705"/>
      <c r="K18" s="705"/>
      <c r="L18" s="705"/>
      <c r="M18" s="705"/>
      <c r="N18" s="705"/>
      <c r="O18" s="705"/>
      <c r="P18" s="778"/>
      <c r="Q18" s="779"/>
      <c r="R18" s="779"/>
      <c r="S18" s="779"/>
      <c r="T18" s="780"/>
      <c r="U18" s="67" t="s">
        <v>60</v>
      </c>
      <c r="V18" s="67" t="s">
        <v>61</v>
      </c>
      <c r="W18" s="705"/>
      <c r="X18" s="705"/>
      <c r="Y18" s="1042"/>
      <c r="Z18" s="942"/>
      <c r="AA18" s="917"/>
      <c r="AB18" s="917"/>
      <c r="AC18" s="917"/>
      <c r="AD18" s="1001"/>
      <c r="AE18" s="1002"/>
      <c r="AF18" s="1003"/>
      <c r="AG18" s="66"/>
      <c r="BD18" s="65"/>
    </row>
    <row r="19" spans="1:68" ht="27.75" customHeight="1" x14ac:dyDescent="0.2">
      <c r="A19" s="681" t="s">
        <v>62</v>
      </c>
      <c r="B19" s="682"/>
      <c r="C19" s="682"/>
      <c r="D19" s="682"/>
      <c r="E19" s="682"/>
      <c r="F19" s="682"/>
      <c r="G19" s="682"/>
      <c r="H19" s="682"/>
      <c r="I19" s="682"/>
      <c r="J19" s="682"/>
      <c r="K19" s="682"/>
      <c r="L19" s="682"/>
      <c r="M19" s="682"/>
      <c r="N19" s="682"/>
      <c r="O19" s="682"/>
      <c r="P19" s="682"/>
      <c r="Q19" s="682"/>
      <c r="R19" s="682"/>
      <c r="S19" s="682"/>
      <c r="T19" s="682"/>
      <c r="U19" s="682"/>
      <c r="V19" s="682"/>
      <c r="W19" s="682"/>
      <c r="X19" s="682"/>
      <c r="Y19" s="682"/>
      <c r="Z19" s="682"/>
      <c r="AA19" s="48"/>
      <c r="AB19" s="48"/>
      <c r="AC19" s="48"/>
    </row>
    <row r="20" spans="1:68" ht="16.5" customHeight="1" x14ac:dyDescent="0.25">
      <c r="A20" s="718" t="s">
        <v>62</v>
      </c>
      <c r="B20" s="679"/>
      <c r="C20" s="679"/>
      <c r="D20" s="679"/>
      <c r="E20" s="679"/>
      <c r="F20" s="679"/>
      <c r="G20" s="679"/>
      <c r="H20" s="679"/>
      <c r="I20" s="679"/>
      <c r="J20" s="679"/>
      <c r="K20" s="679"/>
      <c r="L20" s="679"/>
      <c r="M20" s="679"/>
      <c r="N20" s="679"/>
      <c r="O20" s="679"/>
      <c r="P20" s="679"/>
      <c r="Q20" s="679"/>
      <c r="R20" s="679"/>
      <c r="S20" s="679"/>
      <c r="T20" s="679"/>
      <c r="U20" s="679"/>
      <c r="V20" s="679"/>
      <c r="W20" s="679"/>
      <c r="X20" s="679"/>
      <c r="Y20" s="679"/>
      <c r="Z20" s="679"/>
      <c r="AA20" s="660"/>
      <c r="AB20" s="660"/>
      <c r="AC20" s="660"/>
    </row>
    <row r="21" spans="1:68" ht="14.25" customHeight="1" x14ac:dyDescent="0.25">
      <c r="A21" s="683" t="s">
        <v>63</v>
      </c>
      <c r="B21" s="679"/>
      <c r="C21" s="679"/>
      <c r="D21" s="679"/>
      <c r="E21" s="679"/>
      <c r="F21" s="679"/>
      <c r="G21" s="679"/>
      <c r="H21" s="679"/>
      <c r="I21" s="679"/>
      <c r="J21" s="679"/>
      <c r="K21" s="679"/>
      <c r="L21" s="679"/>
      <c r="M21" s="679"/>
      <c r="N21" s="679"/>
      <c r="O21" s="679"/>
      <c r="P21" s="679"/>
      <c r="Q21" s="679"/>
      <c r="R21" s="679"/>
      <c r="S21" s="679"/>
      <c r="T21" s="679"/>
      <c r="U21" s="679"/>
      <c r="V21" s="679"/>
      <c r="W21" s="679"/>
      <c r="X21" s="679"/>
      <c r="Y21" s="679"/>
      <c r="Z21" s="679"/>
      <c r="AA21" s="661"/>
      <c r="AB21" s="661"/>
      <c r="AC21" s="661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68</v>
      </c>
      <c r="X22" s="665">
        <v>0</v>
      </c>
      <c r="Y22" s="666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68</v>
      </c>
      <c r="X23" s="665">
        <v>0</v>
      </c>
      <c r="Y23" s="666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9">
        <v>4680115886230</v>
      </c>
      <c r="E24" s="670"/>
      <c r="F24" s="664">
        <v>0.3</v>
      </c>
      <c r="G24" s="32">
        <v>6</v>
      </c>
      <c r="H24" s="664">
        <v>1.8</v>
      </c>
      <c r="I24" s="664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9" t="s">
        <v>75</v>
      </c>
      <c r="Q24" s="672"/>
      <c r="R24" s="672"/>
      <c r="S24" s="672"/>
      <c r="T24" s="673"/>
      <c r="U24" s="34"/>
      <c r="V24" s="34"/>
      <c r="W24" s="35" t="s">
        <v>68</v>
      </c>
      <c r="X24" s="665">
        <v>0</v>
      </c>
      <c r="Y24" s="666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9">
        <v>4680115886247</v>
      </c>
      <c r="E25" s="670"/>
      <c r="F25" s="664">
        <v>0.3</v>
      </c>
      <c r="G25" s="32">
        <v>6</v>
      </c>
      <c r="H25" s="664">
        <v>1.8</v>
      </c>
      <c r="I25" s="664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6" t="s">
        <v>79</v>
      </c>
      <c r="Q25" s="672"/>
      <c r="R25" s="672"/>
      <c r="S25" s="672"/>
      <c r="T25" s="673"/>
      <c r="U25" s="34"/>
      <c r="V25" s="34"/>
      <c r="W25" s="35" t="s">
        <v>68</v>
      </c>
      <c r="X25" s="665">
        <v>0</v>
      </c>
      <c r="Y25" s="666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9">
        <v>4680115885905</v>
      </c>
      <c r="E26" s="670"/>
      <c r="F26" s="664">
        <v>0.3</v>
      </c>
      <c r="G26" s="32">
        <v>6</v>
      </c>
      <c r="H26" s="664">
        <v>1.8</v>
      </c>
      <c r="I26" s="664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2"/>
      <c r="R26" s="672"/>
      <c r="S26" s="672"/>
      <c r="T26" s="673"/>
      <c r="U26" s="34"/>
      <c r="V26" s="34"/>
      <c r="W26" s="35" t="s">
        <v>68</v>
      </c>
      <c r="X26" s="665">
        <v>0</v>
      </c>
      <c r="Y26" s="666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9">
        <v>4607091388244</v>
      </c>
      <c r="E27" s="670"/>
      <c r="F27" s="664">
        <v>0.42</v>
      </c>
      <c r="G27" s="32">
        <v>6</v>
      </c>
      <c r="H27" s="664">
        <v>2.52</v>
      </c>
      <c r="I27" s="664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2"/>
      <c r="R27" s="672"/>
      <c r="S27" s="672"/>
      <c r="T27" s="673"/>
      <c r="U27" s="34"/>
      <c r="V27" s="34"/>
      <c r="W27" s="35" t="s">
        <v>68</v>
      </c>
      <c r="X27" s="665">
        <v>0</v>
      </c>
      <c r="Y27" s="666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8"/>
      <c r="B28" s="679"/>
      <c r="C28" s="679"/>
      <c r="D28" s="679"/>
      <c r="E28" s="679"/>
      <c r="F28" s="679"/>
      <c r="G28" s="679"/>
      <c r="H28" s="679"/>
      <c r="I28" s="679"/>
      <c r="J28" s="679"/>
      <c r="K28" s="679"/>
      <c r="L28" s="679"/>
      <c r="M28" s="679"/>
      <c r="N28" s="679"/>
      <c r="O28" s="680"/>
      <c r="P28" s="686" t="s">
        <v>87</v>
      </c>
      <c r="Q28" s="687"/>
      <c r="R28" s="687"/>
      <c r="S28" s="687"/>
      <c r="T28" s="687"/>
      <c r="U28" s="687"/>
      <c r="V28" s="688"/>
      <c r="W28" s="37" t="s">
        <v>88</v>
      </c>
      <c r="X28" s="667">
        <f>IFERROR(X22/H22,"0")+IFERROR(X23/H23,"0")+IFERROR(X24/H24,"0")+IFERROR(X25/H25,"0")+IFERROR(X26/H26,"0")+IFERROR(X27/H27,"0")</f>
        <v>0</v>
      </c>
      <c r="Y28" s="667">
        <f>IFERROR(Y22/H22,"0")+IFERROR(Y23/H23,"0")+IFERROR(Y24/H24,"0")+IFERROR(Y25/H25,"0")+IFERROR(Y26/H26,"0")+IFERROR(Y27/H27,"0")</f>
        <v>0</v>
      </c>
      <c r="Z28" s="667">
        <f>IFERROR(IF(Z22="",0,Z22),"0")+IFERROR(IF(Z23="",0,Z23),"0")+IFERROR(IF(Z24="",0,Z24),"0")+IFERROR(IF(Z25="",0,Z25),"0")+IFERROR(IF(Z26="",0,Z26),"0")+IFERROR(IF(Z27="",0,Z27),"0")</f>
        <v>0</v>
      </c>
      <c r="AA28" s="668"/>
      <c r="AB28" s="668"/>
      <c r="AC28" s="668"/>
    </row>
    <row r="29" spans="1:68" x14ac:dyDescent="0.2">
      <c r="A29" s="679"/>
      <c r="B29" s="679"/>
      <c r="C29" s="679"/>
      <c r="D29" s="679"/>
      <c r="E29" s="679"/>
      <c r="F29" s="679"/>
      <c r="G29" s="679"/>
      <c r="H29" s="679"/>
      <c r="I29" s="679"/>
      <c r="J29" s="679"/>
      <c r="K29" s="679"/>
      <c r="L29" s="679"/>
      <c r="M29" s="679"/>
      <c r="N29" s="679"/>
      <c r="O29" s="680"/>
      <c r="P29" s="686" t="s">
        <v>87</v>
      </c>
      <c r="Q29" s="687"/>
      <c r="R29" s="687"/>
      <c r="S29" s="687"/>
      <c r="T29" s="687"/>
      <c r="U29" s="687"/>
      <c r="V29" s="688"/>
      <c r="W29" s="37" t="s">
        <v>68</v>
      </c>
      <c r="X29" s="667">
        <f>IFERROR(SUM(X22:X27),"0")</f>
        <v>0</v>
      </c>
      <c r="Y29" s="667">
        <f>IFERROR(SUM(Y22:Y27),"0")</f>
        <v>0</v>
      </c>
      <c r="Z29" s="37"/>
      <c r="AA29" s="668"/>
      <c r="AB29" s="668"/>
      <c r="AC29" s="668"/>
    </row>
    <row r="30" spans="1:68" ht="14.25" customHeight="1" x14ac:dyDescent="0.25">
      <c r="A30" s="683" t="s">
        <v>89</v>
      </c>
      <c r="B30" s="679"/>
      <c r="C30" s="679"/>
      <c r="D30" s="679"/>
      <c r="E30" s="679"/>
      <c r="F30" s="679"/>
      <c r="G30" s="679"/>
      <c r="H30" s="679"/>
      <c r="I30" s="679"/>
      <c r="J30" s="679"/>
      <c r="K30" s="679"/>
      <c r="L30" s="679"/>
      <c r="M30" s="679"/>
      <c r="N30" s="679"/>
      <c r="O30" s="679"/>
      <c r="P30" s="679"/>
      <c r="Q30" s="679"/>
      <c r="R30" s="679"/>
      <c r="S30" s="679"/>
      <c r="T30" s="679"/>
      <c r="U30" s="679"/>
      <c r="V30" s="679"/>
      <c r="W30" s="679"/>
      <c r="X30" s="679"/>
      <c r="Y30" s="679"/>
      <c r="Z30" s="679"/>
      <c r="AA30" s="661"/>
      <c r="AB30" s="661"/>
      <c r="AC30" s="661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9">
        <v>4607091388503</v>
      </c>
      <c r="E31" s="670"/>
      <c r="F31" s="664">
        <v>0.05</v>
      </c>
      <c r="G31" s="32">
        <v>12</v>
      </c>
      <c r="H31" s="664">
        <v>0.6</v>
      </c>
      <c r="I31" s="664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2"/>
      <c r="R31" s="672"/>
      <c r="S31" s="672"/>
      <c r="T31" s="673"/>
      <c r="U31" s="34"/>
      <c r="V31" s="34"/>
      <c r="W31" s="35" t="s">
        <v>68</v>
      </c>
      <c r="X31" s="665">
        <v>1</v>
      </c>
      <c r="Y31" s="666">
        <f>IFERROR(IF(X31="",0,CEILING((X31/$H31),1)*$H31),"")</f>
        <v>1.2</v>
      </c>
      <c r="Z31" s="36">
        <f>IFERROR(IF(Y31=0,"",ROUNDUP(Y31/H31,0)*0.00651),"")</f>
        <v>1.302E-2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1.3699999999999999</v>
      </c>
      <c r="BN31" s="64">
        <f>IFERROR(Y31*I31/H31,"0")</f>
        <v>1.6439999999999999</v>
      </c>
      <c r="BO31" s="64">
        <f>IFERROR(1/J31*(X31/H31),"0")</f>
        <v>9.1575091575091579E-3</v>
      </c>
      <c r="BP31" s="64">
        <f>IFERROR(1/J31*(Y31/H31),"0")</f>
        <v>1.098901098901099E-2</v>
      </c>
    </row>
    <row r="32" spans="1:68" x14ac:dyDescent="0.2">
      <c r="A32" s="678"/>
      <c r="B32" s="679"/>
      <c r="C32" s="679"/>
      <c r="D32" s="679"/>
      <c r="E32" s="679"/>
      <c r="F32" s="679"/>
      <c r="G32" s="679"/>
      <c r="H32" s="679"/>
      <c r="I32" s="679"/>
      <c r="J32" s="679"/>
      <c r="K32" s="679"/>
      <c r="L32" s="679"/>
      <c r="M32" s="679"/>
      <c r="N32" s="679"/>
      <c r="O32" s="680"/>
      <c r="P32" s="686" t="s">
        <v>87</v>
      </c>
      <c r="Q32" s="687"/>
      <c r="R32" s="687"/>
      <c r="S32" s="687"/>
      <c r="T32" s="687"/>
      <c r="U32" s="687"/>
      <c r="V32" s="688"/>
      <c r="W32" s="37" t="s">
        <v>88</v>
      </c>
      <c r="X32" s="667">
        <f>IFERROR(X31/H31,"0")</f>
        <v>1.6666666666666667</v>
      </c>
      <c r="Y32" s="667">
        <f>IFERROR(Y31/H31,"0")</f>
        <v>2</v>
      </c>
      <c r="Z32" s="667">
        <f>IFERROR(IF(Z31="",0,Z31),"0")</f>
        <v>1.302E-2</v>
      </c>
      <c r="AA32" s="668"/>
      <c r="AB32" s="668"/>
      <c r="AC32" s="668"/>
    </row>
    <row r="33" spans="1:68" x14ac:dyDescent="0.2">
      <c r="A33" s="679"/>
      <c r="B33" s="679"/>
      <c r="C33" s="679"/>
      <c r="D33" s="679"/>
      <c r="E33" s="679"/>
      <c r="F33" s="679"/>
      <c r="G33" s="679"/>
      <c r="H33" s="679"/>
      <c r="I33" s="679"/>
      <c r="J33" s="679"/>
      <c r="K33" s="679"/>
      <c r="L33" s="679"/>
      <c r="M33" s="679"/>
      <c r="N33" s="679"/>
      <c r="O33" s="680"/>
      <c r="P33" s="686" t="s">
        <v>87</v>
      </c>
      <c r="Q33" s="687"/>
      <c r="R33" s="687"/>
      <c r="S33" s="687"/>
      <c r="T33" s="687"/>
      <c r="U33" s="687"/>
      <c r="V33" s="688"/>
      <c r="W33" s="37" t="s">
        <v>68</v>
      </c>
      <c r="X33" s="667">
        <f>IFERROR(SUM(X31:X31),"0")</f>
        <v>1</v>
      </c>
      <c r="Y33" s="667">
        <f>IFERROR(SUM(Y31:Y31),"0")</f>
        <v>1.2</v>
      </c>
      <c r="Z33" s="37"/>
      <c r="AA33" s="668"/>
      <c r="AB33" s="668"/>
      <c r="AC33" s="668"/>
    </row>
    <row r="34" spans="1:68" ht="27.75" customHeight="1" x14ac:dyDescent="0.2">
      <c r="A34" s="681" t="s">
        <v>95</v>
      </c>
      <c r="B34" s="682"/>
      <c r="C34" s="682"/>
      <c r="D34" s="682"/>
      <c r="E34" s="682"/>
      <c r="F34" s="682"/>
      <c r="G34" s="682"/>
      <c r="H34" s="682"/>
      <c r="I34" s="682"/>
      <c r="J34" s="682"/>
      <c r="K34" s="682"/>
      <c r="L34" s="682"/>
      <c r="M34" s="682"/>
      <c r="N34" s="682"/>
      <c r="O34" s="682"/>
      <c r="P34" s="682"/>
      <c r="Q34" s="682"/>
      <c r="R34" s="682"/>
      <c r="S34" s="682"/>
      <c r="T34" s="682"/>
      <c r="U34" s="682"/>
      <c r="V34" s="682"/>
      <c r="W34" s="682"/>
      <c r="X34" s="682"/>
      <c r="Y34" s="682"/>
      <c r="Z34" s="682"/>
      <c r="AA34" s="48"/>
      <c r="AB34" s="48"/>
      <c r="AC34" s="48"/>
    </row>
    <row r="35" spans="1:68" ht="16.5" customHeight="1" x14ac:dyDescent="0.25">
      <c r="A35" s="718" t="s">
        <v>96</v>
      </c>
      <c r="B35" s="679"/>
      <c r="C35" s="679"/>
      <c r="D35" s="679"/>
      <c r="E35" s="679"/>
      <c r="F35" s="679"/>
      <c r="G35" s="679"/>
      <c r="H35" s="679"/>
      <c r="I35" s="679"/>
      <c r="J35" s="679"/>
      <c r="K35" s="679"/>
      <c r="L35" s="679"/>
      <c r="M35" s="679"/>
      <c r="N35" s="679"/>
      <c r="O35" s="679"/>
      <c r="P35" s="679"/>
      <c r="Q35" s="679"/>
      <c r="R35" s="679"/>
      <c r="S35" s="679"/>
      <c r="T35" s="679"/>
      <c r="U35" s="679"/>
      <c r="V35" s="679"/>
      <c r="W35" s="679"/>
      <c r="X35" s="679"/>
      <c r="Y35" s="679"/>
      <c r="Z35" s="679"/>
      <c r="AA35" s="660"/>
      <c r="AB35" s="660"/>
      <c r="AC35" s="660"/>
    </row>
    <row r="36" spans="1:68" ht="14.25" customHeight="1" x14ac:dyDescent="0.25">
      <c r="A36" s="683" t="s">
        <v>97</v>
      </c>
      <c r="B36" s="679"/>
      <c r="C36" s="679"/>
      <c r="D36" s="679"/>
      <c r="E36" s="679"/>
      <c r="F36" s="679"/>
      <c r="G36" s="679"/>
      <c r="H36" s="679"/>
      <c r="I36" s="679"/>
      <c r="J36" s="679"/>
      <c r="K36" s="679"/>
      <c r="L36" s="679"/>
      <c r="M36" s="679"/>
      <c r="N36" s="679"/>
      <c r="O36" s="679"/>
      <c r="P36" s="679"/>
      <c r="Q36" s="679"/>
      <c r="R36" s="679"/>
      <c r="S36" s="679"/>
      <c r="T36" s="679"/>
      <c r="U36" s="679"/>
      <c r="V36" s="679"/>
      <c r="W36" s="679"/>
      <c r="X36" s="679"/>
      <c r="Y36" s="679"/>
      <c r="Z36" s="679"/>
      <c r="AA36" s="661"/>
      <c r="AB36" s="661"/>
      <c r="AC36" s="661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9">
        <v>4607091385670</v>
      </c>
      <c r="E37" s="670"/>
      <c r="F37" s="664">
        <v>1.35</v>
      </c>
      <c r="G37" s="32">
        <v>8</v>
      </c>
      <c r="H37" s="664">
        <v>10.8</v>
      </c>
      <c r="I37" s="664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2"/>
      <c r="R37" s="672"/>
      <c r="S37" s="672"/>
      <c r="T37" s="673"/>
      <c r="U37" s="34"/>
      <c r="V37" s="34"/>
      <c r="W37" s="35" t="s">
        <v>68</v>
      </c>
      <c r="X37" s="665">
        <v>50</v>
      </c>
      <c r="Y37" s="666">
        <f>IFERROR(IF(X37="",0,CEILING((X37/$H37),1)*$H37),"")</f>
        <v>54</v>
      </c>
      <c r="Z37" s="36">
        <f>IFERROR(IF(Y37=0,"",ROUNDUP(Y37/H37,0)*0.01898),"")</f>
        <v>9.4899999999999998E-2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52.013888888888886</v>
      </c>
      <c r="BN37" s="64">
        <f>IFERROR(Y37*I37/H37,"0")</f>
        <v>56.17499999999999</v>
      </c>
      <c r="BO37" s="64">
        <f>IFERROR(1/J37*(X37/H37),"0")</f>
        <v>7.2337962962962965E-2</v>
      </c>
      <c r="BP37" s="64">
        <f>IFERROR(1/J37*(Y37/H37),"0")</f>
        <v>7.8125E-2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9">
        <v>4607091385687</v>
      </c>
      <c r="E38" s="670"/>
      <c r="F38" s="664">
        <v>0.4</v>
      </c>
      <c r="G38" s="32">
        <v>10</v>
      </c>
      <c r="H38" s="664">
        <v>4</v>
      </c>
      <c r="I38" s="664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2"/>
      <c r="R38" s="672"/>
      <c r="S38" s="672"/>
      <c r="T38" s="673"/>
      <c r="U38" s="34"/>
      <c r="V38" s="34"/>
      <c r="W38" s="35" t="s">
        <v>68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9">
        <v>4680115882539</v>
      </c>
      <c r="E39" s="670"/>
      <c r="F39" s="664">
        <v>0.37</v>
      </c>
      <c r="G39" s="32">
        <v>10</v>
      </c>
      <c r="H39" s="664">
        <v>3.7</v>
      </c>
      <c r="I39" s="664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6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2"/>
      <c r="R39" s="672"/>
      <c r="S39" s="672"/>
      <c r="T39" s="673"/>
      <c r="U39" s="34"/>
      <c r="V39" s="34"/>
      <c r="W39" s="35" t="s">
        <v>68</v>
      </c>
      <c r="X39" s="665">
        <v>0</v>
      </c>
      <c r="Y39" s="666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9">
        <v>4680115883949</v>
      </c>
      <c r="E40" s="670"/>
      <c r="F40" s="664">
        <v>0.37</v>
      </c>
      <c r="G40" s="32">
        <v>10</v>
      </c>
      <c r="H40" s="664">
        <v>3.7</v>
      </c>
      <c r="I40" s="664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8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2"/>
      <c r="R40" s="672"/>
      <c r="S40" s="672"/>
      <c r="T40" s="673"/>
      <c r="U40" s="34"/>
      <c r="V40" s="34"/>
      <c r="W40" s="35" t="s">
        <v>68</v>
      </c>
      <c r="X40" s="665">
        <v>0</v>
      </c>
      <c r="Y40" s="666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8"/>
      <c r="B41" s="679"/>
      <c r="C41" s="679"/>
      <c r="D41" s="679"/>
      <c r="E41" s="679"/>
      <c r="F41" s="679"/>
      <c r="G41" s="679"/>
      <c r="H41" s="679"/>
      <c r="I41" s="679"/>
      <c r="J41" s="679"/>
      <c r="K41" s="679"/>
      <c r="L41" s="679"/>
      <c r="M41" s="679"/>
      <c r="N41" s="679"/>
      <c r="O41" s="680"/>
      <c r="P41" s="686" t="s">
        <v>87</v>
      </c>
      <c r="Q41" s="687"/>
      <c r="R41" s="687"/>
      <c r="S41" s="687"/>
      <c r="T41" s="687"/>
      <c r="U41" s="687"/>
      <c r="V41" s="688"/>
      <c r="W41" s="37" t="s">
        <v>88</v>
      </c>
      <c r="X41" s="667">
        <f>IFERROR(X37/H37,"0")+IFERROR(X38/H38,"0")+IFERROR(X39/H39,"0")+IFERROR(X40/H40,"0")</f>
        <v>4.6296296296296298</v>
      </c>
      <c r="Y41" s="667">
        <f>IFERROR(Y37/H37,"0")+IFERROR(Y38/H38,"0")+IFERROR(Y39/H39,"0")+IFERROR(Y40/H40,"0")</f>
        <v>5</v>
      </c>
      <c r="Z41" s="667">
        <f>IFERROR(IF(Z37="",0,Z37),"0")+IFERROR(IF(Z38="",0,Z38),"0")+IFERROR(IF(Z39="",0,Z39),"0")+IFERROR(IF(Z40="",0,Z40),"0")</f>
        <v>9.4899999999999998E-2</v>
      </c>
      <c r="AA41" s="668"/>
      <c r="AB41" s="668"/>
      <c r="AC41" s="668"/>
    </row>
    <row r="42" spans="1:68" x14ac:dyDescent="0.2">
      <c r="A42" s="679"/>
      <c r="B42" s="679"/>
      <c r="C42" s="679"/>
      <c r="D42" s="679"/>
      <c r="E42" s="679"/>
      <c r="F42" s="679"/>
      <c r="G42" s="679"/>
      <c r="H42" s="679"/>
      <c r="I42" s="679"/>
      <c r="J42" s="679"/>
      <c r="K42" s="679"/>
      <c r="L42" s="679"/>
      <c r="M42" s="679"/>
      <c r="N42" s="679"/>
      <c r="O42" s="680"/>
      <c r="P42" s="686" t="s">
        <v>87</v>
      </c>
      <c r="Q42" s="687"/>
      <c r="R42" s="687"/>
      <c r="S42" s="687"/>
      <c r="T42" s="687"/>
      <c r="U42" s="687"/>
      <c r="V42" s="688"/>
      <c r="W42" s="37" t="s">
        <v>68</v>
      </c>
      <c r="X42" s="667">
        <f>IFERROR(SUM(X37:X40),"0")</f>
        <v>50</v>
      </c>
      <c r="Y42" s="667">
        <f>IFERROR(SUM(Y37:Y40),"0")</f>
        <v>54</v>
      </c>
      <c r="Z42" s="37"/>
      <c r="AA42" s="668"/>
      <c r="AB42" s="668"/>
      <c r="AC42" s="668"/>
    </row>
    <row r="43" spans="1:68" ht="14.25" customHeight="1" x14ac:dyDescent="0.25">
      <c r="A43" s="683" t="s">
        <v>63</v>
      </c>
      <c r="B43" s="679"/>
      <c r="C43" s="679"/>
      <c r="D43" s="679"/>
      <c r="E43" s="679"/>
      <c r="F43" s="679"/>
      <c r="G43" s="679"/>
      <c r="H43" s="679"/>
      <c r="I43" s="679"/>
      <c r="J43" s="679"/>
      <c r="K43" s="679"/>
      <c r="L43" s="679"/>
      <c r="M43" s="679"/>
      <c r="N43" s="679"/>
      <c r="O43" s="679"/>
      <c r="P43" s="679"/>
      <c r="Q43" s="679"/>
      <c r="R43" s="679"/>
      <c r="S43" s="679"/>
      <c r="T43" s="679"/>
      <c r="U43" s="679"/>
      <c r="V43" s="679"/>
      <c r="W43" s="679"/>
      <c r="X43" s="679"/>
      <c r="Y43" s="679"/>
      <c r="Z43" s="679"/>
      <c r="AA43" s="661"/>
      <c r="AB43" s="661"/>
      <c r="AC43" s="661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9">
        <v>4680115884915</v>
      </c>
      <c r="E44" s="670"/>
      <c r="F44" s="664">
        <v>0.3</v>
      </c>
      <c r="G44" s="32">
        <v>6</v>
      </c>
      <c r="H44" s="664">
        <v>1.8</v>
      </c>
      <c r="I44" s="664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2"/>
      <c r="R44" s="672"/>
      <c r="S44" s="672"/>
      <c r="T44" s="673"/>
      <c r="U44" s="34"/>
      <c r="V44" s="34"/>
      <c r="W44" s="35" t="s">
        <v>68</v>
      </c>
      <c r="X44" s="665">
        <v>0</v>
      </c>
      <c r="Y44" s="66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8"/>
      <c r="B45" s="679"/>
      <c r="C45" s="679"/>
      <c r="D45" s="679"/>
      <c r="E45" s="679"/>
      <c r="F45" s="679"/>
      <c r="G45" s="679"/>
      <c r="H45" s="679"/>
      <c r="I45" s="679"/>
      <c r="J45" s="679"/>
      <c r="K45" s="679"/>
      <c r="L45" s="679"/>
      <c r="M45" s="679"/>
      <c r="N45" s="679"/>
      <c r="O45" s="680"/>
      <c r="P45" s="686" t="s">
        <v>87</v>
      </c>
      <c r="Q45" s="687"/>
      <c r="R45" s="687"/>
      <c r="S45" s="687"/>
      <c r="T45" s="687"/>
      <c r="U45" s="687"/>
      <c r="V45" s="688"/>
      <c r="W45" s="37" t="s">
        <v>88</v>
      </c>
      <c r="X45" s="667">
        <f>IFERROR(X44/H44,"0")</f>
        <v>0</v>
      </c>
      <c r="Y45" s="667">
        <f>IFERROR(Y44/H44,"0")</f>
        <v>0</v>
      </c>
      <c r="Z45" s="667">
        <f>IFERROR(IF(Z44="",0,Z44),"0")</f>
        <v>0</v>
      </c>
      <c r="AA45" s="668"/>
      <c r="AB45" s="668"/>
      <c r="AC45" s="668"/>
    </row>
    <row r="46" spans="1:68" x14ac:dyDescent="0.2">
      <c r="A46" s="679"/>
      <c r="B46" s="679"/>
      <c r="C46" s="679"/>
      <c r="D46" s="679"/>
      <c r="E46" s="679"/>
      <c r="F46" s="679"/>
      <c r="G46" s="679"/>
      <c r="H46" s="679"/>
      <c r="I46" s="679"/>
      <c r="J46" s="679"/>
      <c r="K46" s="679"/>
      <c r="L46" s="679"/>
      <c r="M46" s="679"/>
      <c r="N46" s="679"/>
      <c r="O46" s="680"/>
      <c r="P46" s="686" t="s">
        <v>87</v>
      </c>
      <c r="Q46" s="687"/>
      <c r="R46" s="687"/>
      <c r="S46" s="687"/>
      <c r="T46" s="687"/>
      <c r="U46" s="687"/>
      <c r="V46" s="688"/>
      <c r="W46" s="37" t="s">
        <v>68</v>
      </c>
      <c r="X46" s="667">
        <f>IFERROR(SUM(X44:X44),"0")</f>
        <v>0</v>
      </c>
      <c r="Y46" s="667">
        <f>IFERROR(SUM(Y44:Y44),"0")</f>
        <v>0</v>
      </c>
      <c r="Z46" s="37"/>
      <c r="AA46" s="668"/>
      <c r="AB46" s="668"/>
      <c r="AC46" s="668"/>
    </row>
    <row r="47" spans="1:68" ht="16.5" customHeight="1" x14ac:dyDescent="0.25">
      <c r="A47" s="718" t="s">
        <v>115</v>
      </c>
      <c r="B47" s="679"/>
      <c r="C47" s="679"/>
      <c r="D47" s="679"/>
      <c r="E47" s="679"/>
      <c r="F47" s="679"/>
      <c r="G47" s="679"/>
      <c r="H47" s="679"/>
      <c r="I47" s="679"/>
      <c r="J47" s="679"/>
      <c r="K47" s="679"/>
      <c r="L47" s="679"/>
      <c r="M47" s="679"/>
      <c r="N47" s="679"/>
      <c r="O47" s="679"/>
      <c r="P47" s="679"/>
      <c r="Q47" s="679"/>
      <c r="R47" s="679"/>
      <c r="S47" s="679"/>
      <c r="T47" s="679"/>
      <c r="U47" s="679"/>
      <c r="V47" s="679"/>
      <c r="W47" s="679"/>
      <c r="X47" s="679"/>
      <c r="Y47" s="679"/>
      <c r="Z47" s="679"/>
      <c r="AA47" s="660"/>
      <c r="AB47" s="660"/>
      <c r="AC47" s="660"/>
    </row>
    <row r="48" spans="1:68" ht="14.25" customHeight="1" x14ac:dyDescent="0.25">
      <c r="A48" s="683" t="s">
        <v>97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661"/>
      <c r="AB48" s="661"/>
      <c r="AC48" s="661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9">
        <v>4680115885882</v>
      </c>
      <c r="E49" s="670"/>
      <c r="F49" s="664">
        <v>1.4</v>
      </c>
      <c r="G49" s="32">
        <v>8</v>
      </c>
      <c r="H49" s="664">
        <v>11.2</v>
      </c>
      <c r="I49" s="664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2"/>
      <c r="R49" s="672"/>
      <c r="S49" s="672"/>
      <c r="T49" s="673"/>
      <c r="U49" s="34"/>
      <c r="V49" s="34"/>
      <c r="W49" s="35" t="s">
        <v>68</v>
      </c>
      <c r="X49" s="665">
        <v>11</v>
      </c>
      <c r="Y49" s="666">
        <f t="shared" ref="Y49:Y54" si="6">IFERROR(IF(X49="",0,CEILING((X49/$H49),1)*$H49),"")</f>
        <v>11.2</v>
      </c>
      <c r="Z49" s="36">
        <f>IFERROR(IF(Y49=0,"",ROUNDUP(Y49/H49,0)*0.01898),"")</f>
        <v>1.898E-2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11.427232142857143</v>
      </c>
      <c r="BN49" s="64">
        <f t="shared" ref="BN49:BN54" si="8">IFERROR(Y49*I49/H49,"0")</f>
        <v>11.635</v>
      </c>
      <c r="BO49" s="64">
        <f t="shared" ref="BO49:BO54" si="9">IFERROR(1/J49*(X49/H49),"0")</f>
        <v>1.5345982142857144E-2</v>
      </c>
      <c r="BP49" s="64">
        <f t="shared" ref="BP49:BP54" si="10">IFERROR(1/J49*(Y49/H49),"0")</f>
        <v>1.5625E-2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9">
        <v>4680115881426</v>
      </c>
      <c r="E50" s="670"/>
      <c r="F50" s="664">
        <v>1.35</v>
      </c>
      <c r="G50" s="32">
        <v>8</v>
      </c>
      <c r="H50" s="664">
        <v>10.8</v>
      </c>
      <c r="I50" s="664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8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2"/>
      <c r="R50" s="672"/>
      <c r="S50" s="672"/>
      <c r="T50" s="673"/>
      <c r="U50" s="34"/>
      <c r="V50" s="34"/>
      <c r="W50" s="35" t="s">
        <v>68</v>
      </c>
      <c r="X50" s="665">
        <v>0</v>
      </c>
      <c r="Y50" s="666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9">
        <v>4680115880283</v>
      </c>
      <c r="E51" s="670"/>
      <c r="F51" s="664">
        <v>0.6</v>
      </c>
      <c r="G51" s="32">
        <v>8</v>
      </c>
      <c r="H51" s="664">
        <v>4.8</v>
      </c>
      <c r="I51" s="664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2"/>
      <c r="R51" s="672"/>
      <c r="S51" s="672"/>
      <c r="T51" s="673"/>
      <c r="U51" s="34"/>
      <c r="V51" s="34"/>
      <c r="W51" s="35" t="s">
        <v>68</v>
      </c>
      <c r="X51" s="665">
        <v>0</v>
      </c>
      <c r="Y51" s="666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9">
        <v>4680115881525</v>
      </c>
      <c r="E52" s="670"/>
      <c r="F52" s="664">
        <v>0.4</v>
      </c>
      <c r="G52" s="32">
        <v>10</v>
      </c>
      <c r="H52" s="664">
        <v>4</v>
      </c>
      <c r="I52" s="664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10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2"/>
      <c r="R52" s="672"/>
      <c r="S52" s="672"/>
      <c r="T52" s="673"/>
      <c r="U52" s="34"/>
      <c r="V52" s="34"/>
      <c r="W52" s="35" t="s">
        <v>68</v>
      </c>
      <c r="X52" s="665">
        <v>0</v>
      </c>
      <c r="Y52" s="666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9">
        <v>4680115885899</v>
      </c>
      <c r="E53" s="670"/>
      <c r="F53" s="664">
        <v>0.35</v>
      </c>
      <c r="G53" s="32">
        <v>6</v>
      </c>
      <c r="H53" s="664">
        <v>2.1</v>
      </c>
      <c r="I53" s="664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2"/>
      <c r="R53" s="672"/>
      <c r="S53" s="672"/>
      <c r="T53" s="673"/>
      <c r="U53" s="34"/>
      <c r="V53" s="34"/>
      <c r="W53" s="35" t="s">
        <v>68</v>
      </c>
      <c r="X53" s="665">
        <v>0</v>
      </c>
      <c r="Y53" s="666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9">
        <v>4680115881419</v>
      </c>
      <c r="E54" s="670"/>
      <c r="F54" s="664">
        <v>0.45</v>
      </c>
      <c r="G54" s="32">
        <v>10</v>
      </c>
      <c r="H54" s="664">
        <v>4.5</v>
      </c>
      <c r="I54" s="664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2"/>
      <c r="R54" s="672"/>
      <c r="S54" s="672"/>
      <c r="T54" s="673"/>
      <c r="U54" s="34"/>
      <c r="V54" s="34"/>
      <c r="W54" s="35" t="s">
        <v>68</v>
      </c>
      <c r="X54" s="665">
        <v>0</v>
      </c>
      <c r="Y54" s="666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8"/>
      <c r="B55" s="679"/>
      <c r="C55" s="679"/>
      <c r="D55" s="679"/>
      <c r="E55" s="679"/>
      <c r="F55" s="679"/>
      <c r="G55" s="679"/>
      <c r="H55" s="679"/>
      <c r="I55" s="679"/>
      <c r="J55" s="679"/>
      <c r="K55" s="679"/>
      <c r="L55" s="679"/>
      <c r="M55" s="679"/>
      <c r="N55" s="679"/>
      <c r="O55" s="680"/>
      <c r="P55" s="686" t="s">
        <v>87</v>
      </c>
      <c r="Q55" s="687"/>
      <c r="R55" s="687"/>
      <c r="S55" s="687"/>
      <c r="T55" s="687"/>
      <c r="U55" s="687"/>
      <c r="V55" s="688"/>
      <c r="W55" s="37" t="s">
        <v>88</v>
      </c>
      <c r="X55" s="667">
        <f>IFERROR(X49/H49,"0")+IFERROR(X50/H50,"0")+IFERROR(X51/H51,"0")+IFERROR(X52/H52,"0")+IFERROR(X53/H53,"0")+IFERROR(X54/H54,"0")</f>
        <v>0.98214285714285721</v>
      </c>
      <c r="Y55" s="667">
        <f>IFERROR(Y49/H49,"0")+IFERROR(Y50/H50,"0")+IFERROR(Y51/H51,"0")+IFERROR(Y52/H52,"0")+IFERROR(Y53/H53,"0")+IFERROR(Y54/H54,"0")</f>
        <v>1</v>
      </c>
      <c r="Z55" s="667">
        <f>IFERROR(IF(Z49="",0,Z49),"0")+IFERROR(IF(Z50="",0,Z50),"0")+IFERROR(IF(Z51="",0,Z51),"0")+IFERROR(IF(Z52="",0,Z52),"0")+IFERROR(IF(Z53="",0,Z53),"0")+IFERROR(IF(Z54="",0,Z54),"0")</f>
        <v>1.898E-2</v>
      </c>
      <c r="AA55" s="668"/>
      <c r="AB55" s="668"/>
      <c r="AC55" s="668"/>
    </row>
    <row r="56" spans="1:68" x14ac:dyDescent="0.2">
      <c r="A56" s="679"/>
      <c r="B56" s="679"/>
      <c r="C56" s="679"/>
      <c r="D56" s="679"/>
      <c r="E56" s="679"/>
      <c r="F56" s="679"/>
      <c r="G56" s="679"/>
      <c r="H56" s="679"/>
      <c r="I56" s="679"/>
      <c r="J56" s="679"/>
      <c r="K56" s="679"/>
      <c r="L56" s="679"/>
      <c r="M56" s="679"/>
      <c r="N56" s="679"/>
      <c r="O56" s="680"/>
      <c r="P56" s="686" t="s">
        <v>87</v>
      </c>
      <c r="Q56" s="687"/>
      <c r="R56" s="687"/>
      <c r="S56" s="687"/>
      <c r="T56" s="687"/>
      <c r="U56" s="687"/>
      <c r="V56" s="688"/>
      <c r="W56" s="37" t="s">
        <v>68</v>
      </c>
      <c r="X56" s="667">
        <f>IFERROR(SUM(X49:X54),"0")</f>
        <v>11</v>
      </c>
      <c r="Y56" s="667">
        <f>IFERROR(SUM(Y49:Y54),"0")</f>
        <v>11.2</v>
      </c>
      <c r="Z56" s="37"/>
      <c r="AA56" s="668"/>
      <c r="AB56" s="668"/>
      <c r="AC56" s="668"/>
    </row>
    <row r="57" spans="1:68" ht="14.25" customHeight="1" x14ac:dyDescent="0.25">
      <c r="A57" s="683" t="s">
        <v>133</v>
      </c>
      <c r="B57" s="679"/>
      <c r="C57" s="679"/>
      <c r="D57" s="679"/>
      <c r="E57" s="679"/>
      <c r="F57" s="679"/>
      <c r="G57" s="679"/>
      <c r="H57" s="679"/>
      <c r="I57" s="679"/>
      <c r="J57" s="679"/>
      <c r="K57" s="679"/>
      <c r="L57" s="679"/>
      <c r="M57" s="679"/>
      <c r="N57" s="679"/>
      <c r="O57" s="679"/>
      <c r="P57" s="679"/>
      <c r="Q57" s="679"/>
      <c r="R57" s="679"/>
      <c r="S57" s="679"/>
      <c r="T57" s="679"/>
      <c r="U57" s="679"/>
      <c r="V57" s="679"/>
      <c r="W57" s="679"/>
      <c r="X57" s="679"/>
      <c r="Y57" s="679"/>
      <c r="Z57" s="679"/>
      <c r="AA57" s="661"/>
      <c r="AB57" s="661"/>
      <c r="AC57" s="661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9">
        <v>4680115881440</v>
      </c>
      <c r="E58" s="670"/>
      <c r="F58" s="664">
        <v>1.35</v>
      </c>
      <c r="G58" s="32">
        <v>8</v>
      </c>
      <c r="H58" s="664">
        <v>10.8</v>
      </c>
      <c r="I58" s="664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2"/>
      <c r="R58" s="672"/>
      <c r="S58" s="672"/>
      <c r="T58" s="673"/>
      <c r="U58" s="34"/>
      <c r="V58" s="34"/>
      <c r="W58" s="35" t="s">
        <v>68</v>
      </c>
      <c r="X58" s="665">
        <v>0</v>
      </c>
      <c r="Y58" s="666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9">
        <v>4680115882751</v>
      </c>
      <c r="E59" s="670"/>
      <c r="F59" s="664">
        <v>0.45</v>
      </c>
      <c r="G59" s="32">
        <v>10</v>
      </c>
      <c r="H59" s="664">
        <v>4.5</v>
      </c>
      <c r="I59" s="664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7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2"/>
      <c r="R59" s="672"/>
      <c r="S59" s="672"/>
      <c r="T59" s="673"/>
      <c r="U59" s="34"/>
      <c r="V59" s="34"/>
      <c r="W59" s="35" t="s">
        <v>68</v>
      </c>
      <c r="X59" s="665">
        <v>0</v>
      </c>
      <c r="Y59" s="666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9">
        <v>4680115885950</v>
      </c>
      <c r="E60" s="670"/>
      <c r="F60" s="664">
        <v>0.37</v>
      </c>
      <c r="G60" s="32">
        <v>6</v>
      </c>
      <c r="H60" s="664">
        <v>2.2200000000000002</v>
      </c>
      <c r="I60" s="664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2"/>
      <c r="R60" s="672"/>
      <c r="S60" s="672"/>
      <c r="T60" s="673"/>
      <c r="U60" s="34"/>
      <c r="V60" s="34"/>
      <c r="W60" s="35" t="s">
        <v>68</v>
      </c>
      <c r="X60" s="665">
        <v>0</v>
      </c>
      <c r="Y60" s="666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9">
        <v>4680115881433</v>
      </c>
      <c r="E61" s="670"/>
      <c r="F61" s="664">
        <v>0.45</v>
      </c>
      <c r="G61" s="32">
        <v>6</v>
      </c>
      <c r="H61" s="664">
        <v>2.7</v>
      </c>
      <c r="I61" s="664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2"/>
      <c r="R61" s="672"/>
      <c r="S61" s="672"/>
      <c r="T61" s="673"/>
      <c r="U61" s="34"/>
      <c r="V61" s="34"/>
      <c r="W61" s="35" t="s">
        <v>68</v>
      </c>
      <c r="X61" s="665">
        <v>0</v>
      </c>
      <c r="Y61" s="66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8"/>
      <c r="B62" s="679"/>
      <c r="C62" s="679"/>
      <c r="D62" s="679"/>
      <c r="E62" s="679"/>
      <c r="F62" s="679"/>
      <c r="G62" s="679"/>
      <c r="H62" s="679"/>
      <c r="I62" s="679"/>
      <c r="J62" s="679"/>
      <c r="K62" s="679"/>
      <c r="L62" s="679"/>
      <c r="M62" s="679"/>
      <c r="N62" s="679"/>
      <c r="O62" s="680"/>
      <c r="P62" s="686" t="s">
        <v>87</v>
      </c>
      <c r="Q62" s="687"/>
      <c r="R62" s="687"/>
      <c r="S62" s="687"/>
      <c r="T62" s="687"/>
      <c r="U62" s="687"/>
      <c r="V62" s="688"/>
      <c r="W62" s="37" t="s">
        <v>88</v>
      </c>
      <c r="X62" s="667">
        <f>IFERROR(X58/H58,"0")+IFERROR(X59/H59,"0")+IFERROR(X60/H60,"0")+IFERROR(X61/H61,"0")</f>
        <v>0</v>
      </c>
      <c r="Y62" s="667">
        <f>IFERROR(Y58/H58,"0")+IFERROR(Y59/H59,"0")+IFERROR(Y60/H60,"0")+IFERROR(Y61/H61,"0")</f>
        <v>0</v>
      </c>
      <c r="Z62" s="667">
        <f>IFERROR(IF(Z58="",0,Z58),"0")+IFERROR(IF(Z59="",0,Z59),"0")+IFERROR(IF(Z60="",0,Z60),"0")+IFERROR(IF(Z61="",0,Z61),"0")</f>
        <v>0</v>
      </c>
      <c r="AA62" s="668"/>
      <c r="AB62" s="668"/>
      <c r="AC62" s="668"/>
    </row>
    <row r="63" spans="1:68" x14ac:dyDescent="0.2">
      <c r="A63" s="679"/>
      <c r="B63" s="679"/>
      <c r="C63" s="679"/>
      <c r="D63" s="679"/>
      <c r="E63" s="679"/>
      <c r="F63" s="679"/>
      <c r="G63" s="679"/>
      <c r="H63" s="679"/>
      <c r="I63" s="679"/>
      <c r="J63" s="679"/>
      <c r="K63" s="679"/>
      <c r="L63" s="679"/>
      <c r="M63" s="679"/>
      <c r="N63" s="679"/>
      <c r="O63" s="680"/>
      <c r="P63" s="686" t="s">
        <v>87</v>
      </c>
      <c r="Q63" s="687"/>
      <c r="R63" s="687"/>
      <c r="S63" s="687"/>
      <c r="T63" s="687"/>
      <c r="U63" s="687"/>
      <c r="V63" s="688"/>
      <c r="W63" s="37" t="s">
        <v>68</v>
      </c>
      <c r="X63" s="667">
        <f>IFERROR(SUM(X58:X61),"0")</f>
        <v>0</v>
      </c>
      <c r="Y63" s="667">
        <f>IFERROR(SUM(Y58:Y61),"0")</f>
        <v>0</v>
      </c>
      <c r="Z63" s="37"/>
      <c r="AA63" s="668"/>
      <c r="AB63" s="668"/>
      <c r="AC63" s="668"/>
    </row>
    <row r="64" spans="1:68" ht="14.25" customHeight="1" x14ac:dyDescent="0.25">
      <c r="A64" s="683" t="s">
        <v>144</v>
      </c>
      <c r="B64" s="679"/>
      <c r="C64" s="679"/>
      <c r="D64" s="679"/>
      <c r="E64" s="679"/>
      <c r="F64" s="679"/>
      <c r="G64" s="679"/>
      <c r="H64" s="679"/>
      <c r="I64" s="679"/>
      <c r="J64" s="679"/>
      <c r="K64" s="679"/>
      <c r="L64" s="679"/>
      <c r="M64" s="679"/>
      <c r="N64" s="679"/>
      <c r="O64" s="679"/>
      <c r="P64" s="679"/>
      <c r="Q64" s="679"/>
      <c r="R64" s="679"/>
      <c r="S64" s="679"/>
      <c r="T64" s="679"/>
      <c r="U64" s="679"/>
      <c r="V64" s="679"/>
      <c r="W64" s="679"/>
      <c r="X64" s="679"/>
      <c r="Y64" s="679"/>
      <c r="Z64" s="679"/>
      <c r="AA64" s="661"/>
      <c r="AB64" s="661"/>
      <c r="AC64" s="661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9">
        <v>4680115885073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2"/>
      <c r="R65" s="672"/>
      <c r="S65" s="672"/>
      <c r="T65" s="673"/>
      <c r="U65" s="34"/>
      <c r="V65" s="34"/>
      <c r="W65" s="35" t="s">
        <v>68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9">
        <v>4680115885059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2"/>
      <c r="R66" s="672"/>
      <c r="S66" s="672"/>
      <c r="T66" s="673"/>
      <c r="U66" s="34"/>
      <c r="V66" s="34"/>
      <c r="W66" s="35" t="s">
        <v>68</v>
      </c>
      <c r="X66" s="665">
        <v>8</v>
      </c>
      <c r="Y66" s="666">
        <f>IFERROR(IF(X66="",0,CEILING((X66/$H66),1)*$H66),"")</f>
        <v>9</v>
      </c>
      <c r="Z66" s="36">
        <f>IFERROR(IF(Y66=0,"",ROUNDUP(Y66/H66,0)*0.00502),"")</f>
        <v>2.5100000000000001E-2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8.4444444444444446</v>
      </c>
      <c r="BN66" s="64">
        <f>IFERROR(Y66*I66/H66,"0")</f>
        <v>9.4999999999999982</v>
      </c>
      <c r="BO66" s="64">
        <f>IFERROR(1/J66*(X66/H66),"0")</f>
        <v>1.8993352326685663E-2</v>
      </c>
      <c r="BP66" s="64">
        <f>IFERROR(1/J66*(Y66/H66),"0")</f>
        <v>2.1367521367521368E-2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9">
        <v>4680115885097</v>
      </c>
      <c r="E67" s="670"/>
      <c r="F67" s="664">
        <v>0.3</v>
      </c>
      <c r="G67" s="32">
        <v>6</v>
      </c>
      <c r="H67" s="664">
        <v>1.8</v>
      </c>
      <c r="I67" s="664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2"/>
      <c r="R67" s="672"/>
      <c r="S67" s="672"/>
      <c r="T67" s="673"/>
      <c r="U67" s="34"/>
      <c r="V67" s="34"/>
      <c r="W67" s="35" t="s">
        <v>68</v>
      </c>
      <c r="X67" s="665">
        <v>2</v>
      </c>
      <c r="Y67" s="666">
        <f>IFERROR(IF(X67="",0,CEILING((X67/$H67),1)*$H67),"")</f>
        <v>3.6</v>
      </c>
      <c r="Z67" s="36">
        <f>IFERROR(IF(Y67=0,"",ROUNDUP(Y67/H67,0)*0.00502),"")</f>
        <v>1.004E-2</v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2.1111111111111112</v>
      </c>
      <c r="BN67" s="64">
        <f>IFERROR(Y67*I67/H67,"0")</f>
        <v>3.8</v>
      </c>
      <c r="BO67" s="64">
        <f>IFERROR(1/J67*(X67/H67),"0")</f>
        <v>4.7483380816714157E-3</v>
      </c>
      <c r="BP67" s="64">
        <f>IFERROR(1/J67*(Y67/H67),"0")</f>
        <v>8.5470085470085479E-3</v>
      </c>
    </row>
    <row r="68" spans="1:68" x14ac:dyDescent="0.2">
      <c r="A68" s="678"/>
      <c r="B68" s="679"/>
      <c r="C68" s="679"/>
      <c r="D68" s="679"/>
      <c r="E68" s="679"/>
      <c r="F68" s="679"/>
      <c r="G68" s="679"/>
      <c r="H68" s="679"/>
      <c r="I68" s="679"/>
      <c r="J68" s="679"/>
      <c r="K68" s="679"/>
      <c r="L68" s="679"/>
      <c r="M68" s="679"/>
      <c r="N68" s="679"/>
      <c r="O68" s="680"/>
      <c r="P68" s="686" t="s">
        <v>87</v>
      </c>
      <c r="Q68" s="687"/>
      <c r="R68" s="687"/>
      <c r="S68" s="687"/>
      <c r="T68" s="687"/>
      <c r="U68" s="687"/>
      <c r="V68" s="688"/>
      <c r="W68" s="37" t="s">
        <v>88</v>
      </c>
      <c r="X68" s="667">
        <f>IFERROR(X65/H65,"0")+IFERROR(X66/H66,"0")+IFERROR(X67/H67,"0")</f>
        <v>5.5555555555555554</v>
      </c>
      <c r="Y68" s="667">
        <f>IFERROR(Y65/H65,"0")+IFERROR(Y66/H66,"0")+IFERROR(Y67/H67,"0")</f>
        <v>7</v>
      </c>
      <c r="Z68" s="667">
        <f>IFERROR(IF(Z65="",0,Z65),"0")+IFERROR(IF(Z66="",0,Z66),"0")+IFERROR(IF(Z67="",0,Z67),"0")</f>
        <v>3.5140000000000005E-2</v>
      </c>
      <c r="AA68" s="668"/>
      <c r="AB68" s="668"/>
      <c r="AC68" s="668"/>
    </row>
    <row r="69" spans="1:68" x14ac:dyDescent="0.2">
      <c r="A69" s="679"/>
      <c r="B69" s="679"/>
      <c r="C69" s="679"/>
      <c r="D69" s="679"/>
      <c r="E69" s="679"/>
      <c r="F69" s="679"/>
      <c r="G69" s="679"/>
      <c r="H69" s="679"/>
      <c r="I69" s="679"/>
      <c r="J69" s="679"/>
      <c r="K69" s="679"/>
      <c r="L69" s="679"/>
      <c r="M69" s="679"/>
      <c r="N69" s="679"/>
      <c r="O69" s="680"/>
      <c r="P69" s="686" t="s">
        <v>87</v>
      </c>
      <c r="Q69" s="687"/>
      <c r="R69" s="687"/>
      <c r="S69" s="687"/>
      <c r="T69" s="687"/>
      <c r="U69" s="687"/>
      <c r="V69" s="688"/>
      <c r="W69" s="37" t="s">
        <v>68</v>
      </c>
      <c r="X69" s="667">
        <f>IFERROR(SUM(X65:X67),"0")</f>
        <v>10</v>
      </c>
      <c r="Y69" s="667">
        <f>IFERROR(SUM(Y65:Y67),"0")</f>
        <v>12.6</v>
      </c>
      <c r="Z69" s="37"/>
      <c r="AA69" s="668"/>
      <c r="AB69" s="668"/>
      <c r="AC69" s="668"/>
    </row>
    <row r="70" spans="1:68" ht="14.25" customHeight="1" x14ac:dyDescent="0.25">
      <c r="A70" s="683" t="s">
        <v>63</v>
      </c>
      <c r="B70" s="679"/>
      <c r="C70" s="679"/>
      <c r="D70" s="679"/>
      <c r="E70" s="679"/>
      <c r="F70" s="679"/>
      <c r="G70" s="679"/>
      <c r="H70" s="679"/>
      <c r="I70" s="679"/>
      <c r="J70" s="679"/>
      <c r="K70" s="679"/>
      <c r="L70" s="679"/>
      <c r="M70" s="679"/>
      <c r="N70" s="679"/>
      <c r="O70" s="679"/>
      <c r="P70" s="679"/>
      <c r="Q70" s="679"/>
      <c r="R70" s="679"/>
      <c r="S70" s="679"/>
      <c r="T70" s="679"/>
      <c r="U70" s="679"/>
      <c r="V70" s="679"/>
      <c r="W70" s="679"/>
      <c r="X70" s="679"/>
      <c r="Y70" s="679"/>
      <c r="Z70" s="679"/>
      <c r="AA70" s="661"/>
      <c r="AB70" s="661"/>
      <c r="AC70" s="661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9">
        <v>4680115881891</v>
      </c>
      <c r="E71" s="670"/>
      <c r="F71" s="664">
        <v>1.4</v>
      </c>
      <c r="G71" s="32">
        <v>6</v>
      </c>
      <c r="H71" s="664">
        <v>8.4</v>
      </c>
      <c r="I71" s="664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51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2"/>
      <c r="R71" s="672"/>
      <c r="S71" s="672"/>
      <c r="T71" s="673"/>
      <c r="U71" s="34"/>
      <c r="V71" s="34"/>
      <c r="W71" s="35" t="s">
        <v>68</v>
      </c>
      <c r="X71" s="665">
        <v>0</v>
      </c>
      <c r="Y71" s="666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9">
        <v>4680115885769</v>
      </c>
      <c r="E72" s="670"/>
      <c r="F72" s="664">
        <v>1.4</v>
      </c>
      <c r="G72" s="32">
        <v>6</v>
      </c>
      <c r="H72" s="664">
        <v>8.4</v>
      </c>
      <c r="I72" s="664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2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2"/>
      <c r="R72" s="672"/>
      <c r="S72" s="672"/>
      <c r="T72" s="673"/>
      <c r="U72" s="34"/>
      <c r="V72" s="34"/>
      <c r="W72" s="35" t="s">
        <v>68</v>
      </c>
      <c r="X72" s="665">
        <v>8</v>
      </c>
      <c r="Y72" s="666">
        <f t="shared" si="11"/>
        <v>8.4</v>
      </c>
      <c r="Z72" s="36">
        <f>IFERROR(IF(Y72=0,"",ROUNDUP(Y72/H72,0)*0.01898),"")</f>
        <v>1.898E-2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8.4142857142857146</v>
      </c>
      <c r="BN72" s="64">
        <f t="shared" si="13"/>
        <v>8.8350000000000009</v>
      </c>
      <c r="BO72" s="64">
        <f t="shared" si="14"/>
        <v>1.488095238095238E-2</v>
      </c>
      <c r="BP72" s="64">
        <f t="shared" si="15"/>
        <v>1.5625E-2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9">
        <v>4680115884410</v>
      </c>
      <c r="E73" s="670"/>
      <c r="F73" s="664">
        <v>1.4</v>
      </c>
      <c r="G73" s="32">
        <v>6</v>
      </c>
      <c r="H73" s="664">
        <v>8.4</v>
      </c>
      <c r="I73" s="664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7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2"/>
      <c r="R73" s="672"/>
      <c r="S73" s="672"/>
      <c r="T73" s="673"/>
      <c r="U73" s="34"/>
      <c r="V73" s="34"/>
      <c r="W73" s="35" t="s">
        <v>68</v>
      </c>
      <c r="X73" s="665">
        <v>0</v>
      </c>
      <c r="Y73" s="666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9">
        <v>4680115884311</v>
      </c>
      <c r="E74" s="670"/>
      <c r="F74" s="664">
        <v>0.3</v>
      </c>
      <c r="G74" s="32">
        <v>6</v>
      </c>
      <c r="H74" s="664">
        <v>1.8</v>
      </c>
      <c r="I74" s="664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2"/>
      <c r="R74" s="672"/>
      <c r="S74" s="672"/>
      <c r="T74" s="673"/>
      <c r="U74" s="34"/>
      <c r="V74" s="34"/>
      <c r="W74" s="35" t="s">
        <v>68</v>
      </c>
      <c r="X74" s="665">
        <v>0</v>
      </c>
      <c r="Y74" s="666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9">
        <v>4680115885929</v>
      </c>
      <c r="E75" s="670"/>
      <c r="F75" s="664">
        <v>0.42</v>
      </c>
      <c r="G75" s="32">
        <v>6</v>
      </c>
      <c r="H75" s="664">
        <v>2.52</v>
      </c>
      <c r="I75" s="664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1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2"/>
      <c r="R75" s="672"/>
      <c r="S75" s="672"/>
      <c r="T75" s="673"/>
      <c r="U75" s="34"/>
      <c r="V75" s="34"/>
      <c r="W75" s="35" t="s">
        <v>68</v>
      </c>
      <c r="X75" s="665">
        <v>0</v>
      </c>
      <c r="Y75" s="666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9">
        <v>4680115884403</v>
      </c>
      <c r="E76" s="670"/>
      <c r="F76" s="664">
        <v>0.3</v>
      </c>
      <c r="G76" s="32">
        <v>6</v>
      </c>
      <c r="H76" s="664">
        <v>1.8</v>
      </c>
      <c r="I76" s="664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2"/>
      <c r="R76" s="672"/>
      <c r="S76" s="672"/>
      <c r="T76" s="673"/>
      <c r="U76" s="34"/>
      <c r="V76" s="34"/>
      <c r="W76" s="35" t="s">
        <v>68</v>
      </c>
      <c r="X76" s="665">
        <v>0</v>
      </c>
      <c r="Y76" s="666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8"/>
      <c r="B77" s="679"/>
      <c r="C77" s="679"/>
      <c r="D77" s="679"/>
      <c r="E77" s="679"/>
      <c r="F77" s="679"/>
      <c r="G77" s="679"/>
      <c r="H77" s="679"/>
      <c r="I77" s="679"/>
      <c r="J77" s="679"/>
      <c r="K77" s="679"/>
      <c r="L77" s="679"/>
      <c r="M77" s="679"/>
      <c r="N77" s="679"/>
      <c r="O77" s="680"/>
      <c r="P77" s="686" t="s">
        <v>87</v>
      </c>
      <c r="Q77" s="687"/>
      <c r="R77" s="687"/>
      <c r="S77" s="687"/>
      <c r="T77" s="687"/>
      <c r="U77" s="687"/>
      <c r="V77" s="688"/>
      <c r="W77" s="37" t="s">
        <v>88</v>
      </c>
      <c r="X77" s="667">
        <f>IFERROR(X71/H71,"0")+IFERROR(X72/H72,"0")+IFERROR(X73/H73,"0")+IFERROR(X74/H74,"0")+IFERROR(X75/H75,"0")+IFERROR(X76/H76,"0")</f>
        <v>0.95238095238095233</v>
      </c>
      <c r="Y77" s="667">
        <f>IFERROR(Y71/H71,"0")+IFERROR(Y72/H72,"0")+IFERROR(Y73/H73,"0")+IFERROR(Y74/H74,"0")+IFERROR(Y75/H75,"0")+IFERROR(Y76/H76,"0")</f>
        <v>1</v>
      </c>
      <c r="Z77" s="667">
        <f>IFERROR(IF(Z71="",0,Z71),"0")+IFERROR(IF(Z72="",0,Z72),"0")+IFERROR(IF(Z73="",0,Z73),"0")+IFERROR(IF(Z74="",0,Z74),"0")+IFERROR(IF(Z75="",0,Z75),"0")+IFERROR(IF(Z76="",0,Z76),"0")</f>
        <v>1.898E-2</v>
      </c>
      <c r="AA77" s="668"/>
      <c r="AB77" s="668"/>
      <c r="AC77" s="668"/>
    </row>
    <row r="78" spans="1:68" x14ac:dyDescent="0.2">
      <c r="A78" s="679"/>
      <c r="B78" s="679"/>
      <c r="C78" s="679"/>
      <c r="D78" s="679"/>
      <c r="E78" s="679"/>
      <c r="F78" s="679"/>
      <c r="G78" s="679"/>
      <c r="H78" s="679"/>
      <c r="I78" s="679"/>
      <c r="J78" s="679"/>
      <c r="K78" s="679"/>
      <c r="L78" s="679"/>
      <c r="M78" s="679"/>
      <c r="N78" s="679"/>
      <c r="O78" s="680"/>
      <c r="P78" s="686" t="s">
        <v>87</v>
      </c>
      <c r="Q78" s="687"/>
      <c r="R78" s="687"/>
      <c r="S78" s="687"/>
      <c r="T78" s="687"/>
      <c r="U78" s="687"/>
      <c r="V78" s="688"/>
      <c r="W78" s="37" t="s">
        <v>68</v>
      </c>
      <c r="X78" s="667">
        <f>IFERROR(SUM(X71:X76),"0")</f>
        <v>8</v>
      </c>
      <c r="Y78" s="667">
        <f>IFERROR(SUM(Y71:Y76),"0")</f>
        <v>8.4</v>
      </c>
      <c r="Z78" s="37"/>
      <c r="AA78" s="668"/>
      <c r="AB78" s="668"/>
      <c r="AC78" s="668"/>
    </row>
    <row r="79" spans="1:68" ht="14.25" customHeight="1" x14ac:dyDescent="0.25">
      <c r="A79" s="683" t="s">
        <v>170</v>
      </c>
      <c r="B79" s="679"/>
      <c r="C79" s="679"/>
      <c r="D79" s="679"/>
      <c r="E79" s="679"/>
      <c r="F79" s="679"/>
      <c r="G79" s="679"/>
      <c r="H79" s="679"/>
      <c r="I79" s="679"/>
      <c r="J79" s="679"/>
      <c r="K79" s="679"/>
      <c r="L79" s="679"/>
      <c r="M79" s="679"/>
      <c r="N79" s="679"/>
      <c r="O79" s="679"/>
      <c r="P79" s="679"/>
      <c r="Q79" s="679"/>
      <c r="R79" s="679"/>
      <c r="S79" s="679"/>
      <c r="T79" s="679"/>
      <c r="U79" s="679"/>
      <c r="V79" s="679"/>
      <c r="W79" s="679"/>
      <c r="X79" s="679"/>
      <c r="Y79" s="679"/>
      <c r="Z79" s="679"/>
      <c r="AA79" s="661"/>
      <c r="AB79" s="661"/>
      <c r="AC79" s="661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68</v>
      </c>
      <c r="X80" s="665">
        <v>52</v>
      </c>
      <c r="Y80" s="666">
        <f>IFERROR(IF(X80="",0,CEILING((X80/$H80),1)*$H80),"")</f>
        <v>58.800000000000004</v>
      </c>
      <c r="Z80" s="36">
        <f>IFERROR(IF(Y80=0,"",ROUNDUP(Y80/H80,0)*0.01898),"")</f>
        <v>0.13286000000000001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55.212857142857139</v>
      </c>
      <c r="BN80" s="64">
        <f>IFERROR(Y80*I80/H80,"0")</f>
        <v>62.433000000000007</v>
      </c>
      <c r="BO80" s="64">
        <f>IFERROR(1/J80*(X80/H80),"0")</f>
        <v>9.6726190476190466E-2</v>
      </c>
      <c r="BP80" s="64">
        <f>IFERROR(1/J80*(Y80/H80),"0")</f>
        <v>0.109375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9">
        <v>4680115881532</v>
      </c>
      <c r="E81" s="670"/>
      <c r="F81" s="664">
        <v>1.3</v>
      </c>
      <c r="G81" s="32">
        <v>6</v>
      </c>
      <c r="H81" s="664">
        <v>7.8</v>
      </c>
      <c r="I81" s="664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2"/>
      <c r="R81" s="672"/>
      <c r="S81" s="672"/>
      <c r="T81" s="673"/>
      <c r="U81" s="34"/>
      <c r="V81" s="34"/>
      <c r="W81" s="35" t="s">
        <v>68</v>
      </c>
      <c r="X81" s="665">
        <v>0</v>
      </c>
      <c r="Y81" s="666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9">
        <v>4680115881464</v>
      </c>
      <c r="E82" s="670"/>
      <c r="F82" s="664">
        <v>0.4</v>
      </c>
      <c r="G82" s="32">
        <v>6</v>
      </c>
      <c r="H82" s="664">
        <v>2.4</v>
      </c>
      <c r="I82" s="664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2"/>
      <c r="R82" s="672"/>
      <c r="S82" s="672"/>
      <c r="T82" s="673"/>
      <c r="U82" s="34"/>
      <c r="V82" s="34"/>
      <c r="W82" s="35" t="s">
        <v>68</v>
      </c>
      <c r="X82" s="665">
        <v>0</v>
      </c>
      <c r="Y82" s="666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8"/>
      <c r="B83" s="679"/>
      <c r="C83" s="679"/>
      <c r="D83" s="679"/>
      <c r="E83" s="679"/>
      <c r="F83" s="679"/>
      <c r="G83" s="679"/>
      <c r="H83" s="679"/>
      <c r="I83" s="679"/>
      <c r="J83" s="679"/>
      <c r="K83" s="679"/>
      <c r="L83" s="679"/>
      <c r="M83" s="679"/>
      <c r="N83" s="679"/>
      <c r="O83" s="680"/>
      <c r="P83" s="686" t="s">
        <v>87</v>
      </c>
      <c r="Q83" s="687"/>
      <c r="R83" s="687"/>
      <c r="S83" s="687"/>
      <c r="T83" s="687"/>
      <c r="U83" s="687"/>
      <c r="V83" s="688"/>
      <c r="W83" s="37" t="s">
        <v>88</v>
      </c>
      <c r="X83" s="667">
        <f>IFERROR(X80/H80,"0")+IFERROR(X81/H81,"0")+IFERROR(X82/H82,"0")</f>
        <v>6.1904761904761898</v>
      </c>
      <c r="Y83" s="667">
        <f>IFERROR(Y80/H80,"0")+IFERROR(Y81/H81,"0")+IFERROR(Y82/H82,"0")</f>
        <v>7</v>
      </c>
      <c r="Z83" s="667">
        <f>IFERROR(IF(Z80="",0,Z80),"0")+IFERROR(IF(Z81="",0,Z81),"0")+IFERROR(IF(Z82="",0,Z82),"0")</f>
        <v>0.13286000000000001</v>
      </c>
      <c r="AA83" s="668"/>
      <c r="AB83" s="668"/>
      <c r="AC83" s="668"/>
    </row>
    <row r="84" spans="1:68" x14ac:dyDescent="0.2">
      <c r="A84" s="679"/>
      <c r="B84" s="679"/>
      <c r="C84" s="679"/>
      <c r="D84" s="679"/>
      <c r="E84" s="679"/>
      <c r="F84" s="679"/>
      <c r="G84" s="679"/>
      <c r="H84" s="679"/>
      <c r="I84" s="679"/>
      <c r="J84" s="679"/>
      <c r="K84" s="679"/>
      <c r="L84" s="679"/>
      <c r="M84" s="679"/>
      <c r="N84" s="679"/>
      <c r="O84" s="680"/>
      <c r="P84" s="686" t="s">
        <v>87</v>
      </c>
      <c r="Q84" s="687"/>
      <c r="R84" s="687"/>
      <c r="S84" s="687"/>
      <c r="T84" s="687"/>
      <c r="U84" s="687"/>
      <c r="V84" s="688"/>
      <c r="W84" s="37" t="s">
        <v>68</v>
      </c>
      <c r="X84" s="667">
        <f>IFERROR(SUM(X80:X82),"0")</f>
        <v>52</v>
      </c>
      <c r="Y84" s="667">
        <f>IFERROR(SUM(Y80:Y82),"0")</f>
        <v>58.800000000000004</v>
      </c>
      <c r="Z84" s="37"/>
      <c r="AA84" s="668"/>
      <c r="AB84" s="668"/>
      <c r="AC84" s="668"/>
    </row>
    <row r="85" spans="1:68" ht="16.5" customHeight="1" x14ac:dyDescent="0.25">
      <c r="A85" s="718" t="s">
        <v>178</v>
      </c>
      <c r="B85" s="679"/>
      <c r="C85" s="679"/>
      <c r="D85" s="679"/>
      <c r="E85" s="679"/>
      <c r="F85" s="679"/>
      <c r="G85" s="679"/>
      <c r="H85" s="679"/>
      <c r="I85" s="679"/>
      <c r="J85" s="679"/>
      <c r="K85" s="679"/>
      <c r="L85" s="679"/>
      <c r="M85" s="679"/>
      <c r="N85" s="679"/>
      <c r="O85" s="679"/>
      <c r="P85" s="679"/>
      <c r="Q85" s="679"/>
      <c r="R85" s="679"/>
      <c r="S85" s="679"/>
      <c r="T85" s="679"/>
      <c r="U85" s="679"/>
      <c r="V85" s="679"/>
      <c r="W85" s="679"/>
      <c r="X85" s="679"/>
      <c r="Y85" s="679"/>
      <c r="Z85" s="679"/>
      <c r="AA85" s="660"/>
      <c r="AB85" s="660"/>
      <c r="AC85" s="660"/>
    </row>
    <row r="86" spans="1:68" ht="14.25" customHeight="1" x14ac:dyDescent="0.25">
      <c r="A86" s="683" t="s">
        <v>97</v>
      </c>
      <c r="B86" s="679"/>
      <c r="C86" s="679"/>
      <c r="D86" s="679"/>
      <c r="E86" s="679"/>
      <c r="F86" s="679"/>
      <c r="G86" s="679"/>
      <c r="H86" s="679"/>
      <c r="I86" s="679"/>
      <c r="J86" s="679"/>
      <c r="K86" s="679"/>
      <c r="L86" s="679"/>
      <c r="M86" s="679"/>
      <c r="N86" s="679"/>
      <c r="O86" s="679"/>
      <c r="P86" s="679"/>
      <c r="Q86" s="679"/>
      <c r="R86" s="679"/>
      <c r="S86" s="679"/>
      <c r="T86" s="679"/>
      <c r="U86" s="679"/>
      <c r="V86" s="679"/>
      <c r="W86" s="679"/>
      <c r="X86" s="679"/>
      <c r="Y86" s="679"/>
      <c r="Z86" s="679"/>
      <c r="AA86" s="661"/>
      <c r="AB86" s="661"/>
      <c r="AC86" s="661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9">
        <v>4680115881327</v>
      </c>
      <c r="E87" s="670"/>
      <c r="F87" s="664">
        <v>1.35</v>
      </c>
      <c r="G87" s="32">
        <v>8</v>
      </c>
      <c r="H87" s="664">
        <v>10.8</v>
      </c>
      <c r="I87" s="664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2"/>
      <c r="R87" s="672"/>
      <c r="S87" s="672"/>
      <c r="T87" s="673"/>
      <c r="U87" s="34"/>
      <c r="V87" s="34"/>
      <c r="W87" s="35" t="s">
        <v>68</v>
      </c>
      <c r="X87" s="665">
        <v>106</v>
      </c>
      <c r="Y87" s="666">
        <f>IFERROR(IF(X87="",0,CEILING((X87/$H87),1)*$H87),"")</f>
        <v>108</v>
      </c>
      <c r="Z87" s="36">
        <f>IFERROR(IF(Y87=0,"",ROUNDUP(Y87/H87,0)*0.01898),"")</f>
        <v>0.1898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110.26944444444442</v>
      </c>
      <c r="BN87" s="64">
        <f>IFERROR(Y87*I87/H87,"0")</f>
        <v>112.34999999999998</v>
      </c>
      <c r="BO87" s="64">
        <f>IFERROR(1/J87*(X87/H87),"0")</f>
        <v>0.15335648148148148</v>
      </c>
      <c r="BP87" s="64">
        <f>IFERROR(1/J87*(Y87/H87),"0")</f>
        <v>0.15625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9">
        <v>4680115881518</v>
      </c>
      <c r="E88" s="670"/>
      <c r="F88" s="664">
        <v>0.4</v>
      </c>
      <c r="G88" s="32">
        <v>10</v>
      </c>
      <c r="H88" s="664">
        <v>4</v>
      </c>
      <c r="I88" s="664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2"/>
      <c r="R88" s="672"/>
      <c r="S88" s="672"/>
      <c r="T88" s="673"/>
      <c r="U88" s="34"/>
      <c r="V88" s="34"/>
      <c r="W88" s="35" t="s">
        <v>68</v>
      </c>
      <c r="X88" s="665">
        <v>0</v>
      </c>
      <c r="Y88" s="66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9">
        <v>4680115881303</v>
      </c>
      <c r="E89" s="670"/>
      <c r="F89" s="664">
        <v>0.45</v>
      </c>
      <c r="G89" s="32">
        <v>10</v>
      </c>
      <c r="H89" s="664">
        <v>4.5</v>
      </c>
      <c r="I89" s="664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2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2"/>
      <c r="R89" s="672"/>
      <c r="S89" s="672"/>
      <c r="T89" s="673"/>
      <c r="U89" s="34"/>
      <c r="V89" s="34"/>
      <c r="W89" s="35" t="s">
        <v>68</v>
      </c>
      <c r="X89" s="665">
        <v>2</v>
      </c>
      <c r="Y89" s="666">
        <f>IFERROR(IF(X89="",0,CEILING((X89/$H89),1)*$H89),"")</f>
        <v>4.5</v>
      </c>
      <c r="Z89" s="36">
        <f>IFERROR(IF(Y89=0,"",ROUNDUP(Y89/H89,0)*0.00902),"")</f>
        <v>9.0200000000000002E-3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2.0933333333333333</v>
      </c>
      <c r="BN89" s="64">
        <f>IFERROR(Y89*I89/H89,"0")</f>
        <v>4.71</v>
      </c>
      <c r="BO89" s="64">
        <f>IFERROR(1/J89*(X89/H89),"0")</f>
        <v>3.3670033670033669E-3</v>
      </c>
      <c r="BP89" s="64">
        <f>IFERROR(1/J89*(Y89/H89),"0")</f>
        <v>7.575757575757576E-3</v>
      </c>
    </row>
    <row r="90" spans="1:68" x14ac:dyDescent="0.2">
      <c r="A90" s="678"/>
      <c r="B90" s="679"/>
      <c r="C90" s="679"/>
      <c r="D90" s="679"/>
      <c r="E90" s="679"/>
      <c r="F90" s="679"/>
      <c r="G90" s="679"/>
      <c r="H90" s="679"/>
      <c r="I90" s="679"/>
      <c r="J90" s="679"/>
      <c r="K90" s="679"/>
      <c r="L90" s="679"/>
      <c r="M90" s="679"/>
      <c r="N90" s="679"/>
      <c r="O90" s="680"/>
      <c r="P90" s="686" t="s">
        <v>87</v>
      </c>
      <c r="Q90" s="687"/>
      <c r="R90" s="687"/>
      <c r="S90" s="687"/>
      <c r="T90" s="687"/>
      <c r="U90" s="687"/>
      <c r="V90" s="688"/>
      <c r="W90" s="37" t="s">
        <v>88</v>
      </c>
      <c r="X90" s="667">
        <f>IFERROR(X87/H87,"0")+IFERROR(X88/H88,"0")+IFERROR(X89/H89,"0")</f>
        <v>10.25925925925926</v>
      </c>
      <c r="Y90" s="667">
        <f>IFERROR(Y87/H87,"0")+IFERROR(Y88/H88,"0")+IFERROR(Y89/H89,"0")</f>
        <v>11</v>
      </c>
      <c r="Z90" s="667">
        <f>IFERROR(IF(Z87="",0,Z87),"0")+IFERROR(IF(Z88="",0,Z88),"0")+IFERROR(IF(Z89="",0,Z89),"0")</f>
        <v>0.19882</v>
      </c>
      <c r="AA90" s="668"/>
      <c r="AB90" s="668"/>
      <c r="AC90" s="668"/>
    </row>
    <row r="91" spans="1:68" x14ac:dyDescent="0.2">
      <c r="A91" s="679"/>
      <c r="B91" s="679"/>
      <c r="C91" s="679"/>
      <c r="D91" s="679"/>
      <c r="E91" s="679"/>
      <c r="F91" s="679"/>
      <c r="G91" s="679"/>
      <c r="H91" s="679"/>
      <c r="I91" s="679"/>
      <c r="J91" s="679"/>
      <c r="K91" s="679"/>
      <c r="L91" s="679"/>
      <c r="M91" s="679"/>
      <c r="N91" s="679"/>
      <c r="O91" s="680"/>
      <c r="P91" s="686" t="s">
        <v>87</v>
      </c>
      <c r="Q91" s="687"/>
      <c r="R91" s="687"/>
      <c r="S91" s="687"/>
      <c r="T91" s="687"/>
      <c r="U91" s="687"/>
      <c r="V91" s="688"/>
      <c r="W91" s="37" t="s">
        <v>68</v>
      </c>
      <c r="X91" s="667">
        <f>IFERROR(SUM(X87:X89),"0")</f>
        <v>108</v>
      </c>
      <c r="Y91" s="667">
        <f>IFERROR(SUM(Y87:Y89),"0")</f>
        <v>112.5</v>
      </c>
      <c r="Z91" s="37"/>
      <c r="AA91" s="668"/>
      <c r="AB91" s="668"/>
      <c r="AC91" s="668"/>
    </row>
    <row r="92" spans="1:68" ht="14.25" customHeight="1" x14ac:dyDescent="0.25">
      <c r="A92" s="683" t="s">
        <v>63</v>
      </c>
      <c r="B92" s="679"/>
      <c r="C92" s="679"/>
      <c r="D92" s="679"/>
      <c r="E92" s="679"/>
      <c r="F92" s="679"/>
      <c r="G92" s="679"/>
      <c r="H92" s="679"/>
      <c r="I92" s="679"/>
      <c r="J92" s="679"/>
      <c r="K92" s="679"/>
      <c r="L92" s="679"/>
      <c r="M92" s="679"/>
      <c r="N92" s="679"/>
      <c r="O92" s="679"/>
      <c r="P92" s="679"/>
      <c r="Q92" s="679"/>
      <c r="R92" s="679"/>
      <c r="S92" s="679"/>
      <c r="T92" s="679"/>
      <c r="U92" s="679"/>
      <c r="V92" s="679"/>
      <c r="W92" s="679"/>
      <c r="X92" s="679"/>
      <c r="Y92" s="679"/>
      <c r="Z92" s="679"/>
      <c r="AA92" s="661"/>
      <c r="AB92" s="661"/>
      <c r="AC92" s="661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9">
        <v>4607091386967</v>
      </c>
      <c r="E93" s="670"/>
      <c r="F93" s="664">
        <v>1.35</v>
      </c>
      <c r="G93" s="32">
        <v>6</v>
      </c>
      <c r="H93" s="664">
        <v>8.1</v>
      </c>
      <c r="I93" s="664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953" t="s">
        <v>189</v>
      </c>
      <c r="Q93" s="672"/>
      <c r="R93" s="672"/>
      <c r="S93" s="672"/>
      <c r="T93" s="673"/>
      <c r="U93" s="34"/>
      <c r="V93" s="34"/>
      <c r="W93" s="35" t="s">
        <v>68</v>
      </c>
      <c r="X93" s="665">
        <v>0</v>
      </c>
      <c r="Y93" s="666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9">
        <v>4607091386967</v>
      </c>
      <c r="E94" s="670"/>
      <c r="F94" s="664">
        <v>1.4</v>
      </c>
      <c r="G94" s="32">
        <v>6</v>
      </c>
      <c r="H94" s="664">
        <v>8.4</v>
      </c>
      <c r="I94" s="664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2"/>
      <c r="R94" s="672"/>
      <c r="S94" s="672"/>
      <c r="T94" s="673"/>
      <c r="U94" s="34"/>
      <c r="V94" s="34"/>
      <c r="W94" s="35" t="s">
        <v>68</v>
      </c>
      <c r="X94" s="665">
        <v>56</v>
      </c>
      <c r="Y94" s="666">
        <f t="shared" si="16"/>
        <v>58.800000000000004</v>
      </c>
      <c r="Z94" s="36">
        <f>IFERROR(IF(Y94=0,"",ROUNDUP(Y94/H94,0)*0.01898),"")</f>
        <v>0.13286000000000001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59.46</v>
      </c>
      <c r="BN94" s="64">
        <f t="shared" si="18"/>
        <v>62.433000000000007</v>
      </c>
      <c r="BO94" s="64">
        <f t="shared" si="19"/>
        <v>0.10416666666666666</v>
      </c>
      <c r="BP94" s="64">
        <f t="shared" si="20"/>
        <v>0.109375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9">
        <v>4607091386967</v>
      </c>
      <c r="E95" s="670"/>
      <c r="F95" s="664">
        <v>1.35</v>
      </c>
      <c r="G95" s="32">
        <v>6</v>
      </c>
      <c r="H95" s="664">
        <v>8.1</v>
      </c>
      <c r="I95" s="664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3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2"/>
      <c r="R95" s="672"/>
      <c r="S95" s="672"/>
      <c r="T95" s="673"/>
      <c r="U95" s="34"/>
      <c r="V95" s="34"/>
      <c r="W95" s="35" t="s">
        <v>68</v>
      </c>
      <c r="X95" s="665">
        <v>0</v>
      </c>
      <c r="Y95" s="666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9">
        <v>4680115884953</v>
      </c>
      <c r="E96" s="670"/>
      <c r="F96" s="664">
        <v>0.37</v>
      </c>
      <c r="G96" s="32">
        <v>6</v>
      </c>
      <c r="H96" s="664">
        <v>2.2200000000000002</v>
      </c>
      <c r="I96" s="664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7" t="s">
        <v>196</v>
      </c>
      <c r="Q96" s="672"/>
      <c r="R96" s="672"/>
      <c r="S96" s="672"/>
      <c r="T96" s="673"/>
      <c r="U96" s="34"/>
      <c r="V96" s="34"/>
      <c r="W96" s="35" t="s">
        <v>68</v>
      </c>
      <c r="X96" s="665">
        <v>0</v>
      </c>
      <c r="Y96" s="666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27" customHeight="1" x14ac:dyDescent="0.25">
      <c r="A97" s="54" t="s">
        <v>198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66</v>
      </c>
      <c r="L97" s="32"/>
      <c r="M97" s="33" t="s">
        <v>106</v>
      </c>
      <c r="N97" s="33"/>
      <c r="O97" s="32">
        <v>45</v>
      </c>
      <c r="P97" s="772" t="s">
        <v>200</v>
      </c>
      <c r="Q97" s="672"/>
      <c r="R97" s="672"/>
      <c r="S97" s="672"/>
      <c r="T97" s="673"/>
      <c r="U97" s="34"/>
      <c r="V97" s="34"/>
      <c r="W97" s="35" t="s">
        <v>68</v>
      </c>
      <c r="X97" s="665">
        <v>0</v>
      </c>
      <c r="Y97" s="666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192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16.5" customHeight="1" x14ac:dyDescent="0.25">
      <c r="A98" s="54" t="s">
        <v>198</v>
      </c>
      <c r="B98" s="54" t="s">
        <v>201</v>
      </c>
      <c r="C98" s="31">
        <v>4301051718</v>
      </c>
      <c r="D98" s="669">
        <v>4607091385731</v>
      </c>
      <c r="E98" s="670"/>
      <c r="F98" s="664">
        <v>0.45</v>
      </c>
      <c r="G98" s="32">
        <v>6</v>
      </c>
      <c r="H98" s="664">
        <v>2.7</v>
      </c>
      <c r="I98" s="664">
        <v>2.952</v>
      </c>
      <c r="J98" s="32">
        <v>182</v>
      </c>
      <c r="K98" s="32" t="s">
        <v>66</v>
      </c>
      <c r="L98" s="32"/>
      <c r="M98" s="33" t="s">
        <v>129</v>
      </c>
      <c r="N98" s="33"/>
      <c r="O98" s="32">
        <v>45</v>
      </c>
      <c r="P98" s="944" t="s">
        <v>202</v>
      </c>
      <c r="Q98" s="672"/>
      <c r="R98" s="672"/>
      <c r="S98" s="672"/>
      <c r="T98" s="673"/>
      <c r="U98" s="34"/>
      <c r="V98" s="34"/>
      <c r="W98" s="35" t="s">
        <v>68</v>
      </c>
      <c r="X98" s="665">
        <v>0</v>
      </c>
      <c r="Y98" s="666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190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9">
        <v>4680115880894</v>
      </c>
      <c r="E99" s="670"/>
      <c r="F99" s="664">
        <v>0.33</v>
      </c>
      <c r="G99" s="32">
        <v>6</v>
      </c>
      <c r="H99" s="664">
        <v>1.98</v>
      </c>
      <c r="I99" s="664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2"/>
      <c r="R99" s="672"/>
      <c r="S99" s="672"/>
      <c r="T99" s="673"/>
      <c r="U99" s="34"/>
      <c r="V99" s="34"/>
      <c r="W99" s="35" t="s">
        <v>68</v>
      </c>
      <c r="X99" s="665">
        <v>0</v>
      </c>
      <c r="Y99" s="666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8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68</v>
      </c>
      <c r="X100" s="665">
        <v>0</v>
      </c>
      <c r="Y100" s="666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9">
        <v>4680115880214</v>
      </c>
      <c r="E101" s="670"/>
      <c r="F101" s="664">
        <v>0.45</v>
      </c>
      <c r="G101" s="32">
        <v>6</v>
      </c>
      <c r="H101" s="664">
        <v>2.7</v>
      </c>
      <c r="I101" s="664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2"/>
      <c r="R101" s="672"/>
      <c r="S101" s="672"/>
      <c r="T101" s="673"/>
      <c r="U101" s="34"/>
      <c r="V101" s="34"/>
      <c r="W101" s="35" t="s">
        <v>68</v>
      </c>
      <c r="X101" s="665">
        <v>0</v>
      </c>
      <c r="Y101" s="666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8"/>
      <c r="B102" s="679"/>
      <c r="C102" s="679"/>
      <c r="D102" s="679"/>
      <c r="E102" s="679"/>
      <c r="F102" s="679"/>
      <c r="G102" s="679"/>
      <c r="H102" s="679"/>
      <c r="I102" s="679"/>
      <c r="J102" s="679"/>
      <c r="K102" s="679"/>
      <c r="L102" s="679"/>
      <c r="M102" s="679"/>
      <c r="N102" s="679"/>
      <c r="O102" s="680"/>
      <c r="P102" s="686" t="s">
        <v>87</v>
      </c>
      <c r="Q102" s="687"/>
      <c r="R102" s="687"/>
      <c r="S102" s="687"/>
      <c r="T102" s="687"/>
      <c r="U102" s="687"/>
      <c r="V102" s="688"/>
      <c r="W102" s="37" t="s">
        <v>88</v>
      </c>
      <c r="X102" s="667">
        <f>IFERROR(X93/H93,"0")+IFERROR(X94/H94,"0")+IFERROR(X95/H95,"0")+IFERROR(X96/H96,"0")+IFERROR(X97/H97,"0")+IFERROR(X98/H98,"0")+IFERROR(X99/H99,"0")+IFERROR(X100/H100,"0")+IFERROR(X101/H101,"0")</f>
        <v>6.6666666666666661</v>
      </c>
      <c r="Y102" s="667">
        <f>IFERROR(Y93/H93,"0")+IFERROR(Y94/H94,"0")+IFERROR(Y95/H95,"0")+IFERROR(Y96/H96,"0")+IFERROR(Y97/H97,"0")+IFERROR(Y98/H98,"0")+IFERROR(Y99/H99,"0")+IFERROR(Y100/H100,"0")+IFERROR(Y101/H101,"0")</f>
        <v>7</v>
      </c>
      <c r="Z102" s="667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0.13286000000000001</v>
      </c>
      <c r="AA102" s="668"/>
      <c r="AB102" s="668"/>
      <c r="AC102" s="668"/>
    </row>
    <row r="103" spans="1:68" x14ac:dyDescent="0.2">
      <c r="A103" s="679"/>
      <c r="B103" s="679"/>
      <c r="C103" s="679"/>
      <c r="D103" s="679"/>
      <c r="E103" s="679"/>
      <c r="F103" s="679"/>
      <c r="G103" s="679"/>
      <c r="H103" s="679"/>
      <c r="I103" s="679"/>
      <c r="J103" s="679"/>
      <c r="K103" s="679"/>
      <c r="L103" s="679"/>
      <c r="M103" s="679"/>
      <c r="N103" s="679"/>
      <c r="O103" s="680"/>
      <c r="P103" s="686" t="s">
        <v>87</v>
      </c>
      <c r="Q103" s="687"/>
      <c r="R103" s="687"/>
      <c r="S103" s="687"/>
      <c r="T103" s="687"/>
      <c r="U103" s="687"/>
      <c r="V103" s="688"/>
      <c r="W103" s="37" t="s">
        <v>68</v>
      </c>
      <c r="X103" s="667">
        <f>IFERROR(SUM(X93:X101),"0")</f>
        <v>56</v>
      </c>
      <c r="Y103" s="667">
        <f>IFERROR(SUM(Y93:Y101),"0")</f>
        <v>58.800000000000004</v>
      </c>
      <c r="Z103" s="37"/>
      <c r="AA103" s="668"/>
      <c r="AB103" s="668"/>
      <c r="AC103" s="668"/>
    </row>
    <row r="104" spans="1:68" ht="16.5" customHeight="1" x14ac:dyDescent="0.25">
      <c r="A104" s="718" t="s">
        <v>209</v>
      </c>
      <c r="B104" s="679"/>
      <c r="C104" s="679"/>
      <c r="D104" s="679"/>
      <c r="E104" s="679"/>
      <c r="F104" s="679"/>
      <c r="G104" s="679"/>
      <c r="H104" s="679"/>
      <c r="I104" s="679"/>
      <c r="J104" s="679"/>
      <c r="K104" s="679"/>
      <c r="L104" s="679"/>
      <c r="M104" s="679"/>
      <c r="N104" s="679"/>
      <c r="O104" s="679"/>
      <c r="P104" s="679"/>
      <c r="Q104" s="679"/>
      <c r="R104" s="679"/>
      <c r="S104" s="679"/>
      <c r="T104" s="679"/>
      <c r="U104" s="679"/>
      <c r="V104" s="679"/>
      <c r="W104" s="679"/>
      <c r="X104" s="679"/>
      <c r="Y104" s="679"/>
      <c r="Z104" s="679"/>
      <c r="AA104" s="660"/>
      <c r="AB104" s="660"/>
      <c r="AC104" s="660"/>
    </row>
    <row r="105" spans="1:68" ht="14.25" customHeight="1" x14ac:dyDescent="0.25">
      <c r="A105" s="683" t="s">
        <v>97</v>
      </c>
      <c r="B105" s="679"/>
      <c r="C105" s="679"/>
      <c r="D105" s="679"/>
      <c r="E105" s="679"/>
      <c r="F105" s="679"/>
      <c r="G105" s="679"/>
      <c r="H105" s="679"/>
      <c r="I105" s="679"/>
      <c r="J105" s="679"/>
      <c r="K105" s="679"/>
      <c r="L105" s="679"/>
      <c r="M105" s="679"/>
      <c r="N105" s="679"/>
      <c r="O105" s="679"/>
      <c r="P105" s="679"/>
      <c r="Q105" s="679"/>
      <c r="R105" s="679"/>
      <c r="S105" s="679"/>
      <c r="T105" s="679"/>
      <c r="U105" s="679"/>
      <c r="V105" s="679"/>
      <c r="W105" s="679"/>
      <c r="X105" s="679"/>
      <c r="Y105" s="679"/>
      <c r="Z105" s="679"/>
      <c r="AA105" s="661"/>
      <c r="AB105" s="661"/>
      <c r="AC105" s="661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9">
        <v>4680115882133</v>
      </c>
      <c r="E106" s="670"/>
      <c r="F106" s="664">
        <v>1.35</v>
      </c>
      <c r="G106" s="32">
        <v>8</v>
      </c>
      <c r="H106" s="664">
        <v>10.8</v>
      </c>
      <c r="I106" s="664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2"/>
      <c r="R106" s="672"/>
      <c r="S106" s="672"/>
      <c r="T106" s="673"/>
      <c r="U106" s="34"/>
      <c r="V106" s="34"/>
      <c r="W106" s="35" t="s">
        <v>68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9">
        <v>4680115880269</v>
      </c>
      <c r="E107" s="670"/>
      <c r="F107" s="664">
        <v>0.375</v>
      </c>
      <c r="G107" s="32">
        <v>10</v>
      </c>
      <c r="H107" s="664">
        <v>3.75</v>
      </c>
      <c r="I107" s="664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2"/>
      <c r="R107" s="672"/>
      <c r="S107" s="672"/>
      <c r="T107" s="673"/>
      <c r="U107" s="34"/>
      <c r="V107" s="34"/>
      <c r="W107" s="35" t="s">
        <v>68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9">
        <v>4680115880429</v>
      </c>
      <c r="E108" s="670"/>
      <c r="F108" s="664">
        <v>0.45</v>
      </c>
      <c r="G108" s="32">
        <v>10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2"/>
      <c r="R108" s="672"/>
      <c r="S108" s="672"/>
      <c r="T108" s="673"/>
      <c r="U108" s="34"/>
      <c r="V108" s="34"/>
      <c r="W108" s="35" t="s">
        <v>68</v>
      </c>
      <c r="X108" s="665">
        <v>22</v>
      </c>
      <c r="Y108" s="666">
        <f>IFERROR(IF(X108="",0,CEILING((X108/$H108),1)*$H108),"")</f>
        <v>22.5</v>
      </c>
      <c r="Z108" s="36">
        <f>IFERROR(IF(Y108=0,"",ROUNDUP(Y108/H108,0)*0.00902),"")</f>
        <v>4.5100000000000001E-2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23.026666666666667</v>
      </c>
      <c r="BN108" s="64">
        <f>IFERROR(Y108*I108/H108,"0")</f>
        <v>23.549999999999997</v>
      </c>
      <c r="BO108" s="64">
        <f>IFERROR(1/J108*(X108/H108),"0")</f>
        <v>3.7037037037037042E-2</v>
      </c>
      <c r="BP108" s="64">
        <f>IFERROR(1/J108*(Y108/H108),"0")</f>
        <v>3.787878787878788E-2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9">
        <v>4680115881457</v>
      </c>
      <c r="E109" s="670"/>
      <c r="F109" s="664">
        <v>0.75</v>
      </c>
      <c r="G109" s="32">
        <v>6</v>
      </c>
      <c r="H109" s="664">
        <v>4.5</v>
      </c>
      <c r="I109" s="664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2"/>
      <c r="R109" s="672"/>
      <c r="S109" s="672"/>
      <c r="T109" s="673"/>
      <c r="U109" s="34"/>
      <c r="V109" s="34"/>
      <c r="W109" s="35" t="s">
        <v>68</v>
      </c>
      <c r="X109" s="665">
        <v>0</v>
      </c>
      <c r="Y109" s="666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8"/>
      <c r="B110" s="679"/>
      <c r="C110" s="679"/>
      <c r="D110" s="679"/>
      <c r="E110" s="679"/>
      <c r="F110" s="679"/>
      <c r="G110" s="679"/>
      <c r="H110" s="679"/>
      <c r="I110" s="679"/>
      <c r="J110" s="679"/>
      <c r="K110" s="679"/>
      <c r="L110" s="679"/>
      <c r="M110" s="679"/>
      <c r="N110" s="679"/>
      <c r="O110" s="680"/>
      <c r="P110" s="686" t="s">
        <v>87</v>
      </c>
      <c r="Q110" s="687"/>
      <c r="R110" s="687"/>
      <c r="S110" s="687"/>
      <c r="T110" s="687"/>
      <c r="U110" s="687"/>
      <c r="V110" s="688"/>
      <c r="W110" s="37" t="s">
        <v>88</v>
      </c>
      <c r="X110" s="667">
        <f>IFERROR(X106/H106,"0")+IFERROR(X107/H107,"0")+IFERROR(X108/H108,"0")+IFERROR(X109/H109,"0")</f>
        <v>4.8888888888888893</v>
      </c>
      <c r="Y110" s="667">
        <f>IFERROR(Y106/H106,"0")+IFERROR(Y107/H107,"0")+IFERROR(Y108/H108,"0")+IFERROR(Y109/H109,"0")</f>
        <v>5</v>
      </c>
      <c r="Z110" s="667">
        <f>IFERROR(IF(Z106="",0,Z106),"0")+IFERROR(IF(Z107="",0,Z107),"0")+IFERROR(IF(Z108="",0,Z108),"0")+IFERROR(IF(Z109="",0,Z109),"0")</f>
        <v>4.5100000000000001E-2</v>
      </c>
      <c r="AA110" s="668"/>
      <c r="AB110" s="668"/>
      <c r="AC110" s="668"/>
    </row>
    <row r="111" spans="1:68" x14ac:dyDescent="0.2">
      <c r="A111" s="679"/>
      <c r="B111" s="679"/>
      <c r="C111" s="679"/>
      <c r="D111" s="679"/>
      <c r="E111" s="679"/>
      <c r="F111" s="679"/>
      <c r="G111" s="679"/>
      <c r="H111" s="679"/>
      <c r="I111" s="679"/>
      <c r="J111" s="679"/>
      <c r="K111" s="679"/>
      <c r="L111" s="679"/>
      <c r="M111" s="679"/>
      <c r="N111" s="679"/>
      <c r="O111" s="680"/>
      <c r="P111" s="686" t="s">
        <v>87</v>
      </c>
      <c r="Q111" s="687"/>
      <c r="R111" s="687"/>
      <c r="S111" s="687"/>
      <c r="T111" s="687"/>
      <c r="U111" s="687"/>
      <c r="V111" s="688"/>
      <c r="W111" s="37" t="s">
        <v>68</v>
      </c>
      <c r="X111" s="667">
        <f>IFERROR(SUM(X106:X109),"0")</f>
        <v>22</v>
      </c>
      <c r="Y111" s="667">
        <f>IFERROR(SUM(Y106:Y109),"0")</f>
        <v>22.5</v>
      </c>
      <c r="Z111" s="37"/>
      <c r="AA111" s="668"/>
      <c r="AB111" s="668"/>
      <c r="AC111" s="668"/>
    </row>
    <row r="112" spans="1:68" ht="14.25" customHeight="1" x14ac:dyDescent="0.25">
      <c r="A112" s="683" t="s">
        <v>133</v>
      </c>
      <c r="B112" s="679"/>
      <c r="C112" s="679"/>
      <c r="D112" s="679"/>
      <c r="E112" s="679"/>
      <c r="F112" s="679"/>
      <c r="G112" s="679"/>
      <c r="H112" s="679"/>
      <c r="I112" s="679"/>
      <c r="J112" s="679"/>
      <c r="K112" s="679"/>
      <c r="L112" s="679"/>
      <c r="M112" s="679"/>
      <c r="N112" s="679"/>
      <c r="O112" s="679"/>
      <c r="P112" s="679"/>
      <c r="Q112" s="679"/>
      <c r="R112" s="679"/>
      <c r="S112" s="679"/>
      <c r="T112" s="679"/>
      <c r="U112" s="679"/>
      <c r="V112" s="679"/>
      <c r="W112" s="679"/>
      <c r="X112" s="679"/>
      <c r="Y112" s="679"/>
      <c r="Z112" s="679"/>
      <c r="AA112" s="661"/>
      <c r="AB112" s="661"/>
      <c r="AC112" s="661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9">
        <v>4680115881488</v>
      </c>
      <c r="E113" s="670"/>
      <c r="F113" s="664">
        <v>1.35</v>
      </c>
      <c r="G113" s="32">
        <v>8</v>
      </c>
      <c r="H113" s="664">
        <v>10.8</v>
      </c>
      <c r="I113" s="664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2"/>
      <c r="R113" s="672"/>
      <c r="S113" s="672"/>
      <c r="T113" s="673"/>
      <c r="U113" s="34"/>
      <c r="V113" s="34"/>
      <c r="W113" s="35" t="s">
        <v>68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9">
        <v>4680115882775</v>
      </c>
      <c r="E114" s="670"/>
      <c r="F114" s="664">
        <v>0.3</v>
      </c>
      <c r="G114" s="32">
        <v>8</v>
      </c>
      <c r="H114" s="664">
        <v>2.4</v>
      </c>
      <c r="I114" s="664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2"/>
      <c r="R114" s="672"/>
      <c r="S114" s="672"/>
      <c r="T114" s="673"/>
      <c r="U114" s="34"/>
      <c r="V114" s="34"/>
      <c r="W114" s="35" t="s">
        <v>68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9">
        <v>4680115880658</v>
      </c>
      <c r="E115" s="670"/>
      <c r="F115" s="664">
        <v>0.4</v>
      </c>
      <c r="G115" s="32">
        <v>6</v>
      </c>
      <c r="H115" s="664">
        <v>2.4</v>
      </c>
      <c r="I115" s="664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2"/>
      <c r="R115" s="672"/>
      <c r="S115" s="672"/>
      <c r="T115" s="673"/>
      <c r="U115" s="34"/>
      <c r="V115" s="34"/>
      <c r="W115" s="35" t="s">
        <v>68</v>
      </c>
      <c r="X115" s="665">
        <v>6</v>
      </c>
      <c r="Y115" s="666">
        <f>IFERROR(IF(X115="",0,CEILING((X115/$H115),1)*$H115),"")</f>
        <v>7.1999999999999993</v>
      </c>
      <c r="Z115" s="36">
        <f>IFERROR(IF(Y115=0,"",ROUNDUP(Y115/H115,0)*0.00651),"")</f>
        <v>1.9529999999999999E-2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6.45</v>
      </c>
      <c r="BN115" s="64">
        <f>IFERROR(Y115*I115/H115,"0")</f>
        <v>7.7399999999999993</v>
      </c>
      <c r="BO115" s="64">
        <f>IFERROR(1/J115*(X115/H115),"0")</f>
        <v>1.3736263736263738E-2</v>
      </c>
      <c r="BP115" s="64">
        <f>IFERROR(1/J115*(Y115/H115),"0")</f>
        <v>1.6483516483516484E-2</v>
      </c>
    </row>
    <row r="116" spans="1:68" x14ac:dyDescent="0.2">
      <c r="A116" s="678"/>
      <c r="B116" s="679"/>
      <c r="C116" s="679"/>
      <c r="D116" s="679"/>
      <c r="E116" s="679"/>
      <c r="F116" s="679"/>
      <c r="G116" s="679"/>
      <c r="H116" s="679"/>
      <c r="I116" s="679"/>
      <c r="J116" s="679"/>
      <c r="K116" s="679"/>
      <c r="L116" s="679"/>
      <c r="M116" s="679"/>
      <c r="N116" s="679"/>
      <c r="O116" s="680"/>
      <c r="P116" s="686" t="s">
        <v>87</v>
      </c>
      <c r="Q116" s="687"/>
      <c r="R116" s="687"/>
      <c r="S116" s="687"/>
      <c r="T116" s="687"/>
      <c r="U116" s="687"/>
      <c r="V116" s="688"/>
      <c r="W116" s="37" t="s">
        <v>88</v>
      </c>
      <c r="X116" s="667">
        <f>IFERROR(X113/H113,"0")+IFERROR(X114/H114,"0")+IFERROR(X115/H115,"0")</f>
        <v>2.5</v>
      </c>
      <c r="Y116" s="667">
        <f>IFERROR(Y113/H113,"0")+IFERROR(Y114/H114,"0")+IFERROR(Y115/H115,"0")</f>
        <v>3</v>
      </c>
      <c r="Z116" s="667">
        <f>IFERROR(IF(Z113="",0,Z113),"0")+IFERROR(IF(Z114="",0,Z114),"0")+IFERROR(IF(Z115="",0,Z115),"0")</f>
        <v>1.9529999999999999E-2</v>
      </c>
      <c r="AA116" s="668"/>
      <c r="AB116" s="668"/>
      <c r="AC116" s="668"/>
    </row>
    <row r="117" spans="1:68" x14ac:dyDescent="0.2">
      <c r="A117" s="679"/>
      <c r="B117" s="679"/>
      <c r="C117" s="679"/>
      <c r="D117" s="679"/>
      <c r="E117" s="679"/>
      <c r="F117" s="679"/>
      <c r="G117" s="679"/>
      <c r="H117" s="679"/>
      <c r="I117" s="679"/>
      <c r="J117" s="679"/>
      <c r="K117" s="679"/>
      <c r="L117" s="679"/>
      <c r="M117" s="679"/>
      <c r="N117" s="679"/>
      <c r="O117" s="680"/>
      <c r="P117" s="686" t="s">
        <v>87</v>
      </c>
      <c r="Q117" s="687"/>
      <c r="R117" s="687"/>
      <c r="S117" s="687"/>
      <c r="T117" s="687"/>
      <c r="U117" s="687"/>
      <c r="V117" s="688"/>
      <c r="W117" s="37" t="s">
        <v>68</v>
      </c>
      <c r="X117" s="667">
        <f>IFERROR(SUM(X113:X115),"0")</f>
        <v>6</v>
      </c>
      <c r="Y117" s="667">
        <f>IFERROR(SUM(Y113:Y115),"0")</f>
        <v>7.1999999999999993</v>
      </c>
      <c r="Z117" s="37"/>
      <c r="AA117" s="668"/>
      <c r="AB117" s="668"/>
      <c r="AC117" s="668"/>
    </row>
    <row r="118" spans="1:68" ht="14.25" customHeight="1" x14ac:dyDescent="0.25">
      <c r="A118" s="683" t="s">
        <v>63</v>
      </c>
      <c r="B118" s="679"/>
      <c r="C118" s="679"/>
      <c r="D118" s="679"/>
      <c r="E118" s="679"/>
      <c r="F118" s="679"/>
      <c r="G118" s="679"/>
      <c r="H118" s="679"/>
      <c r="I118" s="679"/>
      <c r="J118" s="679"/>
      <c r="K118" s="679"/>
      <c r="L118" s="679"/>
      <c r="M118" s="679"/>
      <c r="N118" s="679"/>
      <c r="O118" s="679"/>
      <c r="P118" s="679"/>
      <c r="Q118" s="679"/>
      <c r="R118" s="679"/>
      <c r="S118" s="679"/>
      <c r="T118" s="679"/>
      <c r="U118" s="679"/>
      <c r="V118" s="679"/>
      <c r="W118" s="679"/>
      <c r="X118" s="679"/>
      <c r="Y118" s="679"/>
      <c r="Z118" s="679"/>
      <c r="AA118" s="661"/>
      <c r="AB118" s="661"/>
      <c r="AC118" s="661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6" t="s">
        <v>228</v>
      </c>
      <c r="Q119" s="672"/>
      <c r="R119" s="672"/>
      <c r="S119" s="672"/>
      <c r="T119" s="673"/>
      <c r="U119" s="34"/>
      <c r="V119" s="34"/>
      <c r="W119" s="35" t="s">
        <v>68</v>
      </c>
      <c r="X119" s="665">
        <v>0</v>
      </c>
      <c r="Y119" s="666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9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68</v>
      </c>
      <c r="X120" s="665">
        <v>124</v>
      </c>
      <c r="Y120" s="666">
        <f t="shared" si="21"/>
        <v>126</v>
      </c>
      <c r="Z120" s="36">
        <f>IFERROR(IF(Y120=0,"",ROUNDUP(Y120/H120,0)*0.01898),"")</f>
        <v>0.28470000000000001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131.57285714285715</v>
      </c>
      <c r="BN120" s="64">
        <f t="shared" si="23"/>
        <v>133.69499999999999</v>
      </c>
      <c r="BO120" s="64">
        <f t="shared" si="24"/>
        <v>0.23065476190476189</v>
      </c>
      <c r="BP120" s="64">
        <f t="shared" si="25"/>
        <v>0.234375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9">
        <v>4607091385168</v>
      </c>
      <c r="E121" s="670"/>
      <c r="F121" s="664">
        <v>1.35</v>
      </c>
      <c r="G121" s="32">
        <v>6</v>
      </c>
      <c r="H121" s="664">
        <v>8.1</v>
      </c>
      <c r="I121" s="664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12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2"/>
      <c r="R121" s="672"/>
      <c r="S121" s="672"/>
      <c r="T121" s="673"/>
      <c r="U121" s="34"/>
      <c r="V121" s="34"/>
      <c r="W121" s="35" t="s">
        <v>68</v>
      </c>
      <c r="X121" s="665">
        <v>0</v>
      </c>
      <c r="Y121" s="666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5" t="s">
        <v>236</v>
      </c>
      <c r="Q122" s="672"/>
      <c r="R122" s="672"/>
      <c r="S122" s="672"/>
      <c r="T122" s="673"/>
      <c r="U122" s="34"/>
      <c r="V122" s="34"/>
      <c r="W122" s="35" t="s">
        <v>68</v>
      </c>
      <c r="X122" s="665">
        <v>0</v>
      </c>
      <c r="Y122" s="666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9">
        <v>4607091383256</v>
      </c>
      <c r="E123" s="670"/>
      <c r="F123" s="664">
        <v>0.33</v>
      </c>
      <c r="G123" s="32">
        <v>6</v>
      </c>
      <c r="H123" s="664">
        <v>1.98</v>
      </c>
      <c r="I123" s="664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7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2"/>
      <c r="R123" s="672"/>
      <c r="S123" s="672"/>
      <c r="T123" s="673"/>
      <c r="U123" s="34"/>
      <c r="V123" s="34"/>
      <c r="W123" s="35" t="s">
        <v>68</v>
      </c>
      <c r="X123" s="665">
        <v>0</v>
      </c>
      <c r="Y123" s="666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43" t="s">
        <v>240</v>
      </c>
      <c r="Q124" s="672"/>
      <c r="R124" s="672"/>
      <c r="S124" s="672"/>
      <c r="T124" s="673"/>
      <c r="U124" s="34"/>
      <c r="V124" s="34"/>
      <c r="W124" s="35" t="s">
        <v>68</v>
      </c>
      <c r="X124" s="665">
        <v>0</v>
      </c>
      <c r="Y124" s="666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9">
        <v>4607091385748</v>
      </c>
      <c r="E125" s="670"/>
      <c r="F125" s="664">
        <v>0.45</v>
      </c>
      <c r="G125" s="32">
        <v>6</v>
      </c>
      <c r="H125" s="664">
        <v>2.7</v>
      </c>
      <c r="I125" s="664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2"/>
      <c r="R125" s="672"/>
      <c r="S125" s="672"/>
      <c r="T125" s="673"/>
      <c r="U125" s="34"/>
      <c r="V125" s="34"/>
      <c r="W125" s="35" t="s">
        <v>68</v>
      </c>
      <c r="X125" s="665">
        <v>0</v>
      </c>
      <c r="Y125" s="666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9">
        <v>4680115884533</v>
      </c>
      <c r="E126" s="670"/>
      <c r="F126" s="664">
        <v>0.3</v>
      </c>
      <c r="G126" s="32">
        <v>6</v>
      </c>
      <c r="H126" s="664">
        <v>1.8</v>
      </c>
      <c r="I126" s="664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2"/>
      <c r="R126" s="672"/>
      <c r="S126" s="672"/>
      <c r="T126" s="673"/>
      <c r="U126" s="34"/>
      <c r="V126" s="34"/>
      <c r="W126" s="35" t="s">
        <v>68</v>
      </c>
      <c r="X126" s="665">
        <v>0</v>
      </c>
      <c r="Y126" s="666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9">
        <v>4680115882645</v>
      </c>
      <c r="E127" s="670"/>
      <c r="F127" s="664">
        <v>0.3</v>
      </c>
      <c r="G127" s="32">
        <v>6</v>
      </c>
      <c r="H127" s="664">
        <v>1.8</v>
      </c>
      <c r="I127" s="664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91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2"/>
      <c r="R127" s="672"/>
      <c r="S127" s="672"/>
      <c r="T127" s="673"/>
      <c r="U127" s="34"/>
      <c r="V127" s="34"/>
      <c r="W127" s="35" t="s">
        <v>68</v>
      </c>
      <c r="X127" s="665">
        <v>0</v>
      </c>
      <c r="Y127" s="666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8"/>
      <c r="B128" s="679"/>
      <c r="C128" s="679"/>
      <c r="D128" s="679"/>
      <c r="E128" s="679"/>
      <c r="F128" s="679"/>
      <c r="G128" s="679"/>
      <c r="H128" s="679"/>
      <c r="I128" s="679"/>
      <c r="J128" s="679"/>
      <c r="K128" s="679"/>
      <c r="L128" s="679"/>
      <c r="M128" s="679"/>
      <c r="N128" s="679"/>
      <c r="O128" s="680"/>
      <c r="P128" s="686" t="s">
        <v>87</v>
      </c>
      <c r="Q128" s="687"/>
      <c r="R128" s="687"/>
      <c r="S128" s="687"/>
      <c r="T128" s="687"/>
      <c r="U128" s="687"/>
      <c r="V128" s="688"/>
      <c r="W128" s="37" t="s">
        <v>88</v>
      </c>
      <c r="X128" s="667">
        <f>IFERROR(X119/H119,"0")+IFERROR(X120/H120,"0")+IFERROR(X121/H121,"0")+IFERROR(X122/H122,"0")+IFERROR(X123/H123,"0")+IFERROR(X124/H124,"0")+IFERROR(X125/H125,"0")+IFERROR(X126/H126,"0")+IFERROR(X127/H127,"0")</f>
        <v>14.761904761904761</v>
      </c>
      <c r="Y128" s="667">
        <f>IFERROR(Y119/H119,"0")+IFERROR(Y120/H120,"0")+IFERROR(Y121/H121,"0")+IFERROR(Y122/H122,"0")+IFERROR(Y123/H123,"0")+IFERROR(Y124/H124,"0")+IFERROR(Y125/H125,"0")+IFERROR(Y126/H126,"0")+IFERROR(Y127/H127,"0")</f>
        <v>15</v>
      </c>
      <c r="Z128" s="667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0.28470000000000001</v>
      </c>
      <c r="AA128" s="668"/>
      <c r="AB128" s="668"/>
      <c r="AC128" s="668"/>
    </row>
    <row r="129" spans="1:68" x14ac:dyDescent="0.2">
      <c r="A129" s="679"/>
      <c r="B129" s="679"/>
      <c r="C129" s="679"/>
      <c r="D129" s="679"/>
      <c r="E129" s="679"/>
      <c r="F129" s="679"/>
      <c r="G129" s="679"/>
      <c r="H129" s="679"/>
      <c r="I129" s="679"/>
      <c r="J129" s="679"/>
      <c r="K129" s="679"/>
      <c r="L129" s="679"/>
      <c r="M129" s="679"/>
      <c r="N129" s="679"/>
      <c r="O129" s="680"/>
      <c r="P129" s="686" t="s">
        <v>87</v>
      </c>
      <c r="Q129" s="687"/>
      <c r="R129" s="687"/>
      <c r="S129" s="687"/>
      <c r="T129" s="687"/>
      <c r="U129" s="687"/>
      <c r="V129" s="688"/>
      <c r="W129" s="37" t="s">
        <v>68</v>
      </c>
      <c r="X129" s="667">
        <f>IFERROR(SUM(X119:X127),"0")</f>
        <v>124</v>
      </c>
      <c r="Y129" s="667">
        <f>IFERROR(SUM(Y119:Y127),"0")</f>
        <v>126</v>
      </c>
      <c r="Z129" s="37"/>
      <c r="AA129" s="668"/>
      <c r="AB129" s="668"/>
      <c r="AC129" s="668"/>
    </row>
    <row r="130" spans="1:68" ht="14.25" customHeight="1" x14ac:dyDescent="0.25">
      <c r="A130" s="683" t="s">
        <v>170</v>
      </c>
      <c r="B130" s="679"/>
      <c r="C130" s="679"/>
      <c r="D130" s="679"/>
      <c r="E130" s="679"/>
      <c r="F130" s="679"/>
      <c r="G130" s="679"/>
      <c r="H130" s="679"/>
      <c r="I130" s="679"/>
      <c r="J130" s="679"/>
      <c r="K130" s="679"/>
      <c r="L130" s="679"/>
      <c r="M130" s="679"/>
      <c r="N130" s="679"/>
      <c r="O130" s="679"/>
      <c r="P130" s="679"/>
      <c r="Q130" s="679"/>
      <c r="R130" s="679"/>
      <c r="S130" s="679"/>
      <c r="T130" s="679"/>
      <c r="U130" s="679"/>
      <c r="V130" s="679"/>
      <c r="W130" s="679"/>
      <c r="X130" s="679"/>
      <c r="Y130" s="679"/>
      <c r="Z130" s="679"/>
      <c r="AA130" s="661"/>
      <c r="AB130" s="661"/>
      <c r="AC130" s="661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9">
        <v>4680115882652</v>
      </c>
      <c r="E131" s="670"/>
      <c r="F131" s="664">
        <v>0.33</v>
      </c>
      <c r="G131" s="32">
        <v>6</v>
      </c>
      <c r="H131" s="664">
        <v>1.98</v>
      </c>
      <c r="I131" s="664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2"/>
      <c r="R131" s="672"/>
      <c r="S131" s="672"/>
      <c r="T131" s="673"/>
      <c r="U131" s="34"/>
      <c r="V131" s="34"/>
      <c r="W131" s="35" t="s">
        <v>68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9">
        <v>4680115880238</v>
      </c>
      <c r="E132" s="670"/>
      <c r="F132" s="664">
        <v>0.33</v>
      </c>
      <c r="G132" s="32">
        <v>6</v>
      </c>
      <c r="H132" s="664">
        <v>1.98</v>
      </c>
      <c r="I132" s="664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2"/>
      <c r="R132" s="672"/>
      <c r="S132" s="672"/>
      <c r="T132" s="673"/>
      <c r="U132" s="34"/>
      <c r="V132" s="34"/>
      <c r="W132" s="35" t="s">
        <v>68</v>
      </c>
      <c r="X132" s="665">
        <v>0</v>
      </c>
      <c r="Y132" s="66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8"/>
      <c r="B133" s="679"/>
      <c r="C133" s="679"/>
      <c r="D133" s="679"/>
      <c r="E133" s="679"/>
      <c r="F133" s="679"/>
      <c r="G133" s="679"/>
      <c r="H133" s="679"/>
      <c r="I133" s="679"/>
      <c r="J133" s="679"/>
      <c r="K133" s="679"/>
      <c r="L133" s="679"/>
      <c r="M133" s="679"/>
      <c r="N133" s="679"/>
      <c r="O133" s="680"/>
      <c r="P133" s="686" t="s">
        <v>87</v>
      </c>
      <c r="Q133" s="687"/>
      <c r="R133" s="687"/>
      <c r="S133" s="687"/>
      <c r="T133" s="687"/>
      <c r="U133" s="687"/>
      <c r="V133" s="688"/>
      <c r="W133" s="37" t="s">
        <v>88</v>
      </c>
      <c r="X133" s="667">
        <f>IFERROR(X131/H131,"0")+IFERROR(X132/H132,"0")</f>
        <v>0</v>
      </c>
      <c r="Y133" s="667">
        <f>IFERROR(Y131/H131,"0")+IFERROR(Y132/H132,"0")</f>
        <v>0</v>
      </c>
      <c r="Z133" s="667">
        <f>IFERROR(IF(Z131="",0,Z131),"0")+IFERROR(IF(Z132="",0,Z132),"0")</f>
        <v>0</v>
      </c>
      <c r="AA133" s="668"/>
      <c r="AB133" s="668"/>
      <c r="AC133" s="668"/>
    </row>
    <row r="134" spans="1:68" x14ac:dyDescent="0.2">
      <c r="A134" s="679"/>
      <c r="B134" s="679"/>
      <c r="C134" s="679"/>
      <c r="D134" s="679"/>
      <c r="E134" s="679"/>
      <c r="F134" s="679"/>
      <c r="G134" s="679"/>
      <c r="H134" s="679"/>
      <c r="I134" s="679"/>
      <c r="J134" s="679"/>
      <c r="K134" s="679"/>
      <c r="L134" s="679"/>
      <c r="M134" s="679"/>
      <c r="N134" s="679"/>
      <c r="O134" s="680"/>
      <c r="P134" s="686" t="s">
        <v>87</v>
      </c>
      <c r="Q134" s="687"/>
      <c r="R134" s="687"/>
      <c r="S134" s="687"/>
      <c r="T134" s="687"/>
      <c r="U134" s="687"/>
      <c r="V134" s="688"/>
      <c r="W134" s="37" t="s">
        <v>68</v>
      </c>
      <c r="X134" s="667">
        <f>IFERROR(SUM(X131:X132),"0")</f>
        <v>0</v>
      </c>
      <c r="Y134" s="667">
        <f>IFERROR(SUM(Y131:Y132),"0")</f>
        <v>0</v>
      </c>
      <c r="Z134" s="37"/>
      <c r="AA134" s="668"/>
      <c r="AB134" s="668"/>
      <c r="AC134" s="668"/>
    </row>
    <row r="135" spans="1:68" ht="16.5" customHeight="1" x14ac:dyDescent="0.25">
      <c r="A135" s="718" t="s">
        <v>254</v>
      </c>
      <c r="B135" s="679"/>
      <c r="C135" s="679"/>
      <c r="D135" s="679"/>
      <c r="E135" s="679"/>
      <c r="F135" s="679"/>
      <c r="G135" s="679"/>
      <c r="H135" s="679"/>
      <c r="I135" s="679"/>
      <c r="J135" s="679"/>
      <c r="K135" s="679"/>
      <c r="L135" s="679"/>
      <c r="M135" s="679"/>
      <c r="N135" s="679"/>
      <c r="O135" s="679"/>
      <c r="P135" s="679"/>
      <c r="Q135" s="679"/>
      <c r="R135" s="679"/>
      <c r="S135" s="679"/>
      <c r="T135" s="679"/>
      <c r="U135" s="679"/>
      <c r="V135" s="679"/>
      <c r="W135" s="679"/>
      <c r="X135" s="679"/>
      <c r="Y135" s="679"/>
      <c r="Z135" s="679"/>
      <c r="AA135" s="660"/>
      <c r="AB135" s="660"/>
      <c r="AC135" s="660"/>
    </row>
    <row r="136" spans="1:68" ht="14.25" customHeight="1" x14ac:dyDescent="0.25">
      <c r="A136" s="683" t="s">
        <v>97</v>
      </c>
      <c r="B136" s="679"/>
      <c r="C136" s="679"/>
      <c r="D136" s="679"/>
      <c r="E136" s="679"/>
      <c r="F136" s="679"/>
      <c r="G136" s="679"/>
      <c r="H136" s="679"/>
      <c r="I136" s="679"/>
      <c r="J136" s="679"/>
      <c r="K136" s="679"/>
      <c r="L136" s="679"/>
      <c r="M136" s="679"/>
      <c r="N136" s="679"/>
      <c r="O136" s="679"/>
      <c r="P136" s="679"/>
      <c r="Q136" s="679"/>
      <c r="R136" s="679"/>
      <c r="S136" s="679"/>
      <c r="T136" s="679"/>
      <c r="U136" s="679"/>
      <c r="V136" s="679"/>
      <c r="W136" s="679"/>
      <c r="X136" s="679"/>
      <c r="Y136" s="679"/>
      <c r="Z136" s="679"/>
      <c r="AA136" s="661"/>
      <c r="AB136" s="661"/>
      <c r="AC136" s="661"/>
    </row>
    <row r="137" spans="1:68" ht="27" customHeight="1" x14ac:dyDescent="0.25">
      <c r="A137" s="54" t="s">
        <v>255</v>
      </c>
      <c r="B137" s="54" t="s">
        <v>256</v>
      </c>
      <c r="C137" s="31">
        <v>4301011564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2"/>
      <c r="R137" s="672"/>
      <c r="S137" s="672"/>
      <c r="T137" s="673"/>
      <c r="U137" s="34"/>
      <c r="V137" s="34"/>
      <c r="W137" s="35" t="s">
        <v>68</v>
      </c>
      <c r="X137" s="665">
        <v>0</v>
      </c>
      <c r="Y137" s="66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4301011562</v>
      </c>
      <c r="D138" s="669">
        <v>4680115882577</v>
      </c>
      <c r="E138" s="670"/>
      <c r="F138" s="664">
        <v>0.4</v>
      </c>
      <c r="G138" s="32">
        <v>8</v>
      </c>
      <c r="H138" s="664">
        <v>3.2</v>
      </c>
      <c r="I138" s="664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2"/>
      <c r="R138" s="672"/>
      <c r="S138" s="672"/>
      <c r="T138" s="673"/>
      <c r="U138" s="34"/>
      <c r="V138" s="34"/>
      <c r="W138" s="35" t="s">
        <v>68</v>
      </c>
      <c r="X138" s="665">
        <v>0</v>
      </c>
      <c r="Y138" s="66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8"/>
      <c r="B139" s="679"/>
      <c r="C139" s="679"/>
      <c r="D139" s="679"/>
      <c r="E139" s="679"/>
      <c r="F139" s="679"/>
      <c r="G139" s="679"/>
      <c r="H139" s="679"/>
      <c r="I139" s="679"/>
      <c r="J139" s="679"/>
      <c r="K139" s="679"/>
      <c r="L139" s="679"/>
      <c r="M139" s="679"/>
      <c r="N139" s="679"/>
      <c r="O139" s="680"/>
      <c r="P139" s="686" t="s">
        <v>87</v>
      </c>
      <c r="Q139" s="687"/>
      <c r="R139" s="687"/>
      <c r="S139" s="687"/>
      <c r="T139" s="687"/>
      <c r="U139" s="687"/>
      <c r="V139" s="688"/>
      <c r="W139" s="37" t="s">
        <v>88</v>
      </c>
      <c r="X139" s="667">
        <f>IFERROR(X137/H137,"0")+IFERROR(X138/H138,"0")</f>
        <v>0</v>
      </c>
      <c r="Y139" s="667">
        <f>IFERROR(Y137/H137,"0")+IFERROR(Y138/H138,"0")</f>
        <v>0</v>
      </c>
      <c r="Z139" s="667">
        <f>IFERROR(IF(Z137="",0,Z137),"0")+IFERROR(IF(Z138="",0,Z138),"0")</f>
        <v>0</v>
      </c>
      <c r="AA139" s="668"/>
      <c r="AB139" s="668"/>
      <c r="AC139" s="668"/>
    </row>
    <row r="140" spans="1:68" x14ac:dyDescent="0.2">
      <c r="A140" s="679"/>
      <c r="B140" s="679"/>
      <c r="C140" s="679"/>
      <c r="D140" s="679"/>
      <c r="E140" s="679"/>
      <c r="F140" s="679"/>
      <c r="G140" s="679"/>
      <c r="H140" s="679"/>
      <c r="I140" s="679"/>
      <c r="J140" s="679"/>
      <c r="K140" s="679"/>
      <c r="L140" s="679"/>
      <c r="M140" s="679"/>
      <c r="N140" s="679"/>
      <c r="O140" s="680"/>
      <c r="P140" s="686" t="s">
        <v>87</v>
      </c>
      <c r="Q140" s="687"/>
      <c r="R140" s="687"/>
      <c r="S140" s="687"/>
      <c r="T140" s="687"/>
      <c r="U140" s="687"/>
      <c r="V140" s="688"/>
      <c r="W140" s="37" t="s">
        <v>68</v>
      </c>
      <c r="X140" s="667">
        <f>IFERROR(SUM(X137:X138),"0")</f>
        <v>0</v>
      </c>
      <c r="Y140" s="667">
        <f>IFERROR(SUM(Y137:Y138),"0")</f>
        <v>0</v>
      </c>
      <c r="Z140" s="37"/>
      <c r="AA140" s="668"/>
      <c r="AB140" s="668"/>
      <c r="AC140" s="668"/>
    </row>
    <row r="141" spans="1:68" ht="14.25" customHeight="1" x14ac:dyDescent="0.25">
      <c r="A141" s="683" t="s">
        <v>144</v>
      </c>
      <c r="B141" s="679"/>
      <c r="C141" s="679"/>
      <c r="D141" s="679"/>
      <c r="E141" s="679"/>
      <c r="F141" s="679"/>
      <c r="G141" s="679"/>
      <c r="H141" s="679"/>
      <c r="I141" s="679"/>
      <c r="J141" s="679"/>
      <c r="K141" s="679"/>
      <c r="L141" s="679"/>
      <c r="M141" s="679"/>
      <c r="N141" s="679"/>
      <c r="O141" s="679"/>
      <c r="P141" s="679"/>
      <c r="Q141" s="679"/>
      <c r="R141" s="679"/>
      <c r="S141" s="679"/>
      <c r="T141" s="679"/>
      <c r="U141" s="679"/>
      <c r="V141" s="679"/>
      <c r="W141" s="679"/>
      <c r="X141" s="679"/>
      <c r="Y141" s="679"/>
      <c r="Z141" s="679"/>
      <c r="AA141" s="661"/>
      <c r="AB141" s="661"/>
      <c r="AC141" s="661"/>
    </row>
    <row r="142" spans="1:68" ht="27" customHeight="1" x14ac:dyDescent="0.25">
      <c r="A142" s="54" t="s">
        <v>259</v>
      </c>
      <c r="B142" s="54" t="s">
        <v>260</v>
      </c>
      <c r="C142" s="31">
        <v>4301031234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68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4301031235</v>
      </c>
      <c r="D143" s="669">
        <v>4680115883444</v>
      </c>
      <c r="E143" s="670"/>
      <c r="F143" s="664">
        <v>0.35</v>
      </c>
      <c r="G143" s="32">
        <v>8</v>
      </c>
      <c r="H143" s="664">
        <v>2.8</v>
      </c>
      <c r="I143" s="664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2"/>
      <c r="R143" s="672"/>
      <c r="S143" s="672"/>
      <c r="T143" s="673"/>
      <c r="U143" s="34"/>
      <c r="V143" s="34"/>
      <c r="W143" s="35" t="s">
        <v>68</v>
      </c>
      <c r="X143" s="665">
        <v>0</v>
      </c>
      <c r="Y143" s="666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8"/>
      <c r="B144" s="679"/>
      <c r="C144" s="679"/>
      <c r="D144" s="679"/>
      <c r="E144" s="679"/>
      <c r="F144" s="679"/>
      <c r="G144" s="679"/>
      <c r="H144" s="679"/>
      <c r="I144" s="679"/>
      <c r="J144" s="679"/>
      <c r="K144" s="679"/>
      <c r="L144" s="679"/>
      <c r="M144" s="679"/>
      <c r="N144" s="679"/>
      <c r="O144" s="680"/>
      <c r="P144" s="686" t="s">
        <v>87</v>
      </c>
      <c r="Q144" s="687"/>
      <c r="R144" s="687"/>
      <c r="S144" s="687"/>
      <c r="T144" s="687"/>
      <c r="U144" s="687"/>
      <c r="V144" s="688"/>
      <c r="W144" s="37" t="s">
        <v>88</v>
      </c>
      <c r="X144" s="667">
        <f>IFERROR(X142/H142,"0")+IFERROR(X143/H143,"0")</f>
        <v>0</v>
      </c>
      <c r="Y144" s="667">
        <f>IFERROR(Y142/H142,"0")+IFERROR(Y143/H143,"0")</f>
        <v>0</v>
      </c>
      <c r="Z144" s="667">
        <f>IFERROR(IF(Z142="",0,Z142),"0")+IFERROR(IF(Z143="",0,Z143),"0")</f>
        <v>0</v>
      </c>
      <c r="AA144" s="668"/>
      <c r="AB144" s="668"/>
      <c r="AC144" s="668"/>
    </row>
    <row r="145" spans="1:68" x14ac:dyDescent="0.2">
      <c r="A145" s="679"/>
      <c r="B145" s="679"/>
      <c r="C145" s="679"/>
      <c r="D145" s="679"/>
      <c r="E145" s="679"/>
      <c r="F145" s="679"/>
      <c r="G145" s="679"/>
      <c r="H145" s="679"/>
      <c r="I145" s="679"/>
      <c r="J145" s="679"/>
      <c r="K145" s="679"/>
      <c r="L145" s="679"/>
      <c r="M145" s="679"/>
      <c r="N145" s="679"/>
      <c r="O145" s="680"/>
      <c r="P145" s="686" t="s">
        <v>87</v>
      </c>
      <c r="Q145" s="687"/>
      <c r="R145" s="687"/>
      <c r="S145" s="687"/>
      <c r="T145" s="687"/>
      <c r="U145" s="687"/>
      <c r="V145" s="688"/>
      <c r="W145" s="37" t="s">
        <v>68</v>
      </c>
      <c r="X145" s="667">
        <f>IFERROR(SUM(X142:X143),"0")</f>
        <v>0</v>
      </c>
      <c r="Y145" s="667">
        <f>IFERROR(SUM(Y142:Y143),"0")</f>
        <v>0</v>
      </c>
      <c r="Z145" s="37"/>
      <c r="AA145" s="668"/>
      <c r="AB145" s="668"/>
      <c r="AC145" s="668"/>
    </row>
    <row r="146" spans="1:68" ht="14.25" customHeight="1" x14ac:dyDescent="0.25">
      <c r="A146" s="683" t="s">
        <v>63</v>
      </c>
      <c r="B146" s="679"/>
      <c r="C146" s="679"/>
      <c r="D146" s="679"/>
      <c r="E146" s="679"/>
      <c r="F146" s="679"/>
      <c r="G146" s="679"/>
      <c r="H146" s="679"/>
      <c r="I146" s="679"/>
      <c r="J146" s="679"/>
      <c r="K146" s="679"/>
      <c r="L146" s="679"/>
      <c r="M146" s="679"/>
      <c r="N146" s="679"/>
      <c r="O146" s="679"/>
      <c r="P146" s="679"/>
      <c r="Q146" s="679"/>
      <c r="R146" s="679"/>
      <c r="S146" s="679"/>
      <c r="T146" s="679"/>
      <c r="U146" s="679"/>
      <c r="V146" s="679"/>
      <c r="W146" s="679"/>
      <c r="X146" s="679"/>
      <c r="Y146" s="679"/>
      <c r="Z146" s="679"/>
      <c r="AA146" s="661"/>
      <c r="AB146" s="661"/>
      <c r="AC146" s="661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2"/>
      <c r="R147" s="672"/>
      <c r="S147" s="672"/>
      <c r="T147" s="673"/>
      <c r="U147" s="34"/>
      <c r="V147" s="34"/>
      <c r="W147" s="35" t="s">
        <v>68</v>
      </c>
      <c r="X147" s="665">
        <v>0</v>
      </c>
      <c r="Y147" s="66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9">
        <v>4680115882584</v>
      </c>
      <c r="E148" s="670"/>
      <c r="F148" s="664">
        <v>0.33</v>
      </c>
      <c r="G148" s="32">
        <v>8</v>
      </c>
      <c r="H148" s="664">
        <v>2.64</v>
      </c>
      <c r="I148" s="664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2"/>
      <c r="R148" s="672"/>
      <c r="S148" s="672"/>
      <c r="T148" s="673"/>
      <c r="U148" s="34"/>
      <c r="V148" s="34"/>
      <c r="W148" s="35" t="s">
        <v>68</v>
      </c>
      <c r="X148" s="665">
        <v>0</v>
      </c>
      <c r="Y148" s="66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8"/>
      <c r="B149" s="679"/>
      <c r="C149" s="679"/>
      <c r="D149" s="679"/>
      <c r="E149" s="679"/>
      <c r="F149" s="679"/>
      <c r="G149" s="679"/>
      <c r="H149" s="679"/>
      <c r="I149" s="679"/>
      <c r="J149" s="679"/>
      <c r="K149" s="679"/>
      <c r="L149" s="679"/>
      <c r="M149" s="679"/>
      <c r="N149" s="679"/>
      <c r="O149" s="680"/>
      <c r="P149" s="686" t="s">
        <v>87</v>
      </c>
      <c r="Q149" s="687"/>
      <c r="R149" s="687"/>
      <c r="S149" s="687"/>
      <c r="T149" s="687"/>
      <c r="U149" s="687"/>
      <c r="V149" s="688"/>
      <c r="W149" s="37" t="s">
        <v>88</v>
      </c>
      <c r="X149" s="667">
        <f>IFERROR(X147/H147,"0")+IFERROR(X148/H148,"0")</f>
        <v>0</v>
      </c>
      <c r="Y149" s="667">
        <f>IFERROR(Y147/H147,"0")+IFERROR(Y148/H148,"0")</f>
        <v>0</v>
      </c>
      <c r="Z149" s="667">
        <f>IFERROR(IF(Z147="",0,Z147),"0")+IFERROR(IF(Z148="",0,Z148),"0")</f>
        <v>0</v>
      </c>
      <c r="AA149" s="668"/>
      <c r="AB149" s="668"/>
      <c r="AC149" s="668"/>
    </row>
    <row r="150" spans="1:68" x14ac:dyDescent="0.2">
      <c r="A150" s="679"/>
      <c r="B150" s="679"/>
      <c r="C150" s="679"/>
      <c r="D150" s="679"/>
      <c r="E150" s="679"/>
      <c r="F150" s="679"/>
      <c r="G150" s="679"/>
      <c r="H150" s="679"/>
      <c r="I150" s="679"/>
      <c r="J150" s="679"/>
      <c r="K150" s="679"/>
      <c r="L150" s="679"/>
      <c r="M150" s="679"/>
      <c r="N150" s="679"/>
      <c r="O150" s="680"/>
      <c r="P150" s="686" t="s">
        <v>87</v>
      </c>
      <c r="Q150" s="687"/>
      <c r="R150" s="687"/>
      <c r="S150" s="687"/>
      <c r="T150" s="687"/>
      <c r="U150" s="687"/>
      <c r="V150" s="688"/>
      <c r="W150" s="37" t="s">
        <v>68</v>
      </c>
      <c r="X150" s="667">
        <f>IFERROR(SUM(X147:X148),"0")</f>
        <v>0</v>
      </c>
      <c r="Y150" s="667">
        <f>IFERROR(SUM(Y147:Y148),"0")</f>
        <v>0</v>
      </c>
      <c r="Z150" s="37"/>
      <c r="AA150" s="668"/>
      <c r="AB150" s="668"/>
      <c r="AC150" s="668"/>
    </row>
    <row r="151" spans="1:68" ht="16.5" customHeight="1" x14ac:dyDescent="0.25">
      <c r="A151" s="718" t="s">
        <v>95</v>
      </c>
      <c r="B151" s="679"/>
      <c r="C151" s="679"/>
      <c r="D151" s="679"/>
      <c r="E151" s="679"/>
      <c r="F151" s="679"/>
      <c r="G151" s="679"/>
      <c r="H151" s="679"/>
      <c r="I151" s="679"/>
      <c r="J151" s="679"/>
      <c r="K151" s="679"/>
      <c r="L151" s="679"/>
      <c r="M151" s="679"/>
      <c r="N151" s="679"/>
      <c r="O151" s="679"/>
      <c r="P151" s="679"/>
      <c r="Q151" s="679"/>
      <c r="R151" s="679"/>
      <c r="S151" s="679"/>
      <c r="T151" s="679"/>
      <c r="U151" s="679"/>
      <c r="V151" s="679"/>
      <c r="W151" s="679"/>
      <c r="X151" s="679"/>
      <c r="Y151" s="679"/>
      <c r="Z151" s="679"/>
      <c r="AA151" s="660"/>
      <c r="AB151" s="660"/>
      <c r="AC151" s="660"/>
    </row>
    <row r="152" spans="1:68" ht="14.25" customHeight="1" x14ac:dyDescent="0.25">
      <c r="A152" s="683" t="s">
        <v>97</v>
      </c>
      <c r="B152" s="679"/>
      <c r="C152" s="679"/>
      <c r="D152" s="679"/>
      <c r="E152" s="679"/>
      <c r="F152" s="679"/>
      <c r="G152" s="679"/>
      <c r="H152" s="679"/>
      <c r="I152" s="679"/>
      <c r="J152" s="679"/>
      <c r="K152" s="679"/>
      <c r="L152" s="679"/>
      <c r="M152" s="679"/>
      <c r="N152" s="679"/>
      <c r="O152" s="679"/>
      <c r="P152" s="679"/>
      <c r="Q152" s="679"/>
      <c r="R152" s="679"/>
      <c r="S152" s="679"/>
      <c r="T152" s="679"/>
      <c r="U152" s="679"/>
      <c r="V152" s="679"/>
      <c r="W152" s="679"/>
      <c r="X152" s="679"/>
      <c r="Y152" s="679"/>
      <c r="Z152" s="679"/>
      <c r="AA152" s="661"/>
      <c r="AB152" s="661"/>
      <c r="AC152" s="661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9">
        <v>4607091384604</v>
      </c>
      <c r="E153" s="670"/>
      <c r="F153" s="664">
        <v>0.4</v>
      </c>
      <c r="G153" s="32">
        <v>10</v>
      </c>
      <c r="H153" s="664">
        <v>4</v>
      </c>
      <c r="I153" s="664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2"/>
      <c r="R153" s="672"/>
      <c r="S153" s="672"/>
      <c r="T153" s="673"/>
      <c r="U153" s="34"/>
      <c r="V153" s="34"/>
      <c r="W153" s="35" t="s">
        <v>68</v>
      </c>
      <c r="X153" s="665">
        <v>0</v>
      </c>
      <c r="Y153" s="666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8"/>
      <c r="B154" s="679"/>
      <c r="C154" s="679"/>
      <c r="D154" s="679"/>
      <c r="E154" s="679"/>
      <c r="F154" s="679"/>
      <c r="G154" s="679"/>
      <c r="H154" s="679"/>
      <c r="I154" s="679"/>
      <c r="J154" s="679"/>
      <c r="K154" s="679"/>
      <c r="L154" s="679"/>
      <c r="M154" s="679"/>
      <c r="N154" s="679"/>
      <c r="O154" s="680"/>
      <c r="P154" s="686" t="s">
        <v>87</v>
      </c>
      <c r="Q154" s="687"/>
      <c r="R154" s="687"/>
      <c r="S154" s="687"/>
      <c r="T154" s="687"/>
      <c r="U154" s="687"/>
      <c r="V154" s="688"/>
      <c r="W154" s="37" t="s">
        <v>88</v>
      </c>
      <c r="X154" s="667">
        <f>IFERROR(X153/H153,"0")</f>
        <v>0</v>
      </c>
      <c r="Y154" s="667">
        <f>IFERROR(Y153/H153,"0")</f>
        <v>0</v>
      </c>
      <c r="Z154" s="667">
        <f>IFERROR(IF(Z153="",0,Z153),"0")</f>
        <v>0</v>
      </c>
      <c r="AA154" s="668"/>
      <c r="AB154" s="668"/>
      <c r="AC154" s="668"/>
    </row>
    <row r="155" spans="1:68" x14ac:dyDescent="0.2">
      <c r="A155" s="679"/>
      <c r="B155" s="679"/>
      <c r="C155" s="679"/>
      <c r="D155" s="679"/>
      <c r="E155" s="679"/>
      <c r="F155" s="679"/>
      <c r="G155" s="679"/>
      <c r="H155" s="679"/>
      <c r="I155" s="679"/>
      <c r="J155" s="679"/>
      <c r="K155" s="679"/>
      <c r="L155" s="679"/>
      <c r="M155" s="679"/>
      <c r="N155" s="679"/>
      <c r="O155" s="680"/>
      <c r="P155" s="686" t="s">
        <v>87</v>
      </c>
      <c r="Q155" s="687"/>
      <c r="R155" s="687"/>
      <c r="S155" s="687"/>
      <c r="T155" s="687"/>
      <c r="U155" s="687"/>
      <c r="V155" s="688"/>
      <c r="W155" s="37" t="s">
        <v>68</v>
      </c>
      <c r="X155" s="667">
        <f>IFERROR(SUM(X153:X153),"0")</f>
        <v>0</v>
      </c>
      <c r="Y155" s="667">
        <f>IFERROR(SUM(Y153:Y153),"0")</f>
        <v>0</v>
      </c>
      <c r="Z155" s="37"/>
      <c r="AA155" s="668"/>
      <c r="AB155" s="668"/>
      <c r="AC155" s="668"/>
    </row>
    <row r="156" spans="1:68" ht="14.25" customHeight="1" x14ac:dyDescent="0.25">
      <c r="A156" s="683" t="s">
        <v>144</v>
      </c>
      <c r="B156" s="679"/>
      <c r="C156" s="679"/>
      <c r="D156" s="679"/>
      <c r="E156" s="679"/>
      <c r="F156" s="679"/>
      <c r="G156" s="679"/>
      <c r="H156" s="679"/>
      <c r="I156" s="679"/>
      <c r="J156" s="679"/>
      <c r="K156" s="679"/>
      <c r="L156" s="679"/>
      <c r="M156" s="679"/>
      <c r="N156" s="679"/>
      <c r="O156" s="679"/>
      <c r="P156" s="679"/>
      <c r="Q156" s="679"/>
      <c r="R156" s="679"/>
      <c r="S156" s="679"/>
      <c r="T156" s="679"/>
      <c r="U156" s="679"/>
      <c r="V156" s="679"/>
      <c r="W156" s="679"/>
      <c r="X156" s="679"/>
      <c r="Y156" s="679"/>
      <c r="Z156" s="679"/>
      <c r="AA156" s="661"/>
      <c r="AB156" s="661"/>
      <c r="AC156" s="661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9">
        <v>4607091387667</v>
      </c>
      <c r="E157" s="670"/>
      <c r="F157" s="664">
        <v>0.9</v>
      </c>
      <c r="G157" s="32">
        <v>10</v>
      </c>
      <c r="H157" s="664">
        <v>9</v>
      </c>
      <c r="I157" s="664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977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68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9">
        <v>4607091387636</v>
      </c>
      <c r="E158" s="670"/>
      <c r="F158" s="664">
        <v>0.7</v>
      </c>
      <c r="G158" s="32">
        <v>6</v>
      </c>
      <c r="H158" s="664">
        <v>4.2</v>
      </c>
      <c r="I158" s="664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4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68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9">
        <v>4607091382426</v>
      </c>
      <c r="E159" s="670"/>
      <c r="F159" s="664">
        <v>0.9</v>
      </c>
      <c r="G159" s="32">
        <v>10</v>
      </c>
      <c r="H159" s="664">
        <v>9</v>
      </c>
      <c r="I159" s="664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2"/>
      <c r="R159" s="672"/>
      <c r="S159" s="672"/>
      <c r="T159" s="673"/>
      <c r="U159" s="34"/>
      <c r="V159" s="34"/>
      <c r="W159" s="35" t="s">
        <v>68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9">
        <v>4607091386547</v>
      </c>
      <c r="E160" s="670"/>
      <c r="F160" s="664">
        <v>0.35</v>
      </c>
      <c r="G160" s="32">
        <v>8</v>
      </c>
      <c r="H160" s="664">
        <v>2.8</v>
      </c>
      <c r="I160" s="664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5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2"/>
      <c r="R160" s="672"/>
      <c r="S160" s="672"/>
      <c r="T160" s="673"/>
      <c r="U160" s="34"/>
      <c r="V160" s="34"/>
      <c r="W160" s="35" t="s">
        <v>68</v>
      </c>
      <c r="X160" s="665">
        <v>0</v>
      </c>
      <c r="Y160" s="666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8"/>
      <c r="B161" s="679"/>
      <c r="C161" s="679"/>
      <c r="D161" s="679"/>
      <c r="E161" s="679"/>
      <c r="F161" s="679"/>
      <c r="G161" s="679"/>
      <c r="H161" s="679"/>
      <c r="I161" s="679"/>
      <c r="J161" s="679"/>
      <c r="K161" s="679"/>
      <c r="L161" s="679"/>
      <c r="M161" s="679"/>
      <c r="N161" s="679"/>
      <c r="O161" s="680"/>
      <c r="P161" s="686" t="s">
        <v>87</v>
      </c>
      <c r="Q161" s="687"/>
      <c r="R161" s="687"/>
      <c r="S161" s="687"/>
      <c r="T161" s="687"/>
      <c r="U161" s="687"/>
      <c r="V161" s="688"/>
      <c r="W161" s="37" t="s">
        <v>88</v>
      </c>
      <c r="X161" s="667">
        <f>IFERROR(X157/H157,"0")+IFERROR(X158/H158,"0")+IFERROR(X159/H159,"0")+IFERROR(X160/H160,"0")</f>
        <v>0</v>
      </c>
      <c r="Y161" s="667">
        <f>IFERROR(Y157/H157,"0")+IFERROR(Y158/H158,"0")+IFERROR(Y159/H159,"0")+IFERROR(Y160/H160,"0")</f>
        <v>0</v>
      </c>
      <c r="Z161" s="667">
        <f>IFERROR(IF(Z157="",0,Z157),"0")+IFERROR(IF(Z158="",0,Z158),"0")+IFERROR(IF(Z159="",0,Z159),"0")+IFERROR(IF(Z160="",0,Z160),"0")</f>
        <v>0</v>
      </c>
      <c r="AA161" s="668"/>
      <c r="AB161" s="668"/>
      <c r="AC161" s="668"/>
    </row>
    <row r="162" spans="1:68" x14ac:dyDescent="0.2">
      <c r="A162" s="679"/>
      <c r="B162" s="679"/>
      <c r="C162" s="679"/>
      <c r="D162" s="679"/>
      <c r="E162" s="679"/>
      <c r="F162" s="679"/>
      <c r="G162" s="679"/>
      <c r="H162" s="679"/>
      <c r="I162" s="679"/>
      <c r="J162" s="679"/>
      <c r="K162" s="679"/>
      <c r="L162" s="679"/>
      <c r="M162" s="679"/>
      <c r="N162" s="679"/>
      <c r="O162" s="680"/>
      <c r="P162" s="686" t="s">
        <v>87</v>
      </c>
      <c r="Q162" s="687"/>
      <c r="R162" s="687"/>
      <c r="S162" s="687"/>
      <c r="T162" s="687"/>
      <c r="U162" s="687"/>
      <c r="V162" s="688"/>
      <c r="W162" s="37" t="s">
        <v>68</v>
      </c>
      <c r="X162" s="667">
        <f>IFERROR(SUM(X157:X160),"0")</f>
        <v>0</v>
      </c>
      <c r="Y162" s="667">
        <f>IFERROR(SUM(Y157:Y160),"0")</f>
        <v>0</v>
      </c>
      <c r="Z162" s="37"/>
      <c r="AA162" s="668"/>
      <c r="AB162" s="668"/>
      <c r="AC162" s="668"/>
    </row>
    <row r="163" spans="1:68" ht="14.25" customHeight="1" x14ac:dyDescent="0.25">
      <c r="A163" s="683" t="s">
        <v>63</v>
      </c>
      <c r="B163" s="679"/>
      <c r="C163" s="679"/>
      <c r="D163" s="679"/>
      <c r="E163" s="679"/>
      <c r="F163" s="679"/>
      <c r="G163" s="679"/>
      <c r="H163" s="679"/>
      <c r="I163" s="679"/>
      <c r="J163" s="679"/>
      <c r="K163" s="679"/>
      <c r="L163" s="679"/>
      <c r="M163" s="679"/>
      <c r="N163" s="679"/>
      <c r="O163" s="679"/>
      <c r="P163" s="679"/>
      <c r="Q163" s="679"/>
      <c r="R163" s="679"/>
      <c r="S163" s="679"/>
      <c r="T163" s="679"/>
      <c r="U163" s="679"/>
      <c r="V163" s="679"/>
      <c r="W163" s="679"/>
      <c r="X163" s="679"/>
      <c r="Y163" s="679"/>
      <c r="Z163" s="679"/>
      <c r="AA163" s="661"/>
      <c r="AB163" s="661"/>
      <c r="AC163" s="661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9">
        <v>4607091386264</v>
      </c>
      <c r="E164" s="670"/>
      <c r="F164" s="664">
        <v>0.5</v>
      </c>
      <c r="G164" s="32">
        <v>6</v>
      </c>
      <c r="H164" s="664">
        <v>3</v>
      </c>
      <c r="I164" s="664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5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2"/>
      <c r="R164" s="672"/>
      <c r="S164" s="672"/>
      <c r="T164" s="673"/>
      <c r="U164" s="34"/>
      <c r="V164" s="34"/>
      <c r="W164" s="35" t="s">
        <v>68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8"/>
      <c r="B165" s="679"/>
      <c r="C165" s="679"/>
      <c r="D165" s="679"/>
      <c r="E165" s="679"/>
      <c r="F165" s="679"/>
      <c r="G165" s="679"/>
      <c r="H165" s="679"/>
      <c r="I165" s="679"/>
      <c r="J165" s="679"/>
      <c r="K165" s="679"/>
      <c r="L165" s="679"/>
      <c r="M165" s="679"/>
      <c r="N165" s="679"/>
      <c r="O165" s="680"/>
      <c r="P165" s="686" t="s">
        <v>87</v>
      </c>
      <c r="Q165" s="687"/>
      <c r="R165" s="687"/>
      <c r="S165" s="687"/>
      <c r="T165" s="687"/>
      <c r="U165" s="687"/>
      <c r="V165" s="688"/>
      <c r="W165" s="37" t="s">
        <v>88</v>
      </c>
      <c r="X165" s="667">
        <f>IFERROR(X164/H164,"0")</f>
        <v>0</v>
      </c>
      <c r="Y165" s="667">
        <f>IFERROR(Y164/H164,"0")</f>
        <v>0</v>
      </c>
      <c r="Z165" s="667">
        <f>IFERROR(IF(Z164="",0,Z164),"0")</f>
        <v>0</v>
      </c>
      <c r="AA165" s="668"/>
      <c r="AB165" s="668"/>
      <c r="AC165" s="668"/>
    </row>
    <row r="166" spans="1:68" x14ac:dyDescent="0.2">
      <c r="A166" s="679"/>
      <c r="B166" s="679"/>
      <c r="C166" s="679"/>
      <c r="D166" s="679"/>
      <c r="E166" s="679"/>
      <c r="F166" s="679"/>
      <c r="G166" s="679"/>
      <c r="H166" s="679"/>
      <c r="I166" s="679"/>
      <c r="J166" s="679"/>
      <c r="K166" s="679"/>
      <c r="L166" s="679"/>
      <c r="M166" s="679"/>
      <c r="N166" s="679"/>
      <c r="O166" s="680"/>
      <c r="P166" s="686" t="s">
        <v>87</v>
      </c>
      <c r="Q166" s="687"/>
      <c r="R166" s="687"/>
      <c r="S166" s="687"/>
      <c r="T166" s="687"/>
      <c r="U166" s="687"/>
      <c r="V166" s="688"/>
      <c r="W166" s="37" t="s">
        <v>68</v>
      </c>
      <c r="X166" s="667">
        <f>IFERROR(SUM(X164:X164),"0")</f>
        <v>0</v>
      </c>
      <c r="Y166" s="667">
        <f>IFERROR(SUM(Y164:Y164),"0")</f>
        <v>0</v>
      </c>
      <c r="Z166" s="37"/>
      <c r="AA166" s="668"/>
      <c r="AB166" s="668"/>
      <c r="AC166" s="668"/>
    </row>
    <row r="167" spans="1:68" ht="27.75" customHeight="1" x14ac:dyDescent="0.2">
      <c r="A167" s="681" t="s">
        <v>283</v>
      </c>
      <c r="B167" s="682"/>
      <c r="C167" s="682"/>
      <c r="D167" s="682"/>
      <c r="E167" s="682"/>
      <c r="F167" s="682"/>
      <c r="G167" s="682"/>
      <c r="H167" s="682"/>
      <c r="I167" s="682"/>
      <c r="J167" s="682"/>
      <c r="K167" s="682"/>
      <c r="L167" s="682"/>
      <c r="M167" s="682"/>
      <c r="N167" s="682"/>
      <c r="O167" s="682"/>
      <c r="P167" s="682"/>
      <c r="Q167" s="682"/>
      <c r="R167" s="682"/>
      <c r="S167" s="682"/>
      <c r="T167" s="682"/>
      <c r="U167" s="682"/>
      <c r="V167" s="682"/>
      <c r="W167" s="682"/>
      <c r="X167" s="682"/>
      <c r="Y167" s="682"/>
      <c r="Z167" s="682"/>
      <c r="AA167" s="48"/>
      <c r="AB167" s="48"/>
      <c r="AC167" s="48"/>
    </row>
    <row r="168" spans="1:68" ht="16.5" customHeight="1" x14ac:dyDescent="0.25">
      <c r="A168" s="718" t="s">
        <v>284</v>
      </c>
      <c r="B168" s="679"/>
      <c r="C168" s="679"/>
      <c r="D168" s="679"/>
      <c r="E168" s="679"/>
      <c r="F168" s="679"/>
      <c r="G168" s="679"/>
      <c r="H168" s="679"/>
      <c r="I168" s="679"/>
      <c r="J168" s="679"/>
      <c r="K168" s="679"/>
      <c r="L168" s="679"/>
      <c r="M168" s="679"/>
      <c r="N168" s="679"/>
      <c r="O168" s="679"/>
      <c r="P168" s="679"/>
      <c r="Q168" s="679"/>
      <c r="R168" s="679"/>
      <c r="S168" s="679"/>
      <c r="T168" s="679"/>
      <c r="U168" s="679"/>
      <c r="V168" s="679"/>
      <c r="W168" s="679"/>
      <c r="X168" s="679"/>
      <c r="Y168" s="679"/>
      <c r="Z168" s="679"/>
      <c r="AA168" s="660"/>
      <c r="AB168" s="660"/>
      <c r="AC168" s="660"/>
    </row>
    <row r="169" spans="1:68" ht="14.25" customHeight="1" x14ac:dyDescent="0.25">
      <c r="A169" s="683" t="s">
        <v>133</v>
      </c>
      <c r="B169" s="679"/>
      <c r="C169" s="679"/>
      <c r="D169" s="679"/>
      <c r="E169" s="679"/>
      <c r="F169" s="679"/>
      <c r="G169" s="679"/>
      <c r="H169" s="679"/>
      <c r="I169" s="679"/>
      <c r="J169" s="679"/>
      <c r="K169" s="679"/>
      <c r="L169" s="679"/>
      <c r="M169" s="679"/>
      <c r="N169" s="679"/>
      <c r="O169" s="679"/>
      <c r="P169" s="679"/>
      <c r="Q169" s="679"/>
      <c r="R169" s="679"/>
      <c r="S169" s="679"/>
      <c r="T169" s="679"/>
      <c r="U169" s="679"/>
      <c r="V169" s="679"/>
      <c r="W169" s="679"/>
      <c r="X169" s="679"/>
      <c r="Y169" s="679"/>
      <c r="Z169" s="679"/>
      <c r="AA169" s="661"/>
      <c r="AB169" s="661"/>
      <c r="AC169" s="661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68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8"/>
      <c r="B171" s="679"/>
      <c r="C171" s="679"/>
      <c r="D171" s="679"/>
      <c r="E171" s="679"/>
      <c r="F171" s="679"/>
      <c r="G171" s="679"/>
      <c r="H171" s="679"/>
      <c r="I171" s="679"/>
      <c r="J171" s="679"/>
      <c r="K171" s="679"/>
      <c r="L171" s="679"/>
      <c r="M171" s="679"/>
      <c r="N171" s="679"/>
      <c r="O171" s="680"/>
      <c r="P171" s="686" t="s">
        <v>87</v>
      </c>
      <c r="Q171" s="687"/>
      <c r="R171" s="687"/>
      <c r="S171" s="687"/>
      <c r="T171" s="687"/>
      <c r="U171" s="687"/>
      <c r="V171" s="688"/>
      <c r="W171" s="37" t="s">
        <v>88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x14ac:dyDescent="0.2">
      <c r="A172" s="679"/>
      <c r="B172" s="679"/>
      <c r="C172" s="679"/>
      <c r="D172" s="679"/>
      <c r="E172" s="679"/>
      <c r="F172" s="679"/>
      <c r="G172" s="679"/>
      <c r="H172" s="679"/>
      <c r="I172" s="679"/>
      <c r="J172" s="679"/>
      <c r="K172" s="679"/>
      <c r="L172" s="679"/>
      <c r="M172" s="679"/>
      <c r="N172" s="679"/>
      <c r="O172" s="680"/>
      <c r="P172" s="686" t="s">
        <v>87</v>
      </c>
      <c r="Q172" s="687"/>
      <c r="R172" s="687"/>
      <c r="S172" s="687"/>
      <c r="T172" s="687"/>
      <c r="U172" s="687"/>
      <c r="V172" s="688"/>
      <c r="W172" s="37" t="s">
        <v>68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customHeight="1" x14ac:dyDescent="0.25">
      <c r="A173" s="683" t="s">
        <v>144</v>
      </c>
      <c r="B173" s="679"/>
      <c r="C173" s="679"/>
      <c r="D173" s="679"/>
      <c r="E173" s="679"/>
      <c r="F173" s="679"/>
      <c r="G173" s="679"/>
      <c r="H173" s="679"/>
      <c r="I173" s="679"/>
      <c r="J173" s="679"/>
      <c r="K173" s="679"/>
      <c r="L173" s="679"/>
      <c r="M173" s="679"/>
      <c r="N173" s="679"/>
      <c r="O173" s="679"/>
      <c r="P173" s="679"/>
      <c r="Q173" s="679"/>
      <c r="R173" s="679"/>
      <c r="S173" s="679"/>
      <c r="T173" s="679"/>
      <c r="U173" s="679"/>
      <c r="V173" s="679"/>
      <c r="W173" s="679"/>
      <c r="X173" s="679"/>
      <c r="Y173" s="679"/>
      <c r="Z173" s="679"/>
      <c r="AA173" s="661"/>
      <c r="AB173" s="661"/>
      <c r="AC173" s="661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68</v>
      </c>
      <c r="X174" s="665">
        <v>111</v>
      </c>
      <c r="Y174" s="666">
        <f t="shared" ref="Y174:Y182" si="27">IFERROR(IF(X174="",0,CEILING((X174/$H174),1)*$H174),"")</f>
        <v>113.4</v>
      </c>
      <c r="Z174" s="36">
        <f>IFERROR(IF(Y174=0,"",ROUNDUP(Y174/H174,0)*0.00902),"")</f>
        <v>0.24354000000000001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118.13571428571427</v>
      </c>
      <c r="BN174" s="64">
        <f t="shared" ref="BN174:BN182" si="29">IFERROR(Y174*I174/H174,"0")</f>
        <v>120.69</v>
      </c>
      <c r="BO174" s="64">
        <f t="shared" ref="BO174:BO182" si="30">IFERROR(1/J174*(X174/H174),"0")</f>
        <v>0.20021645021645021</v>
      </c>
      <c r="BP174" s="64">
        <f t="shared" ref="BP174:BP182" si="31">IFERROR(1/J174*(Y174/H174),"0")</f>
        <v>0.20454545454545456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68</v>
      </c>
      <c r="X175" s="665">
        <v>0</v>
      </c>
      <c r="Y175" s="666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68</v>
      </c>
      <c r="X176" s="665">
        <v>0</v>
      </c>
      <c r="Y176" s="666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68</v>
      </c>
      <c r="X177" s="665">
        <v>0</v>
      </c>
      <c r="Y177" s="666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68</v>
      </c>
      <c r="X178" s="665">
        <v>0</v>
      </c>
      <c r="Y178" s="666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7" t="s">
        <v>303</v>
      </c>
      <c r="Q179" s="672"/>
      <c r="R179" s="672"/>
      <c r="S179" s="672"/>
      <c r="T179" s="673"/>
      <c r="U179" s="34"/>
      <c r="V179" s="34"/>
      <c r="W179" s="35" t="s">
        <v>68</v>
      </c>
      <c r="X179" s="665">
        <v>0</v>
      </c>
      <c r="Y179" s="666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68</v>
      </c>
      <c r="X180" s="665">
        <v>0</v>
      </c>
      <c r="Y180" s="666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68</v>
      </c>
      <c r="X181" s="665">
        <v>0</v>
      </c>
      <c r="Y181" s="666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1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68</v>
      </c>
      <c r="X182" s="665">
        <v>0</v>
      </c>
      <c r="Y182" s="666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8"/>
      <c r="B183" s="679"/>
      <c r="C183" s="679"/>
      <c r="D183" s="679"/>
      <c r="E183" s="679"/>
      <c r="F183" s="679"/>
      <c r="G183" s="679"/>
      <c r="H183" s="679"/>
      <c r="I183" s="679"/>
      <c r="J183" s="679"/>
      <c r="K183" s="679"/>
      <c r="L183" s="679"/>
      <c r="M183" s="679"/>
      <c r="N183" s="679"/>
      <c r="O183" s="680"/>
      <c r="P183" s="686" t="s">
        <v>87</v>
      </c>
      <c r="Q183" s="687"/>
      <c r="R183" s="687"/>
      <c r="S183" s="687"/>
      <c r="T183" s="687"/>
      <c r="U183" s="687"/>
      <c r="V183" s="688"/>
      <c r="W183" s="37" t="s">
        <v>88</v>
      </c>
      <c r="X183" s="667">
        <f>IFERROR(X174/H174,"0")+IFERROR(X175/H175,"0")+IFERROR(X176/H176,"0")+IFERROR(X177/H177,"0")+IFERROR(X178/H178,"0")+IFERROR(X179/H179,"0")+IFERROR(X180/H180,"0")+IFERROR(X181/H181,"0")+IFERROR(X182/H182,"0")</f>
        <v>26.428571428571427</v>
      </c>
      <c r="Y183" s="667">
        <f>IFERROR(Y174/H174,"0")+IFERROR(Y175/H175,"0")+IFERROR(Y176/H176,"0")+IFERROR(Y177/H177,"0")+IFERROR(Y178/H178,"0")+IFERROR(Y179/H179,"0")+IFERROR(Y180/H180,"0")+IFERROR(Y181/H181,"0")+IFERROR(Y182/H182,"0")</f>
        <v>27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0.24354000000000001</v>
      </c>
      <c r="AA183" s="668"/>
      <c r="AB183" s="668"/>
      <c r="AC183" s="668"/>
    </row>
    <row r="184" spans="1:68" x14ac:dyDescent="0.2">
      <c r="A184" s="679"/>
      <c r="B184" s="679"/>
      <c r="C184" s="679"/>
      <c r="D184" s="679"/>
      <c r="E184" s="679"/>
      <c r="F184" s="679"/>
      <c r="G184" s="679"/>
      <c r="H184" s="679"/>
      <c r="I184" s="679"/>
      <c r="J184" s="679"/>
      <c r="K184" s="679"/>
      <c r="L184" s="679"/>
      <c r="M184" s="679"/>
      <c r="N184" s="679"/>
      <c r="O184" s="680"/>
      <c r="P184" s="686" t="s">
        <v>87</v>
      </c>
      <c r="Q184" s="687"/>
      <c r="R184" s="687"/>
      <c r="S184" s="687"/>
      <c r="T184" s="687"/>
      <c r="U184" s="687"/>
      <c r="V184" s="688"/>
      <c r="W184" s="37" t="s">
        <v>68</v>
      </c>
      <c r="X184" s="667">
        <f>IFERROR(SUM(X174:X182),"0")</f>
        <v>111</v>
      </c>
      <c r="Y184" s="667">
        <f>IFERROR(SUM(Y174:Y182),"0")</f>
        <v>113.4</v>
      </c>
      <c r="Z184" s="37"/>
      <c r="AA184" s="668"/>
      <c r="AB184" s="668"/>
      <c r="AC184" s="668"/>
    </row>
    <row r="185" spans="1:68" ht="14.25" customHeight="1" x14ac:dyDescent="0.25">
      <c r="A185" s="683" t="s">
        <v>89</v>
      </c>
      <c r="B185" s="679"/>
      <c r="C185" s="679"/>
      <c r="D185" s="679"/>
      <c r="E185" s="679"/>
      <c r="F185" s="679"/>
      <c r="G185" s="679"/>
      <c r="H185" s="679"/>
      <c r="I185" s="679"/>
      <c r="J185" s="679"/>
      <c r="K185" s="679"/>
      <c r="L185" s="679"/>
      <c r="M185" s="679"/>
      <c r="N185" s="679"/>
      <c r="O185" s="679"/>
      <c r="P185" s="679"/>
      <c r="Q185" s="679"/>
      <c r="R185" s="679"/>
      <c r="S185" s="679"/>
      <c r="T185" s="679"/>
      <c r="U185" s="679"/>
      <c r="V185" s="679"/>
      <c r="W185" s="679"/>
      <c r="X185" s="679"/>
      <c r="Y185" s="679"/>
      <c r="Z185" s="679"/>
      <c r="AA185" s="661"/>
      <c r="AB185" s="661"/>
      <c r="AC185" s="661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7" t="s">
        <v>316</v>
      </c>
      <c r="Q186" s="672"/>
      <c r="R186" s="672"/>
      <c r="S186" s="672"/>
      <c r="T186" s="673"/>
      <c r="U186" s="34"/>
      <c r="V186" s="34"/>
      <c r="W186" s="35" t="s">
        <v>68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41" t="s">
        <v>317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8"/>
      <c r="B187" s="679"/>
      <c r="C187" s="679"/>
      <c r="D187" s="679"/>
      <c r="E187" s="679"/>
      <c r="F187" s="679"/>
      <c r="G187" s="679"/>
      <c r="H187" s="679"/>
      <c r="I187" s="679"/>
      <c r="J187" s="679"/>
      <c r="K187" s="679"/>
      <c r="L187" s="679"/>
      <c r="M187" s="679"/>
      <c r="N187" s="679"/>
      <c r="O187" s="680"/>
      <c r="P187" s="686" t="s">
        <v>87</v>
      </c>
      <c r="Q187" s="687"/>
      <c r="R187" s="687"/>
      <c r="S187" s="687"/>
      <c r="T187" s="687"/>
      <c r="U187" s="687"/>
      <c r="V187" s="688"/>
      <c r="W187" s="37" t="s">
        <v>88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x14ac:dyDescent="0.2">
      <c r="A188" s="679"/>
      <c r="B188" s="679"/>
      <c r="C188" s="679"/>
      <c r="D188" s="679"/>
      <c r="E188" s="679"/>
      <c r="F188" s="679"/>
      <c r="G188" s="679"/>
      <c r="H188" s="679"/>
      <c r="I188" s="679"/>
      <c r="J188" s="679"/>
      <c r="K188" s="679"/>
      <c r="L188" s="679"/>
      <c r="M188" s="679"/>
      <c r="N188" s="679"/>
      <c r="O188" s="680"/>
      <c r="P188" s="686" t="s">
        <v>87</v>
      </c>
      <c r="Q188" s="687"/>
      <c r="R188" s="687"/>
      <c r="S188" s="687"/>
      <c r="T188" s="687"/>
      <c r="U188" s="687"/>
      <c r="V188" s="688"/>
      <c r="W188" s="37" t="s">
        <v>68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customHeight="1" x14ac:dyDescent="0.25">
      <c r="A189" s="718" t="s">
        <v>318</v>
      </c>
      <c r="B189" s="679"/>
      <c r="C189" s="679"/>
      <c r="D189" s="679"/>
      <c r="E189" s="679"/>
      <c r="F189" s="679"/>
      <c r="G189" s="679"/>
      <c r="H189" s="679"/>
      <c r="I189" s="679"/>
      <c r="J189" s="679"/>
      <c r="K189" s="679"/>
      <c r="L189" s="679"/>
      <c r="M189" s="679"/>
      <c r="N189" s="679"/>
      <c r="O189" s="679"/>
      <c r="P189" s="679"/>
      <c r="Q189" s="679"/>
      <c r="R189" s="679"/>
      <c r="S189" s="679"/>
      <c r="T189" s="679"/>
      <c r="U189" s="679"/>
      <c r="V189" s="679"/>
      <c r="W189" s="679"/>
      <c r="X189" s="679"/>
      <c r="Y189" s="679"/>
      <c r="Z189" s="679"/>
      <c r="AA189" s="660"/>
      <c r="AB189" s="660"/>
      <c r="AC189" s="660"/>
    </row>
    <row r="190" spans="1:68" ht="14.25" customHeight="1" x14ac:dyDescent="0.25">
      <c r="A190" s="683" t="s">
        <v>97</v>
      </c>
      <c r="B190" s="679"/>
      <c r="C190" s="679"/>
      <c r="D190" s="679"/>
      <c r="E190" s="679"/>
      <c r="F190" s="679"/>
      <c r="G190" s="679"/>
      <c r="H190" s="679"/>
      <c r="I190" s="679"/>
      <c r="J190" s="679"/>
      <c r="K190" s="679"/>
      <c r="L190" s="679"/>
      <c r="M190" s="679"/>
      <c r="N190" s="679"/>
      <c r="O190" s="679"/>
      <c r="P190" s="679"/>
      <c r="Q190" s="679"/>
      <c r="R190" s="679"/>
      <c r="S190" s="679"/>
      <c r="T190" s="679"/>
      <c r="U190" s="679"/>
      <c r="V190" s="679"/>
      <c r="W190" s="679"/>
      <c r="X190" s="679"/>
      <c r="Y190" s="679"/>
      <c r="Z190" s="679"/>
      <c r="AA190" s="661"/>
      <c r="AB190" s="661"/>
      <c r="AC190" s="661"/>
    </row>
    <row r="191" spans="1:68" ht="16.5" customHeight="1" x14ac:dyDescent="0.25">
      <c r="A191" s="54" t="s">
        <v>319</v>
      </c>
      <c r="B191" s="54" t="s">
        <v>320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68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321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322</v>
      </c>
      <c r="B192" s="54" t="s">
        <v>323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7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68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321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8"/>
      <c r="B193" s="679"/>
      <c r="C193" s="679"/>
      <c r="D193" s="679"/>
      <c r="E193" s="679"/>
      <c r="F193" s="679"/>
      <c r="G193" s="679"/>
      <c r="H193" s="679"/>
      <c r="I193" s="679"/>
      <c r="J193" s="679"/>
      <c r="K193" s="679"/>
      <c r="L193" s="679"/>
      <c r="M193" s="679"/>
      <c r="N193" s="679"/>
      <c r="O193" s="680"/>
      <c r="P193" s="686" t="s">
        <v>87</v>
      </c>
      <c r="Q193" s="687"/>
      <c r="R193" s="687"/>
      <c r="S193" s="687"/>
      <c r="T193" s="687"/>
      <c r="U193" s="687"/>
      <c r="V193" s="688"/>
      <c r="W193" s="37" t="s">
        <v>88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x14ac:dyDescent="0.2">
      <c r="A194" s="679"/>
      <c r="B194" s="679"/>
      <c r="C194" s="679"/>
      <c r="D194" s="679"/>
      <c r="E194" s="679"/>
      <c r="F194" s="679"/>
      <c r="G194" s="679"/>
      <c r="H194" s="679"/>
      <c r="I194" s="679"/>
      <c r="J194" s="679"/>
      <c r="K194" s="679"/>
      <c r="L194" s="679"/>
      <c r="M194" s="679"/>
      <c r="N194" s="679"/>
      <c r="O194" s="680"/>
      <c r="P194" s="686" t="s">
        <v>87</v>
      </c>
      <c r="Q194" s="687"/>
      <c r="R194" s="687"/>
      <c r="S194" s="687"/>
      <c r="T194" s="687"/>
      <c r="U194" s="687"/>
      <c r="V194" s="688"/>
      <c r="W194" s="37" t="s">
        <v>68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customHeight="1" x14ac:dyDescent="0.25">
      <c r="A195" s="683" t="s">
        <v>133</v>
      </c>
      <c r="B195" s="679"/>
      <c r="C195" s="679"/>
      <c r="D195" s="679"/>
      <c r="E195" s="679"/>
      <c r="F195" s="679"/>
      <c r="G195" s="679"/>
      <c r="H195" s="679"/>
      <c r="I195" s="679"/>
      <c r="J195" s="679"/>
      <c r="K195" s="679"/>
      <c r="L195" s="679"/>
      <c r="M195" s="679"/>
      <c r="N195" s="679"/>
      <c r="O195" s="679"/>
      <c r="P195" s="679"/>
      <c r="Q195" s="679"/>
      <c r="R195" s="679"/>
      <c r="S195" s="679"/>
      <c r="T195" s="679"/>
      <c r="U195" s="679"/>
      <c r="V195" s="679"/>
      <c r="W195" s="679"/>
      <c r="X195" s="679"/>
      <c r="Y195" s="679"/>
      <c r="Z195" s="679"/>
      <c r="AA195" s="661"/>
      <c r="AB195" s="661"/>
      <c r="AC195" s="661"/>
    </row>
    <row r="196" spans="1:68" ht="16.5" customHeight="1" x14ac:dyDescent="0.25">
      <c r="A196" s="54" t="s">
        <v>324</v>
      </c>
      <c r="B196" s="54" t="s">
        <v>325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68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326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327</v>
      </c>
      <c r="B197" s="54" t="s">
        <v>328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68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326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8"/>
      <c r="B198" s="679"/>
      <c r="C198" s="679"/>
      <c r="D198" s="679"/>
      <c r="E198" s="679"/>
      <c r="F198" s="679"/>
      <c r="G198" s="679"/>
      <c r="H198" s="679"/>
      <c r="I198" s="679"/>
      <c r="J198" s="679"/>
      <c r="K198" s="679"/>
      <c r="L198" s="679"/>
      <c r="M198" s="679"/>
      <c r="N198" s="679"/>
      <c r="O198" s="680"/>
      <c r="P198" s="686" t="s">
        <v>87</v>
      </c>
      <c r="Q198" s="687"/>
      <c r="R198" s="687"/>
      <c r="S198" s="687"/>
      <c r="T198" s="687"/>
      <c r="U198" s="687"/>
      <c r="V198" s="688"/>
      <c r="W198" s="37" t="s">
        <v>88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x14ac:dyDescent="0.2">
      <c r="A199" s="679"/>
      <c r="B199" s="679"/>
      <c r="C199" s="679"/>
      <c r="D199" s="679"/>
      <c r="E199" s="679"/>
      <c r="F199" s="679"/>
      <c r="G199" s="679"/>
      <c r="H199" s="679"/>
      <c r="I199" s="679"/>
      <c r="J199" s="679"/>
      <c r="K199" s="679"/>
      <c r="L199" s="679"/>
      <c r="M199" s="679"/>
      <c r="N199" s="679"/>
      <c r="O199" s="680"/>
      <c r="P199" s="686" t="s">
        <v>87</v>
      </c>
      <c r="Q199" s="687"/>
      <c r="R199" s="687"/>
      <c r="S199" s="687"/>
      <c r="T199" s="687"/>
      <c r="U199" s="687"/>
      <c r="V199" s="688"/>
      <c r="W199" s="37" t="s">
        <v>68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customHeight="1" x14ac:dyDescent="0.25">
      <c r="A200" s="683" t="s">
        <v>144</v>
      </c>
      <c r="B200" s="679"/>
      <c r="C200" s="679"/>
      <c r="D200" s="679"/>
      <c r="E200" s="679"/>
      <c r="F200" s="679"/>
      <c r="G200" s="679"/>
      <c r="H200" s="679"/>
      <c r="I200" s="679"/>
      <c r="J200" s="679"/>
      <c r="K200" s="679"/>
      <c r="L200" s="679"/>
      <c r="M200" s="679"/>
      <c r="N200" s="679"/>
      <c r="O200" s="679"/>
      <c r="P200" s="679"/>
      <c r="Q200" s="679"/>
      <c r="R200" s="679"/>
      <c r="S200" s="679"/>
      <c r="T200" s="679"/>
      <c r="U200" s="679"/>
      <c r="V200" s="679"/>
      <c r="W200" s="679"/>
      <c r="X200" s="679"/>
      <c r="Y200" s="679"/>
      <c r="Z200" s="679"/>
      <c r="AA200" s="661"/>
      <c r="AB200" s="661"/>
      <c r="AC200" s="661"/>
    </row>
    <row r="201" spans="1:68" ht="27" customHeight="1" x14ac:dyDescent="0.25">
      <c r="A201" s="54" t="s">
        <v>329</v>
      </c>
      <c r="B201" s="54" t="s">
        <v>330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68</v>
      </c>
      <c r="X201" s="665">
        <v>0</v>
      </c>
      <c r="Y201" s="666">
        <f t="shared" ref="Y201:Y208" si="32">IFERROR(IF(X201="",0,CEILING((X201/$H201),1)*$H201),"")</f>
        <v>0</v>
      </c>
      <c r="Z201" s="36" t="str">
        <f>IFERROR(IF(Y201=0,"",ROUNDUP(Y201/H201,0)*0.00902),"")</f>
        <v/>
      </c>
      <c r="AA201" s="56"/>
      <c r="AB201" s="57"/>
      <c r="AC201" s="251" t="s">
        <v>331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0</v>
      </c>
      <c r="BN201" s="64">
        <f t="shared" ref="BN201:BN208" si="34">IFERROR(Y201*I201/H201,"0")</f>
        <v>0</v>
      </c>
      <c r="BO201" s="64">
        <f t="shared" ref="BO201:BO208" si="35">IFERROR(1/J201*(X201/H201),"0")</f>
        <v>0</v>
      </c>
      <c r="BP201" s="64">
        <f t="shared" ref="BP201:BP208" si="36">IFERROR(1/J201*(Y201/H201),"0")</f>
        <v>0</v>
      </c>
    </row>
    <row r="202" spans="1:68" ht="27" customHeight="1" x14ac:dyDescent="0.25">
      <c r="A202" s="54" t="s">
        <v>332</v>
      </c>
      <c r="B202" s="54" t="s">
        <v>333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68</v>
      </c>
      <c r="X202" s="665">
        <v>115</v>
      </c>
      <c r="Y202" s="666">
        <f t="shared" si="32"/>
        <v>118.80000000000001</v>
      </c>
      <c r="Z202" s="36">
        <f>IFERROR(IF(Y202=0,"",ROUNDUP(Y202/H202,0)*0.00902),"")</f>
        <v>0.19844000000000001</v>
      </c>
      <c r="AA202" s="56"/>
      <c r="AB202" s="57"/>
      <c r="AC202" s="253" t="s">
        <v>334</v>
      </c>
      <c r="AG202" s="64"/>
      <c r="AJ202" s="68"/>
      <c r="AK202" s="68">
        <v>0</v>
      </c>
      <c r="BB202" s="254" t="s">
        <v>1</v>
      </c>
      <c r="BM202" s="64">
        <f t="shared" si="33"/>
        <v>119.47222222222223</v>
      </c>
      <c r="BN202" s="64">
        <f t="shared" si="34"/>
        <v>123.42</v>
      </c>
      <c r="BO202" s="64">
        <f t="shared" si="35"/>
        <v>0.16133557800224466</v>
      </c>
      <c r="BP202" s="64">
        <f t="shared" si="36"/>
        <v>0.16666666666666669</v>
      </c>
    </row>
    <row r="203" spans="1:68" ht="27" customHeight="1" x14ac:dyDescent="0.25">
      <c r="A203" s="54" t="s">
        <v>335</v>
      </c>
      <c r="B203" s="54" t="s">
        <v>336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68</v>
      </c>
      <c r="X203" s="665">
        <v>0</v>
      </c>
      <c r="Y203" s="666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337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338</v>
      </c>
      <c r="B204" s="54" t="s">
        <v>339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68</v>
      </c>
      <c r="X204" s="665">
        <v>0</v>
      </c>
      <c r="Y204" s="666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340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341</v>
      </c>
      <c r="B205" s="54" t="s">
        <v>342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80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68</v>
      </c>
      <c r="X205" s="665">
        <v>0</v>
      </c>
      <c r="Y205" s="666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331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343</v>
      </c>
      <c r="B206" s="54" t="s">
        <v>344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68</v>
      </c>
      <c r="X206" s="665">
        <v>7</v>
      </c>
      <c r="Y206" s="666">
        <f t="shared" si="32"/>
        <v>7.2</v>
      </c>
      <c r="Z206" s="36">
        <f>IFERROR(IF(Y206=0,"",ROUNDUP(Y206/H206,0)*0.00502),"")</f>
        <v>2.0080000000000001E-2</v>
      </c>
      <c r="AA206" s="56"/>
      <c r="AB206" s="57"/>
      <c r="AC206" s="261" t="s">
        <v>334</v>
      </c>
      <c r="AG206" s="64"/>
      <c r="AJ206" s="68"/>
      <c r="AK206" s="68">
        <v>0</v>
      </c>
      <c r="BB206" s="262" t="s">
        <v>1</v>
      </c>
      <c r="BM206" s="64">
        <f t="shared" si="33"/>
        <v>7.3888888888888884</v>
      </c>
      <c r="BN206" s="64">
        <f t="shared" si="34"/>
        <v>7.6</v>
      </c>
      <c r="BO206" s="64">
        <f t="shared" si="35"/>
        <v>1.6619183285849954E-2</v>
      </c>
      <c r="BP206" s="64">
        <f t="shared" si="36"/>
        <v>1.7094017094017096E-2</v>
      </c>
    </row>
    <row r="207" spans="1:68" ht="27" customHeight="1" x14ac:dyDescent="0.25">
      <c r="A207" s="54" t="s">
        <v>345</v>
      </c>
      <c r="B207" s="54" t="s">
        <v>346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68</v>
      </c>
      <c r="X207" s="665">
        <v>0</v>
      </c>
      <c r="Y207" s="666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337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347</v>
      </c>
      <c r="B208" s="54" t="s">
        <v>348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68</v>
      </c>
      <c r="X208" s="665">
        <v>2</v>
      </c>
      <c r="Y208" s="666">
        <f t="shared" si="32"/>
        <v>3.6</v>
      </c>
      <c r="Z208" s="36">
        <f>IFERROR(IF(Y208=0,"",ROUNDUP(Y208/H208,0)*0.00502),"")</f>
        <v>1.004E-2</v>
      </c>
      <c r="AA208" s="56"/>
      <c r="AB208" s="57"/>
      <c r="AC208" s="265" t="s">
        <v>340</v>
      </c>
      <c r="AG208" s="64"/>
      <c r="AJ208" s="68"/>
      <c r="AK208" s="68">
        <v>0</v>
      </c>
      <c r="BB208" s="266" t="s">
        <v>1</v>
      </c>
      <c r="BM208" s="64">
        <f t="shared" si="33"/>
        <v>2.1111111111111112</v>
      </c>
      <c r="BN208" s="64">
        <f t="shared" si="34"/>
        <v>3.8</v>
      </c>
      <c r="BO208" s="64">
        <f t="shared" si="35"/>
        <v>4.7483380816714157E-3</v>
      </c>
      <c r="BP208" s="64">
        <f t="shared" si="36"/>
        <v>8.5470085470085479E-3</v>
      </c>
    </row>
    <row r="209" spans="1:68" x14ac:dyDescent="0.2">
      <c r="A209" s="678"/>
      <c r="B209" s="679"/>
      <c r="C209" s="679"/>
      <c r="D209" s="679"/>
      <c r="E209" s="679"/>
      <c r="F209" s="679"/>
      <c r="G209" s="679"/>
      <c r="H209" s="679"/>
      <c r="I209" s="679"/>
      <c r="J209" s="679"/>
      <c r="K209" s="679"/>
      <c r="L209" s="679"/>
      <c r="M209" s="679"/>
      <c r="N209" s="679"/>
      <c r="O209" s="680"/>
      <c r="P209" s="686" t="s">
        <v>87</v>
      </c>
      <c r="Q209" s="687"/>
      <c r="R209" s="687"/>
      <c r="S209" s="687"/>
      <c r="T209" s="687"/>
      <c r="U209" s="687"/>
      <c r="V209" s="688"/>
      <c r="W209" s="37" t="s">
        <v>88</v>
      </c>
      <c r="X209" s="667">
        <f>IFERROR(X201/H201,"0")+IFERROR(X202/H202,"0")+IFERROR(X203/H203,"0")+IFERROR(X204/H204,"0")+IFERROR(X205/H205,"0")+IFERROR(X206/H206,"0")+IFERROR(X207/H207,"0")+IFERROR(X208/H208,"0")</f>
        <v>26.296296296296294</v>
      </c>
      <c r="Y209" s="667">
        <f>IFERROR(Y201/H201,"0")+IFERROR(Y202/H202,"0")+IFERROR(Y203/H203,"0")+IFERROR(Y204/H204,"0")+IFERROR(Y205/H205,"0")+IFERROR(Y206/H206,"0")+IFERROR(Y207/H207,"0")+IFERROR(Y208/H208,"0")</f>
        <v>28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0.22855999999999999</v>
      </c>
      <c r="AA209" s="668"/>
      <c r="AB209" s="668"/>
      <c r="AC209" s="668"/>
    </row>
    <row r="210" spans="1:68" x14ac:dyDescent="0.2">
      <c r="A210" s="679"/>
      <c r="B210" s="679"/>
      <c r="C210" s="679"/>
      <c r="D210" s="679"/>
      <c r="E210" s="679"/>
      <c r="F210" s="679"/>
      <c r="G210" s="679"/>
      <c r="H210" s="679"/>
      <c r="I210" s="679"/>
      <c r="J210" s="679"/>
      <c r="K210" s="679"/>
      <c r="L210" s="679"/>
      <c r="M210" s="679"/>
      <c r="N210" s="679"/>
      <c r="O210" s="680"/>
      <c r="P210" s="686" t="s">
        <v>87</v>
      </c>
      <c r="Q210" s="687"/>
      <c r="R210" s="687"/>
      <c r="S210" s="687"/>
      <c r="T210" s="687"/>
      <c r="U210" s="687"/>
      <c r="V210" s="688"/>
      <c r="W210" s="37" t="s">
        <v>68</v>
      </c>
      <c r="X210" s="667">
        <f>IFERROR(SUM(X201:X208),"0")</f>
        <v>124</v>
      </c>
      <c r="Y210" s="667">
        <f>IFERROR(SUM(Y201:Y208),"0")</f>
        <v>129.60000000000002</v>
      </c>
      <c r="Z210" s="37"/>
      <c r="AA210" s="668"/>
      <c r="AB210" s="668"/>
      <c r="AC210" s="668"/>
    </row>
    <row r="211" spans="1:68" ht="14.25" customHeight="1" x14ac:dyDescent="0.25">
      <c r="A211" s="683" t="s">
        <v>63</v>
      </c>
      <c r="B211" s="679"/>
      <c r="C211" s="679"/>
      <c r="D211" s="679"/>
      <c r="E211" s="679"/>
      <c r="F211" s="679"/>
      <c r="G211" s="679"/>
      <c r="H211" s="679"/>
      <c r="I211" s="679"/>
      <c r="J211" s="679"/>
      <c r="K211" s="679"/>
      <c r="L211" s="679"/>
      <c r="M211" s="679"/>
      <c r="N211" s="679"/>
      <c r="O211" s="679"/>
      <c r="P211" s="679"/>
      <c r="Q211" s="679"/>
      <c r="R211" s="679"/>
      <c r="S211" s="679"/>
      <c r="T211" s="679"/>
      <c r="U211" s="679"/>
      <c r="V211" s="679"/>
      <c r="W211" s="679"/>
      <c r="X211" s="679"/>
      <c r="Y211" s="679"/>
      <c r="Z211" s="679"/>
      <c r="AA211" s="661"/>
      <c r="AB211" s="661"/>
      <c r="AC211" s="661"/>
    </row>
    <row r="212" spans="1:68" ht="27" customHeight="1" x14ac:dyDescent="0.25">
      <c r="A212" s="54" t="s">
        <v>349</v>
      </c>
      <c r="B212" s="54" t="s">
        <v>350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68</v>
      </c>
      <c r="X212" s="665">
        <v>0</v>
      </c>
      <c r="Y212" s="666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351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352</v>
      </c>
      <c r="B213" s="54" t="s">
        <v>353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68</v>
      </c>
      <c r="X213" s="665">
        <v>0</v>
      </c>
      <c r="Y213" s="666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354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355</v>
      </c>
      <c r="B214" s="54" t="s">
        <v>356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68</v>
      </c>
      <c r="X214" s="665">
        <v>0</v>
      </c>
      <c r="Y214" s="666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357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358</v>
      </c>
      <c r="B215" s="54" t="s">
        <v>359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68</v>
      </c>
      <c r="X215" s="665">
        <v>54</v>
      </c>
      <c r="Y215" s="666">
        <f t="shared" si="37"/>
        <v>55.199999999999996</v>
      </c>
      <c r="Z215" s="36">
        <f t="shared" ref="Z215:Z220" si="42">IFERROR(IF(Y215=0,"",ROUNDUP(Y215/H215,0)*0.00651),"")</f>
        <v>0.14973</v>
      </c>
      <c r="AA215" s="56"/>
      <c r="AB215" s="57"/>
      <c r="AC215" s="273" t="s">
        <v>351</v>
      </c>
      <c r="AG215" s="64"/>
      <c r="AJ215" s="68"/>
      <c r="AK215" s="68">
        <v>0</v>
      </c>
      <c r="BB215" s="274" t="s">
        <v>1</v>
      </c>
      <c r="BM215" s="64">
        <f t="shared" si="38"/>
        <v>60.075000000000003</v>
      </c>
      <c r="BN215" s="64">
        <f t="shared" si="39"/>
        <v>61.41</v>
      </c>
      <c r="BO215" s="64">
        <f t="shared" si="40"/>
        <v>0.12362637362637363</v>
      </c>
      <c r="BP215" s="64">
        <f t="shared" si="41"/>
        <v>0.1263736263736264</v>
      </c>
    </row>
    <row r="216" spans="1:68" ht="27" customHeight="1" x14ac:dyDescent="0.25">
      <c r="A216" s="54" t="s">
        <v>360</v>
      </c>
      <c r="B216" s="54" t="s">
        <v>361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68</v>
      </c>
      <c r="X216" s="665">
        <v>0</v>
      </c>
      <c r="Y216" s="666">
        <f t="shared" si="37"/>
        <v>0</v>
      </c>
      <c r="Z216" s="36" t="str">
        <f t="shared" si="42"/>
        <v/>
      </c>
      <c r="AA216" s="56"/>
      <c r="AB216" s="57"/>
      <c r="AC216" s="275" t="s">
        <v>362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363</v>
      </c>
      <c r="B217" s="54" t="s">
        <v>364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68</v>
      </c>
      <c r="X217" s="665">
        <v>0</v>
      </c>
      <c r="Y217" s="666">
        <f t="shared" si="37"/>
        <v>0</v>
      </c>
      <c r="Z217" s="36" t="str">
        <f t="shared" si="42"/>
        <v/>
      </c>
      <c r="AA217" s="56"/>
      <c r="AB217" s="57"/>
      <c r="AC217" s="277" t="s">
        <v>357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365</v>
      </c>
      <c r="B218" s="54" t="s">
        <v>366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68</v>
      </c>
      <c r="X218" s="665">
        <v>36</v>
      </c>
      <c r="Y218" s="666">
        <f t="shared" si="37"/>
        <v>36</v>
      </c>
      <c r="Z218" s="36">
        <f t="shared" si="42"/>
        <v>9.7650000000000001E-2</v>
      </c>
      <c r="AA218" s="56"/>
      <c r="AB218" s="57"/>
      <c r="AC218" s="279" t="s">
        <v>357</v>
      </c>
      <c r="AG218" s="64"/>
      <c r="AJ218" s="68"/>
      <c r="AK218" s="68">
        <v>0</v>
      </c>
      <c r="BB218" s="280" t="s">
        <v>1</v>
      </c>
      <c r="BM218" s="64">
        <f t="shared" si="38"/>
        <v>39.780000000000008</v>
      </c>
      <c r="BN218" s="64">
        <f t="shared" si="39"/>
        <v>39.780000000000008</v>
      </c>
      <c r="BO218" s="64">
        <f t="shared" si="40"/>
        <v>8.241758241758243E-2</v>
      </c>
      <c r="BP218" s="64">
        <f t="shared" si="41"/>
        <v>8.241758241758243E-2</v>
      </c>
    </row>
    <row r="219" spans="1:68" ht="27" customHeight="1" x14ac:dyDescent="0.25">
      <c r="A219" s="54" t="s">
        <v>367</v>
      </c>
      <c r="B219" s="54" t="s">
        <v>368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68</v>
      </c>
      <c r="X219" s="665">
        <v>0</v>
      </c>
      <c r="Y219" s="666">
        <f t="shared" si="37"/>
        <v>0</v>
      </c>
      <c r="Z219" s="36" t="str">
        <f t="shared" si="42"/>
        <v/>
      </c>
      <c r="AA219" s="56"/>
      <c r="AB219" s="57"/>
      <c r="AC219" s="281" t="s">
        <v>369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370</v>
      </c>
      <c r="B220" s="54" t="s">
        <v>371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9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68</v>
      </c>
      <c r="X220" s="665">
        <v>0</v>
      </c>
      <c r="Y220" s="666">
        <f t="shared" si="37"/>
        <v>0</v>
      </c>
      <c r="Z220" s="36" t="str">
        <f t="shared" si="42"/>
        <v/>
      </c>
      <c r="AA220" s="56"/>
      <c r="AB220" s="57"/>
      <c r="AC220" s="283" t="s">
        <v>372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8"/>
      <c r="B221" s="679"/>
      <c r="C221" s="679"/>
      <c r="D221" s="679"/>
      <c r="E221" s="679"/>
      <c r="F221" s="679"/>
      <c r="G221" s="679"/>
      <c r="H221" s="679"/>
      <c r="I221" s="679"/>
      <c r="J221" s="679"/>
      <c r="K221" s="679"/>
      <c r="L221" s="679"/>
      <c r="M221" s="679"/>
      <c r="N221" s="679"/>
      <c r="O221" s="680"/>
      <c r="P221" s="686" t="s">
        <v>87</v>
      </c>
      <c r="Q221" s="687"/>
      <c r="R221" s="687"/>
      <c r="S221" s="687"/>
      <c r="T221" s="687"/>
      <c r="U221" s="687"/>
      <c r="V221" s="688"/>
      <c r="W221" s="37" t="s">
        <v>88</v>
      </c>
      <c r="X221" s="667">
        <f>IFERROR(X212/H212,"0")+IFERROR(X213/H213,"0")+IFERROR(X214/H214,"0")+IFERROR(X215/H215,"0")+IFERROR(X216/H216,"0")+IFERROR(X217/H217,"0")+IFERROR(X218/H218,"0")+IFERROR(X219/H219,"0")+IFERROR(X220/H220,"0")</f>
        <v>37.5</v>
      </c>
      <c r="Y221" s="667">
        <f>IFERROR(Y212/H212,"0")+IFERROR(Y213/H213,"0")+IFERROR(Y214/H214,"0")+IFERROR(Y215/H215,"0")+IFERROR(Y216/H216,"0")+IFERROR(Y217/H217,"0")+IFERROR(Y218/H218,"0")+IFERROR(Y219/H219,"0")+IFERROR(Y220/H220,"0")</f>
        <v>38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0.24737999999999999</v>
      </c>
      <c r="AA221" s="668"/>
      <c r="AB221" s="668"/>
      <c r="AC221" s="668"/>
    </row>
    <row r="222" spans="1:68" x14ac:dyDescent="0.2">
      <c r="A222" s="679"/>
      <c r="B222" s="679"/>
      <c r="C222" s="679"/>
      <c r="D222" s="679"/>
      <c r="E222" s="679"/>
      <c r="F222" s="679"/>
      <c r="G222" s="679"/>
      <c r="H222" s="679"/>
      <c r="I222" s="679"/>
      <c r="J222" s="679"/>
      <c r="K222" s="679"/>
      <c r="L222" s="679"/>
      <c r="M222" s="679"/>
      <c r="N222" s="679"/>
      <c r="O222" s="680"/>
      <c r="P222" s="686" t="s">
        <v>87</v>
      </c>
      <c r="Q222" s="687"/>
      <c r="R222" s="687"/>
      <c r="S222" s="687"/>
      <c r="T222" s="687"/>
      <c r="U222" s="687"/>
      <c r="V222" s="688"/>
      <c r="W222" s="37" t="s">
        <v>68</v>
      </c>
      <c r="X222" s="667">
        <f>IFERROR(SUM(X212:X220),"0")</f>
        <v>90</v>
      </c>
      <c r="Y222" s="667">
        <f>IFERROR(SUM(Y212:Y220),"0")</f>
        <v>91.199999999999989</v>
      </c>
      <c r="Z222" s="37"/>
      <c r="AA222" s="668"/>
      <c r="AB222" s="668"/>
      <c r="AC222" s="668"/>
    </row>
    <row r="223" spans="1:68" ht="14.25" customHeight="1" x14ac:dyDescent="0.25">
      <c r="A223" s="683" t="s">
        <v>170</v>
      </c>
      <c r="B223" s="679"/>
      <c r="C223" s="679"/>
      <c r="D223" s="679"/>
      <c r="E223" s="679"/>
      <c r="F223" s="679"/>
      <c r="G223" s="679"/>
      <c r="H223" s="679"/>
      <c r="I223" s="679"/>
      <c r="J223" s="679"/>
      <c r="K223" s="679"/>
      <c r="L223" s="679"/>
      <c r="M223" s="679"/>
      <c r="N223" s="679"/>
      <c r="O223" s="679"/>
      <c r="P223" s="679"/>
      <c r="Q223" s="679"/>
      <c r="R223" s="679"/>
      <c r="S223" s="679"/>
      <c r="T223" s="679"/>
      <c r="U223" s="679"/>
      <c r="V223" s="679"/>
      <c r="W223" s="679"/>
      <c r="X223" s="679"/>
      <c r="Y223" s="679"/>
      <c r="Z223" s="679"/>
      <c r="AA223" s="661"/>
      <c r="AB223" s="661"/>
      <c r="AC223" s="661"/>
    </row>
    <row r="224" spans="1:68" ht="27" customHeight="1" x14ac:dyDescent="0.25">
      <c r="A224" s="54" t="s">
        <v>373</v>
      </c>
      <c r="B224" s="54" t="s">
        <v>374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68</v>
      </c>
      <c r="X224" s="665">
        <v>17</v>
      </c>
      <c r="Y224" s="666">
        <f>IFERROR(IF(X224="",0,CEILING((X224/$H224),1)*$H224),"")</f>
        <v>19.2</v>
      </c>
      <c r="Z224" s="36">
        <f>IFERROR(IF(Y224=0,"",ROUNDUP(Y224/H224,0)*0.00651),"")</f>
        <v>5.2080000000000001E-2</v>
      </c>
      <c r="AA224" s="56"/>
      <c r="AB224" s="57"/>
      <c r="AC224" s="285" t="s">
        <v>375</v>
      </c>
      <c r="AG224" s="64"/>
      <c r="AJ224" s="68"/>
      <c r="AK224" s="68">
        <v>0</v>
      </c>
      <c r="BB224" s="286" t="s">
        <v>1</v>
      </c>
      <c r="BM224" s="64">
        <f>IFERROR(X224*I224/H224,"0")</f>
        <v>18.785000000000004</v>
      </c>
      <c r="BN224" s="64">
        <f>IFERROR(Y224*I224/H224,"0")</f>
        <v>21.216000000000001</v>
      </c>
      <c r="BO224" s="64">
        <f>IFERROR(1/J224*(X224/H224),"0")</f>
        <v>3.8919413919413927E-2</v>
      </c>
      <c r="BP224" s="64">
        <f>IFERROR(1/J224*(Y224/H224),"0")</f>
        <v>4.3956043956043959E-2</v>
      </c>
    </row>
    <row r="225" spans="1:68" ht="27" customHeight="1" x14ac:dyDescent="0.25">
      <c r="A225" s="54" t="s">
        <v>376</v>
      </c>
      <c r="B225" s="54" t="s">
        <v>377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68</v>
      </c>
      <c r="X225" s="665">
        <v>39</v>
      </c>
      <c r="Y225" s="666">
        <f>IFERROR(IF(X225="",0,CEILING((X225/$H225),1)*$H225),"")</f>
        <v>40.799999999999997</v>
      </c>
      <c r="Z225" s="36">
        <f>IFERROR(IF(Y225=0,"",ROUNDUP(Y225/H225,0)*0.00651),"")</f>
        <v>0.11067</v>
      </c>
      <c r="AA225" s="56"/>
      <c r="AB225" s="57"/>
      <c r="AC225" s="287" t="s">
        <v>378</v>
      </c>
      <c r="AG225" s="64"/>
      <c r="AJ225" s="68"/>
      <c r="AK225" s="68">
        <v>0</v>
      </c>
      <c r="BB225" s="288" t="s">
        <v>1</v>
      </c>
      <c r="BM225" s="64">
        <f>IFERROR(X225*I225/H225,"0")</f>
        <v>43.095000000000006</v>
      </c>
      <c r="BN225" s="64">
        <f>IFERROR(Y225*I225/H225,"0")</f>
        <v>45.084000000000003</v>
      </c>
      <c r="BO225" s="64">
        <f>IFERROR(1/J225*(X225/H225),"0")</f>
        <v>8.9285714285714288E-2</v>
      </c>
      <c r="BP225" s="64">
        <f>IFERROR(1/J225*(Y225/H225),"0")</f>
        <v>9.3406593406593408E-2</v>
      </c>
    </row>
    <row r="226" spans="1:68" x14ac:dyDescent="0.2">
      <c r="A226" s="678"/>
      <c r="B226" s="679"/>
      <c r="C226" s="679"/>
      <c r="D226" s="679"/>
      <c r="E226" s="679"/>
      <c r="F226" s="679"/>
      <c r="G226" s="679"/>
      <c r="H226" s="679"/>
      <c r="I226" s="679"/>
      <c r="J226" s="679"/>
      <c r="K226" s="679"/>
      <c r="L226" s="679"/>
      <c r="M226" s="679"/>
      <c r="N226" s="679"/>
      <c r="O226" s="680"/>
      <c r="P226" s="686" t="s">
        <v>87</v>
      </c>
      <c r="Q226" s="687"/>
      <c r="R226" s="687"/>
      <c r="S226" s="687"/>
      <c r="T226" s="687"/>
      <c r="U226" s="687"/>
      <c r="V226" s="688"/>
      <c r="W226" s="37" t="s">
        <v>88</v>
      </c>
      <c r="X226" s="667">
        <f>IFERROR(X224/H224,"0")+IFERROR(X225/H225,"0")</f>
        <v>23.333333333333336</v>
      </c>
      <c r="Y226" s="667">
        <f>IFERROR(Y224/H224,"0")+IFERROR(Y225/H225,"0")</f>
        <v>25</v>
      </c>
      <c r="Z226" s="667">
        <f>IFERROR(IF(Z224="",0,Z224),"0")+IFERROR(IF(Z225="",0,Z225),"0")</f>
        <v>0.16275000000000001</v>
      </c>
      <c r="AA226" s="668"/>
      <c r="AB226" s="668"/>
      <c r="AC226" s="668"/>
    </row>
    <row r="227" spans="1:68" x14ac:dyDescent="0.2">
      <c r="A227" s="679"/>
      <c r="B227" s="679"/>
      <c r="C227" s="679"/>
      <c r="D227" s="679"/>
      <c r="E227" s="679"/>
      <c r="F227" s="679"/>
      <c r="G227" s="679"/>
      <c r="H227" s="679"/>
      <c r="I227" s="679"/>
      <c r="J227" s="679"/>
      <c r="K227" s="679"/>
      <c r="L227" s="679"/>
      <c r="M227" s="679"/>
      <c r="N227" s="679"/>
      <c r="O227" s="680"/>
      <c r="P227" s="686" t="s">
        <v>87</v>
      </c>
      <c r="Q227" s="687"/>
      <c r="R227" s="687"/>
      <c r="S227" s="687"/>
      <c r="T227" s="687"/>
      <c r="U227" s="687"/>
      <c r="V227" s="688"/>
      <c r="W227" s="37" t="s">
        <v>68</v>
      </c>
      <c r="X227" s="667">
        <f>IFERROR(SUM(X224:X225),"0")</f>
        <v>56</v>
      </c>
      <c r="Y227" s="667">
        <f>IFERROR(SUM(Y224:Y225),"0")</f>
        <v>60</v>
      </c>
      <c r="Z227" s="37"/>
      <c r="AA227" s="668"/>
      <c r="AB227" s="668"/>
      <c r="AC227" s="668"/>
    </row>
    <row r="228" spans="1:68" ht="16.5" customHeight="1" x14ac:dyDescent="0.25">
      <c r="A228" s="718" t="s">
        <v>379</v>
      </c>
      <c r="B228" s="679"/>
      <c r="C228" s="679"/>
      <c r="D228" s="679"/>
      <c r="E228" s="679"/>
      <c r="F228" s="679"/>
      <c r="G228" s="679"/>
      <c r="H228" s="679"/>
      <c r="I228" s="679"/>
      <c r="J228" s="679"/>
      <c r="K228" s="679"/>
      <c r="L228" s="679"/>
      <c r="M228" s="679"/>
      <c r="N228" s="679"/>
      <c r="O228" s="679"/>
      <c r="P228" s="679"/>
      <c r="Q228" s="679"/>
      <c r="R228" s="679"/>
      <c r="S228" s="679"/>
      <c r="T228" s="679"/>
      <c r="U228" s="679"/>
      <c r="V228" s="679"/>
      <c r="W228" s="679"/>
      <c r="X228" s="679"/>
      <c r="Y228" s="679"/>
      <c r="Z228" s="679"/>
      <c r="AA228" s="660"/>
      <c r="AB228" s="660"/>
      <c r="AC228" s="660"/>
    </row>
    <row r="229" spans="1:68" ht="14.25" customHeight="1" x14ac:dyDescent="0.25">
      <c r="A229" s="683" t="s">
        <v>97</v>
      </c>
      <c r="B229" s="679"/>
      <c r="C229" s="679"/>
      <c r="D229" s="679"/>
      <c r="E229" s="679"/>
      <c r="F229" s="679"/>
      <c r="G229" s="679"/>
      <c r="H229" s="679"/>
      <c r="I229" s="679"/>
      <c r="J229" s="679"/>
      <c r="K229" s="679"/>
      <c r="L229" s="679"/>
      <c r="M229" s="679"/>
      <c r="N229" s="679"/>
      <c r="O229" s="679"/>
      <c r="P229" s="679"/>
      <c r="Q229" s="679"/>
      <c r="R229" s="679"/>
      <c r="S229" s="679"/>
      <c r="T229" s="679"/>
      <c r="U229" s="679"/>
      <c r="V229" s="679"/>
      <c r="W229" s="679"/>
      <c r="X229" s="679"/>
      <c r="Y229" s="679"/>
      <c r="Z229" s="679"/>
      <c r="AA229" s="661"/>
      <c r="AB229" s="661"/>
      <c r="AC229" s="661"/>
    </row>
    <row r="230" spans="1:68" ht="27" customHeight="1" x14ac:dyDescent="0.25">
      <c r="A230" s="54" t="s">
        <v>380</v>
      </c>
      <c r="B230" s="54" t="s">
        <v>381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68</v>
      </c>
      <c r="X230" s="665">
        <v>22</v>
      </c>
      <c r="Y230" s="666">
        <f t="shared" ref="Y230:Y237" si="43">IFERROR(IF(X230="",0,CEILING((X230/$H230),1)*$H230),"")</f>
        <v>23.2</v>
      </c>
      <c r="Z230" s="36">
        <f>IFERROR(IF(Y230=0,"",ROUNDUP(Y230/H230,0)*0.01898),"")</f>
        <v>3.7960000000000001E-2</v>
      </c>
      <c r="AA230" s="56"/>
      <c r="AB230" s="57"/>
      <c r="AC230" s="289" t="s">
        <v>382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22.824999999999999</v>
      </c>
      <c r="BN230" s="64">
        <f t="shared" ref="BN230:BN237" si="45">IFERROR(Y230*I230/H230,"0")</f>
        <v>24.07</v>
      </c>
      <c r="BO230" s="64">
        <f t="shared" ref="BO230:BO237" si="46">IFERROR(1/J230*(X230/H230),"0")</f>
        <v>2.9633620689655173E-2</v>
      </c>
      <c r="BP230" s="64">
        <f t="shared" ref="BP230:BP237" si="47">IFERROR(1/J230*(Y230/H230),"0")</f>
        <v>3.125E-2</v>
      </c>
    </row>
    <row r="231" spans="1:68" ht="27" customHeight="1" x14ac:dyDescent="0.25">
      <c r="A231" s="54" t="s">
        <v>380</v>
      </c>
      <c r="B231" s="54" t="s">
        <v>383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100</v>
      </c>
      <c r="L231" s="32"/>
      <c r="M231" s="33" t="s">
        <v>384</v>
      </c>
      <c r="N231" s="33"/>
      <c r="O231" s="32">
        <v>55</v>
      </c>
      <c r="P231" s="677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68</v>
      </c>
      <c r="X231" s="665">
        <v>0</v>
      </c>
      <c r="Y231" s="666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385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386</v>
      </c>
      <c r="B232" s="54" t="s">
        <v>387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68</v>
      </c>
      <c r="X232" s="665">
        <v>0</v>
      </c>
      <c r="Y232" s="666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388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389</v>
      </c>
      <c r="B233" s="54" t="s">
        <v>390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68</v>
      </c>
      <c r="X233" s="665">
        <v>0</v>
      </c>
      <c r="Y233" s="666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391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389</v>
      </c>
      <c r="B234" s="54" t="s">
        <v>392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100</v>
      </c>
      <c r="L234" s="32"/>
      <c r="M234" s="33" t="s">
        <v>384</v>
      </c>
      <c r="N234" s="33"/>
      <c r="O234" s="32">
        <v>55</v>
      </c>
      <c r="P234" s="71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68</v>
      </c>
      <c r="X234" s="665">
        <v>0</v>
      </c>
      <c r="Y234" s="666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385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68</v>
      </c>
      <c r="X235" s="665">
        <v>5</v>
      </c>
      <c r="Y235" s="666">
        <f t="shared" si="43"/>
        <v>8</v>
      </c>
      <c r="Z235" s="36">
        <f>IFERROR(IF(Y235=0,"",ROUNDUP(Y235/H235,0)*0.00902),"")</f>
        <v>1.804E-2</v>
      </c>
      <c r="AA235" s="56"/>
      <c r="AB235" s="57"/>
      <c r="AC235" s="299" t="s">
        <v>382</v>
      </c>
      <c r="AG235" s="64"/>
      <c r="AJ235" s="68"/>
      <c r="AK235" s="68">
        <v>0</v>
      </c>
      <c r="BB235" s="300" t="s">
        <v>1</v>
      </c>
      <c r="BM235" s="64">
        <f t="shared" si="44"/>
        <v>5.2625000000000002</v>
      </c>
      <c r="BN235" s="64">
        <f t="shared" si="45"/>
        <v>8.42</v>
      </c>
      <c r="BO235" s="64">
        <f t="shared" si="46"/>
        <v>9.46969696969697E-3</v>
      </c>
      <c r="BP235" s="64">
        <f t="shared" si="47"/>
        <v>1.5151515151515152E-2</v>
      </c>
    </row>
    <row r="236" spans="1:68" ht="27" customHeight="1" x14ac:dyDescent="0.25">
      <c r="A236" s="54" t="s">
        <v>395</v>
      </c>
      <c r="B236" s="54" t="s">
        <v>396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68</v>
      </c>
      <c r="X236" s="665">
        <v>0</v>
      </c>
      <c r="Y236" s="666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388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397</v>
      </c>
      <c r="B237" s="54" t="s">
        <v>398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68</v>
      </c>
      <c r="X237" s="665">
        <v>0</v>
      </c>
      <c r="Y237" s="666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391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8"/>
      <c r="B238" s="679"/>
      <c r="C238" s="679"/>
      <c r="D238" s="679"/>
      <c r="E238" s="679"/>
      <c r="F238" s="679"/>
      <c r="G238" s="679"/>
      <c r="H238" s="679"/>
      <c r="I238" s="679"/>
      <c r="J238" s="679"/>
      <c r="K238" s="679"/>
      <c r="L238" s="679"/>
      <c r="M238" s="679"/>
      <c r="N238" s="679"/>
      <c r="O238" s="680"/>
      <c r="P238" s="686" t="s">
        <v>87</v>
      </c>
      <c r="Q238" s="687"/>
      <c r="R238" s="687"/>
      <c r="S238" s="687"/>
      <c r="T238" s="687"/>
      <c r="U238" s="687"/>
      <c r="V238" s="688"/>
      <c r="W238" s="37" t="s">
        <v>88</v>
      </c>
      <c r="X238" s="667">
        <f>IFERROR(X230/H230,"0")+IFERROR(X231/H231,"0")+IFERROR(X232/H232,"0")+IFERROR(X233/H233,"0")+IFERROR(X234/H234,"0")+IFERROR(X235/H235,"0")+IFERROR(X236/H236,"0")+IFERROR(X237/H237,"0")</f>
        <v>3.146551724137931</v>
      </c>
      <c r="Y238" s="667">
        <f>IFERROR(Y230/H230,"0")+IFERROR(Y231/H231,"0")+IFERROR(Y232/H232,"0")+IFERROR(Y233/H233,"0")+IFERROR(Y234/H234,"0")+IFERROR(Y235/H235,"0")+IFERROR(Y236/H236,"0")+IFERROR(Y237/H237,"0")</f>
        <v>4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5.6000000000000001E-2</v>
      </c>
      <c r="AA238" s="668"/>
      <c r="AB238" s="668"/>
      <c r="AC238" s="668"/>
    </row>
    <row r="239" spans="1:68" x14ac:dyDescent="0.2">
      <c r="A239" s="679"/>
      <c r="B239" s="679"/>
      <c r="C239" s="679"/>
      <c r="D239" s="679"/>
      <c r="E239" s="679"/>
      <c r="F239" s="679"/>
      <c r="G239" s="679"/>
      <c r="H239" s="679"/>
      <c r="I239" s="679"/>
      <c r="J239" s="679"/>
      <c r="K239" s="679"/>
      <c r="L239" s="679"/>
      <c r="M239" s="679"/>
      <c r="N239" s="679"/>
      <c r="O239" s="680"/>
      <c r="P239" s="686" t="s">
        <v>87</v>
      </c>
      <c r="Q239" s="687"/>
      <c r="R239" s="687"/>
      <c r="S239" s="687"/>
      <c r="T239" s="687"/>
      <c r="U239" s="687"/>
      <c r="V239" s="688"/>
      <c r="W239" s="37" t="s">
        <v>68</v>
      </c>
      <c r="X239" s="667">
        <f>IFERROR(SUM(X230:X237),"0")</f>
        <v>27</v>
      </c>
      <c r="Y239" s="667">
        <f>IFERROR(SUM(Y230:Y237),"0")</f>
        <v>31.2</v>
      </c>
      <c r="Z239" s="37"/>
      <c r="AA239" s="668"/>
      <c r="AB239" s="668"/>
      <c r="AC239" s="668"/>
    </row>
    <row r="240" spans="1:68" ht="14.25" customHeight="1" x14ac:dyDescent="0.25">
      <c r="A240" s="683" t="s">
        <v>133</v>
      </c>
      <c r="B240" s="679"/>
      <c r="C240" s="679"/>
      <c r="D240" s="679"/>
      <c r="E240" s="679"/>
      <c r="F240" s="679"/>
      <c r="G240" s="679"/>
      <c r="H240" s="679"/>
      <c r="I240" s="679"/>
      <c r="J240" s="679"/>
      <c r="K240" s="679"/>
      <c r="L240" s="679"/>
      <c r="M240" s="679"/>
      <c r="N240" s="679"/>
      <c r="O240" s="679"/>
      <c r="P240" s="679"/>
      <c r="Q240" s="679"/>
      <c r="R240" s="679"/>
      <c r="S240" s="679"/>
      <c r="T240" s="679"/>
      <c r="U240" s="679"/>
      <c r="V240" s="679"/>
      <c r="W240" s="679"/>
      <c r="X240" s="679"/>
      <c r="Y240" s="679"/>
      <c r="Z240" s="679"/>
      <c r="AA240" s="661"/>
      <c r="AB240" s="661"/>
      <c r="AC240" s="661"/>
    </row>
    <row r="241" spans="1:68" ht="27" customHeight="1" x14ac:dyDescent="0.25">
      <c r="A241" s="54" t="s">
        <v>399</v>
      </c>
      <c r="B241" s="54" t="s">
        <v>400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401</v>
      </c>
      <c r="Q241" s="672"/>
      <c r="R241" s="672"/>
      <c r="S241" s="672"/>
      <c r="T241" s="673"/>
      <c r="U241" s="34"/>
      <c r="V241" s="34"/>
      <c r="W241" s="35" t="s">
        <v>68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402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399</v>
      </c>
      <c r="B242" s="54" t="s">
        <v>403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51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68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402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8"/>
      <c r="B243" s="679"/>
      <c r="C243" s="679"/>
      <c r="D243" s="679"/>
      <c r="E243" s="679"/>
      <c r="F243" s="679"/>
      <c r="G243" s="679"/>
      <c r="H243" s="679"/>
      <c r="I243" s="679"/>
      <c r="J243" s="679"/>
      <c r="K243" s="679"/>
      <c r="L243" s="679"/>
      <c r="M243" s="679"/>
      <c r="N243" s="679"/>
      <c r="O243" s="680"/>
      <c r="P243" s="686" t="s">
        <v>87</v>
      </c>
      <c r="Q243" s="687"/>
      <c r="R243" s="687"/>
      <c r="S243" s="687"/>
      <c r="T243" s="687"/>
      <c r="U243" s="687"/>
      <c r="V243" s="688"/>
      <c r="W243" s="37" t="s">
        <v>88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x14ac:dyDescent="0.2">
      <c r="A244" s="679"/>
      <c r="B244" s="679"/>
      <c r="C244" s="679"/>
      <c r="D244" s="679"/>
      <c r="E244" s="679"/>
      <c r="F244" s="679"/>
      <c r="G244" s="679"/>
      <c r="H244" s="679"/>
      <c r="I244" s="679"/>
      <c r="J244" s="679"/>
      <c r="K244" s="679"/>
      <c r="L244" s="679"/>
      <c r="M244" s="679"/>
      <c r="N244" s="679"/>
      <c r="O244" s="680"/>
      <c r="P244" s="686" t="s">
        <v>87</v>
      </c>
      <c r="Q244" s="687"/>
      <c r="R244" s="687"/>
      <c r="S244" s="687"/>
      <c r="T244" s="687"/>
      <c r="U244" s="687"/>
      <c r="V244" s="688"/>
      <c r="W244" s="37" t="s">
        <v>68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customHeight="1" x14ac:dyDescent="0.25">
      <c r="A245" s="683" t="s">
        <v>404</v>
      </c>
      <c r="B245" s="679"/>
      <c r="C245" s="679"/>
      <c r="D245" s="679"/>
      <c r="E245" s="679"/>
      <c r="F245" s="679"/>
      <c r="G245" s="679"/>
      <c r="H245" s="679"/>
      <c r="I245" s="679"/>
      <c r="J245" s="679"/>
      <c r="K245" s="679"/>
      <c r="L245" s="679"/>
      <c r="M245" s="679"/>
      <c r="N245" s="679"/>
      <c r="O245" s="679"/>
      <c r="P245" s="679"/>
      <c r="Q245" s="679"/>
      <c r="R245" s="679"/>
      <c r="S245" s="679"/>
      <c r="T245" s="679"/>
      <c r="U245" s="679"/>
      <c r="V245" s="679"/>
      <c r="W245" s="679"/>
      <c r="X245" s="679"/>
      <c r="Y245" s="679"/>
      <c r="Z245" s="679"/>
      <c r="AA245" s="661"/>
      <c r="AB245" s="661"/>
      <c r="AC245" s="661"/>
    </row>
    <row r="246" spans="1:68" ht="27" customHeight="1" x14ac:dyDescent="0.25">
      <c r="A246" s="54" t="s">
        <v>405</v>
      </c>
      <c r="B246" s="54" t="s">
        <v>406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7" t="s">
        <v>407</v>
      </c>
      <c r="Q246" s="672"/>
      <c r="R246" s="672"/>
      <c r="S246" s="672"/>
      <c r="T246" s="673"/>
      <c r="U246" s="34"/>
      <c r="V246" s="34"/>
      <c r="W246" s="35" t="s">
        <v>68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09" t="s">
        <v>408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8"/>
      <c r="B247" s="679"/>
      <c r="C247" s="679"/>
      <c r="D247" s="679"/>
      <c r="E247" s="679"/>
      <c r="F247" s="679"/>
      <c r="G247" s="679"/>
      <c r="H247" s="679"/>
      <c r="I247" s="679"/>
      <c r="J247" s="679"/>
      <c r="K247" s="679"/>
      <c r="L247" s="679"/>
      <c r="M247" s="679"/>
      <c r="N247" s="679"/>
      <c r="O247" s="680"/>
      <c r="P247" s="686" t="s">
        <v>87</v>
      </c>
      <c r="Q247" s="687"/>
      <c r="R247" s="687"/>
      <c r="S247" s="687"/>
      <c r="T247" s="687"/>
      <c r="U247" s="687"/>
      <c r="V247" s="688"/>
      <c r="W247" s="37" t="s">
        <v>88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x14ac:dyDescent="0.2">
      <c r="A248" s="679"/>
      <c r="B248" s="679"/>
      <c r="C248" s="679"/>
      <c r="D248" s="679"/>
      <c r="E248" s="679"/>
      <c r="F248" s="679"/>
      <c r="G248" s="679"/>
      <c r="H248" s="679"/>
      <c r="I248" s="679"/>
      <c r="J248" s="679"/>
      <c r="K248" s="679"/>
      <c r="L248" s="679"/>
      <c r="M248" s="679"/>
      <c r="N248" s="679"/>
      <c r="O248" s="680"/>
      <c r="P248" s="686" t="s">
        <v>87</v>
      </c>
      <c r="Q248" s="687"/>
      <c r="R248" s="687"/>
      <c r="S248" s="687"/>
      <c r="T248" s="687"/>
      <c r="U248" s="687"/>
      <c r="V248" s="688"/>
      <c r="W248" s="37" t="s">
        <v>68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customHeight="1" x14ac:dyDescent="0.25">
      <c r="A249" s="683" t="s">
        <v>409</v>
      </c>
      <c r="B249" s="679"/>
      <c r="C249" s="679"/>
      <c r="D249" s="679"/>
      <c r="E249" s="679"/>
      <c r="F249" s="679"/>
      <c r="G249" s="679"/>
      <c r="H249" s="679"/>
      <c r="I249" s="679"/>
      <c r="J249" s="679"/>
      <c r="K249" s="679"/>
      <c r="L249" s="679"/>
      <c r="M249" s="679"/>
      <c r="N249" s="679"/>
      <c r="O249" s="679"/>
      <c r="P249" s="679"/>
      <c r="Q249" s="679"/>
      <c r="R249" s="679"/>
      <c r="S249" s="679"/>
      <c r="T249" s="679"/>
      <c r="U249" s="679"/>
      <c r="V249" s="679"/>
      <c r="W249" s="679"/>
      <c r="X249" s="679"/>
      <c r="Y249" s="679"/>
      <c r="Z249" s="679"/>
      <c r="AA249" s="661"/>
      <c r="AB249" s="661"/>
      <c r="AC249" s="661"/>
    </row>
    <row r="250" spans="1:68" ht="27" customHeight="1" x14ac:dyDescent="0.25">
      <c r="A250" s="54" t="s">
        <v>410</v>
      </c>
      <c r="B250" s="54" t="s">
        <v>411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81" t="s">
        <v>412</v>
      </c>
      <c r="Q250" s="672"/>
      <c r="R250" s="672"/>
      <c r="S250" s="672"/>
      <c r="T250" s="673"/>
      <c r="U250" s="34"/>
      <c r="V250" s="34"/>
      <c r="W250" s="35" t="s">
        <v>68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1" t="s">
        <v>413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8"/>
      <c r="B251" s="679"/>
      <c r="C251" s="679"/>
      <c r="D251" s="679"/>
      <c r="E251" s="679"/>
      <c r="F251" s="679"/>
      <c r="G251" s="679"/>
      <c r="H251" s="679"/>
      <c r="I251" s="679"/>
      <c r="J251" s="679"/>
      <c r="K251" s="679"/>
      <c r="L251" s="679"/>
      <c r="M251" s="679"/>
      <c r="N251" s="679"/>
      <c r="O251" s="680"/>
      <c r="P251" s="686" t="s">
        <v>87</v>
      </c>
      <c r="Q251" s="687"/>
      <c r="R251" s="687"/>
      <c r="S251" s="687"/>
      <c r="T251" s="687"/>
      <c r="U251" s="687"/>
      <c r="V251" s="688"/>
      <c r="W251" s="37" t="s">
        <v>88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x14ac:dyDescent="0.2">
      <c r="A252" s="679"/>
      <c r="B252" s="679"/>
      <c r="C252" s="679"/>
      <c r="D252" s="679"/>
      <c r="E252" s="679"/>
      <c r="F252" s="679"/>
      <c r="G252" s="679"/>
      <c r="H252" s="679"/>
      <c r="I252" s="679"/>
      <c r="J252" s="679"/>
      <c r="K252" s="679"/>
      <c r="L252" s="679"/>
      <c r="M252" s="679"/>
      <c r="N252" s="679"/>
      <c r="O252" s="680"/>
      <c r="P252" s="686" t="s">
        <v>87</v>
      </c>
      <c r="Q252" s="687"/>
      <c r="R252" s="687"/>
      <c r="S252" s="687"/>
      <c r="T252" s="687"/>
      <c r="U252" s="687"/>
      <c r="V252" s="688"/>
      <c r="W252" s="37" t="s">
        <v>68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customHeight="1" x14ac:dyDescent="0.25">
      <c r="A253" s="718" t="s">
        <v>414</v>
      </c>
      <c r="B253" s="679"/>
      <c r="C253" s="679"/>
      <c r="D253" s="679"/>
      <c r="E253" s="679"/>
      <c r="F253" s="679"/>
      <c r="G253" s="679"/>
      <c r="H253" s="679"/>
      <c r="I253" s="679"/>
      <c r="J253" s="679"/>
      <c r="K253" s="679"/>
      <c r="L253" s="679"/>
      <c r="M253" s="679"/>
      <c r="N253" s="679"/>
      <c r="O253" s="679"/>
      <c r="P253" s="679"/>
      <c r="Q253" s="679"/>
      <c r="R253" s="679"/>
      <c r="S253" s="679"/>
      <c r="T253" s="679"/>
      <c r="U253" s="679"/>
      <c r="V253" s="679"/>
      <c r="W253" s="679"/>
      <c r="X253" s="679"/>
      <c r="Y253" s="679"/>
      <c r="Z253" s="679"/>
      <c r="AA253" s="660"/>
      <c r="AB253" s="660"/>
      <c r="AC253" s="660"/>
    </row>
    <row r="254" spans="1:68" ht="14.25" customHeight="1" x14ac:dyDescent="0.25">
      <c r="A254" s="683" t="s">
        <v>97</v>
      </c>
      <c r="B254" s="679"/>
      <c r="C254" s="679"/>
      <c r="D254" s="679"/>
      <c r="E254" s="679"/>
      <c r="F254" s="679"/>
      <c r="G254" s="679"/>
      <c r="H254" s="679"/>
      <c r="I254" s="679"/>
      <c r="J254" s="679"/>
      <c r="K254" s="679"/>
      <c r="L254" s="679"/>
      <c r="M254" s="679"/>
      <c r="N254" s="679"/>
      <c r="O254" s="679"/>
      <c r="P254" s="679"/>
      <c r="Q254" s="679"/>
      <c r="R254" s="679"/>
      <c r="S254" s="679"/>
      <c r="T254" s="679"/>
      <c r="U254" s="679"/>
      <c r="V254" s="679"/>
      <c r="W254" s="679"/>
      <c r="X254" s="679"/>
      <c r="Y254" s="679"/>
      <c r="Z254" s="679"/>
      <c r="AA254" s="661"/>
      <c r="AB254" s="661"/>
      <c r="AC254" s="661"/>
    </row>
    <row r="255" spans="1:68" ht="27" customHeight="1" x14ac:dyDescent="0.25">
      <c r="A255" s="54" t="s">
        <v>415</v>
      </c>
      <c r="B255" s="54" t="s">
        <v>416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7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68</v>
      </c>
      <c r="X255" s="665">
        <v>0</v>
      </c>
      <c r="Y255" s="666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417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68</v>
      </c>
      <c r="X256" s="665">
        <v>0</v>
      </c>
      <c r="Y256" s="666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420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418</v>
      </c>
      <c r="B257" s="54" t="s">
        <v>421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100</v>
      </c>
      <c r="L257" s="32"/>
      <c r="M257" s="33" t="s">
        <v>384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68</v>
      </c>
      <c r="X257" s="665">
        <v>0</v>
      </c>
      <c r="Y257" s="666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422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423</v>
      </c>
      <c r="B258" s="54" t="s">
        <v>424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68</v>
      </c>
      <c r="X258" s="665">
        <v>0</v>
      </c>
      <c r="Y258" s="666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425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426</v>
      </c>
      <c r="B259" s="54" t="s">
        <v>427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68</v>
      </c>
      <c r="X259" s="665">
        <v>0</v>
      </c>
      <c r="Y259" s="666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428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429</v>
      </c>
      <c r="B260" s="54" t="s">
        <v>430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68</v>
      </c>
      <c r="X260" s="665">
        <v>0</v>
      </c>
      <c r="Y260" s="666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431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8"/>
      <c r="B261" s="679"/>
      <c r="C261" s="679"/>
      <c r="D261" s="679"/>
      <c r="E261" s="679"/>
      <c r="F261" s="679"/>
      <c r="G261" s="679"/>
      <c r="H261" s="679"/>
      <c r="I261" s="679"/>
      <c r="J261" s="679"/>
      <c r="K261" s="679"/>
      <c r="L261" s="679"/>
      <c r="M261" s="679"/>
      <c r="N261" s="679"/>
      <c r="O261" s="680"/>
      <c r="P261" s="686" t="s">
        <v>87</v>
      </c>
      <c r="Q261" s="687"/>
      <c r="R261" s="687"/>
      <c r="S261" s="687"/>
      <c r="T261" s="687"/>
      <c r="U261" s="687"/>
      <c r="V261" s="688"/>
      <c r="W261" s="37" t="s">
        <v>88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x14ac:dyDescent="0.2">
      <c r="A262" s="679"/>
      <c r="B262" s="679"/>
      <c r="C262" s="679"/>
      <c r="D262" s="679"/>
      <c r="E262" s="679"/>
      <c r="F262" s="679"/>
      <c r="G262" s="679"/>
      <c r="H262" s="679"/>
      <c r="I262" s="679"/>
      <c r="J262" s="679"/>
      <c r="K262" s="679"/>
      <c r="L262" s="679"/>
      <c r="M262" s="679"/>
      <c r="N262" s="679"/>
      <c r="O262" s="680"/>
      <c r="P262" s="686" t="s">
        <v>87</v>
      </c>
      <c r="Q262" s="687"/>
      <c r="R262" s="687"/>
      <c r="S262" s="687"/>
      <c r="T262" s="687"/>
      <c r="U262" s="687"/>
      <c r="V262" s="688"/>
      <c r="W262" s="37" t="s">
        <v>68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customHeight="1" x14ac:dyDescent="0.25">
      <c r="A263" s="718" t="s">
        <v>432</v>
      </c>
      <c r="B263" s="679"/>
      <c r="C263" s="679"/>
      <c r="D263" s="679"/>
      <c r="E263" s="679"/>
      <c r="F263" s="679"/>
      <c r="G263" s="679"/>
      <c r="H263" s="679"/>
      <c r="I263" s="679"/>
      <c r="J263" s="679"/>
      <c r="K263" s="679"/>
      <c r="L263" s="679"/>
      <c r="M263" s="679"/>
      <c r="N263" s="679"/>
      <c r="O263" s="679"/>
      <c r="P263" s="679"/>
      <c r="Q263" s="679"/>
      <c r="R263" s="679"/>
      <c r="S263" s="679"/>
      <c r="T263" s="679"/>
      <c r="U263" s="679"/>
      <c r="V263" s="679"/>
      <c r="W263" s="679"/>
      <c r="X263" s="679"/>
      <c r="Y263" s="679"/>
      <c r="Z263" s="679"/>
      <c r="AA263" s="660"/>
      <c r="AB263" s="660"/>
      <c r="AC263" s="660"/>
    </row>
    <row r="264" spans="1:68" ht="14.25" customHeight="1" x14ac:dyDescent="0.25">
      <c r="A264" s="683" t="s">
        <v>97</v>
      </c>
      <c r="B264" s="679"/>
      <c r="C264" s="679"/>
      <c r="D264" s="679"/>
      <c r="E264" s="679"/>
      <c r="F264" s="679"/>
      <c r="G264" s="679"/>
      <c r="H264" s="679"/>
      <c r="I264" s="679"/>
      <c r="J264" s="679"/>
      <c r="K264" s="679"/>
      <c r="L264" s="679"/>
      <c r="M264" s="679"/>
      <c r="N264" s="679"/>
      <c r="O264" s="679"/>
      <c r="P264" s="679"/>
      <c r="Q264" s="679"/>
      <c r="R264" s="679"/>
      <c r="S264" s="679"/>
      <c r="T264" s="679"/>
      <c r="U264" s="679"/>
      <c r="V264" s="679"/>
      <c r="W264" s="679"/>
      <c r="X264" s="679"/>
      <c r="Y264" s="679"/>
      <c r="Z264" s="679"/>
      <c r="AA264" s="661"/>
      <c r="AB264" s="661"/>
      <c r="AC264" s="661"/>
    </row>
    <row r="265" spans="1:68" ht="37.5" customHeight="1" x14ac:dyDescent="0.25">
      <c r="A265" s="54" t="s">
        <v>433</v>
      </c>
      <c r="B265" s="54" t="s">
        <v>434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9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68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435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8"/>
      <c r="B266" s="679"/>
      <c r="C266" s="679"/>
      <c r="D266" s="679"/>
      <c r="E266" s="679"/>
      <c r="F266" s="679"/>
      <c r="G266" s="679"/>
      <c r="H266" s="679"/>
      <c r="I266" s="679"/>
      <c r="J266" s="679"/>
      <c r="K266" s="679"/>
      <c r="L266" s="679"/>
      <c r="M266" s="679"/>
      <c r="N266" s="679"/>
      <c r="O266" s="680"/>
      <c r="P266" s="686" t="s">
        <v>87</v>
      </c>
      <c r="Q266" s="687"/>
      <c r="R266" s="687"/>
      <c r="S266" s="687"/>
      <c r="T266" s="687"/>
      <c r="U266" s="687"/>
      <c r="V266" s="688"/>
      <c r="W266" s="37" t="s">
        <v>88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x14ac:dyDescent="0.2">
      <c r="A267" s="679"/>
      <c r="B267" s="679"/>
      <c r="C267" s="679"/>
      <c r="D267" s="679"/>
      <c r="E267" s="679"/>
      <c r="F267" s="679"/>
      <c r="G267" s="679"/>
      <c r="H267" s="679"/>
      <c r="I267" s="679"/>
      <c r="J267" s="679"/>
      <c r="K267" s="679"/>
      <c r="L267" s="679"/>
      <c r="M267" s="679"/>
      <c r="N267" s="679"/>
      <c r="O267" s="680"/>
      <c r="P267" s="686" t="s">
        <v>87</v>
      </c>
      <c r="Q267" s="687"/>
      <c r="R267" s="687"/>
      <c r="S267" s="687"/>
      <c r="T267" s="687"/>
      <c r="U267" s="687"/>
      <c r="V267" s="688"/>
      <c r="W267" s="37" t="s">
        <v>68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customHeight="1" x14ac:dyDescent="0.25">
      <c r="A268" s="718" t="s">
        <v>436</v>
      </c>
      <c r="B268" s="679"/>
      <c r="C268" s="679"/>
      <c r="D268" s="679"/>
      <c r="E268" s="679"/>
      <c r="F268" s="679"/>
      <c r="G268" s="679"/>
      <c r="H268" s="679"/>
      <c r="I268" s="679"/>
      <c r="J268" s="679"/>
      <c r="K268" s="679"/>
      <c r="L268" s="679"/>
      <c r="M268" s="679"/>
      <c r="N268" s="679"/>
      <c r="O268" s="679"/>
      <c r="P268" s="679"/>
      <c r="Q268" s="679"/>
      <c r="R268" s="679"/>
      <c r="S268" s="679"/>
      <c r="T268" s="679"/>
      <c r="U268" s="679"/>
      <c r="V268" s="679"/>
      <c r="W268" s="679"/>
      <c r="X268" s="679"/>
      <c r="Y268" s="679"/>
      <c r="Z268" s="679"/>
      <c r="AA268" s="660"/>
      <c r="AB268" s="660"/>
      <c r="AC268" s="660"/>
    </row>
    <row r="269" spans="1:68" ht="14.25" customHeight="1" x14ac:dyDescent="0.25">
      <c r="A269" s="683" t="s">
        <v>97</v>
      </c>
      <c r="B269" s="679"/>
      <c r="C269" s="679"/>
      <c r="D269" s="679"/>
      <c r="E269" s="679"/>
      <c r="F269" s="679"/>
      <c r="G269" s="679"/>
      <c r="H269" s="679"/>
      <c r="I269" s="679"/>
      <c r="J269" s="679"/>
      <c r="K269" s="679"/>
      <c r="L269" s="679"/>
      <c r="M269" s="679"/>
      <c r="N269" s="679"/>
      <c r="O269" s="679"/>
      <c r="P269" s="679"/>
      <c r="Q269" s="679"/>
      <c r="R269" s="679"/>
      <c r="S269" s="679"/>
      <c r="T269" s="679"/>
      <c r="U269" s="679"/>
      <c r="V269" s="679"/>
      <c r="W269" s="679"/>
      <c r="X269" s="679"/>
      <c r="Y269" s="679"/>
      <c r="Z269" s="679"/>
      <c r="AA269" s="661"/>
      <c r="AB269" s="661"/>
      <c r="AC269" s="661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68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7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68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441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4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68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444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8"/>
      <c r="B273" s="679"/>
      <c r="C273" s="679"/>
      <c r="D273" s="679"/>
      <c r="E273" s="679"/>
      <c r="F273" s="679"/>
      <c r="G273" s="679"/>
      <c r="H273" s="679"/>
      <c r="I273" s="679"/>
      <c r="J273" s="679"/>
      <c r="K273" s="679"/>
      <c r="L273" s="679"/>
      <c r="M273" s="679"/>
      <c r="N273" s="679"/>
      <c r="O273" s="680"/>
      <c r="P273" s="686" t="s">
        <v>87</v>
      </c>
      <c r="Q273" s="687"/>
      <c r="R273" s="687"/>
      <c r="S273" s="687"/>
      <c r="T273" s="687"/>
      <c r="U273" s="687"/>
      <c r="V273" s="688"/>
      <c r="W273" s="37" t="s">
        <v>88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x14ac:dyDescent="0.2">
      <c r="A274" s="679"/>
      <c r="B274" s="679"/>
      <c r="C274" s="679"/>
      <c r="D274" s="679"/>
      <c r="E274" s="679"/>
      <c r="F274" s="679"/>
      <c r="G274" s="679"/>
      <c r="H274" s="679"/>
      <c r="I274" s="679"/>
      <c r="J274" s="679"/>
      <c r="K274" s="679"/>
      <c r="L274" s="679"/>
      <c r="M274" s="679"/>
      <c r="N274" s="679"/>
      <c r="O274" s="680"/>
      <c r="P274" s="686" t="s">
        <v>87</v>
      </c>
      <c r="Q274" s="687"/>
      <c r="R274" s="687"/>
      <c r="S274" s="687"/>
      <c r="T274" s="687"/>
      <c r="U274" s="687"/>
      <c r="V274" s="688"/>
      <c r="W274" s="37" t="s">
        <v>68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customHeight="1" x14ac:dyDescent="0.25">
      <c r="A275" s="718" t="s">
        <v>445</v>
      </c>
      <c r="B275" s="679"/>
      <c r="C275" s="679"/>
      <c r="D275" s="679"/>
      <c r="E275" s="679"/>
      <c r="F275" s="679"/>
      <c r="G275" s="679"/>
      <c r="H275" s="679"/>
      <c r="I275" s="679"/>
      <c r="J275" s="679"/>
      <c r="K275" s="679"/>
      <c r="L275" s="679"/>
      <c r="M275" s="679"/>
      <c r="N275" s="679"/>
      <c r="O275" s="679"/>
      <c r="P275" s="679"/>
      <c r="Q275" s="679"/>
      <c r="R275" s="679"/>
      <c r="S275" s="679"/>
      <c r="T275" s="679"/>
      <c r="U275" s="679"/>
      <c r="V275" s="679"/>
      <c r="W275" s="679"/>
      <c r="X275" s="679"/>
      <c r="Y275" s="679"/>
      <c r="Z275" s="679"/>
      <c r="AA275" s="660"/>
      <c r="AB275" s="660"/>
      <c r="AC275" s="660"/>
    </row>
    <row r="276" spans="1:68" ht="14.25" customHeight="1" x14ac:dyDescent="0.25">
      <c r="A276" s="683" t="s">
        <v>63</v>
      </c>
      <c r="B276" s="679"/>
      <c r="C276" s="679"/>
      <c r="D276" s="679"/>
      <c r="E276" s="679"/>
      <c r="F276" s="679"/>
      <c r="G276" s="679"/>
      <c r="H276" s="679"/>
      <c r="I276" s="679"/>
      <c r="J276" s="679"/>
      <c r="K276" s="679"/>
      <c r="L276" s="679"/>
      <c r="M276" s="679"/>
      <c r="N276" s="679"/>
      <c r="O276" s="679"/>
      <c r="P276" s="679"/>
      <c r="Q276" s="679"/>
      <c r="R276" s="679"/>
      <c r="S276" s="679"/>
      <c r="T276" s="679"/>
      <c r="U276" s="679"/>
      <c r="V276" s="679"/>
      <c r="W276" s="679"/>
      <c r="X276" s="679"/>
      <c r="Y276" s="679"/>
      <c r="Z276" s="679"/>
      <c r="AA276" s="661"/>
      <c r="AB276" s="661"/>
      <c r="AC276" s="661"/>
    </row>
    <row r="277" spans="1:68" ht="37.5" customHeight="1" x14ac:dyDescent="0.25">
      <c r="A277" s="54" t="s">
        <v>446</v>
      </c>
      <c r="B277" s="54" t="s">
        <v>447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4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68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448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449</v>
      </c>
      <c r="B278" s="54" t="s">
        <v>450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8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68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451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452</v>
      </c>
      <c r="B279" s="54" t="s">
        <v>453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2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68</v>
      </c>
      <c r="X279" s="665">
        <v>2</v>
      </c>
      <c r="Y279" s="666">
        <f>IFERROR(IF(X279="",0,CEILING((X279/$H279),1)*$H279),"")</f>
        <v>2.4</v>
      </c>
      <c r="Z279" s="36">
        <f>IFERROR(IF(Y279=0,"",ROUNDUP(Y279/H279,0)*0.00651),"")</f>
        <v>6.5100000000000002E-3</v>
      </c>
      <c r="AA279" s="56"/>
      <c r="AB279" s="57"/>
      <c r="AC279" s="337" t="s">
        <v>448</v>
      </c>
      <c r="AG279" s="64"/>
      <c r="AJ279" s="68"/>
      <c r="AK279" s="68">
        <v>0</v>
      </c>
      <c r="BB279" s="338" t="s">
        <v>1</v>
      </c>
      <c r="BM279" s="64">
        <f>IFERROR(X279*I279/H279,"0")</f>
        <v>2.2100000000000004</v>
      </c>
      <c r="BN279" s="64">
        <f>IFERROR(Y279*I279/H279,"0")</f>
        <v>2.6520000000000001</v>
      </c>
      <c r="BO279" s="64">
        <f>IFERROR(1/J279*(X279/H279),"0")</f>
        <v>4.578754578754579E-3</v>
      </c>
      <c r="BP279" s="64">
        <f>IFERROR(1/J279*(Y279/H279),"0")</f>
        <v>5.4945054945054949E-3</v>
      </c>
    </row>
    <row r="280" spans="1:68" ht="37.5" customHeight="1" x14ac:dyDescent="0.25">
      <c r="A280" s="54" t="s">
        <v>454</v>
      </c>
      <c r="B280" s="54" t="s">
        <v>455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68</v>
      </c>
      <c r="X280" s="665">
        <v>10</v>
      </c>
      <c r="Y280" s="666">
        <f>IFERROR(IF(X280="",0,CEILING((X280/$H280),1)*$H280),"")</f>
        <v>12</v>
      </c>
      <c r="Z280" s="36">
        <f>IFERROR(IF(Y280=0,"",ROUNDUP(Y280/H280,0)*0.00651),"")</f>
        <v>3.2550000000000003E-2</v>
      </c>
      <c r="AA280" s="56"/>
      <c r="AB280" s="57"/>
      <c r="AC280" s="339" t="s">
        <v>456</v>
      </c>
      <c r="AG280" s="64"/>
      <c r="AJ280" s="68"/>
      <c r="AK280" s="68">
        <v>0</v>
      </c>
      <c r="BB280" s="340" t="s">
        <v>1</v>
      </c>
      <c r="BM280" s="64">
        <f>IFERROR(X280*I280/H280,"0")</f>
        <v>10.75</v>
      </c>
      <c r="BN280" s="64">
        <f>IFERROR(Y280*I280/H280,"0")</f>
        <v>12.9</v>
      </c>
      <c r="BO280" s="64">
        <f>IFERROR(1/J280*(X280/H280),"0")</f>
        <v>2.2893772893772896E-2</v>
      </c>
      <c r="BP280" s="64">
        <f>IFERROR(1/J280*(Y280/H280),"0")</f>
        <v>2.7472527472527476E-2</v>
      </c>
    </row>
    <row r="281" spans="1:68" ht="27" customHeight="1" x14ac:dyDescent="0.25">
      <c r="A281" s="54" t="s">
        <v>457</v>
      </c>
      <c r="B281" s="54" t="s">
        <v>458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4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68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451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8"/>
      <c r="B282" s="679"/>
      <c r="C282" s="679"/>
      <c r="D282" s="679"/>
      <c r="E282" s="679"/>
      <c r="F282" s="679"/>
      <c r="G282" s="679"/>
      <c r="H282" s="679"/>
      <c r="I282" s="679"/>
      <c r="J282" s="679"/>
      <c r="K282" s="679"/>
      <c r="L282" s="679"/>
      <c r="M282" s="679"/>
      <c r="N282" s="679"/>
      <c r="O282" s="680"/>
      <c r="P282" s="686" t="s">
        <v>87</v>
      </c>
      <c r="Q282" s="687"/>
      <c r="R282" s="687"/>
      <c r="S282" s="687"/>
      <c r="T282" s="687"/>
      <c r="U282" s="687"/>
      <c r="V282" s="688"/>
      <c r="W282" s="37" t="s">
        <v>88</v>
      </c>
      <c r="X282" s="667">
        <f>IFERROR(X277/H277,"0")+IFERROR(X278/H278,"0")+IFERROR(X279/H279,"0")+IFERROR(X280/H280,"0")+IFERROR(X281/H281,"0")</f>
        <v>5</v>
      </c>
      <c r="Y282" s="667">
        <f>IFERROR(Y277/H277,"0")+IFERROR(Y278/H278,"0")+IFERROR(Y279/H279,"0")+IFERROR(Y280/H280,"0")+IFERROR(Y281/H281,"0")</f>
        <v>6</v>
      </c>
      <c r="Z282" s="667">
        <f>IFERROR(IF(Z277="",0,Z277),"0")+IFERROR(IF(Z278="",0,Z278),"0")+IFERROR(IF(Z279="",0,Z279),"0")+IFERROR(IF(Z280="",0,Z280),"0")+IFERROR(IF(Z281="",0,Z281),"0")</f>
        <v>3.9060000000000004E-2</v>
      </c>
      <c r="AA282" s="668"/>
      <c r="AB282" s="668"/>
      <c r="AC282" s="668"/>
    </row>
    <row r="283" spans="1:68" x14ac:dyDescent="0.2">
      <c r="A283" s="679"/>
      <c r="B283" s="679"/>
      <c r="C283" s="679"/>
      <c r="D283" s="679"/>
      <c r="E283" s="679"/>
      <c r="F283" s="679"/>
      <c r="G283" s="679"/>
      <c r="H283" s="679"/>
      <c r="I283" s="679"/>
      <c r="J283" s="679"/>
      <c r="K283" s="679"/>
      <c r="L283" s="679"/>
      <c r="M283" s="679"/>
      <c r="N283" s="679"/>
      <c r="O283" s="680"/>
      <c r="P283" s="686" t="s">
        <v>87</v>
      </c>
      <c r="Q283" s="687"/>
      <c r="R283" s="687"/>
      <c r="S283" s="687"/>
      <c r="T283" s="687"/>
      <c r="U283" s="687"/>
      <c r="V283" s="688"/>
      <c r="W283" s="37" t="s">
        <v>68</v>
      </c>
      <c r="X283" s="667">
        <f>IFERROR(SUM(X277:X281),"0")</f>
        <v>12</v>
      </c>
      <c r="Y283" s="667">
        <f>IFERROR(SUM(Y277:Y281),"0")</f>
        <v>14.4</v>
      </c>
      <c r="Z283" s="37"/>
      <c r="AA283" s="668"/>
      <c r="AB283" s="668"/>
      <c r="AC283" s="668"/>
    </row>
    <row r="284" spans="1:68" ht="16.5" customHeight="1" x14ac:dyDescent="0.25">
      <c r="A284" s="718" t="s">
        <v>459</v>
      </c>
      <c r="B284" s="679"/>
      <c r="C284" s="679"/>
      <c r="D284" s="679"/>
      <c r="E284" s="679"/>
      <c r="F284" s="679"/>
      <c r="G284" s="679"/>
      <c r="H284" s="679"/>
      <c r="I284" s="679"/>
      <c r="J284" s="679"/>
      <c r="K284" s="679"/>
      <c r="L284" s="679"/>
      <c r="M284" s="679"/>
      <c r="N284" s="679"/>
      <c r="O284" s="679"/>
      <c r="P284" s="679"/>
      <c r="Q284" s="679"/>
      <c r="R284" s="679"/>
      <c r="S284" s="679"/>
      <c r="T284" s="679"/>
      <c r="U284" s="679"/>
      <c r="V284" s="679"/>
      <c r="W284" s="679"/>
      <c r="X284" s="679"/>
      <c r="Y284" s="679"/>
      <c r="Z284" s="679"/>
      <c r="AA284" s="660"/>
      <c r="AB284" s="660"/>
      <c r="AC284" s="660"/>
    </row>
    <row r="285" spans="1:68" ht="14.25" customHeight="1" x14ac:dyDescent="0.25">
      <c r="A285" s="683" t="s">
        <v>97</v>
      </c>
      <c r="B285" s="679"/>
      <c r="C285" s="679"/>
      <c r="D285" s="679"/>
      <c r="E285" s="679"/>
      <c r="F285" s="679"/>
      <c r="G285" s="679"/>
      <c r="H285" s="679"/>
      <c r="I285" s="679"/>
      <c r="J285" s="679"/>
      <c r="K285" s="679"/>
      <c r="L285" s="679"/>
      <c r="M285" s="679"/>
      <c r="N285" s="679"/>
      <c r="O285" s="679"/>
      <c r="P285" s="679"/>
      <c r="Q285" s="679"/>
      <c r="R285" s="679"/>
      <c r="S285" s="679"/>
      <c r="T285" s="679"/>
      <c r="U285" s="679"/>
      <c r="V285" s="679"/>
      <c r="W285" s="679"/>
      <c r="X285" s="679"/>
      <c r="Y285" s="679"/>
      <c r="Z285" s="679"/>
      <c r="AA285" s="661"/>
      <c r="AB285" s="661"/>
      <c r="AC285" s="661"/>
    </row>
    <row r="286" spans="1:68" ht="27" customHeight="1" x14ac:dyDescent="0.25">
      <c r="A286" s="54" t="s">
        <v>460</v>
      </c>
      <c r="B286" s="54" t="s">
        <v>461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68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462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8"/>
      <c r="B287" s="679"/>
      <c r="C287" s="679"/>
      <c r="D287" s="679"/>
      <c r="E287" s="679"/>
      <c r="F287" s="679"/>
      <c r="G287" s="679"/>
      <c r="H287" s="679"/>
      <c r="I287" s="679"/>
      <c r="J287" s="679"/>
      <c r="K287" s="679"/>
      <c r="L287" s="679"/>
      <c r="M287" s="679"/>
      <c r="N287" s="679"/>
      <c r="O287" s="680"/>
      <c r="P287" s="686" t="s">
        <v>87</v>
      </c>
      <c r="Q287" s="687"/>
      <c r="R287" s="687"/>
      <c r="S287" s="687"/>
      <c r="T287" s="687"/>
      <c r="U287" s="687"/>
      <c r="V287" s="688"/>
      <c r="W287" s="37" t="s">
        <v>88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x14ac:dyDescent="0.2">
      <c r="A288" s="679"/>
      <c r="B288" s="679"/>
      <c r="C288" s="679"/>
      <c r="D288" s="679"/>
      <c r="E288" s="679"/>
      <c r="F288" s="679"/>
      <c r="G288" s="679"/>
      <c r="H288" s="679"/>
      <c r="I288" s="679"/>
      <c r="J288" s="679"/>
      <c r="K288" s="679"/>
      <c r="L288" s="679"/>
      <c r="M288" s="679"/>
      <c r="N288" s="679"/>
      <c r="O288" s="680"/>
      <c r="P288" s="686" t="s">
        <v>87</v>
      </c>
      <c r="Q288" s="687"/>
      <c r="R288" s="687"/>
      <c r="S288" s="687"/>
      <c r="T288" s="687"/>
      <c r="U288" s="687"/>
      <c r="V288" s="688"/>
      <c r="W288" s="37" t="s">
        <v>68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customHeight="1" x14ac:dyDescent="0.25">
      <c r="A289" s="683" t="s">
        <v>144</v>
      </c>
      <c r="B289" s="679"/>
      <c r="C289" s="679"/>
      <c r="D289" s="679"/>
      <c r="E289" s="679"/>
      <c r="F289" s="679"/>
      <c r="G289" s="679"/>
      <c r="H289" s="679"/>
      <c r="I289" s="679"/>
      <c r="J289" s="679"/>
      <c r="K289" s="679"/>
      <c r="L289" s="679"/>
      <c r="M289" s="679"/>
      <c r="N289" s="679"/>
      <c r="O289" s="679"/>
      <c r="P289" s="679"/>
      <c r="Q289" s="679"/>
      <c r="R289" s="679"/>
      <c r="S289" s="679"/>
      <c r="T289" s="679"/>
      <c r="U289" s="679"/>
      <c r="V289" s="679"/>
      <c r="W289" s="679"/>
      <c r="X289" s="679"/>
      <c r="Y289" s="679"/>
      <c r="Z289" s="679"/>
      <c r="AA289" s="661"/>
      <c r="AB289" s="661"/>
      <c r="AC289" s="661"/>
    </row>
    <row r="290" spans="1:68" ht="27" customHeight="1" x14ac:dyDescent="0.25">
      <c r="A290" s="54" t="s">
        <v>463</v>
      </c>
      <c r="B290" s="54" t="s">
        <v>464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68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465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8"/>
      <c r="B291" s="679"/>
      <c r="C291" s="679"/>
      <c r="D291" s="679"/>
      <c r="E291" s="679"/>
      <c r="F291" s="679"/>
      <c r="G291" s="679"/>
      <c r="H291" s="679"/>
      <c r="I291" s="679"/>
      <c r="J291" s="679"/>
      <c r="K291" s="679"/>
      <c r="L291" s="679"/>
      <c r="M291" s="679"/>
      <c r="N291" s="679"/>
      <c r="O291" s="680"/>
      <c r="P291" s="686" t="s">
        <v>87</v>
      </c>
      <c r="Q291" s="687"/>
      <c r="R291" s="687"/>
      <c r="S291" s="687"/>
      <c r="T291" s="687"/>
      <c r="U291" s="687"/>
      <c r="V291" s="688"/>
      <c r="W291" s="37" t="s">
        <v>88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x14ac:dyDescent="0.2">
      <c r="A292" s="679"/>
      <c r="B292" s="679"/>
      <c r="C292" s="679"/>
      <c r="D292" s="679"/>
      <c r="E292" s="679"/>
      <c r="F292" s="679"/>
      <c r="G292" s="679"/>
      <c r="H292" s="679"/>
      <c r="I292" s="679"/>
      <c r="J292" s="679"/>
      <c r="K292" s="679"/>
      <c r="L292" s="679"/>
      <c r="M292" s="679"/>
      <c r="N292" s="679"/>
      <c r="O292" s="680"/>
      <c r="P292" s="686" t="s">
        <v>87</v>
      </c>
      <c r="Q292" s="687"/>
      <c r="R292" s="687"/>
      <c r="S292" s="687"/>
      <c r="T292" s="687"/>
      <c r="U292" s="687"/>
      <c r="V292" s="688"/>
      <c r="W292" s="37" t="s">
        <v>68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customHeight="1" x14ac:dyDescent="0.25">
      <c r="A293" s="683" t="s">
        <v>63</v>
      </c>
      <c r="B293" s="679"/>
      <c r="C293" s="679"/>
      <c r="D293" s="679"/>
      <c r="E293" s="679"/>
      <c r="F293" s="679"/>
      <c r="G293" s="679"/>
      <c r="H293" s="679"/>
      <c r="I293" s="679"/>
      <c r="J293" s="679"/>
      <c r="K293" s="679"/>
      <c r="L293" s="679"/>
      <c r="M293" s="679"/>
      <c r="N293" s="679"/>
      <c r="O293" s="679"/>
      <c r="P293" s="679"/>
      <c r="Q293" s="679"/>
      <c r="R293" s="679"/>
      <c r="S293" s="679"/>
      <c r="T293" s="679"/>
      <c r="U293" s="679"/>
      <c r="V293" s="679"/>
      <c r="W293" s="679"/>
      <c r="X293" s="679"/>
      <c r="Y293" s="679"/>
      <c r="Z293" s="679"/>
      <c r="AA293" s="661"/>
      <c r="AB293" s="661"/>
      <c r="AC293" s="661"/>
    </row>
    <row r="294" spans="1:68" ht="27" customHeight="1" x14ac:dyDescent="0.25">
      <c r="A294" s="54" t="s">
        <v>466</v>
      </c>
      <c r="B294" s="54" t="s">
        <v>467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68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468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8"/>
      <c r="B295" s="679"/>
      <c r="C295" s="679"/>
      <c r="D295" s="679"/>
      <c r="E295" s="679"/>
      <c r="F295" s="679"/>
      <c r="G295" s="679"/>
      <c r="H295" s="679"/>
      <c r="I295" s="679"/>
      <c r="J295" s="679"/>
      <c r="K295" s="679"/>
      <c r="L295" s="679"/>
      <c r="M295" s="679"/>
      <c r="N295" s="679"/>
      <c r="O295" s="680"/>
      <c r="P295" s="686" t="s">
        <v>87</v>
      </c>
      <c r="Q295" s="687"/>
      <c r="R295" s="687"/>
      <c r="S295" s="687"/>
      <c r="T295" s="687"/>
      <c r="U295" s="687"/>
      <c r="V295" s="688"/>
      <c r="W295" s="37" t="s">
        <v>88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x14ac:dyDescent="0.2">
      <c r="A296" s="679"/>
      <c r="B296" s="679"/>
      <c r="C296" s="679"/>
      <c r="D296" s="679"/>
      <c r="E296" s="679"/>
      <c r="F296" s="679"/>
      <c r="G296" s="679"/>
      <c r="H296" s="679"/>
      <c r="I296" s="679"/>
      <c r="J296" s="679"/>
      <c r="K296" s="679"/>
      <c r="L296" s="679"/>
      <c r="M296" s="679"/>
      <c r="N296" s="679"/>
      <c r="O296" s="680"/>
      <c r="P296" s="686" t="s">
        <v>87</v>
      </c>
      <c r="Q296" s="687"/>
      <c r="R296" s="687"/>
      <c r="S296" s="687"/>
      <c r="T296" s="687"/>
      <c r="U296" s="687"/>
      <c r="V296" s="688"/>
      <c r="W296" s="37" t="s">
        <v>68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customHeight="1" x14ac:dyDescent="0.25">
      <c r="A297" s="718" t="s">
        <v>469</v>
      </c>
      <c r="B297" s="679"/>
      <c r="C297" s="679"/>
      <c r="D297" s="679"/>
      <c r="E297" s="679"/>
      <c r="F297" s="679"/>
      <c r="G297" s="679"/>
      <c r="H297" s="679"/>
      <c r="I297" s="679"/>
      <c r="J297" s="679"/>
      <c r="K297" s="679"/>
      <c r="L297" s="679"/>
      <c r="M297" s="679"/>
      <c r="N297" s="679"/>
      <c r="O297" s="679"/>
      <c r="P297" s="679"/>
      <c r="Q297" s="679"/>
      <c r="R297" s="679"/>
      <c r="S297" s="679"/>
      <c r="T297" s="679"/>
      <c r="U297" s="679"/>
      <c r="V297" s="679"/>
      <c r="W297" s="679"/>
      <c r="X297" s="679"/>
      <c r="Y297" s="679"/>
      <c r="Z297" s="679"/>
      <c r="AA297" s="660"/>
      <c r="AB297" s="660"/>
      <c r="AC297" s="660"/>
    </row>
    <row r="298" spans="1:68" ht="14.25" customHeight="1" x14ac:dyDescent="0.25">
      <c r="A298" s="683" t="s">
        <v>63</v>
      </c>
      <c r="B298" s="679"/>
      <c r="C298" s="679"/>
      <c r="D298" s="679"/>
      <c r="E298" s="679"/>
      <c r="F298" s="679"/>
      <c r="G298" s="679"/>
      <c r="H298" s="679"/>
      <c r="I298" s="679"/>
      <c r="J298" s="679"/>
      <c r="K298" s="679"/>
      <c r="L298" s="679"/>
      <c r="M298" s="679"/>
      <c r="N298" s="679"/>
      <c r="O298" s="679"/>
      <c r="P298" s="679"/>
      <c r="Q298" s="679"/>
      <c r="R298" s="679"/>
      <c r="S298" s="679"/>
      <c r="T298" s="679"/>
      <c r="U298" s="679"/>
      <c r="V298" s="679"/>
      <c r="W298" s="679"/>
      <c r="X298" s="679"/>
      <c r="Y298" s="679"/>
      <c r="Z298" s="679"/>
      <c r="AA298" s="661"/>
      <c r="AB298" s="661"/>
      <c r="AC298" s="661"/>
    </row>
    <row r="299" spans="1:68" ht="27" customHeight="1" x14ac:dyDescent="0.25">
      <c r="A299" s="54" t="s">
        <v>470</v>
      </c>
      <c r="B299" s="54" t="s">
        <v>471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90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68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472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8"/>
      <c r="B300" s="679"/>
      <c r="C300" s="679"/>
      <c r="D300" s="679"/>
      <c r="E300" s="679"/>
      <c r="F300" s="679"/>
      <c r="G300" s="679"/>
      <c r="H300" s="679"/>
      <c r="I300" s="679"/>
      <c r="J300" s="679"/>
      <c r="K300" s="679"/>
      <c r="L300" s="679"/>
      <c r="M300" s="679"/>
      <c r="N300" s="679"/>
      <c r="O300" s="680"/>
      <c r="P300" s="686" t="s">
        <v>87</v>
      </c>
      <c r="Q300" s="687"/>
      <c r="R300" s="687"/>
      <c r="S300" s="687"/>
      <c r="T300" s="687"/>
      <c r="U300" s="687"/>
      <c r="V300" s="688"/>
      <c r="W300" s="37" t="s">
        <v>88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x14ac:dyDescent="0.2">
      <c r="A301" s="679"/>
      <c r="B301" s="679"/>
      <c r="C301" s="679"/>
      <c r="D301" s="679"/>
      <c r="E301" s="679"/>
      <c r="F301" s="679"/>
      <c r="G301" s="679"/>
      <c r="H301" s="679"/>
      <c r="I301" s="679"/>
      <c r="J301" s="679"/>
      <c r="K301" s="679"/>
      <c r="L301" s="679"/>
      <c r="M301" s="679"/>
      <c r="N301" s="679"/>
      <c r="O301" s="680"/>
      <c r="P301" s="686" t="s">
        <v>87</v>
      </c>
      <c r="Q301" s="687"/>
      <c r="R301" s="687"/>
      <c r="S301" s="687"/>
      <c r="T301" s="687"/>
      <c r="U301" s="687"/>
      <c r="V301" s="688"/>
      <c r="W301" s="37" t="s">
        <v>68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customHeight="1" x14ac:dyDescent="0.25">
      <c r="A302" s="718" t="s">
        <v>473</v>
      </c>
      <c r="B302" s="679"/>
      <c r="C302" s="679"/>
      <c r="D302" s="679"/>
      <c r="E302" s="679"/>
      <c r="F302" s="679"/>
      <c r="G302" s="679"/>
      <c r="H302" s="679"/>
      <c r="I302" s="679"/>
      <c r="J302" s="679"/>
      <c r="K302" s="679"/>
      <c r="L302" s="679"/>
      <c r="M302" s="679"/>
      <c r="N302" s="679"/>
      <c r="O302" s="679"/>
      <c r="P302" s="679"/>
      <c r="Q302" s="679"/>
      <c r="R302" s="679"/>
      <c r="S302" s="679"/>
      <c r="T302" s="679"/>
      <c r="U302" s="679"/>
      <c r="V302" s="679"/>
      <c r="W302" s="679"/>
      <c r="X302" s="679"/>
      <c r="Y302" s="679"/>
      <c r="Z302" s="679"/>
      <c r="AA302" s="660"/>
      <c r="AB302" s="660"/>
      <c r="AC302" s="660"/>
    </row>
    <row r="303" spans="1:68" ht="14.25" customHeight="1" x14ac:dyDescent="0.25">
      <c r="A303" s="683" t="s">
        <v>97</v>
      </c>
      <c r="B303" s="679"/>
      <c r="C303" s="679"/>
      <c r="D303" s="679"/>
      <c r="E303" s="679"/>
      <c r="F303" s="679"/>
      <c r="G303" s="679"/>
      <c r="H303" s="679"/>
      <c r="I303" s="679"/>
      <c r="J303" s="679"/>
      <c r="K303" s="679"/>
      <c r="L303" s="679"/>
      <c r="M303" s="679"/>
      <c r="N303" s="679"/>
      <c r="O303" s="679"/>
      <c r="P303" s="679"/>
      <c r="Q303" s="679"/>
      <c r="R303" s="679"/>
      <c r="S303" s="679"/>
      <c r="T303" s="679"/>
      <c r="U303" s="679"/>
      <c r="V303" s="679"/>
      <c r="W303" s="679"/>
      <c r="X303" s="679"/>
      <c r="Y303" s="679"/>
      <c r="Z303" s="679"/>
      <c r="AA303" s="661"/>
      <c r="AB303" s="661"/>
      <c r="AC303" s="661"/>
    </row>
    <row r="304" spans="1:68" ht="27" customHeight="1" x14ac:dyDescent="0.25">
      <c r="A304" s="54" t="s">
        <v>474</v>
      </c>
      <c r="B304" s="54" t="s">
        <v>475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3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68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435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8"/>
      <c r="B305" s="679"/>
      <c r="C305" s="679"/>
      <c r="D305" s="679"/>
      <c r="E305" s="679"/>
      <c r="F305" s="679"/>
      <c r="G305" s="679"/>
      <c r="H305" s="679"/>
      <c r="I305" s="679"/>
      <c r="J305" s="679"/>
      <c r="K305" s="679"/>
      <c r="L305" s="679"/>
      <c r="M305" s="679"/>
      <c r="N305" s="679"/>
      <c r="O305" s="680"/>
      <c r="P305" s="686" t="s">
        <v>87</v>
      </c>
      <c r="Q305" s="687"/>
      <c r="R305" s="687"/>
      <c r="S305" s="687"/>
      <c r="T305" s="687"/>
      <c r="U305" s="687"/>
      <c r="V305" s="688"/>
      <c r="W305" s="37" t="s">
        <v>88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x14ac:dyDescent="0.2">
      <c r="A306" s="679"/>
      <c r="B306" s="679"/>
      <c r="C306" s="679"/>
      <c r="D306" s="679"/>
      <c r="E306" s="679"/>
      <c r="F306" s="679"/>
      <c r="G306" s="679"/>
      <c r="H306" s="679"/>
      <c r="I306" s="679"/>
      <c r="J306" s="679"/>
      <c r="K306" s="679"/>
      <c r="L306" s="679"/>
      <c r="M306" s="679"/>
      <c r="N306" s="679"/>
      <c r="O306" s="680"/>
      <c r="P306" s="686" t="s">
        <v>87</v>
      </c>
      <c r="Q306" s="687"/>
      <c r="R306" s="687"/>
      <c r="S306" s="687"/>
      <c r="T306" s="687"/>
      <c r="U306" s="687"/>
      <c r="V306" s="688"/>
      <c r="W306" s="37" t="s">
        <v>68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customHeight="1" x14ac:dyDescent="0.25">
      <c r="A307" s="683" t="s">
        <v>144</v>
      </c>
      <c r="B307" s="679"/>
      <c r="C307" s="679"/>
      <c r="D307" s="679"/>
      <c r="E307" s="679"/>
      <c r="F307" s="679"/>
      <c r="G307" s="679"/>
      <c r="H307" s="679"/>
      <c r="I307" s="679"/>
      <c r="J307" s="679"/>
      <c r="K307" s="679"/>
      <c r="L307" s="679"/>
      <c r="M307" s="679"/>
      <c r="N307" s="679"/>
      <c r="O307" s="679"/>
      <c r="P307" s="679"/>
      <c r="Q307" s="679"/>
      <c r="R307" s="679"/>
      <c r="S307" s="679"/>
      <c r="T307" s="679"/>
      <c r="U307" s="679"/>
      <c r="V307" s="679"/>
      <c r="W307" s="679"/>
      <c r="X307" s="679"/>
      <c r="Y307" s="679"/>
      <c r="Z307" s="679"/>
      <c r="AA307" s="661"/>
      <c r="AB307" s="661"/>
      <c r="AC307" s="661"/>
    </row>
    <row r="308" spans="1:68" ht="27" customHeight="1" x14ac:dyDescent="0.25">
      <c r="A308" s="54" t="s">
        <v>476</v>
      </c>
      <c r="B308" s="54" t="s">
        <v>477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41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68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478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479</v>
      </c>
      <c r="B309" s="54" t="s">
        <v>480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3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68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478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8"/>
      <c r="B310" s="679"/>
      <c r="C310" s="679"/>
      <c r="D310" s="679"/>
      <c r="E310" s="679"/>
      <c r="F310" s="679"/>
      <c r="G310" s="679"/>
      <c r="H310" s="679"/>
      <c r="I310" s="679"/>
      <c r="J310" s="679"/>
      <c r="K310" s="679"/>
      <c r="L310" s="679"/>
      <c r="M310" s="679"/>
      <c r="N310" s="679"/>
      <c r="O310" s="680"/>
      <c r="P310" s="686" t="s">
        <v>87</v>
      </c>
      <c r="Q310" s="687"/>
      <c r="R310" s="687"/>
      <c r="S310" s="687"/>
      <c r="T310" s="687"/>
      <c r="U310" s="687"/>
      <c r="V310" s="688"/>
      <c r="W310" s="37" t="s">
        <v>88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x14ac:dyDescent="0.2">
      <c r="A311" s="679"/>
      <c r="B311" s="679"/>
      <c r="C311" s="679"/>
      <c r="D311" s="679"/>
      <c r="E311" s="679"/>
      <c r="F311" s="679"/>
      <c r="G311" s="679"/>
      <c r="H311" s="679"/>
      <c r="I311" s="679"/>
      <c r="J311" s="679"/>
      <c r="K311" s="679"/>
      <c r="L311" s="679"/>
      <c r="M311" s="679"/>
      <c r="N311" s="679"/>
      <c r="O311" s="680"/>
      <c r="P311" s="686" t="s">
        <v>87</v>
      </c>
      <c r="Q311" s="687"/>
      <c r="R311" s="687"/>
      <c r="S311" s="687"/>
      <c r="T311" s="687"/>
      <c r="U311" s="687"/>
      <c r="V311" s="688"/>
      <c r="W311" s="37" t="s">
        <v>68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customHeight="1" x14ac:dyDescent="0.25">
      <c r="A312" s="718" t="s">
        <v>481</v>
      </c>
      <c r="B312" s="679"/>
      <c r="C312" s="679"/>
      <c r="D312" s="679"/>
      <c r="E312" s="679"/>
      <c r="F312" s="679"/>
      <c r="G312" s="679"/>
      <c r="H312" s="679"/>
      <c r="I312" s="679"/>
      <c r="J312" s="679"/>
      <c r="K312" s="679"/>
      <c r="L312" s="679"/>
      <c r="M312" s="679"/>
      <c r="N312" s="679"/>
      <c r="O312" s="679"/>
      <c r="P312" s="679"/>
      <c r="Q312" s="679"/>
      <c r="R312" s="679"/>
      <c r="S312" s="679"/>
      <c r="T312" s="679"/>
      <c r="U312" s="679"/>
      <c r="V312" s="679"/>
      <c r="W312" s="679"/>
      <c r="X312" s="679"/>
      <c r="Y312" s="679"/>
      <c r="Z312" s="679"/>
      <c r="AA312" s="660"/>
      <c r="AB312" s="660"/>
      <c r="AC312" s="660"/>
    </row>
    <row r="313" spans="1:68" ht="14.25" customHeight="1" x14ac:dyDescent="0.25">
      <c r="A313" s="683" t="s">
        <v>97</v>
      </c>
      <c r="B313" s="679"/>
      <c r="C313" s="679"/>
      <c r="D313" s="679"/>
      <c r="E313" s="679"/>
      <c r="F313" s="679"/>
      <c r="G313" s="679"/>
      <c r="H313" s="679"/>
      <c r="I313" s="679"/>
      <c r="J313" s="679"/>
      <c r="K313" s="679"/>
      <c r="L313" s="679"/>
      <c r="M313" s="679"/>
      <c r="N313" s="679"/>
      <c r="O313" s="679"/>
      <c r="P313" s="679"/>
      <c r="Q313" s="679"/>
      <c r="R313" s="679"/>
      <c r="S313" s="679"/>
      <c r="T313" s="679"/>
      <c r="U313" s="679"/>
      <c r="V313" s="679"/>
      <c r="W313" s="679"/>
      <c r="X313" s="679"/>
      <c r="Y313" s="679"/>
      <c r="Z313" s="679"/>
      <c r="AA313" s="661"/>
      <c r="AB313" s="661"/>
      <c r="AC313" s="661"/>
    </row>
    <row r="314" spans="1:68" ht="27" customHeight="1" x14ac:dyDescent="0.25">
      <c r="A314" s="54" t="s">
        <v>482</v>
      </c>
      <c r="B314" s="54" t="s">
        <v>483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7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68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484</v>
      </c>
      <c r="AB314" s="57"/>
      <c r="AC314" s="357" t="s">
        <v>485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8"/>
      <c r="B315" s="679"/>
      <c r="C315" s="679"/>
      <c r="D315" s="679"/>
      <c r="E315" s="679"/>
      <c r="F315" s="679"/>
      <c r="G315" s="679"/>
      <c r="H315" s="679"/>
      <c r="I315" s="679"/>
      <c r="J315" s="679"/>
      <c r="K315" s="679"/>
      <c r="L315" s="679"/>
      <c r="M315" s="679"/>
      <c r="N315" s="679"/>
      <c r="O315" s="680"/>
      <c r="P315" s="686" t="s">
        <v>87</v>
      </c>
      <c r="Q315" s="687"/>
      <c r="R315" s="687"/>
      <c r="S315" s="687"/>
      <c r="T315" s="687"/>
      <c r="U315" s="687"/>
      <c r="V315" s="688"/>
      <c r="W315" s="37" t="s">
        <v>88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x14ac:dyDescent="0.2">
      <c r="A316" s="679"/>
      <c r="B316" s="679"/>
      <c r="C316" s="679"/>
      <c r="D316" s="679"/>
      <c r="E316" s="679"/>
      <c r="F316" s="679"/>
      <c r="G316" s="679"/>
      <c r="H316" s="679"/>
      <c r="I316" s="679"/>
      <c r="J316" s="679"/>
      <c r="K316" s="679"/>
      <c r="L316" s="679"/>
      <c r="M316" s="679"/>
      <c r="N316" s="679"/>
      <c r="O316" s="680"/>
      <c r="P316" s="686" t="s">
        <v>87</v>
      </c>
      <c r="Q316" s="687"/>
      <c r="R316" s="687"/>
      <c r="S316" s="687"/>
      <c r="T316" s="687"/>
      <c r="U316" s="687"/>
      <c r="V316" s="688"/>
      <c r="W316" s="37" t="s">
        <v>68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customHeight="1" x14ac:dyDescent="0.25">
      <c r="A317" s="718" t="s">
        <v>486</v>
      </c>
      <c r="B317" s="679"/>
      <c r="C317" s="679"/>
      <c r="D317" s="679"/>
      <c r="E317" s="679"/>
      <c r="F317" s="679"/>
      <c r="G317" s="679"/>
      <c r="H317" s="679"/>
      <c r="I317" s="679"/>
      <c r="J317" s="679"/>
      <c r="K317" s="679"/>
      <c r="L317" s="679"/>
      <c r="M317" s="679"/>
      <c r="N317" s="679"/>
      <c r="O317" s="679"/>
      <c r="P317" s="679"/>
      <c r="Q317" s="679"/>
      <c r="R317" s="679"/>
      <c r="S317" s="679"/>
      <c r="T317" s="679"/>
      <c r="U317" s="679"/>
      <c r="V317" s="679"/>
      <c r="W317" s="679"/>
      <c r="X317" s="679"/>
      <c r="Y317" s="679"/>
      <c r="Z317" s="679"/>
      <c r="AA317" s="660"/>
      <c r="AB317" s="660"/>
      <c r="AC317" s="660"/>
    </row>
    <row r="318" spans="1:68" ht="14.25" customHeight="1" x14ac:dyDescent="0.25">
      <c r="A318" s="683" t="s">
        <v>97</v>
      </c>
      <c r="B318" s="679"/>
      <c r="C318" s="679"/>
      <c r="D318" s="679"/>
      <c r="E318" s="679"/>
      <c r="F318" s="679"/>
      <c r="G318" s="679"/>
      <c r="H318" s="679"/>
      <c r="I318" s="679"/>
      <c r="J318" s="679"/>
      <c r="K318" s="679"/>
      <c r="L318" s="679"/>
      <c r="M318" s="679"/>
      <c r="N318" s="679"/>
      <c r="O318" s="679"/>
      <c r="P318" s="679"/>
      <c r="Q318" s="679"/>
      <c r="R318" s="679"/>
      <c r="S318" s="679"/>
      <c r="T318" s="679"/>
      <c r="U318" s="679"/>
      <c r="V318" s="679"/>
      <c r="W318" s="679"/>
      <c r="X318" s="679"/>
      <c r="Y318" s="679"/>
      <c r="Z318" s="679"/>
      <c r="AA318" s="661"/>
      <c r="AB318" s="661"/>
      <c r="AC318" s="661"/>
    </row>
    <row r="319" spans="1:68" ht="27" customHeight="1" x14ac:dyDescent="0.25">
      <c r="A319" s="54" t="s">
        <v>487</v>
      </c>
      <c r="B319" s="54" t="s">
        <v>488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68</v>
      </c>
      <c r="X319" s="665">
        <v>12</v>
      </c>
      <c r="Y319" s="666">
        <f t="shared" ref="Y319:Y324" si="53">IFERROR(IF(X319="",0,CEILING((X319/$H319),1)*$H319),"")</f>
        <v>21.6</v>
      </c>
      <c r="Z319" s="36">
        <f>IFERROR(IF(Y319=0,"",ROUNDUP(Y319/H319,0)*0.01898),"")</f>
        <v>3.7960000000000001E-2</v>
      </c>
      <c r="AA319" s="56"/>
      <c r="AB319" s="57"/>
      <c r="AC319" s="359" t="s">
        <v>489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12.483333333333333</v>
      </c>
      <c r="BN319" s="64">
        <f t="shared" ref="BN319:BN324" si="55">IFERROR(Y319*I319/H319,"0")</f>
        <v>22.47</v>
      </c>
      <c r="BO319" s="64">
        <f t="shared" ref="BO319:BO324" si="56">IFERROR(1/J319*(X319/H319),"0")</f>
        <v>1.7361111111111108E-2</v>
      </c>
      <c r="BP319" s="64">
        <f t="shared" ref="BP319:BP324" si="57">IFERROR(1/J319*(Y319/H319),"0")</f>
        <v>3.125E-2</v>
      </c>
    </row>
    <row r="320" spans="1:68" ht="27" customHeight="1" x14ac:dyDescent="0.25">
      <c r="A320" s="54" t="s">
        <v>490</v>
      </c>
      <c r="B320" s="54" t="s">
        <v>491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68</v>
      </c>
      <c r="X320" s="665">
        <v>0</v>
      </c>
      <c r="Y320" s="666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492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490</v>
      </c>
      <c r="B321" s="54" t="s">
        <v>493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100</v>
      </c>
      <c r="L321" s="32"/>
      <c r="M321" s="33" t="s">
        <v>384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68</v>
      </c>
      <c r="X321" s="665">
        <v>0</v>
      </c>
      <c r="Y321" s="666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494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495</v>
      </c>
      <c r="B322" s="54" t="s">
        <v>496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7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68</v>
      </c>
      <c r="X322" s="665">
        <v>0</v>
      </c>
      <c r="Y322" s="666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497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498</v>
      </c>
      <c r="B323" s="54" t="s">
        <v>499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68</v>
      </c>
      <c r="X323" s="665">
        <v>0</v>
      </c>
      <c r="Y323" s="666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500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501</v>
      </c>
      <c r="B324" s="54" t="s">
        <v>502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68</v>
      </c>
      <c r="X324" s="665">
        <v>0</v>
      </c>
      <c r="Y324" s="666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492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8"/>
      <c r="B325" s="679"/>
      <c r="C325" s="679"/>
      <c r="D325" s="679"/>
      <c r="E325" s="679"/>
      <c r="F325" s="679"/>
      <c r="G325" s="679"/>
      <c r="H325" s="679"/>
      <c r="I325" s="679"/>
      <c r="J325" s="679"/>
      <c r="K325" s="679"/>
      <c r="L325" s="679"/>
      <c r="M325" s="679"/>
      <c r="N325" s="679"/>
      <c r="O325" s="680"/>
      <c r="P325" s="686" t="s">
        <v>87</v>
      </c>
      <c r="Q325" s="687"/>
      <c r="R325" s="687"/>
      <c r="S325" s="687"/>
      <c r="T325" s="687"/>
      <c r="U325" s="687"/>
      <c r="V325" s="688"/>
      <c r="W325" s="37" t="s">
        <v>88</v>
      </c>
      <c r="X325" s="667">
        <f>IFERROR(X319/H319,"0")+IFERROR(X320/H320,"0")+IFERROR(X321/H321,"0")+IFERROR(X322/H322,"0")+IFERROR(X323/H323,"0")+IFERROR(X324/H324,"0")</f>
        <v>1.1111111111111109</v>
      </c>
      <c r="Y325" s="667">
        <f>IFERROR(Y319/H319,"0")+IFERROR(Y320/H320,"0")+IFERROR(Y321/H321,"0")+IFERROR(Y322/H322,"0")+IFERROR(Y323/H323,"0")+IFERROR(Y324/H324,"0")</f>
        <v>2</v>
      </c>
      <c r="Z325" s="667">
        <f>IFERROR(IF(Z319="",0,Z319),"0")+IFERROR(IF(Z320="",0,Z320),"0")+IFERROR(IF(Z321="",0,Z321),"0")+IFERROR(IF(Z322="",0,Z322),"0")+IFERROR(IF(Z323="",0,Z323),"0")+IFERROR(IF(Z324="",0,Z324),"0")</f>
        <v>3.7960000000000001E-2</v>
      </c>
      <c r="AA325" s="668"/>
      <c r="AB325" s="668"/>
      <c r="AC325" s="668"/>
    </row>
    <row r="326" spans="1:68" x14ac:dyDescent="0.2">
      <c r="A326" s="679"/>
      <c r="B326" s="679"/>
      <c r="C326" s="679"/>
      <c r="D326" s="679"/>
      <c r="E326" s="679"/>
      <c r="F326" s="679"/>
      <c r="G326" s="679"/>
      <c r="H326" s="679"/>
      <c r="I326" s="679"/>
      <c r="J326" s="679"/>
      <c r="K326" s="679"/>
      <c r="L326" s="679"/>
      <c r="M326" s="679"/>
      <c r="N326" s="679"/>
      <c r="O326" s="680"/>
      <c r="P326" s="686" t="s">
        <v>87</v>
      </c>
      <c r="Q326" s="687"/>
      <c r="R326" s="687"/>
      <c r="S326" s="687"/>
      <c r="T326" s="687"/>
      <c r="U326" s="687"/>
      <c r="V326" s="688"/>
      <c r="W326" s="37" t="s">
        <v>68</v>
      </c>
      <c r="X326" s="667">
        <f>IFERROR(SUM(X319:X324),"0")</f>
        <v>12</v>
      </c>
      <c r="Y326" s="667">
        <f>IFERROR(SUM(Y319:Y324),"0")</f>
        <v>21.6</v>
      </c>
      <c r="Z326" s="37"/>
      <c r="AA326" s="668"/>
      <c r="AB326" s="668"/>
      <c r="AC326" s="668"/>
    </row>
    <row r="327" spans="1:68" ht="14.25" customHeight="1" x14ac:dyDescent="0.25">
      <c r="A327" s="683" t="s">
        <v>144</v>
      </c>
      <c r="B327" s="679"/>
      <c r="C327" s="679"/>
      <c r="D327" s="679"/>
      <c r="E327" s="679"/>
      <c r="F327" s="679"/>
      <c r="G327" s="679"/>
      <c r="H327" s="679"/>
      <c r="I327" s="679"/>
      <c r="J327" s="679"/>
      <c r="K327" s="679"/>
      <c r="L327" s="679"/>
      <c r="M327" s="679"/>
      <c r="N327" s="679"/>
      <c r="O327" s="679"/>
      <c r="P327" s="679"/>
      <c r="Q327" s="679"/>
      <c r="R327" s="679"/>
      <c r="S327" s="679"/>
      <c r="T327" s="679"/>
      <c r="U327" s="679"/>
      <c r="V327" s="679"/>
      <c r="W327" s="679"/>
      <c r="X327" s="679"/>
      <c r="Y327" s="679"/>
      <c r="Z327" s="679"/>
      <c r="AA327" s="661"/>
      <c r="AB327" s="661"/>
      <c r="AC327" s="661"/>
    </row>
    <row r="328" spans="1:68" ht="27" customHeight="1" x14ac:dyDescent="0.25">
      <c r="A328" s="54" t="s">
        <v>503</v>
      </c>
      <c r="B328" s="54" t="s">
        <v>504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68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505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506</v>
      </c>
      <c r="B329" s="54" t="s">
        <v>507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68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508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509</v>
      </c>
      <c r="B330" s="54" t="s">
        <v>510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68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511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512</v>
      </c>
      <c r="B331" s="54" t="s">
        <v>513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68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508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8"/>
      <c r="B332" s="679"/>
      <c r="C332" s="679"/>
      <c r="D332" s="679"/>
      <c r="E332" s="679"/>
      <c r="F332" s="679"/>
      <c r="G332" s="679"/>
      <c r="H332" s="679"/>
      <c r="I332" s="679"/>
      <c r="J332" s="679"/>
      <c r="K332" s="679"/>
      <c r="L332" s="679"/>
      <c r="M332" s="679"/>
      <c r="N332" s="679"/>
      <c r="O332" s="680"/>
      <c r="P332" s="686" t="s">
        <v>87</v>
      </c>
      <c r="Q332" s="687"/>
      <c r="R332" s="687"/>
      <c r="S332" s="687"/>
      <c r="T332" s="687"/>
      <c r="U332" s="687"/>
      <c r="V332" s="688"/>
      <c r="W332" s="37" t="s">
        <v>88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x14ac:dyDescent="0.2">
      <c r="A333" s="679"/>
      <c r="B333" s="679"/>
      <c r="C333" s="679"/>
      <c r="D333" s="679"/>
      <c r="E333" s="679"/>
      <c r="F333" s="679"/>
      <c r="G333" s="679"/>
      <c r="H333" s="679"/>
      <c r="I333" s="679"/>
      <c r="J333" s="679"/>
      <c r="K333" s="679"/>
      <c r="L333" s="679"/>
      <c r="M333" s="679"/>
      <c r="N333" s="679"/>
      <c r="O333" s="680"/>
      <c r="P333" s="686" t="s">
        <v>87</v>
      </c>
      <c r="Q333" s="687"/>
      <c r="R333" s="687"/>
      <c r="S333" s="687"/>
      <c r="T333" s="687"/>
      <c r="U333" s="687"/>
      <c r="V333" s="688"/>
      <c r="W333" s="37" t="s">
        <v>68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customHeight="1" x14ac:dyDescent="0.25">
      <c r="A334" s="683" t="s">
        <v>63</v>
      </c>
      <c r="B334" s="679"/>
      <c r="C334" s="679"/>
      <c r="D334" s="679"/>
      <c r="E334" s="679"/>
      <c r="F334" s="679"/>
      <c r="G334" s="679"/>
      <c r="H334" s="679"/>
      <c r="I334" s="679"/>
      <c r="J334" s="679"/>
      <c r="K334" s="679"/>
      <c r="L334" s="679"/>
      <c r="M334" s="679"/>
      <c r="N334" s="679"/>
      <c r="O334" s="679"/>
      <c r="P334" s="679"/>
      <c r="Q334" s="679"/>
      <c r="R334" s="679"/>
      <c r="S334" s="679"/>
      <c r="T334" s="679"/>
      <c r="U334" s="679"/>
      <c r="V334" s="679"/>
      <c r="W334" s="679"/>
      <c r="X334" s="679"/>
      <c r="Y334" s="679"/>
      <c r="Z334" s="679"/>
      <c r="AA334" s="661"/>
      <c r="AB334" s="661"/>
      <c r="AC334" s="661"/>
    </row>
    <row r="335" spans="1:68" ht="27" customHeight="1" x14ac:dyDescent="0.25">
      <c r="A335" s="54" t="s">
        <v>514</v>
      </c>
      <c r="B335" s="54" t="s">
        <v>515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68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516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517</v>
      </c>
      <c r="B336" s="54" t="s">
        <v>518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68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519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520</v>
      </c>
      <c r="B337" s="54" t="s">
        <v>521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68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522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523</v>
      </c>
      <c r="B338" s="54" t="s">
        <v>524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5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68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525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526</v>
      </c>
      <c r="B339" s="54" t="s">
        <v>527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70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68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528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8"/>
      <c r="B340" s="679"/>
      <c r="C340" s="679"/>
      <c r="D340" s="679"/>
      <c r="E340" s="679"/>
      <c r="F340" s="679"/>
      <c r="G340" s="679"/>
      <c r="H340" s="679"/>
      <c r="I340" s="679"/>
      <c r="J340" s="679"/>
      <c r="K340" s="679"/>
      <c r="L340" s="679"/>
      <c r="M340" s="679"/>
      <c r="N340" s="679"/>
      <c r="O340" s="680"/>
      <c r="P340" s="686" t="s">
        <v>87</v>
      </c>
      <c r="Q340" s="687"/>
      <c r="R340" s="687"/>
      <c r="S340" s="687"/>
      <c r="T340" s="687"/>
      <c r="U340" s="687"/>
      <c r="V340" s="688"/>
      <c r="W340" s="37" t="s">
        <v>88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x14ac:dyDescent="0.2">
      <c r="A341" s="679"/>
      <c r="B341" s="679"/>
      <c r="C341" s="679"/>
      <c r="D341" s="679"/>
      <c r="E341" s="679"/>
      <c r="F341" s="679"/>
      <c r="G341" s="679"/>
      <c r="H341" s="679"/>
      <c r="I341" s="679"/>
      <c r="J341" s="679"/>
      <c r="K341" s="679"/>
      <c r="L341" s="679"/>
      <c r="M341" s="679"/>
      <c r="N341" s="679"/>
      <c r="O341" s="680"/>
      <c r="P341" s="686" t="s">
        <v>87</v>
      </c>
      <c r="Q341" s="687"/>
      <c r="R341" s="687"/>
      <c r="S341" s="687"/>
      <c r="T341" s="687"/>
      <c r="U341" s="687"/>
      <c r="V341" s="688"/>
      <c r="W341" s="37" t="s">
        <v>68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customHeight="1" x14ac:dyDescent="0.25">
      <c r="A342" s="683" t="s">
        <v>170</v>
      </c>
      <c r="B342" s="679"/>
      <c r="C342" s="679"/>
      <c r="D342" s="679"/>
      <c r="E342" s="679"/>
      <c r="F342" s="679"/>
      <c r="G342" s="679"/>
      <c r="H342" s="679"/>
      <c r="I342" s="679"/>
      <c r="J342" s="679"/>
      <c r="K342" s="679"/>
      <c r="L342" s="679"/>
      <c r="M342" s="679"/>
      <c r="N342" s="679"/>
      <c r="O342" s="679"/>
      <c r="P342" s="679"/>
      <c r="Q342" s="679"/>
      <c r="R342" s="679"/>
      <c r="S342" s="679"/>
      <c r="T342" s="679"/>
      <c r="U342" s="679"/>
      <c r="V342" s="679"/>
      <c r="W342" s="679"/>
      <c r="X342" s="679"/>
      <c r="Y342" s="679"/>
      <c r="Z342" s="679"/>
      <c r="AA342" s="661"/>
      <c r="AB342" s="661"/>
      <c r="AC342" s="661"/>
    </row>
    <row r="343" spans="1:68" ht="27" customHeight="1" x14ac:dyDescent="0.25">
      <c r="A343" s="54" t="s">
        <v>529</v>
      </c>
      <c r="B343" s="54" t="s">
        <v>530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68</v>
      </c>
      <c r="X343" s="665">
        <v>0</v>
      </c>
      <c r="Y343" s="66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531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532</v>
      </c>
      <c r="B344" s="54" t="s">
        <v>533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68</v>
      </c>
      <c r="X344" s="665">
        <v>0</v>
      </c>
      <c r="Y344" s="666">
        <f>IFERROR(IF(X344="",0,CEILING((X344/$H344),1)*$H344),"")</f>
        <v>0</v>
      </c>
      <c r="Z344" s="36" t="str">
        <f>IFERROR(IF(Y344=0,"",ROUNDUP(Y344/H344,0)*0.01898),"")</f>
        <v/>
      </c>
      <c r="AA344" s="56"/>
      <c r="AB344" s="57"/>
      <c r="AC344" s="391" t="s">
        <v>534</v>
      </c>
      <c r="AG344" s="64"/>
      <c r="AJ344" s="68"/>
      <c r="AK344" s="68">
        <v>0</v>
      </c>
      <c r="BB344" s="392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16.5" customHeight="1" x14ac:dyDescent="0.25">
      <c r="A345" s="54" t="s">
        <v>535</v>
      </c>
      <c r="B345" s="54" t="s">
        <v>536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68</v>
      </c>
      <c r="X345" s="665">
        <v>9</v>
      </c>
      <c r="Y345" s="666">
        <f>IFERROR(IF(X345="",0,CEILING((X345/$H345),1)*$H345),"")</f>
        <v>16.8</v>
      </c>
      <c r="Z345" s="36">
        <f>IFERROR(IF(Y345=0,"",ROUNDUP(Y345/H345,0)*0.01898),"")</f>
        <v>3.7960000000000001E-2</v>
      </c>
      <c r="AA345" s="56"/>
      <c r="AB345" s="57"/>
      <c r="AC345" s="393" t="s">
        <v>537</v>
      </c>
      <c r="AG345" s="64"/>
      <c r="AJ345" s="68"/>
      <c r="AK345" s="68">
        <v>0</v>
      </c>
      <c r="BB345" s="394" t="s">
        <v>1</v>
      </c>
      <c r="BM345" s="64">
        <f>IFERROR(X345*I345/H345,"0")</f>
        <v>9.5560714285714283</v>
      </c>
      <c r="BN345" s="64">
        <f>IFERROR(Y345*I345/H345,"0")</f>
        <v>17.838000000000001</v>
      </c>
      <c r="BO345" s="64">
        <f>IFERROR(1/J345*(X345/H345),"0")</f>
        <v>1.6741071428571428E-2</v>
      </c>
      <c r="BP345" s="64">
        <f>IFERROR(1/J345*(Y345/H345),"0")</f>
        <v>3.125E-2</v>
      </c>
    </row>
    <row r="346" spans="1:68" x14ac:dyDescent="0.2">
      <c r="A346" s="678"/>
      <c r="B346" s="679"/>
      <c r="C346" s="679"/>
      <c r="D346" s="679"/>
      <c r="E346" s="679"/>
      <c r="F346" s="679"/>
      <c r="G346" s="679"/>
      <c r="H346" s="679"/>
      <c r="I346" s="679"/>
      <c r="J346" s="679"/>
      <c r="K346" s="679"/>
      <c r="L346" s="679"/>
      <c r="M346" s="679"/>
      <c r="N346" s="679"/>
      <c r="O346" s="680"/>
      <c r="P346" s="686" t="s">
        <v>87</v>
      </c>
      <c r="Q346" s="687"/>
      <c r="R346" s="687"/>
      <c r="S346" s="687"/>
      <c r="T346" s="687"/>
      <c r="U346" s="687"/>
      <c r="V346" s="688"/>
      <c r="W346" s="37" t="s">
        <v>88</v>
      </c>
      <c r="X346" s="667">
        <f>IFERROR(X343/H343,"0")+IFERROR(X344/H344,"0")+IFERROR(X345/H345,"0")</f>
        <v>1.0714285714285714</v>
      </c>
      <c r="Y346" s="667">
        <f>IFERROR(Y343/H343,"0")+IFERROR(Y344/H344,"0")+IFERROR(Y345/H345,"0")</f>
        <v>2</v>
      </c>
      <c r="Z346" s="667">
        <f>IFERROR(IF(Z343="",0,Z343),"0")+IFERROR(IF(Z344="",0,Z344),"0")+IFERROR(IF(Z345="",0,Z345),"0")</f>
        <v>3.7960000000000001E-2</v>
      </c>
      <c r="AA346" s="668"/>
      <c r="AB346" s="668"/>
      <c r="AC346" s="668"/>
    </row>
    <row r="347" spans="1:68" x14ac:dyDescent="0.2">
      <c r="A347" s="679"/>
      <c r="B347" s="679"/>
      <c r="C347" s="679"/>
      <c r="D347" s="679"/>
      <c r="E347" s="679"/>
      <c r="F347" s="679"/>
      <c r="G347" s="679"/>
      <c r="H347" s="679"/>
      <c r="I347" s="679"/>
      <c r="J347" s="679"/>
      <c r="K347" s="679"/>
      <c r="L347" s="679"/>
      <c r="M347" s="679"/>
      <c r="N347" s="679"/>
      <c r="O347" s="680"/>
      <c r="P347" s="686" t="s">
        <v>87</v>
      </c>
      <c r="Q347" s="687"/>
      <c r="R347" s="687"/>
      <c r="S347" s="687"/>
      <c r="T347" s="687"/>
      <c r="U347" s="687"/>
      <c r="V347" s="688"/>
      <c r="W347" s="37" t="s">
        <v>68</v>
      </c>
      <c r="X347" s="667">
        <f>IFERROR(SUM(X343:X345),"0")</f>
        <v>9</v>
      </c>
      <c r="Y347" s="667">
        <f>IFERROR(SUM(Y343:Y345),"0")</f>
        <v>16.8</v>
      </c>
      <c r="Z347" s="37"/>
      <c r="AA347" s="668"/>
      <c r="AB347" s="668"/>
      <c r="AC347" s="668"/>
    </row>
    <row r="348" spans="1:68" ht="14.25" customHeight="1" x14ac:dyDescent="0.25">
      <c r="A348" s="683" t="s">
        <v>89</v>
      </c>
      <c r="B348" s="679"/>
      <c r="C348" s="679"/>
      <c r="D348" s="679"/>
      <c r="E348" s="679"/>
      <c r="F348" s="679"/>
      <c r="G348" s="679"/>
      <c r="H348" s="679"/>
      <c r="I348" s="679"/>
      <c r="J348" s="679"/>
      <c r="K348" s="679"/>
      <c r="L348" s="679"/>
      <c r="M348" s="679"/>
      <c r="N348" s="679"/>
      <c r="O348" s="679"/>
      <c r="P348" s="679"/>
      <c r="Q348" s="679"/>
      <c r="R348" s="679"/>
      <c r="S348" s="679"/>
      <c r="T348" s="679"/>
      <c r="U348" s="679"/>
      <c r="V348" s="679"/>
      <c r="W348" s="679"/>
      <c r="X348" s="679"/>
      <c r="Y348" s="679"/>
      <c r="Z348" s="679"/>
      <c r="AA348" s="661"/>
      <c r="AB348" s="661"/>
      <c r="AC348" s="661"/>
    </row>
    <row r="349" spans="1:68" ht="27" customHeight="1" x14ac:dyDescent="0.25">
      <c r="A349" s="54" t="s">
        <v>538</v>
      </c>
      <c r="B349" s="54" t="s">
        <v>539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7" t="s">
        <v>540</v>
      </c>
      <c r="Q349" s="672"/>
      <c r="R349" s="672"/>
      <c r="S349" s="672"/>
      <c r="T349" s="673"/>
      <c r="U349" s="34"/>
      <c r="V349" s="34"/>
      <c r="W349" s="35" t="s">
        <v>68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541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542</v>
      </c>
      <c r="B350" s="54" t="s">
        <v>543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90" t="s">
        <v>544</v>
      </c>
      <c r="Q350" s="672"/>
      <c r="R350" s="672"/>
      <c r="S350" s="672"/>
      <c r="T350" s="673"/>
      <c r="U350" s="34"/>
      <c r="V350" s="34"/>
      <c r="W350" s="35" t="s">
        <v>68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545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546</v>
      </c>
      <c r="B351" s="54" t="s">
        <v>547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68</v>
      </c>
      <c r="X351" s="665">
        <v>0</v>
      </c>
      <c r="Y351" s="666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548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549</v>
      </c>
      <c r="B352" s="54" t="s">
        <v>550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68</v>
      </c>
      <c r="X352" s="665">
        <v>4</v>
      </c>
      <c r="Y352" s="666">
        <f>IFERROR(IF(X352="",0,CEILING((X352/$H352),1)*$H352),"")</f>
        <v>5.0999999999999996</v>
      </c>
      <c r="Z352" s="36">
        <f>IFERROR(IF(Y352=0,"",ROUNDUP(Y352/H352,0)*0.00651),"")</f>
        <v>1.302E-2</v>
      </c>
      <c r="AA352" s="56"/>
      <c r="AB352" s="57"/>
      <c r="AC352" s="401" t="s">
        <v>545</v>
      </c>
      <c r="AG352" s="64"/>
      <c r="AJ352" s="68"/>
      <c r="AK352" s="68">
        <v>0</v>
      </c>
      <c r="BB352" s="402" t="s">
        <v>1</v>
      </c>
      <c r="BM352" s="64">
        <f>IFERROR(X352*I352/H352,"0")</f>
        <v>4.5176470588235293</v>
      </c>
      <c r="BN352" s="64">
        <f>IFERROR(Y352*I352/H352,"0")</f>
        <v>5.76</v>
      </c>
      <c r="BO352" s="64">
        <f>IFERROR(1/J352*(X352/H352),"0")</f>
        <v>8.6188321482439153E-3</v>
      </c>
      <c r="BP352" s="64">
        <f>IFERROR(1/J352*(Y352/H352),"0")</f>
        <v>1.098901098901099E-2</v>
      </c>
    </row>
    <row r="353" spans="1:68" x14ac:dyDescent="0.2">
      <c r="A353" s="678"/>
      <c r="B353" s="679"/>
      <c r="C353" s="679"/>
      <c r="D353" s="679"/>
      <c r="E353" s="679"/>
      <c r="F353" s="679"/>
      <c r="G353" s="679"/>
      <c r="H353" s="679"/>
      <c r="I353" s="679"/>
      <c r="J353" s="679"/>
      <c r="K353" s="679"/>
      <c r="L353" s="679"/>
      <c r="M353" s="679"/>
      <c r="N353" s="679"/>
      <c r="O353" s="680"/>
      <c r="P353" s="686" t="s">
        <v>87</v>
      </c>
      <c r="Q353" s="687"/>
      <c r="R353" s="687"/>
      <c r="S353" s="687"/>
      <c r="T353" s="687"/>
      <c r="U353" s="687"/>
      <c r="V353" s="688"/>
      <c r="W353" s="37" t="s">
        <v>88</v>
      </c>
      <c r="X353" s="667">
        <f>IFERROR(X349/H349,"0")+IFERROR(X350/H350,"0")+IFERROR(X351/H351,"0")+IFERROR(X352/H352,"0")</f>
        <v>1.5686274509803924</v>
      </c>
      <c r="Y353" s="667">
        <f>IFERROR(Y349/H349,"0")+IFERROR(Y350/H350,"0")+IFERROR(Y351/H351,"0")+IFERROR(Y352/H352,"0")</f>
        <v>2</v>
      </c>
      <c r="Z353" s="667">
        <f>IFERROR(IF(Z349="",0,Z349),"0")+IFERROR(IF(Z350="",0,Z350),"0")+IFERROR(IF(Z351="",0,Z351),"0")+IFERROR(IF(Z352="",0,Z352),"0")</f>
        <v>1.302E-2</v>
      </c>
      <c r="AA353" s="668"/>
      <c r="AB353" s="668"/>
      <c r="AC353" s="668"/>
    </row>
    <row r="354" spans="1:68" x14ac:dyDescent="0.2">
      <c r="A354" s="679"/>
      <c r="B354" s="679"/>
      <c r="C354" s="679"/>
      <c r="D354" s="679"/>
      <c r="E354" s="679"/>
      <c r="F354" s="679"/>
      <c r="G354" s="679"/>
      <c r="H354" s="679"/>
      <c r="I354" s="679"/>
      <c r="J354" s="679"/>
      <c r="K354" s="679"/>
      <c r="L354" s="679"/>
      <c r="M354" s="679"/>
      <c r="N354" s="679"/>
      <c r="O354" s="680"/>
      <c r="P354" s="686" t="s">
        <v>87</v>
      </c>
      <c r="Q354" s="687"/>
      <c r="R354" s="687"/>
      <c r="S354" s="687"/>
      <c r="T354" s="687"/>
      <c r="U354" s="687"/>
      <c r="V354" s="688"/>
      <c r="W354" s="37" t="s">
        <v>68</v>
      </c>
      <c r="X354" s="667">
        <f>IFERROR(SUM(X349:X352),"0")</f>
        <v>4</v>
      </c>
      <c r="Y354" s="667">
        <f>IFERROR(SUM(Y349:Y352),"0")</f>
        <v>5.0999999999999996</v>
      </c>
      <c r="Z354" s="37"/>
      <c r="AA354" s="668"/>
      <c r="AB354" s="668"/>
      <c r="AC354" s="668"/>
    </row>
    <row r="355" spans="1:68" ht="14.25" customHeight="1" x14ac:dyDescent="0.25">
      <c r="A355" s="683" t="s">
        <v>551</v>
      </c>
      <c r="B355" s="679"/>
      <c r="C355" s="679"/>
      <c r="D355" s="679"/>
      <c r="E355" s="679"/>
      <c r="F355" s="679"/>
      <c r="G355" s="679"/>
      <c r="H355" s="679"/>
      <c r="I355" s="679"/>
      <c r="J355" s="679"/>
      <c r="K355" s="679"/>
      <c r="L355" s="679"/>
      <c r="M355" s="679"/>
      <c r="N355" s="679"/>
      <c r="O355" s="679"/>
      <c r="P355" s="679"/>
      <c r="Q355" s="679"/>
      <c r="R355" s="679"/>
      <c r="S355" s="679"/>
      <c r="T355" s="679"/>
      <c r="U355" s="679"/>
      <c r="V355" s="679"/>
      <c r="W355" s="679"/>
      <c r="X355" s="679"/>
      <c r="Y355" s="679"/>
      <c r="Z355" s="679"/>
      <c r="AA355" s="661"/>
      <c r="AB355" s="661"/>
      <c r="AC355" s="661"/>
    </row>
    <row r="356" spans="1:68" ht="16.5" customHeight="1" x14ac:dyDescent="0.25">
      <c r="A356" s="54" t="s">
        <v>552</v>
      </c>
      <c r="B356" s="54" t="s">
        <v>553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66</v>
      </c>
      <c r="L356" s="32"/>
      <c r="M356" s="33" t="s">
        <v>554</v>
      </c>
      <c r="N356" s="33"/>
      <c r="O356" s="32">
        <v>730</v>
      </c>
      <c r="P356" s="8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68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555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556</v>
      </c>
      <c r="B357" s="54" t="s">
        <v>557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66</v>
      </c>
      <c r="L357" s="32"/>
      <c r="M357" s="33" t="s">
        <v>554</v>
      </c>
      <c r="N357" s="33"/>
      <c r="O357" s="32">
        <v>730</v>
      </c>
      <c r="P357" s="101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68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555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558</v>
      </c>
      <c r="B358" s="54" t="s">
        <v>559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66</v>
      </c>
      <c r="L358" s="32"/>
      <c r="M358" s="33" t="s">
        <v>554</v>
      </c>
      <c r="N358" s="33"/>
      <c r="O358" s="32">
        <v>730</v>
      </c>
      <c r="P358" s="8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68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555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8"/>
      <c r="B359" s="679"/>
      <c r="C359" s="679"/>
      <c r="D359" s="679"/>
      <c r="E359" s="679"/>
      <c r="F359" s="679"/>
      <c r="G359" s="679"/>
      <c r="H359" s="679"/>
      <c r="I359" s="679"/>
      <c r="J359" s="679"/>
      <c r="K359" s="679"/>
      <c r="L359" s="679"/>
      <c r="M359" s="679"/>
      <c r="N359" s="679"/>
      <c r="O359" s="680"/>
      <c r="P359" s="686" t="s">
        <v>87</v>
      </c>
      <c r="Q359" s="687"/>
      <c r="R359" s="687"/>
      <c r="S359" s="687"/>
      <c r="T359" s="687"/>
      <c r="U359" s="687"/>
      <c r="V359" s="688"/>
      <c r="W359" s="37" t="s">
        <v>88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x14ac:dyDescent="0.2">
      <c r="A360" s="679"/>
      <c r="B360" s="679"/>
      <c r="C360" s="679"/>
      <c r="D360" s="679"/>
      <c r="E360" s="679"/>
      <c r="F360" s="679"/>
      <c r="G360" s="679"/>
      <c r="H360" s="679"/>
      <c r="I360" s="679"/>
      <c r="J360" s="679"/>
      <c r="K360" s="679"/>
      <c r="L360" s="679"/>
      <c r="M360" s="679"/>
      <c r="N360" s="679"/>
      <c r="O360" s="680"/>
      <c r="P360" s="686" t="s">
        <v>87</v>
      </c>
      <c r="Q360" s="687"/>
      <c r="R360" s="687"/>
      <c r="S360" s="687"/>
      <c r="T360" s="687"/>
      <c r="U360" s="687"/>
      <c r="V360" s="688"/>
      <c r="W360" s="37" t="s">
        <v>68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customHeight="1" x14ac:dyDescent="0.25">
      <c r="A361" s="718" t="s">
        <v>560</v>
      </c>
      <c r="B361" s="679"/>
      <c r="C361" s="679"/>
      <c r="D361" s="679"/>
      <c r="E361" s="679"/>
      <c r="F361" s="679"/>
      <c r="G361" s="679"/>
      <c r="H361" s="679"/>
      <c r="I361" s="679"/>
      <c r="J361" s="679"/>
      <c r="K361" s="679"/>
      <c r="L361" s="679"/>
      <c r="M361" s="679"/>
      <c r="N361" s="679"/>
      <c r="O361" s="679"/>
      <c r="P361" s="679"/>
      <c r="Q361" s="679"/>
      <c r="R361" s="679"/>
      <c r="S361" s="679"/>
      <c r="T361" s="679"/>
      <c r="U361" s="679"/>
      <c r="V361" s="679"/>
      <c r="W361" s="679"/>
      <c r="X361" s="679"/>
      <c r="Y361" s="679"/>
      <c r="Z361" s="679"/>
      <c r="AA361" s="660"/>
      <c r="AB361" s="660"/>
      <c r="AC361" s="660"/>
    </row>
    <row r="362" spans="1:68" ht="14.25" customHeight="1" x14ac:dyDescent="0.25">
      <c r="A362" s="683" t="s">
        <v>144</v>
      </c>
      <c r="B362" s="679"/>
      <c r="C362" s="679"/>
      <c r="D362" s="679"/>
      <c r="E362" s="679"/>
      <c r="F362" s="679"/>
      <c r="G362" s="679"/>
      <c r="H362" s="679"/>
      <c r="I362" s="679"/>
      <c r="J362" s="679"/>
      <c r="K362" s="679"/>
      <c r="L362" s="679"/>
      <c r="M362" s="679"/>
      <c r="N362" s="679"/>
      <c r="O362" s="679"/>
      <c r="P362" s="679"/>
      <c r="Q362" s="679"/>
      <c r="R362" s="679"/>
      <c r="S362" s="679"/>
      <c r="T362" s="679"/>
      <c r="U362" s="679"/>
      <c r="V362" s="679"/>
      <c r="W362" s="679"/>
      <c r="X362" s="679"/>
      <c r="Y362" s="679"/>
      <c r="Z362" s="679"/>
      <c r="AA362" s="661"/>
      <c r="AB362" s="661"/>
      <c r="AC362" s="661"/>
    </row>
    <row r="363" spans="1:68" ht="27" customHeight="1" x14ac:dyDescent="0.25">
      <c r="A363" s="54" t="s">
        <v>561</v>
      </c>
      <c r="B363" s="54" t="s">
        <v>562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9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68</v>
      </c>
      <c r="X363" s="665">
        <v>0</v>
      </c>
      <c r="Y363" s="666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563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8"/>
      <c r="B364" s="679"/>
      <c r="C364" s="679"/>
      <c r="D364" s="679"/>
      <c r="E364" s="679"/>
      <c r="F364" s="679"/>
      <c r="G364" s="679"/>
      <c r="H364" s="679"/>
      <c r="I364" s="679"/>
      <c r="J364" s="679"/>
      <c r="K364" s="679"/>
      <c r="L364" s="679"/>
      <c r="M364" s="679"/>
      <c r="N364" s="679"/>
      <c r="O364" s="680"/>
      <c r="P364" s="686" t="s">
        <v>87</v>
      </c>
      <c r="Q364" s="687"/>
      <c r="R364" s="687"/>
      <c r="S364" s="687"/>
      <c r="T364" s="687"/>
      <c r="U364" s="687"/>
      <c r="V364" s="688"/>
      <c r="W364" s="37" t="s">
        <v>88</v>
      </c>
      <c r="X364" s="667">
        <f>IFERROR(X363/H363,"0")</f>
        <v>0</v>
      </c>
      <c r="Y364" s="667">
        <f>IFERROR(Y363/H363,"0")</f>
        <v>0</v>
      </c>
      <c r="Z364" s="667">
        <f>IFERROR(IF(Z363="",0,Z363),"0")</f>
        <v>0</v>
      </c>
      <c r="AA364" s="668"/>
      <c r="AB364" s="668"/>
      <c r="AC364" s="668"/>
    </row>
    <row r="365" spans="1:68" x14ac:dyDescent="0.2">
      <c r="A365" s="679"/>
      <c r="B365" s="679"/>
      <c r="C365" s="679"/>
      <c r="D365" s="679"/>
      <c r="E365" s="679"/>
      <c r="F365" s="679"/>
      <c r="G365" s="679"/>
      <c r="H365" s="679"/>
      <c r="I365" s="679"/>
      <c r="J365" s="679"/>
      <c r="K365" s="679"/>
      <c r="L365" s="679"/>
      <c r="M365" s="679"/>
      <c r="N365" s="679"/>
      <c r="O365" s="680"/>
      <c r="P365" s="686" t="s">
        <v>87</v>
      </c>
      <c r="Q365" s="687"/>
      <c r="R365" s="687"/>
      <c r="S365" s="687"/>
      <c r="T365" s="687"/>
      <c r="U365" s="687"/>
      <c r="V365" s="688"/>
      <c r="W365" s="37" t="s">
        <v>68</v>
      </c>
      <c r="X365" s="667">
        <f>IFERROR(SUM(X363:X363),"0")</f>
        <v>0</v>
      </c>
      <c r="Y365" s="667">
        <f>IFERROR(SUM(Y363:Y363),"0")</f>
        <v>0</v>
      </c>
      <c r="Z365" s="37"/>
      <c r="AA365" s="668"/>
      <c r="AB365" s="668"/>
      <c r="AC365" s="668"/>
    </row>
    <row r="366" spans="1:68" ht="14.25" customHeight="1" x14ac:dyDescent="0.25">
      <c r="A366" s="683" t="s">
        <v>63</v>
      </c>
      <c r="B366" s="679"/>
      <c r="C366" s="679"/>
      <c r="D366" s="679"/>
      <c r="E366" s="679"/>
      <c r="F366" s="679"/>
      <c r="G366" s="679"/>
      <c r="H366" s="679"/>
      <c r="I366" s="679"/>
      <c r="J366" s="679"/>
      <c r="K366" s="679"/>
      <c r="L366" s="679"/>
      <c r="M366" s="679"/>
      <c r="N366" s="679"/>
      <c r="O366" s="679"/>
      <c r="P366" s="679"/>
      <c r="Q366" s="679"/>
      <c r="R366" s="679"/>
      <c r="S366" s="679"/>
      <c r="T366" s="679"/>
      <c r="U366" s="679"/>
      <c r="V366" s="679"/>
      <c r="W366" s="679"/>
      <c r="X366" s="679"/>
      <c r="Y366" s="679"/>
      <c r="Z366" s="679"/>
      <c r="AA366" s="661"/>
      <c r="AB366" s="661"/>
      <c r="AC366" s="661"/>
    </row>
    <row r="367" spans="1:68" ht="27" customHeight="1" x14ac:dyDescent="0.25">
      <c r="A367" s="54" t="s">
        <v>564</v>
      </c>
      <c r="B367" s="54" t="s">
        <v>565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68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566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567</v>
      </c>
      <c r="B368" s="54" t="s">
        <v>568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68</v>
      </c>
      <c r="X368" s="665">
        <v>0</v>
      </c>
      <c r="Y368" s="666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569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570</v>
      </c>
      <c r="B369" s="54" t="s">
        <v>571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9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68</v>
      </c>
      <c r="X369" s="665">
        <v>0</v>
      </c>
      <c r="Y369" s="666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572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8"/>
      <c r="B370" s="679"/>
      <c r="C370" s="679"/>
      <c r="D370" s="679"/>
      <c r="E370" s="679"/>
      <c r="F370" s="679"/>
      <c r="G370" s="679"/>
      <c r="H370" s="679"/>
      <c r="I370" s="679"/>
      <c r="J370" s="679"/>
      <c r="K370" s="679"/>
      <c r="L370" s="679"/>
      <c r="M370" s="679"/>
      <c r="N370" s="679"/>
      <c r="O370" s="680"/>
      <c r="P370" s="686" t="s">
        <v>87</v>
      </c>
      <c r="Q370" s="687"/>
      <c r="R370" s="687"/>
      <c r="S370" s="687"/>
      <c r="T370" s="687"/>
      <c r="U370" s="687"/>
      <c r="V370" s="688"/>
      <c r="W370" s="37" t="s">
        <v>88</v>
      </c>
      <c r="X370" s="667">
        <f>IFERROR(X367/H367,"0")+IFERROR(X368/H368,"0")+IFERROR(X369/H369,"0")</f>
        <v>0</v>
      </c>
      <c r="Y370" s="667">
        <f>IFERROR(Y367/H367,"0")+IFERROR(Y368/H368,"0")+IFERROR(Y369/H369,"0")</f>
        <v>0</v>
      </c>
      <c r="Z370" s="667">
        <f>IFERROR(IF(Z367="",0,Z367),"0")+IFERROR(IF(Z368="",0,Z368),"0")+IFERROR(IF(Z369="",0,Z369),"0")</f>
        <v>0</v>
      </c>
      <c r="AA370" s="668"/>
      <c r="AB370" s="668"/>
      <c r="AC370" s="668"/>
    </row>
    <row r="371" spans="1:68" x14ac:dyDescent="0.2">
      <c r="A371" s="679"/>
      <c r="B371" s="679"/>
      <c r="C371" s="679"/>
      <c r="D371" s="679"/>
      <c r="E371" s="679"/>
      <c r="F371" s="679"/>
      <c r="G371" s="679"/>
      <c r="H371" s="679"/>
      <c r="I371" s="679"/>
      <c r="J371" s="679"/>
      <c r="K371" s="679"/>
      <c r="L371" s="679"/>
      <c r="M371" s="679"/>
      <c r="N371" s="679"/>
      <c r="O371" s="680"/>
      <c r="P371" s="686" t="s">
        <v>87</v>
      </c>
      <c r="Q371" s="687"/>
      <c r="R371" s="687"/>
      <c r="S371" s="687"/>
      <c r="T371" s="687"/>
      <c r="U371" s="687"/>
      <c r="V371" s="688"/>
      <c r="W371" s="37" t="s">
        <v>68</v>
      </c>
      <c r="X371" s="667">
        <f>IFERROR(SUM(X367:X369),"0")</f>
        <v>0</v>
      </c>
      <c r="Y371" s="667">
        <f>IFERROR(SUM(Y367:Y369),"0")</f>
        <v>0</v>
      </c>
      <c r="Z371" s="37"/>
      <c r="AA371" s="668"/>
      <c r="AB371" s="668"/>
      <c r="AC371" s="668"/>
    </row>
    <row r="372" spans="1:68" ht="27.75" customHeight="1" x14ac:dyDescent="0.2">
      <c r="A372" s="681" t="s">
        <v>573</v>
      </c>
      <c r="B372" s="682"/>
      <c r="C372" s="682"/>
      <c r="D372" s="682"/>
      <c r="E372" s="682"/>
      <c r="F372" s="682"/>
      <c r="G372" s="682"/>
      <c r="H372" s="682"/>
      <c r="I372" s="682"/>
      <c r="J372" s="682"/>
      <c r="K372" s="682"/>
      <c r="L372" s="682"/>
      <c r="M372" s="682"/>
      <c r="N372" s="682"/>
      <c r="O372" s="682"/>
      <c r="P372" s="682"/>
      <c r="Q372" s="682"/>
      <c r="R372" s="682"/>
      <c r="S372" s="682"/>
      <c r="T372" s="682"/>
      <c r="U372" s="682"/>
      <c r="V372" s="682"/>
      <c r="W372" s="682"/>
      <c r="X372" s="682"/>
      <c r="Y372" s="682"/>
      <c r="Z372" s="682"/>
      <c r="AA372" s="48"/>
      <c r="AB372" s="48"/>
      <c r="AC372" s="48"/>
    </row>
    <row r="373" spans="1:68" ht="16.5" customHeight="1" x14ac:dyDescent="0.25">
      <c r="A373" s="718" t="s">
        <v>574</v>
      </c>
      <c r="B373" s="679"/>
      <c r="C373" s="679"/>
      <c r="D373" s="679"/>
      <c r="E373" s="679"/>
      <c r="F373" s="679"/>
      <c r="G373" s="679"/>
      <c r="H373" s="679"/>
      <c r="I373" s="679"/>
      <c r="J373" s="679"/>
      <c r="K373" s="679"/>
      <c r="L373" s="679"/>
      <c r="M373" s="679"/>
      <c r="N373" s="679"/>
      <c r="O373" s="679"/>
      <c r="P373" s="679"/>
      <c r="Q373" s="679"/>
      <c r="R373" s="679"/>
      <c r="S373" s="679"/>
      <c r="T373" s="679"/>
      <c r="U373" s="679"/>
      <c r="V373" s="679"/>
      <c r="W373" s="679"/>
      <c r="X373" s="679"/>
      <c r="Y373" s="679"/>
      <c r="Z373" s="679"/>
      <c r="AA373" s="660"/>
      <c r="AB373" s="660"/>
      <c r="AC373" s="660"/>
    </row>
    <row r="374" spans="1:68" ht="14.25" customHeight="1" x14ac:dyDescent="0.25">
      <c r="A374" s="683" t="s">
        <v>97</v>
      </c>
      <c r="B374" s="679"/>
      <c r="C374" s="679"/>
      <c r="D374" s="679"/>
      <c r="E374" s="679"/>
      <c r="F374" s="679"/>
      <c r="G374" s="679"/>
      <c r="H374" s="679"/>
      <c r="I374" s="679"/>
      <c r="J374" s="679"/>
      <c r="K374" s="679"/>
      <c r="L374" s="679"/>
      <c r="M374" s="679"/>
      <c r="N374" s="679"/>
      <c r="O374" s="679"/>
      <c r="P374" s="679"/>
      <c r="Q374" s="679"/>
      <c r="R374" s="679"/>
      <c r="S374" s="679"/>
      <c r="T374" s="679"/>
      <c r="U374" s="679"/>
      <c r="V374" s="679"/>
      <c r="W374" s="679"/>
      <c r="X374" s="679"/>
      <c r="Y374" s="679"/>
      <c r="Z374" s="679"/>
      <c r="AA374" s="661"/>
      <c r="AB374" s="661"/>
      <c r="AC374" s="661"/>
    </row>
    <row r="375" spans="1:68" ht="37.5" customHeight="1" x14ac:dyDescent="0.25">
      <c r="A375" s="54" t="s">
        <v>575</v>
      </c>
      <c r="B375" s="54" t="s">
        <v>576</v>
      </c>
      <c r="C375" s="31">
        <v>4301011869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2"/>
      <c r="R375" s="672"/>
      <c r="S375" s="672"/>
      <c r="T375" s="673"/>
      <c r="U375" s="34"/>
      <c r="V375" s="34"/>
      <c r="W375" s="35" t="s">
        <v>68</v>
      </c>
      <c r="X375" s="665">
        <v>955</v>
      </c>
      <c r="Y375" s="666">
        <f t="shared" ref="Y375:Y384" si="58">IFERROR(IF(X375="",0,CEILING((X375/$H375),1)*$H375),"")</f>
        <v>960</v>
      </c>
      <c r="Z375" s="36">
        <f>IFERROR(IF(Y375=0,"",ROUNDUP(Y375/H375,0)*0.02175),"")</f>
        <v>1.3919999999999999</v>
      </c>
      <c r="AA375" s="56"/>
      <c r="AB375" s="57"/>
      <c r="AC375" s="417" t="s">
        <v>577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985.56</v>
      </c>
      <c r="BN375" s="64">
        <f t="shared" ref="BN375:BN384" si="60">IFERROR(Y375*I375/H375,"0")</f>
        <v>990.72</v>
      </c>
      <c r="BO375" s="64">
        <f t="shared" ref="BO375:BO384" si="61">IFERROR(1/J375*(X375/H375),"0")</f>
        <v>1.3263888888888888</v>
      </c>
      <c r="BP375" s="64">
        <f t="shared" ref="BP375:BP384" si="62">IFERROR(1/J375*(Y375/H375),"0")</f>
        <v>1.3333333333333333</v>
      </c>
    </row>
    <row r="376" spans="1:68" ht="27" customHeight="1" x14ac:dyDescent="0.25">
      <c r="A376" s="54" t="s">
        <v>575</v>
      </c>
      <c r="B376" s="54" t="s">
        <v>578</v>
      </c>
      <c r="C376" s="31">
        <v>4301011946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100</v>
      </c>
      <c r="L376" s="32"/>
      <c r="M376" s="33" t="s">
        <v>384</v>
      </c>
      <c r="N376" s="33"/>
      <c r="O376" s="32">
        <v>60</v>
      </c>
      <c r="P376" s="799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2"/>
      <c r="R376" s="672"/>
      <c r="S376" s="672"/>
      <c r="T376" s="673"/>
      <c r="U376" s="34"/>
      <c r="V376" s="34"/>
      <c r="W376" s="35" t="s">
        <v>68</v>
      </c>
      <c r="X376" s="665">
        <v>0</v>
      </c>
      <c r="Y376" s="666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579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580</v>
      </c>
      <c r="B377" s="54" t="s">
        <v>581</v>
      </c>
      <c r="C377" s="31">
        <v>4301011870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68</v>
      </c>
      <c r="X377" s="665">
        <v>262</v>
      </c>
      <c r="Y377" s="666">
        <f t="shared" si="58"/>
        <v>270</v>
      </c>
      <c r="Z377" s="36">
        <f>IFERROR(IF(Y377=0,"",ROUNDUP(Y377/H377,0)*0.02175),"")</f>
        <v>0.39149999999999996</v>
      </c>
      <c r="AA377" s="56"/>
      <c r="AB377" s="57"/>
      <c r="AC377" s="421" t="s">
        <v>582</v>
      </c>
      <c r="AG377" s="64"/>
      <c r="AJ377" s="68"/>
      <c r="AK377" s="68">
        <v>0</v>
      </c>
      <c r="BB377" s="422" t="s">
        <v>1</v>
      </c>
      <c r="BM377" s="64">
        <f t="shared" si="59"/>
        <v>270.38400000000001</v>
      </c>
      <c r="BN377" s="64">
        <f t="shared" si="60"/>
        <v>278.64000000000004</v>
      </c>
      <c r="BO377" s="64">
        <f t="shared" si="61"/>
        <v>0.36388888888888882</v>
      </c>
      <c r="BP377" s="64">
        <f t="shared" si="62"/>
        <v>0.375</v>
      </c>
    </row>
    <row r="378" spans="1:68" ht="27" customHeight="1" x14ac:dyDescent="0.25">
      <c r="A378" s="54" t="s">
        <v>580</v>
      </c>
      <c r="B378" s="54" t="s">
        <v>583</v>
      </c>
      <c r="C378" s="31">
        <v>4301011947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100</v>
      </c>
      <c r="L378" s="32"/>
      <c r="M378" s="33" t="s">
        <v>384</v>
      </c>
      <c r="N378" s="33"/>
      <c r="O378" s="32">
        <v>60</v>
      </c>
      <c r="P378" s="810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68</v>
      </c>
      <c r="X378" s="665">
        <v>0</v>
      </c>
      <c r="Y378" s="666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584</v>
      </c>
      <c r="B379" s="54" t="s">
        <v>585</v>
      </c>
      <c r="C379" s="31">
        <v>4301011867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1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2"/>
      <c r="R379" s="672"/>
      <c r="S379" s="672"/>
      <c r="T379" s="673"/>
      <c r="U379" s="34"/>
      <c r="V379" s="34"/>
      <c r="W379" s="35" t="s">
        <v>68</v>
      </c>
      <c r="X379" s="665">
        <v>965</v>
      </c>
      <c r="Y379" s="666">
        <f t="shared" si="58"/>
        <v>975</v>
      </c>
      <c r="Z379" s="36">
        <f>IFERROR(IF(Y379=0,"",ROUNDUP(Y379/H379,0)*0.02175),"")</f>
        <v>1.4137499999999998</v>
      </c>
      <c r="AA379" s="56"/>
      <c r="AB379" s="57"/>
      <c r="AC379" s="425" t="s">
        <v>586</v>
      </c>
      <c r="AG379" s="64"/>
      <c r="AJ379" s="68"/>
      <c r="AK379" s="68">
        <v>0</v>
      </c>
      <c r="BB379" s="426" t="s">
        <v>1</v>
      </c>
      <c r="BM379" s="64">
        <f t="shared" si="59"/>
        <v>995.88</v>
      </c>
      <c r="BN379" s="64">
        <f t="shared" si="60"/>
        <v>1006.2</v>
      </c>
      <c r="BO379" s="64">
        <f t="shared" si="61"/>
        <v>1.3402777777777777</v>
      </c>
      <c r="BP379" s="64">
        <f t="shared" si="62"/>
        <v>1.3541666666666665</v>
      </c>
    </row>
    <row r="380" spans="1:68" ht="27" customHeight="1" x14ac:dyDescent="0.25">
      <c r="A380" s="54" t="s">
        <v>587</v>
      </c>
      <c r="B380" s="54" t="s">
        <v>588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8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2"/>
      <c r="R380" s="672"/>
      <c r="S380" s="672"/>
      <c r="T380" s="673"/>
      <c r="U380" s="34"/>
      <c r="V380" s="34"/>
      <c r="W380" s="35" t="s">
        <v>68</v>
      </c>
      <c r="X380" s="665">
        <v>285</v>
      </c>
      <c r="Y380" s="666">
        <f t="shared" si="58"/>
        <v>285</v>
      </c>
      <c r="Z380" s="36">
        <f>IFERROR(IF(Y380=0,"",ROUNDUP(Y380/H380,0)*0.02175),"")</f>
        <v>0.41324999999999995</v>
      </c>
      <c r="AA380" s="56"/>
      <c r="AB380" s="57"/>
      <c r="AC380" s="427" t="s">
        <v>589</v>
      </c>
      <c r="AG380" s="64"/>
      <c r="AJ380" s="68"/>
      <c r="AK380" s="68">
        <v>0</v>
      </c>
      <c r="BB380" s="428" t="s">
        <v>1</v>
      </c>
      <c r="BM380" s="64">
        <f t="shared" si="59"/>
        <v>294.12</v>
      </c>
      <c r="BN380" s="64">
        <f t="shared" si="60"/>
        <v>294.12</v>
      </c>
      <c r="BO380" s="64">
        <f t="shared" si="61"/>
        <v>0.39583333333333331</v>
      </c>
      <c r="BP380" s="64">
        <f t="shared" si="62"/>
        <v>0.39583333333333331</v>
      </c>
    </row>
    <row r="381" spans="1:68" ht="27" customHeight="1" x14ac:dyDescent="0.25">
      <c r="A381" s="54" t="s">
        <v>584</v>
      </c>
      <c r="B381" s="54" t="s">
        <v>590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100</v>
      </c>
      <c r="L381" s="32"/>
      <c r="M381" s="33" t="s">
        <v>384</v>
      </c>
      <c r="N381" s="33"/>
      <c r="O381" s="32">
        <v>60</v>
      </c>
      <c r="P381" s="714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68</v>
      </c>
      <c r="X381" s="665">
        <v>0</v>
      </c>
      <c r="Y381" s="666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579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591</v>
      </c>
      <c r="B382" s="54" t="s">
        <v>592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68</v>
      </c>
      <c r="X382" s="665">
        <v>0</v>
      </c>
      <c r="Y382" s="666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593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594</v>
      </c>
      <c r="B383" s="54" t="s">
        <v>595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68</v>
      </c>
      <c r="X383" s="665">
        <v>0</v>
      </c>
      <c r="Y383" s="666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582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596</v>
      </c>
      <c r="B384" s="54" t="s">
        <v>597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68</v>
      </c>
      <c r="X384" s="665">
        <v>0</v>
      </c>
      <c r="Y384" s="666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586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8"/>
      <c r="B385" s="679"/>
      <c r="C385" s="679"/>
      <c r="D385" s="679"/>
      <c r="E385" s="679"/>
      <c r="F385" s="679"/>
      <c r="G385" s="679"/>
      <c r="H385" s="679"/>
      <c r="I385" s="679"/>
      <c r="J385" s="679"/>
      <c r="K385" s="679"/>
      <c r="L385" s="679"/>
      <c r="M385" s="679"/>
      <c r="N385" s="679"/>
      <c r="O385" s="680"/>
      <c r="P385" s="686" t="s">
        <v>87</v>
      </c>
      <c r="Q385" s="687"/>
      <c r="R385" s="687"/>
      <c r="S385" s="687"/>
      <c r="T385" s="687"/>
      <c r="U385" s="687"/>
      <c r="V385" s="688"/>
      <c r="W385" s="37" t="s">
        <v>88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164.46666666666664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166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3.6104999999999996</v>
      </c>
      <c r="AA385" s="668"/>
      <c r="AB385" s="668"/>
      <c r="AC385" s="668"/>
    </row>
    <row r="386" spans="1:68" x14ac:dyDescent="0.2">
      <c r="A386" s="679"/>
      <c r="B386" s="679"/>
      <c r="C386" s="679"/>
      <c r="D386" s="679"/>
      <c r="E386" s="679"/>
      <c r="F386" s="679"/>
      <c r="G386" s="679"/>
      <c r="H386" s="679"/>
      <c r="I386" s="679"/>
      <c r="J386" s="679"/>
      <c r="K386" s="679"/>
      <c r="L386" s="679"/>
      <c r="M386" s="679"/>
      <c r="N386" s="679"/>
      <c r="O386" s="680"/>
      <c r="P386" s="686" t="s">
        <v>87</v>
      </c>
      <c r="Q386" s="687"/>
      <c r="R386" s="687"/>
      <c r="S386" s="687"/>
      <c r="T386" s="687"/>
      <c r="U386" s="687"/>
      <c r="V386" s="688"/>
      <c r="W386" s="37" t="s">
        <v>68</v>
      </c>
      <c r="X386" s="667">
        <f>IFERROR(SUM(X375:X384),"0")</f>
        <v>2467</v>
      </c>
      <c r="Y386" s="667">
        <f>IFERROR(SUM(Y375:Y384),"0")</f>
        <v>2490</v>
      </c>
      <c r="Z386" s="37"/>
      <c r="AA386" s="668"/>
      <c r="AB386" s="668"/>
      <c r="AC386" s="668"/>
    </row>
    <row r="387" spans="1:68" ht="14.25" customHeight="1" x14ac:dyDescent="0.25">
      <c r="A387" s="683" t="s">
        <v>133</v>
      </c>
      <c r="B387" s="679"/>
      <c r="C387" s="679"/>
      <c r="D387" s="679"/>
      <c r="E387" s="679"/>
      <c r="F387" s="679"/>
      <c r="G387" s="679"/>
      <c r="H387" s="679"/>
      <c r="I387" s="679"/>
      <c r="J387" s="679"/>
      <c r="K387" s="679"/>
      <c r="L387" s="679"/>
      <c r="M387" s="679"/>
      <c r="N387" s="679"/>
      <c r="O387" s="679"/>
      <c r="P387" s="679"/>
      <c r="Q387" s="679"/>
      <c r="R387" s="679"/>
      <c r="S387" s="679"/>
      <c r="T387" s="679"/>
      <c r="U387" s="679"/>
      <c r="V387" s="679"/>
      <c r="W387" s="679"/>
      <c r="X387" s="679"/>
      <c r="Y387" s="679"/>
      <c r="Z387" s="679"/>
      <c r="AA387" s="661"/>
      <c r="AB387" s="661"/>
      <c r="AC387" s="661"/>
    </row>
    <row r="388" spans="1:68" ht="27" customHeight="1" x14ac:dyDescent="0.25">
      <c r="A388" s="54" t="s">
        <v>598</v>
      </c>
      <c r="B388" s="54" t="s">
        <v>599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68</v>
      </c>
      <c r="X388" s="665">
        <v>119</v>
      </c>
      <c r="Y388" s="666">
        <f>IFERROR(IF(X388="",0,CEILING((X388/$H388),1)*$H388),"")</f>
        <v>120</v>
      </c>
      <c r="Z388" s="36">
        <f>IFERROR(IF(Y388=0,"",ROUNDUP(Y388/H388,0)*0.02175),"")</f>
        <v>0.17399999999999999</v>
      </c>
      <c r="AA388" s="56"/>
      <c r="AB388" s="57"/>
      <c r="AC388" s="437" t="s">
        <v>600</v>
      </c>
      <c r="AG388" s="64"/>
      <c r="AJ388" s="68"/>
      <c r="AK388" s="68">
        <v>0</v>
      </c>
      <c r="BB388" s="438" t="s">
        <v>1</v>
      </c>
      <c r="BM388" s="64">
        <f>IFERROR(X388*I388/H388,"0")</f>
        <v>122.80800000000001</v>
      </c>
      <c r="BN388" s="64">
        <f>IFERROR(Y388*I388/H388,"0")</f>
        <v>123.84</v>
      </c>
      <c r="BO388" s="64">
        <f>IFERROR(1/J388*(X388/H388),"0")</f>
        <v>0.16527777777777777</v>
      </c>
      <c r="BP388" s="64">
        <f>IFERROR(1/J388*(Y388/H388),"0")</f>
        <v>0.16666666666666666</v>
      </c>
    </row>
    <row r="389" spans="1:68" ht="27" customHeight="1" x14ac:dyDescent="0.25">
      <c r="A389" s="54" t="s">
        <v>601</v>
      </c>
      <c r="B389" s="54" t="s">
        <v>602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68</v>
      </c>
      <c r="X389" s="665">
        <v>0</v>
      </c>
      <c r="Y389" s="666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600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8"/>
      <c r="B390" s="679"/>
      <c r="C390" s="679"/>
      <c r="D390" s="679"/>
      <c r="E390" s="679"/>
      <c r="F390" s="679"/>
      <c r="G390" s="679"/>
      <c r="H390" s="679"/>
      <c r="I390" s="679"/>
      <c r="J390" s="679"/>
      <c r="K390" s="679"/>
      <c r="L390" s="679"/>
      <c r="M390" s="679"/>
      <c r="N390" s="679"/>
      <c r="O390" s="680"/>
      <c r="P390" s="686" t="s">
        <v>87</v>
      </c>
      <c r="Q390" s="687"/>
      <c r="R390" s="687"/>
      <c r="S390" s="687"/>
      <c r="T390" s="687"/>
      <c r="U390" s="687"/>
      <c r="V390" s="688"/>
      <c r="W390" s="37" t="s">
        <v>88</v>
      </c>
      <c r="X390" s="667">
        <f>IFERROR(X388/H388,"0")+IFERROR(X389/H389,"0")</f>
        <v>7.9333333333333336</v>
      </c>
      <c r="Y390" s="667">
        <f>IFERROR(Y388/H388,"0")+IFERROR(Y389/H389,"0")</f>
        <v>8</v>
      </c>
      <c r="Z390" s="667">
        <f>IFERROR(IF(Z388="",0,Z388),"0")+IFERROR(IF(Z389="",0,Z389),"0")</f>
        <v>0.17399999999999999</v>
      </c>
      <c r="AA390" s="668"/>
      <c r="AB390" s="668"/>
      <c r="AC390" s="668"/>
    </row>
    <row r="391" spans="1:68" x14ac:dyDescent="0.2">
      <c r="A391" s="679"/>
      <c r="B391" s="679"/>
      <c r="C391" s="679"/>
      <c r="D391" s="679"/>
      <c r="E391" s="679"/>
      <c r="F391" s="679"/>
      <c r="G391" s="679"/>
      <c r="H391" s="679"/>
      <c r="I391" s="679"/>
      <c r="J391" s="679"/>
      <c r="K391" s="679"/>
      <c r="L391" s="679"/>
      <c r="M391" s="679"/>
      <c r="N391" s="679"/>
      <c r="O391" s="680"/>
      <c r="P391" s="686" t="s">
        <v>87</v>
      </c>
      <c r="Q391" s="687"/>
      <c r="R391" s="687"/>
      <c r="S391" s="687"/>
      <c r="T391" s="687"/>
      <c r="U391" s="687"/>
      <c r="V391" s="688"/>
      <c r="W391" s="37" t="s">
        <v>68</v>
      </c>
      <c r="X391" s="667">
        <f>IFERROR(SUM(X388:X389),"0")</f>
        <v>119</v>
      </c>
      <c r="Y391" s="667">
        <f>IFERROR(SUM(Y388:Y389),"0")</f>
        <v>120</v>
      </c>
      <c r="Z391" s="37"/>
      <c r="AA391" s="668"/>
      <c r="AB391" s="668"/>
      <c r="AC391" s="668"/>
    </row>
    <row r="392" spans="1:68" ht="14.25" customHeight="1" x14ac:dyDescent="0.25">
      <c r="A392" s="683" t="s">
        <v>63</v>
      </c>
      <c r="B392" s="679"/>
      <c r="C392" s="679"/>
      <c r="D392" s="679"/>
      <c r="E392" s="679"/>
      <c r="F392" s="679"/>
      <c r="G392" s="679"/>
      <c r="H392" s="679"/>
      <c r="I392" s="679"/>
      <c r="J392" s="679"/>
      <c r="K392" s="679"/>
      <c r="L392" s="679"/>
      <c r="M392" s="679"/>
      <c r="N392" s="679"/>
      <c r="O392" s="679"/>
      <c r="P392" s="679"/>
      <c r="Q392" s="679"/>
      <c r="R392" s="679"/>
      <c r="S392" s="679"/>
      <c r="T392" s="679"/>
      <c r="U392" s="679"/>
      <c r="V392" s="679"/>
      <c r="W392" s="679"/>
      <c r="X392" s="679"/>
      <c r="Y392" s="679"/>
      <c r="Z392" s="679"/>
      <c r="AA392" s="661"/>
      <c r="AB392" s="661"/>
      <c r="AC392" s="661"/>
    </row>
    <row r="393" spans="1:68" ht="27" customHeight="1" x14ac:dyDescent="0.25">
      <c r="A393" s="54" t="s">
        <v>603</v>
      </c>
      <c r="B393" s="54" t="s">
        <v>604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605</v>
      </c>
      <c r="Q393" s="672"/>
      <c r="R393" s="672"/>
      <c r="S393" s="672"/>
      <c r="T393" s="673"/>
      <c r="U393" s="34"/>
      <c r="V393" s="34"/>
      <c r="W393" s="35" t="s">
        <v>68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606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607</v>
      </c>
      <c r="B394" s="54" t="s">
        <v>608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4" t="s">
        <v>609</v>
      </c>
      <c r="Q394" s="672"/>
      <c r="R394" s="672"/>
      <c r="S394" s="672"/>
      <c r="T394" s="673"/>
      <c r="U394" s="34"/>
      <c r="V394" s="34"/>
      <c r="W394" s="35" t="s">
        <v>68</v>
      </c>
      <c r="X394" s="665">
        <v>23</v>
      </c>
      <c r="Y394" s="666">
        <f>IFERROR(IF(X394="",0,CEILING((X394/$H394),1)*$H394),"")</f>
        <v>27</v>
      </c>
      <c r="Z394" s="36">
        <f>IFERROR(IF(Y394=0,"",ROUNDUP(Y394/H394,0)*0.01898),"")</f>
        <v>5.6940000000000004E-2</v>
      </c>
      <c r="AA394" s="56"/>
      <c r="AB394" s="57"/>
      <c r="AC394" s="443" t="s">
        <v>610</v>
      </c>
      <c r="AG394" s="64"/>
      <c r="AJ394" s="68"/>
      <c r="AK394" s="68">
        <v>0</v>
      </c>
      <c r="BB394" s="444" t="s">
        <v>1</v>
      </c>
      <c r="BM394" s="64">
        <f>IFERROR(X394*I394/H394,"0")</f>
        <v>24.326333333333334</v>
      </c>
      <c r="BN394" s="64">
        <f>IFERROR(Y394*I394/H394,"0")</f>
        <v>28.556999999999999</v>
      </c>
      <c r="BO394" s="64">
        <f>IFERROR(1/J394*(X394/H394),"0")</f>
        <v>3.9930555555555552E-2</v>
      </c>
      <c r="BP394" s="64">
        <f>IFERROR(1/J394*(Y394/H394),"0")</f>
        <v>4.6875E-2</v>
      </c>
    </row>
    <row r="395" spans="1:68" x14ac:dyDescent="0.2">
      <c r="A395" s="678"/>
      <c r="B395" s="679"/>
      <c r="C395" s="679"/>
      <c r="D395" s="679"/>
      <c r="E395" s="679"/>
      <c r="F395" s="679"/>
      <c r="G395" s="679"/>
      <c r="H395" s="679"/>
      <c r="I395" s="679"/>
      <c r="J395" s="679"/>
      <c r="K395" s="679"/>
      <c r="L395" s="679"/>
      <c r="M395" s="679"/>
      <c r="N395" s="679"/>
      <c r="O395" s="680"/>
      <c r="P395" s="686" t="s">
        <v>87</v>
      </c>
      <c r="Q395" s="687"/>
      <c r="R395" s="687"/>
      <c r="S395" s="687"/>
      <c r="T395" s="687"/>
      <c r="U395" s="687"/>
      <c r="V395" s="688"/>
      <c r="W395" s="37" t="s">
        <v>88</v>
      </c>
      <c r="X395" s="667">
        <f>IFERROR(X393/H393,"0")+IFERROR(X394/H394,"0")</f>
        <v>2.5555555555555554</v>
      </c>
      <c r="Y395" s="667">
        <f>IFERROR(Y393/H393,"0")+IFERROR(Y394/H394,"0")</f>
        <v>3</v>
      </c>
      <c r="Z395" s="667">
        <f>IFERROR(IF(Z393="",0,Z393),"0")+IFERROR(IF(Z394="",0,Z394),"0")</f>
        <v>5.6940000000000004E-2</v>
      </c>
      <c r="AA395" s="668"/>
      <c r="AB395" s="668"/>
      <c r="AC395" s="668"/>
    </row>
    <row r="396" spans="1:68" x14ac:dyDescent="0.2">
      <c r="A396" s="679"/>
      <c r="B396" s="679"/>
      <c r="C396" s="679"/>
      <c r="D396" s="679"/>
      <c r="E396" s="679"/>
      <c r="F396" s="679"/>
      <c r="G396" s="679"/>
      <c r="H396" s="679"/>
      <c r="I396" s="679"/>
      <c r="J396" s="679"/>
      <c r="K396" s="679"/>
      <c r="L396" s="679"/>
      <c r="M396" s="679"/>
      <c r="N396" s="679"/>
      <c r="O396" s="680"/>
      <c r="P396" s="686" t="s">
        <v>87</v>
      </c>
      <c r="Q396" s="687"/>
      <c r="R396" s="687"/>
      <c r="S396" s="687"/>
      <c r="T396" s="687"/>
      <c r="U396" s="687"/>
      <c r="V396" s="688"/>
      <c r="W396" s="37" t="s">
        <v>68</v>
      </c>
      <c r="X396" s="667">
        <f>IFERROR(SUM(X393:X394),"0")</f>
        <v>23</v>
      </c>
      <c r="Y396" s="667">
        <f>IFERROR(SUM(Y393:Y394),"0")</f>
        <v>27</v>
      </c>
      <c r="Z396" s="37"/>
      <c r="AA396" s="668"/>
      <c r="AB396" s="668"/>
      <c r="AC396" s="668"/>
    </row>
    <row r="397" spans="1:68" ht="14.25" customHeight="1" x14ac:dyDescent="0.25">
      <c r="A397" s="683" t="s">
        <v>170</v>
      </c>
      <c r="B397" s="679"/>
      <c r="C397" s="679"/>
      <c r="D397" s="679"/>
      <c r="E397" s="679"/>
      <c r="F397" s="679"/>
      <c r="G397" s="679"/>
      <c r="H397" s="679"/>
      <c r="I397" s="679"/>
      <c r="J397" s="679"/>
      <c r="K397" s="679"/>
      <c r="L397" s="679"/>
      <c r="M397" s="679"/>
      <c r="N397" s="679"/>
      <c r="O397" s="679"/>
      <c r="P397" s="679"/>
      <c r="Q397" s="679"/>
      <c r="R397" s="679"/>
      <c r="S397" s="679"/>
      <c r="T397" s="679"/>
      <c r="U397" s="679"/>
      <c r="V397" s="679"/>
      <c r="W397" s="679"/>
      <c r="X397" s="679"/>
      <c r="Y397" s="679"/>
      <c r="Z397" s="679"/>
      <c r="AA397" s="661"/>
      <c r="AB397" s="661"/>
      <c r="AC397" s="661"/>
    </row>
    <row r="398" spans="1:68" ht="27" customHeight="1" x14ac:dyDescent="0.25">
      <c r="A398" s="54" t="s">
        <v>611</v>
      </c>
      <c r="B398" s="54" t="s">
        <v>612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50" t="s">
        <v>613</v>
      </c>
      <c r="Q398" s="672"/>
      <c r="R398" s="672"/>
      <c r="S398" s="672"/>
      <c r="T398" s="673"/>
      <c r="U398" s="34"/>
      <c r="V398" s="34"/>
      <c r="W398" s="35" t="s">
        <v>68</v>
      </c>
      <c r="X398" s="665">
        <v>0</v>
      </c>
      <c r="Y398" s="66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614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8"/>
      <c r="B399" s="679"/>
      <c r="C399" s="679"/>
      <c r="D399" s="679"/>
      <c r="E399" s="679"/>
      <c r="F399" s="679"/>
      <c r="G399" s="679"/>
      <c r="H399" s="679"/>
      <c r="I399" s="679"/>
      <c r="J399" s="679"/>
      <c r="K399" s="679"/>
      <c r="L399" s="679"/>
      <c r="M399" s="679"/>
      <c r="N399" s="679"/>
      <c r="O399" s="680"/>
      <c r="P399" s="686" t="s">
        <v>87</v>
      </c>
      <c r="Q399" s="687"/>
      <c r="R399" s="687"/>
      <c r="S399" s="687"/>
      <c r="T399" s="687"/>
      <c r="U399" s="687"/>
      <c r="V399" s="688"/>
      <c r="W399" s="37" t="s">
        <v>88</v>
      </c>
      <c r="X399" s="667">
        <f>IFERROR(X398/H398,"0")</f>
        <v>0</v>
      </c>
      <c r="Y399" s="667">
        <f>IFERROR(Y398/H398,"0")</f>
        <v>0</v>
      </c>
      <c r="Z399" s="667">
        <f>IFERROR(IF(Z398="",0,Z398),"0")</f>
        <v>0</v>
      </c>
      <c r="AA399" s="668"/>
      <c r="AB399" s="668"/>
      <c r="AC399" s="668"/>
    </row>
    <row r="400" spans="1:68" x14ac:dyDescent="0.2">
      <c r="A400" s="679"/>
      <c r="B400" s="679"/>
      <c r="C400" s="679"/>
      <c r="D400" s="679"/>
      <c r="E400" s="679"/>
      <c r="F400" s="679"/>
      <c r="G400" s="679"/>
      <c r="H400" s="679"/>
      <c r="I400" s="679"/>
      <c r="J400" s="679"/>
      <c r="K400" s="679"/>
      <c r="L400" s="679"/>
      <c r="M400" s="679"/>
      <c r="N400" s="679"/>
      <c r="O400" s="680"/>
      <c r="P400" s="686" t="s">
        <v>87</v>
      </c>
      <c r="Q400" s="687"/>
      <c r="R400" s="687"/>
      <c r="S400" s="687"/>
      <c r="T400" s="687"/>
      <c r="U400" s="687"/>
      <c r="V400" s="688"/>
      <c r="W400" s="37" t="s">
        <v>68</v>
      </c>
      <c r="X400" s="667">
        <f>IFERROR(SUM(X398:X398),"0")</f>
        <v>0</v>
      </c>
      <c r="Y400" s="667">
        <f>IFERROR(SUM(Y398:Y398),"0")</f>
        <v>0</v>
      </c>
      <c r="Z400" s="37"/>
      <c r="AA400" s="668"/>
      <c r="AB400" s="668"/>
      <c r="AC400" s="668"/>
    </row>
    <row r="401" spans="1:68" ht="16.5" customHeight="1" x14ac:dyDescent="0.25">
      <c r="A401" s="718" t="s">
        <v>615</v>
      </c>
      <c r="B401" s="679"/>
      <c r="C401" s="679"/>
      <c r="D401" s="679"/>
      <c r="E401" s="679"/>
      <c r="F401" s="679"/>
      <c r="G401" s="679"/>
      <c r="H401" s="679"/>
      <c r="I401" s="679"/>
      <c r="J401" s="679"/>
      <c r="K401" s="679"/>
      <c r="L401" s="679"/>
      <c r="M401" s="679"/>
      <c r="N401" s="679"/>
      <c r="O401" s="679"/>
      <c r="P401" s="679"/>
      <c r="Q401" s="679"/>
      <c r="R401" s="679"/>
      <c r="S401" s="679"/>
      <c r="T401" s="679"/>
      <c r="U401" s="679"/>
      <c r="V401" s="679"/>
      <c r="W401" s="679"/>
      <c r="X401" s="679"/>
      <c r="Y401" s="679"/>
      <c r="Z401" s="679"/>
      <c r="AA401" s="660"/>
      <c r="AB401" s="660"/>
      <c r="AC401" s="660"/>
    </row>
    <row r="402" spans="1:68" ht="14.25" customHeight="1" x14ac:dyDescent="0.25">
      <c r="A402" s="683" t="s">
        <v>97</v>
      </c>
      <c r="B402" s="679"/>
      <c r="C402" s="679"/>
      <c r="D402" s="679"/>
      <c r="E402" s="679"/>
      <c r="F402" s="679"/>
      <c r="G402" s="679"/>
      <c r="H402" s="679"/>
      <c r="I402" s="679"/>
      <c r="J402" s="679"/>
      <c r="K402" s="679"/>
      <c r="L402" s="679"/>
      <c r="M402" s="679"/>
      <c r="N402" s="679"/>
      <c r="O402" s="679"/>
      <c r="P402" s="679"/>
      <c r="Q402" s="679"/>
      <c r="R402" s="679"/>
      <c r="S402" s="679"/>
      <c r="T402" s="679"/>
      <c r="U402" s="679"/>
      <c r="V402" s="679"/>
      <c r="W402" s="679"/>
      <c r="X402" s="679"/>
      <c r="Y402" s="679"/>
      <c r="Z402" s="679"/>
      <c r="AA402" s="661"/>
      <c r="AB402" s="661"/>
      <c r="AC402" s="661"/>
    </row>
    <row r="403" spans="1:68" ht="27" customHeight="1" x14ac:dyDescent="0.25">
      <c r="A403" s="54" t="s">
        <v>616</v>
      </c>
      <c r="B403" s="54" t="s">
        <v>617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9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68</v>
      </c>
      <c r="X403" s="665">
        <v>0</v>
      </c>
      <c r="Y403" s="666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618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616</v>
      </c>
      <c r="B404" s="54" t="s">
        <v>619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6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68</v>
      </c>
      <c r="X404" s="665">
        <v>0</v>
      </c>
      <c r="Y404" s="666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620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621</v>
      </c>
      <c r="B405" s="54" t="s">
        <v>622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50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2"/>
      <c r="R405" s="672"/>
      <c r="S405" s="672"/>
      <c r="T405" s="673"/>
      <c r="U405" s="34"/>
      <c r="V405" s="34"/>
      <c r="W405" s="35" t="s">
        <v>68</v>
      </c>
      <c r="X405" s="665">
        <v>0</v>
      </c>
      <c r="Y405" s="666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623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624</v>
      </c>
      <c r="B406" s="54" t="s">
        <v>625</v>
      </c>
      <c r="C406" s="31">
        <v>4301011875</v>
      </c>
      <c r="D406" s="669">
        <v>4680115884885</v>
      </c>
      <c r="E406" s="670"/>
      <c r="F406" s="664">
        <v>0.8</v>
      </c>
      <c r="G406" s="32">
        <v>15</v>
      </c>
      <c r="H406" s="664">
        <v>12</v>
      </c>
      <c r="I406" s="664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2"/>
      <c r="R406" s="672"/>
      <c r="S406" s="672"/>
      <c r="T406" s="673"/>
      <c r="U406" s="34"/>
      <c r="V406" s="34"/>
      <c r="W406" s="35" t="s">
        <v>68</v>
      </c>
      <c r="X406" s="665">
        <v>0</v>
      </c>
      <c r="Y406" s="666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623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626</v>
      </c>
      <c r="B407" s="54" t="s">
        <v>627</v>
      </c>
      <c r="C407" s="31">
        <v>4301011871</v>
      </c>
      <c r="D407" s="669">
        <v>4680115884908</v>
      </c>
      <c r="E407" s="670"/>
      <c r="F407" s="664">
        <v>0.4</v>
      </c>
      <c r="G407" s="32">
        <v>10</v>
      </c>
      <c r="H407" s="664">
        <v>4</v>
      </c>
      <c r="I407" s="664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5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2"/>
      <c r="R407" s="672"/>
      <c r="S407" s="672"/>
      <c r="T407" s="673"/>
      <c r="U407" s="34"/>
      <c r="V407" s="34"/>
      <c r="W407" s="35" t="s">
        <v>68</v>
      </c>
      <c r="X407" s="665">
        <v>0</v>
      </c>
      <c r="Y407" s="666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623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8"/>
      <c r="B408" s="679"/>
      <c r="C408" s="679"/>
      <c r="D408" s="679"/>
      <c r="E408" s="679"/>
      <c r="F408" s="679"/>
      <c r="G408" s="679"/>
      <c r="H408" s="679"/>
      <c r="I408" s="679"/>
      <c r="J408" s="679"/>
      <c r="K408" s="679"/>
      <c r="L408" s="679"/>
      <c r="M408" s="679"/>
      <c r="N408" s="679"/>
      <c r="O408" s="680"/>
      <c r="P408" s="686" t="s">
        <v>87</v>
      </c>
      <c r="Q408" s="687"/>
      <c r="R408" s="687"/>
      <c r="S408" s="687"/>
      <c r="T408" s="687"/>
      <c r="U408" s="687"/>
      <c r="V408" s="688"/>
      <c r="W408" s="37" t="s">
        <v>88</v>
      </c>
      <c r="X408" s="667">
        <f>IFERROR(X403/H403,"0")+IFERROR(X404/H404,"0")+IFERROR(X405/H405,"0")+IFERROR(X406/H406,"0")+IFERROR(X407/H407,"0")</f>
        <v>0</v>
      </c>
      <c r="Y408" s="667">
        <f>IFERROR(Y403/H403,"0")+IFERROR(Y404/H404,"0")+IFERROR(Y405/H405,"0")+IFERROR(Y406/H406,"0")+IFERROR(Y407/H407,"0")</f>
        <v>0</v>
      </c>
      <c r="Z408" s="667">
        <f>IFERROR(IF(Z403="",0,Z403),"0")+IFERROR(IF(Z404="",0,Z404),"0")+IFERROR(IF(Z405="",0,Z405),"0")+IFERROR(IF(Z406="",0,Z406),"0")+IFERROR(IF(Z407="",0,Z407),"0")</f>
        <v>0</v>
      </c>
      <c r="AA408" s="668"/>
      <c r="AB408" s="668"/>
      <c r="AC408" s="668"/>
    </row>
    <row r="409" spans="1:68" x14ac:dyDescent="0.2">
      <c r="A409" s="679"/>
      <c r="B409" s="679"/>
      <c r="C409" s="679"/>
      <c r="D409" s="679"/>
      <c r="E409" s="679"/>
      <c r="F409" s="679"/>
      <c r="G409" s="679"/>
      <c r="H409" s="679"/>
      <c r="I409" s="679"/>
      <c r="J409" s="679"/>
      <c r="K409" s="679"/>
      <c r="L409" s="679"/>
      <c r="M409" s="679"/>
      <c r="N409" s="679"/>
      <c r="O409" s="680"/>
      <c r="P409" s="686" t="s">
        <v>87</v>
      </c>
      <c r="Q409" s="687"/>
      <c r="R409" s="687"/>
      <c r="S409" s="687"/>
      <c r="T409" s="687"/>
      <c r="U409" s="687"/>
      <c r="V409" s="688"/>
      <c r="W409" s="37" t="s">
        <v>68</v>
      </c>
      <c r="X409" s="667">
        <f>IFERROR(SUM(X403:X407),"0")</f>
        <v>0</v>
      </c>
      <c r="Y409" s="667">
        <f>IFERROR(SUM(Y403:Y407),"0")</f>
        <v>0</v>
      </c>
      <c r="Z409" s="37"/>
      <c r="AA409" s="668"/>
      <c r="AB409" s="668"/>
      <c r="AC409" s="668"/>
    </row>
    <row r="410" spans="1:68" ht="14.25" customHeight="1" x14ac:dyDescent="0.25">
      <c r="A410" s="683" t="s">
        <v>144</v>
      </c>
      <c r="B410" s="679"/>
      <c r="C410" s="679"/>
      <c r="D410" s="679"/>
      <c r="E410" s="679"/>
      <c r="F410" s="679"/>
      <c r="G410" s="679"/>
      <c r="H410" s="679"/>
      <c r="I410" s="679"/>
      <c r="J410" s="679"/>
      <c r="K410" s="679"/>
      <c r="L410" s="679"/>
      <c r="M410" s="679"/>
      <c r="N410" s="679"/>
      <c r="O410" s="679"/>
      <c r="P410" s="679"/>
      <c r="Q410" s="679"/>
      <c r="R410" s="679"/>
      <c r="S410" s="679"/>
      <c r="T410" s="679"/>
      <c r="U410" s="679"/>
      <c r="V410" s="679"/>
      <c r="W410" s="679"/>
      <c r="X410" s="679"/>
      <c r="Y410" s="679"/>
      <c r="Z410" s="679"/>
      <c r="AA410" s="661"/>
      <c r="AB410" s="661"/>
      <c r="AC410" s="661"/>
    </row>
    <row r="411" spans="1:68" ht="27" customHeight="1" x14ac:dyDescent="0.25">
      <c r="A411" s="54" t="s">
        <v>628</v>
      </c>
      <c r="B411" s="54" t="s">
        <v>629</v>
      </c>
      <c r="C411" s="31">
        <v>4301031303</v>
      </c>
      <c r="D411" s="669">
        <v>4607091384802</v>
      </c>
      <c r="E411" s="670"/>
      <c r="F411" s="664">
        <v>0.73</v>
      </c>
      <c r="G411" s="32">
        <v>6</v>
      </c>
      <c r="H411" s="664">
        <v>4.38</v>
      </c>
      <c r="I411" s="664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2"/>
      <c r="R411" s="672"/>
      <c r="S411" s="672"/>
      <c r="T411" s="673"/>
      <c r="U411" s="34"/>
      <c r="V411" s="34"/>
      <c r="W411" s="35" t="s">
        <v>68</v>
      </c>
      <c r="X411" s="665">
        <v>0</v>
      </c>
      <c r="Y411" s="666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630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631</v>
      </c>
      <c r="B412" s="54" t="s">
        <v>632</v>
      </c>
      <c r="C412" s="31">
        <v>4301031304</v>
      </c>
      <c r="D412" s="669">
        <v>4607091384826</v>
      </c>
      <c r="E412" s="670"/>
      <c r="F412" s="664">
        <v>0.35</v>
      </c>
      <c r="G412" s="32">
        <v>8</v>
      </c>
      <c r="H412" s="664">
        <v>2.8</v>
      </c>
      <c r="I412" s="664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2"/>
      <c r="R412" s="672"/>
      <c r="S412" s="672"/>
      <c r="T412" s="673"/>
      <c r="U412" s="34"/>
      <c r="V412" s="34"/>
      <c r="W412" s="35" t="s">
        <v>68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630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8"/>
      <c r="B413" s="679"/>
      <c r="C413" s="679"/>
      <c r="D413" s="679"/>
      <c r="E413" s="679"/>
      <c r="F413" s="679"/>
      <c r="G413" s="679"/>
      <c r="H413" s="679"/>
      <c r="I413" s="679"/>
      <c r="J413" s="679"/>
      <c r="K413" s="679"/>
      <c r="L413" s="679"/>
      <c r="M413" s="679"/>
      <c r="N413" s="679"/>
      <c r="O413" s="680"/>
      <c r="P413" s="686" t="s">
        <v>87</v>
      </c>
      <c r="Q413" s="687"/>
      <c r="R413" s="687"/>
      <c r="S413" s="687"/>
      <c r="T413" s="687"/>
      <c r="U413" s="687"/>
      <c r="V413" s="688"/>
      <c r="W413" s="37" t="s">
        <v>88</v>
      </c>
      <c r="X413" s="667">
        <f>IFERROR(X411/H411,"0")+IFERROR(X412/H412,"0")</f>
        <v>0</v>
      </c>
      <c r="Y413" s="667">
        <f>IFERROR(Y411/H411,"0")+IFERROR(Y412/H412,"0")</f>
        <v>0</v>
      </c>
      <c r="Z413" s="667">
        <f>IFERROR(IF(Z411="",0,Z411),"0")+IFERROR(IF(Z412="",0,Z412),"0")</f>
        <v>0</v>
      </c>
      <c r="AA413" s="668"/>
      <c r="AB413" s="668"/>
      <c r="AC413" s="668"/>
    </row>
    <row r="414" spans="1:68" x14ac:dyDescent="0.2">
      <c r="A414" s="679"/>
      <c r="B414" s="679"/>
      <c r="C414" s="679"/>
      <c r="D414" s="679"/>
      <c r="E414" s="679"/>
      <c r="F414" s="679"/>
      <c r="G414" s="679"/>
      <c r="H414" s="679"/>
      <c r="I414" s="679"/>
      <c r="J414" s="679"/>
      <c r="K414" s="679"/>
      <c r="L414" s="679"/>
      <c r="M414" s="679"/>
      <c r="N414" s="679"/>
      <c r="O414" s="680"/>
      <c r="P414" s="686" t="s">
        <v>87</v>
      </c>
      <c r="Q414" s="687"/>
      <c r="R414" s="687"/>
      <c r="S414" s="687"/>
      <c r="T414" s="687"/>
      <c r="U414" s="687"/>
      <c r="V414" s="688"/>
      <c r="W414" s="37" t="s">
        <v>68</v>
      </c>
      <c r="X414" s="667">
        <f>IFERROR(SUM(X411:X412),"0")</f>
        <v>0</v>
      </c>
      <c r="Y414" s="667">
        <f>IFERROR(SUM(Y411:Y412),"0")</f>
        <v>0</v>
      </c>
      <c r="Z414" s="37"/>
      <c r="AA414" s="668"/>
      <c r="AB414" s="668"/>
      <c r="AC414" s="668"/>
    </row>
    <row r="415" spans="1:68" ht="14.25" customHeight="1" x14ac:dyDescent="0.25">
      <c r="A415" s="683" t="s">
        <v>63</v>
      </c>
      <c r="B415" s="679"/>
      <c r="C415" s="679"/>
      <c r="D415" s="679"/>
      <c r="E415" s="679"/>
      <c r="F415" s="679"/>
      <c r="G415" s="679"/>
      <c r="H415" s="679"/>
      <c r="I415" s="679"/>
      <c r="J415" s="679"/>
      <c r="K415" s="679"/>
      <c r="L415" s="679"/>
      <c r="M415" s="679"/>
      <c r="N415" s="679"/>
      <c r="O415" s="679"/>
      <c r="P415" s="679"/>
      <c r="Q415" s="679"/>
      <c r="R415" s="679"/>
      <c r="S415" s="679"/>
      <c r="T415" s="679"/>
      <c r="U415" s="679"/>
      <c r="V415" s="679"/>
      <c r="W415" s="679"/>
      <c r="X415" s="679"/>
      <c r="Y415" s="679"/>
      <c r="Z415" s="679"/>
      <c r="AA415" s="661"/>
      <c r="AB415" s="661"/>
      <c r="AC415" s="661"/>
    </row>
    <row r="416" spans="1:68" ht="27" customHeight="1" x14ac:dyDescent="0.25">
      <c r="A416" s="54" t="s">
        <v>633</v>
      </c>
      <c r="B416" s="54" t="s">
        <v>634</v>
      </c>
      <c r="C416" s="31">
        <v>4301051899</v>
      </c>
      <c r="D416" s="669">
        <v>4607091384246</v>
      </c>
      <c r="E416" s="670"/>
      <c r="F416" s="664">
        <v>1.5</v>
      </c>
      <c r="G416" s="32">
        <v>6</v>
      </c>
      <c r="H416" s="664">
        <v>9</v>
      </c>
      <c r="I416" s="664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2"/>
      <c r="R416" s="672"/>
      <c r="S416" s="672"/>
      <c r="T416" s="673"/>
      <c r="U416" s="34"/>
      <c r="V416" s="34"/>
      <c r="W416" s="35" t="s">
        <v>68</v>
      </c>
      <c r="X416" s="665">
        <v>49</v>
      </c>
      <c r="Y416" s="666">
        <f>IFERROR(IF(X416="",0,CEILING((X416/$H416),1)*$H416),"")</f>
        <v>54</v>
      </c>
      <c r="Z416" s="36">
        <f>IFERROR(IF(Y416=0,"",ROUNDUP(Y416/H416,0)*0.01898),"")</f>
        <v>0.11388000000000001</v>
      </c>
      <c r="AA416" s="56"/>
      <c r="AB416" s="57"/>
      <c r="AC416" s="461" t="s">
        <v>635</v>
      </c>
      <c r="AG416" s="64"/>
      <c r="AJ416" s="68"/>
      <c r="AK416" s="68">
        <v>0</v>
      </c>
      <c r="BB416" s="462" t="s">
        <v>1</v>
      </c>
      <c r="BM416" s="64">
        <f>IFERROR(X416*I416/H416,"0")</f>
        <v>51.825666666666663</v>
      </c>
      <c r="BN416" s="64">
        <f>IFERROR(Y416*I416/H416,"0")</f>
        <v>57.113999999999997</v>
      </c>
      <c r="BO416" s="64">
        <f>IFERROR(1/J416*(X416/H416),"0")</f>
        <v>8.5069444444444448E-2</v>
      </c>
      <c r="BP416" s="64">
        <f>IFERROR(1/J416*(Y416/H416),"0")</f>
        <v>9.375E-2</v>
      </c>
    </row>
    <row r="417" spans="1:68" ht="37.5" customHeight="1" x14ac:dyDescent="0.25">
      <c r="A417" s="54" t="s">
        <v>636</v>
      </c>
      <c r="B417" s="54" t="s">
        <v>637</v>
      </c>
      <c r="C417" s="31">
        <v>4301051901</v>
      </c>
      <c r="D417" s="669">
        <v>4680115881976</v>
      </c>
      <c r="E417" s="670"/>
      <c r="F417" s="664">
        <v>1.5</v>
      </c>
      <c r="G417" s="32">
        <v>6</v>
      </c>
      <c r="H417" s="664">
        <v>9</v>
      </c>
      <c r="I417" s="664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6" t="s">
        <v>638</v>
      </c>
      <c r="Q417" s="672"/>
      <c r="R417" s="672"/>
      <c r="S417" s="672"/>
      <c r="T417" s="673"/>
      <c r="U417" s="34"/>
      <c r="V417" s="34"/>
      <c r="W417" s="35" t="s">
        <v>68</v>
      </c>
      <c r="X417" s="665">
        <v>0</v>
      </c>
      <c r="Y417" s="666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639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640</v>
      </c>
      <c r="B418" s="54" t="s">
        <v>641</v>
      </c>
      <c r="C418" s="31">
        <v>4301051660</v>
      </c>
      <c r="D418" s="669">
        <v>4607091384253</v>
      </c>
      <c r="E418" s="670"/>
      <c r="F418" s="664">
        <v>0.4</v>
      </c>
      <c r="G418" s="32">
        <v>6</v>
      </c>
      <c r="H418" s="664">
        <v>2.4</v>
      </c>
      <c r="I418" s="664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2"/>
      <c r="R418" s="672"/>
      <c r="S418" s="672"/>
      <c r="T418" s="673"/>
      <c r="U418" s="34"/>
      <c r="V418" s="34"/>
      <c r="W418" s="35" t="s">
        <v>68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635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640</v>
      </c>
      <c r="B419" s="54" t="s">
        <v>642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7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68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643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644</v>
      </c>
      <c r="B420" s="54" t="s">
        <v>645</v>
      </c>
      <c r="C420" s="31">
        <v>4301051444</v>
      </c>
      <c r="D420" s="669">
        <v>4680115881969</v>
      </c>
      <c r="E420" s="670"/>
      <c r="F420" s="664">
        <v>0.4</v>
      </c>
      <c r="G420" s="32">
        <v>6</v>
      </c>
      <c r="H420" s="664">
        <v>2.4</v>
      </c>
      <c r="I420" s="664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8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2"/>
      <c r="R420" s="672"/>
      <c r="S420" s="672"/>
      <c r="T420" s="673"/>
      <c r="U420" s="34"/>
      <c r="V420" s="34"/>
      <c r="W420" s="35" t="s">
        <v>68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646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8"/>
      <c r="B421" s="679"/>
      <c r="C421" s="679"/>
      <c r="D421" s="679"/>
      <c r="E421" s="679"/>
      <c r="F421" s="679"/>
      <c r="G421" s="679"/>
      <c r="H421" s="679"/>
      <c r="I421" s="679"/>
      <c r="J421" s="679"/>
      <c r="K421" s="679"/>
      <c r="L421" s="679"/>
      <c r="M421" s="679"/>
      <c r="N421" s="679"/>
      <c r="O421" s="680"/>
      <c r="P421" s="686" t="s">
        <v>87</v>
      </c>
      <c r="Q421" s="687"/>
      <c r="R421" s="687"/>
      <c r="S421" s="687"/>
      <c r="T421" s="687"/>
      <c r="U421" s="687"/>
      <c r="V421" s="688"/>
      <c r="W421" s="37" t="s">
        <v>88</v>
      </c>
      <c r="X421" s="667">
        <f>IFERROR(X416/H416,"0")+IFERROR(X417/H417,"0")+IFERROR(X418/H418,"0")+IFERROR(X419/H419,"0")+IFERROR(X420/H420,"0")</f>
        <v>5.4444444444444446</v>
      </c>
      <c r="Y421" s="667">
        <f>IFERROR(Y416/H416,"0")+IFERROR(Y417/H417,"0")+IFERROR(Y418/H418,"0")+IFERROR(Y419/H419,"0")+IFERROR(Y420/H420,"0")</f>
        <v>6</v>
      </c>
      <c r="Z421" s="667">
        <f>IFERROR(IF(Z416="",0,Z416),"0")+IFERROR(IF(Z417="",0,Z417),"0")+IFERROR(IF(Z418="",0,Z418),"0")+IFERROR(IF(Z419="",0,Z419),"0")+IFERROR(IF(Z420="",0,Z420),"0")</f>
        <v>0.11388000000000001</v>
      </c>
      <c r="AA421" s="668"/>
      <c r="AB421" s="668"/>
      <c r="AC421" s="668"/>
    </row>
    <row r="422" spans="1:68" x14ac:dyDescent="0.2">
      <c r="A422" s="679"/>
      <c r="B422" s="679"/>
      <c r="C422" s="679"/>
      <c r="D422" s="679"/>
      <c r="E422" s="679"/>
      <c r="F422" s="679"/>
      <c r="G422" s="679"/>
      <c r="H422" s="679"/>
      <c r="I422" s="679"/>
      <c r="J422" s="679"/>
      <c r="K422" s="679"/>
      <c r="L422" s="679"/>
      <c r="M422" s="679"/>
      <c r="N422" s="679"/>
      <c r="O422" s="680"/>
      <c r="P422" s="686" t="s">
        <v>87</v>
      </c>
      <c r="Q422" s="687"/>
      <c r="R422" s="687"/>
      <c r="S422" s="687"/>
      <c r="T422" s="687"/>
      <c r="U422" s="687"/>
      <c r="V422" s="688"/>
      <c r="W422" s="37" t="s">
        <v>68</v>
      </c>
      <c r="X422" s="667">
        <f>IFERROR(SUM(X416:X420),"0")</f>
        <v>49</v>
      </c>
      <c r="Y422" s="667">
        <f>IFERROR(SUM(Y416:Y420),"0")</f>
        <v>54</v>
      </c>
      <c r="Z422" s="37"/>
      <c r="AA422" s="668"/>
      <c r="AB422" s="668"/>
      <c r="AC422" s="668"/>
    </row>
    <row r="423" spans="1:68" ht="14.25" customHeight="1" x14ac:dyDescent="0.25">
      <c r="A423" s="683" t="s">
        <v>170</v>
      </c>
      <c r="B423" s="679"/>
      <c r="C423" s="679"/>
      <c r="D423" s="679"/>
      <c r="E423" s="679"/>
      <c r="F423" s="679"/>
      <c r="G423" s="679"/>
      <c r="H423" s="679"/>
      <c r="I423" s="679"/>
      <c r="J423" s="679"/>
      <c r="K423" s="679"/>
      <c r="L423" s="679"/>
      <c r="M423" s="679"/>
      <c r="N423" s="679"/>
      <c r="O423" s="679"/>
      <c r="P423" s="679"/>
      <c r="Q423" s="679"/>
      <c r="R423" s="679"/>
      <c r="S423" s="679"/>
      <c r="T423" s="679"/>
      <c r="U423" s="679"/>
      <c r="V423" s="679"/>
      <c r="W423" s="679"/>
      <c r="X423" s="679"/>
      <c r="Y423" s="679"/>
      <c r="Z423" s="679"/>
      <c r="AA423" s="661"/>
      <c r="AB423" s="661"/>
      <c r="AC423" s="661"/>
    </row>
    <row r="424" spans="1:68" ht="27" customHeight="1" x14ac:dyDescent="0.25">
      <c r="A424" s="54" t="s">
        <v>647</v>
      </c>
      <c r="B424" s="54" t="s">
        <v>648</v>
      </c>
      <c r="C424" s="31">
        <v>4301060441</v>
      </c>
      <c r="D424" s="669">
        <v>4607091389357</v>
      </c>
      <c r="E424" s="670"/>
      <c r="F424" s="664">
        <v>1.5</v>
      </c>
      <c r="G424" s="32">
        <v>6</v>
      </c>
      <c r="H424" s="664">
        <v>9</v>
      </c>
      <c r="I424" s="664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9" t="s">
        <v>649</v>
      </c>
      <c r="Q424" s="672"/>
      <c r="R424" s="672"/>
      <c r="S424" s="672"/>
      <c r="T424" s="673"/>
      <c r="U424" s="34"/>
      <c r="V424" s="34"/>
      <c r="W424" s="35" t="s">
        <v>68</v>
      </c>
      <c r="X424" s="665">
        <v>0</v>
      </c>
      <c r="Y424" s="66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650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8"/>
      <c r="B425" s="679"/>
      <c r="C425" s="679"/>
      <c r="D425" s="679"/>
      <c r="E425" s="679"/>
      <c r="F425" s="679"/>
      <c r="G425" s="679"/>
      <c r="H425" s="679"/>
      <c r="I425" s="679"/>
      <c r="J425" s="679"/>
      <c r="K425" s="679"/>
      <c r="L425" s="679"/>
      <c r="M425" s="679"/>
      <c r="N425" s="679"/>
      <c r="O425" s="680"/>
      <c r="P425" s="686" t="s">
        <v>87</v>
      </c>
      <c r="Q425" s="687"/>
      <c r="R425" s="687"/>
      <c r="S425" s="687"/>
      <c r="T425" s="687"/>
      <c r="U425" s="687"/>
      <c r="V425" s="688"/>
      <c r="W425" s="37" t="s">
        <v>88</v>
      </c>
      <c r="X425" s="667">
        <f>IFERROR(X424/H424,"0")</f>
        <v>0</v>
      </c>
      <c r="Y425" s="667">
        <f>IFERROR(Y424/H424,"0")</f>
        <v>0</v>
      </c>
      <c r="Z425" s="667">
        <f>IFERROR(IF(Z424="",0,Z424),"0")</f>
        <v>0</v>
      </c>
      <c r="AA425" s="668"/>
      <c r="AB425" s="668"/>
      <c r="AC425" s="668"/>
    </row>
    <row r="426" spans="1:68" x14ac:dyDescent="0.2">
      <c r="A426" s="679"/>
      <c r="B426" s="679"/>
      <c r="C426" s="679"/>
      <c r="D426" s="679"/>
      <c r="E426" s="679"/>
      <c r="F426" s="679"/>
      <c r="G426" s="679"/>
      <c r="H426" s="679"/>
      <c r="I426" s="679"/>
      <c r="J426" s="679"/>
      <c r="K426" s="679"/>
      <c r="L426" s="679"/>
      <c r="M426" s="679"/>
      <c r="N426" s="679"/>
      <c r="O426" s="680"/>
      <c r="P426" s="686" t="s">
        <v>87</v>
      </c>
      <c r="Q426" s="687"/>
      <c r="R426" s="687"/>
      <c r="S426" s="687"/>
      <c r="T426" s="687"/>
      <c r="U426" s="687"/>
      <c r="V426" s="688"/>
      <c r="W426" s="37" t="s">
        <v>68</v>
      </c>
      <c r="X426" s="667">
        <f>IFERROR(SUM(X424:X424),"0")</f>
        <v>0</v>
      </c>
      <c r="Y426" s="667">
        <f>IFERROR(SUM(Y424:Y424),"0")</f>
        <v>0</v>
      </c>
      <c r="Z426" s="37"/>
      <c r="AA426" s="668"/>
      <c r="AB426" s="668"/>
      <c r="AC426" s="668"/>
    </row>
    <row r="427" spans="1:68" ht="27.75" customHeight="1" x14ac:dyDescent="0.2">
      <c r="A427" s="681" t="s">
        <v>651</v>
      </c>
      <c r="B427" s="682"/>
      <c r="C427" s="682"/>
      <c r="D427" s="682"/>
      <c r="E427" s="682"/>
      <c r="F427" s="682"/>
      <c r="G427" s="682"/>
      <c r="H427" s="682"/>
      <c r="I427" s="682"/>
      <c r="J427" s="682"/>
      <c r="K427" s="682"/>
      <c r="L427" s="682"/>
      <c r="M427" s="682"/>
      <c r="N427" s="682"/>
      <c r="O427" s="682"/>
      <c r="P427" s="682"/>
      <c r="Q427" s="682"/>
      <c r="R427" s="682"/>
      <c r="S427" s="682"/>
      <c r="T427" s="682"/>
      <c r="U427" s="682"/>
      <c r="V427" s="682"/>
      <c r="W427" s="682"/>
      <c r="X427" s="682"/>
      <c r="Y427" s="682"/>
      <c r="Z427" s="682"/>
      <c r="AA427" s="48"/>
      <c r="AB427" s="48"/>
      <c r="AC427" s="48"/>
    </row>
    <row r="428" spans="1:68" ht="16.5" customHeight="1" x14ac:dyDescent="0.25">
      <c r="A428" s="718" t="s">
        <v>652</v>
      </c>
      <c r="B428" s="679"/>
      <c r="C428" s="679"/>
      <c r="D428" s="679"/>
      <c r="E428" s="679"/>
      <c r="F428" s="679"/>
      <c r="G428" s="679"/>
      <c r="H428" s="679"/>
      <c r="I428" s="679"/>
      <c r="J428" s="679"/>
      <c r="K428" s="679"/>
      <c r="L428" s="679"/>
      <c r="M428" s="679"/>
      <c r="N428" s="679"/>
      <c r="O428" s="679"/>
      <c r="P428" s="679"/>
      <c r="Q428" s="679"/>
      <c r="R428" s="679"/>
      <c r="S428" s="679"/>
      <c r="T428" s="679"/>
      <c r="U428" s="679"/>
      <c r="V428" s="679"/>
      <c r="W428" s="679"/>
      <c r="X428" s="679"/>
      <c r="Y428" s="679"/>
      <c r="Z428" s="679"/>
      <c r="AA428" s="660"/>
      <c r="AB428" s="660"/>
      <c r="AC428" s="660"/>
    </row>
    <row r="429" spans="1:68" ht="14.25" customHeight="1" x14ac:dyDescent="0.25">
      <c r="A429" s="683" t="s">
        <v>144</v>
      </c>
      <c r="B429" s="679"/>
      <c r="C429" s="679"/>
      <c r="D429" s="679"/>
      <c r="E429" s="679"/>
      <c r="F429" s="679"/>
      <c r="G429" s="679"/>
      <c r="H429" s="679"/>
      <c r="I429" s="679"/>
      <c r="J429" s="679"/>
      <c r="K429" s="679"/>
      <c r="L429" s="679"/>
      <c r="M429" s="679"/>
      <c r="N429" s="679"/>
      <c r="O429" s="679"/>
      <c r="P429" s="679"/>
      <c r="Q429" s="679"/>
      <c r="R429" s="679"/>
      <c r="S429" s="679"/>
      <c r="T429" s="679"/>
      <c r="U429" s="679"/>
      <c r="V429" s="679"/>
      <c r="W429" s="679"/>
      <c r="X429" s="679"/>
      <c r="Y429" s="679"/>
      <c r="Z429" s="679"/>
      <c r="AA429" s="661"/>
      <c r="AB429" s="661"/>
      <c r="AC429" s="661"/>
    </row>
    <row r="430" spans="1:68" ht="27" customHeight="1" x14ac:dyDescent="0.25">
      <c r="A430" s="54" t="s">
        <v>653</v>
      </c>
      <c r="B430" s="54" t="s">
        <v>654</v>
      </c>
      <c r="C430" s="31">
        <v>4301031405</v>
      </c>
      <c r="D430" s="669">
        <v>4680115886100</v>
      </c>
      <c r="E430" s="670"/>
      <c r="F430" s="664">
        <v>0.9</v>
      </c>
      <c r="G430" s="32">
        <v>6</v>
      </c>
      <c r="H430" s="664">
        <v>5.4</v>
      </c>
      <c r="I430" s="664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5" t="s">
        <v>655</v>
      </c>
      <c r="Q430" s="672"/>
      <c r="R430" s="672"/>
      <c r="S430" s="672"/>
      <c r="T430" s="673"/>
      <c r="U430" s="34"/>
      <c r="V430" s="34"/>
      <c r="W430" s="35" t="s">
        <v>68</v>
      </c>
      <c r="X430" s="665">
        <v>0</v>
      </c>
      <c r="Y430" s="666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656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657</v>
      </c>
      <c r="B431" s="54" t="s">
        <v>658</v>
      </c>
      <c r="C431" s="31">
        <v>4301031406</v>
      </c>
      <c r="D431" s="669">
        <v>4680115886117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20" t="s">
        <v>659</v>
      </c>
      <c r="Q431" s="672"/>
      <c r="R431" s="672"/>
      <c r="S431" s="672"/>
      <c r="T431" s="673"/>
      <c r="U431" s="34"/>
      <c r="V431" s="34"/>
      <c r="W431" s="35" t="s">
        <v>68</v>
      </c>
      <c r="X431" s="665">
        <v>0</v>
      </c>
      <c r="Y431" s="666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660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657</v>
      </c>
      <c r="B432" s="54" t="s">
        <v>661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701" t="s">
        <v>659</v>
      </c>
      <c r="Q432" s="672"/>
      <c r="R432" s="672"/>
      <c r="S432" s="672"/>
      <c r="T432" s="673"/>
      <c r="U432" s="34"/>
      <c r="V432" s="34"/>
      <c r="W432" s="35" t="s">
        <v>68</v>
      </c>
      <c r="X432" s="665">
        <v>0</v>
      </c>
      <c r="Y432" s="666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660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662</v>
      </c>
      <c r="B433" s="54" t="s">
        <v>663</v>
      </c>
      <c r="C433" s="31">
        <v>4301031402</v>
      </c>
      <c r="D433" s="669">
        <v>4680115886124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9" t="s">
        <v>664</v>
      </c>
      <c r="Q433" s="672"/>
      <c r="R433" s="672"/>
      <c r="S433" s="672"/>
      <c r="T433" s="673"/>
      <c r="U433" s="34"/>
      <c r="V433" s="34"/>
      <c r="W433" s="35" t="s">
        <v>68</v>
      </c>
      <c r="X433" s="665">
        <v>0</v>
      </c>
      <c r="Y433" s="666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665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666</v>
      </c>
      <c r="B434" s="54" t="s">
        <v>667</v>
      </c>
      <c r="C434" s="31">
        <v>4301031366</v>
      </c>
      <c r="D434" s="669">
        <v>4680115883147</v>
      </c>
      <c r="E434" s="670"/>
      <c r="F434" s="664">
        <v>0.28000000000000003</v>
      </c>
      <c r="G434" s="32">
        <v>6</v>
      </c>
      <c r="H434" s="664">
        <v>1.68</v>
      </c>
      <c r="I434" s="664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7" t="s">
        <v>668</v>
      </c>
      <c r="Q434" s="672"/>
      <c r="R434" s="672"/>
      <c r="S434" s="672"/>
      <c r="T434" s="673"/>
      <c r="U434" s="34"/>
      <c r="V434" s="34"/>
      <c r="W434" s="35" t="s">
        <v>68</v>
      </c>
      <c r="X434" s="665">
        <v>0</v>
      </c>
      <c r="Y434" s="666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656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666</v>
      </c>
      <c r="B435" s="54" t="s">
        <v>669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3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68</v>
      </c>
      <c r="X435" s="665">
        <v>0</v>
      </c>
      <c r="Y435" s="666">
        <f t="shared" si="63"/>
        <v>0</v>
      </c>
      <c r="Z435" s="36" t="str">
        <f t="shared" si="68"/>
        <v/>
      </c>
      <c r="AA435" s="56"/>
      <c r="AB435" s="57"/>
      <c r="AC435" s="483" t="s">
        <v>656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670</v>
      </c>
      <c r="B436" s="54" t="s">
        <v>671</v>
      </c>
      <c r="C436" s="31">
        <v>4301031362</v>
      </c>
      <c r="D436" s="669">
        <v>4607091384338</v>
      </c>
      <c r="E436" s="670"/>
      <c r="F436" s="664">
        <v>0.35</v>
      </c>
      <c r="G436" s="32">
        <v>6</v>
      </c>
      <c r="H436" s="664">
        <v>2.1</v>
      </c>
      <c r="I436" s="664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2"/>
      <c r="R436" s="672"/>
      <c r="S436" s="672"/>
      <c r="T436" s="673"/>
      <c r="U436" s="34"/>
      <c r="V436" s="34"/>
      <c r="W436" s="35" t="s">
        <v>68</v>
      </c>
      <c r="X436" s="665">
        <v>0</v>
      </c>
      <c r="Y436" s="666">
        <f t="shared" si="63"/>
        <v>0</v>
      </c>
      <c r="Z436" s="36" t="str">
        <f t="shared" si="68"/>
        <v/>
      </c>
      <c r="AA436" s="56"/>
      <c r="AB436" s="57"/>
      <c r="AC436" s="485" t="s">
        <v>656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672</v>
      </c>
      <c r="B437" s="54" t="s">
        <v>673</v>
      </c>
      <c r="C437" s="31">
        <v>4301031361</v>
      </c>
      <c r="D437" s="669">
        <v>4607091389524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68</v>
      </c>
      <c r="X437" s="665">
        <v>0</v>
      </c>
      <c r="Y437" s="666">
        <f t="shared" si="63"/>
        <v>0</v>
      </c>
      <c r="Z437" s="36" t="str">
        <f t="shared" si="68"/>
        <v/>
      </c>
      <c r="AA437" s="56"/>
      <c r="AB437" s="57"/>
      <c r="AC437" s="487" t="s">
        <v>674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675</v>
      </c>
      <c r="B438" s="54" t="s">
        <v>676</v>
      </c>
      <c r="C438" s="31">
        <v>4301031364</v>
      </c>
      <c r="D438" s="669">
        <v>4680115883161</v>
      </c>
      <c r="E438" s="670"/>
      <c r="F438" s="664">
        <v>0.28000000000000003</v>
      </c>
      <c r="G438" s="32">
        <v>6</v>
      </c>
      <c r="H438" s="664">
        <v>1.68</v>
      </c>
      <c r="I438" s="664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5" t="s">
        <v>677</v>
      </c>
      <c r="Q438" s="672"/>
      <c r="R438" s="672"/>
      <c r="S438" s="672"/>
      <c r="T438" s="673"/>
      <c r="U438" s="34"/>
      <c r="V438" s="34"/>
      <c r="W438" s="35" t="s">
        <v>68</v>
      </c>
      <c r="X438" s="665">
        <v>0</v>
      </c>
      <c r="Y438" s="666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675</v>
      </c>
      <c r="B439" s="54" t="s">
        <v>679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8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68</v>
      </c>
      <c r="X439" s="665">
        <v>0</v>
      </c>
      <c r="Y439" s="666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680</v>
      </c>
      <c r="B440" s="54" t="s">
        <v>681</v>
      </c>
      <c r="C440" s="31">
        <v>4301031358</v>
      </c>
      <c r="D440" s="669">
        <v>4607091389531</v>
      </c>
      <c r="E440" s="670"/>
      <c r="F440" s="664">
        <v>0.35</v>
      </c>
      <c r="G440" s="32">
        <v>6</v>
      </c>
      <c r="H440" s="664">
        <v>2.1</v>
      </c>
      <c r="I440" s="664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2"/>
      <c r="R440" s="672"/>
      <c r="S440" s="672"/>
      <c r="T440" s="673"/>
      <c r="U440" s="34"/>
      <c r="V440" s="34"/>
      <c r="W440" s="35" t="s">
        <v>68</v>
      </c>
      <c r="X440" s="665">
        <v>0</v>
      </c>
      <c r="Y440" s="666">
        <f t="shared" si="63"/>
        <v>0</v>
      </c>
      <c r="Z440" s="36" t="str">
        <f t="shared" si="68"/>
        <v/>
      </c>
      <c r="AA440" s="56"/>
      <c r="AB440" s="57"/>
      <c r="AC440" s="493" t="s">
        <v>682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683</v>
      </c>
      <c r="B441" s="54" t="s">
        <v>684</v>
      </c>
      <c r="C441" s="31">
        <v>4301031360</v>
      </c>
      <c r="D441" s="669">
        <v>4607091384345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2"/>
      <c r="R441" s="672"/>
      <c r="S441" s="672"/>
      <c r="T441" s="673"/>
      <c r="U441" s="34"/>
      <c r="V441" s="34"/>
      <c r="W441" s="35" t="s">
        <v>68</v>
      </c>
      <c r="X441" s="665">
        <v>0</v>
      </c>
      <c r="Y441" s="666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8"/>
      <c r="B442" s="679"/>
      <c r="C442" s="679"/>
      <c r="D442" s="679"/>
      <c r="E442" s="679"/>
      <c r="F442" s="679"/>
      <c r="G442" s="679"/>
      <c r="H442" s="679"/>
      <c r="I442" s="679"/>
      <c r="J442" s="679"/>
      <c r="K442" s="679"/>
      <c r="L442" s="679"/>
      <c r="M442" s="679"/>
      <c r="N442" s="679"/>
      <c r="O442" s="680"/>
      <c r="P442" s="686" t="s">
        <v>87</v>
      </c>
      <c r="Q442" s="687"/>
      <c r="R442" s="687"/>
      <c r="S442" s="687"/>
      <c r="T442" s="687"/>
      <c r="U442" s="687"/>
      <c r="V442" s="688"/>
      <c r="W442" s="37" t="s">
        <v>88</v>
      </c>
      <c r="X442" s="66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8"/>
      <c r="AB442" s="668"/>
      <c r="AC442" s="668"/>
    </row>
    <row r="443" spans="1:68" x14ac:dyDescent="0.2">
      <c r="A443" s="679"/>
      <c r="B443" s="679"/>
      <c r="C443" s="679"/>
      <c r="D443" s="679"/>
      <c r="E443" s="679"/>
      <c r="F443" s="679"/>
      <c r="G443" s="679"/>
      <c r="H443" s="679"/>
      <c r="I443" s="679"/>
      <c r="J443" s="679"/>
      <c r="K443" s="679"/>
      <c r="L443" s="679"/>
      <c r="M443" s="679"/>
      <c r="N443" s="679"/>
      <c r="O443" s="680"/>
      <c r="P443" s="686" t="s">
        <v>87</v>
      </c>
      <c r="Q443" s="687"/>
      <c r="R443" s="687"/>
      <c r="S443" s="687"/>
      <c r="T443" s="687"/>
      <c r="U443" s="687"/>
      <c r="V443" s="688"/>
      <c r="W443" s="37" t="s">
        <v>68</v>
      </c>
      <c r="X443" s="667">
        <f>IFERROR(SUM(X430:X441),"0")</f>
        <v>0</v>
      </c>
      <c r="Y443" s="667">
        <f>IFERROR(SUM(Y430:Y441),"0")</f>
        <v>0</v>
      </c>
      <c r="Z443" s="37"/>
      <c r="AA443" s="668"/>
      <c r="AB443" s="668"/>
      <c r="AC443" s="668"/>
    </row>
    <row r="444" spans="1:68" ht="14.25" customHeight="1" x14ac:dyDescent="0.25">
      <c r="A444" s="683" t="s">
        <v>63</v>
      </c>
      <c r="B444" s="679"/>
      <c r="C444" s="679"/>
      <c r="D444" s="679"/>
      <c r="E444" s="679"/>
      <c r="F444" s="679"/>
      <c r="G444" s="679"/>
      <c r="H444" s="679"/>
      <c r="I444" s="679"/>
      <c r="J444" s="679"/>
      <c r="K444" s="679"/>
      <c r="L444" s="679"/>
      <c r="M444" s="679"/>
      <c r="N444" s="679"/>
      <c r="O444" s="679"/>
      <c r="P444" s="679"/>
      <c r="Q444" s="679"/>
      <c r="R444" s="679"/>
      <c r="S444" s="679"/>
      <c r="T444" s="679"/>
      <c r="U444" s="679"/>
      <c r="V444" s="679"/>
      <c r="W444" s="679"/>
      <c r="X444" s="679"/>
      <c r="Y444" s="679"/>
      <c r="Z444" s="679"/>
      <c r="AA444" s="661"/>
      <c r="AB444" s="661"/>
      <c r="AC444" s="661"/>
    </row>
    <row r="445" spans="1:68" ht="27" customHeight="1" x14ac:dyDescent="0.25">
      <c r="A445" s="54" t="s">
        <v>685</v>
      </c>
      <c r="B445" s="54" t="s">
        <v>686</v>
      </c>
      <c r="C445" s="31">
        <v>4301051284</v>
      </c>
      <c r="D445" s="669">
        <v>4607091384352</v>
      </c>
      <c r="E445" s="670"/>
      <c r="F445" s="664">
        <v>0.6</v>
      </c>
      <c r="G445" s="32">
        <v>4</v>
      </c>
      <c r="H445" s="664">
        <v>2.4</v>
      </c>
      <c r="I445" s="664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2"/>
      <c r="R445" s="672"/>
      <c r="S445" s="672"/>
      <c r="T445" s="673"/>
      <c r="U445" s="34"/>
      <c r="V445" s="34"/>
      <c r="W445" s="35" t="s">
        <v>68</v>
      </c>
      <c r="X445" s="665">
        <v>0</v>
      </c>
      <c r="Y445" s="666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687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688</v>
      </c>
      <c r="B446" s="54" t="s">
        <v>689</v>
      </c>
      <c r="C446" s="31">
        <v>4301051431</v>
      </c>
      <c r="D446" s="669">
        <v>4607091389654</v>
      </c>
      <c r="E446" s="670"/>
      <c r="F446" s="664">
        <v>0.33</v>
      </c>
      <c r="G446" s="32">
        <v>6</v>
      </c>
      <c r="H446" s="664">
        <v>1.98</v>
      </c>
      <c r="I446" s="664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2"/>
      <c r="R446" s="672"/>
      <c r="S446" s="672"/>
      <c r="T446" s="673"/>
      <c r="U446" s="34"/>
      <c r="V446" s="34"/>
      <c r="W446" s="35" t="s">
        <v>68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690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8"/>
      <c r="B447" s="679"/>
      <c r="C447" s="679"/>
      <c r="D447" s="679"/>
      <c r="E447" s="679"/>
      <c r="F447" s="679"/>
      <c r="G447" s="679"/>
      <c r="H447" s="679"/>
      <c r="I447" s="679"/>
      <c r="J447" s="679"/>
      <c r="K447" s="679"/>
      <c r="L447" s="679"/>
      <c r="M447" s="679"/>
      <c r="N447" s="679"/>
      <c r="O447" s="680"/>
      <c r="P447" s="686" t="s">
        <v>87</v>
      </c>
      <c r="Q447" s="687"/>
      <c r="R447" s="687"/>
      <c r="S447" s="687"/>
      <c r="T447" s="687"/>
      <c r="U447" s="687"/>
      <c r="V447" s="688"/>
      <c r="W447" s="37" t="s">
        <v>88</v>
      </c>
      <c r="X447" s="667">
        <f>IFERROR(X445/H445,"0")+IFERROR(X446/H446,"0")</f>
        <v>0</v>
      </c>
      <c r="Y447" s="667">
        <f>IFERROR(Y445/H445,"0")+IFERROR(Y446/H446,"0")</f>
        <v>0</v>
      </c>
      <c r="Z447" s="667">
        <f>IFERROR(IF(Z445="",0,Z445),"0")+IFERROR(IF(Z446="",0,Z446),"0")</f>
        <v>0</v>
      </c>
      <c r="AA447" s="668"/>
      <c r="AB447" s="668"/>
      <c r="AC447" s="668"/>
    </row>
    <row r="448" spans="1:68" x14ac:dyDescent="0.2">
      <c r="A448" s="679"/>
      <c r="B448" s="679"/>
      <c r="C448" s="679"/>
      <c r="D448" s="679"/>
      <c r="E448" s="679"/>
      <c r="F448" s="679"/>
      <c r="G448" s="679"/>
      <c r="H448" s="679"/>
      <c r="I448" s="679"/>
      <c r="J448" s="679"/>
      <c r="K448" s="679"/>
      <c r="L448" s="679"/>
      <c r="M448" s="679"/>
      <c r="N448" s="679"/>
      <c r="O448" s="680"/>
      <c r="P448" s="686" t="s">
        <v>87</v>
      </c>
      <c r="Q448" s="687"/>
      <c r="R448" s="687"/>
      <c r="S448" s="687"/>
      <c r="T448" s="687"/>
      <c r="U448" s="687"/>
      <c r="V448" s="688"/>
      <c r="W448" s="37" t="s">
        <v>68</v>
      </c>
      <c r="X448" s="667">
        <f>IFERROR(SUM(X445:X446),"0")</f>
        <v>0</v>
      </c>
      <c r="Y448" s="667">
        <f>IFERROR(SUM(Y445:Y446),"0")</f>
        <v>0</v>
      </c>
      <c r="Z448" s="37"/>
      <c r="AA448" s="668"/>
      <c r="AB448" s="668"/>
      <c r="AC448" s="668"/>
    </row>
    <row r="449" spans="1:68" ht="16.5" customHeight="1" x14ac:dyDescent="0.25">
      <c r="A449" s="718" t="s">
        <v>691</v>
      </c>
      <c r="B449" s="679"/>
      <c r="C449" s="679"/>
      <c r="D449" s="679"/>
      <c r="E449" s="679"/>
      <c r="F449" s="679"/>
      <c r="G449" s="679"/>
      <c r="H449" s="679"/>
      <c r="I449" s="679"/>
      <c r="J449" s="679"/>
      <c r="K449" s="679"/>
      <c r="L449" s="679"/>
      <c r="M449" s="679"/>
      <c r="N449" s="679"/>
      <c r="O449" s="679"/>
      <c r="P449" s="679"/>
      <c r="Q449" s="679"/>
      <c r="R449" s="679"/>
      <c r="S449" s="679"/>
      <c r="T449" s="679"/>
      <c r="U449" s="679"/>
      <c r="V449" s="679"/>
      <c r="W449" s="679"/>
      <c r="X449" s="679"/>
      <c r="Y449" s="679"/>
      <c r="Z449" s="679"/>
      <c r="AA449" s="660"/>
      <c r="AB449" s="660"/>
      <c r="AC449" s="660"/>
    </row>
    <row r="450" spans="1:68" ht="14.25" customHeight="1" x14ac:dyDescent="0.25">
      <c r="A450" s="683" t="s">
        <v>133</v>
      </c>
      <c r="B450" s="679"/>
      <c r="C450" s="679"/>
      <c r="D450" s="679"/>
      <c r="E450" s="679"/>
      <c r="F450" s="679"/>
      <c r="G450" s="679"/>
      <c r="H450" s="679"/>
      <c r="I450" s="679"/>
      <c r="J450" s="679"/>
      <c r="K450" s="679"/>
      <c r="L450" s="679"/>
      <c r="M450" s="679"/>
      <c r="N450" s="679"/>
      <c r="O450" s="679"/>
      <c r="P450" s="679"/>
      <c r="Q450" s="679"/>
      <c r="R450" s="679"/>
      <c r="S450" s="679"/>
      <c r="T450" s="679"/>
      <c r="U450" s="679"/>
      <c r="V450" s="679"/>
      <c r="W450" s="679"/>
      <c r="X450" s="679"/>
      <c r="Y450" s="679"/>
      <c r="Z450" s="679"/>
      <c r="AA450" s="661"/>
      <c r="AB450" s="661"/>
      <c r="AC450" s="661"/>
    </row>
    <row r="451" spans="1:68" ht="27" customHeight="1" x14ac:dyDescent="0.25">
      <c r="A451" s="54" t="s">
        <v>692</v>
      </c>
      <c r="B451" s="54" t="s">
        <v>693</v>
      </c>
      <c r="C451" s="31">
        <v>4301020319</v>
      </c>
      <c r="D451" s="669">
        <v>4680115885240</v>
      </c>
      <c r="E451" s="670"/>
      <c r="F451" s="664">
        <v>0.35</v>
      </c>
      <c r="G451" s="32">
        <v>6</v>
      </c>
      <c r="H451" s="664">
        <v>2.1</v>
      </c>
      <c r="I451" s="664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2"/>
      <c r="R451" s="672"/>
      <c r="S451" s="672"/>
      <c r="T451" s="673"/>
      <c r="U451" s="34"/>
      <c r="V451" s="34"/>
      <c r="W451" s="35" t="s">
        <v>68</v>
      </c>
      <c r="X451" s="665">
        <v>0</v>
      </c>
      <c r="Y451" s="666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694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695</v>
      </c>
      <c r="B452" s="54" t="s">
        <v>696</v>
      </c>
      <c r="C452" s="31">
        <v>4301020315</v>
      </c>
      <c r="D452" s="669">
        <v>4607091389364</v>
      </c>
      <c r="E452" s="670"/>
      <c r="F452" s="664">
        <v>0.42</v>
      </c>
      <c r="G452" s="32">
        <v>6</v>
      </c>
      <c r="H452" s="664">
        <v>2.52</v>
      </c>
      <c r="I452" s="664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3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2"/>
      <c r="R452" s="672"/>
      <c r="S452" s="672"/>
      <c r="T452" s="673"/>
      <c r="U452" s="34"/>
      <c r="V452" s="34"/>
      <c r="W452" s="35" t="s">
        <v>68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697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8"/>
      <c r="B453" s="679"/>
      <c r="C453" s="679"/>
      <c r="D453" s="679"/>
      <c r="E453" s="679"/>
      <c r="F453" s="679"/>
      <c r="G453" s="679"/>
      <c r="H453" s="679"/>
      <c r="I453" s="679"/>
      <c r="J453" s="679"/>
      <c r="K453" s="679"/>
      <c r="L453" s="679"/>
      <c r="M453" s="679"/>
      <c r="N453" s="679"/>
      <c r="O453" s="680"/>
      <c r="P453" s="686" t="s">
        <v>87</v>
      </c>
      <c r="Q453" s="687"/>
      <c r="R453" s="687"/>
      <c r="S453" s="687"/>
      <c r="T453" s="687"/>
      <c r="U453" s="687"/>
      <c r="V453" s="688"/>
      <c r="W453" s="37" t="s">
        <v>88</v>
      </c>
      <c r="X453" s="667">
        <f>IFERROR(X451/H451,"0")+IFERROR(X452/H452,"0")</f>
        <v>0</v>
      </c>
      <c r="Y453" s="667">
        <f>IFERROR(Y451/H451,"0")+IFERROR(Y452/H452,"0")</f>
        <v>0</v>
      </c>
      <c r="Z453" s="667">
        <f>IFERROR(IF(Z451="",0,Z451),"0")+IFERROR(IF(Z452="",0,Z452),"0")</f>
        <v>0</v>
      </c>
      <c r="AA453" s="668"/>
      <c r="AB453" s="668"/>
      <c r="AC453" s="668"/>
    </row>
    <row r="454" spans="1:68" x14ac:dyDescent="0.2">
      <c r="A454" s="679"/>
      <c r="B454" s="679"/>
      <c r="C454" s="679"/>
      <c r="D454" s="679"/>
      <c r="E454" s="679"/>
      <c r="F454" s="679"/>
      <c r="G454" s="679"/>
      <c r="H454" s="679"/>
      <c r="I454" s="679"/>
      <c r="J454" s="679"/>
      <c r="K454" s="679"/>
      <c r="L454" s="679"/>
      <c r="M454" s="679"/>
      <c r="N454" s="679"/>
      <c r="O454" s="680"/>
      <c r="P454" s="686" t="s">
        <v>87</v>
      </c>
      <c r="Q454" s="687"/>
      <c r="R454" s="687"/>
      <c r="S454" s="687"/>
      <c r="T454" s="687"/>
      <c r="U454" s="687"/>
      <c r="V454" s="688"/>
      <c r="W454" s="37" t="s">
        <v>68</v>
      </c>
      <c r="X454" s="667">
        <f>IFERROR(SUM(X451:X452),"0")</f>
        <v>0</v>
      </c>
      <c r="Y454" s="667">
        <f>IFERROR(SUM(Y451:Y452),"0")</f>
        <v>0</v>
      </c>
      <c r="Z454" s="37"/>
      <c r="AA454" s="668"/>
      <c r="AB454" s="668"/>
      <c r="AC454" s="668"/>
    </row>
    <row r="455" spans="1:68" ht="14.25" customHeight="1" x14ac:dyDescent="0.25">
      <c r="A455" s="683" t="s">
        <v>144</v>
      </c>
      <c r="B455" s="679"/>
      <c r="C455" s="679"/>
      <c r="D455" s="679"/>
      <c r="E455" s="679"/>
      <c r="F455" s="679"/>
      <c r="G455" s="679"/>
      <c r="H455" s="679"/>
      <c r="I455" s="679"/>
      <c r="J455" s="679"/>
      <c r="K455" s="679"/>
      <c r="L455" s="679"/>
      <c r="M455" s="679"/>
      <c r="N455" s="679"/>
      <c r="O455" s="679"/>
      <c r="P455" s="679"/>
      <c r="Q455" s="679"/>
      <c r="R455" s="679"/>
      <c r="S455" s="679"/>
      <c r="T455" s="679"/>
      <c r="U455" s="679"/>
      <c r="V455" s="679"/>
      <c r="W455" s="679"/>
      <c r="X455" s="679"/>
      <c r="Y455" s="679"/>
      <c r="Z455" s="679"/>
      <c r="AA455" s="661"/>
      <c r="AB455" s="661"/>
      <c r="AC455" s="661"/>
    </row>
    <row r="456" spans="1:68" ht="27" customHeight="1" x14ac:dyDescent="0.25">
      <c r="A456" s="54" t="s">
        <v>698</v>
      </c>
      <c r="B456" s="54" t="s">
        <v>699</v>
      </c>
      <c r="C456" s="31">
        <v>4301031403</v>
      </c>
      <c r="D456" s="669">
        <v>4680115886094</v>
      </c>
      <c r="E456" s="670"/>
      <c r="F456" s="664">
        <v>0.9</v>
      </c>
      <c r="G456" s="32">
        <v>6</v>
      </c>
      <c r="H456" s="664">
        <v>5.4</v>
      </c>
      <c r="I456" s="664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2" t="s">
        <v>700</v>
      </c>
      <c r="Q456" s="672"/>
      <c r="R456" s="672"/>
      <c r="S456" s="672"/>
      <c r="T456" s="673"/>
      <c r="U456" s="34"/>
      <c r="V456" s="34"/>
      <c r="W456" s="35" t="s">
        <v>68</v>
      </c>
      <c r="X456" s="665">
        <v>33</v>
      </c>
      <c r="Y456" s="666">
        <f>IFERROR(IF(X456="",0,CEILING((X456/$H456),1)*$H456),"")</f>
        <v>37.800000000000004</v>
      </c>
      <c r="Z456" s="36">
        <f>IFERROR(IF(Y456=0,"",ROUNDUP(Y456/H456,0)*0.00902),"")</f>
        <v>6.3140000000000002E-2</v>
      </c>
      <c r="AA456" s="56"/>
      <c r="AB456" s="57"/>
      <c r="AC456" s="505" t="s">
        <v>701</v>
      </c>
      <c r="AG456" s="64"/>
      <c r="AJ456" s="68"/>
      <c r="AK456" s="68">
        <v>0</v>
      </c>
      <c r="BB456" s="506" t="s">
        <v>1</v>
      </c>
      <c r="BM456" s="64">
        <f>IFERROR(X456*I456/H456,"0")</f>
        <v>34.283333333333339</v>
      </c>
      <c r="BN456" s="64">
        <f>IFERROR(Y456*I456/H456,"0")</f>
        <v>39.270000000000003</v>
      </c>
      <c r="BO456" s="64">
        <f>IFERROR(1/J456*(X456/H456),"0")</f>
        <v>4.6296296296296294E-2</v>
      </c>
      <c r="BP456" s="64">
        <f>IFERROR(1/J456*(Y456/H456),"0")</f>
        <v>5.3030303030303032E-2</v>
      </c>
    </row>
    <row r="457" spans="1:68" ht="27" customHeight="1" x14ac:dyDescent="0.25">
      <c r="A457" s="54" t="s">
        <v>702</v>
      </c>
      <c r="B457" s="54" t="s">
        <v>703</v>
      </c>
      <c r="C457" s="31">
        <v>4301031363</v>
      </c>
      <c r="D457" s="669">
        <v>4607091389425</v>
      </c>
      <c r="E457" s="670"/>
      <c r="F457" s="664">
        <v>0.35</v>
      </c>
      <c r="G457" s="32">
        <v>6</v>
      </c>
      <c r="H457" s="664">
        <v>2.1</v>
      </c>
      <c r="I457" s="664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70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2"/>
      <c r="R457" s="672"/>
      <c r="S457" s="672"/>
      <c r="T457" s="673"/>
      <c r="U457" s="34"/>
      <c r="V457" s="34"/>
      <c r="W457" s="35" t="s">
        <v>68</v>
      </c>
      <c r="X457" s="665">
        <v>0</v>
      </c>
      <c r="Y457" s="666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704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705</v>
      </c>
      <c r="B458" s="54" t="s">
        <v>706</v>
      </c>
      <c r="C458" s="31">
        <v>4301031373</v>
      </c>
      <c r="D458" s="669">
        <v>4680115880771</v>
      </c>
      <c r="E458" s="670"/>
      <c r="F458" s="664">
        <v>0.28000000000000003</v>
      </c>
      <c r="G458" s="32">
        <v>6</v>
      </c>
      <c r="H458" s="664">
        <v>1.68</v>
      </c>
      <c r="I458" s="664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31" t="s">
        <v>707</v>
      </c>
      <c r="Q458" s="672"/>
      <c r="R458" s="672"/>
      <c r="S458" s="672"/>
      <c r="T458" s="673"/>
      <c r="U458" s="34"/>
      <c r="V458" s="34"/>
      <c r="W458" s="35" t="s">
        <v>68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708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709</v>
      </c>
      <c r="B459" s="54" t="s">
        <v>710</v>
      </c>
      <c r="C459" s="31">
        <v>4301031359</v>
      </c>
      <c r="D459" s="669">
        <v>4607091389500</v>
      </c>
      <c r="E459" s="670"/>
      <c r="F459" s="664">
        <v>0.35</v>
      </c>
      <c r="G459" s="32">
        <v>6</v>
      </c>
      <c r="H459" s="664">
        <v>2.1</v>
      </c>
      <c r="I459" s="664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1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2"/>
      <c r="R459" s="672"/>
      <c r="S459" s="672"/>
      <c r="T459" s="673"/>
      <c r="U459" s="34"/>
      <c r="V459" s="34"/>
      <c r="W459" s="35" t="s">
        <v>68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708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8"/>
      <c r="B460" s="679"/>
      <c r="C460" s="679"/>
      <c r="D460" s="679"/>
      <c r="E460" s="679"/>
      <c r="F460" s="679"/>
      <c r="G460" s="679"/>
      <c r="H460" s="679"/>
      <c r="I460" s="679"/>
      <c r="J460" s="679"/>
      <c r="K460" s="679"/>
      <c r="L460" s="679"/>
      <c r="M460" s="679"/>
      <c r="N460" s="679"/>
      <c r="O460" s="680"/>
      <c r="P460" s="686" t="s">
        <v>87</v>
      </c>
      <c r="Q460" s="687"/>
      <c r="R460" s="687"/>
      <c r="S460" s="687"/>
      <c r="T460" s="687"/>
      <c r="U460" s="687"/>
      <c r="V460" s="688"/>
      <c r="W460" s="37" t="s">
        <v>88</v>
      </c>
      <c r="X460" s="667">
        <f>IFERROR(X456/H456,"0")+IFERROR(X457/H457,"0")+IFERROR(X458/H458,"0")+IFERROR(X459/H459,"0")</f>
        <v>6.1111111111111107</v>
      </c>
      <c r="Y460" s="667">
        <f>IFERROR(Y456/H456,"0")+IFERROR(Y457/H457,"0")+IFERROR(Y458/H458,"0")+IFERROR(Y459/H459,"0")</f>
        <v>7</v>
      </c>
      <c r="Z460" s="667">
        <f>IFERROR(IF(Z456="",0,Z456),"0")+IFERROR(IF(Z457="",0,Z457),"0")+IFERROR(IF(Z458="",0,Z458),"0")+IFERROR(IF(Z459="",0,Z459),"0")</f>
        <v>6.3140000000000002E-2</v>
      </c>
      <c r="AA460" s="668"/>
      <c r="AB460" s="668"/>
      <c r="AC460" s="668"/>
    </row>
    <row r="461" spans="1:68" x14ac:dyDescent="0.2">
      <c r="A461" s="679"/>
      <c r="B461" s="679"/>
      <c r="C461" s="679"/>
      <c r="D461" s="679"/>
      <c r="E461" s="679"/>
      <c r="F461" s="679"/>
      <c r="G461" s="679"/>
      <c r="H461" s="679"/>
      <c r="I461" s="679"/>
      <c r="J461" s="679"/>
      <c r="K461" s="679"/>
      <c r="L461" s="679"/>
      <c r="M461" s="679"/>
      <c r="N461" s="679"/>
      <c r="O461" s="680"/>
      <c r="P461" s="686" t="s">
        <v>87</v>
      </c>
      <c r="Q461" s="687"/>
      <c r="R461" s="687"/>
      <c r="S461" s="687"/>
      <c r="T461" s="687"/>
      <c r="U461" s="687"/>
      <c r="V461" s="688"/>
      <c r="W461" s="37" t="s">
        <v>68</v>
      </c>
      <c r="X461" s="667">
        <f>IFERROR(SUM(X456:X459),"0")</f>
        <v>33</v>
      </c>
      <c r="Y461" s="667">
        <f>IFERROR(SUM(Y456:Y459),"0")</f>
        <v>37.800000000000004</v>
      </c>
      <c r="Z461" s="37"/>
      <c r="AA461" s="668"/>
      <c r="AB461" s="668"/>
      <c r="AC461" s="668"/>
    </row>
    <row r="462" spans="1:68" ht="16.5" customHeight="1" x14ac:dyDescent="0.25">
      <c r="A462" s="718" t="s">
        <v>711</v>
      </c>
      <c r="B462" s="679"/>
      <c r="C462" s="679"/>
      <c r="D462" s="679"/>
      <c r="E462" s="679"/>
      <c r="F462" s="679"/>
      <c r="G462" s="679"/>
      <c r="H462" s="679"/>
      <c r="I462" s="679"/>
      <c r="J462" s="679"/>
      <c r="K462" s="679"/>
      <c r="L462" s="679"/>
      <c r="M462" s="679"/>
      <c r="N462" s="679"/>
      <c r="O462" s="679"/>
      <c r="P462" s="679"/>
      <c r="Q462" s="679"/>
      <c r="R462" s="679"/>
      <c r="S462" s="679"/>
      <c r="T462" s="679"/>
      <c r="U462" s="679"/>
      <c r="V462" s="679"/>
      <c r="W462" s="679"/>
      <c r="X462" s="679"/>
      <c r="Y462" s="679"/>
      <c r="Z462" s="679"/>
      <c r="AA462" s="660"/>
      <c r="AB462" s="660"/>
      <c r="AC462" s="660"/>
    </row>
    <row r="463" spans="1:68" ht="14.25" customHeight="1" x14ac:dyDescent="0.25">
      <c r="A463" s="683" t="s">
        <v>144</v>
      </c>
      <c r="B463" s="679"/>
      <c r="C463" s="679"/>
      <c r="D463" s="679"/>
      <c r="E463" s="679"/>
      <c r="F463" s="679"/>
      <c r="G463" s="679"/>
      <c r="H463" s="679"/>
      <c r="I463" s="679"/>
      <c r="J463" s="679"/>
      <c r="K463" s="679"/>
      <c r="L463" s="679"/>
      <c r="M463" s="679"/>
      <c r="N463" s="679"/>
      <c r="O463" s="679"/>
      <c r="P463" s="679"/>
      <c r="Q463" s="679"/>
      <c r="R463" s="679"/>
      <c r="S463" s="679"/>
      <c r="T463" s="679"/>
      <c r="U463" s="679"/>
      <c r="V463" s="679"/>
      <c r="W463" s="679"/>
      <c r="X463" s="679"/>
      <c r="Y463" s="679"/>
      <c r="Z463" s="679"/>
      <c r="AA463" s="661"/>
      <c r="AB463" s="661"/>
      <c r="AC463" s="661"/>
    </row>
    <row r="464" spans="1:68" ht="27" customHeight="1" x14ac:dyDescent="0.25">
      <c r="A464" s="54" t="s">
        <v>712</v>
      </c>
      <c r="B464" s="54" t="s">
        <v>713</v>
      </c>
      <c r="C464" s="31">
        <v>4301031294</v>
      </c>
      <c r="D464" s="669">
        <v>4680115885189</v>
      </c>
      <c r="E464" s="670"/>
      <c r="F464" s="664">
        <v>0.2</v>
      </c>
      <c r="G464" s="32">
        <v>6</v>
      </c>
      <c r="H464" s="664">
        <v>1.2</v>
      </c>
      <c r="I464" s="664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7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2"/>
      <c r="R464" s="672"/>
      <c r="S464" s="672"/>
      <c r="T464" s="673"/>
      <c r="U464" s="34"/>
      <c r="V464" s="34"/>
      <c r="W464" s="35" t="s">
        <v>68</v>
      </c>
      <c r="X464" s="665">
        <v>0</v>
      </c>
      <c r="Y464" s="666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714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715</v>
      </c>
      <c r="B465" s="54" t="s">
        <v>716</v>
      </c>
      <c r="C465" s="31">
        <v>4301031347</v>
      </c>
      <c r="D465" s="669">
        <v>4680115885110</v>
      </c>
      <c r="E465" s="670"/>
      <c r="F465" s="664">
        <v>0.2</v>
      </c>
      <c r="G465" s="32">
        <v>6</v>
      </c>
      <c r="H465" s="664">
        <v>1.2</v>
      </c>
      <c r="I465" s="664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3" t="s">
        <v>717</v>
      </c>
      <c r="Q465" s="672"/>
      <c r="R465" s="672"/>
      <c r="S465" s="672"/>
      <c r="T465" s="673"/>
      <c r="U465" s="34"/>
      <c r="V465" s="34"/>
      <c r="W465" s="35" t="s">
        <v>68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8"/>
      <c r="B466" s="679"/>
      <c r="C466" s="679"/>
      <c r="D466" s="679"/>
      <c r="E466" s="679"/>
      <c r="F466" s="679"/>
      <c r="G466" s="679"/>
      <c r="H466" s="679"/>
      <c r="I466" s="679"/>
      <c r="J466" s="679"/>
      <c r="K466" s="679"/>
      <c r="L466" s="679"/>
      <c r="M466" s="679"/>
      <c r="N466" s="679"/>
      <c r="O466" s="680"/>
      <c r="P466" s="686" t="s">
        <v>87</v>
      </c>
      <c r="Q466" s="687"/>
      <c r="R466" s="687"/>
      <c r="S466" s="687"/>
      <c r="T466" s="687"/>
      <c r="U466" s="687"/>
      <c r="V466" s="688"/>
      <c r="W466" s="37" t="s">
        <v>88</v>
      </c>
      <c r="X466" s="667">
        <f>IFERROR(X464/H464,"0")+IFERROR(X465/H465,"0")</f>
        <v>0</v>
      </c>
      <c r="Y466" s="667">
        <f>IFERROR(Y464/H464,"0")+IFERROR(Y465/H465,"0")</f>
        <v>0</v>
      </c>
      <c r="Z466" s="667">
        <f>IFERROR(IF(Z464="",0,Z464),"0")+IFERROR(IF(Z465="",0,Z465),"0")</f>
        <v>0</v>
      </c>
      <c r="AA466" s="668"/>
      <c r="AB466" s="668"/>
      <c r="AC466" s="668"/>
    </row>
    <row r="467" spans="1:68" x14ac:dyDescent="0.2">
      <c r="A467" s="679"/>
      <c r="B467" s="679"/>
      <c r="C467" s="679"/>
      <c r="D467" s="679"/>
      <c r="E467" s="679"/>
      <c r="F467" s="679"/>
      <c r="G467" s="679"/>
      <c r="H467" s="679"/>
      <c r="I467" s="679"/>
      <c r="J467" s="679"/>
      <c r="K467" s="679"/>
      <c r="L467" s="679"/>
      <c r="M467" s="679"/>
      <c r="N467" s="679"/>
      <c r="O467" s="680"/>
      <c r="P467" s="686" t="s">
        <v>87</v>
      </c>
      <c r="Q467" s="687"/>
      <c r="R467" s="687"/>
      <c r="S467" s="687"/>
      <c r="T467" s="687"/>
      <c r="U467" s="687"/>
      <c r="V467" s="688"/>
      <c r="W467" s="37" t="s">
        <v>68</v>
      </c>
      <c r="X467" s="667">
        <f>IFERROR(SUM(X464:X465),"0")</f>
        <v>0</v>
      </c>
      <c r="Y467" s="667">
        <f>IFERROR(SUM(Y464:Y465),"0")</f>
        <v>0</v>
      </c>
      <c r="Z467" s="37"/>
      <c r="AA467" s="668"/>
      <c r="AB467" s="668"/>
      <c r="AC467" s="668"/>
    </row>
    <row r="468" spans="1:68" ht="16.5" customHeight="1" x14ac:dyDescent="0.25">
      <c r="A468" s="718" t="s">
        <v>719</v>
      </c>
      <c r="B468" s="679"/>
      <c r="C468" s="679"/>
      <c r="D468" s="679"/>
      <c r="E468" s="679"/>
      <c r="F468" s="679"/>
      <c r="G468" s="679"/>
      <c r="H468" s="679"/>
      <c r="I468" s="679"/>
      <c r="J468" s="679"/>
      <c r="K468" s="679"/>
      <c r="L468" s="679"/>
      <c r="M468" s="679"/>
      <c r="N468" s="679"/>
      <c r="O468" s="679"/>
      <c r="P468" s="679"/>
      <c r="Q468" s="679"/>
      <c r="R468" s="679"/>
      <c r="S468" s="679"/>
      <c r="T468" s="679"/>
      <c r="U468" s="679"/>
      <c r="V468" s="679"/>
      <c r="W468" s="679"/>
      <c r="X468" s="679"/>
      <c r="Y468" s="679"/>
      <c r="Z468" s="679"/>
      <c r="AA468" s="660"/>
      <c r="AB468" s="660"/>
      <c r="AC468" s="660"/>
    </row>
    <row r="469" spans="1:68" ht="14.25" customHeight="1" x14ac:dyDescent="0.25">
      <c r="A469" s="683" t="s">
        <v>144</v>
      </c>
      <c r="B469" s="679"/>
      <c r="C469" s="679"/>
      <c r="D469" s="679"/>
      <c r="E469" s="679"/>
      <c r="F469" s="679"/>
      <c r="G469" s="679"/>
      <c r="H469" s="679"/>
      <c r="I469" s="679"/>
      <c r="J469" s="679"/>
      <c r="K469" s="679"/>
      <c r="L469" s="679"/>
      <c r="M469" s="679"/>
      <c r="N469" s="679"/>
      <c r="O469" s="679"/>
      <c r="P469" s="679"/>
      <c r="Q469" s="679"/>
      <c r="R469" s="679"/>
      <c r="S469" s="679"/>
      <c r="T469" s="679"/>
      <c r="U469" s="679"/>
      <c r="V469" s="679"/>
      <c r="W469" s="679"/>
      <c r="X469" s="679"/>
      <c r="Y469" s="679"/>
      <c r="Z469" s="679"/>
      <c r="AA469" s="661"/>
      <c r="AB469" s="661"/>
      <c r="AC469" s="661"/>
    </row>
    <row r="470" spans="1:68" ht="27" customHeight="1" x14ac:dyDescent="0.25">
      <c r="A470" s="54" t="s">
        <v>720</v>
      </c>
      <c r="B470" s="54" t="s">
        <v>721</v>
      </c>
      <c r="C470" s="31">
        <v>4301031261</v>
      </c>
      <c r="D470" s="669">
        <v>4680115885103</v>
      </c>
      <c r="E470" s="670"/>
      <c r="F470" s="664">
        <v>0.27</v>
      </c>
      <c r="G470" s="32">
        <v>6</v>
      </c>
      <c r="H470" s="664">
        <v>1.62</v>
      </c>
      <c r="I470" s="664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2"/>
      <c r="R470" s="672"/>
      <c r="S470" s="672"/>
      <c r="T470" s="673"/>
      <c r="U470" s="34"/>
      <c r="V470" s="34"/>
      <c r="W470" s="35" t="s">
        <v>68</v>
      </c>
      <c r="X470" s="665">
        <v>0</v>
      </c>
      <c r="Y470" s="666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722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8"/>
      <c r="B471" s="679"/>
      <c r="C471" s="679"/>
      <c r="D471" s="679"/>
      <c r="E471" s="679"/>
      <c r="F471" s="679"/>
      <c r="G471" s="679"/>
      <c r="H471" s="679"/>
      <c r="I471" s="679"/>
      <c r="J471" s="679"/>
      <c r="K471" s="679"/>
      <c r="L471" s="679"/>
      <c r="M471" s="679"/>
      <c r="N471" s="679"/>
      <c r="O471" s="680"/>
      <c r="P471" s="686" t="s">
        <v>87</v>
      </c>
      <c r="Q471" s="687"/>
      <c r="R471" s="687"/>
      <c r="S471" s="687"/>
      <c r="T471" s="687"/>
      <c r="U471" s="687"/>
      <c r="V471" s="688"/>
      <c r="W471" s="37" t="s">
        <v>88</v>
      </c>
      <c r="X471" s="667">
        <f>IFERROR(X470/H470,"0")</f>
        <v>0</v>
      </c>
      <c r="Y471" s="667">
        <f>IFERROR(Y470/H470,"0")</f>
        <v>0</v>
      </c>
      <c r="Z471" s="667">
        <f>IFERROR(IF(Z470="",0,Z470),"0")</f>
        <v>0</v>
      </c>
      <c r="AA471" s="668"/>
      <c r="AB471" s="668"/>
      <c r="AC471" s="668"/>
    </row>
    <row r="472" spans="1:68" x14ac:dyDescent="0.2">
      <c r="A472" s="679"/>
      <c r="B472" s="679"/>
      <c r="C472" s="679"/>
      <c r="D472" s="679"/>
      <c r="E472" s="679"/>
      <c r="F472" s="679"/>
      <c r="G472" s="679"/>
      <c r="H472" s="679"/>
      <c r="I472" s="679"/>
      <c r="J472" s="679"/>
      <c r="K472" s="679"/>
      <c r="L472" s="679"/>
      <c r="M472" s="679"/>
      <c r="N472" s="679"/>
      <c r="O472" s="680"/>
      <c r="P472" s="686" t="s">
        <v>87</v>
      </c>
      <c r="Q472" s="687"/>
      <c r="R472" s="687"/>
      <c r="S472" s="687"/>
      <c r="T472" s="687"/>
      <c r="U472" s="687"/>
      <c r="V472" s="688"/>
      <c r="W472" s="37" t="s">
        <v>68</v>
      </c>
      <c r="X472" s="667">
        <f>IFERROR(SUM(X470:X470),"0")</f>
        <v>0</v>
      </c>
      <c r="Y472" s="667">
        <f>IFERROR(SUM(Y470:Y470),"0")</f>
        <v>0</v>
      </c>
      <c r="Z472" s="37"/>
      <c r="AA472" s="668"/>
      <c r="AB472" s="668"/>
      <c r="AC472" s="668"/>
    </row>
    <row r="473" spans="1:68" ht="14.25" customHeight="1" x14ac:dyDescent="0.25">
      <c r="A473" s="683" t="s">
        <v>170</v>
      </c>
      <c r="B473" s="679"/>
      <c r="C473" s="679"/>
      <c r="D473" s="679"/>
      <c r="E473" s="679"/>
      <c r="F473" s="679"/>
      <c r="G473" s="679"/>
      <c r="H473" s="679"/>
      <c r="I473" s="679"/>
      <c r="J473" s="679"/>
      <c r="K473" s="679"/>
      <c r="L473" s="679"/>
      <c r="M473" s="679"/>
      <c r="N473" s="679"/>
      <c r="O473" s="679"/>
      <c r="P473" s="679"/>
      <c r="Q473" s="679"/>
      <c r="R473" s="679"/>
      <c r="S473" s="679"/>
      <c r="T473" s="679"/>
      <c r="U473" s="679"/>
      <c r="V473" s="679"/>
      <c r="W473" s="679"/>
      <c r="X473" s="679"/>
      <c r="Y473" s="679"/>
      <c r="Z473" s="679"/>
      <c r="AA473" s="661"/>
      <c r="AB473" s="661"/>
      <c r="AC473" s="661"/>
    </row>
    <row r="474" spans="1:68" ht="27" customHeight="1" x14ac:dyDescent="0.25">
      <c r="A474" s="54" t="s">
        <v>723</v>
      </c>
      <c r="B474" s="54" t="s">
        <v>724</v>
      </c>
      <c r="C474" s="31">
        <v>4301060412</v>
      </c>
      <c r="D474" s="669">
        <v>4680115885509</v>
      </c>
      <c r="E474" s="670"/>
      <c r="F474" s="664">
        <v>0.27</v>
      </c>
      <c r="G474" s="32">
        <v>6</v>
      </c>
      <c r="H474" s="664">
        <v>1.62</v>
      </c>
      <c r="I474" s="664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2"/>
      <c r="R474" s="672"/>
      <c r="S474" s="672"/>
      <c r="T474" s="673"/>
      <c r="U474" s="34"/>
      <c r="V474" s="34"/>
      <c r="W474" s="35" t="s">
        <v>68</v>
      </c>
      <c r="X474" s="665">
        <v>0</v>
      </c>
      <c r="Y474" s="666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725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8"/>
      <c r="B475" s="679"/>
      <c r="C475" s="679"/>
      <c r="D475" s="679"/>
      <c r="E475" s="679"/>
      <c r="F475" s="679"/>
      <c r="G475" s="679"/>
      <c r="H475" s="679"/>
      <c r="I475" s="679"/>
      <c r="J475" s="679"/>
      <c r="K475" s="679"/>
      <c r="L475" s="679"/>
      <c r="M475" s="679"/>
      <c r="N475" s="679"/>
      <c r="O475" s="680"/>
      <c r="P475" s="686" t="s">
        <v>87</v>
      </c>
      <c r="Q475" s="687"/>
      <c r="R475" s="687"/>
      <c r="S475" s="687"/>
      <c r="T475" s="687"/>
      <c r="U475" s="687"/>
      <c r="V475" s="688"/>
      <c r="W475" s="37" t="s">
        <v>88</v>
      </c>
      <c r="X475" s="667">
        <f>IFERROR(X474/H474,"0")</f>
        <v>0</v>
      </c>
      <c r="Y475" s="667">
        <f>IFERROR(Y474/H474,"0")</f>
        <v>0</v>
      </c>
      <c r="Z475" s="667">
        <f>IFERROR(IF(Z474="",0,Z474),"0")</f>
        <v>0</v>
      </c>
      <c r="AA475" s="668"/>
      <c r="AB475" s="668"/>
      <c r="AC475" s="668"/>
    </row>
    <row r="476" spans="1:68" x14ac:dyDescent="0.2">
      <c r="A476" s="679"/>
      <c r="B476" s="679"/>
      <c r="C476" s="679"/>
      <c r="D476" s="679"/>
      <c r="E476" s="679"/>
      <c r="F476" s="679"/>
      <c r="G476" s="679"/>
      <c r="H476" s="679"/>
      <c r="I476" s="679"/>
      <c r="J476" s="679"/>
      <c r="K476" s="679"/>
      <c r="L476" s="679"/>
      <c r="M476" s="679"/>
      <c r="N476" s="679"/>
      <c r="O476" s="680"/>
      <c r="P476" s="686" t="s">
        <v>87</v>
      </c>
      <c r="Q476" s="687"/>
      <c r="R476" s="687"/>
      <c r="S476" s="687"/>
      <c r="T476" s="687"/>
      <c r="U476" s="687"/>
      <c r="V476" s="688"/>
      <c r="W476" s="37" t="s">
        <v>68</v>
      </c>
      <c r="X476" s="667">
        <f>IFERROR(SUM(X474:X474),"0")</f>
        <v>0</v>
      </c>
      <c r="Y476" s="667">
        <f>IFERROR(SUM(Y474:Y474),"0")</f>
        <v>0</v>
      </c>
      <c r="Z476" s="37"/>
      <c r="AA476" s="668"/>
      <c r="AB476" s="668"/>
      <c r="AC476" s="668"/>
    </row>
    <row r="477" spans="1:68" ht="27.75" customHeight="1" x14ac:dyDescent="0.2">
      <c r="A477" s="681" t="s">
        <v>726</v>
      </c>
      <c r="B477" s="682"/>
      <c r="C477" s="682"/>
      <c r="D477" s="682"/>
      <c r="E477" s="682"/>
      <c r="F477" s="682"/>
      <c r="G477" s="682"/>
      <c r="H477" s="682"/>
      <c r="I477" s="682"/>
      <c r="J477" s="682"/>
      <c r="K477" s="682"/>
      <c r="L477" s="682"/>
      <c r="M477" s="682"/>
      <c r="N477" s="682"/>
      <c r="O477" s="682"/>
      <c r="P477" s="682"/>
      <c r="Q477" s="682"/>
      <c r="R477" s="682"/>
      <c r="S477" s="682"/>
      <c r="T477" s="682"/>
      <c r="U477" s="682"/>
      <c r="V477" s="682"/>
      <c r="W477" s="682"/>
      <c r="X477" s="682"/>
      <c r="Y477" s="682"/>
      <c r="Z477" s="682"/>
      <c r="AA477" s="48"/>
      <c r="AB477" s="48"/>
      <c r="AC477" s="48"/>
    </row>
    <row r="478" spans="1:68" ht="16.5" customHeight="1" x14ac:dyDescent="0.25">
      <c r="A478" s="718" t="s">
        <v>726</v>
      </c>
      <c r="B478" s="679"/>
      <c r="C478" s="679"/>
      <c r="D478" s="679"/>
      <c r="E478" s="679"/>
      <c r="F478" s="679"/>
      <c r="G478" s="679"/>
      <c r="H478" s="679"/>
      <c r="I478" s="679"/>
      <c r="J478" s="679"/>
      <c r="K478" s="679"/>
      <c r="L478" s="679"/>
      <c r="M478" s="679"/>
      <c r="N478" s="679"/>
      <c r="O478" s="679"/>
      <c r="P478" s="679"/>
      <c r="Q478" s="679"/>
      <c r="R478" s="679"/>
      <c r="S478" s="679"/>
      <c r="T478" s="679"/>
      <c r="U478" s="679"/>
      <c r="V478" s="679"/>
      <c r="W478" s="679"/>
      <c r="X478" s="679"/>
      <c r="Y478" s="679"/>
      <c r="Z478" s="679"/>
      <c r="AA478" s="660"/>
      <c r="AB478" s="660"/>
      <c r="AC478" s="660"/>
    </row>
    <row r="479" spans="1:68" ht="14.25" customHeight="1" x14ac:dyDescent="0.25">
      <c r="A479" s="683" t="s">
        <v>97</v>
      </c>
      <c r="B479" s="679"/>
      <c r="C479" s="679"/>
      <c r="D479" s="679"/>
      <c r="E479" s="679"/>
      <c r="F479" s="679"/>
      <c r="G479" s="679"/>
      <c r="H479" s="679"/>
      <c r="I479" s="679"/>
      <c r="J479" s="679"/>
      <c r="K479" s="679"/>
      <c r="L479" s="679"/>
      <c r="M479" s="679"/>
      <c r="N479" s="679"/>
      <c r="O479" s="679"/>
      <c r="P479" s="679"/>
      <c r="Q479" s="679"/>
      <c r="R479" s="679"/>
      <c r="S479" s="679"/>
      <c r="T479" s="679"/>
      <c r="U479" s="679"/>
      <c r="V479" s="679"/>
      <c r="W479" s="679"/>
      <c r="X479" s="679"/>
      <c r="Y479" s="679"/>
      <c r="Z479" s="679"/>
      <c r="AA479" s="661"/>
      <c r="AB479" s="661"/>
      <c r="AC479" s="661"/>
    </row>
    <row r="480" spans="1:68" ht="27" customHeight="1" x14ac:dyDescent="0.25">
      <c r="A480" s="54" t="s">
        <v>727</v>
      </c>
      <c r="B480" s="54" t="s">
        <v>728</v>
      </c>
      <c r="C480" s="31">
        <v>4301011795</v>
      </c>
      <c r="D480" s="669">
        <v>4607091389067</v>
      </c>
      <c r="E480" s="670"/>
      <c r="F480" s="664">
        <v>0.88</v>
      </c>
      <c r="G480" s="32">
        <v>6</v>
      </c>
      <c r="H480" s="664">
        <v>5.28</v>
      </c>
      <c r="I480" s="664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1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2"/>
      <c r="R480" s="672"/>
      <c r="S480" s="672"/>
      <c r="T480" s="673"/>
      <c r="U480" s="34"/>
      <c r="V480" s="34"/>
      <c r="W480" s="35" t="s">
        <v>68</v>
      </c>
      <c r="X480" s="665">
        <v>11</v>
      </c>
      <c r="Y480" s="666">
        <f t="shared" ref="Y480:Y495" si="69">IFERROR(IF(X480="",0,CEILING((X480/$H480),1)*$H480),"")</f>
        <v>15.84</v>
      </c>
      <c r="Z480" s="36">
        <f t="shared" ref="Z480:Z485" si="70">IFERROR(IF(Y480=0,"",ROUNDUP(Y480/H480,0)*0.01196),"")</f>
        <v>3.5880000000000002E-2</v>
      </c>
      <c r="AA480" s="56"/>
      <c r="AB480" s="57"/>
      <c r="AC480" s="521" t="s">
        <v>729</v>
      </c>
      <c r="AG480" s="64"/>
      <c r="AJ480" s="68"/>
      <c r="AK480" s="68">
        <v>0</v>
      </c>
      <c r="BB480" s="522" t="s">
        <v>1</v>
      </c>
      <c r="BM480" s="64">
        <f t="shared" ref="BM480:BM495" si="71">IFERROR(X480*I480/H480,"0")</f>
        <v>11.75</v>
      </c>
      <c r="BN480" s="64">
        <f t="shared" ref="BN480:BN495" si="72">IFERROR(Y480*I480/H480,"0")</f>
        <v>16.919999999999998</v>
      </c>
      <c r="BO480" s="64">
        <f t="shared" ref="BO480:BO495" si="73">IFERROR(1/J480*(X480/H480),"0")</f>
        <v>2.003205128205128E-2</v>
      </c>
      <c r="BP480" s="64">
        <f t="shared" ref="BP480:BP495" si="74">IFERROR(1/J480*(Y480/H480),"0")</f>
        <v>2.8846153846153848E-2</v>
      </c>
    </row>
    <row r="481" spans="1:68" ht="27" customHeight="1" x14ac:dyDescent="0.25">
      <c r="A481" s="54" t="s">
        <v>730</v>
      </c>
      <c r="B481" s="54" t="s">
        <v>731</v>
      </c>
      <c r="C481" s="31">
        <v>4301011961</v>
      </c>
      <c r="D481" s="669">
        <v>4680115885271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9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2"/>
      <c r="R481" s="672"/>
      <c r="S481" s="672"/>
      <c r="T481" s="673"/>
      <c r="U481" s="34"/>
      <c r="V481" s="34"/>
      <c r="W481" s="35" t="s">
        <v>68</v>
      </c>
      <c r="X481" s="665">
        <v>0</v>
      </c>
      <c r="Y481" s="666">
        <f t="shared" si="69"/>
        <v>0</v>
      </c>
      <c r="Z481" s="36" t="str">
        <f t="shared" si="70"/>
        <v/>
      </c>
      <c r="AA481" s="56"/>
      <c r="AB481" s="57"/>
      <c r="AC481" s="523" t="s">
        <v>732</v>
      </c>
      <c r="AG481" s="64"/>
      <c r="AJ481" s="68"/>
      <c r="AK481" s="68">
        <v>0</v>
      </c>
      <c r="BB481" s="524" t="s">
        <v>1</v>
      </c>
      <c r="BM481" s="64">
        <f t="shared" si="71"/>
        <v>0</v>
      </c>
      <c r="BN481" s="64">
        <f t="shared" si="72"/>
        <v>0</v>
      </c>
      <c r="BO481" s="64">
        <f t="shared" si="73"/>
        <v>0</v>
      </c>
      <c r="BP481" s="64">
        <f t="shared" si="74"/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4301011376</v>
      </c>
      <c r="D482" s="669">
        <v>4680115885226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6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2"/>
      <c r="R482" s="672"/>
      <c r="S482" s="672"/>
      <c r="T482" s="673"/>
      <c r="U482" s="34"/>
      <c r="V482" s="34"/>
      <c r="W482" s="35" t="s">
        <v>68</v>
      </c>
      <c r="X482" s="665">
        <v>39</v>
      </c>
      <c r="Y482" s="666">
        <f t="shared" si="69"/>
        <v>42.24</v>
      </c>
      <c r="Z482" s="36">
        <f t="shared" si="70"/>
        <v>9.5680000000000001E-2</v>
      </c>
      <c r="AA482" s="56"/>
      <c r="AB482" s="57"/>
      <c r="AC482" s="525" t="s">
        <v>735</v>
      </c>
      <c r="AG482" s="64"/>
      <c r="AJ482" s="68"/>
      <c r="AK482" s="68">
        <v>0</v>
      </c>
      <c r="BB482" s="526" t="s">
        <v>1</v>
      </c>
      <c r="BM482" s="64">
        <f t="shared" si="71"/>
        <v>41.659090909090907</v>
      </c>
      <c r="BN482" s="64">
        <f t="shared" si="72"/>
        <v>45.12</v>
      </c>
      <c r="BO482" s="64">
        <f t="shared" si="73"/>
        <v>7.1022727272727265E-2</v>
      </c>
      <c r="BP482" s="64">
        <f t="shared" si="74"/>
        <v>7.6923076923076927E-2</v>
      </c>
    </row>
    <row r="483" spans="1:68" ht="16.5" customHeight="1" x14ac:dyDescent="0.25">
      <c r="A483" s="54" t="s">
        <v>736</v>
      </c>
      <c r="B483" s="54" t="s">
        <v>737</v>
      </c>
      <c r="C483" s="31">
        <v>4301011774</v>
      </c>
      <c r="D483" s="669">
        <v>4680115884502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3" s="672"/>
      <c r="R483" s="672"/>
      <c r="S483" s="672"/>
      <c r="T483" s="673"/>
      <c r="U483" s="34" t="s">
        <v>738</v>
      </c>
      <c r="V483" s="34"/>
      <c r="W483" s="35" t="s">
        <v>68</v>
      </c>
      <c r="X483" s="665">
        <v>0</v>
      </c>
      <c r="Y483" s="666">
        <f t="shared" si="69"/>
        <v>0</v>
      </c>
      <c r="Z483" s="36" t="str">
        <f t="shared" si="70"/>
        <v/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1"/>
        <v>0</v>
      </c>
      <c r="BN483" s="64">
        <f t="shared" si="72"/>
        <v>0</v>
      </c>
      <c r="BO483" s="64">
        <f t="shared" si="73"/>
        <v>0</v>
      </c>
      <c r="BP483" s="64">
        <f t="shared" si="74"/>
        <v>0</v>
      </c>
    </row>
    <row r="484" spans="1:68" ht="27" customHeight="1" x14ac:dyDescent="0.25">
      <c r="A484" s="54" t="s">
        <v>740</v>
      </c>
      <c r="B484" s="54" t="s">
        <v>741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100</v>
      </c>
      <c r="L484" s="32"/>
      <c r="M484" s="33" t="s">
        <v>101</v>
      </c>
      <c r="N484" s="33"/>
      <c r="O484" s="32">
        <v>60</v>
      </c>
      <c r="P484" s="102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68</v>
      </c>
      <c r="X484" s="665">
        <v>75</v>
      </c>
      <c r="Y484" s="666">
        <f t="shared" si="69"/>
        <v>79.2</v>
      </c>
      <c r="Z484" s="36">
        <f t="shared" si="70"/>
        <v>0.1794</v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1"/>
        <v>80.11363636363636</v>
      </c>
      <c r="BN484" s="64">
        <f t="shared" si="72"/>
        <v>84.6</v>
      </c>
      <c r="BO484" s="64">
        <f t="shared" si="73"/>
        <v>0.13658216783216784</v>
      </c>
      <c r="BP484" s="64">
        <f t="shared" si="74"/>
        <v>0.14423076923076925</v>
      </c>
    </row>
    <row r="485" spans="1:68" ht="16.5" customHeight="1" x14ac:dyDescent="0.25">
      <c r="A485" s="54" t="s">
        <v>743</v>
      </c>
      <c r="B485" s="54" t="s">
        <v>744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100</v>
      </c>
      <c r="L485" s="32"/>
      <c r="M485" s="33" t="s">
        <v>106</v>
      </c>
      <c r="N485" s="33"/>
      <c r="O485" s="32">
        <v>60</v>
      </c>
      <c r="P485" s="918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68</v>
      </c>
      <c r="X485" s="665">
        <v>0</v>
      </c>
      <c r="Y485" s="666">
        <f t="shared" si="69"/>
        <v>0</v>
      </c>
      <c r="Z485" s="36" t="str">
        <f t="shared" si="70"/>
        <v/>
      </c>
      <c r="AA485" s="56"/>
      <c r="AB485" s="57"/>
      <c r="AC485" s="531" t="s">
        <v>745</v>
      </c>
      <c r="AG485" s="64"/>
      <c r="AJ485" s="68"/>
      <c r="AK485" s="68">
        <v>0</v>
      </c>
      <c r="BB485" s="532" t="s">
        <v>1</v>
      </c>
      <c r="BM485" s="64">
        <f t="shared" si="71"/>
        <v>0</v>
      </c>
      <c r="BN485" s="64">
        <f t="shared" si="72"/>
        <v>0</v>
      </c>
      <c r="BO485" s="64">
        <f t="shared" si="73"/>
        <v>0</v>
      </c>
      <c r="BP485" s="64">
        <f t="shared" si="74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66</v>
      </c>
      <c r="L486" s="32"/>
      <c r="M486" s="33" t="s">
        <v>106</v>
      </c>
      <c r="N486" s="33"/>
      <c r="O486" s="32">
        <v>60</v>
      </c>
      <c r="P486" s="1010" t="s">
        <v>748</v>
      </c>
      <c r="Q486" s="672"/>
      <c r="R486" s="672"/>
      <c r="S486" s="672"/>
      <c r="T486" s="673"/>
      <c r="U486" s="34"/>
      <c r="V486" s="34"/>
      <c r="W486" s="35" t="s">
        <v>68</v>
      </c>
      <c r="X486" s="665">
        <v>0</v>
      </c>
      <c r="Y486" s="666">
        <f t="shared" si="69"/>
        <v>0</v>
      </c>
      <c r="Z486" s="36" t="str">
        <f>IFERROR(IF(Y486=0,"",ROUNDUP(Y486/H486,0)*0.00651),"")</f>
        <v/>
      </c>
      <c r="AA486" s="56"/>
      <c r="AB486" s="57"/>
      <c r="AC486" s="533" t="s">
        <v>729</v>
      </c>
      <c r="AG486" s="64"/>
      <c r="AJ486" s="68"/>
      <c r="AK486" s="68">
        <v>0</v>
      </c>
      <c r="BB486" s="534" t="s">
        <v>1</v>
      </c>
      <c r="BM486" s="64">
        <f t="shared" si="71"/>
        <v>0</v>
      </c>
      <c r="BN486" s="64">
        <f t="shared" si="72"/>
        <v>0</v>
      </c>
      <c r="BO486" s="64">
        <f t="shared" si="73"/>
        <v>0</v>
      </c>
      <c r="BP486" s="64">
        <f t="shared" si="74"/>
        <v>0</v>
      </c>
    </row>
    <row r="487" spans="1:68" ht="27" customHeight="1" x14ac:dyDescent="0.25">
      <c r="A487" s="54" t="s">
        <v>749</v>
      </c>
      <c r="B487" s="54" t="s">
        <v>750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3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68</v>
      </c>
      <c r="X487" s="665">
        <v>0</v>
      </c>
      <c r="Y487" s="666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729</v>
      </c>
      <c r="AG487" s="64"/>
      <c r="AJ487" s="68"/>
      <c r="AK487" s="68">
        <v>0</v>
      </c>
      <c r="BB487" s="536" t="s">
        <v>1</v>
      </c>
      <c r="BM487" s="64">
        <f t="shared" si="71"/>
        <v>0</v>
      </c>
      <c r="BN487" s="64">
        <f t="shared" si="72"/>
        <v>0</v>
      </c>
      <c r="BO487" s="64">
        <f t="shared" si="73"/>
        <v>0</v>
      </c>
      <c r="BP487" s="64">
        <f t="shared" si="74"/>
        <v>0</v>
      </c>
    </row>
    <row r="488" spans="1:68" ht="27" customHeight="1" x14ac:dyDescent="0.25">
      <c r="A488" s="54" t="s">
        <v>749</v>
      </c>
      <c r="B488" s="54" t="s">
        <v>751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6.93</v>
      </c>
      <c r="J488" s="32">
        <v>132</v>
      </c>
      <c r="K488" s="32" t="s">
        <v>105</v>
      </c>
      <c r="L488" s="32"/>
      <c r="M488" s="33" t="s">
        <v>101</v>
      </c>
      <c r="N488" s="33"/>
      <c r="O488" s="32">
        <v>60</v>
      </c>
      <c r="P488" s="9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68</v>
      </c>
      <c r="X488" s="665">
        <v>0</v>
      </c>
      <c r="Y488" s="666">
        <f t="shared" si="69"/>
        <v>0</v>
      </c>
      <c r="Z488" s="36" t="str">
        <f>IFERROR(IF(Y488=0,"",ROUNDUP(Y488/H488,0)*0.00902),"")</f>
        <v/>
      </c>
      <c r="AA488" s="56"/>
      <c r="AB488" s="57"/>
      <c r="AC488" s="537" t="s">
        <v>729</v>
      </c>
      <c r="AG488" s="64"/>
      <c r="AJ488" s="68"/>
      <c r="AK488" s="68">
        <v>0</v>
      </c>
      <c r="BB488" s="538" t="s">
        <v>1</v>
      </c>
      <c r="BM488" s="64">
        <f t="shared" si="71"/>
        <v>0</v>
      </c>
      <c r="BN488" s="64">
        <f t="shared" si="72"/>
        <v>0</v>
      </c>
      <c r="BO488" s="64">
        <f t="shared" si="73"/>
        <v>0</v>
      </c>
      <c r="BP488" s="64">
        <f t="shared" si="74"/>
        <v>0</v>
      </c>
    </row>
    <row r="489" spans="1:68" ht="27" customHeight="1" x14ac:dyDescent="0.25">
      <c r="A489" s="54" t="s">
        <v>752</v>
      </c>
      <c r="B489" s="54" t="s">
        <v>753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101</v>
      </c>
      <c r="N489" s="33"/>
      <c r="O489" s="32">
        <v>60</v>
      </c>
      <c r="P48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68</v>
      </c>
      <c r="X489" s="665">
        <v>0</v>
      </c>
      <c r="Y489" s="666">
        <f t="shared" si="69"/>
        <v>0</v>
      </c>
      <c r="Z489" s="36" t="str">
        <f>IFERROR(IF(Y489=0,"",ROUNDUP(Y489/H489,0)*0.00937),"")</f>
        <v/>
      </c>
      <c r="AA489" s="56"/>
      <c r="AB489" s="57"/>
      <c r="AC489" s="539" t="s">
        <v>732</v>
      </c>
      <c r="AG489" s="64"/>
      <c r="AJ489" s="68"/>
      <c r="AK489" s="68">
        <v>0</v>
      </c>
      <c r="BB489" s="540" t="s">
        <v>1</v>
      </c>
      <c r="BM489" s="64">
        <f t="shared" si="71"/>
        <v>0</v>
      </c>
      <c r="BN489" s="64">
        <f t="shared" si="72"/>
        <v>0</v>
      </c>
      <c r="BO489" s="64">
        <f t="shared" si="73"/>
        <v>0</v>
      </c>
      <c r="BP489" s="64">
        <f t="shared" si="74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2"/>
      <c r="R490" s="672"/>
      <c r="S490" s="672"/>
      <c r="T490" s="673"/>
      <c r="U490" s="34"/>
      <c r="V490" s="34"/>
      <c r="W490" s="35" t="s">
        <v>68</v>
      </c>
      <c r="X490" s="665">
        <v>0</v>
      </c>
      <c r="Y490" s="666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735</v>
      </c>
      <c r="AG490" s="64"/>
      <c r="AJ490" s="68"/>
      <c r="AK490" s="68">
        <v>0</v>
      </c>
      <c r="BB490" s="542" t="s">
        <v>1</v>
      </c>
      <c r="BM490" s="64">
        <f t="shared" si="71"/>
        <v>0</v>
      </c>
      <c r="BN490" s="64">
        <f t="shared" si="72"/>
        <v>0</v>
      </c>
      <c r="BO490" s="64">
        <f t="shared" si="73"/>
        <v>0</v>
      </c>
      <c r="BP490" s="64">
        <f t="shared" si="74"/>
        <v>0</v>
      </c>
    </row>
    <row r="491" spans="1:68" ht="27" customHeight="1" x14ac:dyDescent="0.25">
      <c r="A491" s="54" t="s">
        <v>757</v>
      </c>
      <c r="B491" s="54" t="s">
        <v>758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101</v>
      </c>
      <c r="N491" s="33"/>
      <c r="O491" s="32">
        <v>60</v>
      </c>
      <c r="P491" s="868" t="s">
        <v>759</v>
      </c>
      <c r="Q491" s="672"/>
      <c r="R491" s="672"/>
      <c r="S491" s="672"/>
      <c r="T491" s="673"/>
      <c r="U491" s="34"/>
      <c r="V491" s="34"/>
      <c r="W491" s="35" t="s">
        <v>68</v>
      </c>
      <c r="X491" s="665">
        <v>0</v>
      </c>
      <c r="Y491" s="666">
        <f t="shared" si="69"/>
        <v>0</v>
      </c>
      <c r="Z491" s="36" t="str">
        <f>IFERROR(IF(Y491=0,"",ROUNDUP(Y491/H491,0)*0.00902),"")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1"/>
        <v>0</v>
      </c>
      <c r="BN491" s="64">
        <f t="shared" si="72"/>
        <v>0</v>
      </c>
      <c r="BO491" s="64">
        <f t="shared" si="73"/>
        <v>0</v>
      </c>
      <c r="BP491" s="64">
        <f t="shared" si="74"/>
        <v>0</v>
      </c>
    </row>
    <row r="492" spans="1:68" ht="27" customHeight="1" x14ac:dyDescent="0.25">
      <c r="A492" s="54" t="s">
        <v>760</v>
      </c>
      <c r="B492" s="54" t="s">
        <v>761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66</v>
      </c>
      <c r="L492" s="32"/>
      <c r="M492" s="33" t="s">
        <v>101</v>
      </c>
      <c r="N492" s="33"/>
      <c r="O492" s="32">
        <v>60</v>
      </c>
      <c r="P492" s="783" t="s">
        <v>762</v>
      </c>
      <c r="Q492" s="672"/>
      <c r="R492" s="672"/>
      <c r="S492" s="672"/>
      <c r="T492" s="673"/>
      <c r="U492" s="34"/>
      <c r="V492" s="34"/>
      <c r="W492" s="35" t="s">
        <v>68</v>
      </c>
      <c r="X492" s="665">
        <v>0</v>
      </c>
      <c r="Y492" s="666">
        <f t="shared" si="69"/>
        <v>0</v>
      </c>
      <c r="Z492" s="36" t="str">
        <f>IFERROR(IF(Y492=0,"",ROUNDUP(Y492/H492,0)*0.00651),"")</f>
        <v/>
      </c>
      <c r="AA492" s="56"/>
      <c r="AB492" s="57"/>
      <c r="AC492" s="545" t="s">
        <v>742</v>
      </c>
      <c r="AG492" s="64"/>
      <c r="AJ492" s="68"/>
      <c r="AK492" s="68">
        <v>0</v>
      </c>
      <c r="BB492" s="546" t="s">
        <v>1</v>
      </c>
      <c r="BM492" s="64">
        <f t="shared" si="71"/>
        <v>0</v>
      </c>
      <c r="BN492" s="64">
        <f t="shared" si="72"/>
        <v>0</v>
      </c>
      <c r="BO492" s="64">
        <f t="shared" si="73"/>
        <v>0</v>
      </c>
      <c r="BP492" s="64">
        <f t="shared" si="74"/>
        <v>0</v>
      </c>
    </row>
    <row r="493" spans="1:68" ht="27" customHeight="1" x14ac:dyDescent="0.25">
      <c r="A493" s="54" t="s">
        <v>763</v>
      </c>
      <c r="B493" s="54" t="s">
        <v>764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105</v>
      </c>
      <c r="L493" s="32"/>
      <c r="M493" s="33" t="s">
        <v>101</v>
      </c>
      <c r="N493" s="33"/>
      <c r="O493" s="32">
        <v>60</v>
      </c>
      <c r="P493" s="81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68</v>
      </c>
      <c r="X493" s="665">
        <v>0</v>
      </c>
      <c r="Y493" s="666">
        <f t="shared" si="69"/>
        <v>0</v>
      </c>
      <c r="Z493" s="36" t="str">
        <f>IFERROR(IF(Y493=0,"",ROUNDUP(Y493/H493,0)*0.00902),"")</f>
        <v/>
      </c>
      <c r="AA493" s="56"/>
      <c r="AB493" s="57"/>
      <c r="AC493" s="547" t="s">
        <v>742</v>
      </c>
      <c r="AG493" s="64"/>
      <c r="AJ493" s="68"/>
      <c r="AK493" s="68">
        <v>0</v>
      </c>
      <c r="BB493" s="548" t="s">
        <v>1</v>
      </c>
      <c r="BM493" s="64">
        <f t="shared" si="71"/>
        <v>0</v>
      </c>
      <c r="BN493" s="64">
        <f t="shared" si="72"/>
        <v>0</v>
      </c>
      <c r="BO493" s="64">
        <f t="shared" si="73"/>
        <v>0</v>
      </c>
      <c r="BP493" s="64">
        <f t="shared" si="74"/>
        <v>0</v>
      </c>
    </row>
    <row r="494" spans="1:68" ht="27" customHeight="1" x14ac:dyDescent="0.25">
      <c r="A494" s="54" t="s">
        <v>763</v>
      </c>
      <c r="B494" s="54" t="s">
        <v>765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105</v>
      </c>
      <c r="L494" s="32"/>
      <c r="M494" s="33" t="s">
        <v>101</v>
      </c>
      <c r="N494" s="33"/>
      <c r="O494" s="32">
        <v>60</v>
      </c>
      <c r="P494" s="78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68</v>
      </c>
      <c r="X494" s="665">
        <v>0</v>
      </c>
      <c r="Y494" s="666">
        <f t="shared" si="69"/>
        <v>0</v>
      </c>
      <c r="Z494" s="36" t="str">
        <f>IFERROR(IF(Y494=0,"",ROUNDUP(Y494/H494,0)*0.00937),"")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1"/>
        <v>0</v>
      </c>
      <c r="BN494" s="64">
        <f t="shared" si="72"/>
        <v>0</v>
      </c>
      <c r="BO494" s="64">
        <f t="shared" si="73"/>
        <v>0</v>
      </c>
      <c r="BP494" s="64">
        <f t="shared" si="74"/>
        <v>0</v>
      </c>
    </row>
    <row r="495" spans="1:68" ht="27" customHeight="1" x14ac:dyDescent="0.25">
      <c r="A495" s="54" t="s">
        <v>766</v>
      </c>
      <c r="B495" s="54" t="s">
        <v>767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101</v>
      </c>
      <c r="N495" s="33"/>
      <c r="O495" s="32">
        <v>60</v>
      </c>
      <c r="P495" s="827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68</v>
      </c>
      <c r="X495" s="665">
        <v>0</v>
      </c>
      <c r="Y495" s="666">
        <f t="shared" si="69"/>
        <v>0</v>
      </c>
      <c r="Z495" s="36" t="str">
        <f>IFERROR(IF(Y495=0,"",ROUNDUP(Y495/H495,0)*0.00902),"")</f>
        <v/>
      </c>
      <c r="AA495" s="56"/>
      <c r="AB495" s="57"/>
      <c r="AC495" s="551" t="s">
        <v>745</v>
      </c>
      <c r="AG495" s="64"/>
      <c r="AJ495" s="68"/>
      <c r="AK495" s="68">
        <v>0</v>
      </c>
      <c r="BB495" s="552" t="s">
        <v>1</v>
      </c>
      <c r="BM495" s="64">
        <f t="shared" si="71"/>
        <v>0</v>
      </c>
      <c r="BN495" s="64">
        <f t="shared" si="72"/>
        <v>0</v>
      </c>
      <c r="BO495" s="64">
        <f t="shared" si="73"/>
        <v>0</v>
      </c>
      <c r="BP495" s="64">
        <f t="shared" si="74"/>
        <v>0</v>
      </c>
    </row>
    <row r="496" spans="1:68" x14ac:dyDescent="0.2">
      <c r="A496" s="678"/>
      <c r="B496" s="679"/>
      <c r="C496" s="679"/>
      <c r="D496" s="679"/>
      <c r="E496" s="679"/>
      <c r="F496" s="679"/>
      <c r="G496" s="679"/>
      <c r="H496" s="679"/>
      <c r="I496" s="679"/>
      <c r="J496" s="679"/>
      <c r="K496" s="679"/>
      <c r="L496" s="679"/>
      <c r="M496" s="679"/>
      <c r="N496" s="679"/>
      <c r="O496" s="680"/>
      <c r="P496" s="686" t="s">
        <v>87</v>
      </c>
      <c r="Q496" s="687"/>
      <c r="R496" s="687"/>
      <c r="S496" s="687"/>
      <c r="T496" s="687"/>
      <c r="U496" s="687"/>
      <c r="V496" s="688"/>
      <c r="W496" s="37" t="s">
        <v>88</v>
      </c>
      <c r="X496" s="667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23.674242424242422</v>
      </c>
      <c r="Y496" s="667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26</v>
      </c>
      <c r="Z496" s="667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0.31096000000000001</v>
      </c>
      <c r="AA496" s="668"/>
      <c r="AB496" s="668"/>
      <c r="AC496" s="668"/>
    </row>
    <row r="497" spans="1:68" x14ac:dyDescent="0.2">
      <c r="A497" s="679"/>
      <c r="B497" s="679"/>
      <c r="C497" s="679"/>
      <c r="D497" s="679"/>
      <c r="E497" s="679"/>
      <c r="F497" s="679"/>
      <c r="G497" s="679"/>
      <c r="H497" s="679"/>
      <c r="I497" s="679"/>
      <c r="J497" s="679"/>
      <c r="K497" s="679"/>
      <c r="L497" s="679"/>
      <c r="M497" s="679"/>
      <c r="N497" s="679"/>
      <c r="O497" s="680"/>
      <c r="P497" s="686" t="s">
        <v>87</v>
      </c>
      <c r="Q497" s="687"/>
      <c r="R497" s="687"/>
      <c r="S497" s="687"/>
      <c r="T497" s="687"/>
      <c r="U497" s="687"/>
      <c r="V497" s="688"/>
      <c r="W497" s="37" t="s">
        <v>68</v>
      </c>
      <c r="X497" s="667">
        <f>IFERROR(SUM(X480:X495),"0")</f>
        <v>125</v>
      </c>
      <c r="Y497" s="667">
        <f>IFERROR(SUM(Y480:Y495),"0")</f>
        <v>137.28</v>
      </c>
      <c r="Z497" s="37"/>
      <c r="AA497" s="668"/>
      <c r="AB497" s="668"/>
      <c r="AC497" s="668"/>
    </row>
    <row r="498" spans="1:68" ht="14.25" customHeight="1" x14ac:dyDescent="0.25">
      <c r="A498" s="683" t="s">
        <v>133</v>
      </c>
      <c r="B498" s="679"/>
      <c r="C498" s="679"/>
      <c r="D498" s="679"/>
      <c r="E498" s="679"/>
      <c r="F498" s="679"/>
      <c r="G498" s="679"/>
      <c r="H498" s="679"/>
      <c r="I498" s="679"/>
      <c r="J498" s="679"/>
      <c r="K498" s="679"/>
      <c r="L498" s="679"/>
      <c r="M498" s="679"/>
      <c r="N498" s="679"/>
      <c r="O498" s="679"/>
      <c r="P498" s="679"/>
      <c r="Q498" s="679"/>
      <c r="R498" s="679"/>
      <c r="S498" s="679"/>
      <c r="T498" s="679"/>
      <c r="U498" s="679"/>
      <c r="V498" s="679"/>
      <c r="W498" s="679"/>
      <c r="X498" s="679"/>
      <c r="Y498" s="679"/>
      <c r="Z498" s="679"/>
      <c r="AA498" s="661"/>
      <c r="AB498" s="661"/>
      <c r="AC498" s="661"/>
    </row>
    <row r="499" spans="1:68" ht="16.5" customHeight="1" x14ac:dyDescent="0.25">
      <c r="A499" s="54" t="s">
        <v>768</v>
      </c>
      <c r="B499" s="54" t="s">
        <v>769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100</v>
      </c>
      <c r="L499" s="32"/>
      <c r="M499" s="33" t="s">
        <v>101</v>
      </c>
      <c r="N499" s="33"/>
      <c r="O499" s="32">
        <v>55</v>
      </c>
      <c r="P499" s="1028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68</v>
      </c>
      <c r="X499" s="665">
        <v>0</v>
      </c>
      <c r="Y499" s="666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770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768</v>
      </c>
      <c r="B500" s="54" t="s">
        <v>771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100</v>
      </c>
      <c r="L500" s="32"/>
      <c r="M500" s="33" t="s">
        <v>106</v>
      </c>
      <c r="N500" s="33"/>
      <c r="O500" s="32">
        <v>70</v>
      </c>
      <c r="P500" s="913" t="s">
        <v>772</v>
      </c>
      <c r="Q500" s="672"/>
      <c r="R500" s="672"/>
      <c r="S500" s="672"/>
      <c r="T500" s="673"/>
      <c r="U500" s="34"/>
      <c r="V500" s="34"/>
      <c r="W500" s="35" t="s">
        <v>68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773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774</v>
      </c>
      <c r="B501" s="54" t="s">
        <v>775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66</v>
      </c>
      <c r="L501" s="32"/>
      <c r="M501" s="33" t="s">
        <v>106</v>
      </c>
      <c r="N501" s="33"/>
      <c r="O501" s="32">
        <v>70</v>
      </c>
      <c r="P501" s="846" t="s">
        <v>776</v>
      </c>
      <c r="Q501" s="672"/>
      <c r="R501" s="672"/>
      <c r="S501" s="672"/>
      <c r="T501" s="673"/>
      <c r="U501" s="34"/>
      <c r="V501" s="34"/>
      <c r="W501" s="35" t="s">
        <v>68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773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customHeight="1" x14ac:dyDescent="0.25">
      <c r="A502" s="54" t="s">
        <v>777</v>
      </c>
      <c r="B502" s="54" t="s">
        <v>778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101</v>
      </c>
      <c r="N502" s="33"/>
      <c r="O502" s="32">
        <v>70</v>
      </c>
      <c r="P502" s="745" t="s">
        <v>779</v>
      </c>
      <c r="Q502" s="672"/>
      <c r="R502" s="672"/>
      <c r="S502" s="672"/>
      <c r="T502" s="673"/>
      <c r="U502" s="34"/>
      <c r="V502" s="34"/>
      <c r="W502" s="35" t="s">
        <v>68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773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8"/>
      <c r="B503" s="679"/>
      <c r="C503" s="679"/>
      <c r="D503" s="679"/>
      <c r="E503" s="679"/>
      <c r="F503" s="679"/>
      <c r="G503" s="679"/>
      <c r="H503" s="679"/>
      <c r="I503" s="679"/>
      <c r="J503" s="679"/>
      <c r="K503" s="679"/>
      <c r="L503" s="679"/>
      <c r="M503" s="679"/>
      <c r="N503" s="679"/>
      <c r="O503" s="680"/>
      <c r="P503" s="686" t="s">
        <v>87</v>
      </c>
      <c r="Q503" s="687"/>
      <c r="R503" s="687"/>
      <c r="S503" s="687"/>
      <c r="T503" s="687"/>
      <c r="U503" s="687"/>
      <c r="V503" s="688"/>
      <c r="W503" s="37" t="s">
        <v>88</v>
      </c>
      <c r="X503" s="667">
        <f>IFERROR(X499/H499,"0")+IFERROR(X500/H500,"0")+IFERROR(X501/H501,"0")+IFERROR(X502/H502,"0")</f>
        <v>0</v>
      </c>
      <c r="Y503" s="667">
        <f>IFERROR(Y499/H499,"0")+IFERROR(Y500/H500,"0")+IFERROR(Y501/H501,"0")+IFERROR(Y502/H502,"0")</f>
        <v>0</v>
      </c>
      <c r="Z503" s="667">
        <f>IFERROR(IF(Z499="",0,Z499),"0")+IFERROR(IF(Z500="",0,Z500),"0")+IFERROR(IF(Z501="",0,Z501),"0")+IFERROR(IF(Z502="",0,Z502),"0")</f>
        <v>0</v>
      </c>
      <c r="AA503" s="668"/>
      <c r="AB503" s="668"/>
      <c r="AC503" s="668"/>
    </row>
    <row r="504" spans="1:68" x14ac:dyDescent="0.2">
      <c r="A504" s="679"/>
      <c r="B504" s="679"/>
      <c r="C504" s="679"/>
      <c r="D504" s="679"/>
      <c r="E504" s="679"/>
      <c r="F504" s="679"/>
      <c r="G504" s="679"/>
      <c r="H504" s="679"/>
      <c r="I504" s="679"/>
      <c r="J504" s="679"/>
      <c r="K504" s="679"/>
      <c r="L504" s="679"/>
      <c r="M504" s="679"/>
      <c r="N504" s="679"/>
      <c r="O504" s="680"/>
      <c r="P504" s="686" t="s">
        <v>87</v>
      </c>
      <c r="Q504" s="687"/>
      <c r="R504" s="687"/>
      <c r="S504" s="687"/>
      <c r="T504" s="687"/>
      <c r="U504" s="687"/>
      <c r="V504" s="688"/>
      <c r="W504" s="37" t="s">
        <v>68</v>
      </c>
      <c r="X504" s="667">
        <f>IFERROR(SUM(X499:X502),"0")</f>
        <v>0</v>
      </c>
      <c r="Y504" s="667">
        <f>IFERROR(SUM(Y499:Y502),"0")</f>
        <v>0</v>
      </c>
      <c r="Z504" s="37"/>
      <c r="AA504" s="668"/>
      <c r="AB504" s="668"/>
      <c r="AC504" s="668"/>
    </row>
    <row r="505" spans="1:68" ht="14.25" customHeight="1" x14ac:dyDescent="0.25">
      <c r="A505" s="683" t="s">
        <v>144</v>
      </c>
      <c r="B505" s="679"/>
      <c r="C505" s="679"/>
      <c r="D505" s="679"/>
      <c r="E505" s="679"/>
      <c r="F505" s="679"/>
      <c r="G505" s="679"/>
      <c r="H505" s="679"/>
      <c r="I505" s="679"/>
      <c r="J505" s="679"/>
      <c r="K505" s="679"/>
      <c r="L505" s="679"/>
      <c r="M505" s="679"/>
      <c r="N505" s="679"/>
      <c r="O505" s="679"/>
      <c r="P505" s="679"/>
      <c r="Q505" s="679"/>
      <c r="R505" s="679"/>
      <c r="S505" s="679"/>
      <c r="T505" s="679"/>
      <c r="U505" s="679"/>
      <c r="V505" s="679"/>
      <c r="W505" s="679"/>
      <c r="X505" s="679"/>
      <c r="Y505" s="679"/>
      <c r="Z505" s="679"/>
      <c r="AA505" s="661"/>
      <c r="AB505" s="661"/>
      <c r="AC505" s="661"/>
    </row>
    <row r="506" spans="1:68" ht="27" customHeight="1" x14ac:dyDescent="0.25">
      <c r="A506" s="54" t="s">
        <v>780</v>
      </c>
      <c r="B506" s="54" t="s">
        <v>781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100</v>
      </c>
      <c r="L506" s="32"/>
      <c r="M506" s="33" t="s">
        <v>101</v>
      </c>
      <c r="N506" s="33"/>
      <c r="O506" s="32">
        <v>70</v>
      </c>
      <c r="P506" s="898" t="s">
        <v>782</v>
      </c>
      <c r="Q506" s="672"/>
      <c r="R506" s="672"/>
      <c r="S506" s="672"/>
      <c r="T506" s="673"/>
      <c r="U506" s="34"/>
      <c r="V506" s="34"/>
      <c r="W506" s="35" t="s">
        <v>68</v>
      </c>
      <c r="X506" s="665">
        <v>0</v>
      </c>
      <c r="Y506" s="666">
        <f t="shared" ref="Y506:Y517" si="75">IFERROR(IF(X506="",0,CEILING((X506/$H506),1)*$H506),"")</f>
        <v>0</v>
      </c>
      <c r="Z506" s="36" t="str">
        <f>IFERROR(IF(Y506=0,"",ROUNDUP(Y506/H506,0)*0.01196),"")</f>
        <v/>
      </c>
      <c r="AA506" s="56"/>
      <c r="AB506" s="57"/>
      <c r="AC506" s="561" t="s">
        <v>783</v>
      </c>
      <c r="AG506" s="64"/>
      <c r="AJ506" s="68"/>
      <c r="AK506" s="68">
        <v>0</v>
      </c>
      <c r="BB506" s="562" t="s">
        <v>1</v>
      </c>
      <c r="BM506" s="64">
        <f t="shared" ref="BM506:BM517" si="76">IFERROR(X506*I506/H506,"0")</f>
        <v>0</v>
      </c>
      <c r="BN506" s="64">
        <f t="shared" ref="BN506:BN517" si="77">IFERROR(Y506*I506/H506,"0")</f>
        <v>0</v>
      </c>
      <c r="BO506" s="64">
        <f t="shared" ref="BO506:BO517" si="78">IFERROR(1/J506*(X506/H506),"0")</f>
        <v>0</v>
      </c>
      <c r="BP506" s="64">
        <f t="shared" ref="BP506:BP517" si="79">IFERROR(1/J506*(Y506/H506),"0")</f>
        <v>0</v>
      </c>
    </row>
    <row r="507" spans="1:68" ht="27" customHeight="1" x14ac:dyDescent="0.25">
      <c r="A507" s="54" t="s">
        <v>784</v>
      </c>
      <c r="B507" s="54" t="s">
        <v>785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7" t="s">
        <v>786</v>
      </c>
      <c r="Q507" s="672"/>
      <c r="R507" s="672"/>
      <c r="S507" s="672"/>
      <c r="T507" s="673"/>
      <c r="U507" s="34"/>
      <c r="V507" s="34"/>
      <c r="W507" s="35" t="s">
        <v>68</v>
      </c>
      <c r="X507" s="665">
        <v>36</v>
      </c>
      <c r="Y507" s="666">
        <f t="shared" si="75"/>
        <v>36.96</v>
      </c>
      <c r="Z507" s="36">
        <f>IFERROR(IF(Y507=0,"",ROUNDUP(Y507/H507,0)*0.01196),"")</f>
        <v>8.3720000000000003E-2</v>
      </c>
      <c r="AA507" s="56"/>
      <c r="AB507" s="57"/>
      <c r="AC507" s="563" t="s">
        <v>787</v>
      </c>
      <c r="AG507" s="64"/>
      <c r="AJ507" s="68"/>
      <c r="AK507" s="68">
        <v>0</v>
      </c>
      <c r="BB507" s="564" t="s">
        <v>1</v>
      </c>
      <c r="BM507" s="64">
        <f t="shared" si="76"/>
        <v>38.454545454545453</v>
      </c>
      <c r="BN507" s="64">
        <f t="shared" si="77"/>
        <v>39.479999999999997</v>
      </c>
      <c r="BO507" s="64">
        <f t="shared" si="78"/>
        <v>6.555944055944056E-2</v>
      </c>
      <c r="BP507" s="64">
        <f t="shared" si="79"/>
        <v>6.7307692307692318E-2</v>
      </c>
    </row>
    <row r="508" spans="1:68" ht="27" customHeight="1" x14ac:dyDescent="0.25">
      <c r="A508" s="54" t="s">
        <v>788</v>
      </c>
      <c r="B508" s="54" t="s">
        <v>789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100</v>
      </c>
      <c r="L508" s="32"/>
      <c r="M508" s="33" t="s">
        <v>67</v>
      </c>
      <c r="N508" s="33"/>
      <c r="O508" s="32">
        <v>70</v>
      </c>
      <c r="P508" s="765" t="s">
        <v>790</v>
      </c>
      <c r="Q508" s="672"/>
      <c r="R508" s="672"/>
      <c r="S508" s="672"/>
      <c r="T508" s="673"/>
      <c r="U508" s="34"/>
      <c r="V508" s="34"/>
      <c r="W508" s="35" t="s">
        <v>68</v>
      </c>
      <c r="X508" s="665">
        <v>30</v>
      </c>
      <c r="Y508" s="666">
        <f t="shared" si="75"/>
        <v>31.68</v>
      </c>
      <c r="Z508" s="36">
        <f>IFERROR(IF(Y508=0,"",ROUNDUP(Y508/H508,0)*0.01196),"")</f>
        <v>7.1760000000000004E-2</v>
      </c>
      <c r="AA508" s="56"/>
      <c r="AB508" s="57"/>
      <c r="AC508" s="565" t="s">
        <v>791</v>
      </c>
      <c r="AG508" s="64"/>
      <c r="AJ508" s="68"/>
      <c r="AK508" s="68">
        <v>0</v>
      </c>
      <c r="BB508" s="566" t="s">
        <v>1</v>
      </c>
      <c r="BM508" s="64">
        <f t="shared" si="76"/>
        <v>32.04545454545454</v>
      </c>
      <c r="BN508" s="64">
        <f t="shared" si="77"/>
        <v>33.839999999999996</v>
      </c>
      <c r="BO508" s="64">
        <f t="shared" si="78"/>
        <v>5.4632867132867136E-2</v>
      </c>
      <c r="BP508" s="64">
        <f t="shared" si="79"/>
        <v>5.7692307692307696E-2</v>
      </c>
    </row>
    <row r="509" spans="1:68" ht="27" customHeight="1" x14ac:dyDescent="0.25">
      <c r="A509" s="54" t="s">
        <v>792</v>
      </c>
      <c r="B509" s="54" t="s">
        <v>793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66</v>
      </c>
      <c r="L509" s="32"/>
      <c r="M509" s="33" t="s">
        <v>101</v>
      </c>
      <c r="N509" s="33"/>
      <c r="O509" s="32">
        <v>70</v>
      </c>
      <c r="P509" s="1006" t="s">
        <v>794</v>
      </c>
      <c r="Q509" s="672"/>
      <c r="R509" s="672"/>
      <c r="S509" s="672"/>
      <c r="T509" s="673"/>
      <c r="U509" s="34"/>
      <c r="V509" s="34"/>
      <c r="W509" s="35" t="s">
        <v>68</v>
      </c>
      <c r="X509" s="665">
        <v>0</v>
      </c>
      <c r="Y509" s="666">
        <f t="shared" si="75"/>
        <v>0</v>
      </c>
      <c r="Z509" s="36" t="str">
        <f>IFERROR(IF(Y509=0,"",ROUNDUP(Y509/H509,0)*0.00651),"")</f>
        <v/>
      </c>
      <c r="AA509" s="56"/>
      <c r="AB509" s="57"/>
      <c r="AC509" s="567" t="s">
        <v>783</v>
      </c>
      <c r="AG509" s="64"/>
      <c r="AJ509" s="68"/>
      <c r="AK509" s="68">
        <v>0</v>
      </c>
      <c r="BB509" s="568" t="s">
        <v>1</v>
      </c>
      <c r="BM509" s="64">
        <f t="shared" si="76"/>
        <v>0</v>
      </c>
      <c r="BN509" s="64">
        <f t="shared" si="77"/>
        <v>0</v>
      </c>
      <c r="BO509" s="64">
        <f t="shared" si="78"/>
        <v>0</v>
      </c>
      <c r="BP509" s="64">
        <f t="shared" si="79"/>
        <v>0</v>
      </c>
    </row>
    <row r="510" spans="1:68" ht="27" customHeight="1" x14ac:dyDescent="0.25">
      <c r="A510" s="54" t="s">
        <v>795</v>
      </c>
      <c r="B510" s="54" t="s">
        <v>796</v>
      </c>
      <c r="C510" s="31">
        <v>4301031419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6.93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33" t="s">
        <v>797</v>
      </c>
      <c r="Q510" s="672"/>
      <c r="R510" s="672"/>
      <c r="S510" s="672"/>
      <c r="T510" s="673"/>
      <c r="U510" s="34"/>
      <c r="V510" s="34"/>
      <c r="W510" s="35" t="s">
        <v>68</v>
      </c>
      <c r="X510" s="665">
        <v>0</v>
      </c>
      <c r="Y510" s="666">
        <f t="shared" si="75"/>
        <v>0</v>
      </c>
      <c r="Z510" s="36" t="str">
        <f>IFERROR(IF(Y510=0,"",ROUNDUP(Y510/H510,0)*0.00902),"")</f>
        <v/>
      </c>
      <c r="AA510" s="56"/>
      <c r="AB510" s="57"/>
      <c r="AC510" s="569" t="s">
        <v>783</v>
      </c>
      <c r="AG510" s="64"/>
      <c r="AJ510" s="68"/>
      <c r="AK510" s="68">
        <v>0</v>
      </c>
      <c r="BB510" s="570" t="s">
        <v>1</v>
      </c>
      <c r="BM510" s="64">
        <f t="shared" si="76"/>
        <v>0</v>
      </c>
      <c r="BN510" s="64">
        <f t="shared" si="77"/>
        <v>0</v>
      </c>
      <c r="BO510" s="64">
        <f t="shared" si="78"/>
        <v>0</v>
      </c>
      <c r="BP510" s="64">
        <f t="shared" si="79"/>
        <v>0</v>
      </c>
    </row>
    <row r="511" spans="1:68" ht="27" customHeight="1" x14ac:dyDescent="0.25">
      <c r="A511" s="54" t="s">
        <v>795</v>
      </c>
      <c r="B511" s="54" t="s">
        <v>798</v>
      </c>
      <c r="C511" s="31">
        <v>4301031351</v>
      </c>
      <c r="D511" s="669">
        <v>4680115882072</v>
      </c>
      <c r="E511" s="670"/>
      <c r="F511" s="664">
        <v>0.6</v>
      </c>
      <c r="G511" s="32">
        <v>6</v>
      </c>
      <c r="H511" s="664">
        <v>3.6</v>
      </c>
      <c r="I511" s="664">
        <v>3.81</v>
      </c>
      <c r="J511" s="32">
        <v>132</v>
      </c>
      <c r="K511" s="32" t="s">
        <v>105</v>
      </c>
      <c r="L511" s="32"/>
      <c r="M511" s="33" t="s">
        <v>101</v>
      </c>
      <c r="N511" s="33"/>
      <c r="O511" s="32">
        <v>70</v>
      </c>
      <c r="P511" s="880" t="s">
        <v>799</v>
      </c>
      <c r="Q511" s="672"/>
      <c r="R511" s="672"/>
      <c r="S511" s="672"/>
      <c r="T511" s="673"/>
      <c r="U511" s="34"/>
      <c r="V511" s="34"/>
      <c r="W511" s="35" t="s">
        <v>68</v>
      </c>
      <c r="X511" s="665">
        <v>0</v>
      </c>
      <c r="Y511" s="666">
        <f t="shared" si="75"/>
        <v>0</v>
      </c>
      <c r="Z511" s="36" t="str">
        <f>IFERROR(IF(Y511=0,"",ROUNDUP(Y511/H511,0)*0.00902),"")</f>
        <v/>
      </c>
      <c r="AA511" s="56"/>
      <c r="AB511" s="57"/>
      <c r="AC511" s="571" t="s">
        <v>783</v>
      </c>
      <c r="AG511" s="64"/>
      <c r="AJ511" s="68"/>
      <c r="AK511" s="68">
        <v>0</v>
      </c>
      <c r="BB511" s="572" t="s">
        <v>1</v>
      </c>
      <c r="BM511" s="64">
        <f t="shared" si="76"/>
        <v>0</v>
      </c>
      <c r="BN511" s="64">
        <f t="shared" si="77"/>
        <v>0</v>
      </c>
      <c r="BO511" s="64">
        <f t="shared" si="78"/>
        <v>0</v>
      </c>
      <c r="BP511" s="64">
        <f t="shared" si="79"/>
        <v>0</v>
      </c>
    </row>
    <row r="512" spans="1:68" ht="27" customHeight="1" x14ac:dyDescent="0.25">
      <c r="A512" s="54" t="s">
        <v>795</v>
      </c>
      <c r="B512" s="54" t="s">
        <v>800</v>
      </c>
      <c r="C512" s="31">
        <v>4301031383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6.96</v>
      </c>
      <c r="J512" s="32">
        <v>120</v>
      </c>
      <c r="K512" s="32" t="s">
        <v>105</v>
      </c>
      <c r="L512" s="32"/>
      <c r="M512" s="33" t="s">
        <v>101</v>
      </c>
      <c r="N512" s="33"/>
      <c r="O512" s="32">
        <v>60</v>
      </c>
      <c r="P512" s="92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72"/>
      <c r="R512" s="672"/>
      <c r="S512" s="672"/>
      <c r="T512" s="673"/>
      <c r="U512" s="34"/>
      <c r="V512" s="34"/>
      <c r="W512" s="35" t="s">
        <v>68</v>
      </c>
      <c r="X512" s="665">
        <v>0</v>
      </c>
      <c r="Y512" s="666">
        <f t="shared" si="75"/>
        <v>0</v>
      </c>
      <c r="Z512" s="36" t="str">
        <f>IFERROR(IF(Y512=0,"",ROUNDUP(Y512/H512,0)*0.00937),"")</f>
        <v/>
      </c>
      <c r="AA512" s="56"/>
      <c r="AB512" s="57"/>
      <c r="AC512" s="573" t="s">
        <v>801</v>
      </c>
      <c r="AG512" s="64"/>
      <c r="AJ512" s="68"/>
      <c r="AK512" s="68">
        <v>0</v>
      </c>
      <c r="BB512" s="574" t="s">
        <v>1</v>
      </c>
      <c r="BM512" s="64">
        <f t="shared" si="76"/>
        <v>0</v>
      </c>
      <c r="BN512" s="64">
        <f t="shared" si="77"/>
        <v>0</v>
      </c>
      <c r="BO512" s="64">
        <f t="shared" si="78"/>
        <v>0</v>
      </c>
      <c r="BP512" s="64">
        <f t="shared" si="79"/>
        <v>0</v>
      </c>
    </row>
    <row r="513" spans="1:68" ht="27" customHeight="1" x14ac:dyDescent="0.25">
      <c r="A513" s="54" t="s">
        <v>802</v>
      </c>
      <c r="B513" s="54" t="s">
        <v>803</v>
      </c>
      <c r="C513" s="31">
        <v>4301031418</v>
      </c>
      <c r="D513" s="669">
        <v>4680115882102</v>
      </c>
      <c r="E513" s="670"/>
      <c r="F513" s="664">
        <v>0.6</v>
      </c>
      <c r="G513" s="32">
        <v>8</v>
      </c>
      <c r="H513" s="664">
        <v>4.8</v>
      </c>
      <c r="I513" s="664">
        <v>6.69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70</v>
      </c>
      <c r="P513" s="833" t="s">
        <v>804</v>
      </c>
      <c r="Q513" s="672"/>
      <c r="R513" s="672"/>
      <c r="S513" s="672"/>
      <c r="T513" s="673"/>
      <c r="U513" s="34"/>
      <c r="V513" s="34"/>
      <c r="W513" s="35" t="s">
        <v>68</v>
      </c>
      <c r="X513" s="665">
        <v>0</v>
      </c>
      <c r="Y513" s="666">
        <f t="shared" si="75"/>
        <v>0</v>
      </c>
      <c r="Z513" s="36" t="str">
        <f>IFERROR(IF(Y513=0,"",ROUNDUP(Y513/H513,0)*0.00902),"")</f>
        <v/>
      </c>
      <c r="AA513" s="56"/>
      <c r="AB513" s="57"/>
      <c r="AC513" s="575" t="s">
        <v>787</v>
      </c>
      <c r="AG513" s="64"/>
      <c r="AJ513" s="68"/>
      <c r="AK513" s="68">
        <v>0</v>
      </c>
      <c r="BB513" s="576" t="s">
        <v>1</v>
      </c>
      <c r="BM513" s="64">
        <f t="shared" si="76"/>
        <v>0</v>
      </c>
      <c r="BN513" s="64">
        <f t="shared" si="77"/>
        <v>0</v>
      </c>
      <c r="BO513" s="64">
        <f t="shared" si="78"/>
        <v>0</v>
      </c>
      <c r="BP513" s="64">
        <f t="shared" si="79"/>
        <v>0</v>
      </c>
    </row>
    <row r="514" spans="1:68" ht="27" customHeight="1" x14ac:dyDescent="0.25">
      <c r="A514" s="54" t="s">
        <v>802</v>
      </c>
      <c r="B514" s="54" t="s">
        <v>805</v>
      </c>
      <c r="C514" s="31">
        <v>4301031251</v>
      </c>
      <c r="D514" s="669">
        <v>4680115882102</v>
      </c>
      <c r="E514" s="670"/>
      <c r="F514" s="664">
        <v>0.6</v>
      </c>
      <c r="G514" s="32">
        <v>6</v>
      </c>
      <c r="H514" s="664">
        <v>3.6</v>
      </c>
      <c r="I514" s="664">
        <v>3.81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60</v>
      </c>
      <c r="P514" s="860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4" s="672"/>
      <c r="R514" s="672"/>
      <c r="S514" s="672"/>
      <c r="T514" s="673"/>
      <c r="U514" s="34"/>
      <c r="V514" s="34"/>
      <c r="W514" s="35" t="s">
        <v>68</v>
      </c>
      <c r="X514" s="665">
        <v>0</v>
      </c>
      <c r="Y514" s="666">
        <f t="shared" si="75"/>
        <v>0</v>
      </c>
      <c r="Z514" s="36" t="str">
        <f>IFERROR(IF(Y514=0,"",ROUNDUP(Y514/H514,0)*0.00902),"")</f>
        <v/>
      </c>
      <c r="AA514" s="56"/>
      <c r="AB514" s="57"/>
      <c r="AC514" s="577" t="s">
        <v>806</v>
      </c>
      <c r="AG514" s="64"/>
      <c r="AJ514" s="68"/>
      <c r="AK514" s="68">
        <v>0</v>
      </c>
      <c r="BB514" s="578" t="s">
        <v>1</v>
      </c>
      <c r="BM514" s="64">
        <f t="shared" si="76"/>
        <v>0</v>
      </c>
      <c r="BN514" s="64">
        <f t="shared" si="77"/>
        <v>0</v>
      </c>
      <c r="BO514" s="64">
        <f t="shared" si="78"/>
        <v>0</v>
      </c>
      <c r="BP514" s="64">
        <f t="shared" si="79"/>
        <v>0</v>
      </c>
    </row>
    <row r="515" spans="1:68" ht="27" customHeight="1" x14ac:dyDescent="0.25">
      <c r="A515" s="54" t="s">
        <v>807</v>
      </c>
      <c r="B515" s="54" t="s">
        <v>808</v>
      </c>
      <c r="C515" s="31">
        <v>4301031417</v>
      </c>
      <c r="D515" s="669">
        <v>4680115882096</v>
      </c>
      <c r="E515" s="670"/>
      <c r="F515" s="664">
        <v>0.6</v>
      </c>
      <c r="G515" s="32">
        <v>8</v>
      </c>
      <c r="H515" s="664">
        <v>4.8</v>
      </c>
      <c r="I515" s="664">
        <v>6.69</v>
      </c>
      <c r="J515" s="32">
        <v>132</v>
      </c>
      <c r="K515" s="32" t="s">
        <v>105</v>
      </c>
      <c r="L515" s="32"/>
      <c r="M515" s="33" t="s">
        <v>67</v>
      </c>
      <c r="N515" s="33"/>
      <c r="O515" s="32">
        <v>70</v>
      </c>
      <c r="P515" s="1015" t="s">
        <v>809</v>
      </c>
      <c r="Q515" s="672"/>
      <c r="R515" s="672"/>
      <c r="S515" s="672"/>
      <c r="T515" s="673"/>
      <c r="U515" s="34"/>
      <c r="V515" s="34"/>
      <c r="W515" s="35" t="s">
        <v>68</v>
      </c>
      <c r="X515" s="665">
        <v>0</v>
      </c>
      <c r="Y515" s="666">
        <f t="shared" si="75"/>
        <v>0</v>
      </c>
      <c r="Z515" s="36" t="str">
        <f>IFERROR(IF(Y515=0,"",ROUNDUP(Y515/H515,0)*0.00902),"")</f>
        <v/>
      </c>
      <c r="AA515" s="56"/>
      <c r="AB515" s="57"/>
      <c r="AC515" s="579" t="s">
        <v>791</v>
      </c>
      <c r="AG515" s="64"/>
      <c r="AJ515" s="68"/>
      <c r="AK515" s="68">
        <v>0</v>
      </c>
      <c r="BB515" s="580" t="s">
        <v>1</v>
      </c>
      <c r="BM515" s="64">
        <f t="shared" si="76"/>
        <v>0</v>
      </c>
      <c r="BN515" s="64">
        <f t="shared" si="77"/>
        <v>0</v>
      </c>
      <c r="BO515" s="64">
        <f t="shared" si="78"/>
        <v>0</v>
      </c>
      <c r="BP515" s="64">
        <f t="shared" si="79"/>
        <v>0</v>
      </c>
    </row>
    <row r="516" spans="1:68" ht="27" customHeight="1" x14ac:dyDescent="0.25">
      <c r="A516" s="54" t="s">
        <v>807</v>
      </c>
      <c r="B516" s="54" t="s">
        <v>810</v>
      </c>
      <c r="C516" s="31">
        <v>4301031253</v>
      </c>
      <c r="D516" s="669">
        <v>4680115882096</v>
      </c>
      <c r="E516" s="670"/>
      <c r="F516" s="664">
        <v>0.6</v>
      </c>
      <c r="G516" s="32">
        <v>6</v>
      </c>
      <c r="H516" s="664">
        <v>3.6</v>
      </c>
      <c r="I516" s="664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5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2"/>
      <c r="R516" s="672"/>
      <c r="S516" s="672"/>
      <c r="T516" s="673"/>
      <c r="U516" s="34"/>
      <c r="V516" s="34"/>
      <c r="W516" s="35" t="s">
        <v>68</v>
      </c>
      <c r="X516" s="665">
        <v>0</v>
      </c>
      <c r="Y516" s="666">
        <f t="shared" si="75"/>
        <v>0</v>
      </c>
      <c r="Z516" s="36" t="str">
        <f>IFERROR(IF(Y516=0,"",ROUNDUP(Y516/H516,0)*0.00902),"")</f>
        <v/>
      </c>
      <c r="AA516" s="56"/>
      <c r="AB516" s="57"/>
      <c r="AC516" s="581" t="s">
        <v>811</v>
      </c>
      <c r="AG516" s="64"/>
      <c r="AJ516" s="68"/>
      <c r="AK516" s="68">
        <v>0</v>
      </c>
      <c r="BB516" s="582" t="s">
        <v>1</v>
      </c>
      <c r="BM516" s="64">
        <f t="shared" si="76"/>
        <v>0</v>
      </c>
      <c r="BN516" s="64">
        <f t="shared" si="77"/>
        <v>0</v>
      </c>
      <c r="BO516" s="64">
        <f t="shared" si="78"/>
        <v>0</v>
      </c>
      <c r="BP516" s="64">
        <f t="shared" si="79"/>
        <v>0</v>
      </c>
    </row>
    <row r="517" spans="1:68" ht="27" customHeight="1" x14ac:dyDescent="0.25">
      <c r="A517" s="54" t="s">
        <v>807</v>
      </c>
      <c r="B517" s="54" t="s">
        <v>812</v>
      </c>
      <c r="C517" s="31">
        <v>4301031384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120</v>
      </c>
      <c r="K517" s="32" t="s">
        <v>105</v>
      </c>
      <c r="L517" s="32"/>
      <c r="M517" s="33" t="s">
        <v>67</v>
      </c>
      <c r="N517" s="33"/>
      <c r="O517" s="32">
        <v>60</v>
      </c>
      <c r="P517" s="906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7" s="672"/>
      <c r="R517" s="672"/>
      <c r="S517" s="672"/>
      <c r="T517" s="673"/>
      <c r="U517" s="34"/>
      <c r="V517" s="34"/>
      <c r="W517" s="35" t="s">
        <v>68</v>
      </c>
      <c r="X517" s="665">
        <v>0</v>
      </c>
      <c r="Y517" s="666">
        <f t="shared" si="75"/>
        <v>0</v>
      </c>
      <c r="Z517" s="36" t="str">
        <f>IFERROR(IF(Y517=0,"",ROUNDUP(Y517/H517,0)*0.00937),"")</f>
        <v/>
      </c>
      <c r="AA517" s="56"/>
      <c r="AB517" s="57"/>
      <c r="AC517" s="583" t="s">
        <v>791</v>
      </c>
      <c r="AG517" s="64"/>
      <c r="AJ517" s="68"/>
      <c r="AK517" s="68">
        <v>0</v>
      </c>
      <c r="BB517" s="584" t="s">
        <v>1</v>
      </c>
      <c r="BM517" s="64">
        <f t="shared" si="76"/>
        <v>0</v>
      </c>
      <c r="BN517" s="64">
        <f t="shared" si="77"/>
        <v>0</v>
      </c>
      <c r="BO517" s="64">
        <f t="shared" si="78"/>
        <v>0</v>
      </c>
      <c r="BP517" s="64">
        <f t="shared" si="79"/>
        <v>0</v>
      </c>
    </row>
    <row r="518" spans="1:68" x14ac:dyDescent="0.2">
      <c r="A518" s="678"/>
      <c r="B518" s="679"/>
      <c r="C518" s="679"/>
      <c r="D518" s="679"/>
      <c r="E518" s="679"/>
      <c r="F518" s="679"/>
      <c r="G518" s="679"/>
      <c r="H518" s="679"/>
      <c r="I518" s="679"/>
      <c r="J518" s="679"/>
      <c r="K518" s="679"/>
      <c r="L518" s="679"/>
      <c r="M518" s="679"/>
      <c r="N518" s="679"/>
      <c r="O518" s="680"/>
      <c r="P518" s="686" t="s">
        <v>87</v>
      </c>
      <c r="Q518" s="687"/>
      <c r="R518" s="687"/>
      <c r="S518" s="687"/>
      <c r="T518" s="687"/>
      <c r="U518" s="687"/>
      <c r="V518" s="688"/>
      <c r="W518" s="37" t="s">
        <v>88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12.5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13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0.15548000000000001</v>
      </c>
      <c r="AA518" s="668"/>
      <c r="AB518" s="668"/>
      <c r="AC518" s="668"/>
    </row>
    <row r="519" spans="1:68" x14ac:dyDescent="0.2">
      <c r="A519" s="679"/>
      <c r="B519" s="679"/>
      <c r="C519" s="679"/>
      <c r="D519" s="679"/>
      <c r="E519" s="679"/>
      <c r="F519" s="679"/>
      <c r="G519" s="679"/>
      <c r="H519" s="679"/>
      <c r="I519" s="679"/>
      <c r="J519" s="679"/>
      <c r="K519" s="679"/>
      <c r="L519" s="679"/>
      <c r="M519" s="679"/>
      <c r="N519" s="679"/>
      <c r="O519" s="680"/>
      <c r="P519" s="686" t="s">
        <v>87</v>
      </c>
      <c r="Q519" s="687"/>
      <c r="R519" s="687"/>
      <c r="S519" s="687"/>
      <c r="T519" s="687"/>
      <c r="U519" s="687"/>
      <c r="V519" s="688"/>
      <c r="W519" s="37" t="s">
        <v>68</v>
      </c>
      <c r="X519" s="667">
        <f>IFERROR(SUM(X506:X517),"0")</f>
        <v>66</v>
      </c>
      <c r="Y519" s="667">
        <f>IFERROR(SUM(Y506:Y517),"0")</f>
        <v>68.64</v>
      </c>
      <c r="Z519" s="37"/>
      <c r="AA519" s="668"/>
      <c r="AB519" s="668"/>
      <c r="AC519" s="668"/>
    </row>
    <row r="520" spans="1:68" ht="14.25" customHeight="1" x14ac:dyDescent="0.25">
      <c r="A520" s="683" t="s">
        <v>63</v>
      </c>
      <c r="B520" s="679"/>
      <c r="C520" s="679"/>
      <c r="D520" s="679"/>
      <c r="E520" s="679"/>
      <c r="F520" s="679"/>
      <c r="G520" s="679"/>
      <c r="H520" s="679"/>
      <c r="I520" s="679"/>
      <c r="J520" s="679"/>
      <c r="K520" s="679"/>
      <c r="L520" s="679"/>
      <c r="M520" s="679"/>
      <c r="N520" s="679"/>
      <c r="O520" s="679"/>
      <c r="P520" s="679"/>
      <c r="Q520" s="679"/>
      <c r="R520" s="679"/>
      <c r="S520" s="679"/>
      <c r="T520" s="679"/>
      <c r="U520" s="679"/>
      <c r="V520" s="679"/>
      <c r="W520" s="679"/>
      <c r="X520" s="679"/>
      <c r="Y520" s="679"/>
      <c r="Z520" s="679"/>
      <c r="AA520" s="661"/>
      <c r="AB520" s="661"/>
      <c r="AC520" s="661"/>
    </row>
    <row r="521" spans="1:68" ht="16.5" customHeight="1" x14ac:dyDescent="0.25">
      <c r="A521" s="54" t="s">
        <v>813</v>
      </c>
      <c r="B521" s="54" t="s">
        <v>814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100</v>
      </c>
      <c r="L521" s="32"/>
      <c r="M521" s="33" t="s">
        <v>106</v>
      </c>
      <c r="N521" s="33"/>
      <c r="O521" s="32">
        <v>45</v>
      </c>
      <c r="P521" s="72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68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815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816</v>
      </c>
      <c r="B522" s="54" t="s">
        <v>817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100</v>
      </c>
      <c r="L522" s="32"/>
      <c r="M522" s="33" t="s">
        <v>67</v>
      </c>
      <c r="N522" s="33"/>
      <c r="O522" s="32">
        <v>45</v>
      </c>
      <c r="P522" s="74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68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818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customHeight="1" x14ac:dyDescent="0.25">
      <c r="A523" s="54" t="s">
        <v>819</v>
      </c>
      <c r="B523" s="54" t="s">
        <v>820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66</v>
      </c>
      <c r="L523" s="32"/>
      <c r="M523" s="33" t="s">
        <v>106</v>
      </c>
      <c r="N523" s="33"/>
      <c r="O523" s="32">
        <v>45</v>
      </c>
      <c r="P523" s="79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68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821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x14ac:dyDescent="0.2">
      <c r="A524" s="678"/>
      <c r="B524" s="679"/>
      <c r="C524" s="679"/>
      <c r="D524" s="679"/>
      <c r="E524" s="679"/>
      <c r="F524" s="679"/>
      <c r="G524" s="679"/>
      <c r="H524" s="679"/>
      <c r="I524" s="679"/>
      <c r="J524" s="679"/>
      <c r="K524" s="679"/>
      <c r="L524" s="679"/>
      <c r="M524" s="679"/>
      <c r="N524" s="679"/>
      <c r="O524" s="680"/>
      <c r="P524" s="686" t="s">
        <v>87</v>
      </c>
      <c r="Q524" s="687"/>
      <c r="R524" s="687"/>
      <c r="S524" s="687"/>
      <c r="T524" s="687"/>
      <c r="U524" s="687"/>
      <c r="V524" s="688"/>
      <c r="W524" s="37" t="s">
        <v>88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x14ac:dyDescent="0.2">
      <c r="A525" s="679"/>
      <c r="B525" s="679"/>
      <c r="C525" s="679"/>
      <c r="D525" s="679"/>
      <c r="E525" s="679"/>
      <c r="F525" s="679"/>
      <c r="G525" s="679"/>
      <c r="H525" s="679"/>
      <c r="I525" s="679"/>
      <c r="J525" s="679"/>
      <c r="K525" s="679"/>
      <c r="L525" s="679"/>
      <c r="M525" s="679"/>
      <c r="N525" s="679"/>
      <c r="O525" s="680"/>
      <c r="P525" s="686" t="s">
        <v>87</v>
      </c>
      <c r="Q525" s="687"/>
      <c r="R525" s="687"/>
      <c r="S525" s="687"/>
      <c r="T525" s="687"/>
      <c r="U525" s="687"/>
      <c r="V525" s="688"/>
      <c r="W525" s="37" t="s">
        <v>68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customHeight="1" x14ac:dyDescent="0.25">
      <c r="A526" s="683" t="s">
        <v>170</v>
      </c>
      <c r="B526" s="679"/>
      <c r="C526" s="679"/>
      <c r="D526" s="679"/>
      <c r="E526" s="679"/>
      <c r="F526" s="679"/>
      <c r="G526" s="679"/>
      <c r="H526" s="679"/>
      <c r="I526" s="679"/>
      <c r="J526" s="679"/>
      <c r="K526" s="679"/>
      <c r="L526" s="679"/>
      <c r="M526" s="679"/>
      <c r="N526" s="679"/>
      <c r="O526" s="679"/>
      <c r="P526" s="679"/>
      <c r="Q526" s="679"/>
      <c r="R526" s="679"/>
      <c r="S526" s="679"/>
      <c r="T526" s="679"/>
      <c r="U526" s="679"/>
      <c r="V526" s="679"/>
      <c r="W526" s="679"/>
      <c r="X526" s="679"/>
      <c r="Y526" s="679"/>
      <c r="Z526" s="679"/>
      <c r="AA526" s="661"/>
      <c r="AB526" s="661"/>
      <c r="AC526" s="661"/>
    </row>
    <row r="527" spans="1:68" ht="37.5" customHeight="1" x14ac:dyDescent="0.25">
      <c r="A527" s="54" t="s">
        <v>822</v>
      </c>
      <c r="B527" s="54" t="s">
        <v>823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100</v>
      </c>
      <c r="L527" s="32"/>
      <c r="M527" s="33" t="s">
        <v>67</v>
      </c>
      <c r="N527" s="33"/>
      <c r="O527" s="32">
        <v>35</v>
      </c>
      <c r="P527" s="74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68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824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customHeight="1" x14ac:dyDescent="0.25">
      <c r="A528" s="54" t="s">
        <v>825</v>
      </c>
      <c r="B528" s="54" t="s">
        <v>826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100</v>
      </c>
      <c r="L528" s="32"/>
      <c r="M528" s="33" t="s">
        <v>67</v>
      </c>
      <c r="N528" s="33"/>
      <c r="O528" s="32">
        <v>35</v>
      </c>
      <c r="P528" s="1031" t="s">
        <v>827</v>
      </c>
      <c r="Q528" s="672"/>
      <c r="R528" s="672"/>
      <c r="S528" s="672"/>
      <c r="T528" s="673"/>
      <c r="U528" s="34"/>
      <c r="V528" s="34"/>
      <c r="W528" s="35" t="s">
        <v>68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824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x14ac:dyDescent="0.2">
      <c r="A529" s="678"/>
      <c r="B529" s="679"/>
      <c r="C529" s="679"/>
      <c r="D529" s="679"/>
      <c r="E529" s="679"/>
      <c r="F529" s="679"/>
      <c r="G529" s="679"/>
      <c r="H529" s="679"/>
      <c r="I529" s="679"/>
      <c r="J529" s="679"/>
      <c r="K529" s="679"/>
      <c r="L529" s="679"/>
      <c r="M529" s="679"/>
      <c r="N529" s="679"/>
      <c r="O529" s="680"/>
      <c r="P529" s="686" t="s">
        <v>87</v>
      </c>
      <c r="Q529" s="687"/>
      <c r="R529" s="687"/>
      <c r="S529" s="687"/>
      <c r="T529" s="687"/>
      <c r="U529" s="687"/>
      <c r="V529" s="688"/>
      <c r="W529" s="37" t="s">
        <v>88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x14ac:dyDescent="0.2">
      <c r="A530" s="679"/>
      <c r="B530" s="679"/>
      <c r="C530" s="679"/>
      <c r="D530" s="679"/>
      <c r="E530" s="679"/>
      <c r="F530" s="679"/>
      <c r="G530" s="679"/>
      <c r="H530" s="679"/>
      <c r="I530" s="679"/>
      <c r="J530" s="679"/>
      <c r="K530" s="679"/>
      <c r="L530" s="679"/>
      <c r="M530" s="679"/>
      <c r="N530" s="679"/>
      <c r="O530" s="680"/>
      <c r="P530" s="686" t="s">
        <v>87</v>
      </c>
      <c r="Q530" s="687"/>
      <c r="R530" s="687"/>
      <c r="S530" s="687"/>
      <c r="T530" s="687"/>
      <c r="U530" s="687"/>
      <c r="V530" s="688"/>
      <c r="W530" s="37" t="s">
        <v>68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customHeight="1" x14ac:dyDescent="0.2">
      <c r="A531" s="681" t="s">
        <v>828</v>
      </c>
      <c r="B531" s="682"/>
      <c r="C531" s="682"/>
      <c r="D531" s="682"/>
      <c r="E531" s="682"/>
      <c r="F531" s="682"/>
      <c r="G531" s="682"/>
      <c r="H531" s="682"/>
      <c r="I531" s="682"/>
      <c r="J531" s="682"/>
      <c r="K531" s="682"/>
      <c r="L531" s="682"/>
      <c r="M531" s="682"/>
      <c r="N531" s="682"/>
      <c r="O531" s="682"/>
      <c r="P531" s="682"/>
      <c r="Q531" s="682"/>
      <c r="R531" s="682"/>
      <c r="S531" s="682"/>
      <c r="T531" s="682"/>
      <c r="U531" s="682"/>
      <c r="V531" s="682"/>
      <c r="W531" s="682"/>
      <c r="X531" s="682"/>
      <c r="Y531" s="682"/>
      <c r="Z531" s="682"/>
      <c r="AA531" s="48"/>
      <c r="AB531" s="48"/>
      <c r="AC531" s="48"/>
    </row>
    <row r="532" spans="1:68" ht="16.5" customHeight="1" x14ac:dyDescent="0.25">
      <c r="A532" s="718" t="s">
        <v>828</v>
      </c>
      <c r="B532" s="679"/>
      <c r="C532" s="679"/>
      <c r="D532" s="679"/>
      <c r="E532" s="679"/>
      <c r="F532" s="679"/>
      <c r="G532" s="679"/>
      <c r="H532" s="679"/>
      <c r="I532" s="679"/>
      <c r="J532" s="679"/>
      <c r="K532" s="679"/>
      <c r="L532" s="679"/>
      <c r="M532" s="679"/>
      <c r="N532" s="679"/>
      <c r="O532" s="679"/>
      <c r="P532" s="679"/>
      <c r="Q532" s="679"/>
      <c r="R532" s="679"/>
      <c r="S532" s="679"/>
      <c r="T532" s="679"/>
      <c r="U532" s="679"/>
      <c r="V532" s="679"/>
      <c r="W532" s="679"/>
      <c r="X532" s="679"/>
      <c r="Y532" s="679"/>
      <c r="Z532" s="679"/>
      <c r="AA532" s="660"/>
      <c r="AB532" s="660"/>
      <c r="AC532" s="660"/>
    </row>
    <row r="533" spans="1:68" ht="14.25" customHeight="1" x14ac:dyDescent="0.25">
      <c r="A533" s="683" t="s">
        <v>97</v>
      </c>
      <c r="B533" s="679"/>
      <c r="C533" s="679"/>
      <c r="D533" s="679"/>
      <c r="E533" s="679"/>
      <c r="F533" s="679"/>
      <c r="G533" s="679"/>
      <c r="H533" s="679"/>
      <c r="I533" s="679"/>
      <c r="J533" s="679"/>
      <c r="K533" s="679"/>
      <c r="L533" s="679"/>
      <c r="M533" s="679"/>
      <c r="N533" s="679"/>
      <c r="O533" s="679"/>
      <c r="P533" s="679"/>
      <c r="Q533" s="679"/>
      <c r="R533" s="679"/>
      <c r="S533" s="679"/>
      <c r="T533" s="679"/>
      <c r="U533" s="679"/>
      <c r="V533" s="679"/>
      <c r="W533" s="679"/>
      <c r="X533" s="679"/>
      <c r="Y533" s="679"/>
      <c r="Z533" s="679"/>
      <c r="AA533" s="661"/>
      <c r="AB533" s="661"/>
      <c r="AC533" s="661"/>
    </row>
    <row r="534" spans="1:68" ht="27" customHeight="1" x14ac:dyDescent="0.25">
      <c r="A534" s="54" t="s">
        <v>829</v>
      </c>
      <c r="B534" s="54" t="s">
        <v>830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100</v>
      </c>
      <c r="L534" s="32"/>
      <c r="M534" s="33" t="s">
        <v>106</v>
      </c>
      <c r="N534" s="33"/>
      <c r="O534" s="32">
        <v>55</v>
      </c>
      <c r="P534" s="1048" t="s">
        <v>831</v>
      </c>
      <c r="Q534" s="672"/>
      <c r="R534" s="672"/>
      <c r="S534" s="672"/>
      <c r="T534" s="673"/>
      <c r="U534" s="34"/>
      <c r="V534" s="34"/>
      <c r="W534" s="35" t="s">
        <v>68</v>
      </c>
      <c r="X534" s="665">
        <v>0</v>
      </c>
      <c r="Y534" s="666">
        <f t="shared" ref="Y534:Y539" si="80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832</v>
      </c>
      <c r="AG534" s="64"/>
      <c r="AJ534" s="68"/>
      <c r="AK534" s="68">
        <v>0</v>
      </c>
      <c r="BB534" s="596" t="s">
        <v>1</v>
      </c>
      <c r="BM534" s="64">
        <f t="shared" ref="BM534:BM539" si="81">IFERROR(X534*I534/H534,"0")</f>
        <v>0</v>
      </c>
      <c r="BN534" s="64">
        <f t="shared" ref="BN534:BN539" si="82">IFERROR(Y534*I534/H534,"0")</f>
        <v>0</v>
      </c>
      <c r="BO534" s="64">
        <f t="shared" ref="BO534:BO539" si="83">IFERROR(1/J534*(X534/H534),"0")</f>
        <v>0</v>
      </c>
      <c r="BP534" s="64">
        <f t="shared" ref="BP534:BP539" si="84">IFERROR(1/J534*(Y534/H534),"0")</f>
        <v>0</v>
      </c>
    </row>
    <row r="535" spans="1:68" ht="27" customHeight="1" x14ac:dyDescent="0.25">
      <c r="A535" s="54" t="s">
        <v>833</v>
      </c>
      <c r="B535" s="54" t="s">
        <v>834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4" t="s">
        <v>835</v>
      </c>
      <c r="Q535" s="672"/>
      <c r="R535" s="672"/>
      <c r="S535" s="672"/>
      <c r="T535" s="673"/>
      <c r="U535" s="34"/>
      <c r="V535" s="34"/>
      <c r="W535" s="35" t="s">
        <v>68</v>
      </c>
      <c r="X535" s="665">
        <v>0</v>
      </c>
      <c r="Y535" s="666">
        <f t="shared" si="80"/>
        <v>0</v>
      </c>
      <c r="Z535" s="36" t="str">
        <f>IFERROR(IF(Y535=0,"",ROUNDUP(Y535/H535,0)*0.01898),"")</f>
        <v/>
      </c>
      <c r="AA535" s="56"/>
      <c r="AB535" s="57"/>
      <c r="AC535" s="597" t="s">
        <v>836</v>
      </c>
      <c r="AG535" s="64"/>
      <c r="AJ535" s="68"/>
      <c r="AK535" s="68">
        <v>0</v>
      </c>
      <c r="BB535" s="598" t="s">
        <v>1</v>
      </c>
      <c r="BM535" s="64">
        <f t="shared" si="81"/>
        <v>0</v>
      </c>
      <c r="BN535" s="64">
        <f t="shared" si="82"/>
        <v>0</v>
      </c>
      <c r="BO535" s="64">
        <f t="shared" si="83"/>
        <v>0</v>
      </c>
      <c r="BP535" s="64">
        <f t="shared" si="84"/>
        <v>0</v>
      </c>
    </row>
    <row r="536" spans="1:68" ht="27" customHeight="1" x14ac:dyDescent="0.25">
      <c r="A536" s="54" t="s">
        <v>837</v>
      </c>
      <c r="B536" s="54" t="s">
        <v>838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50</v>
      </c>
      <c r="P536" s="1052" t="s">
        <v>839</v>
      </c>
      <c r="Q536" s="672"/>
      <c r="R536" s="672"/>
      <c r="S536" s="672"/>
      <c r="T536" s="673"/>
      <c r="U536" s="34"/>
      <c r="V536" s="34"/>
      <c r="W536" s="35" t="s">
        <v>68</v>
      </c>
      <c r="X536" s="665">
        <v>0</v>
      </c>
      <c r="Y536" s="666">
        <f t="shared" si="80"/>
        <v>0</v>
      </c>
      <c r="Z536" s="36" t="str">
        <f>IFERROR(IF(Y536=0,"",ROUNDUP(Y536/H536,0)*0.01898),"")</f>
        <v/>
      </c>
      <c r="AA536" s="56"/>
      <c r="AB536" s="57"/>
      <c r="AC536" s="599" t="s">
        <v>840</v>
      </c>
      <c r="AG536" s="64"/>
      <c r="AJ536" s="68"/>
      <c r="AK536" s="68">
        <v>0</v>
      </c>
      <c r="BB536" s="600" t="s">
        <v>1</v>
      </c>
      <c r="BM536" s="64">
        <f t="shared" si="81"/>
        <v>0</v>
      </c>
      <c r="BN536" s="64">
        <f t="shared" si="82"/>
        <v>0</v>
      </c>
      <c r="BO536" s="64">
        <f t="shared" si="83"/>
        <v>0</v>
      </c>
      <c r="BP536" s="64">
        <f t="shared" si="84"/>
        <v>0</v>
      </c>
    </row>
    <row r="537" spans="1:68" ht="27" customHeight="1" x14ac:dyDescent="0.25">
      <c r="A537" s="54" t="s">
        <v>841</v>
      </c>
      <c r="B537" s="54" t="s">
        <v>842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100</v>
      </c>
      <c r="L537" s="32"/>
      <c r="M537" s="33" t="s">
        <v>101</v>
      </c>
      <c r="N537" s="33"/>
      <c r="O537" s="32">
        <v>55</v>
      </c>
      <c r="P537" s="764" t="s">
        <v>843</v>
      </c>
      <c r="Q537" s="672"/>
      <c r="R537" s="672"/>
      <c r="S537" s="672"/>
      <c r="T537" s="673"/>
      <c r="U537" s="34"/>
      <c r="V537" s="34"/>
      <c r="W537" s="35" t="s">
        <v>68</v>
      </c>
      <c r="X537" s="665">
        <v>0</v>
      </c>
      <c r="Y537" s="666">
        <f t="shared" si="80"/>
        <v>0</v>
      </c>
      <c r="Z537" s="36" t="str">
        <f>IFERROR(IF(Y537=0,"",ROUNDUP(Y537/H537,0)*0.01898),"")</f>
        <v/>
      </c>
      <c r="AA537" s="56"/>
      <c r="AB537" s="57"/>
      <c r="AC537" s="601" t="s">
        <v>844</v>
      </c>
      <c r="AG537" s="64"/>
      <c r="AJ537" s="68"/>
      <c r="AK537" s="68">
        <v>0</v>
      </c>
      <c r="BB537" s="602" t="s">
        <v>1</v>
      </c>
      <c r="BM537" s="64">
        <f t="shared" si="81"/>
        <v>0</v>
      </c>
      <c r="BN537" s="64">
        <f t="shared" si="82"/>
        <v>0</v>
      </c>
      <c r="BO537" s="64">
        <f t="shared" si="83"/>
        <v>0</v>
      </c>
      <c r="BP537" s="64">
        <f t="shared" si="84"/>
        <v>0</v>
      </c>
    </row>
    <row r="538" spans="1:68" ht="27" customHeight="1" x14ac:dyDescent="0.25">
      <c r="A538" s="54" t="s">
        <v>845</v>
      </c>
      <c r="B538" s="54" t="s">
        <v>846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50</v>
      </c>
      <c r="P538" s="889" t="s">
        <v>847</v>
      </c>
      <c r="Q538" s="672"/>
      <c r="R538" s="672"/>
      <c r="S538" s="672"/>
      <c r="T538" s="673"/>
      <c r="U538" s="34"/>
      <c r="V538" s="34"/>
      <c r="W538" s="35" t="s">
        <v>68</v>
      </c>
      <c r="X538" s="665">
        <v>0</v>
      </c>
      <c r="Y538" s="666">
        <f t="shared" si="80"/>
        <v>0</v>
      </c>
      <c r="Z538" s="36" t="str">
        <f>IFERROR(IF(Y538=0,"",ROUNDUP(Y538/H538,0)*0.00902),"")</f>
        <v/>
      </c>
      <c r="AA538" s="56"/>
      <c r="AB538" s="57"/>
      <c r="AC538" s="603" t="s">
        <v>840</v>
      </c>
      <c r="AG538" s="64"/>
      <c r="AJ538" s="68"/>
      <c r="AK538" s="68">
        <v>0</v>
      </c>
      <c r="BB538" s="604" t="s">
        <v>1</v>
      </c>
      <c r="BM538" s="64">
        <f t="shared" si="81"/>
        <v>0</v>
      </c>
      <c r="BN538" s="64">
        <f t="shared" si="82"/>
        <v>0</v>
      </c>
      <c r="BO538" s="64">
        <f t="shared" si="83"/>
        <v>0</v>
      </c>
      <c r="BP538" s="64">
        <f t="shared" si="84"/>
        <v>0</v>
      </c>
    </row>
    <row r="539" spans="1:68" ht="27" customHeight="1" x14ac:dyDescent="0.25">
      <c r="A539" s="54" t="s">
        <v>848</v>
      </c>
      <c r="B539" s="54" t="s">
        <v>849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101</v>
      </c>
      <c r="N539" s="33"/>
      <c r="O539" s="32">
        <v>55</v>
      </c>
      <c r="P539" s="748" t="s">
        <v>850</v>
      </c>
      <c r="Q539" s="672"/>
      <c r="R539" s="672"/>
      <c r="S539" s="672"/>
      <c r="T539" s="673"/>
      <c r="U539" s="34"/>
      <c r="V539" s="34"/>
      <c r="W539" s="35" t="s">
        <v>68</v>
      </c>
      <c r="X539" s="665">
        <v>0</v>
      </c>
      <c r="Y539" s="666">
        <f t="shared" si="80"/>
        <v>0</v>
      </c>
      <c r="Z539" s="36" t="str">
        <f>IFERROR(IF(Y539=0,"",ROUNDUP(Y539/H539,0)*0.00902),"")</f>
        <v/>
      </c>
      <c r="AA539" s="56"/>
      <c r="AB539" s="57"/>
      <c r="AC539" s="605" t="s">
        <v>844</v>
      </c>
      <c r="AG539" s="64"/>
      <c r="AJ539" s="68"/>
      <c r="AK539" s="68">
        <v>0</v>
      </c>
      <c r="BB539" s="606" t="s">
        <v>1</v>
      </c>
      <c r="BM539" s="64">
        <f t="shared" si="81"/>
        <v>0</v>
      </c>
      <c r="BN539" s="64">
        <f t="shared" si="82"/>
        <v>0</v>
      </c>
      <c r="BO539" s="64">
        <f t="shared" si="83"/>
        <v>0</v>
      </c>
      <c r="BP539" s="64">
        <f t="shared" si="84"/>
        <v>0</v>
      </c>
    </row>
    <row r="540" spans="1:68" x14ac:dyDescent="0.2">
      <c r="A540" s="678"/>
      <c r="B540" s="679"/>
      <c r="C540" s="679"/>
      <c r="D540" s="679"/>
      <c r="E540" s="679"/>
      <c r="F540" s="679"/>
      <c r="G540" s="679"/>
      <c r="H540" s="679"/>
      <c r="I540" s="679"/>
      <c r="J540" s="679"/>
      <c r="K540" s="679"/>
      <c r="L540" s="679"/>
      <c r="M540" s="679"/>
      <c r="N540" s="679"/>
      <c r="O540" s="680"/>
      <c r="P540" s="686" t="s">
        <v>87</v>
      </c>
      <c r="Q540" s="687"/>
      <c r="R540" s="687"/>
      <c r="S540" s="687"/>
      <c r="T540" s="687"/>
      <c r="U540" s="687"/>
      <c r="V540" s="688"/>
      <c r="W540" s="37" t="s">
        <v>88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x14ac:dyDescent="0.2">
      <c r="A541" s="679"/>
      <c r="B541" s="679"/>
      <c r="C541" s="679"/>
      <c r="D541" s="679"/>
      <c r="E541" s="679"/>
      <c r="F541" s="679"/>
      <c r="G541" s="679"/>
      <c r="H541" s="679"/>
      <c r="I541" s="679"/>
      <c r="J541" s="679"/>
      <c r="K541" s="679"/>
      <c r="L541" s="679"/>
      <c r="M541" s="679"/>
      <c r="N541" s="679"/>
      <c r="O541" s="680"/>
      <c r="P541" s="686" t="s">
        <v>87</v>
      </c>
      <c r="Q541" s="687"/>
      <c r="R541" s="687"/>
      <c r="S541" s="687"/>
      <c r="T541" s="687"/>
      <c r="U541" s="687"/>
      <c r="V541" s="688"/>
      <c r="W541" s="37" t="s">
        <v>68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customHeight="1" x14ac:dyDescent="0.25">
      <c r="A542" s="683" t="s">
        <v>133</v>
      </c>
      <c r="B542" s="679"/>
      <c r="C542" s="679"/>
      <c r="D542" s="679"/>
      <c r="E542" s="679"/>
      <c r="F542" s="679"/>
      <c r="G542" s="679"/>
      <c r="H542" s="679"/>
      <c r="I542" s="679"/>
      <c r="J542" s="679"/>
      <c r="K542" s="679"/>
      <c r="L542" s="679"/>
      <c r="M542" s="679"/>
      <c r="N542" s="679"/>
      <c r="O542" s="679"/>
      <c r="P542" s="679"/>
      <c r="Q542" s="679"/>
      <c r="R542" s="679"/>
      <c r="S542" s="679"/>
      <c r="T542" s="679"/>
      <c r="U542" s="679"/>
      <c r="V542" s="679"/>
      <c r="W542" s="679"/>
      <c r="X542" s="679"/>
      <c r="Y542" s="679"/>
      <c r="Z542" s="679"/>
      <c r="AA542" s="661"/>
      <c r="AB542" s="661"/>
      <c r="AC542" s="661"/>
    </row>
    <row r="543" spans="1:68" ht="27" customHeight="1" x14ac:dyDescent="0.25">
      <c r="A543" s="54" t="s">
        <v>851</v>
      </c>
      <c r="B543" s="54" t="s">
        <v>852</v>
      </c>
      <c r="C543" s="31">
        <v>4301020400</v>
      </c>
      <c r="D543" s="669">
        <v>4640242180519</v>
      </c>
      <c r="E543" s="670"/>
      <c r="F543" s="664">
        <v>1.5</v>
      </c>
      <c r="G543" s="32">
        <v>8</v>
      </c>
      <c r="H543" s="664">
        <v>12</v>
      </c>
      <c r="I543" s="664">
        <v>12.435</v>
      </c>
      <c r="J543" s="32">
        <v>64</v>
      </c>
      <c r="K543" s="32" t="s">
        <v>100</v>
      </c>
      <c r="L543" s="32"/>
      <c r="M543" s="33" t="s">
        <v>101</v>
      </c>
      <c r="N543" s="33"/>
      <c r="O543" s="32">
        <v>50</v>
      </c>
      <c r="P543" s="866" t="s">
        <v>853</v>
      </c>
      <c r="Q543" s="672"/>
      <c r="R543" s="672"/>
      <c r="S543" s="672"/>
      <c r="T543" s="673"/>
      <c r="U543" s="34"/>
      <c r="V543" s="34"/>
      <c r="W543" s="35" t="s">
        <v>68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854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851</v>
      </c>
      <c r="B544" s="54" t="s">
        <v>855</v>
      </c>
      <c r="C544" s="31">
        <v>4301020269</v>
      </c>
      <c r="D544" s="669">
        <v>4640242180519</v>
      </c>
      <c r="E544" s="670"/>
      <c r="F544" s="664">
        <v>1.35</v>
      </c>
      <c r="G544" s="32">
        <v>8</v>
      </c>
      <c r="H544" s="664">
        <v>10.8</v>
      </c>
      <c r="I544" s="664">
        <v>11.234999999999999</v>
      </c>
      <c r="J544" s="32">
        <v>64</v>
      </c>
      <c r="K544" s="32" t="s">
        <v>100</v>
      </c>
      <c r="L544" s="32"/>
      <c r="M544" s="33" t="s">
        <v>106</v>
      </c>
      <c r="N544" s="33"/>
      <c r="O544" s="32">
        <v>50</v>
      </c>
      <c r="P544" s="842" t="s">
        <v>856</v>
      </c>
      <c r="Q544" s="672"/>
      <c r="R544" s="672"/>
      <c r="S544" s="672"/>
      <c r="T544" s="673"/>
      <c r="U544" s="34"/>
      <c r="V544" s="34"/>
      <c r="W544" s="35" t="s">
        <v>68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857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858</v>
      </c>
      <c r="B545" s="54" t="s">
        <v>859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4" t="s">
        <v>860</v>
      </c>
      <c r="Q545" s="672"/>
      <c r="R545" s="672"/>
      <c r="S545" s="672"/>
      <c r="T545" s="673"/>
      <c r="U545" s="34"/>
      <c r="V545" s="34"/>
      <c r="W545" s="35" t="s">
        <v>68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857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861</v>
      </c>
      <c r="B546" s="54" t="s">
        <v>862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100</v>
      </c>
      <c r="L546" s="32"/>
      <c r="M546" s="33" t="s">
        <v>101</v>
      </c>
      <c r="N546" s="33"/>
      <c r="O546" s="32">
        <v>50</v>
      </c>
      <c r="P546" s="789" t="s">
        <v>863</v>
      </c>
      <c r="Q546" s="672"/>
      <c r="R546" s="672"/>
      <c r="S546" s="672"/>
      <c r="T546" s="673"/>
      <c r="U546" s="34"/>
      <c r="V546" s="34"/>
      <c r="W546" s="35" t="s">
        <v>68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864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customHeight="1" x14ac:dyDescent="0.25">
      <c r="A547" s="54" t="s">
        <v>865</v>
      </c>
      <c r="B547" s="54" t="s">
        <v>866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101</v>
      </c>
      <c r="N547" s="33"/>
      <c r="O547" s="32">
        <v>50</v>
      </c>
      <c r="P547" s="974" t="s">
        <v>867</v>
      </c>
      <c r="Q547" s="672"/>
      <c r="R547" s="672"/>
      <c r="S547" s="672"/>
      <c r="T547" s="673"/>
      <c r="U547" s="34"/>
      <c r="V547" s="34"/>
      <c r="W547" s="35" t="s">
        <v>68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864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78"/>
      <c r="B548" s="679"/>
      <c r="C548" s="679"/>
      <c r="D548" s="679"/>
      <c r="E548" s="679"/>
      <c r="F548" s="679"/>
      <c r="G548" s="679"/>
      <c r="H548" s="679"/>
      <c r="I548" s="679"/>
      <c r="J548" s="679"/>
      <c r="K548" s="679"/>
      <c r="L548" s="679"/>
      <c r="M548" s="679"/>
      <c r="N548" s="679"/>
      <c r="O548" s="680"/>
      <c r="P548" s="686" t="s">
        <v>87</v>
      </c>
      <c r="Q548" s="687"/>
      <c r="R548" s="687"/>
      <c r="S548" s="687"/>
      <c r="T548" s="687"/>
      <c r="U548" s="687"/>
      <c r="V548" s="688"/>
      <c r="W548" s="37" t="s">
        <v>88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x14ac:dyDescent="0.2">
      <c r="A549" s="679"/>
      <c r="B549" s="679"/>
      <c r="C549" s="679"/>
      <c r="D549" s="679"/>
      <c r="E549" s="679"/>
      <c r="F549" s="679"/>
      <c r="G549" s="679"/>
      <c r="H549" s="679"/>
      <c r="I549" s="679"/>
      <c r="J549" s="679"/>
      <c r="K549" s="679"/>
      <c r="L549" s="679"/>
      <c r="M549" s="679"/>
      <c r="N549" s="679"/>
      <c r="O549" s="680"/>
      <c r="P549" s="686" t="s">
        <v>87</v>
      </c>
      <c r="Q549" s="687"/>
      <c r="R549" s="687"/>
      <c r="S549" s="687"/>
      <c r="T549" s="687"/>
      <c r="U549" s="687"/>
      <c r="V549" s="688"/>
      <c r="W549" s="37" t="s">
        <v>68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customHeight="1" x14ac:dyDescent="0.25">
      <c r="A550" s="683" t="s">
        <v>144</v>
      </c>
      <c r="B550" s="679"/>
      <c r="C550" s="679"/>
      <c r="D550" s="679"/>
      <c r="E550" s="679"/>
      <c r="F550" s="679"/>
      <c r="G550" s="679"/>
      <c r="H550" s="679"/>
      <c r="I550" s="679"/>
      <c r="J550" s="679"/>
      <c r="K550" s="679"/>
      <c r="L550" s="679"/>
      <c r="M550" s="679"/>
      <c r="N550" s="679"/>
      <c r="O550" s="679"/>
      <c r="P550" s="679"/>
      <c r="Q550" s="679"/>
      <c r="R550" s="679"/>
      <c r="S550" s="679"/>
      <c r="T550" s="679"/>
      <c r="U550" s="679"/>
      <c r="V550" s="679"/>
      <c r="W550" s="679"/>
      <c r="X550" s="679"/>
      <c r="Y550" s="679"/>
      <c r="Z550" s="679"/>
      <c r="AA550" s="661"/>
      <c r="AB550" s="661"/>
      <c r="AC550" s="661"/>
    </row>
    <row r="551" spans="1:68" ht="27" customHeight="1" x14ac:dyDescent="0.25">
      <c r="A551" s="54" t="s">
        <v>868</v>
      </c>
      <c r="B551" s="54" t="s">
        <v>869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6" t="s">
        <v>870</v>
      </c>
      <c r="Q551" s="672"/>
      <c r="R551" s="672"/>
      <c r="S551" s="672"/>
      <c r="T551" s="673"/>
      <c r="U551" s="34"/>
      <c r="V551" s="34"/>
      <c r="W551" s="35" t="s">
        <v>68</v>
      </c>
      <c r="X551" s="665">
        <v>0</v>
      </c>
      <c r="Y551" s="666">
        <f t="shared" ref="Y551:Y557" si="85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871</v>
      </c>
      <c r="AG551" s="64"/>
      <c r="AJ551" s="68"/>
      <c r="AK551" s="68">
        <v>0</v>
      </c>
      <c r="BB551" s="618" t="s">
        <v>1</v>
      </c>
      <c r="BM551" s="64">
        <f t="shared" ref="BM551:BM557" si="86">IFERROR(X551*I551/H551,"0")</f>
        <v>0</v>
      </c>
      <c r="BN551" s="64">
        <f t="shared" ref="BN551:BN557" si="87">IFERROR(Y551*I551/H551,"0")</f>
        <v>0</v>
      </c>
      <c r="BO551" s="64">
        <f t="shared" ref="BO551:BO557" si="88">IFERROR(1/J551*(X551/H551),"0")</f>
        <v>0</v>
      </c>
      <c r="BP551" s="64">
        <f t="shared" ref="BP551:BP557" si="89">IFERROR(1/J551*(Y551/H551),"0")</f>
        <v>0</v>
      </c>
    </row>
    <row r="552" spans="1:68" ht="27" customHeight="1" x14ac:dyDescent="0.25">
      <c r="A552" s="54" t="s">
        <v>872</v>
      </c>
      <c r="B552" s="54" t="s">
        <v>873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40</v>
      </c>
      <c r="P552" s="713" t="s">
        <v>874</v>
      </c>
      <c r="Q552" s="672"/>
      <c r="R552" s="672"/>
      <c r="S552" s="672"/>
      <c r="T552" s="673"/>
      <c r="U552" s="34"/>
      <c r="V552" s="34"/>
      <c r="W552" s="35" t="s">
        <v>68</v>
      </c>
      <c r="X552" s="665">
        <v>0</v>
      </c>
      <c r="Y552" s="666">
        <f t="shared" si="85"/>
        <v>0</v>
      </c>
      <c r="Z552" s="36" t="str">
        <f>IFERROR(IF(Y552=0,"",ROUNDUP(Y552/H552,0)*0.00902),"")</f>
        <v/>
      </c>
      <c r="AA552" s="56"/>
      <c r="AB552" s="57"/>
      <c r="AC552" s="619" t="s">
        <v>875</v>
      </c>
      <c r="AG552" s="64"/>
      <c r="AJ552" s="68"/>
      <c r="AK552" s="68">
        <v>0</v>
      </c>
      <c r="BB552" s="620" t="s">
        <v>1</v>
      </c>
      <c r="BM552" s="64">
        <f t="shared" si="86"/>
        <v>0</v>
      </c>
      <c r="BN552" s="64">
        <f t="shared" si="87"/>
        <v>0</v>
      </c>
      <c r="BO552" s="64">
        <f t="shared" si="88"/>
        <v>0</v>
      </c>
      <c r="BP552" s="64">
        <f t="shared" si="89"/>
        <v>0</v>
      </c>
    </row>
    <row r="553" spans="1:68" ht="27" customHeight="1" x14ac:dyDescent="0.25">
      <c r="A553" s="54" t="s">
        <v>876</v>
      </c>
      <c r="B553" s="54" t="s">
        <v>877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5" t="s">
        <v>878</v>
      </c>
      <c r="Q553" s="672"/>
      <c r="R553" s="672"/>
      <c r="S553" s="672"/>
      <c r="T553" s="673"/>
      <c r="U553" s="34"/>
      <c r="V553" s="34"/>
      <c r="W553" s="35" t="s">
        <v>68</v>
      </c>
      <c r="X553" s="665">
        <v>0</v>
      </c>
      <c r="Y553" s="666">
        <f t="shared" si="85"/>
        <v>0</v>
      </c>
      <c r="Z553" s="36" t="str">
        <f>IFERROR(IF(Y553=0,"",ROUNDUP(Y553/H553,0)*0.00902),"")</f>
        <v/>
      </c>
      <c r="AA553" s="56"/>
      <c r="AB553" s="57"/>
      <c r="AC553" s="621" t="s">
        <v>879</v>
      </c>
      <c r="AG553" s="64"/>
      <c r="AJ553" s="68"/>
      <c r="AK553" s="68">
        <v>0</v>
      </c>
      <c r="BB553" s="622" t="s">
        <v>1</v>
      </c>
      <c r="BM553" s="64">
        <f t="shared" si="86"/>
        <v>0</v>
      </c>
      <c r="BN553" s="64">
        <f t="shared" si="87"/>
        <v>0</v>
      </c>
      <c r="BO553" s="64">
        <f t="shared" si="88"/>
        <v>0</v>
      </c>
      <c r="BP553" s="64">
        <f t="shared" si="89"/>
        <v>0</v>
      </c>
    </row>
    <row r="554" spans="1:68" ht="27" customHeight="1" x14ac:dyDescent="0.25">
      <c r="A554" s="54" t="s">
        <v>880</v>
      </c>
      <c r="B554" s="54" t="s">
        <v>881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1" t="s">
        <v>882</v>
      </c>
      <c r="Q554" s="672"/>
      <c r="R554" s="672"/>
      <c r="S554" s="672"/>
      <c r="T554" s="673"/>
      <c r="U554" s="34"/>
      <c r="V554" s="34"/>
      <c r="W554" s="35" t="s">
        <v>68</v>
      </c>
      <c r="X554" s="665">
        <v>0</v>
      </c>
      <c r="Y554" s="666">
        <f t="shared" si="85"/>
        <v>0</v>
      </c>
      <c r="Z554" s="36" t="str">
        <f>IFERROR(IF(Y554=0,"",ROUNDUP(Y554/H554,0)*0.00902),"")</f>
        <v/>
      </c>
      <c r="AA554" s="56"/>
      <c r="AB554" s="57"/>
      <c r="AC554" s="623" t="s">
        <v>883</v>
      </c>
      <c r="AG554" s="64"/>
      <c r="AJ554" s="68"/>
      <c r="AK554" s="68">
        <v>0</v>
      </c>
      <c r="BB554" s="624" t="s">
        <v>1</v>
      </c>
      <c r="BM554" s="64">
        <f t="shared" si="86"/>
        <v>0</v>
      </c>
      <c r="BN554" s="64">
        <f t="shared" si="87"/>
        <v>0</v>
      </c>
      <c r="BO554" s="64">
        <f t="shared" si="88"/>
        <v>0</v>
      </c>
      <c r="BP554" s="64">
        <f t="shared" si="89"/>
        <v>0</v>
      </c>
    </row>
    <row r="555" spans="1:68" ht="27" customHeight="1" x14ac:dyDescent="0.25">
      <c r="A555" s="54" t="s">
        <v>884</v>
      </c>
      <c r="B555" s="54" t="s">
        <v>885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67</v>
      </c>
      <c r="N555" s="33"/>
      <c r="O555" s="32">
        <v>45</v>
      </c>
      <c r="P555" s="960" t="s">
        <v>886</v>
      </c>
      <c r="Q555" s="672"/>
      <c r="R555" s="672"/>
      <c r="S555" s="672"/>
      <c r="T555" s="673"/>
      <c r="U555" s="34"/>
      <c r="V555" s="34"/>
      <c r="W555" s="35" t="s">
        <v>68</v>
      </c>
      <c r="X555" s="665">
        <v>0</v>
      </c>
      <c r="Y555" s="666">
        <f t="shared" si="85"/>
        <v>0</v>
      </c>
      <c r="Z555" s="36" t="str">
        <f>IFERROR(IF(Y555=0,"",ROUNDUP(Y555/H555,0)*0.00902),"")</f>
        <v/>
      </c>
      <c r="AA555" s="56"/>
      <c r="AB555" s="57"/>
      <c r="AC555" s="625" t="s">
        <v>887</v>
      </c>
      <c r="AG555" s="64"/>
      <c r="AJ555" s="68"/>
      <c r="AK555" s="68">
        <v>0</v>
      </c>
      <c r="BB555" s="626" t="s">
        <v>1</v>
      </c>
      <c r="BM555" s="64">
        <f t="shared" si="86"/>
        <v>0</v>
      </c>
      <c r="BN555" s="64">
        <f t="shared" si="87"/>
        <v>0</v>
      </c>
      <c r="BO555" s="64">
        <f t="shared" si="88"/>
        <v>0</v>
      </c>
      <c r="BP555" s="64">
        <f t="shared" si="89"/>
        <v>0</v>
      </c>
    </row>
    <row r="556" spans="1:68" ht="27" customHeight="1" x14ac:dyDescent="0.25">
      <c r="A556" s="54" t="s">
        <v>888</v>
      </c>
      <c r="B556" s="54" t="s">
        <v>889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7" t="s">
        <v>890</v>
      </c>
      <c r="Q556" s="672"/>
      <c r="R556" s="672"/>
      <c r="S556" s="672"/>
      <c r="T556" s="673"/>
      <c r="U556" s="34"/>
      <c r="V556" s="34"/>
      <c r="W556" s="35" t="s">
        <v>68</v>
      </c>
      <c r="X556" s="665">
        <v>0</v>
      </c>
      <c r="Y556" s="666">
        <f t="shared" si="85"/>
        <v>0</v>
      </c>
      <c r="Z556" s="36" t="str">
        <f>IFERROR(IF(Y556=0,"",ROUNDUP(Y556/H556,0)*0.00502),"")</f>
        <v/>
      </c>
      <c r="AA556" s="56"/>
      <c r="AB556" s="57"/>
      <c r="AC556" s="627" t="s">
        <v>871</v>
      </c>
      <c r="AG556" s="64"/>
      <c r="AJ556" s="68"/>
      <c r="AK556" s="68">
        <v>0</v>
      </c>
      <c r="BB556" s="628" t="s">
        <v>1</v>
      </c>
      <c r="BM556" s="64">
        <f t="shared" si="86"/>
        <v>0</v>
      </c>
      <c r="BN556" s="64">
        <f t="shared" si="87"/>
        <v>0</v>
      </c>
      <c r="BO556" s="64">
        <f t="shared" si="88"/>
        <v>0</v>
      </c>
      <c r="BP556" s="64">
        <f t="shared" si="89"/>
        <v>0</v>
      </c>
    </row>
    <row r="557" spans="1:68" ht="27" customHeight="1" x14ac:dyDescent="0.25">
      <c r="A557" s="54" t="s">
        <v>891</v>
      </c>
      <c r="B557" s="54" t="s">
        <v>892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147</v>
      </c>
      <c r="L557" s="32"/>
      <c r="M557" s="33" t="s">
        <v>67</v>
      </c>
      <c r="N557" s="33"/>
      <c r="O557" s="32">
        <v>40</v>
      </c>
      <c r="P557" s="964" t="s">
        <v>893</v>
      </c>
      <c r="Q557" s="672"/>
      <c r="R557" s="672"/>
      <c r="S557" s="672"/>
      <c r="T557" s="673"/>
      <c r="U557" s="34"/>
      <c r="V557" s="34"/>
      <c r="W557" s="35" t="s">
        <v>68</v>
      </c>
      <c r="X557" s="665">
        <v>0</v>
      </c>
      <c r="Y557" s="666">
        <f t="shared" si="85"/>
        <v>0</v>
      </c>
      <c r="Z557" s="36" t="str">
        <f>IFERROR(IF(Y557=0,"",ROUNDUP(Y557/H557,0)*0.00502),"")</f>
        <v/>
      </c>
      <c r="AA557" s="56"/>
      <c r="AB557" s="57"/>
      <c r="AC557" s="629" t="s">
        <v>875</v>
      </c>
      <c r="AG557" s="64"/>
      <c r="AJ557" s="68"/>
      <c r="AK557" s="68">
        <v>0</v>
      </c>
      <c r="BB557" s="630" t="s">
        <v>1</v>
      </c>
      <c r="BM557" s="64">
        <f t="shared" si="86"/>
        <v>0</v>
      </c>
      <c r="BN557" s="64">
        <f t="shared" si="87"/>
        <v>0</v>
      </c>
      <c r="BO557" s="64">
        <f t="shared" si="88"/>
        <v>0</v>
      </c>
      <c r="BP557" s="64">
        <f t="shared" si="89"/>
        <v>0</v>
      </c>
    </row>
    <row r="558" spans="1:68" x14ac:dyDescent="0.2">
      <c r="A558" s="678"/>
      <c r="B558" s="679"/>
      <c r="C558" s="679"/>
      <c r="D558" s="679"/>
      <c r="E558" s="679"/>
      <c r="F558" s="679"/>
      <c r="G558" s="679"/>
      <c r="H558" s="679"/>
      <c r="I558" s="679"/>
      <c r="J558" s="679"/>
      <c r="K558" s="679"/>
      <c r="L558" s="679"/>
      <c r="M558" s="679"/>
      <c r="N558" s="679"/>
      <c r="O558" s="680"/>
      <c r="P558" s="686" t="s">
        <v>87</v>
      </c>
      <c r="Q558" s="687"/>
      <c r="R558" s="687"/>
      <c r="S558" s="687"/>
      <c r="T558" s="687"/>
      <c r="U558" s="687"/>
      <c r="V558" s="688"/>
      <c r="W558" s="37" t="s">
        <v>88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x14ac:dyDescent="0.2">
      <c r="A559" s="679"/>
      <c r="B559" s="679"/>
      <c r="C559" s="679"/>
      <c r="D559" s="679"/>
      <c r="E559" s="679"/>
      <c r="F559" s="679"/>
      <c r="G559" s="679"/>
      <c r="H559" s="679"/>
      <c r="I559" s="679"/>
      <c r="J559" s="679"/>
      <c r="K559" s="679"/>
      <c r="L559" s="679"/>
      <c r="M559" s="679"/>
      <c r="N559" s="679"/>
      <c r="O559" s="680"/>
      <c r="P559" s="686" t="s">
        <v>87</v>
      </c>
      <c r="Q559" s="687"/>
      <c r="R559" s="687"/>
      <c r="S559" s="687"/>
      <c r="T559" s="687"/>
      <c r="U559" s="687"/>
      <c r="V559" s="688"/>
      <c r="W559" s="37" t="s">
        <v>68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customHeight="1" x14ac:dyDescent="0.25">
      <c r="A560" s="683" t="s">
        <v>63</v>
      </c>
      <c r="B560" s="679"/>
      <c r="C560" s="679"/>
      <c r="D560" s="679"/>
      <c r="E560" s="679"/>
      <c r="F560" s="679"/>
      <c r="G560" s="679"/>
      <c r="H560" s="679"/>
      <c r="I560" s="679"/>
      <c r="J560" s="679"/>
      <c r="K560" s="679"/>
      <c r="L560" s="679"/>
      <c r="M560" s="679"/>
      <c r="N560" s="679"/>
      <c r="O560" s="679"/>
      <c r="P560" s="679"/>
      <c r="Q560" s="679"/>
      <c r="R560" s="679"/>
      <c r="S560" s="679"/>
      <c r="T560" s="679"/>
      <c r="U560" s="679"/>
      <c r="V560" s="679"/>
      <c r="W560" s="679"/>
      <c r="X560" s="679"/>
      <c r="Y560" s="679"/>
      <c r="Z560" s="679"/>
      <c r="AA560" s="661"/>
      <c r="AB560" s="661"/>
      <c r="AC560" s="661"/>
    </row>
    <row r="561" spans="1:68" ht="27" customHeight="1" x14ac:dyDescent="0.25">
      <c r="A561" s="54" t="s">
        <v>894</v>
      </c>
      <c r="B561" s="54" t="s">
        <v>895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100</v>
      </c>
      <c r="L561" s="32"/>
      <c r="M561" s="33" t="s">
        <v>129</v>
      </c>
      <c r="N561" s="33"/>
      <c r="O561" s="32">
        <v>45</v>
      </c>
      <c r="P561" s="912" t="s">
        <v>896</v>
      </c>
      <c r="Q561" s="672"/>
      <c r="R561" s="672"/>
      <c r="S561" s="672"/>
      <c r="T561" s="673"/>
      <c r="U561" s="34"/>
      <c r="V561" s="34"/>
      <c r="W561" s="35" t="s">
        <v>68</v>
      </c>
      <c r="X561" s="665">
        <v>90</v>
      </c>
      <c r="Y561" s="666">
        <f>IFERROR(IF(X561="",0,CEILING((X561/$H561),1)*$H561),"")</f>
        <v>90</v>
      </c>
      <c r="Z561" s="36">
        <f>IFERROR(IF(Y561=0,"",ROUNDUP(Y561/H561,0)*0.01898),"")</f>
        <v>0.1898</v>
      </c>
      <c r="AA561" s="56"/>
      <c r="AB561" s="57"/>
      <c r="AC561" s="631" t="s">
        <v>897</v>
      </c>
      <c r="AG561" s="64"/>
      <c r="AJ561" s="68"/>
      <c r="AK561" s="68">
        <v>0</v>
      </c>
      <c r="BB561" s="632" t="s">
        <v>1</v>
      </c>
      <c r="BM561" s="64">
        <f>IFERROR(X561*I561/H561,"0")</f>
        <v>95.19</v>
      </c>
      <c r="BN561" s="64">
        <f>IFERROR(Y561*I561/H561,"0")</f>
        <v>95.19</v>
      </c>
      <c r="BO561" s="64">
        <f>IFERROR(1/J561*(X561/H561),"0")</f>
        <v>0.15625</v>
      </c>
      <c r="BP561" s="64">
        <f>IFERROR(1/J561*(Y561/H561),"0")</f>
        <v>0.15625</v>
      </c>
    </row>
    <row r="562" spans="1:68" ht="27" customHeight="1" x14ac:dyDescent="0.25">
      <c r="A562" s="54" t="s">
        <v>894</v>
      </c>
      <c r="B562" s="54" t="s">
        <v>898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90" t="s">
        <v>896</v>
      </c>
      <c r="Q562" s="672"/>
      <c r="R562" s="672"/>
      <c r="S562" s="672"/>
      <c r="T562" s="673"/>
      <c r="U562" s="34"/>
      <c r="V562" s="34"/>
      <c r="W562" s="35" t="s">
        <v>68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897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899</v>
      </c>
      <c r="B563" s="54" t="s">
        <v>900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100</v>
      </c>
      <c r="L563" s="32"/>
      <c r="M563" s="33" t="s">
        <v>106</v>
      </c>
      <c r="N563" s="33"/>
      <c r="O563" s="32">
        <v>45</v>
      </c>
      <c r="P563" s="732" t="s">
        <v>901</v>
      </c>
      <c r="Q563" s="672"/>
      <c r="R563" s="672"/>
      <c r="S563" s="672"/>
      <c r="T563" s="673"/>
      <c r="U563" s="34"/>
      <c r="V563" s="34"/>
      <c r="W563" s="35" t="s">
        <v>68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902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903</v>
      </c>
      <c r="B564" s="54" t="s">
        <v>904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905</v>
      </c>
      <c r="Q564" s="672"/>
      <c r="R564" s="672"/>
      <c r="S564" s="672"/>
      <c r="T564" s="673"/>
      <c r="U564" s="34"/>
      <c r="V564" s="34"/>
      <c r="W564" s="35" t="s">
        <v>68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897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customHeight="1" x14ac:dyDescent="0.25">
      <c r="A565" s="54" t="s">
        <v>906</v>
      </c>
      <c r="B565" s="54" t="s">
        <v>907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66</v>
      </c>
      <c r="L565" s="32"/>
      <c r="M565" s="33" t="s">
        <v>129</v>
      </c>
      <c r="N565" s="33"/>
      <c r="O565" s="32">
        <v>45</v>
      </c>
      <c r="P565" s="742" t="s">
        <v>908</v>
      </c>
      <c r="Q565" s="672"/>
      <c r="R565" s="672"/>
      <c r="S565" s="672"/>
      <c r="T565" s="673"/>
      <c r="U565" s="34"/>
      <c r="V565" s="34"/>
      <c r="W565" s="35" t="s">
        <v>68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902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8"/>
      <c r="B566" s="679"/>
      <c r="C566" s="679"/>
      <c r="D566" s="679"/>
      <c r="E566" s="679"/>
      <c r="F566" s="679"/>
      <c r="G566" s="679"/>
      <c r="H566" s="679"/>
      <c r="I566" s="679"/>
      <c r="J566" s="679"/>
      <c r="K566" s="679"/>
      <c r="L566" s="679"/>
      <c r="M566" s="679"/>
      <c r="N566" s="679"/>
      <c r="O566" s="680"/>
      <c r="P566" s="686" t="s">
        <v>87</v>
      </c>
      <c r="Q566" s="687"/>
      <c r="R566" s="687"/>
      <c r="S566" s="687"/>
      <c r="T566" s="687"/>
      <c r="U566" s="687"/>
      <c r="V566" s="688"/>
      <c r="W566" s="37" t="s">
        <v>88</v>
      </c>
      <c r="X566" s="667">
        <f>IFERROR(X561/H561,"0")+IFERROR(X562/H562,"0")+IFERROR(X563/H563,"0")+IFERROR(X564/H564,"0")+IFERROR(X565/H565,"0")</f>
        <v>10</v>
      </c>
      <c r="Y566" s="667">
        <f>IFERROR(Y561/H561,"0")+IFERROR(Y562/H562,"0")+IFERROR(Y563/H563,"0")+IFERROR(Y564/H564,"0")+IFERROR(Y565/H565,"0")</f>
        <v>10</v>
      </c>
      <c r="Z566" s="667">
        <f>IFERROR(IF(Z561="",0,Z561),"0")+IFERROR(IF(Z562="",0,Z562),"0")+IFERROR(IF(Z563="",0,Z563),"0")+IFERROR(IF(Z564="",0,Z564),"0")+IFERROR(IF(Z565="",0,Z565),"0")</f>
        <v>0.1898</v>
      </c>
      <c r="AA566" s="668"/>
      <c r="AB566" s="668"/>
      <c r="AC566" s="668"/>
    </row>
    <row r="567" spans="1:68" x14ac:dyDescent="0.2">
      <c r="A567" s="679"/>
      <c r="B567" s="679"/>
      <c r="C567" s="679"/>
      <c r="D567" s="679"/>
      <c r="E567" s="679"/>
      <c r="F567" s="679"/>
      <c r="G567" s="679"/>
      <c r="H567" s="679"/>
      <c r="I567" s="679"/>
      <c r="J567" s="679"/>
      <c r="K567" s="679"/>
      <c r="L567" s="679"/>
      <c r="M567" s="679"/>
      <c r="N567" s="679"/>
      <c r="O567" s="680"/>
      <c r="P567" s="686" t="s">
        <v>87</v>
      </c>
      <c r="Q567" s="687"/>
      <c r="R567" s="687"/>
      <c r="S567" s="687"/>
      <c r="T567" s="687"/>
      <c r="U567" s="687"/>
      <c r="V567" s="688"/>
      <c r="W567" s="37" t="s">
        <v>68</v>
      </c>
      <c r="X567" s="667">
        <f>IFERROR(SUM(X561:X565),"0")</f>
        <v>90</v>
      </c>
      <c r="Y567" s="667">
        <f>IFERROR(SUM(Y561:Y565),"0")</f>
        <v>90</v>
      </c>
      <c r="Z567" s="37"/>
      <c r="AA567" s="668"/>
      <c r="AB567" s="668"/>
      <c r="AC567" s="668"/>
    </row>
    <row r="568" spans="1:68" ht="14.25" customHeight="1" x14ac:dyDescent="0.25">
      <c r="A568" s="683" t="s">
        <v>170</v>
      </c>
      <c r="B568" s="679"/>
      <c r="C568" s="679"/>
      <c r="D568" s="679"/>
      <c r="E568" s="679"/>
      <c r="F568" s="679"/>
      <c r="G568" s="679"/>
      <c r="H568" s="679"/>
      <c r="I568" s="679"/>
      <c r="J568" s="679"/>
      <c r="K568" s="679"/>
      <c r="L568" s="679"/>
      <c r="M568" s="679"/>
      <c r="N568" s="679"/>
      <c r="O568" s="679"/>
      <c r="P568" s="679"/>
      <c r="Q568" s="679"/>
      <c r="R568" s="679"/>
      <c r="S568" s="679"/>
      <c r="T568" s="679"/>
      <c r="U568" s="679"/>
      <c r="V568" s="679"/>
      <c r="W568" s="679"/>
      <c r="X568" s="679"/>
      <c r="Y568" s="679"/>
      <c r="Z568" s="679"/>
      <c r="AA568" s="661"/>
      <c r="AB568" s="661"/>
      <c r="AC568" s="661"/>
    </row>
    <row r="569" spans="1:68" ht="27" customHeight="1" x14ac:dyDescent="0.25">
      <c r="A569" s="54" t="s">
        <v>909</v>
      </c>
      <c r="B569" s="54" t="s">
        <v>910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100</v>
      </c>
      <c r="L569" s="32"/>
      <c r="M569" s="33" t="s">
        <v>129</v>
      </c>
      <c r="N569" s="33"/>
      <c r="O569" s="32">
        <v>40</v>
      </c>
      <c r="P569" s="949" t="s">
        <v>911</v>
      </c>
      <c r="Q569" s="672"/>
      <c r="R569" s="672"/>
      <c r="S569" s="672"/>
      <c r="T569" s="673"/>
      <c r="U569" s="34"/>
      <c r="V569" s="34"/>
      <c r="W569" s="35" t="s">
        <v>68</v>
      </c>
      <c r="X569" s="665">
        <v>0</v>
      </c>
      <c r="Y569" s="666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912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909</v>
      </c>
      <c r="B570" s="54" t="s">
        <v>913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100</v>
      </c>
      <c r="L570" s="32"/>
      <c r="M570" s="33" t="s">
        <v>106</v>
      </c>
      <c r="N570" s="33"/>
      <c r="O570" s="32">
        <v>40</v>
      </c>
      <c r="P570" s="725" t="s">
        <v>914</v>
      </c>
      <c r="Q570" s="672"/>
      <c r="R570" s="672"/>
      <c r="S570" s="672"/>
      <c r="T570" s="673"/>
      <c r="U570" s="34"/>
      <c r="V570" s="34"/>
      <c r="W570" s="35" t="s">
        <v>68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912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915</v>
      </c>
      <c r="B571" s="54" t="s">
        <v>916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100</v>
      </c>
      <c r="L571" s="32"/>
      <c r="M571" s="33" t="s">
        <v>129</v>
      </c>
      <c r="N571" s="33"/>
      <c r="O571" s="32">
        <v>40</v>
      </c>
      <c r="P571" s="762" t="s">
        <v>917</v>
      </c>
      <c r="Q571" s="672"/>
      <c r="R571" s="672"/>
      <c r="S571" s="672"/>
      <c r="T571" s="673"/>
      <c r="U571" s="34"/>
      <c r="V571" s="34"/>
      <c r="W571" s="35" t="s">
        <v>68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918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customHeight="1" x14ac:dyDescent="0.25">
      <c r="A572" s="54" t="s">
        <v>915</v>
      </c>
      <c r="B572" s="54" t="s">
        <v>919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100</v>
      </c>
      <c r="L572" s="32"/>
      <c r="M572" s="33" t="s">
        <v>106</v>
      </c>
      <c r="N572" s="33"/>
      <c r="O572" s="32">
        <v>40</v>
      </c>
      <c r="P572" s="769" t="s">
        <v>920</v>
      </c>
      <c r="Q572" s="672"/>
      <c r="R572" s="672"/>
      <c r="S572" s="672"/>
      <c r="T572" s="673"/>
      <c r="U572" s="34"/>
      <c r="V572" s="34"/>
      <c r="W572" s="35" t="s">
        <v>68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918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8"/>
      <c r="B573" s="679"/>
      <c r="C573" s="679"/>
      <c r="D573" s="679"/>
      <c r="E573" s="679"/>
      <c r="F573" s="679"/>
      <c r="G573" s="679"/>
      <c r="H573" s="679"/>
      <c r="I573" s="679"/>
      <c r="J573" s="679"/>
      <c r="K573" s="679"/>
      <c r="L573" s="679"/>
      <c r="M573" s="679"/>
      <c r="N573" s="679"/>
      <c r="O573" s="680"/>
      <c r="P573" s="686" t="s">
        <v>87</v>
      </c>
      <c r="Q573" s="687"/>
      <c r="R573" s="687"/>
      <c r="S573" s="687"/>
      <c r="T573" s="687"/>
      <c r="U573" s="687"/>
      <c r="V573" s="688"/>
      <c r="W573" s="37" t="s">
        <v>88</v>
      </c>
      <c r="X573" s="667">
        <f>IFERROR(X569/H569,"0")+IFERROR(X570/H570,"0")+IFERROR(X571/H571,"0")+IFERROR(X572/H572,"0")</f>
        <v>0</v>
      </c>
      <c r="Y573" s="667">
        <f>IFERROR(Y569/H569,"0")+IFERROR(Y570/H570,"0")+IFERROR(Y571/H571,"0")+IFERROR(Y572/H572,"0")</f>
        <v>0</v>
      </c>
      <c r="Z573" s="667">
        <f>IFERROR(IF(Z569="",0,Z569),"0")+IFERROR(IF(Z570="",0,Z570),"0")+IFERROR(IF(Z571="",0,Z571),"0")+IFERROR(IF(Z572="",0,Z572),"0")</f>
        <v>0</v>
      </c>
      <c r="AA573" s="668"/>
      <c r="AB573" s="668"/>
      <c r="AC573" s="668"/>
    </row>
    <row r="574" spans="1:68" x14ac:dyDescent="0.2">
      <c r="A574" s="679"/>
      <c r="B574" s="679"/>
      <c r="C574" s="679"/>
      <c r="D574" s="679"/>
      <c r="E574" s="679"/>
      <c r="F574" s="679"/>
      <c r="G574" s="679"/>
      <c r="H574" s="679"/>
      <c r="I574" s="679"/>
      <c r="J574" s="679"/>
      <c r="K574" s="679"/>
      <c r="L574" s="679"/>
      <c r="M574" s="679"/>
      <c r="N574" s="679"/>
      <c r="O574" s="680"/>
      <c r="P574" s="686" t="s">
        <v>87</v>
      </c>
      <c r="Q574" s="687"/>
      <c r="R574" s="687"/>
      <c r="S574" s="687"/>
      <c r="T574" s="687"/>
      <c r="U574" s="687"/>
      <c r="V574" s="688"/>
      <c r="W574" s="37" t="s">
        <v>68</v>
      </c>
      <c r="X574" s="667">
        <f>IFERROR(SUM(X569:X572),"0")</f>
        <v>0</v>
      </c>
      <c r="Y574" s="667">
        <f>IFERROR(SUM(Y569:Y572),"0")</f>
        <v>0</v>
      </c>
      <c r="Z574" s="37"/>
      <c r="AA574" s="668"/>
      <c r="AB574" s="668"/>
      <c r="AC574" s="668"/>
    </row>
    <row r="575" spans="1:68" ht="16.5" customHeight="1" x14ac:dyDescent="0.25">
      <c r="A575" s="718" t="s">
        <v>921</v>
      </c>
      <c r="B575" s="679"/>
      <c r="C575" s="679"/>
      <c r="D575" s="679"/>
      <c r="E575" s="679"/>
      <c r="F575" s="679"/>
      <c r="G575" s="679"/>
      <c r="H575" s="679"/>
      <c r="I575" s="679"/>
      <c r="J575" s="679"/>
      <c r="K575" s="679"/>
      <c r="L575" s="679"/>
      <c r="M575" s="679"/>
      <c r="N575" s="679"/>
      <c r="O575" s="679"/>
      <c r="P575" s="679"/>
      <c r="Q575" s="679"/>
      <c r="R575" s="679"/>
      <c r="S575" s="679"/>
      <c r="T575" s="679"/>
      <c r="U575" s="679"/>
      <c r="V575" s="679"/>
      <c r="W575" s="679"/>
      <c r="X575" s="679"/>
      <c r="Y575" s="679"/>
      <c r="Z575" s="679"/>
      <c r="AA575" s="660"/>
      <c r="AB575" s="660"/>
      <c r="AC575" s="660"/>
    </row>
    <row r="576" spans="1:68" ht="14.25" customHeight="1" x14ac:dyDescent="0.25">
      <c r="A576" s="683" t="s">
        <v>97</v>
      </c>
      <c r="B576" s="679"/>
      <c r="C576" s="679"/>
      <c r="D576" s="679"/>
      <c r="E576" s="679"/>
      <c r="F576" s="679"/>
      <c r="G576" s="679"/>
      <c r="H576" s="679"/>
      <c r="I576" s="679"/>
      <c r="J576" s="679"/>
      <c r="K576" s="679"/>
      <c r="L576" s="679"/>
      <c r="M576" s="679"/>
      <c r="N576" s="679"/>
      <c r="O576" s="679"/>
      <c r="P576" s="679"/>
      <c r="Q576" s="679"/>
      <c r="R576" s="679"/>
      <c r="S576" s="679"/>
      <c r="T576" s="679"/>
      <c r="U576" s="679"/>
      <c r="V576" s="679"/>
      <c r="W576" s="679"/>
      <c r="X576" s="679"/>
      <c r="Y576" s="679"/>
      <c r="Z576" s="679"/>
      <c r="AA576" s="661"/>
      <c r="AB576" s="661"/>
      <c r="AC576" s="661"/>
    </row>
    <row r="577" spans="1:68" ht="27" customHeight="1" x14ac:dyDescent="0.25">
      <c r="A577" s="54" t="s">
        <v>922</v>
      </c>
      <c r="B577" s="54" t="s">
        <v>923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100</v>
      </c>
      <c r="L577" s="32"/>
      <c r="M577" s="33" t="s">
        <v>101</v>
      </c>
      <c r="N577" s="33"/>
      <c r="O577" s="32">
        <v>55</v>
      </c>
      <c r="P577" s="978" t="s">
        <v>924</v>
      </c>
      <c r="Q577" s="672"/>
      <c r="R577" s="672"/>
      <c r="S577" s="672"/>
      <c r="T577" s="673"/>
      <c r="U577" s="34"/>
      <c r="V577" s="34"/>
      <c r="W577" s="35" t="s">
        <v>68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925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x14ac:dyDescent="0.2">
      <c r="A578" s="678"/>
      <c r="B578" s="679"/>
      <c r="C578" s="679"/>
      <c r="D578" s="679"/>
      <c r="E578" s="679"/>
      <c r="F578" s="679"/>
      <c r="G578" s="679"/>
      <c r="H578" s="679"/>
      <c r="I578" s="679"/>
      <c r="J578" s="679"/>
      <c r="K578" s="679"/>
      <c r="L578" s="679"/>
      <c r="M578" s="679"/>
      <c r="N578" s="679"/>
      <c r="O578" s="680"/>
      <c r="P578" s="686" t="s">
        <v>87</v>
      </c>
      <c r="Q578" s="687"/>
      <c r="R578" s="687"/>
      <c r="S578" s="687"/>
      <c r="T578" s="687"/>
      <c r="U578" s="687"/>
      <c r="V578" s="688"/>
      <c r="W578" s="37" t="s">
        <v>88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x14ac:dyDescent="0.2">
      <c r="A579" s="679"/>
      <c r="B579" s="679"/>
      <c r="C579" s="679"/>
      <c r="D579" s="679"/>
      <c r="E579" s="679"/>
      <c r="F579" s="679"/>
      <c r="G579" s="679"/>
      <c r="H579" s="679"/>
      <c r="I579" s="679"/>
      <c r="J579" s="679"/>
      <c r="K579" s="679"/>
      <c r="L579" s="679"/>
      <c r="M579" s="679"/>
      <c r="N579" s="679"/>
      <c r="O579" s="680"/>
      <c r="P579" s="686" t="s">
        <v>87</v>
      </c>
      <c r="Q579" s="687"/>
      <c r="R579" s="687"/>
      <c r="S579" s="687"/>
      <c r="T579" s="687"/>
      <c r="U579" s="687"/>
      <c r="V579" s="688"/>
      <c r="W579" s="37" t="s">
        <v>68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customHeight="1" x14ac:dyDescent="0.25">
      <c r="A580" s="683" t="s">
        <v>133</v>
      </c>
      <c r="B580" s="679"/>
      <c r="C580" s="679"/>
      <c r="D580" s="679"/>
      <c r="E580" s="679"/>
      <c r="F580" s="679"/>
      <c r="G580" s="679"/>
      <c r="H580" s="679"/>
      <c r="I580" s="679"/>
      <c r="J580" s="679"/>
      <c r="K580" s="679"/>
      <c r="L580" s="679"/>
      <c r="M580" s="679"/>
      <c r="N580" s="679"/>
      <c r="O580" s="679"/>
      <c r="P580" s="679"/>
      <c r="Q580" s="679"/>
      <c r="R580" s="679"/>
      <c r="S580" s="679"/>
      <c r="T580" s="679"/>
      <c r="U580" s="679"/>
      <c r="V580" s="679"/>
      <c r="W580" s="679"/>
      <c r="X580" s="679"/>
      <c r="Y580" s="679"/>
      <c r="Z580" s="679"/>
      <c r="AA580" s="661"/>
      <c r="AB580" s="661"/>
      <c r="AC580" s="661"/>
    </row>
    <row r="581" spans="1:68" ht="27" customHeight="1" x14ac:dyDescent="0.25">
      <c r="A581" s="54" t="s">
        <v>926</v>
      </c>
      <c r="B581" s="54" t="s">
        <v>927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100</v>
      </c>
      <c r="L581" s="32"/>
      <c r="M581" s="33" t="s">
        <v>101</v>
      </c>
      <c r="N581" s="33"/>
      <c r="O581" s="32">
        <v>50</v>
      </c>
      <c r="P581" s="843" t="s">
        <v>928</v>
      </c>
      <c r="Q581" s="672"/>
      <c r="R581" s="672"/>
      <c r="S581" s="672"/>
      <c r="T581" s="673"/>
      <c r="U581" s="34"/>
      <c r="V581" s="34"/>
      <c r="W581" s="35" t="s">
        <v>68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929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x14ac:dyDescent="0.2">
      <c r="A582" s="678"/>
      <c r="B582" s="679"/>
      <c r="C582" s="679"/>
      <c r="D582" s="679"/>
      <c r="E582" s="679"/>
      <c r="F582" s="679"/>
      <c r="G582" s="679"/>
      <c r="H582" s="679"/>
      <c r="I582" s="679"/>
      <c r="J582" s="679"/>
      <c r="K582" s="679"/>
      <c r="L582" s="679"/>
      <c r="M582" s="679"/>
      <c r="N582" s="679"/>
      <c r="O582" s="680"/>
      <c r="P582" s="686" t="s">
        <v>87</v>
      </c>
      <c r="Q582" s="687"/>
      <c r="R582" s="687"/>
      <c r="S582" s="687"/>
      <c r="T582" s="687"/>
      <c r="U582" s="687"/>
      <c r="V582" s="688"/>
      <c r="W582" s="37" t="s">
        <v>88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x14ac:dyDescent="0.2">
      <c r="A583" s="679"/>
      <c r="B583" s="679"/>
      <c r="C583" s="679"/>
      <c r="D583" s="679"/>
      <c r="E583" s="679"/>
      <c r="F583" s="679"/>
      <c r="G583" s="679"/>
      <c r="H583" s="679"/>
      <c r="I583" s="679"/>
      <c r="J583" s="679"/>
      <c r="K583" s="679"/>
      <c r="L583" s="679"/>
      <c r="M583" s="679"/>
      <c r="N583" s="679"/>
      <c r="O583" s="680"/>
      <c r="P583" s="686" t="s">
        <v>87</v>
      </c>
      <c r="Q583" s="687"/>
      <c r="R583" s="687"/>
      <c r="S583" s="687"/>
      <c r="T583" s="687"/>
      <c r="U583" s="687"/>
      <c r="V583" s="688"/>
      <c r="W583" s="37" t="s">
        <v>68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customHeight="1" x14ac:dyDescent="0.25">
      <c r="A584" s="683" t="s">
        <v>144</v>
      </c>
      <c r="B584" s="679"/>
      <c r="C584" s="679"/>
      <c r="D584" s="679"/>
      <c r="E584" s="679"/>
      <c r="F584" s="679"/>
      <c r="G584" s="679"/>
      <c r="H584" s="679"/>
      <c r="I584" s="679"/>
      <c r="J584" s="679"/>
      <c r="K584" s="679"/>
      <c r="L584" s="679"/>
      <c r="M584" s="679"/>
      <c r="N584" s="679"/>
      <c r="O584" s="679"/>
      <c r="P584" s="679"/>
      <c r="Q584" s="679"/>
      <c r="R584" s="679"/>
      <c r="S584" s="679"/>
      <c r="T584" s="679"/>
      <c r="U584" s="679"/>
      <c r="V584" s="679"/>
      <c r="W584" s="679"/>
      <c r="X584" s="679"/>
      <c r="Y584" s="679"/>
      <c r="Z584" s="679"/>
      <c r="AA584" s="661"/>
      <c r="AB584" s="661"/>
      <c r="AC584" s="661"/>
    </row>
    <row r="585" spans="1:68" ht="27" customHeight="1" x14ac:dyDescent="0.25">
      <c r="A585" s="54" t="s">
        <v>930</v>
      </c>
      <c r="B585" s="54" t="s">
        <v>931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67</v>
      </c>
      <c r="N585" s="33"/>
      <c r="O585" s="32">
        <v>40</v>
      </c>
      <c r="P585" s="793" t="s">
        <v>932</v>
      </c>
      <c r="Q585" s="672"/>
      <c r="R585" s="672"/>
      <c r="S585" s="672"/>
      <c r="T585" s="673"/>
      <c r="U585" s="34"/>
      <c r="V585" s="34"/>
      <c r="W585" s="35" t="s">
        <v>68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933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x14ac:dyDescent="0.2">
      <c r="A586" s="678"/>
      <c r="B586" s="679"/>
      <c r="C586" s="679"/>
      <c r="D586" s="679"/>
      <c r="E586" s="679"/>
      <c r="F586" s="679"/>
      <c r="G586" s="679"/>
      <c r="H586" s="679"/>
      <c r="I586" s="679"/>
      <c r="J586" s="679"/>
      <c r="K586" s="679"/>
      <c r="L586" s="679"/>
      <c r="M586" s="679"/>
      <c r="N586" s="679"/>
      <c r="O586" s="680"/>
      <c r="P586" s="686" t="s">
        <v>87</v>
      </c>
      <c r="Q586" s="687"/>
      <c r="R586" s="687"/>
      <c r="S586" s="687"/>
      <c r="T586" s="687"/>
      <c r="U586" s="687"/>
      <c r="V586" s="688"/>
      <c r="W586" s="37" t="s">
        <v>88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x14ac:dyDescent="0.2">
      <c r="A587" s="679"/>
      <c r="B587" s="679"/>
      <c r="C587" s="679"/>
      <c r="D587" s="679"/>
      <c r="E587" s="679"/>
      <c r="F587" s="679"/>
      <c r="G587" s="679"/>
      <c r="H587" s="679"/>
      <c r="I587" s="679"/>
      <c r="J587" s="679"/>
      <c r="K587" s="679"/>
      <c r="L587" s="679"/>
      <c r="M587" s="679"/>
      <c r="N587" s="679"/>
      <c r="O587" s="680"/>
      <c r="P587" s="686" t="s">
        <v>87</v>
      </c>
      <c r="Q587" s="687"/>
      <c r="R587" s="687"/>
      <c r="S587" s="687"/>
      <c r="T587" s="687"/>
      <c r="U587" s="687"/>
      <c r="V587" s="688"/>
      <c r="W587" s="37" t="s">
        <v>68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customHeight="1" x14ac:dyDescent="0.25">
      <c r="A588" s="683" t="s">
        <v>63</v>
      </c>
      <c r="B588" s="679"/>
      <c r="C588" s="679"/>
      <c r="D588" s="679"/>
      <c r="E588" s="679"/>
      <c r="F588" s="679"/>
      <c r="G588" s="679"/>
      <c r="H588" s="679"/>
      <c r="I588" s="679"/>
      <c r="J588" s="679"/>
      <c r="K588" s="679"/>
      <c r="L588" s="679"/>
      <c r="M588" s="679"/>
      <c r="N588" s="679"/>
      <c r="O588" s="679"/>
      <c r="P588" s="679"/>
      <c r="Q588" s="679"/>
      <c r="R588" s="679"/>
      <c r="S588" s="679"/>
      <c r="T588" s="679"/>
      <c r="U588" s="679"/>
      <c r="V588" s="679"/>
      <c r="W588" s="679"/>
      <c r="X588" s="679"/>
      <c r="Y588" s="679"/>
      <c r="Z588" s="679"/>
      <c r="AA588" s="661"/>
      <c r="AB588" s="661"/>
      <c r="AC588" s="661"/>
    </row>
    <row r="589" spans="1:68" ht="27" customHeight="1" x14ac:dyDescent="0.25">
      <c r="A589" s="54" t="s">
        <v>934</v>
      </c>
      <c r="B589" s="54" t="s">
        <v>935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100</v>
      </c>
      <c r="L589" s="32"/>
      <c r="M589" s="33" t="s">
        <v>129</v>
      </c>
      <c r="N589" s="33"/>
      <c r="O589" s="32">
        <v>45</v>
      </c>
      <c r="P589" s="1025" t="s">
        <v>936</v>
      </c>
      <c r="Q589" s="672"/>
      <c r="R589" s="672"/>
      <c r="S589" s="672"/>
      <c r="T589" s="673"/>
      <c r="U589" s="34"/>
      <c r="V589" s="34"/>
      <c r="W589" s="35" t="s">
        <v>68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937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x14ac:dyDescent="0.2">
      <c r="A590" s="678"/>
      <c r="B590" s="679"/>
      <c r="C590" s="679"/>
      <c r="D590" s="679"/>
      <c r="E590" s="679"/>
      <c r="F590" s="679"/>
      <c r="G590" s="679"/>
      <c r="H590" s="679"/>
      <c r="I590" s="679"/>
      <c r="J590" s="679"/>
      <c r="K590" s="679"/>
      <c r="L590" s="679"/>
      <c r="M590" s="679"/>
      <c r="N590" s="679"/>
      <c r="O590" s="680"/>
      <c r="P590" s="686" t="s">
        <v>87</v>
      </c>
      <c r="Q590" s="687"/>
      <c r="R590" s="687"/>
      <c r="S590" s="687"/>
      <c r="T590" s="687"/>
      <c r="U590" s="687"/>
      <c r="V590" s="688"/>
      <c r="W590" s="37" t="s">
        <v>88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x14ac:dyDescent="0.2">
      <c r="A591" s="679"/>
      <c r="B591" s="679"/>
      <c r="C591" s="679"/>
      <c r="D591" s="679"/>
      <c r="E591" s="679"/>
      <c r="F591" s="679"/>
      <c r="G591" s="679"/>
      <c r="H591" s="679"/>
      <c r="I591" s="679"/>
      <c r="J591" s="679"/>
      <c r="K591" s="679"/>
      <c r="L591" s="679"/>
      <c r="M591" s="679"/>
      <c r="N591" s="679"/>
      <c r="O591" s="680"/>
      <c r="P591" s="686" t="s">
        <v>87</v>
      </c>
      <c r="Q591" s="687"/>
      <c r="R591" s="687"/>
      <c r="S591" s="687"/>
      <c r="T591" s="687"/>
      <c r="U591" s="687"/>
      <c r="V591" s="688"/>
      <c r="W591" s="37" t="s">
        <v>68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58"/>
      <c r="B592" s="679"/>
      <c r="C592" s="679"/>
      <c r="D592" s="679"/>
      <c r="E592" s="679"/>
      <c r="F592" s="679"/>
      <c r="G592" s="679"/>
      <c r="H592" s="679"/>
      <c r="I592" s="679"/>
      <c r="J592" s="679"/>
      <c r="K592" s="679"/>
      <c r="L592" s="679"/>
      <c r="M592" s="679"/>
      <c r="N592" s="679"/>
      <c r="O592" s="759"/>
      <c r="P592" s="832" t="s">
        <v>938</v>
      </c>
      <c r="Q592" s="804"/>
      <c r="R592" s="804"/>
      <c r="S592" s="804"/>
      <c r="T592" s="804"/>
      <c r="U592" s="804"/>
      <c r="V592" s="805"/>
      <c r="W592" s="37" t="s">
        <v>68</v>
      </c>
      <c r="X592" s="667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497+X504+X519+X525+X530+X541+X549+X559+X567+X574+X579+X583+X587+X591,"0")</f>
        <v>3865</v>
      </c>
      <c r="Y592" s="667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497+Y504+Y519+Y525+Y530+Y541+Y549+Y559+Y567+Y574+Y579+Y583+Y587+Y591,"0")</f>
        <v>3981.2200000000003</v>
      </c>
      <c r="Z592" s="37"/>
      <c r="AA592" s="668"/>
      <c r="AB592" s="668"/>
      <c r="AC592" s="668"/>
    </row>
    <row r="593" spans="1:32" x14ac:dyDescent="0.2">
      <c r="A593" s="679"/>
      <c r="B593" s="679"/>
      <c r="C593" s="679"/>
      <c r="D593" s="679"/>
      <c r="E593" s="679"/>
      <c r="F593" s="679"/>
      <c r="G593" s="679"/>
      <c r="H593" s="679"/>
      <c r="I593" s="679"/>
      <c r="J593" s="679"/>
      <c r="K593" s="679"/>
      <c r="L593" s="679"/>
      <c r="M593" s="679"/>
      <c r="N593" s="679"/>
      <c r="O593" s="759"/>
      <c r="P593" s="832" t="s">
        <v>939</v>
      </c>
      <c r="Q593" s="804"/>
      <c r="R593" s="804"/>
      <c r="S593" s="804"/>
      <c r="T593" s="804"/>
      <c r="U593" s="804"/>
      <c r="V593" s="805"/>
      <c r="W593" s="37" t="s">
        <v>68</v>
      </c>
      <c r="X593" s="667">
        <f>IFERROR(SUM(BM22:BM589),"0")</f>
        <v>4026.7136699664716</v>
      </c>
      <c r="Y593" s="667">
        <f>IFERROR(SUM(BN22:BN589),"0")</f>
        <v>4149.2209999999995</v>
      </c>
      <c r="Z593" s="37"/>
      <c r="AA593" s="668"/>
      <c r="AB593" s="668"/>
      <c r="AC593" s="668"/>
    </row>
    <row r="594" spans="1:32" x14ac:dyDescent="0.2">
      <c r="A594" s="679"/>
      <c r="B594" s="679"/>
      <c r="C594" s="679"/>
      <c r="D594" s="679"/>
      <c r="E594" s="679"/>
      <c r="F594" s="679"/>
      <c r="G594" s="679"/>
      <c r="H594" s="679"/>
      <c r="I594" s="679"/>
      <c r="J594" s="679"/>
      <c r="K594" s="679"/>
      <c r="L594" s="679"/>
      <c r="M594" s="679"/>
      <c r="N594" s="679"/>
      <c r="O594" s="759"/>
      <c r="P594" s="832" t="s">
        <v>940</v>
      </c>
      <c r="Q594" s="804"/>
      <c r="R594" s="804"/>
      <c r="S594" s="804"/>
      <c r="T594" s="804"/>
      <c r="U594" s="804"/>
      <c r="V594" s="805"/>
      <c r="W594" s="37" t="s">
        <v>941</v>
      </c>
      <c r="X594" s="38">
        <f>ROUNDUP(SUM(BO22:BO589),0)</f>
        <v>6</v>
      </c>
      <c r="Y594" s="38">
        <f>ROUNDUP(SUM(BP22:BP589),0)</f>
        <v>7</v>
      </c>
      <c r="Z594" s="37"/>
      <c r="AA594" s="668"/>
      <c r="AB594" s="668"/>
      <c r="AC594" s="668"/>
    </row>
    <row r="595" spans="1:32" x14ac:dyDescent="0.2">
      <c r="A595" s="679"/>
      <c r="B595" s="679"/>
      <c r="C595" s="679"/>
      <c r="D595" s="679"/>
      <c r="E595" s="679"/>
      <c r="F595" s="679"/>
      <c r="G595" s="679"/>
      <c r="H595" s="679"/>
      <c r="I595" s="679"/>
      <c r="J595" s="679"/>
      <c r="K595" s="679"/>
      <c r="L595" s="679"/>
      <c r="M595" s="679"/>
      <c r="N595" s="679"/>
      <c r="O595" s="759"/>
      <c r="P595" s="832" t="s">
        <v>942</v>
      </c>
      <c r="Q595" s="804"/>
      <c r="R595" s="804"/>
      <c r="S595" s="804"/>
      <c r="T595" s="804"/>
      <c r="U595" s="804"/>
      <c r="V595" s="805"/>
      <c r="W595" s="37" t="s">
        <v>68</v>
      </c>
      <c r="X595" s="667">
        <f>GrossWeightTotal+PalletQtyTotal*25</f>
        <v>4176.7136699664716</v>
      </c>
      <c r="Y595" s="667">
        <f>GrossWeightTotalR+PalletQtyTotalR*25</f>
        <v>4324.2209999999995</v>
      </c>
      <c r="Z595" s="37"/>
      <c r="AA595" s="668"/>
      <c r="AB595" s="668"/>
      <c r="AC595" s="668"/>
    </row>
    <row r="596" spans="1:32" x14ac:dyDescent="0.2">
      <c r="A596" s="679"/>
      <c r="B596" s="679"/>
      <c r="C596" s="679"/>
      <c r="D596" s="679"/>
      <c r="E596" s="679"/>
      <c r="F596" s="679"/>
      <c r="G596" s="679"/>
      <c r="H596" s="679"/>
      <c r="I596" s="679"/>
      <c r="J596" s="679"/>
      <c r="K596" s="679"/>
      <c r="L596" s="679"/>
      <c r="M596" s="679"/>
      <c r="N596" s="679"/>
      <c r="O596" s="759"/>
      <c r="P596" s="832" t="s">
        <v>943</v>
      </c>
      <c r="Q596" s="804"/>
      <c r="R596" s="804"/>
      <c r="S596" s="804"/>
      <c r="T596" s="804"/>
      <c r="U596" s="804"/>
      <c r="V596" s="805"/>
      <c r="W596" s="37" t="s">
        <v>941</v>
      </c>
      <c r="X596" s="667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496+X503+X518+X524+X529+X540+X548+X558+X566+X573+X578+X582+X586+X590,"0")</f>
        <v>417.194844879784</v>
      </c>
      <c r="Y596" s="667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496+Y503+Y518+Y524+Y529+Y540+Y548+Y558+Y566+Y573+Y578+Y582+Y586+Y590,"0")</f>
        <v>437</v>
      </c>
      <c r="Z596" s="37"/>
      <c r="AA596" s="668"/>
      <c r="AB596" s="668"/>
      <c r="AC596" s="668"/>
    </row>
    <row r="597" spans="1:32" ht="14.25" customHeight="1" x14ac:dyDescent="0.2">
      <c r="A597" s="679"/>
      <c r="B597" s="679"/>
      <c r="C597" s="679"/>
      <c r="D597" s="679"/>
      <c r="E597" s="679"/>
      <c r="F597" s="679"/>
      <c r="G597" s="679"/>
      <c r="H597" s="679"/>
      <c r="I597" s="679"/>
      <c r="J597" s="679"/>
      <c r="K597" s="679"/>
      <c r="L597" s="679"/>
      <c r="M597" s="679"/>
      <c r="N597" s="679"/>
      <c r="O597" s="759"/>
      <c r="P597" s="832" t="s">
        <v>944</v>
      </c>
      <c r="Q597" s="804"/>
      <c r="R597" s="804"/>
      <c r="S597" s="804"/>
      <c r="T597" s="804"/>
      <c r="U597" s="804"/>
      <c r="V597" s="805"/>
      <c r="W597" s="39" t="s">
        <v>945</v>
      </c>
      <c r="X597" s="37"/>
      <c r="Y597" s="37"/>
      <c r="Z597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496+Z503+Z518+Z524+Z529+Z540+Z548+Z558+Z566+Z573+Z578+Z582+Z586+Z590,"0")</f>
        <v>6.7358199999999995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946</v>
      </c>
      <c r="B599" s="662" t="s">
        <v>62</v>
      </c>
      <c r="C599" s="675" t="s">
        <v>95</v>
      </c>
      <c r="D599" s="698"/>
      <c r="E599" s="698"/>
      <c r="F599" s="698"/>
      <c r="G599" s="698"/>
      <c r="H599" s="699"/>
      <c r="I599" s="675" t="s">
        <v>283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5" t="s">
        <v>573</v>
      </c>
      <c r="X599" s="699"/>
      <c r="Y599" s="675" t="s">
        <v>651</v>
      </c>
      <c r="Z599" s="698"/>
      <c r="AA599" s="698"/>
      <c r="AB599" s="699"/>
      <c r="AC599" s="662" t="s">
        <v>726</v>
      </c>
      <c r="AD599" s="675" t="s">
        <v>828</v>
      </c>
      <c r="AE599" s="699"/>
      <c r="AF599" s="663"/>
    </row>
    <row r="600" spans="1:32" ht="14.25" customHeight="1" thickTop="1" x14ac:dyDescent="0.2">
      <c r="A600" s="987" t="s">
        <v>947</v>
      </c>
      <c r="B600" s="675" t="s">
        <v>62</v>
      </c>
      <c r="C600" s="675" t="s">
        <v>96</v>
      </c>
      <c r="D600" s="675" t="s">
        <v>115</v>
      </c>
      <c r="E600" s="675" t="s">
        <v>178</v>
      </c>
      <c r="F600" s="675" t="s">
        <v>209</v>
      </c>
      <c r="G600" s="675" t="s">
        <v>254</v>
      </c>
      <c r="H600" s="675" t="s">
        <v>95</v>
      </c>
      <c r="I600" s="675" t="s">
        <v>284</v>
      </c>
      <c r="J600" s="675" t="s">
        <v>318</v>
      </c>
      <c r="K600" s="675" t="s">
        <v>379</v>
      </c>
      <c r="L600" s="675" t="s">
        <v>414</v>
      </c>
      <c r="M600" s="675" t="s">
        <v>432</v>
      </c>
      <c r="N600" s="663"/>
      <c r="O600" s="675" t="s">
        <v>436</v>
      </c>
      <c r="P600" s="675" t="s">
        <v>445</v>
      </c>
      <c r="Q600" s="675" t="s">
        <v>459</v>
      </c>
      <c r="R600" s="675" t="s">
        <v>469</v>
      </c>
      <c r="S600" s="675" t="s">
        <v>473</v>
      </c>
      <c r="T600" s="675" t="s">
        <v>481</v>
      </c>
      <c r="U600" s="675" t="s">
        <v>486</v>
      </c>
      <c r="V600" s="675" t="s">
        <v>560</v>
      </c>
      <c r="W600" s="675" t="s">
        <v>574</v>
      </c>
      <c r="X600" s="675" t="s">
        <v>615</v>
      </c>
      <c r="Y600" s="675" t="s">
        <v>652</v>
      </c>
      <c r="Z600" s="675" t="s">
        <v>691</v>
      </c>
      <c r="AA600" s="675" t="s">
        <v>711</v>
      </c>
      <c r="AB600" s="675" t="s">
        <v>719</v>
      </c>
      <c r="AC600" s="675" t="s">
        <v>726</v>
      </c>
      <c r="AD600" s="675" t="s">
        <v>828</v>
      </c>
      <c r="AE600" s="675" t="s">
        <v>921</v>
      </c>
      <c r="AF600" s="663"/>
    </row>
    <row r="601" spans="1:32" ht="13.5" customHeight="1" thickBot="1" x14ac:dyDescent="0.25">
      <c r="A601" s="988"/>
      <c r="B601" s="676"/>
      <c r="C601" s="676"/>
      <c r="D601" s="676"/>
      <c r="E601" s="676"/>
      <c r="F601" s="676"/>
      <c r="G601" s="676"/>
      <c r="H601" s="676"/>
      <c r="I601" s="676"/>
      <c r="J601" s="676"/>
      <c r="K601" s="676"/>
      <c r="L601" s="676"/>
      <c r="M601" s="676"/>
      <c r="N601" s="663"/>
      <c r="O601" s="676"/>
      <c r="P601" s="676"/>
      <c r="Q601" s="676"/>
      <c r="R601" s="676"/>
      <c r="S601" s="676"/>
      <c r="T601" s="676"/>
      <c r="U601" s="676"/>
      <c r="V601" s="676"/>
      <c r="W601" s="676"/>
      <c r="X601" s="676"/>
      <c r="Y601" s="676"/>
      <c r="Z601" s="676"/>
      <c r="AA601" s="676"/>
      <c r="AB601" s="676"/>
      <c r="AC601" s="676"/>
      <c r="AD601" s="676"/>
      <c r="AE601" s="676"/>
      <c r="AF601" s="663"/>
    </row>
    <row r="602" spans="1:32" ht="18" customHeight="1" thickTop="1" thickBot="1" x14ac:dyDescent="0.25">
      <c r="A602" s="40" t="s">
        <v>948</v>
      </c>
      <c r="B602" s="46">
        <f>IFERROR(Y22*1,"0")+IFERROR(Y23*1,"0")+IFERROR(Y24*1,"0")+IFERROR(Y25*1,"0")+IFERROR(Y26*1,"0")+IFERROR(Y27*1,"0")+IFERROR(Y31*1,"0")</f>
        <v>1.2</v>
      </c>
      <c r="C602" s="46">
        <f>IFERROR(Y37*1,"0")+IFERROR(Y38*1,"0")+IFERROR(Y39*1,"0")+IFERROR(Y40*1,"0")+IFERROR(Y44*1,"0")</f>
        <v>54</v>
      </c>
      <c r="D602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91</v>
      </c>
      <c r="E602" s="46">
        <f>IFERROR(Y87*1,"0")+IFERROR(Y88*1,"0")+IFERROR(Y89*1,"0")+IFERROR(Y93*1,"0")+IFERROR(Y94*1,"0")+IFERROR(Y95*1,"0")+IFERROR(Y96*1,"0")+IFERROR(Y97*1,"0")+IFERROR(Y98*1,"0")+IFERROR(Y99*1,"0")+IFERROR(Y100*1,"0")+IFERROR(Y101*1,"0")</f>
        <v>171.3</v>
      </c>
      <c r="F602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155.69999999999999</v>
      </c>
      <c r="G602" s="46">
        <f>IFERROR(Y137*1,"0")+IFERROR(Y138*1,"0")+IFERROR(Y142*1,"0")+IFERROR(Y143*1,"0")+IFERROR(Y147*1,"0")+IFERROR(Y148*1,"0")</f>
        <v>0</v>
      </c>
      <c r="H602" s="46">
        <f>IFERROR(Y153*1,"0")+IFERROR(Y157*1,"0")+IFERROR(Y158*1,"0")+IFERROR(Y159*1,"0")+IFERROR(Y160*1,"0")+IFERROR(Y164*1,"0")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113.4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280.8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31.2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14.4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43.500000000000007</v>
      </c>
      <c r="V602" s="46">
        <f>IFERROR(Y363*1,"0")+IFERROR(Y367*1,"0")+IFERROR(Y368*1,"0")+IFERROR(Y369*1,"0")</f>
        <v>0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2637</v>
      </c>
      <c r="X602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54</v>
      </c>
      <c r="Y602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2" s="46">
        <f>IFERROR(Y451*1,"0")+IFERROR(Y452*1,"0")+IFERROR(Y456*1,"0")+IFERROR(Y457*1,"0")+IFERROR(Y458*1,"0")+IFERROR(Y459*1,"0")</f>
        <v>37.800000000000004</v>
      </c>
      <c r="AA602" s="46">
        <f>IFERROR(Y464*1,"0")+IFERROR(Y465*1,"0")</f>
        <v>0</v>
      </c>
      <c r="AB602" s="46">
        <f>IFERROR(Y470*1,"0")+IFERROR(Y474*1,"0")</f>
        <v>0</v>
      </c>
      <c r="AC602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205.92000000000002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90</v>
      </c>
      <c r="AE602" s="46">
        <f>IFERROR(Y577*1,"0")+IFERROR(Y581*1,"0")+IFERROR(Y585*1,"0")+IFERROR(Y589*1,"0")</f>
        <v>0</v>
      </c>
      <c r="AF602" s="663"/>
    </row>
  </sheetData>
  <sheetProtection algorithmName="SHA-512" hashValue="lTEndSPB8y368fM0fgnxXDV1Kz+xfcumLxg3aK24sTi59BnQ8huIP76gT1ZaUlIaRa9GjHHLhukQ30RoFCRbrA==" saltValue="LbpuqZhHeUZid864Z0kiA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A8:C8"/>
    <mergeCell ref="AD599:AE599"/>
    <mergeCell ref="P595:V595"/>
    <mergeCell ref="D97:E97"/>
    <mergeCell ref="P496:V496"/>
    <mergeCell ref="A10:C10"/>
    <mergeCell ref="A566:O567"/>
    <mergeCell ref="D553:E553"/>
    <mergeCell ref="P126:T126"/>
    <mergeCell ref="P218:T218"/>
    <mergeCell ref="P69:V69"/>
    <mergeCell ref="P311:V311"/>
    <mergeCell ref="P140:V140"/>
    <mergeCell ref="A136:Z136"/>
    <mergeCell ref="T600:T601"/>
    <mergeCell ref="A21:Z21"/>
    <mergeCell ref="A428:Z428"/>
    <mergeCell ref="A57:Z57"/>
    <mergeCell ref="P425:V425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30:Z30"/>
    <mergeCell ref="P383:T383"/>
    <mergeCell ref="D571:E571"/>
    <mergeCell ref="D522:E522"/>
    <mergeCell ref="P60:T60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P71:T71"/>
    <mergeCell ref="P536:T536"/>
    <mergeCell ref="P202:T202"/>
    <mergeCell ref="D123:E123"/>
    <mergeCell ref="P58:T58"/>
    <mergeCell ref="D250:E250"/>
    <mergeCell ref="D50:E50"/>
    <mergeCell ref="Q5:R5"/>
    <mergeCell ref="P435:T435"/>
    <mergeCell ref="D278:E278"/>
    <mergeCell ref="D107:E107"/>
    <mergeCell ref="P484:T484"/>
    <mergeCell ref="P589:T589"/>
    <mergeCell ref="A478:Z478"/>
    <mergeCell ref="A408:O409"/>
    <mergeCell ref="D405:E405"/>
    <mergeCell ref="D234:E234"/>
    <mergeCell ref="P65:T65"/>
    <mergeCell ref="P434:T434"/>
    <mergeCell ref="P305:V305"/>
    <mergeCell ref="P499:T499"/>
    <mergeCell ref="D336:E336"/>
    <mergeCell ref="A149:O150"/>
    <mergeCell ref="D407:E407"/>
    <mergeCell ref="A447:O448"/>
    <mergeCell ref="Q6:R6"/>
    <mergeCell ref="A385:O386"/>
    <mergeCell ref="P436:T436"/>
    <mergeCell ref="A251:O252"/>
    <mergeCell ref="P528:T528"/>
    <mergeCell ref="D196:E196"/>
    <mergeCell ref="D25:E25"/>
    <mergeCell ref="A269:Z269"/>
    <mergeCell ref="A55:O56"/>
    <mergeCell ref="P294:T294"/>
    <mergeCell ref="P145:V145"/>
    <mergeCell ref="P443:V443"/>
    <mergeCell ref="P210:V210"/>
    <mergeCell ref="A35:Z35"/>
    <mergeCell ref="S600:S601"/>
    <mergeCell ref="D23:E23"/>
    <mergeCell ref="P515:T515"/>
    <mergeCell ref="U600:U601"/>
    <mergeCell ref="P344:T344"/>
    <mergeCell ref="P300:V300"/>
    <mergeCell ref="D265:E265"/>
    <mergeCell ref="D452:E452"/>
    <mergeCell ref="P371:V371"/>
    <mergeCell ref="A318:Z318"/>
    <mergeCell ref="D216:E216"/>
    <mergeCell ref="P123:T123"/>
    <mergeCell ref="A112:Z112"/>
    <mergeCell ref="P529:V529"/>
    <mergeCell ref="A20:Z20"/>
    <mergeCell ref="A348:Z348"/>
    <mergeCell ref="D218:E218"/>
    <mergeCell ref="A249:Z249"/>
    <mergeCell ref="P593:V593"/>
    <mergeCell ref="P422:V422"/>
    <mergeCell ref="P587:V587"/>
    <mergeCell ref="P239:V239"/>
    <mergeCell ref="P68:V68"/>
    <mergeCell ref="A64:Z64"/>
    <mergeCell ref="P439:T439"/>
    <mergeCell ref="P433:T433"/>
    <mergeCell ref="D547:E547"/>
    <mergeCell ref="P524:V524"/>
    <mergeCell ref="P353:V353"/>
    <mergeCell ref="A83:O84"/>
    <mergeCell ref="D170:E170"/>
    <mergeCell ref="P52:T52"/>
    <mergeCell ref="AD17:AF18"/>
    <mergeCell ref="A310:O311"/>
    <mergeCell ref="D101:E101"/>
    <mergeCell ref="V600:V601"/>
    <mergeCell ref="D570:E570"/>
    <mergeCell ref="P574:V574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82:T82"/>
    <mergeCell ref="A223:Z223"/>
    <mergeCell ref="V11:W11"/>
    <mergeCell ref="A370:O371"/>
    <mergeCell ref="D457:E457"/>
    <mergeCell ref="P367:T367"/>
    <mergeCell ref="P486:T486"/>
    <mergeCell ref="P75:T75"/>
    <mergeCell ref="D323:E323"/>
    <mergeCell ref="D394:E394"/>
    <mergeCell ref="D279:E279"/>
    <mergeCell ref="D521:E521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28:V28"/>
    <mergeCell ref="P2:W3"/>
    <mergeCell ref="P127:T127"/>
    <mergeCell ref="D437:E437"/>
    <mergeCell ref="P369:T369"/>
    <mergeCell ref="D508:E508"/>
    <mergeCell ref="D241:E241"/>
    <mergeCell ref="D539:E539"/>
    <mergeCell ref="P418:T418"/>
    <mergeCell ref="P54:T54"/>
    <mergeCell ref="A43:Z43"/>
    <mergeCell ref="P412:T412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420:T420"/>
    <mergeCell ref="D99:E99"/>
    <mergeCell ref="K600:K601"/>
    <mergeCell ref="P270:T270"/>
    <mergeCell ref="D384:E384"/>
    <mergeCell ref="M600:M601"/>
    <mergeCell ref="P214:T214"/>
    <mergeCell ref="D213:E213"/>
    <mergeCell ref="P157:T157"/>
    <mergeCell ref="P577:T577"/>
    <mergeCell ref="P49:T49"/>
    <mergeCell ref="A110:O111"/>
    <mergeCell ref="P107:T107"/>
    <mergeCell ref="D321:E321"/>
    <mergeCell ref="P278:T278"/>
    <mergeCell ref="P129:V129"/>
    <mergeCell ref="P101:T101"/>
    <mergeCell ref="A128:O129"/>
    <mergeCell ref="D557:E557"/>
    <mergeCell ref="P465:T465"/>
    <mergeCell ref="D215:E215"/>
    <mergeCell ref="D513:E513"/>
    <mergeCell ref="A364:O365"/>
    <mergeCell ref="P194:V194"/>
    <mergeCell ref="A317:Z317"/>
    <mergeCell ref="A531:Z531"/>
    <mergeCell ref="A469:Z469"/>
    <mergeCell ref="P336:T336"/>
    <mergeCell ref="P187:V187"/>
    <mergeCell ref="A453:O454"/>
    <mergeCell ref="P430:T430"/>
    <mergeCell ref="A104:Z104"/>
    <mergeCell ref="A297:Z297"/>
    <mergeCell ref="P417:T417"/>
    <mergeCell ref="Q13:R13"/>
    <mergeCell ref="P201:T201"/>
    <mergeCell ref="D389:E389"/>
    <mergeCell ref="P176:T176"/>
    <mergeCell ref="W599:X599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A520:Z520"/>
    <mergeCell ref="P426:V426"/>
    <mergeCell ref="P178:T178"/>
    <mergeCell ref="A102:O103"/>
    <mergeCell ref="P547:T547"/>
    <mergeCell ref="D257:E257"/>
    <mergeCell ref="M17:M18"/>
    <mergeCell ref="O17:O18"/>
    <mergeCell ref="A533:Z533"/>
    <mergeCell ref="A130:Z130"/>
    <mergeCell ref="P78:V78"/>
    <mergeCell ref="D528:E528"/>
    <mergeCell ref="A254:Z254"/>
    <mergeCell ref="P121:T121"/>
    <mergeCell ref="P181:T181"/>
    <mergeCell ref="P357:T357"/>
    <mergeCell ref="P592:V592"/>
    <mergeCell ref="D577:E577"/>
    <mergeCell ref="AE600:AE601"/>
    <mergeCell ref="P184:V184"/>
    <mergeCell ref="P171:V171"/>
    <mergeCell ref="A167:Z167"/>
    <mergeCell ref="P413:V413"/>
    <mergeCell ref="D159:E159"/>
    <mergeCell ref="D80:E80"/>
    <mergeCell ref="P42:V42"/>
    <mergeCell ref="A505:Z505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D202:E202"/>
    <mergeCell ref="J600:J601"/>
    <mergeCell ref="D367:E367"/>
    <mergeCell ref="H5:M5"/>
    <mergeCell ref="L600:L601"/>
    <mergeCell ref="P98:T98"/>
    <mergeCell ref="D212:E212"/>
    <mergeCell ref="D439:E439"/>
    <mergeCell ref="A285:Z285"/>
    <mergeCell ref="D510:E510"/>
    <mergeCell ref="P225:T225"/>
    <mergeCell ref="D6:M6"/>
    <mergeCell ref="D304:E304"/>
    <mergeCell ref="P175:T175"/>
    <mergeCell ref="P266:V266"/>
    <mergeCell ref="A85:Z85"/>
    <mergeCell ref="D143:E143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D481:E481"/>
    <mergeCell ref="P93:T93"/>
    <mergeCell ref="P335:T335"/>
    <mergeCell ref="D256:E256"/>
    <mergeCell ref="D207:E207"/>
    <mergeCell ref="D383:E383"/>
    <mergeCell ref="P164:T164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A580:Z580"/>
    <mergeCell ref="P314:T314"/>
    <mergeCell ref="P40:T40"/>
    <mergeCell ref="P257:T257"/>
    <mergeCell ref="P80:T80"/>
    <mergeCell ref="Z17:Z18"/>
    <mergeCell ref="P29:V29"/>
    <mergeCell ref="D446:E446"/>
    <mergeCell ref="A575:Z575"/>
    <mergeCell ref="D299:E299"/>
    <mergeCell ref="A401:Z401"/>
    <mergeCell ref="P476:V476"/>
    <mergeCell ref="A529:O530"/>
    <mergeCell ref="G17:G18"/>
    <mergeCell ref="D314:E314"/>
    <mergeCell ref="A9:C9"/>
    <mergeCell ref="P557:T557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AB17:AB18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A327:Z327"/>
    <mergeCell ref="A156:Z156"/>
    <mergeCell ref="P116:V116"/>
    <mergeCell ref="P32:V32"/>
    <mergeCell ref="P561:T561"/>
    <mergeCell ref="Y599:AB599"/>
    <mergeCell ref="D206:E206"/>
    <mergeCell ref="P41:V41"/>
    <mergeCell ref="A578:O579"/>
    <mergeCell ref="D181:E181"/>
    <mergeCell ref="A221:O222"/>
    <mergeCell ref="P252:V252"/>
    <mergeCell ref="P56:V56"/>
    <mergeCell ref="P500:T500"/>
    <mergeCell ref="P341:V341"/>
    <mergeCell ref="D39:E39"/>
    <mergeCell ref="P535:T535"/>
    <mergeCell ref="P316:V316"/>
    <mergeCell ref="A141:Z141"/>
    <mergeCell ref="A144:O145"/>
    <mergeCell ref="P212:T212"/>
    <mergeCell ref="A135:Z135"/>
    <mergeCell ref="P573:V573"/>
    <mergeCell ref="P103:V103"/>
    <mergeCell ref="P134:V134"/>
    <mergeCell ref="A293:Z293"/>
    <mergeCell ref="P72:T72"/>
    <mergeCell ref="D49:E49"/>
    <mergeCell ref="D242:E242"/>
    <mergeCell ref="D120:E120"/>
    <mergeCell ref="P510:T510"/>
    <mergeCell ref="D54:E54"/>
    <mergeCell ref="P283:V283"/>
    <mergeCell ref="D483:E483"/>
    <mergeCell ref="D271:E271"/>
    <mergeCell ref="P519:V519"/>
    <mergeCell ref="P393:T393"/>
    <mergeCell ref="D203:E203"/>
    <mergeCell ref="D138:E138"/>
    <mergeCell ref="P549:V549"/>
    <mergeCell ref="P165:V165"/>
    <mergeCell ref="P232:T232"/>
    <mergeCell ref="P330:T330"/>
    <mergeCell ref="P159:T159"/>
    <mergeCell ref="A275:Z275"/>
    <mergeCell ref="P517:T517"/>
    <mergeCell ref="D438:E438"/>
    <mergeCell ref="D509:E509"/>
    <mergeCell ref="P96:T96"/>
    <mergeCell ref="H17:H18"/>
    <mergeCell ref="A146:Z146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P27:T27"/>
    <mergeCell ref="D75:E75"/>
    <mergeCell ref="P247:V247"/>
    <mergeCell ref="N17:N18"/>
    <mergeCell ref="F17:F18"/>
    <mergeCell ref="X17:X18"/>
    <mergeCell ref="D44:E44"/>
    <mergeCell ref="D286:E286"/>
    <mergeCell ref="J9:M9"/>
    <mergeCell ref="D581:E581"/>
    <mergeCell ref="P538:T538"/>
    <mergeCell ref="A90:O91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P441:T441"/>
    <mergeCell ref="D51:E51"/>
    <mergeCell ref="P235:T235"/>
    <mergeCell ref="P506:T506"/>
    <mergeCell ref="D349:E349"/>
    <mergeCell ref="P207:T207"/>
    <mergeCell ref="A573:O574"/>
    <mergeCell ref="A372:Z372"/>
    <mergeCell ref="P299:T299"/>
    <mergeCell ref="P172:V172"/>
    <mergeCell ref="P525:V525"/>
    <mergeCell ref="P380:T380"/>
    <mergeCell ref="A13:M13"/>
    <mergeCell ref="P244:V244"/>
    <mergeCell ref="W600:W601"/>
    <mergeCell ref="P315:V315"/>
    <mergeCell ref="D61:E61"/>
    <mergeCell ref="Y600:Y601"/>
    <mergeCell ref="A560:Z560"/>
    <mergeCell ref="A427:Z427"/>
    <mergeCell ref="A498:Z498"/>
    <mergeCell ref="P115:T115"/>
    <mergeCell ref="A15:M15"/>
    <mergeCell ref="D490:E490"/>
    <mergeCell ref="A359:O360"/>
    <mergeCell ref="P594:V59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B600:B601"/>
    <mergeCell ref="D600:D601"/>
    <mergeCell ref="P221:V221"/>
    <mergeCell ref="P326:V326"/>
    <mergeCell ref="P150:V150"/>
    <mergeCell ref="P386:V386"/>
    <mergeCell ref="A211:Z211"/>
    <mergeCell ref="P564:T564"/>
    <mergeCell ref="D74:E74"/>
    <mergeCell ref="P87:T87"/>
    <mergeCell ref="X600:X601"/>
    <mergeCell ref="P451:T451"/>
    <mergeCell ref="D335:E335"/>
    <mergeCell ref="Z600:Z601"/>
    <mergeCell ref="D201:E201"/>
    <mergeCell ref="P516:T516"/>
    <mergeCell ref="P543:T543"/>
    <mergeCell ref="D424:E424"/>
    <mergeCell ref="P224:T224"/>
    <mergeCell ref="P491:T491"/>
    <mergeCell ref="P24:T24"/>
    <mergeCell ref="P322:T322"/>
    <mergeCell ref="P260:T260"/>
    <mergeCell ref="D132:E132"/>
    <mergeCell ref="P89:T89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A584:Z584"/>
    <mergeCell ref="P511:T511"/>
    <mergeCell ref="D555:E555"/>
    <mergeCell ref="A92:Z92"/>
    <mergeCell ref="P227:V227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A295:O296"/>
    <mergeCell ref="D233:E233"/>
    <mergeCell ref="A28:O29"/>
    <mergeCell ref="Q8:R8"/>
    <mergeCell ref="C600:C601"/>
    <mergeCell ref="P438:T438"/>
    <mergeCell ref="D419:E419"/>
    <mergeCell ref="E600:E601"/>
    <mergeCell ref="D219:E219"/>
    <mergeCell ref="P83:V83"/>
    <mergeCell ref="A79:Z79"/>
    <mergeCell ref="T6:U9"/>
    <mergeCell ref="Q10:R10"/>
    <mergeCell ref="A429:Z429"/>
    <mergeCell ref="A315:O316"/>
    <mergeCell ref="P356:T356"/>
    <mergeCell ref="D277:E277"/>
    <mergeCell ref="D564:E564"/>
    <mergeCell ref="P84:V84"/>
    <mergeCell ref="D485:E485"/>
    <mergeCell ref="A253:Z253"/>
    <mergeCell ref="A12:M12"/>
    <mergeCell ref="P597:V597"/>
    <mergeCell ref="D487:E487"/>
    <mergeCell ref="D343:E343"/>
    <mergeCell ref="A240:Z240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D109:E109"/>
    <mergeCell ref="A14:M14"/>
    <mergeCell ref="P424:T424"/>
    <mergeCell ref="D345:E345"/>
    <mergeCell ref="D538:E538"/>
    <mergeCell ref="P138:T138"/>
    <mergeCell ref="P149:V149"/>
    <mergeCell ref="A586:O587"/>
    <mergeCell ref="P447:V447"/>
    <mergeCell ref="P385:V385"/>
    <mergeCell ref="A346:O347"/>
    <mergeCell ref="P514:T514"/>
    <mergeCell ref="A582:O583"/>
    <mergeCell ref="P216:T216"/>
    <mergeCell ref="D137:E137"/>
    <mergeCell ref="P360:V360"/>
    <mergeCell ref="P489:T489"/>
    <mergeCell ref="D9:E9"/>
    <mergeCell ref="F9:G9"/>
    <mergeCell ref="D403:E403"/>
    <mergeCell ref="D232:E232"/>
    <mergeCell ref="A263:Z263"/>
    <mergeCell ref="P238:V238"/>
    <mergeCell ref="A247:O248"/>
    <mergeCell ref="D38:E38"/>
    <mergeCell ref="I599:V599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D27:E27"/>
    <mergeCell ref="P579:V579"/>
    <mergeCell ref="P408:V408"/>
    <mergeCell ref="P208:T208"/>
    <mergeCell ref="P15:T16"/>
    <mergeCell ref="D456:E456"/>
    <mergeCell ref="A496:O497"/>
    <mergeCell ref="A325:O326"/>
    <mergeCell ref="D352:E352"/>
    <mergeCell ref="P419:T419"/>
    <mergeCell ref="A5:C5"/>
    <mergeCell ref="P583:V583"/>
    <mergeCell ref="A473:Z473"/>
    <mergeCell ref="P406:T406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A548:O549"/>
    <mergeCell ref="D339:E339"/>
    <mergeCell ref="D230:E230"/>
    <mergeCell ref="P66:T66"/>
    <mergeCell ref="D180:E180"/>
    <mergeCell ref="P137:T137"/>
    <mergeCell ref="P197:T197"/>
    <mergeCell ref="A183:O184"/>
    <mergeCell ref="P53:T53"/>
    <mergeCell ref="P495:T495"/>
    <mergeCell ref="Q12:R12"/>
    <mergeCell ref="P600:P601"/>
    <mergeCell ref="P411:T411"/>
    <mergeCell ref="D388:E388"/>
    <mergeCell ref="R600:R601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133:V133"/>
    <mergeCell ref="D561:E561"/>
    <mergeCell ref="P198:V198"/>
    <mergeCell ref="P347:V347"/>
    <mergeCell ref="A425:O426"/>
    <mergeCell ref="P351:T351"/>
    <mergeCell ref="A47:Z47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A588:Z588"/>
    <mergeCell ref="Q11:R11"/>
    <mergeCell ref="D309:E309"/>
    <mergeCell ref="D113:E113"/>
    <mergeCell ref="A6:C6"/>
    <mergeCell ref="P180:T180"/>
    <mergeCell ref="A558:O559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517:E517"/>
    <mergeCell ref="D324:E324"/>
    <mergeCell ref="D115:E115"/>
    <mergeCell ref="P182:T182"/>
    <mergeCell ref="P102:V102"/>
    <mergeCell ref="P480:T480"/>
    <mergeCell ref="P280:T280"/>
    <mergeCell ref="P350:T350"/>
    <mergeCell ref="A540:O541"/>
    <mergeCell ref="D160:E160"/>
    <mergeCell ref="A168:Z168"/>
    <mergeCell ref="P481:T481"/>
    <mergeCell ref="P139:V139"/>
    <mergeCell ref="I17:I18"/>
    <mergeCell ref="P456:T456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P581:T581"/>
    <mergeCell ref="P277:T277"/>
    <mergeCell ref="D220:E220"/>
    <mergeCell ref="A133:O134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116:O117"/>
    <mergeCell ref="D100:E100"/>
    <mergeCell ref="P113:T113"/>
    <mergeCell ref="A173:Z173"/>
    <mergeCell ref="A229:Z229"/>
    <mergeCell ref="P17:T18"/>
    <mergeCell ref="D523:E523"/>
    <mergeCell ref="P250:T250"/>
    <mergeCell ref="P50:T50"/>
    <mergeCell ref="P492:T492"/>
    <mergeCell ref="D31:E31"/>
    <mergeCell ref="D329:E329"/>
    <mergeCell ref="P286:T286"/>
    <mergeCell ref="A402:Z402"/>
    <mergeCell ref="D158:E158"/>
    <mergeCell ref="P39:T39"/>
    <mergeCell ref="F600:F601"/>
    <mergeCell ref="P537:T537"/>
    <mergeCell ref="P508:T508"/>
    <mergeCell ref="D380:E380"/>
    <mergeCell ref="P337:T337"/>
    <mergeCell ref="P464:T464"/>
    <mergeCell ref="A187:O188"/>
    <mergeCell ref="D445:E445"/>
    <mergeCell ref="P188:V188"/>
    <mergeCell ref="D516:E516"/>
    <mergeCell ref="D147:E147"/>
    <mergeCell ref="D87:E87"/>
    <mergeCell ref="D122:E122"/>
    <mergeCell ref="A105:Z105"/>
    <mergeCell ref="P474:T474"/>
    <mergeCell ref="D224:E224"/>
    <mergeCell ref="P572:T572"/>
    <mergeCell ref="A468:Z468"/>
    <mergeCell ref="D382:E382"/>
    <mergeCell ref="P339:T339"/>
    <mergeCell ref="P230:T230"/>
    <mergeCell ref="P97:T97"/>
    <mergeCell ref="P46:V46"/>
    <mergeCell ref="D565:E565"/>
    <mergeCell ref="P131:T131"/>
    <mergeCell ref="D108:E108"/>
    <mergeCell ref="D375:E375"/>
    <mergeCell ref="P258:T258"/>
    <mergeCell ref="D369:E369"/>
    <mergeCell ref="P556:T556"/>
    <mergeCell ref="A353:O354"/>
    <mergeCell ref="D67:E67"/>
    <mergeCell ref="A524:O525"/>
    <mergeCell ref="D5:E5"/>
    <mergeCell ref="P553:T553"/>
    <mergeCell ref="P382:T382"/>
    <mergeCell ref="A238:O239"/>
    <mergeCell ref="A32:O33"/>
    <mergeCell ref="D290:E290"/>
    <mergeCell ref="D94:E94"/>
    <mergeCell ref="D417:E417"/>
    <mergeCell ref="P567:V567"/>
    <mergeCell ref="A392:Z392"/>
    <mergeCell ref="A395:O396"/>
    <mergeCell ref="P396:V396"/>
    <mergeCell ref="P259:T259"/>
    <mergeCell ref="A592:O597"/>
    <mergeCell ref="P148:T148"/>
    <mergeCell ref="P482:T482"/>
    <mergeCell ref="P162:V162"/>
    <mergeCell ref="A332:O333"/>
    <mergeCell ref="P460:V460"/>
    <mergeCell ref="P33:V33"/>
    <mergeCell ref="P475:V475"/>
    <mergeCell ref="D527:E527"/>
    <mergeCell ref="D356:E356"/>
    <mergeCell ref="P226:V226"/>
    <mergeCell ref="A387:Z387"/>
    <mergeCell ref="P399:V399"/>
    <mergeCell ref="P333:V333"/>
    <mergeCell ref="P571:T571"/>
    <mergeCell ref="D272:E272"/>
    <mergeCell ref="D514:E514"/>
    <mergeCell ref="AB600:AB601"/>
    <mergeCell ref="P251:V251"/>
    <mergeCell ref="A70:Z70"/>
    <mergeCell ref="AD600:AD601"/>
    <mergeCell ref="P45:V45"/>
    <mergeCell ref="A228:Z228"/>
    <mergeCell ref="P95:T95"/>
    <mergeCell ref="P530:V530"/>
    <mergeCell ref="A526:Z526"/>
    <mergeCell ref="A355:Z355"/>
    <mergeCell ref="P527:T527"/>
    <mergeCell ref="P502:T502"/>
    <mergeCell ref="D470:E470"/>
    <mergeCell ref="P331:T331"/>
    <mergeCell ref="H1:Q1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D501:E501"/>
    <mergeCell ref="D495:E495"/>
    <mergeCell ref="A163:Z163"/>
    <mergeCell ref="P405:T405"/>
    <mergeCell ref="A374:Z374"/>
    <mergeCell ref="D432:E432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D502:E502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208:E208"/>
    <mergeCell ref="D8:M8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P522:T522"/>
    <mergeCell ref="P261:V261"/>
    <mergeCell ref="P90:V90"/>
    <mergeCell ref="P503:V503"/>
    <mergeCell ref="P559:V559"/>
    <mergeCell ref="P332:V332"/>
    <mergeCell ref="P161:V161"/>
    <mergeCell ref="A151:Z151"/>
    <mergeCell ref="A86:Z86"/>
    <mergeCell ref="A449:Z449"/>
    <mergeCell ref="G600:G601"/>
    <mergeCell ref="P234:T234"/>
    <mergeCell ref="P325:V325"/>
    <mergeCell ref="I600:I601"/>
    <mergeCell ref="P154:V154"/>
    <mergeCell ref="D142:E142"/>
    <mergeCell ref="P390:V390"/>
    <mergeCell ref="D378:E378"/>
    <mergeCell ref="A590:O591"/>
    <mergeCell ref="D406:E406"/>
    <mergeCell ref="P565:T565"/>
    <mergeCell ref="D236:E236"/>
    <mergeCell ref="A361:Z361"/>
    <mergeCell ref="P340:V340"/>
    <mergeCell ref="P242:T242"/>
    <mergeCell ref="P407:T407"/>
    <mergeCell ref="O600:O601"/>
    <mergeCell ref="Q600:Q601"/>
    <mergeCell ref="D381:E381"/>
    <mergeCell ref="A421:O422"/>
    <mergeCell ref="D308:E308"/>
    <mergeCell ref="P494:T494"/>
    <mergeCell ref="P546:T546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471:O472"/>
    <mergeCell ref="A300:O301"/>
    <mergeCell ref="P170:T170"/>
    <mergeCell ref="D585:E585"/>
    <mergeCell ref="D474:E474"/>
    <mergeCell ref="D66:E66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395:V395"/>
    <mergeCell ref="P147:T147"/>
    <mergeCell ref="P445:T445"/>
    <mergeCell ref="A193:O194"/>
    <mergeCell ref="W17:W18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139:O140"/>
    <mergeCell ref="A503:O504"/>
    <mergeCell ref="P432:T432"/>
    <mergeCell ref="P400:V400"/>
    <mergeCell ref="A282:O283"/>
    <mergeCell ref="D98:E98"/>
    <mergeCell ref="P77:V77"/>
    <mergeCell ref="D73:E73"/>
    <mergeCell ref="A200:Z200"/>
    <mergeCell ref="P166:V166"/>
    <mergeCell ref="P290:T290"/>
    <mergeCell ref="A550:Z550"/>
    <mergeCell ref="P452:T452"/>
    <mergeCell ref="P448:V448"/>
    <mergeCell ref="P504:V504"/>
    <mergeCell ref="D535:E535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A36:Z36"/>
    <mergeCell ref="P453:V453"/>
    <mergeCell ref="P558:V558"/>
    <mergeCell ref="P389:T389"/>
    <mergeCell ref="A334:Z334"/>
    <mergeCell ref="A576:Z576"/>
    <mergeCell ref="P562:T562"/>
    <mergeCell ref="P220:T220"/>
    <mergeCell ref="D499:E499"/>
    <mergeCell ref="D486:E486"/>
    <mergeCell ref="A45:O46"/>
    <mergeCell ref="A287:O288"/>
    <mergeCell ref="P466:V466"/>
    <mergeCell ref="B17:B18"/>
    <mergeCell ref="A77:O78"/>
    <mergeCell ref="P248:V248"/>
    <mergeCell ref="D131:E131"/>
    <mergeCell ref="A171:O172"/>
    <mergeCell ref="D258:E25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949</v>
      </c>
      <c r="H1" s="52"/>
    </row>
    <row r="3" spans="2:8" x14ac:dyDescent="0.2">
      <c r="B3" s="47" t="s">
        <v>950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951</v>
      </c>
      <c r="C6" s="47" t="s">
        <v>952</v>
      </c>
      <c r="D6" s="47" t="s">
        <v>953</v>
      </c>
      <c r="E6" s="47"/>
    </row>
    <row r="7" spans="2:8" x14ac:dyDescent="0.2">
      <c r="B7" s="47" t="s">
        <v>954</v>
      </c>
      <c r="C7" s="47" t="s">
        <v>955</v>
      </c>
      <c r="D7" s="47" t="s">
        <v>956</v>
      </c>
      <c r="E7" s="47"/>
    </row>
    <row r="8" spans="2:8" x14ac:dyDescent="0.2">
      <c r="B8" s="47" t="s">
        <v>957</v>
      </c>
      <c r="C8" s="47" t="s">
        <v>958</v>
      </c>
      <c r="D8" s="47" t="s">
        <v>959</v>
      </c>
      <c r="E8" s="47"/>
    </row>
    <row r="9" spans="2:8" x14ac:dyDescent="0.2">
      <c r="B9" s="47" t="s">
        <v>14</v>
      </c>
      <c r="C9" s="47" t="s">
        <v>960</v>
      </c>
      <c r="D9" s="47" t="s">
        <v>961</v>
      </c>
      <c r="E9" s="47"/>
    </row>
    <row r="11" spans="2:8" x14ac:dyDescent="0.2">
      <c r="B11" s="47" t="s">
        <v>962</v>
      </c>
      <c r="C11" s="47" t="s">
        <v>952</v>
      </c>
      <c r="D11" s="47"/>
      <c r="E11" s="47"/>
    </row>
    <row r="13" spans="2:8" x14ac:dyDescent="0.2">
      <c r="B13" s="47" t="s">
        <v>963</v>
      </c>
      <c r="C13" s="47" t="s">
        <v>955</v>
      </c>
      <c r="D13" s="47"/>
      <c r="E13" s="47"/>
    </row>
    <row r="15" spans="2:8" x14ac:dyDescent="0.2">
      <c r="B15" s="47" t="s">
        <v>964</v>
      </c>
      <c r="C15" s="47" t="s">
        <v>958</v>
      </c>
      <c r="D15" s="47"/>
      <c r="E15" s="47"/>
    </row>
    <row r="17" spans="2:5" x14ac:dyDescent="0.2">
      <c r="B17" s="47" t="s">
        <v>965</v>
      </c>
      <c r="C17" s="47" t="s">
        <v>960</v>
      </c>
      <c r="D17" s="47"/>
      <c r="E17" s="47"/>
    </row>
    <row r="19" spans="2:5" x14ac:dyDescent="0.2">
      <c r="B19" s="47" t="s">
        <v>966</v>
      </c>
      <c r="C19" s="47"/>
      <c r="D19" s="47"/>
      <c r="E19" s="47"/>
    </row>
    <row r="20" spans="2:5" x14ac:dyDescent="0.2">
      <c r="B20" s="47" t="s">
        <v>967</v>
      </c>
      <c r="C20" s="47"/>
      <c r="D20" s="47"/>
      <c r="E20" s="47"/>
    </row>
    <row r="21" spans="2:5" x14ac:dyDescent="0.2">
      <c r="B21" s="47" t="s">
        <v>968</v>
      </c>
      <c r="C21" s="47"/>
      <c r="D21" s="47"/>
      <c r="E21" s="47"/>
    </row>
    <row r="22" spans="2:5" x14ac:dyDescent="0.2">
      <c r="B22" s="47" t="s">
        <v>969</v>
      </c>
      <c r="C22" s="47"/>
      <c r="D22" s="47"/>
      <c r="E22" s="47"/>
    </row>
    <row r="23" spans="2:5" x14ac:dyDescent="0.2">
      <c r="B23" s="47" t="s">
        <v>970</v>
      </c>
      <c r="C23" s="47"/>
      <c r="D23" s="47"/>
      <c r="E23" s="47"/>
    </row>
    <row r="24" spans="2:5" x14ac:dyDescent="0.2">
      <c r="B24" s="47" t="s">
        <v>971</v>
      </c>
      <c r="C24" s="47"/>
      <c r="D24" s="47"/>
      <c r="E24" s="47"/>
    </row>
    <row r="25" spans="2:5" x14ac:dyDescent="0.2">
      <c r="B25" s="47" t="s">
        <v>972</v>
      </c>
      <c r="C25" s="47"/>
      <c r="D25" s="47"/>
      <c r="E25" s="47"/>
    </row>
    <row r="26" spans="2:5" x14ac:dyDescent="0.2">
      <c r="B26" s="47" t="s">
        <v>973</v>
      </c>
      <c r="C26" s="47"/>
      <c r="D26" s="47"/>
      <c r="E26" s="47"/>
    </row>
    <row r="27" spans="2:5" x14ac:dyDescent="0.2">
      <c r="B27" s="47" t="s">
        <v>974</v>
      </c>
      <c r="C27" s="47"/>
      <c r="D27" s="47"/>
      <c r="E27" s="47"/>
    </row>
    <row r="28" spans="2:5" x14ac:dyDescent="0.2">
      <c r="B28" s="47" t="s">
        <v>975</v>
      </c>
      <c r="C28" s="47"/>
      <c r="D28" s="47"/>
      <c r="E28" s="47"/>
    </row>
    <row r="29" spans="2:5" x14ac:dyDescent="0.2">
      <c r="B29" s="47" t="s">
        <v>976</v>
      </c>
      <c r="C29" s="47"/>
      <c r="D29" s="47"/>
      <c r="E29" s="47"/>
    </row>
  </sheetData>
  <sheetProtection algorithmName="SHA-512" hashValue="6ZT8PVazwKCKyKSQEJuyij/5XkTlThWEUKgc7ATEIL0aYkVSBVBQw63RYCO0Orf3YBbbjZysvZrwbAFqgzHqEg==" saltValue="+kxM8MdGlMVTJCUo7eH5+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2025-04-18T09:00:38Z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