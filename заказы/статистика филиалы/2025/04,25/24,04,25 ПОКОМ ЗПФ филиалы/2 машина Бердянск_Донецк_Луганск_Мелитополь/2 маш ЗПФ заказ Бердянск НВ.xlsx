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83232EE4-CCA7-4860-B3B0-4111DC88AA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Z317" i="1" s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88" i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X283" i="1"/>
  <c r="Z282" i="1"/>
  <c r="X282" i="1"/>
  <c r="BO281" i="1"/>
  <c r="BM281" i="1"/>
  <c r="Z281" i="1"/>
  <c r="Y281" i="1"/>
  <c r="P281" i="1"/>
  <c r="Y279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Y242" i="1"/>
  <c r="X242" i="1"/>
  <c r="Z241" i="1"/>
  <c r="X241" i="1"/>
  <c r="BO240" i="1"/>
  <c r="BM240" i="1"/>
  <c r="Z240" i="1"/>
  <c r="Y240" i="1"/>
  <c r="P240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P222" i="1" s="1"/>
  <c r="P222" i="1"/>
  <c r="BP221" i="1"/>
  <c r="BO221" i="1"/>
  <c r="BN221" i="1"/>
  <c r="BM221" i="1"/>
  <c r="Z221" i="1"/>
  <c r="Z225" i="1" s="1"/>
  <c r="Y221" i="1"/>
  <c r="Y225" i="1" s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Z217" i="1" s="1"/>
  <c r="Y211" i="1"/>
  <c r="Y218" i="1" s="1"/>
  <c r="P211" i="1"/>
  <c r="X208" i="1"/>
  <c r="X207" i="1"/>
  <c r="BO206" i="1"/>
  <c r="BM206" i="1"/>
  <c r="Z206" i="1"/>
  <c r="Y206" i="1"/>
  <c r="BP206" i="1" s="1"/>
  <c r="P206" i="1"/>
  <c r="BP205" i="1"/>
  <c r="BO205" i="1"/>
  <c r="BN205" i="1"/>
  <c r="BM205" i="1"/>
  <c r="Z205" i="1"/>
  <c r="Z207" i="1" s="1"/>
  <c r="Y205" i="1"/>
  <c r="P205" i="1"/>
  <c r="BO204" i="1"/>
  <c r="BM204" i="1"/>
  <c r="Z204" i="1"/>
  <c r="Y204" i="1"/>
  <c r="Y207" i="1" s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Y200" i="1" s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P184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BP171" i="1"/>
  <c r="BO171" i="1"/>
  <c r="BN171" i="1"/>
  <c r="BM171" i="1"/>
  <c r="Z171" i="1"/>
  <c r="Y171" i="1"/>
  <c r="BP170" i="1"/>
  <c r="BO170" i="1"/>
  <c r="BN170" i="1"/>
  <c r="BM170" i="1"/>
  <c r="Z170" i="1"/>
  <c r="Z174" i="1" s="1"/>
  <c r="Y170" i="1"/>
  <c r="Y175" i="1" s="1"/>
  <c r="X167" i="1"/>
  <c r="Z166" i="1"/>
  <c r="X166" i="1"/>
  <c r="BO165" i="1"/>
  <c r="BM165" i="1"/>
  <c r="Z165" i="1"/>
  <c r="Y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Y150" i="1"/>
  <c r="X150" i="1"/>
  <c r="Z149" i="1"/>
  <c r="X149" i="1"/>
  <c r="BO148" i="1"/>
  <c r="BM148" i="1"/>
  <c r="Z148" i="1"/>
  <c r="Y148" i="1"/>
  <c r="P148" i="1"/>
  <c r="X145" i="1"/>
  <c r="Z144" i="1"/>
  <c r="X144" i="1"/>
  <c r="BO143" i="1"/>
  <c r="BM143" i="1"/>
  <c r="Z143" i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Y134" i="1"/>
  <c r="X134" i="1"/>
  <c r="Z133" i="1"/>
  <c r="X133" i="1"/>
  <c r="BO132" i="1"/>
  <c r="BM132" i="1"/>
  <c r="Z132" i="1"/>
  <c r="Y132" i="1"/>
  <c r="P132" i="1"/>
  <c r="BP131" i="1"/>
  <c r="BO131" i="1"/>
  <c r="BN131" i="1"/>
  <c r="BM131" i="1"/>
  <c r="Z131" i="1"/>
  <c r="Y131" i="1"/>
  <c r="Y133" i="1" s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P125" i="1"/>
  <c r="X122" i="1"/>
  <c r="Z121" i="1"/>
  <c r="X121" i="1"/>
  <c r="BO120" i="1"/>
  <c r="BM120" i="1"/>
  <c r="Z120" i="1"/>
  <c r="Y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X108" i="1"/>
  <c r="X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Y101" i="1"/>
  <c r="X101" i="1"/>
  <c r="Z100" i="1"/>
  <c r="X100" i="1"/>
  <c r="BO99" i="1"/>
  <c r="BM99" i="1"/>
  <c r="Z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100" i="1" s="1"/>
  <c r="X91" i="1"/>
  <c r="Z90" i="1"/>
  <c r="X90" i="1"/>
  <c r="BO89" i="1"/>
  <c r="BM89" i="1"/>
  <c r="Z89" i="1"/>
  <c r="Y89" i="1"/>
  <c r="BO88" i="1"/>
  <c r="BM88" i="1"/>
  <c r="Z88" i="1"/>
  <c r="Y88" i="1"/>
  <c r="X85" i="1"/>
  <c r="Y84" i="1"/>
  <c r="X84" i="1"/>
  <c r="BP83" i="1"/>
  <c r="BO83" i="1"/>
  <c r="BN83" i="1"/>
  <c r="BM83" i="1"/>
  <c r="Z83" i="1"/>
  <c r="Z84" i="1" s="1"/>
  <c r="Y83" i="1"/>
  <c r="Y85" i="1" s="1"/>
  <c r="Y80" i="1"/>
  <c r="X80" i="1"/>
  <c r="Z79" i="1"/>
  <c r="X79" i="1"/>
  <c r="BO78" i="1"/>
  <c r="BM78" i="1"/>
  <c r="Z78" i="1"/>
  <c r="Y78" i="1"/>
  <c r="P78" i="1"/>
  <c r="BP77" i="1"/>
  <c r="BO77" i="1"/>
  <c r="BN77" i="1"/>
  <c r="BM77" i="1"/>
  <c r="Z77" i="1"/>
  <c r="Y77" i="1"/>
  <c r="Y79" i="1" s="1"/>
  <c r="P77" i="1"/>
  <c r="X74" i="1"/>
  <c r="Y73" i="1"/>
  <c r="X73" i="1"/>
  <c r="BP72" i="1"/>
  <c r="BO72" i="1"/>
  <c r="BN72" i="1"/>
  <c r="BM72" i="1"/>
  <c r="Z72" i="1"/>
  <c r="Y72" i="1"/>
  <c r="BP71" i="1"/>
  <c r="BO71" i="1"/>
  <c r="BN71" i="1"/>
  <c r="BM71" i="1"/>
  <c r="Z71" i="1"/>
  <c r="Y71" i="1"/>
  <c r="BP70" i="1"/>
  <c r="BO70" i="1"/>
  <c r="BN70" i="1"/>
  <c r="BM70" i="1"/>
  <c r="Z70" i="1"/>
  <c r="Z73" i="1" s="1"/>
  <c r="Y70" i="1"/>
  <c r="Y74" i="1" s="1"/>
  <c r="X68" i="1"/>
  <c r="Z67" i="1"/>
  <c r="X67" i="1"/>
  <c r="BO66" i="1"/>
  <c r="BM66" i="1"/>
  <c r="Z66" i="1"/>
  <c r="Y66" i="1"/>
  <c r="P66" i="1"/>
  <c r="Y64" i="1"/>
  <c r="X64" i="1"/>
  <c r="Z63" i="1"/>
  <c r="X63" i="1"/>
  <c r="BO62" i="1"/>
  <c r="BM62" i="1"/>
  <c r="Z62" i="1"/>
  <c r="Y62" i="1"/>
  <c r="X60" i="1"/>
  <c r="Y59" i="1"/>
  <c r="X59" i="1"/>
  <c r="BP58" i="1"/>
  <c r="BO58" i="1"/>
  <c r="BN58" i="1"/>
  <c r="BM58" i="1"/>
  <c r="Z58" i="1"/>
  <c r="Z59" i="1" s="1"/>
  <c r="Y58" i="1"/>
  <c r="Y60" i="1" s="1"/>
  <c r="X56" i="1"/>
  <c r="Z55" i="1"/>
  <c r="X55" i="1"/>
  <c r="BO54" i="1"/>
  <c r="BM54" i="1"/>
  <c r="Z54" i="1"/>
  <c r="Y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Y43" i="1"/>
  <c r="P43" i="1"/>
  <c r="BO42" i="1"/>
  <c r="BM42" i="1"/>
  <c r="Z42" i="1"/>
  <c r="Y42" i="1"/>
  <c r="P42" i="1"/>
  <c r="Y39" i="1"/>
  <c r="X39" i="1"/>
  <c r="Z38" i="1"/>
  <c r="X38" i="1"/>
  <c r="BO37" i="1"/>
  <c r="BM37" i="1"/>
  <c r="Z37" i="1"/>
  <c r="Y37" i="1"/>
  <c r="BO36" i="1"/>
  <c r="BM36" i="1"/>
  <c r="Z36" i="1"/>
  <c r="Y36" i="1"/>
  <c r="BO35" i="1"/>
  <c r="BM35" i="1"/>
  <c r="Z35" i="1"/>
  <c r="Y35" i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Z23" i="1"/>
  <c r="X23" i="1"/>
  <c r="X328" i="1" s="1"/>
  <c r="BO22" i="1"/>
  <c r="BM22" i="1"/>
  <c r="X325" i="1" s="1"/>
  <c r="Z22" i="1"/>
  <c r="Y22" i="1"/>
  <c r="P22" i="1"/>
  <c r="H10" i="1"/>
  <c r="H9" i="1"/>
  <c r="A9" i="1"/>
  <c r="D7" i="1"/>
  <c r="Q6" i="1"/>
  <c r="P2" i="1"/>
  <c r="Y23" i="1" l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329" i="1" s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B337" i="1" l="1"/>
  <c r="Y326" i="1"/>
  <c r="Y324" i="1"/>
  <c r="Y325" i="1"/>
  <c r="Y327" i="1" s="1"/>
  <c r="Y328" i="1"/>
  <c r="A337" i="1" l="1"/>
  <c r="C337" i="1"/>
</calcChain>
</file>

<file path=xl/sharedStrings.xml><?xml version="1.0" encoding="utf-8"?>
<sst xmlns="http://schemas.openxmlformats.org/spreadsheetml/2006/main" count="1617" uniqueCount="547">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</sst>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4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5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17</v>
      </c>
      <c r="B8" s="345"/>
      <c r="C8" s="346"/>
      <c r="D8" s="383"/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18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52"/>
      <c r="R10" s="453"/>
      <c r="U10" s="24" t="s">
        <v>21</v>
      </c>
      <c r="V10" s="370" t="s">
        <v>22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419"/>
      <c r="U11" s="24" t="s">
        <v>25</v>
      </c>
      <c r="V11" s="510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33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34</v>
      </c>
      <c r="B17" s="367" t="s">
        <v>35</v>
      </c>
      <c r="C17" s="426" t="s">
        <v>36</v>
      </c>
      <c r="D17" s="367" t="s">
        <v>37</v>
      </c>
      <c r="E17" s="405"/>
      <c r="F17" s="367" t="s">
        <v>38</v>
      </c>
      <c r="G17" s="367" t="s">
        <v>39</v>
      </c>
      <c r="H17" s="367" t="s">
        <v>40</v>
      </c>
      <c r="I17" s="367" t="s">
        <v>41</v>
      </c>
      <c r="J17" s="367" t="s">
        <v>42</v>
      </c>
      <c r="K17" s="367" t="s">
        <v>43</v>
      </c>
      <c r="L17" s="367" t="s">
        <v>44</v>
      </c>
      <c r="M17" s="367" t="s">
        <v>45</v>
      </c>
      <c r="N17" s="367" t="s">
        <v>46</v>
      </c>
      <c r="O17" s="367" t="s">
        <v>47</v>
      </c>
      <c r="P17" s="367" t="s">
        <v>48</v>
      </c>
      <c r="Q17" s="404"/>
      <c r="R17" s="404"/>
      <c r="S17" s="404"/>
      <c r="T17" s="405"/>
      <c r="U17" s="544" t="s">
        <v>49</v>
      </c>
      <c r="V17" s="349"/>
      <c r="W17" s="367" t="s">
        <v>50</v>
      </c>
      <c r="X17" s="367" t="s">
        <v>51</v>
      </c>
      <c r="Y17" s="542" t="s">
        <v>52</v>
      </c>
      <c r="Z17" s="493" t="s">
        <v>53</v>
      </c>
      <c r="AA17" s="480" t="s">
        <v>54</v>
      </c>
      <c r="AB17" s="480" t="s">
        <v>55</v>
      </c>
      <c r="AC17" s="480" t="s">
        <v>56</v>
      </c>
      <c r="AD17" s="480" t="s">
        <v>57</v>
      </c>
      <c r="AE17" s="526"/>
      <c r="AF17" s="527"/>
      <c r="AG17" s="69"/>
      <c r="BD17" s="68" t="s">
        <v>58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59</v>
      </c>
      <c r="V18" s="70" t="s">
        <v>60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5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0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14</v>
      </c>
      <c r="Y29" s="331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6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14</v>
      </c>
      <c r="Y31" s="332">
        <f>IFERROR(SUM(Y28:Y30),"0")</f>
        <v>14</v>
      </c>
      <c r="Z31" s="332">
        <f>IFERROR(IF(Z28="",0,Z28),"0")+IFERROR(IF(Z29="",0,Z29),"0")+IFERROR(IF(Z30="",0,Z30),"0")</f>
        <v>0.13174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21</v>
      </c>
      <c r="Y32" s="332">
        <f>IFERROR(SUMPRODUCT(Y28:Y30*H28:H30),"0")</f>
        <v>21</v>
      </c>
      <c r="Z32" s="37"/>
      <c r="AA32" s="333"/>
      <c r="AB32" s="333"/>
      <c r="AC32" s="333"/>
    </row>
    <row r="33" spans="1:68" ht="16.5" customHeight="1" x14ac:dyDescent="0.25">
      <c r="A33" s="364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2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519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0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0</v>
      </c>
      <c r="Y38" s="332">
        <f>IFERROR(SUM(Y35:Y37),"0")</f>
        <v>0</v>
      </c>
      <c r="Z38" s="332">
        <f>IFERROR(IF(Z35="",0,Z35),"0")+IFERROR(IF(Z36="",0,Z36),"0")+IFERROR(IF(Z37="",0,Z37),"0")</f>
        <v>0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0</v>
      </c>
      <c r="Y39" s="332">
        <f>IFERROR(SUMPRODUCT(Y35:Y37*H35:H37),"0")</f>
        <v>0</v>
      </c>
      <c r="Z39" s="37"/>
      <c r="AA39" s="333"/>
      <c r="AB39" s="333"/>
      <c r="AC39" s="333"/>
    </row>
    <row r="40" spans="1:68" ht="16.5" customHeight="1" x14ac:dyDescent="0.25">
      <c r="A40" s="364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12</v>
      </c>
      <c r="Y45" s="331">
        <f t="shared" si="0"/>
        <v>12</v>
      </c>
      <c r="Z45" s="36">
        <f t="shared" si="1"/>
        <v>0.186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80.635199999999998</v>
      </c>
      <c r="BN45" s="67">
        <f t="shared" si="3"/>
        <v>80.635199999999998</v>
      </c>
      <c r="BO45" s="67">
        <f t="shared" si="4"/>
        <v>0.14285714285714285</v>
      </c>
      <c r="BP45" s="67">
        <f t="shared" si="5"/>
        <v>0.14285714285714285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12</v>
      </c>
      <c r="Y49" s="331">
        <f t="shared" si="0"/>
        <v>12</v>
      </c>
      <c r="Z49" s="36">
        <f t="shared" si="1"/>
        <v>0.186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87.6</v>
      </c>
      <c r="BN49" s="67">
        <f t="shared" si="3"/>
        <v>87.6</v>
      </c>
      <c r="BO49" s="67">
        <f t="shared" si="4"/>
        <v>0.14285714285714285</v>
      </c>
      <c r="BP49" s="67">
        <f t="shared" si="5"/>
        <v>0.14285714285714285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24</v>
      </c>
      <c r="Y50" s="332">
        <f>IFERROR(SUM(Y42:Y49),"0")</f>
        <v>24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0.372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160.80000000000001</v>
      </c>
      <c r="Y51" s="332">
        <f>IFERROR(SUMPRODUCT(Y42:Y49*H42:H49),"0")</f>
        <v>160.80000000000001</v>
      </c>
      <c r="Z51" s="37"/>
      <c r="AA51" s="333"/>
      <c r="AB51" s="333"/>
      <c r="AC51" s="333"/>
    </row>
    <row r="52" spans="1:68" ht="16.5" customHeight="1" x14ac:dyDescent="0.25">
      <c r="A52" s="364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5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50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21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8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7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33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customHeight="1" x14ac:dyDescent="0.25">
      <c r="A81" s="364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41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customHeight="1" x14ac:dyDescent="0.25">
      <c r="A86" s="364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61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28</v>
      </c>
      <c r="Y88" s="331">
        <f>IFERROR(IF(X88="","",X88),"")</f>
        <v>28</v>
      </c>
      <c r="Z88" s="36">
        <f>IFERROR(IF(X88="","",X88*0.01788),"")</f>
        <v>0.50063999999999997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58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28</v>
      </c>
      <c r="Y89" s="331">
        <f>IFERROR(IF(X89="","",X89),"")</f>
        <v>28</v>
      </c>
      <c r="Z89" s="36">
        <f>IFERROR(IF(X89="","",X89*0.01788),"")</f>
        <v>0.50063999999999997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56</v>
      </c>
      <c r="Y90" s="332">
        <f>IFERROR(SUM(Y88:Y89),"0")</f>
        <v>56</v>
      </c>
      <c r="Z90" s="332">
        <f>IFERROR(IF(Z88="",0,Z88),"0")+IFERROR(IF(Z89="",0,Z89),"0")</f>
        <v>1.0012799999999999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201.6</v>
      </c>
      <c r="Y91" s="332">
        <f>IFERROR(SUMPRODUCT(Y88:Y89*H88:H89),"0")</f>
        <v>201.6</v>
      </c>
      <c r="Z91" s="37"/>
      <c r="AA91" s="333"/>
      <c r="AB91" s="333"/>
      <c r="AC91" s="333"/>
    </row>
    <row r="92" spans="1:68" ht="16.5" customHeight="1" x14ac:dyDescent="0.25">
      <c r="A92" s="364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2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14</v>
      </c>
      <c r="Y95" s="331">
        <f t="shared" si="6"/>
        <v>14</v>
      </c>
      <c r="Z95" s="36">
        <f t="shared" si="7"/>
        <v>0.25031999999999999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60.250400000000006</v>
      </c>
      <c r="BN95" s="67">
        <f t="shared" si="9"/>
        <v>60.250400000000006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77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28</v>
      </c>
      <c r="Y96" s="331">
        <f t="shared" si="6"/>
        <v>28</v>
      </c>
      <c r="Z96" s="36">
        <f t="shared" si="7"/>
        <v>0.50063999999999997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120.50080000000001</v>
      </c>
      <c r="BN96" s="67">
        <f t="shared" si="9"/>
        <v>120.50080000000001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28</v>
      </c>
      <c r="Y97" s="331">
        <f t="shared" si="6"/>
        <v>28</v>
      </c>
      <c r="Z97" s="36">
        <f t="shared" si="7"/>
        <v>0.50063999999999997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120.50080000000001</v>
      </c>
      <c r="BN97" s="67">
        <f t="shared" si="9"/>
        <v>120.50080000000001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496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14</v>
      </c>
      <c r="Y98" s="331">
        <f t="shared" si="6"/>
        <v>14</v>
      </c>
      <c r="Z98" s="36">
        <f t="shared" si="7"/>
        <v>0.25031999999999999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98</v>
      </c>
      <c r="Y100" s="332">
        <f>IFERROR(SUM(Y94:Y99),"0")</f>
        <v>98</v>
      </c>
      <c r="Z100" s="332">
        <f>IFERROR(IF(Z94="",0,Z94),"0")+IFERROR(IF(Z95="",0,Z95),"0")+IFERROR(IF(Z96="",0,Z96),"0")+IFERROR(IF(Z97="",0,Z97),"0")+IFERROR(IF(Z98="",0,Z98),"0")+IFERROR(IF(Z99="",0,Z99),"0")</f>
        <v>1.75224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356.15999999999997</v>
      </c>
      <c r="Y101" s="332">
        <f>IFERROR(SUMPRODUCT(Y94:Y99*H94:H99),"0")</f>
        <v>356.15999999999997</v>
      </c>
      <c r="Z101" s="37"/>
      <c r="AA101" s="333"/>
      <c r="AB101" s="333"/>
      <c r="AC101" s="333"/>
    </row>
    <row r="102" spans="1:68" ht="16.5" customHeight="1" x14ac:dyDescent="0.25">
      <c r="A102" s="364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516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28</v>
      </c>
      <c r="Y105" s="331">
        <f>IFERROR(IF(X105="","",X105),"")</f>
        <v>28</v>
      </c>
      <c r="Z105" s="36">
        <f>IFERROR(IF(X105="","",X105*0.01788),"")</f>
        <v>0.50063999999999997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118.83199999999999</v>
      </c>
      <c r="BN105" s="67">
        <f>IFERROR(Y105*I105,"0")</f>
        <v>118.83199999999999</v>
      </c>
      <c r="BO105" s="67">
        <f>IFERROR(X105/J105,"0")</f>
        <v>0.4</v>
      </c>
      <c r="BP105" s="67">
        <f>IFERROR(Y105/J105,"0")</f>
        <v>0.4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12</v>
      </c>
      <c r="Y106" s="331">
        <f>IFERROR(IF(X106="","",X106),"")</f>
        <v>12</v>
      </c>
      <c r="Z106" s="36">
        <f>IFERROR(IF(X106="","",X106*0.0155),"")</f>
        <v>0.186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41.567999999999998</v>
      </c>
      <c r="BN106" s="67">
        <f>IFERROR(Y106*I106,"0")</f>
        <v>41.567999999999998</v>
      </c>
      <c r="BO106" s="67">
        <f>IFERROR(X106/J106,"0")</f>
        <v>0.14285714285714285</v>
      </c>
      <c r="BP106" s="67">
        <f>IFERROR(Y106/J106,"0")</f>
        <v>0.14285714285714285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40</v>
      </c>
      <c r="Y107" s="332">
        <f>IFERROR(SUM(Y104:Y106),"0")</f>
        <v>40</v>
      </c>
      <c r="Z107" s="332">
        <f>IFERROR(IF(Z104="",0,Z104),"0")+IFERROR(IF(Z105="",0,Z105),"0")+IFERROR(IF(Z106="",0,Z106),"0")</f>
        <v>0.68663999999999992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137.76</v>
      </c>
      <c r="Y108" s="332">
        <f>IFERROR(SUMPRODUCT(Y104:Y106*H104:H106),"0")</f>
        <v>137.76</v>
      </c>
      <c r="Z108" s="37"/>
      <c r="AA108" s="333"/>
      <c r="AB108" s="333"/>
      <c r="AC108" s="333"/>
    </row>
    <row r="109" spans="1:68" ht="16.5" customHeight="1" x14ac:dyDescent="0.25">
      <c r="A109" s="364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05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0</v>
      </c>
      <c r="Y116" s="331">
        <f t="shared" si="12"/>
        <v>0</v>
      </c>
      <c r="Z116" s="36">
        <f t="shared" si="13"/>
        <v>0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0</v>
      </c>
      <c r="Y117" s="332">
        <f>IFERROR(SUM(Y111:Y116),"0")</f>
        <v>0</v>
      </c>
      <c r="Z117" s="332">
        <f>IFERROR(IF(Z111="",0,Z111),"0")+IFERROR(IF(Z112="",0,Z112),"0")+IFERROR(IF(Z113="",0,Z113),"0")+IFERROR(IF(Z114="",0,Z114),"0")+IFERROR(IF(Z115="",0,Z115),"0")+IFERROR(IF(Z116="",0,Z116),"0")</f>
        <v>0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0</v>
      </c>
      <c r="Y118" s="332">
        <f>IFERROR(SUMPRODUCT(Y111:Y116*H111:H116),"0")</f>
        <v>0</v>
      </c>
      <c r="Z118" s="37"/>
      <c r="AA118" s="333"/>
      <c r="AB118" s="333"/>
      <c r="AC118" s="333"/>
    </row>
    <row r="119" spans="1:68" ht="14.25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89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42</v>
      </c>
      <c r="Y125" s="331">
        <f>IFERROR(IF(X125="","",X125),"")</f>
        <v>42</v>
      </c>
      <c r="Z125" s="36">
        <f>IFERROR(IF(X125="","",X125*0.01788),"")</f>
        <v>0.75095999999999996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155.55119999999999</v>
      </c>
      <c r="BN125" s="67">
        <f>IFERROR(Y125*I125,"0")</f>
        <v>155.55119999999999</v>
      </c>
      <c r="BO125" s="67">
        <f>IFERROR(X125/J125,"0")</f>
        <v>0.6</v>
      </c>
      <c r="BP125" s="67">
        <f>IFERROR(Y125/J125,"0")</f>
        <v>0.6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42</v>
      </c>
      <c r="Y126" s="331">
        <f>IFERROR(IF(X126="","",X126),"")</f>
        <v>42</v>
      </c>
      <c r="Z126" s="36">
        <f>IFERROR(IF(X126="","",X126*0.01788),"")</f>
        <v>0.75095999999999996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155.55119999999999</v>
      </c>
      <c r="BN126" s="67">
        <f>IFERROR(Y126*I126,"0")</f>
        <v>155.55119999999999</v>
      </c>
      <c r="BO126" s="67">
        <f>IFERROR(X126/J126,"0")</f>
        <v>0.6</v>
      </c>
      <c r="BP126" s="67">
        <f>IFERROR(Y126/J126,"0")</f>
        <v>0.6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84</v>
      </c>
      <c r="Y127" s="332">
        <f>IFERROR(SUM(Y125:Y126),"0")</f>
        <v>84</v>
      </c>
      <c r="Z127" s="332">
        <f>IFERROR(IF(Z125="",0,Z125),"0")+IFERROR(IF(Z126="",0,Z126),"0")</f>
        <v>1.5019199999999999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252</v>
      </c>
      <c r="Y128" s="332">
        <f>IFERROR(SUMPRODUCT(Y125:Y126*H125:H126),"0")</f>
        <v>252</v>
      </c>
      <c r="Z128" s="37"/>
      <c r="AA128" s="333"/>
      <c r="AB128" s="333"/>
      <c r="AC128" s="333"/>
    </row>
    <row r="129" spans="1:68" ht="16.5" customHeight="1" x14ac:dyDescent="0.25">
      <c r="A129" s="364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28</v>
      </c>
      <c r="Y131" s="331">
        <f>IFERROR(IF(X131="","",X131),"")</f>
        <v>28</v>
      </c>
      <c r="Z131" s="36">
        <f>IFERROR(IF(X131="","",X131*0.01788),"")</f>
        <v>0.50063999999999997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104.944</v>
      </c>
      <c r="BN131" s="67">
        <f>IFERROR(Y131*I131,"0")</f>
        <v>104.944</v>
      </c>
      <c r="BO131" s="67">
        <f>IFERROR(X131/J131,"0")</f>
        <v>0.4</v>
      </c>
      <c r="BP131" s="67">
        <f>IFERROR(Y131/J131,"0")</f>
        <v>0.4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14</v>
      </c>
      <c r="Y132" s="331">
        <f>IFERROR(IF(X132="","",X132),"")</f>
        <v>14</v>
      </c>
      <c r="Z132" s="36">
        <f>IFERROR(IF(X132="","",X132*0.01788),"")</f>
        <v>0.25031999999999999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51.850399999999993</v>
      </c>
      <c r="BN132" s="67">
        <f>IFERROR(Y132*I132,"0")</f>
        <v>51.850399999999993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42</v>
      </c>
      <c r="Y133" s="332">
        <f>IFERROR(SUM(Y131:Y132),"0")</f>
        <v>42</v>
      </c>
      <c r="Z133" s="332">
        <f>IFERROR(IF(Z131="",0,Z131),"0")+IFERROR(IF(Z132="",0,Z132),"0")</f>
        <v>0.75095999999999996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126</v>
      </c>
      <c r="Y134" s="332">
        <f>IFERROR(SUMPRODUCT(Y131:Y132*H131:H132),"0")</f>
        <v>126</v>
      </c>
      <c r="Z134" s="37"/>
      <c r="AA134" s="333"/>
      <c r="AB134" s="333"/>
      <c r="AC134" s="333"/>
    </row>
    <row r="135" spans="1:68" ht="16.5" customHeight="1" x14ac:dyDescent="0.25">
      <c r="A135" s="364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14</v>
      </c>
      <c r="Y138" s="331">
        <f>IFERROR(IF(X138="","",X138),"")</f>
        <v>14</v>
      </c>
      <c r="Z138" s="36">
        <f>IFERROR(IF(X138="","",X138*0.01788),"")</f>
        <v>0.25031999999999999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45.919999999999995</v>
      </c>
      <c r="BN138" s="67">
        <f>IFERROR(Y138*I138,"0")</f>
        <v>45.919999999999995</v>
      </c>
      <c r="BO138" s="67">
        <f>IFERROR(X138/J138,"0")</f>
        <v>0.2</v>
      </c>
      <c r="BP138" s="67">
        <f>IFERROR(Y138/J138,"0")</f>
        <v>0.2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14</v>
      </c>
      <c r="Y139" s="332">
        <f>IFERROR(SUM(Y137:Y138),"0")</f>
        <v>14</v>
      </c>
      <c r="Z139" s="332">
        <f>IFERROR(IF(Z137="",0,Z137),"0")+IFERROR(IF(Z138="",0,Z138),"0")</f>
        <v>0.25031999999999999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42</v>
      </c>
      <c r="Y140" s="332">
        <f>IFERROR(SUMPRODUCT(Y137:Y138*H137:H138),"0")</f>
        <v>42</v>
      </c>
      <c r="Z140" s="37"/>
      <c r="AA140" s="333"/>
      <c r="AB140" s="333"/>
      <c r="AC140" s="333"/>
    </row>
    <row r="141" spans="1:68" ht="16.5" customHeight="1" x14ac:dyDescent="0.25">
      <c r="A141" s="364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2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customHeight="1" x14ac:dyDescent="0.25">
      <c r="A146" s="364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14</v>
      </c>
      <c r="Y159" s="331">
        <f>IFERROR(IF(X159="","",X159),"")</f>
        <v>14</v>
      </c>
      <c r="Z159" s="36">
        <f>IFERROR(IF(X159="","",X159*0.00941),"")</f>
        <v>0.13174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29.425199999999997</v>
      </c>
      <c r="BN159" s="67">
        <f>IFERROR(Y159*I159,"0")</f>
        <v>29.425199999999997</v>
      </c>
      <c r="BO159" s="67">
        <f>IFERROR(X159/J159,"0")</f>
        <v>0.1</v>
      </c>
      <c r="BP159" s="67">
        <f>IFERROR(Y159/J159,"0")</f>
        <v>0.1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14</v>
      </c>
      <c r="Y160" s="332">
        <f>IFERROR(SUM(Y159:Y159),"0")</f>
        <v>14</v>
      </c>
      <c r="Z160" s="332">
        <f>IFERROR(IF(Z159="",0,Z159),"0")</f>
        <v>0.13174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23.52</v>
      </c>
      <c r="Y161" s="332">
        <f>IFERROR(SUMPRODUCT(Y159:Y159*H159:H159),"0")</f>
        <v>23.52</v>
      </c>
      <c r="Z161" s="37"/>
      <c r="AA161" s="333"/>
      <c r="AB161" s="333"/>
      <c r="AC161" s="333"/>
    </row>
    <row r="162" spans="1:68" ht="27.75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6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3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1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14</v>
      </c>
      <c r="Y184" s="331">
        <f>IFERROR(IF(X184="","",X184),"")</f>
        <v>14</v>
      </c>
      <c r="Z184" s="36">
        <f>IFERROR(IF(X184="","",X184*0.01788),"")</f>
        <v>0.25031999999999999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47.432000000000002</v>
      </c>
      <c r="BN184" s="67">
        <f>IFERROR(Y184*I184,"0")</f>
        <v>47.432000000000002</v>
      </c>
      <c r="BO184" s="67">
        <f>IFERROR(X184/J184,"0")</f>
        <v>0.2</v>
      </c>
      <c r="BP184" s="67">
        <f>IFERROR(Y184/J184,"0")</f>
        <v>0.2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42</v>
      </c>
      <c r="Y185" s="331">
        <f>IFERROR(IF(X185="","",X185),"")</f>
        <v>42</v>
      </c>
      <c r="Z185" s="36">
        <f>IFERROR(IF(X185="","",X185*0.01788),"")</f>
        <v>0.75095999999999996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142.29599999999999</v>
      </c>
      <c r="BN185" s="67">
        <f>IFERROR(Y185*I185,"0")</f>
        <v>142.29599999999999</v>
      </c>
      <c r="BO185" s="67">
        <f>IFERROR(X185/J185,"0")</f>
        <v>0.6</v>
      </c>
      <c r="BP185" s="67">
        <f>IFERROR(Y185/J185,"0")</f>
        <v>0.6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14</v>
      </c>
      <c r="Y186" s="331">
        <f>IFERROR(IF(X186="","",X186),"")</f>
        <v>14</v>
      </c>
      <c r="Z186" s="36">
        <f>IFERROR(IF(X186="","",X186*0.01788),"")</f>
        <v>0.25031999999999999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52.304000000000002</v>
      </c>
      <c r="BN186" s="67">
        <f>IFERROR(Y186*I186,"0")</f>
        <v>52.304000000000002</v>
      </c>
      <c r="BO186" s="67">
        <f>IFERROR(X186/J186,"0")</f>
        <v>0.2</v>
      </c>
      <c r="BP186" s="67">
        <f>IFERROR(Y186/J186,"0")</f>
        <v>0.2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70</v>
      </c>
      <c r="Y187" s="332">
        <f>IFERROR(SUM(Y184:Y186),"0")</f>
        <v>70</v>
      </c>
      <c r="Z187" s="332">
        <f>IFERROR(IF(Z184="",0,Z184),"0")+IFERROR(IF(Z185="",0,Z185),"0")+IFERROR(IF(Z186="",0,Z186),"0")</f>
        <v>1.2515999999999998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210</v>
      </c>
      <c r="Y188" s="332">
        <f>IFERROR(SUMPRODUCT(Y184:Y186*H184:H186),"0")</f>
        <v>210</v>
      </c>
      <c r="Z188" s="37"/>
      <c r="AA188" s="333"/>
      <c r="AB188" s="333"/>
      <c r="AC188" s="333"/>
    </row>
    <row r="189" spans="1:68" ht="14.25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03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customHeight="1" x14ac:dyDescent="0.25">
      <c r="A209" s="364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customHeight="1" x14ac:dyDescent="0.25">
      <c r="A227" s="364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5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69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75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3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1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65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15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1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09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6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12</v>
      </c>
      <c r="Y291" s="331">
        <f>IFERROR(IF(X291="","",X291),"")</f>
        <v>12</v>
      </c>
      <c r="Z291" s="36">
        <f>IFERROR(IF(X291="","",X291*0.0155),"")</f>
        <v>0.186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62.820000000000007</v>
      </c>
      <c r="BN291" s="67">
        <f>IFERROR(Y291*I291,"0")</f>
        <v>62.820000000000007</v>
      </c>
      <c r="BO291" s="67">
        <f>IFERROR(X291/J291,"0")</f>
        <v>0.14285714285714285</v>
      </c>
      <c r="BP291" s="67">
        <f>IFERROR(Y291/J291,"0")</f>
        <v>0.14285714285714285</v>
      </c>
    </row>
    <row r="292" spans="1:68" ht="27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12</v>
      </c>
      <c r="Y293" s="332">
        <f>IFERROR(SUM(Y290:Y292),"0")</f>
        <v>12</v>
      </c>
      <c r="Z293" s="332">
        <f>IFERROR(IF(Z290="",0,Z290),"0")+IFERROR(IF(Z291="",0,Z291),"0")+IFERROR(IF(Z292="",0,Z292),"0")</f>
        <v>0.186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60</v>
      </c>
      <c r="Y294" s="332">
        <f>IFERROR(SUMPRODUCT(Y290:Y292*H290:H292),"0")</f>
        <v>60</v>
      </c>
      <c r="Z294" s="37"/>
      <c r="AA294" s="333"/>
      <c r="AB294" s="333"/>
      <c r="AC294" s="333"/>
    </row>
    <row r="295" spans="1:68" ht="14.25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54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6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5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1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4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9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39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60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45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0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16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8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491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4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customHeight="1" x14ac:dyDescent="0.25">
      <c r="A319" s="364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07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498</v>
      </c>
      <c r="Q324" s="348"/>
      <c r="R324" s="348"/>
      <c r="S324" s="348"/>
      <c r="T324" s="348"/>
      <c r="U324" s="348"/>
      <c r="V324" s="349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1590.84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1590.84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499</v>
      </c>
      <c r="Q325" s="348"/>
      <c r="R325" s="348"/>
      <c r="S325" s="348"/>
      <c r="T325" s="348"/>
      <c r="U325" s="348"/>
      <c r="V325" s="349"/>
      <c r="W325" s="37" t="s">
        <v>72</v>
      </c>
      <c r="X325" s="332">
        <f>IFERROR(SUM(BM22:BM321),"0")</f>
        <v>1868.4215999999999</v>
      </c>
      <c r="Y325" s="332">
        <f>IFERROR(SUM(BN22:BN321),"0")</f>
        <v>1868.4215999999999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500</v>
      </c>
      <c r="Q326" s="348"/>
      <c r="R326" s="348"/>
      <c r="S326" s="348"/>
      <c r="T326" s="348"/>
      <c r="U326" s="348"/>
      <c r="V326" s="349"/>
      <c r="W326" s="37" t="s">
        <v>501</v>
      </c>
      <c r="X326" s="38">
        <f>ROUNDUP(SUM(BO22:BO321),0)</f>
        <v>7</v>
      </c>
      <c r="Y326" s="38">
        <f>ROUNDUP(SUM(BP22:BP321),0)</f>
        <v>7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502</v>
      </c>
      <c r="Q327" s="348"/>
      <c r="R327" s="348"/>
      <c r="S327" s="348"/>
      <c r="T327" s="348"/>
      <c r="U327" s="348"/>
      <c r="V327" s="349"/>
      <c r="W327" s="37" t="s">
        <v>72</v>
      </c>
      <c r="X327" s="332">
        <f>GrossWeightTotal+PalletQtyTotal*25</f>
        <v>2043.4215999999999</v>
      </c>
      <c r="Y327" s="332">
        <f>GrossWeightTotalR+PalletQtyTotalR*25</f>
        <v>2043.4215999999999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503</v>
      </c>
      <c r="Q328" s="348"/>
      <c r="R328" s="348"/>
      <c r="S328" s="348"/>
      <c r="T328" s="348"/>
      <c r="U328" s="348"/>
      <c r="V328" s="349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468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468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504</v>
      </c>
      <c r="Q329" s="348"/>
      <c r="R329" s="348"/>
      <c r="S329" s="348"/>
      <c r="T329" s="348"/>
      <c r="U329" s="348"/>
      <c r="V329" s="349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8.0164400000000011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58" t="s">
        <v>73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257</v>
      </c>
      <c r="V331" s="424"/>
      <c r="W331" s="327" t="s">
        <v>283</v>
      </c>
      <c r="X331" s="358" t="s">
        <v>302</v>
      </c>
      <c r="Y331" s="492"/>
      <c r="Z331" s="492"/>
      <c r="AA331" s="492"/>
      <c r="AB331" s="492"/>
      <c r="AC331" s="492"/>
      <c r="AD331" s="424"/>
      <c r="AE331" s="327" t="s">
        <v>376</v>
      </c>
      <c r="AF331" s="327" t="s">
        <v>381</v>
      </c>
      <c r="AG331" s="327" t="s">
        <v>388</v>
      </c>
      <c r="AH331" s="358" t="s">
        <v>258</v>
      </c>
      <c r="AI331" s="424"/>
    </row>
    <row r="332" spans="1:68" ht="14.25" customHeight="1" thickTop="1" x14ac:dyDescent="0.2">
      <c r="A332" s="400" t="s">
        <v>507</v>
      </c>
      <c r="B332" s="358" t="s">
        <v>61</v>
      </c>
      <c r="C332" s="358" t="s">
        <v>74</v>
      </c>
      <c r="D332" s="358" t="s">
        <v>88</v>
      </c>
      <c r="E332" s="358" t="s">
        <v>101</v>
      </c>
      <c r="F332" s="358" t="s">
        <v>120</v>
      </c>
      <c r="G332" s="358" t="s">
        <v>149</v>
      </c>
      <c r="H332" s="358" t="s">
        <v>156</v>
      </c>
      <c r="I332" s="358" t="s">
        <v>161</v>
      </c>
      <c r="J332" s="358" t="s">
        <v>171</v>
      </c>
      <c r="K332" s="358" t="s">
        <v>189</v>
      </c>
      <c r="L332" s="358" t="s">
        <v>199</v>
      </c>
      <c r="M332" s="358" t="s">
        <v>218</v>
      </c>
      <c r="N332" s="328"/>
      <c r="O332" s="358" t="s">
        <v>224</v>
      </c>
      <c r="P332" s="358" t="s">
        <v>231</v>
      </c>
      <c r="Q332" s="358" t="s">
        <v>237</v>
      </c>
      <c r="R332" s="358" t="s">
        <v>242</v>
      </c>
      <c r="S332" s="358" t="s">
        <v>245</v>
      </c>
      <c r="T332" s="358" t="s">
        <v>253</v>
      </c>
      <c r="U332" s="358" t="s">
        <v>258</v>
      </c>
      <c r="V332" s="358" t="s">
        <v>262</v>
      </c>
      <c r="W332" s="358" t="s">
        <v>284</v>
      </c>
      <c r="X332" s="358" t="s">
        <v>303</v>
      </c>
      <c r="Y332" s="358" t="s">
        <v>315</v>
      </c>
      <c r="Z332" s="358" t="s">
        <v>325</v>
      </c>
      <c r="AA332" s="358" t="s">
        <v>340</v>
      </c>
      <c r="AB332" s="358" t="s">
        <v>351</v>
      </c>
      <c r="AC332" s="358" t="s">
        <v>366</v>
      </c>
      <c r="AD332" s="358" t="s">
        <v>370</v>
      </c>
      <c r="AE332" s="358" t="s">
        <v>377</v>
      </c>
      <c r="AF332" s="358" t="s">
        <v>382</v>
      </c>
      <c r="AG332" s="358" t="s">
        <v>389</v>
      </c>
      <c r="AH332" s="358" t="s">
        <v>258</v>
      </c>
      <c r="AI332" s="358" t="s">
        <v>493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21</v>
      </c>
      <c r="D334" s="46">
        <f>IFERROR(X35*H35,"0")+IFERROR(X36*H36,"0")+IFERROR(X37*H37,"0")</f>
        <v>0</v>
      </c>
      <c r="E334" s="46">
        <f>IFERROR(X42*H42,"0")+IFERROR(X43*H43,"0")+IFERROR(X44*H44,"0")+IFERROR(X45*H45,"0")+IFERROR(X46*H46,"0")+IFERROR(X47*H47,"0")+IFERROR(X48*H48,"0")+IFERROR(X49*H49,"0")</f>
        <v>160.80000000000001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201.6</v>
      </c>
      <c r="J334" s="46">
        <f>IFERROR(X94*H94,"0")+IFERROR(X95*H95,"0")+IFERROR(X96*H96,"0")+IFERROR(X97*H97,"0")+IFERROR(X98*H98,"0")+IFERROR(X99*H99,"0")</f>
        <v>356.15999999999997</v>
      </c>
      <c r="K334" s="46">
        <f>IFERROR(X104*H104,"0")+IFERROR(X105*H105,"0")+IFERROR(X106*H106,"0")</f>
        <v>137.76</v>
      </c>
      <c r="L334" s="46">
        <f>IFERROR(X111*H111,"0")+IFERROR(X112*H112,"0")+IFERROR(X113*H113,"0")+IFERROR(X114*H114,"0")+IFERROR(X115*H115,"0")+IFERROR(X116*H116,"0")+IFERROR(X120*H120,"0")</f>
        <v>0</v>
      </c>
      <c r="M334" s="46">
        <f>IFERROR(X125*H125,"0")+IFERROR(X126*H126,"0")</f>
        <v>252</v>
      </c>
      <c r="N334" s="328"/>
      <c r="O334" s="46">
        <f>IFERROR(X131*H131,"0")+IFERROR(X132*H132,"0")</f>
        <v>126</v>
      </c>
      <c r="P334" s="46">
        <f>IFERROR(X137*H137,"0")+IFERROR(X138*H138,"0")</f>
        <v>42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23.52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210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60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160.80000000000001</v>
      </c>
      <c r="B337" s="60">
        <f>SUMPRODUCT(--(BB:BB="ПГП"),--(W:W="кор"),H:H,Y:Y)+SUMPRODUCT(--(BB:BB="ПГП"),--(W:W="кг"),Y:Y)</f>
        <v>1430.04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2025-04-25T08:14:08Z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