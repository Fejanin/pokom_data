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еренос данных\ПОКОМ ЗПФ\pokom_zpf\"/>
    </mc:Choice>
  </mc:AlternateContent>
  <xr:revisionPtr revIDLastSave="0" documentId="13_ncr:1_{4B5D551B-6E28-4AD8-8636-45BB8BE7BD5E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заказа'!$X$325:$X$325</definedName>
    <definedName name="GrossWeightTotalR">'Бланк заказа'!$Y$325:$Y$325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заказа'!$X$326:$X$326</definedName>
    <definedName name="PalletQtyTotalR">'Бланк заказа'!$Y$326:$Y$326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заказа'!$B$44:$B$44</definedName>
    <definedName name="ProductId100">'Бланк заказа'!$B$286:$B$286</definedName>
    <definedName name="ProductId101">'Бланк заказа'!$B$290:$B$290</definedName>
    <definedName name="ProductId102">'Бланк заказа'!$B$291:$B$291</definedName>
    <definedName name="ProductId103">'Бланк заказа'!$B$292:$B$292</definedName>
    <definedName name="ProductId104">'Бланк заказа'!$B$296:$B$296</definedName>
    <definedName name="ProductId105">'Бланк заказа'!$B$297:$B$297</definedName>
    <definedName name="ProductId106">'Бланк заказа'!$B$298:$B$298</definedName>
    <definedName name="ProductId107">'Бланк заказа'!$B$299:$B$299</definedName>
    <definedName name="ProductId108">'Бланк заказа'!$B$300:$B$300</definedName>
    <definedName name="ProductId109">'Бланк заказа'!$B$301:$B$301</definedName>
    <definedName name="ProductId11">'Бланк заказа'!$B$45:$B$45</definedName>
    <definedName name="ProductId110">'Бланк заказа'!$B$302:$B$302</definedName>
    <definedName name="ProductId111">'Бланк заказа'!$B$303:$B$303</definedName>
    <definedName name="ProductId112">'Бланк заказа'!$B$304:$B$304</definedName>
    <definedName name="ProductId113">'Бланк заказа'!$B$305:$B$305</definedName>
    <definedName name="ProductId114">'Бланк заказа'!$B$306:$B$306</definedName>
    <definedName name="ProductId115">'Бланк заказа'!$B$307:$B$307</definedName>
    <definedName name="ProductId116">'Бланк заказа'!$B$308:$B$308</definedName>
    <definedName name="ProductId117">'Бланк заказа'!$B$309:$B$309</definedName>
    <definedName name="ProductId118">'Бланк заказа'!$B$310:$B$310</definedName>
    <definedName name="ProductId119">'Бланк заказа'!$B$311:$B$311</definedName>
    <definedName name="ProductId12">'Бланк заказа'!$B$46:$B$46</definedName>
    <definedName name="ProductId120">'Бланк заказа'!$B$312:$B$312</definedName>
    <definedName name="ProductId121">'Бланк заказа'!$B$313:$B$313</definedName>
    <definedName name="ProductId122">'Бланк заказа'!$B$314:$B$314</definedName>
    <definedName name="ProductId123">'Бланк заказа'!$B$315:$B$315</definedName>
    <definedName name="ProductId124">'Бланк заказа'!$B$316:$B$316</definedName>
    <definedName name="ProductId125">'Бланк заказа'!$B$321:$B$321</definedName>
    <definedName name="ProductId13">'Бланк заказа'!$B$47:$B$47</definedName>
    <definedName name="ProductId14">'Бланк заказа'!$B$48:$B$48</definedName>
    <definedName name="ProductId15">'Бланк заказа'!$B$49:$B$49</definedName>
    <definedName name="ProductId16">'Бланк заказа'!$B$54:$B$54</definedName>
    <definedName name="ProductId17">'Бланк заказа'!$B$58:$B$58</definedName>
    <definedName name="ProductId18">'Бланк заказа'!$B$62:$B$62</definedName>
    <definedName name="ProductId19">'Бланк заказа'!$B$66:$B$66</definedName>
    <definedName name="ProductId2">'Бланк заказа'!$B$28:$B$28</definedName>
    <definedName name="ProductId20">'Бланк заказа'!$B$70:$B$70</definedName>
    <definedName name="ProductId21">'Бланк заказа'!$B$71:$B$71</definedName>
    <definedName name="ProductId22">'Бланк заказа'!$B$72:$B$72</definedName>
    <definedName name="ProductId23">'Бланк заказа'!$B$77:$B$77</definedName>
    <definedName name="ProductId24">'Бланк заказа'!$B$78:$B$78</definedName>
    <definedName name="ProductId25">'Бланк заказа'!$B$83:$B$83</definedName>
    <definedName name="ProductId26">'Бланк заказа'!$B$88:$B$88</definedName>
    <definedName name="ProductId27">'Бланк заказа'!$B$89:$B$89</definedName>
    <definedName name="ProductId28">'Бланк заказа'!$B$94:$B$94</definedName>
    <definedName name="ProductId29">'Бланк заказа'!$B$95:$B$95</definedName>
    <definedName name="ProductId3">'Бланк заказа'!$B$29:$B$29</definedName>
    <definedName name="ProductId30">'Бланк заказа'!$B$96:$B$96</definedName>
    <definedName name="ProductId31">'Бланк заказа'!$B$97:$B$97</definedName>
    <definedName name="ProductId32">'Бланк заказа'!$B$98:$B$98</definedName>
    <definedName name="ProductId33">'Бланк заказа'!$B$99:$B$99</definedName>
    <definedName name="ProductId34">'Бланк заказа'!$B$104:$B$104</definedName>
    <definedName name="ProductId35">'Бланк заказа'!$B$105:$B$105</definedName>
    <definedName name="ProductId36">'Бланк заказа'!$B$106:$B$106</definedName>
    <definedName name="ProductId37">'Бланк заказа'!$B$111:$B$111</definedName>
    <definedName name="ProductId38">'Бланк заказа'!$B$112:$B$112</definedName>
    <definedName name="ProductId39">'Бланк заказа'!$B$113:$B$113</definedName>
    <definedName name="ProductId4">'Бланк заказа'!$B$30:$B$30</definedName>
    <definedName name="ProductId40">'Бланк заказа'!$B$114:$B$114</definedName>
    <definedName name="ProductId41">'Бланк заказа'!$B$115:$B$115</definedName>
    <definedName name="ProductId42">'Бланк заказа'!$B$116:$B$116</definedName>
    <definedName name="ProductId43">'Бланк заказа'!$B$120:$B$120</definedName>
    <definedName name="ProductId44">'Бланк заказа'!$B$125:$B$125</definedName>
    <definedName name="ProductId45">'Бланк заказа'!$B$126:$B$126</definedName>
    <definedName name="ProductId46">'Бланк заказа'!$B$131:$B$131</definedName>
    <definedName name="ProductId47">'Бланк заказа'!$B$132:$B$132</definedName>
    <definedName name="ProductId48">'Бланк заказа'!$B$137:$B$137</definedName>
    <definedName name="ProductId49">'Бланк заказа'!$B$138:$B$138</definedName>
    <definedName name="ProductId5">'Бланк заказа'!$B$35:$B$35</definedName>
    <definedName name="ProductId50">'Бланк заказа'!$B$143:$B$143</definedName>
    <definedName name="ProductId51">'Бланк заказа'!$B$148:$B$148</definedName>
    <definedName name="ProductId52">'Бланк заказа'!$B$153:$B$153</definedName>
    <definedName name="ProductId53">'Бланк заказа'!$B$154:$B$154</definedName>
    <definedName name="ProductId54">'Бланк заказа'!$B$159:$B$159</definedName>
    <definedName name="ProductId55">'Бланк заказа'!$B$165:$B$165</definedName>
    <definedName name="ProductId56">'Бланк заказа'!$B$170:$B$170</definedName>
    <definedName name="ProductId57">'Бланк заказа'!$B$171:$B$171</definedName>
    <definedName name="ProductId58">'Бланк заказа'!$B$172:$B$172</definedName>
    <definedName name="ProductId59">'Бланк заказа'!$B$173:$B$173</definedName>
    <definedName name="ProductId6">'Бланк заказа'!$B$36:$B$36</definedName>
    <definedName name="ProductId60">'Бланк заказа'!$B$177:$B$177</definedName>
    <definedName name="ProductId61">'Бланк заказа'!$B$178:$B$178</definedName>
    <definedName name="ProductId62">'Бланк заказа'!$B$184:$B$184</definedName>
    <definedName name="ProductId63">'Бланк заказа'!$B$185:$B$185</definedName>
    <definedName name="ProductId64">'Бланк заказа'!$B$186:$B$186</definedName>
    <definedName name="ProductId65">'Бланк заказа'!$B$190:$B$190</definedName>
    <definedName name="ProductId66">'Бланк заказа'!$B$196:$B$196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заказа'!$B$37:$B$37</definedName>
    <definedName name="ProductId70">'Бланк заказа'!$B$204:$B$204</definedName>
    <definedName name="ProductId71">'Бланк заказа'!$B$205:$B$205</definedName>
    <definedName name="ProductId72">'Бланк заказа'!$B$206:$B$206</definedName>
    <definedName name="ProductId73">'Бланк заказа'!$B$211:$B$211</definedName>
    <definedName name="ProductId74">'Бланк заказа'!$B$212:$B$212</definedName>
    <definedName name="ProductId75">'Бланк заказа'!$B$213:$B$213</definedName>
    <definedName name="ProductId76">'Бланк заказа'!$B$214:$B$214</definedName>
    <definedName name="ProductId77">'Бланк заказа'!$B$215:$B$215</definedName>
    <definedName name="ProductId78">'Бланк заказа'!$B$216:$B$216</definedName>
    <definedName name="ProductId79">'Бланк заказа'!$B$221:$B$221</definedName>
    <definedName name="ProductId8">'Бланк заказа'!$B$42:$B$42</definedName>
    <definedName name="ProductId80">'Бланк заказа'!$B$222:$B$222</definedName>
    <definedName name="ProductId81">'Бланк заказа'!$B$223:$B$223</definedName>
    <definedName name="ProductId82">'Бланк заказа'!$B$224:$B$224</definedName>
    <definedName name="ProductId83">'Бланк заказа'!$B$229:$B$229</definedName>
    <definedName name="ProductId84">'Бланк заказа'!$B$233:$B$233</definedName>
    <definedName name="ProductId85">'Бланк заказа'!$B$234:$B$234</definedName>
    <definedName name="ProductId86">'Бланк заказа'!$B$235:$B$235</definedName>
    <definedName name="ProductId87">'Бланк заказа'!$B$240:$B$240</definedName>
    <definedName name="ProductId88">'Бланк заказа'!$B$245:$B$245</definedName>
    <definedName name="ProductId89">'Бланк заказа'!$B$246:$B$246</definedName>
    <definedName name="ProductId9">'Бланк заказа'!$B$43:$B$43</definedName>
    <definedName name="ProductId90">'Бланк заказа'!$B$252:$B$252</definedName>
    <definedName name="ProductId91">'Бланк заказа'!$B$258:$B$258</definedName>
    <definedName name="ProductId92">'Бланк заказа'!$B$259:$B$259</definedName>
    <definedName name="ProductId93">'Бланк заказа'!$B$265:$B$265</definedName>
    <definedName name="ProductId94">'Бланк заказа'!$B$269:$B$269</definedName>
    <definedName name="ProductId95">'Бланк заказа'!$B$275:$B$275</definedName>
    <definedName name="ProductId96">'Бланк заказа'!$B$276:$B$276</definedName>
    <definedName name="ProductId97">'Бланк заказа'!$B$277:$B$277</definedName>
    <definedName name="ProductId98">'Бланк заказа'!$B$281:$B$281</definedName>
    <definedName name="ProductId99">'Бланк заказа'!$B$285:$B$285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заказа'!$X$44:$X$44</definedName>
    <definedName name="SalesQty100">'Бланк заказа'!$X$286:$X$286</definedName>
    <definedName name="SalesQty101">'Бланк заказа'!$X$290:$X$290</definedName>
    <definedName name="SalesQty102">'Бланк заказа'!$X$291:$X$291</definedName>
    <definedName name="SalesQty103">'Бланк заказа'!$X$292:$X$292</definedName>
    <definedName name="SalesQty104">'Бланк заказа'!$X$296:$X$296</definedName>
    <definedName name="SalesQty105">'Бланк заказа'!$X$297:$X$297</definedName>
    <definedName name="SalesQty106">'Бланк заказа'!$X$298:$X$298</definedName>
    <definedName name="SalesQty107">'Бланк заказа'!$X$299:$X$299</definedName>
    <definedName name="SalesQty108">'Бланк заказа'!$X$300:$X$300</definedName>
    <definedName name="SalesQty109">'Бланк заказа'!$X$301:$X$301</definedName>
    <definedName name="SalesQty11">'Бланк заказа'!$X$45:$X$45</definedName>
    <definedName name="SalesQty110">'Бланк заказа'!$X$302:$X$302</definedName>
    <definedName name="SalesQty111">'Бланк заказа'!$X$303:$X$303</definedName>
    <definedName name="SalesQty112">'Бланк заказа'!$X$304:$X$304</definedName>
    <definedName name="SalesQty113">'Бланк заказа'!$X$305:$X$305</definedName>
    <definedName name="SalesQty114">'Бланк заказа'!$X$306:$X$306</definedName>
    <definedName name="SalesQty115">'Бланк заказа'!$X$307:$X$307</definedName>
    <definedName name="SalesQty116">'Бланк заказа'!$X$308:$X$308</definedName>
    <definedName name="SalesQty117">'Бланк заказа'!$X$309:$X$309</definedName>
    <definedName name="SalesQty118">'Бланк заказа'!$X$310:$X$310</definedName>
    <definedName name="SalesQty119">'Бланк заказа'!$X$311:$X$311</definedName>
    <definedName name="SalesQty12">'Бланк заказа'!$X$46:$X$46</definedName>
    <definedName name="SalesQty120">'Бланк заказа'!$X$312:$X$312</definedName>
    <definedName name="SalesQty121">'Бланк заказа'!$X$313:$X$313</definedName>
    <definedName name="SalesQty122">'Бланк заказа'!$X$314:$X$314</definedName>
    <definedName name="SalesQty123">'Бланк заказа'!$X$315:$X$315</definedName>
    <definedName name="SalesQty124">'Бланк заказа'!$X$316:$X$316</definedName>
    <definedName name="SalesQty125">'Бланк заказа'!$X$321:$X$321</definedName>
    <definedName name="SalesQty13">'Бланк заказа'!$X$47:$X$47</definedName>
    <definedName name="SalesQty14">'Бланк заказа'!$X$48:$X$48</definedName>
    <definedName name="SalesQty15">'Бланк заказа'!$X$49:$X$49</definedName>
    <definedName name="SalesQty16">'Бланк заказа'!$X$54:$X$54</definedName>
    <definedName name="SalesQty17">'Бланк заказа'!$X$58:$X$58</definedName>
    <definedName name="SalesQty18">'Бланк заказа'!$X$62:$X$62</definedName>
    <definedName name="SalesQty19">'Бланк заказа'!$X$66:$X$66</definedName>
    <definedName name="SalesQty2">'Бланк заказа'!$X$28:$X$28</definedName>
    <definedName name="SalesQty20">'Бланк заказа'!$X$70:$X$70</definedName>
    <definedName name="SalesQty21">'Бланк заказа'!$X$71:$X$71</definedName>
    <definedName name="SalesQty22">'Бланк заказа'!$X$72:$X$72</definedName>
    <definedName name="SalesQty23">'Бланк заказа'!$X$77:$X$77</definedName>
    <definedName name="SalesQty24">'Бланк заказа'!$X$78:$X$78</definedName>
    <definedName name="SalesQty25">'Бланк заказа'!$X$83:$X$83</definedName>
    <definedName name="SalesQty26">'Бланк заказа'!$X$88:$X$88</definedName>
    <definedName name="SalesQty27">'Бланк заказа'!$X$89:$X$89</definedName>
    <definedName name="SalesQty28">'Бланк заказа'!$X$94:$X$94</definedName>
    <definedName name="SalesQty29">'Бланк заказа'!$X$95:$X$95</definedName>
    <definedName name="SalesQty3">'Бланк заказа'!$X$29:$X$29</definedName>
    <definedName name="SalesQty30">'Бланк заказа'!$X$96:$X$96</definedName>
    <definedName name="SalesQty31">'Бланк заказа'!$X$97:$X$97</definedName>
    <definedName name="SalesQty32">'Бланк заказа'!$X$98:$X$98</definedName>
    <definedName name="SalesQty33">'Бланк заказа'!$X$99:$X$99</definedName>
    <definedName name="SalesQty34">'Бланк заказа'!$X$104:$X$104</definedName>
    <definedName name="SalesQty35">'Бланк заказа'!$X$105:$X$105</definedName>
    <definedName name="SalesQty36">'Бланк заказа'!$X$106:$X$106</definedName>
    <definedName name="SalesQty37">'Бланк заказа'!$X$111:$X$111</definedName>
    <definedName name="SalesQty38">'Бланк заказа'!$X$112:$X$112</definedName>
    <definedName name="SalesQty39">'Бланк заказа'!$X$113:$X$113</definedName>
    <definedName name="SalesQty4">'Бланк заказа'!$X$30:$X$30</definedName>
    <definedName name="SalesQty40">'Бланк заказа'!$X$114:$X$114</definedName>
    <definedName name="SalesQty41">'Бланк заказа'!$X$115:$X$115</definedName>
    <definedName name="SalesQty42">'Бланк заказа'!$X$116:$X$116</definedName>
    <definedName name="SalesQty43">'Бланк заказа'!$X$120:$X$120</definedName>
    <definedName name="SalesQty44">'Бланк заказа'!$X$125:$X$125</definedName>
    <definedName name="SalesQty45">'Бланк заказа'!$X$126:$X$126</definedName>
    <definedName name="SalesQty46">'Бланк заказа'!$X$131:$X$131</definedName>
    <definedName name="SalesQty47">'Бланк заказа'!$X$132:$X$132</definedName>
    <definedName name="SalesQty48">'Бланк заказа'!$X$137:$X$137</definedName>
    <definedName name="SalesQty49">'Бланк заказа'!$X$138:$X$138</definedName>
    <definedName name="SalesQty5">'Бланк заказа'!$X$35:$X$35</definedName>
    <definedName name="SalesQty50">'Бланк заказа'!$X$143:$X$143</definedName>
    <definedName name="SalesQty51">'Бланк заказа'!$X$148:$X$148</definedName>
    <definedName name="SalesQty52">'Бланк заказа'!$X$153:$X$153</definedName>
    <definedName name="SalesQty53">'Бланк заказа'!$X$154:$X$154</definedName>
    <definedName name="SalesQty54">'Бланк заказа'!$X$159:$X$159</definedName>
    <definedName name="SalesQty55">'Бланк заказа'!$X$165:$X$165</definedName>
    <definedName name="SalesQty56">'Бланк заказа'!$X$170:$X$170</definedName>
    <definedName name="SalesQty57">'Бланк заказа'!$X$171:$X$171</definedName>
    <definedName name="SalesQty58">'Бланк заказа'!$X$172:$X$172</definedName>
    <definedName name="SalesQty59">'Бланк заказа'!$X$173:$X$173</definedName>
    <definedName name="SalesQty6">'Бланк заказа'!$X$36:$X$36</definedName>
    <definedName name="SalesQty60">'Бланк заказа'!$X$177:$X$177</definedName>
    <definedName name="SalesQty61">'Бланк заказа'!$X$178:$X$178</definedName>
    <definedName name="SalesQty62">'Бланк заказа'!$X$184:$X$184</definedName>
    <definedName name="SalesQty63">'Бланк заказа'!$X$185:$X$185</definedName>
    <definedName name="SalesQty64">'Бланк заказа'!$X$186:$X$186</definedName>
    <definedName name="SalesQty65">'Бланк заказа'!$X$190:$X$190</definedName>
    <definedName name="SalesQty66">'Бланк заказа'!$X$196:$X$196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заказа'!$X$37:$X$37</definedName>
    <definedName name="SalesQty70">'Бланк заказа'!$X$204:$X$204</definedName>
    <definedName name="SalesQty71">'Бланк заказа'!$X$205:$X$205</definedName>
    <definedName name="SalesQty72">'Бланк заказа'!$X$206:$X$206</definedName>
    <definedName name="SalesQty73">'Бланк заказа'!$X$211:$X$211</definedName>
    <definedName name="SalesQty74">'Бланк заказа'!$X$212:$X$212</definedName>
    <definedName name="SalesQty75">'Бланк заказа'!$X$213:$X$213</definedName>
    <definedName name="SalesQty76">'Бланк заказа'!$X$214:$X$214</definedName>
    <definedName name="SalesQty77">'Бланк заказа'!$X$215:$X$215</definedName>
    <definedName name="SalesQty78">'Бланк заказа'!$X$216:$X$216</definedName>
    <definedName name="SalesQty79">'Бланк заказа'!$X$221:$X$221</definedName>
    <definedName name="SalesQty8">'Бланк заказа'!$X$42:$X$42</definedName>
    <definedName name="SalesQty80">'Бланк заказа'!$X$222:$X$222</definedName>
    <definedName name="SalesQty81">'Бланк заказа'!$X$223:$X$223</definedName>
    <definedName name="SalesQty82">'Бланк заказа'!$X$224:$X$224</definedName>
    <definedName name="SalesQty83">'Бланк заказа'!$X$229:$X$229</definedName>
    <definedName name="SalesQty84">'Бланк заказа'!$X$233:$X$233</definedName>
    <definedName name="SalesQty85">'Бланк заказа'!$X$234:$X$234</definedName>
    <definedName name="SalesQty86">'Бланк заказа'!$X$235:$X$235</definedName>
    <definedName name="SalesQty87">'Бланк заказа'!$X$240:$X$240</definedName>
    <definedName name="SalesQty88">'Бланк заказа'!$X$245:$X$245</definedName>
    <definedName name="SalesQty89">'Бланк заказа'!$X$246:$X$246</definedName>
    <definedName name="SalesQty9">'Бланк заказа'!$X$43:$X$43</definedName>
    <definedName name="SalesQty90">'Бланк заказа'!$X$252:$X$252</definedName>
    <definedName name="SalesQty91">'Бланк заказа'!$X$258:$X$258</definedName>
    <definedName name="SalesQty92">'Бланк заказа'!$X$259:$X$259</definedName>
    <definedName name="SalesQty93">'Бланк заказа'!$X$265:$X$265</definedName>
    <definedName name="SalesQty94">'Бланк заказа'!$X$269:$X$269</definedName>
    <definedName name="SalesQty95">'Бланк заказа'!$X$275:$X$275</definedName>
    <definedName name="SalesQty96">'Бланк заказа'!$X$276:$X$276</definedName>
    <definedName name="SalesQty97">'Бланк заказа'!$X$277:$X$277</definedName>
    <definedName name="SalesQty98">'Бланк заказа'!$X$281:$X$281</definedName>
    <definedName name="SalesQty99">'Бланк заказа'!$X$285:$X$285</definedName>
    <definedName name="SalesRequestType">'Бланк заказа'!$V$11</definedName>
    <definedName name="SalesRoundBox1">'Бланк заказа'!$Y$22:$Y$22</definedName>
    <definedName name="SalesRoundBox10">'Бланк заказа'!$Y$44:$Y$44</definedName>
    <definedName name="SalesRoundBox100">'Бланк заказа'!$Y$286:$Y$286</definedName>
    <definedName name="SalesRoundBox101">'Бланк заказа'!$Y$290:$Y$290</definedName>
    <definedName name="SalesRoundBox102">'Бланк заказа'!$Y$291:$Y$291</definedName>
    <definedName name="SalesRoundBox103">'Бланк заказа'!$Y$292:$Y$292</definedName>
    <definedName name="SalesRoundBox104">'Бланк заказа'!$Y$296:$Y$296</definedName>
    <definedName name="SalesRoundBox105">'Бланк заказа'!$Y$297:$Y$297</definedName>
    <definedName name="SalesRoundBox106">'Бланк заказа'!$Y$298:$Y$298</definedName>
    <definedName name="SalesRoundBox107">'Бланк заказа'!$Y$299:$Y$299</definedName>
    <definedName name="SalesRoundBox108">'Бланк заказа'!$Y$300:$Y$300</definedName>
    <definedName name="SalesRoundBox109">'Бланк заказа'!$Y$301:$Y$301</definedName>
    <definedName name="SalesRoundBox11">'Бланк заказа'!$Y$45:$Y$45</definedName>
    <definedName name="SalesRoundBox110">'Бланк заказа'!$Y$302:$Y$302</definedName>
    <definedName name="SalesRoundBox111">'Бланк заказа'!$Y$303:$Y$303</definedName>
    <definedName name="SalesRoundBox112">'Бланк заказа'!$Y$304:$Y$304</definedName>
    <definedName name="SalesRoundBox113">'Бланк заказа'!$Y$305:$Y$305</definedName>
    <definedName name="SalesRoundBox114">'Бланк заказа'!$Y$306:$Y$306</definedName>
    <definedName name="SalesRoundBox115">'Бланк заказа'!$Y$307:$Y$307</definedName>
    <definedName name="SalesRoundBox116">'Бланк заказа'!$Y$308:$Y$308</definedName>
    <definedName name="SalesRoundBox117">'Бланк заказа'!$Y$309:$Y$309</definedName>
    <definedName name="SalesRoundBox118">'Бланк заказа'!$Y$310:$Y$310</definedName>
    <definedName name="SalesRoundBox119">'Бланк заказа'!$Y$311:$Y$311</definedName>
    <definedName name="SalesRoundBox12">'Бланк заказа'!$Y$46:$Y$46</definedName>
    <definedName name="SalesRoundBox120">'Бланк заказа'!$Y$312:$Y$312</definedName>
    <definedName name="SalesRoundBox121">'Бланк заказа'!$Y$313:$Y$313</definedName>
    <definedName name="SalesRoundBox122">'Бланк заказа'!$Y$314:$Y$314</definedName>
    <definedName name="SalesRoundBox123">'Бланк заказа'!$Y$315:$Y$315</definedName>
    <definedName name="SalesRoundBox124">'Бланк заказа'!$Y$316:$Y$316</definedName>
    <definedName name="SalesRoundBox125">'Бланк заказа'!$Y$321:$Y$321</definedName>
    <definedName name="SalesRoundBox13">'Бланк заказа'!$Y$47:$Y$47</definedName>
    <definedName name="SalesRoundBox14">'Бланк заказа'!$Y$48:$Y$48</definedName>
    <definedName name="SalesRoundBox15">'Бланк заказа'!$Y$49:$Y$49</definedName>
    <definedName name="SalesRoundBox16">'Бланк заказа'!$Y$54:$Y$54</definedName>
    <definedName name="SalesRoundBox17">'Бланк заказа'!$Y$58:$Y$58</definedName>
    <definedName name="SalesRoundBox18">'Бланк заказа'!$Y$62:$Y$62</definedName>
    <definedName name="SalesRoundBox19">'Бланк заказа'!$Y$66:$Y$66</definedName>
    <definedName name="SalesRoundBox2">'Бланк заказа'!$Y$28:$Y$28</definedName>
    <definedName name="SalesRoundBox20">'Бланк заказа'!$Y$70:$Y$70</definedName>
    <definedName name="SalesRoundBox21">'Бланк заказа'!$Y$71:$Y$71</definedName>
    <definedName name="SalesRoundBox22">'Бланк заказа'!$Y$72:$Y$72</definedName>
    <definedName name="SalesRoundBox23">'Бланк заказа'!$Y$77:$Y$77</definedName>
    <definedName name="SalesRoundBox24">'Бланк заказа'!$Y$78:$Y$78</definedName>
    <definedName name="SalesRoundBox25">'Бланк заказа'!$Y$83:$Y$83</definedName>
    <definedName name="SalesRoundBox26">'Бланк заказа'!$Y$88:$Y$88</definedName>
    <definedName name="SalesRoundBox27">'Бланк заказа'!$Y$89:$Y$89</definedName>
    <definedName name="SalesRoundBox28">'Бланк заказа'!$Y$94:$Y$94</definedName>
    <definedName name="SalesRoundBox29">'Бланк заказа'!$Y$95:$Y$95</definedName>
    <definedName name="SalesRoundBox3">'Бланк заказа'!$Y$29:$Y$29</definedName>
    <definedName name="SalesRoundBox30">'Бланк заказа'!$Y$96:$Y$96</definedName>
    <definedName name="SalesRoundBox31">'Бланк заказа'!$Y$97:$Y$97</definedName>
    <definedName name="SalesRoundBox32">'Бланк заказа'!$Y$98:$Y$98</definedName>
    <definedName name="SalesRoundBox33">'Бланк заказа'!$Y$99:$Y$99</definedName>
    <definedName name="SalesRoundBox34">'Бланк заказа'!$Y$104:$Y$104</definedName>
    <definedName name="SalesRoundBox35">'Бланк заказа'!$Y$105:$Y$105</definedName>
    <definedName name="SalesRoundBox36">'Бланк заказа'!$Y$106:$Y$106</definedName>
    <definedName name="SalesRoundBox37">'Бланк заказа'!$Y$111:$Y$111</definedName>
    <definedName name="SalesRoundBox38">'Бланк заказа'!$Y$112:$Y$112</definedName>
    <definedName name="SalesRoundBox39">'Бланк заказа'!$Y$113:$Y$113</definedName>
    <definedName name="SalesRoundBox4">'Бланк заказа'!$Y$30:$Y$30</definedName>
    <definedName name="SalesRoundBox40">'Бланк заказа'!$Y$114:$Y$114</definedName>
    <definedName name="SalesRoundBox41">'Бланк заказа'!$Y$115:$Y$115</definedName>
    <definedName name="SalesRoundBox42">'Бланк заказа'!$Y$116:$Y$116</definedName>
    <definedName name="SalesRoundBox43">'Бланк заказа'!$Y$120:$Y$120</definedName>
    <definedName name="SalesRoundBox44">'Бланк заказа'!$Y$125:$Y$125</definedName>
    <definedName name="SalesRoundBox45">'Бланк заказа'!$Y$126:$Y$126</definedName>
    <definedName name="SalesRoundBox46">'Бланк заказа'!$Y$131:$Y$131</definedName>
    <definedName name="SalesRoundBox47">'Бланк заказа'!$Y$132:$Y$132</definedName>
    <definedName name="SalesRoundBox48">'Бланк заказа'!$Y$137:$Y$137</definedName>
    <definedName name="SalesRoundBox49">'Бланк заказа'!$Y$138:$Y$138</definedName>
    <definedName name="SalesRoundBox5">'Бланк заказа'!$Y$35:$Y$35</definedName>
    <definedName name="SalesRoundBox50">'Бланк заказа'!$Y$143:$Y$143</definedName>
    <definedName name="SalesRoundBox51">'Бланк заказа'!$Y$148:$Y$148</definedName>
    <definedName name="SalesRoundBox52">'Бланк заказа'!$Y$153:$Y$153</definedName>
    <definedName name="SalesRoundBox53">'Бланк заказа'!$Y$154:$Y$154</definedName>
    <definedName name="SalesRoundBox54">'Бланк заказа'!$Y$159:$Y$159</definedName>
    <definedName name="SalesRoundBox55">'Бланк заказа'!$Y$165:$Y$165</definedName>
    <definedName name="SalesRoundBox56">'Бланк заказа'!$Y$170:$Y$170</definedName>
    <definedName name="SalesRoundBox57">'Бланк заказа'!$Y$171:$Y$171</definedName>
    <definedName name="SalesRoundBox58">'Бланк заказа'!$Y$172:$Y$172</definedName>
    <definedName name="SalesRoundBox59">'Бланк заказа'!$Y$173:$Y$173</definedName>
    <definedName name="SalesRoundBox6">'Бланк заказа'!$Y$36:$Y$36</definedName>
    <definedName name="SalesRoundBox60">'Бланк заказа'!$Y$177:$Y$177</definedName>
    <definedName name="SalesRoundBox61">'Бланк заказа'!$Y$178:$Y$178</definedName>
    <definedName name="SalesRoundBox62">'Бланк заказа'!$Y$184:$Y$184</definedName>
    <definedName name="SalesRoundBox63">'Бланк заказа'!$Y$185:$Y$185</definedName>
    <definedName name="SalesRoundBox64">'Бланк заказа'!$Y$186:$Y$186</definedName>
    <definedName name="SalesRoundBox65">'Бланк заказа'!$Y$190:$Y$190</definedName>
    <definedName name="SalesRoundBox66">'Бланк заказа'!$Y$196:$Y$196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заказа'!$Y$37:$Y$37</definedName>
    <definedName name="SalesRoundBox70">'Бланк заказа'!$Y$204:$Y$204</definedName>
    <definedName name="SalesRoundBox71">'Бланк заказа'!$Y$205:$Y$205</definedName>
    <definedName name="SalesRoundBox72">'Бланк заказа'!$Y$206:$Y$206</definedName>
    <definedName name="SalesRoundBox73">'Бланк заказа'!$Y$211:$Y$211</definedName>
    <definedName name="SalesRoundBox74">'Бланк заказа'!$Y$212:$Y$212</definedName>
    <definedName name="SalesRoundBox75">'Бланк заказа'!$Y$213:$Y$213</definedName>
    <definedName name="SalesRoundBox76">'Бланк заказа'!$Y$214:$Y$214</definedName>
    <definedName name="SalesRoundBox77">'Бланк заказа'!$Y$215:$Y$215</definedName>
    <definedName name="SalesRoundBox78">'Бланк заказа'!$Y$216:$Y$216</definedName>
    <definedName name="SalesRoundBox79">'Бланк заказа'!$Y$221:$Y$221</definedName>
    <definedName name="SalesRoundBox8">'Бланк заказа'!$Y$42:$Y$42</definedName>
    <definedName name="SalesRoundBox80">'Бланк заказа'!$Y$222:$Y$222</definedName>
    <definedName name="SalesRoundBox81">'Бланк заказа'!$Y$223:$Y$223</definedName>
    <definedName name="SalesRoundBox82">'Бланк заказа'!$Y$224:$Y$224</definedName>
    <definedName name="SalesRoundBox83">'Бланк заказа'!$Y$229:$Y$229</definedName>
    <definedName name="SalesRoundBox84">'Бланк заказа'!$Y$233:$Y$233</definedName>
    <definedName name="SalesRoundBox85">'Бланк заказа'!$Y$234:$Y$234</definedName>
    <definedName name="SalesRoundBox86">'Бланк заказа'!$Y$235:$Y$235</definedName>
    <definedName name="SalesRoundBox87">'Бланк заказа'!$Y$240:$Y$240</definedName>
    <definedName name="SalesRoundBox88">'Бланк заказа'!$Y$245:$Y$245</definedName>
    <definedName name="SalesRoundBox89">'Бланк заказа'!$Y$246:$Y$246</definedName>
    <definedName name="SalesRoundBox9">'Бланк заказа'!$Y$43:$Y$43</definedName>
    <definedName name="SalesRoundBox90">'Бланк заказа'!$Y$252:$Y$252</definedName>
    <definedName name="SalesRoundBox91">'Бланк заказа'!$Y$258:$Y$258</definedName>
    <definedName name="SalesRoundBox92">'Бланк заказа'!$Y$259:$Y$259</definedName>
    <definedName name="SalesRoundBox93">'Бланк заказа'!$Y$265:$Y$265</definedName>
    <definedName name="SalesRoundBox94">'Бланк заказа'!$Y$269:$Y$269</definedName>
    <definedName name="SalesRoundBox95">'Бланк заказа'!$Y$275:$Y$275</definedName>
    <definedName name="SalesRoundBox96">'Бланк заказа'!$Y$276:$Y$276</definedName>
    <definedName name="SalesRoundBox97">'Бланк заказа'!$Y$277:$Y$277</definedName>
    <definedName name="SalesRoundBox98">'Бланк заказа'!$Y$281:$Y$281</definedName>
    <definedName name="SalesRoundBox99">'Бланк заказа'!$Y$285:$Y$285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заказа'!$W$44:$W$44</definedName>
    <definedName name="UnitOfMeasure100">'Бланк заказа'!$W$286:$W$286</definedName>
    <definedName name="UnitOfMeasure101">'Бланк заказа'!$W$290:$W$290</definedName>
    <definedName name="UnitOfMeasure102">'Бланк заказа'!$W$291:$W$291</definedName>
    <definedName name="UnitOfMeasure103">'Бланк заказа'!$W$292:$W$292</definedName>
    <definedName name="UnitOfMeasure104">'Бланк заказа'!$W$296:$W$296</definedName>
    <definedName name="UnitOfMeasure105">'Бланк заказа'!$W$297:$W$297</definedName>
    <definedName name="UnitOfMeasure106">'Бланк заказа'!$W$298:$W$298</definedName>
    <definedName name="UnitOfMeasure107">'Бланк заказа'!$W$299:$W$299</definedName>
    <definedName name="UnitOfMeasure108">'Бланк заказа'!$W$300:$W$300</definedName>
    <definedName name="UnitOfMeasure109">'Бланк заказа'!$W$301:$W$301</definedName>
    <definedName name="UnitOfMeasure11">'Бланк заказа'!$W$45:$W$45</definedName>
    <definedName name="UnitOfMeasure110">'Бланк заказа'!$W$302:$W$302</definedName>
    <definedName name="UnitOfMeasure111">'Бланк заказа'!$W$303:$W$303</definedName>
    <definedName name="UnitOfMeasure112">'Бланк заказа'!$W$304:$W$304</definedName>
    <definedName name="UnitOfMeasure113">'Бланк заказа'!$W$305:$W$305</definedName>
    <definedName name="UnitOfMeasure114">'Бланк заказа'!$W$306:$W$306</definedName>
    <definedName name="UnitOfMeasure115">'Бланк заказа'!$W$307:$W$307</definedName>
    <definedName name="UnitOfMeasure116">'Бланк заказа'!$W$308:$W$308</definedName>
    <definedName name="UnitOfMeasure117">'Бланк заказа'!$W$309:$W$309</definedName>
    <definedName name="UnitOfMeasure118">'Бланк заказа'!$W$310:$W$310</definedName>
    <definedName name="UnitOfMeasure119">'Бланк заказа'!$W$311:$W$311</definedName>
    <definedName name="UnitOfMeasure12">'Бланк заказа'!$W$46:$W$46</definedName>
    <definedName name="UnitOfMeasure120">'Бланк заказа'!$W$312:$W$312</definedName>
    <definedName name="UnitOfMeasure121">'Бланк заказа'!$W$313:$W$313</definedName>
    <definedName name="UnitOfMeasure122">'Бланк заказа'!$W$314:$W$314</definedName>
    <definedName name="UnitOfMeasure123">'Бланк заказа'!$W$315:$W$315</definedName>
    <definedName name="UnitOfMeasure124">'Бланк заказа'!$W$316:$W$316</definedName>
    <definedName name="UnitOfMeasure125">'Бланк заказа'!$W$321:$W$321</definedName>
    <definedName name="UnitOfMeasure13">'Бланк заказа'!$W$47:$W$47</definedName>
    <definedName name="UnitOfMeasure14">'Бланк заказа'!$W$48:$W$48</definedName>
    <definedName name="UnitOfMeasure15">'Бланк заказа'!$W$49:$W$49</definedName>
    <definedName name="UnitOfMeasure16">'Бланк заказа'!$W$54:$W$54</definedName>
    <definedName name="UnitOfMeasure17">'Бланк заказа'!$W$58:$W$58</definedName>
    <definedName name="UnitOfMeasure18">'Бланк заказа'!$W$62:$W$62</definedName>
    <definedName name="UnitOfMeasure19">'Бланк заказа'!$W$66:$W$66</definedName>
    <definedName name="UnitOfMeasure2">'Бланк заказа'!$W$28:$W$28</definedName>
    <definedName name="UnitOfMeasure20">'Бланк заказа'!$W$70:$W$70</definedName>
    <definedName name="UnitOfMeasure21">'Бланк заказа'!$W$71:$W$71</definedName>
    <definedName name="UnitOfMeasure22">'Бланк заказа'!$W$72:$W$72</definedName>
    <definedName name="UnitOfMeasure23">'Бланк заказа'!$W$77:$W$77</definedName>
    <definedName name="UnitOfMeasure24">'Бланк заказа'!$W$78:$W$78</definedName>
    <definedName name="UnitOfMeasure25">'Бланк заказа'!$W$83:$W$83</definedName>
    <definedName name="UnitOfMeasure26">'Бланк заказа'!$W$88:$W$88</definedName>
    <definedName name="UnitOfMeasure27">'Бланк заказа'!$W$89:$W$89</definedName>
    <definedName name="UnitOfMeasure28">'Бланк заказа'!$W$94:$W$94</definedName>
    <definedName name="UnitOfMeasure29">'Бланк заказа'!$W$95:$W$95</definedName>
    <definedName name="UnitOfMeasure3">'Бланк заказа'!$W$29:$W$29</definedName>
    <definedName name="UnitOfMeasure30">'Бланк заказа'!$W$96:$W$96</definedName>
    <definedName name="UnitOfMeasure31">'Бланк заказа'!$W$97:$W$97</definedName>
    <definedName name="UnitOfMeasure32">'Бланк заказа'!$W$98:$W$98</definedName>
    <definedName name="UnitOfMeasure33">'Бланк заказа'!$W$99:$W$99</definedName>
    <definedName name="UnitOfMeasure34">'Бланк заказа'!$W$104:$W$104</definedName>
    <definedName name="UnitOfMeasure35">'Бланк заказа'!$W$105:$W$105</definedName>
    <definedName name="UnitOfMeasure36">'Бланк заказа'!$W$106:$W$106</definedName>
    <definedName name="UnitOfMeasure37">'Бланк заказа'!$W$111:$W$111</definedName>
    <definedName name="UnitOfMeasure38">'Бланк заказа'!$W$112:$W$112</definedName>
    <definedName name="UnitOfMeasure39">'Бланк заказа'!$W$113:$W$113</definedName>
    <definedName name="UnitOfMeasure4">'Бланк заказа'!$W$30:$W$30</definedName>
    <definedName name="UnitOfMeasure40">'Бланк заказа'!$W$114:$W$114</definedName>
    <definedName name="UnitOfMeasure41">'Бланк заказа'!$W$115:$W$115</definedName>
    <definedName name="UnitOfMeasure42">'Бланк заказа'!$W$116:$W$116</definedName>
    <definedName name="UnitOfMeasure43">'Бланк заказа'!$W$120:$W$120</definedName>
    <definedName name="UnitOfMeasure44">'Бланк заказа'!$W$125:$W$125</definedName>
    <definedName name="UnitOfMeasure45">'Бланк заказа'!$W$126:$W$126</definedName>
    <definedName name="UnitOfMeasure46">'Бланк заказа'!$W$131:$W$131</definedName>
    <definedName name="UnitOfMeasure47">'Бланк заказа'!$W$132:$W$132</definedName>
    <definedName name="UnitOfMeasure48">'Бланк заказа'!$W$137:$W$137</definedName>
    <definedName name="UnitOfMeasure49">'Бланк заказа'!$W$138:$W$138</definedName>
    <definedName name="UnitOfMeasure5">'Бланк заказа'!$W$35:$W$35</definedName>
    <definedName name="UnitOfMeasure50">'Бланк заказа'!$W$143:$W$143</definedName>
    <definedName name="UnitOfMeasure51">'Бланк заказа'!$W$148:$W$148</definedName>
    <definedName name="UnitOfMeasure52">'Бланк заказа'!$W$153:$W$153</definedName>
    <definedName name="UnitOfMeasure53">'Бланк заказа'!$W$154:$W$154</definedName>
    <definedName name="UnitOfMeasure54">'Бланк заказа'!$W$159:$W$159</definedName>
    <definedName name="UnitOfMeasure55">'Бланк заказа'!$W$165:$W$165</definedName>
    <definedName name="UnitOfMeasure56">'Бланк заказа'!$W$170:$W$170</definedName>
    <definedName name="UnitOfMeasure57">'Бланк заказа'!$W$171:$W$171</definedName>
    <definedName name="UnitOfMeasure58">'Бланк заказа'!$W$172:$W$172</definedName>
    <definedName name="UnitOfMeasure59">'Бланк заказа'!$W$173:$W$173</definedName>
    <definedName name="UnitOfMeasure6">'Бланк заказа'!$W$36:$W$36</definedName>
    <definedName name="UnitOfMeasure60">'Бланк заказа'!$W$177:$W$177</definedName>
    <definedName name="UnitOfMeasure61">'Бланк заказа'!$W$178:$W$178</definedName>
    <definedName name="UnitOfMeasure62">'Бланк заказа'!$W$184:$W$184</definedName>
    <definedName name="UnitOfMeasure63">'Бланк заказа'!$W$185:$W$185</definedName>
    <definedName name="UnitOfMeasure64">'Бланк заказа'!$W$186:$W$186</definedName>
    <definedName name="UnitOfMeasure65">'Бланк заказа'!$W$190:$W$190</definedName>
    <definedName name="UnitOfMeasure66">'Бланк заказа'!$W$196:$W$196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заказа'!$W$37:$W$37</definedName>
    <definedName name="UnitOfMeasure70">'Бланк заказа'!$W$204:$W$204</definedName>
    <definedName name="UnitOfMeasure71">'Бланк заказа'!$W$205:$W$205</definedName>
    <definedName name="UnitOfMeasure72">'Бланк заказа'!$W$206:$W$206</definedName>
    <definedName name="UnitOfMeasure73">'Бланк заказа'!$W$211:$W$211</definedName>
    <definedName name="UnitOfMeasure74">'Бланк заказа'!$W$212:$W$212</definedName>
    <definedName name="UnitOfMeasure75">'Бланк заказа'!$W$213:$W$213</definedName>
    <definedName name="UnitOfMeasure76">'Бланк заказа'!$W$214:$W$214</definedName>
    <definedName name="UnitOfMeasure77">'Бланк заказа'!$W$215:$W$215</definedName>
    <definedName name="UnitOfMeasure78">'Бланк заказа'!$W$216:$W$216</definedName>
    <definedName name="UnitOfMeasure79">'Бланк заказа'!$W$221:$W$221</definedName>
    <definedName name="UnitOfMeasure8">'Бланк заказа'!$W$42:$W$42</definedName>
    <definedName name="UnitOfMeasure80">'Бланк заказа'!$W$222:$W$222</definedName>
    <definedName name="UnitOfMeasure81">'Бланк заказа'!$W$223:$W$223</definedName>
    <definedName name="UnitOfMeasure82">'Бланк заказа'!$W$224:$W$224</definedName>
    <definedName name="UnitOfMeasure83">'Бланк заказа'!$W$229:$W$229</definedName>
    <definedName name="UnitOfMeasure84">'Бланк заказа'!$W$233:$W$233</definedName>
    <definedName name="UnitOfMeasure85">'Бланк заказа'!$W$234:$W$234</definedName>
    <definedName name="UnitOfMeasure86">'Бланк заказа'!$W$235:$W$235</definedName>
    <definedName name="UnitOfMeasure87">'Бланк заказа'!$W$240:$W$240</definedName>
    <definedName name="UnitOfMeasure88">'Бланк заказа'!$W$245:$W$245</definedName>
    <definedName name="UnitOfMeasure89">'Бланк заказа'!$W$246:$W$246</definedName>
    <definedName name="UnitOfMeasure9">'Бланк заказа'!$W$43:$W$43</definedName>
    <definedName name="UnitOfMeasure90">'Бланк заказа'!$W$252:$W$252</definedName>
    <definedName name="UnitOfMeasure91">'Бланк заказа'!$W$258:$W$258</definedName>
    <definedName name="UnitOfMeasure92">'Бланк заказа'!$W$259:$W$259</definedName>
    <definedName name="UnitOfMeasure93">'Бланк заказа'!$W$265:$W$265</definedName>
    <definedName name="UnitOfMeasure94">'Бланк заказа'!$W$269:$W$269</definedName>
    <definedName name="UnitOfMeasure95">'Бланк заказа'!$W$275:$W$275</definedName>
    <definedName name="UnitOfMeasure96">'Бланк заказа'!$W$276:$W$276</definedName>
    <definedName name="UnitOfMeasure97">'Бланк заказа'!$W$277:$W$277</definedName>
    <definedName name="UnitOfMeasure98">'Бланк заказа'!$W$281:$W$281</definedName>
    <definedName name="UnitOfMeasure99">'Бланк заказа'!$W$285:$W$285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I334" i="1" l="1"/>
  <c r="AH334" i="1"/>
  <c r="AG334" i="1"/>
  <c r="AF334" i="1"/>
  <c r="AE334" i="1"/>
  <c r="AD334" i="1"/>
  <c r="AC334" i="1"/>
  <c r="AB334" i="1"/>
  <c r="AA334" i="1"/>
  <c r="Z334" i="1"/>
  <c r="Y334" i="1"/>
  <c r="X334" i="1"/>
  <c r="W334" i="1"/>
  <c r="V334" i="1"/>
  <c r="U334" i="1"/>
  <c r="T334" i="1"/>
  <c r="S334" i="1"/>
  <c r="R334" i="1"/>
  <c r="Q334" i="1"/>
  <c r="P334" i="1"/>
  <c r="O334" i="1"/>
  <c r="M334" i="1"/>
  <c r="L334" i="1"/>
  <c r="K334" i="1"/>
  <c r="J334" i="1"/>
  <c r="I334" i="1"/>
  <c r="H334" i="1"/>
  <c r="G334" i="1"/>
  <c r="F334" i="1"/>
  <c r="E334" i="1"/>
  <c r="D334" i="1"/>
  <c r="C334" i="1"/>
  <c r="B334" i="1"/>
  <c r="X323" i="1"/>
  <c r="Y322" i="1"/>
  <c r="X322" i="1"/>
  <c r="BP321" i="1"/>
  <c r="BO321" i="1"/>
  <c r="BN321" i="1"/>
  <c r="BM321" i="1"/>
  <c r="Z321" i="1"/>
  <c r="Z322" i="1" s="1"/>
  <c r="Y321" i="1"/>
  <c r="Y323" i="1" s="1"/>
  <c r="Y318" i="1"/>
  <c r="X318" i="1"/>
  <c r="Z317" i="1"/>
  <c r="X317" i="1"/>
  <c r="BO316" i="1"/>
  <c r="BM316" i="1"/>
  <c r="Z316" i="1"/>
  <c r="Y316" i="1"/>
  <c r="BO315" i="1"/>
  <c r="BM315" i="1"/>
  <c r="Z315" i="1"/>
  <c r="Y315" i="1"/>
  <c r="BO314" i="1"/>
  <c r="BM314" i="1"/>
  <c r="Z314" i="1"/>
  <c r="Y314" i="1"/>
  <c r="BO313" i="1"/>
  <c r="BM313" i="1"/>
  <c r="Z313" i="1"/>
  <c r="Y313" i="1"/>
  <c r="BO312" i="1"/>
  <c r="BM312" i="1"/>
  <c r="Z312" i="1"/>
  <c r="Y312" i="1"/>
  <c r="BO311" i="1"/>
  <c r="BM311" i="1"/>
  <c r="Z311" i="1"/>
  <c r="Y311" i="1"/>
  <c r="BO310" i="1"/>
  <c r="BM310" i="1"/>
  <c r="Z310" i="1"/>
  <c r="Y310" i="1"/>
  <c r="BO309" i="1"/>
  <c r="BM309" i="1"/>
  <c r="Z309" i="1"/>
  <c r="Y309" i="1"/>
  <c r="BO308" i="1"/>
  <c r="BM308" i="1"/>
  <c r="Z308" i="1"/>
  <c r="Y308" i="1"/>
  <c r="BO307" i="1"/>
  <c r="BM307" i="1"/>
  <c r="Z307" i="1"/>
  <c r="Y307" i="1"/>
  <c r="BO306" i="1"/>
  <c r="BM306" i="1"/>
  <c r="Z306" i="1"/>
  <c r="Y306" i="1"/>
  <c r="BO305" i="1"/>
  <c r="BM305" i="1"/>
  <c r="Z305" i="1"/>
  <c r="Y305" i="1"/>
  <c r="P305" i="1"/>
  <c r="BP304" i="1"/>
  <c r="BO304" i="1"/>
  <c r="BN304" i="1"/>
  <c r="BM304" i="1"/>
  <c r="Z304" i="1"/>
  <c r="Y304" i="1"/>
  <c r="BP303" i="1"/>
  <c r="BO303" i="1"/>
  <c r="BN303" i="1"/>
  <c r="BM303" i="1"/>
  <c r="Z303" i="1"/>
  <c r="Y303" i="1"/>
  <c r="P303" i="1"/>
  <c r="BO302" i="1"/>
  <c r="BM302" i="1"/>
  <c r="Z302" i="1"/>
  <c r="Y302" i="1"/>
  <c r="BO301" i="1"/>
  <c r="BM301" i="1"/>
  <c r="Z301" i="1"/>
  <c r="Y301" i="1"/>
  <c r="P301" i="1"/>
  <c r="BP300" i="1"/>
  <c r="BO300" i="1"/>
  <c r="BN300" i="1"/>
  <c r="BM300" i="1"/>
  <c r="Z300" i="1"/>
  <c r="Y300" i="1"/>
  <c r="BP299" i="1"/>
  <c r="BO299" i="1"/>
  <c r="BN299" i="1"/>
  <c r="BM299" i="1"/>
  <c r="Z299" i="1"/>
  <c r="Y299" i="1"/>
  <c r="BP298" i="1"/>
  <c r="BO298" i="1"/>
  <c r="BN298" i="1"/>
  <c r="BM298" i="1"/>
  <c r="Z298" i="1"/>
  <c r="Y298" i="1"/>
  <c r="P298" i="1"/>
  <c r="BO297" i="1"/>
  <c r="BM297" i="1"/>
  <c r="Z297" i="1"/>
  <c r="Y297" i="1"/>
  <c r="BO296" i="1"/>
  <c r="BM296" i="1"/>
  <c r="Z296" i="1"/>
  <c r="Y296" i="1"/>
  <c r="X294" i="1"/>
  <c r="X293" i="1"/>
  <c r="BP292" i="1"/>
  <c r="BO292" i="1"/>
  <c r="BN292" i="1"/>
  <c r="BM292" i="1"/>
  <c r="Z292" i="1"/>
  <c r="Y292" i="1"/>
  <c r="P292" i="1"/>
  <c r="BO291" i="1"/>
  <c r="BM291" i="1"/>
  <c r="Z291" i="1"/>
  <c r="Y291" i="1"/>
  <c r="P291" i="1"/>
  <c r="BP290" i="1"/>
  <c r="BO290" i="1"/>
  <c r="BN290" i="1"/>
  <c r="BM290" i="1"/>
  <c r="Z290" i="1"/>
  <c r="Z293" i="1" s="1"/>
  <c r="Y290" i="1"/>
  <c r="Y294" i="1" s="1"/>
  <c r="X288" i="1"/>
  <c r="Z287" i="1"/>
  <c r="X287" i="1"/>
  <c r="BO286" i="1"/>
  <c r="BM286" i="1"/>
  <c r="Z286" i="1"/>
  <c r="Y286" i="1"/>
  <c r="BO285" i="1"/>
  <c r="BM285" i="1"/>
  <c r="Z285" i="1"/>
  <c r="Y285" i="1"/>
  <c r="P285" i="1"/>
  <c r="Y283" i="1"/>
  <c r="X283" i="1"/>
  <c r="Z282" i="1"/>
  <c r="X282" i="1"/>
  <c r="BO281" i="1"/>
  <c r="BM281" i="1"/>
  <c r="Z281" i="1"/>
  <c r="Y281" i="1"/>
  <c r="P281" i="1"/>
  <c r="X279" i="1"/>
  <c r="Z278" i="1"/>
  <c r="X278" i="1"/>
  <c r="BO277" i="1"/>
  <c r="BM277" i="1"/>
  <c r="Z277" i="1"/>
  <c r="Y277" i="1"/>
  <c r="BO276" i="1"/>
  <c r="BM276" i="1"/>
  <c r="Z276" i="1"/>
  <c r="Y276" i="1"/>
  <c r="BO275" i="1"/>
  <c r="BM275" i="1"/>
  <c r="Z275" i="1"/>
  <c r="Y275" i="1"/>
  <c r="X271" i="1"/>
  <c r="Y270" i="1"/>
  <c r="X270" i="1"/>
  <c r="BP269" i="1"/>
  <c r="BO269" i="1"/>
  <c r="BN269" i="1"/>
  <c r="BM269" i="1"/>
  <c r="Z269" i="1"/>
  <c r="Z270" i="1" s="1"/>
  <c r="Y269" i="1"/>
  <c r="Y271" i="1" s="1"/>
  <c r="P269" i="1"/>
  <c r="X267" i="1"/>
  <c r="Y266" i="1"/>
  <c r="X266" i="1"/>
  <c r="BP265" i="1"/>
  <c r="BO265" i="1"/>
  <c r="BN265" i="1"/>
  <c r="BM265" i="1"/>
  <c r="Z265" i="1"/>
  <c r="Z266" i="1" s="1"/>
  <c r="Y265" i="1"/>
  <c r="Y267" i="1" s="1"/>
  <c r="Y261" i="1"/>
  <c r="X261" i="1"/>
  <c r="Z260" i="1"/>
  <c r="X260" i="1"/>
  <c r="BO259" i="1"/>
  <c r="BM259" i="1"/>
  <c r="Z259" i="1"/>
  <c r="Y259" i="1"/>
  <c r="P259" i="1"/>
  <c r="BP258" i="1"/>
  <c r="BO258" i="1"/>
  <c r="BN258" i="1"/>
  <c r="BM258" i="1"/>
  <c r="Z258" i="1"/>
  <c r="Y258" i="1"/>
  <c r="Y260" i="1" s="1"/>
  <c r="P258" i="1"/>
  <c r="X254" i="1"/>
  <c r="Y253" i="1"/>
  <c r="X253" i="1"/>
  <c r="BP252" i="1"/>
  <c r="BO252" i="1"/>
  <c r="BN252" i="1"/>
  <c r="BM252" i="1"/>
  <c r="Z252" i="1"/>
  <c r="Z253" i="1" s="1"/>
  <c r="Y252" i="1"/>
  <c r="Y254" i="1" s="1"/>
  <c r="P252" i="1"/>
  <c r="X248" i="1"/>
  <c r="X247" i="1"/>
  <c r="BP246" i="1"/>
  <c r="BO246" i="1"/>
  <c r="BN246" i="1"/>
  <c r="BM246" i="1"/>
  <c r="Z246" i="1"/>
  <c r="Y246" i="1"/>
  <c r="P246" i="1"/>
  <c r="BO245" i="1"/>
  <c r="BM245" i="1"/>
  <c r="Z245" i="1"/>
  <c r="Z247" i="1" s="1"/>
  <c r="Y245" i="1"/>
  <c r="P245" i="1"/>
  <c r="X242" i="1"/>
  <c r="Z241" i="1"/>
  <c r="X241" i="1"/>
  <c r="BO240" i="1"/>
  <c r="BM240" i="1"/>
  <c r="Z240" i="1"/>
  <c r="Y240" i="1"/>
  <c r="P240" i="1"/>
  <c r="Y237" i="1"/>
  <c r="X237" i="1"/>
  <c r="Z236" i="1"/>
  <c r="X236" i="1"/>
  <c r="BO235" i="1"/>
  <c r="BM235" i="1"/>
  <c r="Z235" i="1"/>
  <c r="Y235" i="1"/>
  <c r="BO234" i="1"/>
  <c r="BM234" i="1"/>
  <c r="Z234" i="1"/>
  <c r="Y234" i="1"/>
  <c r="BO233" i="1"/>
  <c r="BM233" i="1"/>
  <c r="Z233" i="1"/>
  <c r="Y233" i="1"/>
  <c r="X231" i="1"/>
  <c r="X230" i="1"/>
  <c r="BO229" i="1"/>
  <c r="BM229" i="1"/>
  <c r="Z229" i="1"/>
  <c r="Z230" i="1" s="1"/>
  <c r="Y229" i="1"/>
  <c r="Y231" i="1" s="1"/>
  <c r="X226" i="1"/>
  <c r="X225" i="1"/>
  <c r="BP224" i="1"/>
  <c r="BO224" i="1"/>
  <c r="BN224" i="1"/>
  <c r="BM224" i="1"/>
  <c r="Z224" i="1"/>
  <c r="Y224" i="1"/>
  <c r="P224" i="1"/>
  <c r="BO223" i="1"/>
  <c r="BM223" i="1"/>
  <c r="Z223" i="1"/>
  <c r="Y223" i="1"/>
  <c r="BP223" i="1" s="1"/>
  <c r="P223" i="1"/>
  <c r="BP222" i="1"/>
  <c r="BO222" i="1"/>
  <c r="BN222" i="1"/>
  <c r="BM222" i="1"/>
  <c r="Z222" i="1"/>
  <c r="Y222" i="1"/>
  <c r="P222" i="1"/>
  <c r="BO221" i="1"/>
  <c r="BM221" i="1"/>
  <c r="Z221" i="1"/>
  <c r="Z225" i="1" s="1"/>
  <c r="Y221" i="1"/>
  <c r="Y226" i="1" s="1"/>
  <c r="P221" i="1"/>
  <c r="X218" i="1"/>
  <c r="X217" i="1"/>
  <c r="BO216" i="1"/>
  <c r="BM216" i="1"/>
  <c r="Z216" i="1"/>
  <c r="Y216" i="1"/>
  <c r="BP216" i="1" s="1"/>
  <c r="P216" i="1"/>
  <c r="BP215" i="1"/>
  <c r="BO215" i="1"/>
  <c r="BN215" i="1"/>
  <c r="BM215" i="1"/>
  <c r="Z215" i="1"/>
  <c r="Y215" i="1"/>
  <c r="P215" i="1"/>
  <c r="BO214" i="1"/>
  <c r="BM214" i="1"/>
  <c r="Z214" i="1"/>
  <c r="Y214" i="1"/>
  <c r="BP214" i="1" s="1"/>
  <c r="P214" i="1"/>
  <c r="BP213" i="1"/>
  <c r="BO213" i="1"/>
  <c r="BN213" i="1"/>
  <c r="BM213" i="1"/>
  <c r="Z213" i="1"/>
  <c r="Y213" i="1"/>
  <c r="P213" i="1"/>
  <c r="BO212" i="1"/>
  <c r="BM212" i="1"/>
  <c r="Z212" i="1"/>
  <c r="Y212" i="1"/>
  <c r="BP212" i="1" s="1"/>
  <c r="P212" i="1"/>
  <c r="BP211" i="1"/>
  <c r="BO211" i="1"/>
  <c r="BN211" i="1"/>
  <c r="BM211" i="1"/>
  <c r="Z211" i="1"/>
  <c r="Z217" i="1" s="1"/>
  <c r="Y211" i="1"/>
  <c r="Y217" i="1" s="1"/>
  <c r="P211" i="1"/>
  <c r="X208" i="1"/>
  <c r="X207" i="1"/>
  <c r="BP206" i="1"/>
  <c r="BO206" i="1"/>
  <c r="BN206" i="1"/>
  <c r="BM206" i="1"/>
  <c r="Z206" i="1"/>
  <c r="Y206" i="1"/>
  <c r="P206" i="1"/>
  <c r="BO205" i="1"/>
  <c r="BM205" i="1"/>
  <c r="Z205" i="1"/>
  <c r="Y205" i="1"/>
  <c r="BP205" i="1" s="1"/>
  <c r="P205" i="1"/>
  <c r="BP204" i="1"/>
  <c r="BO204" i="1"/>
  <c r="BN204" i="1"/>
  <c r="BM204" i="1"/>
  <c r="Z204" i="1"/>
  <c r="Z207" i="1" s="1"/>
  <c r="Y204" i="1"/>
  <c r="Y208" i="1" s="1"/>
  <c r="P204" i="1"/>
  <c r="X201" i="1"/>
  <c r="X200" i="1"/>
  <c r="BP199" i="1"/>
  <c r="BO199" i="1"/>
  <c r="BN199" i="1"/>
  <c r="BM199" i="1"/>
  <c r="Z199" i="1"/>
  <c r="Y199" i="1"/>
  <c r="P199" i="1"/>
  <c r="BO198" i="1"/>
  <c r="BM198" i="1"/>
  <c r="Z198" i="1"/>
  <c r="Y198" i="1"/>
  <c r="BP198" i="1" s="1"/>
  <c r="P198" i="1"/>
  <c r="BP197" i="1"/>
  <c r="BO197" i="1"/>
  <c r="BN197" i="1"/>
  <c r="BM197" i="1"/>
  <c r="Z197" i="1"/>
  <c r="Y197" i="1"/>
  <c r="P197" i="1"/>
  <c r="BO196" i="1"/>
  <c r="BM196" i="1"/>
  <c r="Z196" i="1"/>
  <c r="Z200" i="1" s="1"/>
  <c r="Y196" i="1"/>
  <c r="Y201" i="1" s="1"/>
  <c r="P196" i="1"/>
  <c r="X192" i="1"/>
  <c r="Z191" i="1"/>
  <c r="X191" i="1"/>
  <c r="BO190" i="1"/>
  <c r="BM190" i="1"/>
  <c r="Z190" i="1"/>
  <c r="Y190" i="1"/>
  <c r="Y191" i="1" s="1"/>
  <c r="X188" i="1"/>
  <c r="X187" i="1"/>
  <c r="BP186" i="1"/>
  <c r="BO186" i="1"/>
  <c r="BN186" i="1"/>
  <c r="BM186" i="1"/>
  <c r="Z186" i="1"/>
  <c r="Y186" i="1"/>
  <c r="P186" i="1"/>
  <c r="BO185" i="1"/>
  <c r="BM185" i="1"/>
  <c r="Z185" i="1"/>
  <c r="Y185" i="1"/>
  <c r="BP185" i="1" s="1"/>
  <c r="P185" i="1"/>
  <c r="BP184" i="1"/>
  <c r="BO184" i="1"/>
  <c r="BN184" i="1"/>
  <c r="BM184" i="1"/>
  <c r="Z184" i="1"/>
  <c r="Z187" i="1" s="1"/>
  <c r="Y184" i="1"/>
  <c r="Y188" i="1" s="1"/>
  <c r="P184" i="1"/>
  <c r="X180" i="1"/>
  <c r="X179" i="1"/>
  <c r="BP178" i="1"/>
  <c r="BO178" i="1"/>
  <c r="BN178" i="1"/>
  <c r="BM178" i="1"/>
  <c r="Z178" i="1"/>
  <c r="Y178" i="1"/>
  <c r="P178" i="1"/>
  <c r="BO177" i="1"/>
  <c r="BM177" i="1"/>
  <c r="Z177" i="1"/>
  <c r="Z179" i="1" s="1"/>
  <c r="Y177" i="1"/>
  <c r="Y180" i="1" s="1"/>
  <c r="P177" i="1"/>
  <c r="X175" i="1"/>
  <c r="X174" i="1"/>
  <c r="BO173" i="1"/>
  <c r="BM173" i="1"/>
  <c r="Z173" i="1"/>
  <c r="Y173" i="1"/>
  <c r="BP173" i="1" s="1"/>
  <c r="P173" i="1"/>
  <c r="BP172" i="1"/>
  <c r="BO172" i="1"/>
  <c r="BN172" i="1"/>
  <c r="BM172" i="1"/>
  <c r="Z172" i="1"/>
  <c r="Z174" i="1" s="1"/>
  <c r="Y172" i="1"/>
  <c r="P172" i="1"/>
  <c r="BO171" i="1"/>
  <c r="BM171" i="1"/>
  <c r="Z171" i="1"/>
  <c r="Y171" i="1"/>
  <c r="BP171" i="1" s="1"/>
  <c r="BO170" i="1"/>
  <c r="BM170" i="1"/>
  <c r="Z170" i="1"/>
  <c r="Y170" i="1"/>
  <c r="Y174" i="1" s="1"/>
  <c r="X167" i="1"/>
  <c r="Y166" i="1"/>
  <c r="X166" i="1"/>
  <c r="BP165" i="1"/>
  <c r="BO165" i="1"/>
  <c r="BN165" i="1"/>
  <c r="BM165" i="1"/>
  <c r="Z165" i="1"/>
  <c r="Z166" i="1" s="1"/>
  <c r="Y165" i="1"/>
  <c r="Y167" i="1" s="1"/>
  <c r="X161" i="1"/>
  <c r="Z160" i="1"/>
  <c r="X160" i="1"/>
  <c r="BO159" i="1"/>
  <c r="BM159" i="1"/>
  <c r="Z159" i="1"/>
  <c r="Y159" i="1"/>
  <c r="Y160" i="1" s="1"/>
  <c r="P159" i="1"/>
  <c r="X156" i="1"/>
  <c r="X155" i="1"/>
  <c r="BO154" i="1"/>
  <c r="BM154" i="1"/>
  <c r="Z154" i="1"/>
  <c r="Y154" i="1"/>
  <c r="BP154" i="1" s="1"/>
  <c r="P154" i="1"/>
  <c r="BP153" i="1"/>
  <c r="BO153" i="1"/>
  <c r="BN153" i="1"/>
  <c r="BM153" i="1"/>
  <c r="Z153" i="1"/>
  <c r="Z155" i="1" s="1"/>
  <c r="Y153" i="1"/>
  <c r="Y155" i="1" s="1"/>
  <c r="P153" i="1"/>
  <c r="X150" i="1"/>
  <c r="Y149" i="1"/>
  <c r="X149" i="1"/>
  <c r="BP148" i="1"/>
  <c r="BO148" i="1"/>
  <c r="BN148" i="1"/>
  <c r="BM148" i="1"/>
  <c r="Z148" i="1"/>
  <c r="Z149" i="1" s="1"/>
  <c r="Y148" i="1"/>
  <c r="Y150" i="1" s="1"/>
  <c r="P148" i="1"/>
  <c r="X145" i="1"/>
  <c r="Y144" i="1"/>
  <c r="X144" i="1"/>
  <c r="BP143" i="1"/>
  <c r="BO143" i="1"/>
  <c r="BN143" i="1"/>
  <c r="BM143" i="1"/>
  <c r="Z143" i="1"/>
  <c r="Z144" i="1" s="1"/>
  <c r="Y143" i="1"/>
  <c r="Y145" i="1" s="1"/>
  <c r="X140" i="1"/>
  <c r="X139" i="1"/>
  <c r="BO138" i="1"/>
  <c r="BM138" i="1"/>
  <c r="Z138" i="1"/>
  <c r="Y138" i="1"/>
  <c r="BP138" i="1" s="1"/>
  <c r="P138" i="1"/>
  <c r="BP137" i="1"/>
  <c r="BO137" i="1"/>
  <c r="BN137" i="1"/>
  <c r="BM137" i="1"/>
  <c r="Z137" i="1"/>
  <c r="Z139" i="1" s="1"/>
  <c r="Y137" i="1"/>
  <c r="Y139" i="1" s="1"/>
  <c r="P137" i="1"/>
  <c r="X134" i="1"/>
  <c r="X133" i="1"/>
  <c r="BP132" i="1"/>
  <c r="BO132" i="1"/>
  <c r="BN132" i="1"/>
  <c r="BM132" i="1"/>
  <c r="Z132" i="1"/>
  <c r="Y132" i="1"/>
  <c r="P132" i="1"/>
  <c r="BO131" i="1"/>
  <c r="BM131" i="1"/>
  <c r="Z131" i="1"/>
  <c r="Z133" i="1" s="1"/>
  <c r="Y131" i="1"/>
  <c r="Y134" i="1" s="1"/>
  <c r="P131" i="1"/>
  <c r="X128" i="1"/>
  <c r="X127" i="1"/>
  <c r="BO126" i="1"/>
  <c r="BM126" i="1"/>
  <c r="Z126" i="1"/>
  <c r="Y126" i="1"/>
  <c r="P126" i="1"/>
  <c r="BP125" i="1"/>
  <c r="BO125" i="1"/>
  <c r="BN125" i="1"/>
  <c r="BM125" i="1"/>
  <c r="Z125" i="1"/>
  <c r="Z127" i="1" s="1"/>
  <c r="Y125" i="1"/>
  <c r="P125" i="1"/>
  <c r="X122" i="1"/>
  <c r="Y121" i="1"/>
  <c r="X121" i="1"/>
  <c r="BP120" i="1"/>
  <c r="BO120" i="1"/>
  <c r="BN120" i="1"/>
  <c r="BM120" i="1"/>
  <c r="Z120" i="1"/>
  <c r="Z121" i="1" s="1"/>
  <c r="Y120" i="1"/>
  <c r="Y122" i="1" s="1"/>
  <c r="Y118" i="1"/>
  <c r="X118" i="1"/>
  <c r="Z117" i="1"/>
  <c r="X117" i="1"/>
  <c r="BO116" i="1"/>
  <c r="BM116" i="1"/>
  <c r="Z116" i="1"/>
  <c r="Y116" i="1"/>
  <c r="P116" i="1"/>
  <c r="BP115" i="1"/>
  <c r="BO115" i="1"/>
  <c r="BN115" i="1"/>
  <c r="BM115" i="1"/>
  <c r="Z115" i="1"/>
  <c r="Y115" i="1"/>
  <c r="P115" i="1"/>
  <c r="BO114" i="1"/>
  <c r="BM114" i="1"/>
  <c r="Z114" i="1"/>
  <c r="Y114" i="1"/>
  <c r="P114" i="1"/>
  <c r="BP113" i="1"/>
  <c r="BO113" i="1"/>
  <c r="BN113" i="1"/>
  <c r="BM113" i="1"/>
  <c r="Z113" i="1"/>
  <c r="Y113" i="1"/>
  <c r="P113" i="1"/>
  <c r="BO112" i="1"/>
  <c r="BM112" i="1"/>
  <c r="Z112" i="1"/>
  <c r="Y112" i="1"/>
  <c r="P112" i="1"/>
  <c r="BP111" i="1"/>
  <c r="BO111" i="1"/>
  <c r="BN111" i="1"/>
  <c r="BM111" i="1"/>
  <c r="Z111" i="1"/>
  <c r="Y111" i="1"/>
  <c r="Y117" i="1" s="1"/>
  <c r="X108" i="1"/>
  <c r="X107" i="1"/>
  <c r="BO106" i="1"/>
  <c r="BM106" i="1"/>
  <c r="Z106" i="1"/>
  <c r="Y106" i="1"/>
  <c r="P106" i="1"/>
  <c r="BP105" i="1"/>
  <c r="BO105" i="1"/>
  <c r="BN105" i="1"/>
  <c r="BM105" i="1"/>
  <c r="Z105" i="1"/>
  <c r="Y105" i="1"/>
  <c r="BP104" i="1"/>
  <c r="BO104" i="1"/>
  <c r="BN104" i="1"/>
  <c r="BM104" i="1"/>
  <c r="Z104" i="1"/>
  <c r="Z107" i="1" s="1"/>
  <c r="Y104" i="1"/>
  <c r="P104" i="1"/>
  <c r="X101" i="1"/>
  <c r="X100" i="1"/>
  <c r="BP99" i="1"/>
  <c r="BO99" i="1"/>
  <c r="BN99" i="1"/>
  <c r="BM99" i="1"/>
  <c r="Z99" i="1"/>
  <c r="Y99" i="1"/>
  <c r="P99" i="1"/>
  <c r="BO98" i="1"/>
  <c r="BM98" i="1"/>
  <c r="Z98" i="1"/>
  <c r="Y98" i="1"/>
  <c r="BO97" i="1"/>
  <c r="BM97" i="1"/>
  <c r="Z97" i="1"/>
  <c r="Y97" i="1"/>
  <c r="P97" i="1"/>
  <c r="BP96" i="1"/>
  <c r="BO96" i="1"/>
  <c r="BN96" i="1"/>
  <c r="BM96" i="1"/>
  <c r="Z96" i="1"/>
  <c r="Y96" i="1"/>
  <c r="BP95" i="1"/>
  <c r="BO95" i="1"/>
  <c r="BN95" i="1"/>
  <c r="BM95" i="1"/>
  <c r="Z95" i="1"/>
  <c r="Y95" i="1"/>
  <c r="P95" i="1"/>
  <c r="BO94" i="1"/>
  <c r="BM94" i="1"/>
  <c r="Z94" i="1"/>
  <c r="Y94" i="1"/>
  <c r="X91" i="1"/>
  <c r="Y90" i="1"/>
  <c r="X90" i="1"/>
  <c r="BP89" i="1"/>
  <c r="BO89" i="1"/>
  <c r="BN89" i="1"/>
  <c r="BM89" i="1"/>
  <c r="Z89" i="1"/>
  <c r="Y89" i="1"/>
  <c r="BP88" i="1"/>
  <c r="BO88" i="1"/>
  <c r="BN88" i="1"/>
  <c r="BM88" i="1"/>
  <c r="Z88" i="1"/>
  <c r="Z90" i="1" s="1"/>
  <c r="Y88" i="1"/>
  <c r="Y91" i="1" s="1"/>
  <c r="Y85" i="1"/>
  <c r="X85" i="1"/>
  <c r="Z84" i="1"/>
  <c r="X84" i="1"/>
  <c r="BO83" i="1"/>
  <c r="BM83" i="1"/>
  <c r="Z83" i="1"/>
  <c r="Y83" i="1"/>
  <c r="X80" i="1"/>
  <c r="X79" i="1"/>
  <c r="BP78" i="1"/>
  <c r="BO78" i="1"/>
  <c r="BN78" i="1"/>
  <c r="BM78" i="1"/>
  <c r="Z78" i="1"/>
  <c r="Y78" i="1"/>
  <c r="P78" i="1"/>
  <c r="BO77" i="1"/>
  <c r="BM77" i="1"/>
  <c r="Z77" i="1"/>
  <c r="Z79" i="1" s="1"/>
  <c r="Y77" i="1"/>
  <c r="P77" i="1"/>
  <c r="X74" i="1"/>
  <c r="Z73" i="1"/>
  <c r="X73" i="1"/>
  <c r="BO72" i="1"/>
  <c r="BM72" i="1"/>
  <c r="Z72" i="1"/>
  <c r="Y72" i="1"/>
  <c r="BO71" i="1"/>
  <c r="BM71" i="1"/>
  <c r="Z71" i="1"/>
  <c r="Y71" i="1"/>
  <c r="BO70" i="1"/>
  <c r="BM70" i="1"/>
  <c r="Z70" i="1"/>
  <c r="Y70" i="1"/>
  <c r="X68" i="1"/>
  <c r="Y67" i="1"/>
  <c r="X67" i="1"/>
  <c r="BP66" i="1"/>
  <c r="BO66" i="1"/>
  <c r="BN66" i="1"/>
  <c r="BM66" i="1"/>
  <c r="Z66" i="1"/>
  <c r="Z67" i="1" s="1"/>
  <c r="Y66" i="1"/>
  <c r="Y68" i="1" s="1"/>
  <c r="P66" i="1"/>
  <c r="X64" i="1"/>
  <c r="Y63" i="1"/>
  <c r="X63" i="1"/>
  <c r="BP62" i="1"/>
  <c r="BO62" i="1"/>
  <c r="BN62" i="1"/>
  <c r="BM62" i="1"/>
  <c r="Z62" i="1"/>
  <c r="Z63" i="1" s="1"/>
  <c r="Y62" i="1"/>
  <c r="Y64" i="1" s="1"/>
  <c r="Y60" i="1"/>
  <c r="X60" i="1"/>
  <c r="Z59" i="1"/>
  <c r="X59" i="1"/>
  <c r="BO58" i="1"/>
  <c r="BM58" i="1"/>
  <c r="Z58" i="1"/>
  <c r="Y58" i="1"/>
  <c r="X56" i="1"/>
  <c r="Y55" i="1"/>
  <c r="X55" i="1"/>
  <c r="BP54" i="1"/>
  <c r="BO54" i="1"/>
  <c r="BN54" i="1"/>
  <c r="BM54" i="1"/>
  <c r="Z54" i="1"/>
  <c r="Z55" i="1" s="1"/>
  <c r="Y54" i="1"/>
  <c r="Y56" i="1" s="1"/>
  <c r="X51" i="1"/>
  <c r="X50" i="1"/>
  <c r="BO49" i="1"/>
  <c r="BM49" i="1"/>
  <c r="Z49" i="1"/>
  <c r="Y49" i="1"/>
  <c r="P49" i="1"/>
  <c r="BP48" i="1"/>
  <c r="BO48" i="1"/>
  <c r="BN48" i="1"/>
  <c r="BM48" i="1"/>
  <c r="Z48" i="1"/>
  <c r="Y48" i="1"/>
  <c r="P48" i="1"/>
  <c r="BO47" i="1"/>
  <c r="BM47" i="1"/>
  <c r="Z47" i="1"/>
  <c r="Y47" i="1"/>
  <c r="P47" i="1"/>
  <c r="BP46" i="1"/>
  <c r="BO46" i="1"/>
  <c r="BN46" i="1"/>
  <c r="BM46" i="1"/>
  <c r="Z46" i="1"/>
  <c r="Y46" i="1"/>
  <c r="P46" i="1"/>
  <c r="BO45" i="1"/>
  <c r="BM45" i="1"/>
  <c r="Z45" i="1"/>
  <c r="Y45" i="1"/>
  <c r="P45" i="1"/>
  <c r="BP44" i="1"/>
  <c r="BO44" i="1"/>
  <c r="BN44" i="1"/>
  <c r="BM44" i="1"/>
  <c r="Z44" i="1"/>
  <c r="Y44" i="1"/>
  <c r="P44" i="1"/>
  <c r="BO43" i="1"/>
  <c r="BM43" i="1"/>
  <c r="Z43" i="1"/>
  <c r="Y43" i="1"/>
  <c r="P43" i="1"/>
  <c r="BP42" i="1"/>
  <c r="BO42" i="1"/>
  <c r="BN42" i="1"/>
  <c r="BM42" i="1"/>
  <c r="Z42" i="1"/>
  <c r="Z50" i="1" s="1"/>
  <c r="Y42" i="1"/>
  <c r="P42" i="1"/>
  <c r="X39" i="1"/>
  <c r="Y38" i="1"/>
  <c r="X38" i="1"/>
  <c r="BP37" i="1"/>
  <c r="BO37" i="1"/>
  <c r="BN37" i="1"/>
  <c r="BM37" i="1"/>
  <c r="Z37" i="1"/>
  <c r="Y37" i="1"/>
  <c r="BP36" i="1"/>
  <c r="BO36" i="1"/>
  <c r="BN36" i="1"/>
  <c r="BM36" i="1"/>
  <c r="Z36" i="1"/>
  <c r="Y36" i="1"/>
  <c r="BP35" i="1"/>
  <c r="BO35" i="1"/>
  <c r="BN35" i="1"/>
  <c r="BM35" i="1"/>
  <c r="Z35" i="1"/>
  <c r="Z38" i="1" s="1"/>
  <c r="Y35" i="1"/>
  <c r="Y39" i="1" s="1"/>
  <c r="Y32" i="1"/>
  <c r="X32" i="1"/>
  <c r="Z31" i="1"/>
  <c r="X31" i="1"/>
  <c r="BO30" i="1"/>
  <c r="BM30" i="1"/>
  <c r="Z30" i="1"/>
  <c r="Y30" i="1"/>
  <c r="BO29" i="1"/>
  <c r="BM29" i="1"/>
  <c r="Z29" i="1"/>
  <c r="Y29" i="1"/>
  <c r="BO28" i="1"/>
  <c r="X326" i="1" s="1"/>
  <c r="BM28" i="1"/>
  <c r="Z28" i="1"/>
  <c r="Y28" i="1"/>
  <c r="X24" i="1"/>
  <c r="X324" i="1" s="1"/>
  <c r="Y23" i="1"/>
  <c r="X23" i="1"/>
  <c r="BP22" i="1"/>
  <c r="BO22" i="1"/>
  <c r="BN22" i="1"/>
  <c r="BM22" i="1"/>
  <c r="X325" i="1" s="1"/>
  <c r="X327" i="1" s="1"/>
  <c r="Z22" i="1"/>
  <c r="Z23" i="1" s="1"/>
  <c r="Y22" i="1"/>
  <c r="Y24" i="1" s="1"/>
  <c r="P22" i="1"/>
  <c r="H10" i="1"/>
  <c r="F10" i="1"/>
  <c r="J9" i="1"/>
  <c r="F9" i="1"/>
  <c r="A9" i="1"/>
  <c r="A10" i="1" s="1"/>
  <c r="D7" i="1"/>
  <c r="Q6" i="1"/>
  <c r="P2" i="1"/>
  <c r="BP43" i="1" l="1"/>
  <c r="BN43" i="1"/>
  <c r="BP45" i="1"/>
  <c r="BN45" i="1"/>
  <c r="BP47" i="1"/>
  <c r="BN47" i="1"/>
  <c r="BP49" i="1"/>
  <c r="BN49" i="1"/>
  <c r="Y73" i="1"/>
  <c r="BP70" i="1"/>
  <c r="BN70" i="1"/>
  <c r="BP71" i="1"/>
  <c r="BN71" i="1"/>
  <c r="BP72" i="1"/>
  <c r="BN72" i="1"/>
  <c r="Y101" i="1"/>
  <c r="BP94" i="1"/>
  <c r="BN94" i="1"/>
  <c r="BP97" i="1"/>
  <c r="BN97" i="1"/>
  <c r="BP98" i="1"/>
  <c r="BN98" i="1"/>
  <c r="Y100" i="1"/>
  <c r="BP106" i="1"/>
  <c r="BN106" i="1"/>
  <c r="BP126" i="1"/>
  <c r="BN126" i="1"/>
  <c r="Y128" i="1"/>
  <c r="Y31" i="1"/>
  <c r="BP28" i="1"/>
  <c r="Y326" i="1" s="1"/>
  <c r="BN28" i="1"/>
  <c r="BP29" i="1"/>
  <c r="BN29" i="1"/>
  <c r="BP30" i="1"/>
  <c r="BN30" i="1"/>
  <c r="X328" i="1"/>
  <c r="Y50" i="1"/>
  <c r="Y51" i="1"/>
  <c r="Y324" i="1" s="1"/>
  <c r="Y59" i="1"/>
  <c r="BP58" i="1"/>
  <c r="BN58" i="1"/>
  <c r="Y74" i="1"/>
  <c r="Y80" i="1"/>
  <c r="BP77" i="1"/>
  <c r="BN77" i="1"/>
  <c r="Y79" i="1"/>
  <c r="Y328" i="1" s="1"/>
  <c r="Y84" i="1"/>
  <c r="BP83" i="1"/>
  <c r="BN83" i="1"/>
  <c r="Z100" i="1"/>
  <c r="Z329" i="1" s="1"/>
  <c r="Y107" i="1"/>
  <c r="Y108" i="1"/>
  <c r="BP112" i="1"/>
  <c r="BN112" i="1"/>
  <c r="Y325" i="1" s="1"/>
  <c r="Y327" i="1" s="1"/>
  <c r="BP114" i="1"/>
  <c r="BN114" i="1"/>
  <c r="BP116" i="1"/>
  <c r="BN116" i="1"/>
  <c r="Y127" i="1"/>
  <c r="Y133" i="1"/>
  <c r="Y140" i="1"/>
  <c r="Y156" i="1"/>
  <c r="Y161" i="1"/>
  <c r="Y175" i="1"/>
  <c r="Y179" i="1"/>
  <c r="Y187" i="1"/>
  <c r="Y192" i="1"/>
  <c r="Y200" i="1"/>
  <c r="Y207" i="1"/>
  <c r="Y218" i="1"/>
  <c r="Y225" i="1"/>
  <c r="Y241" i="1"/>
  <c r="BP240" i="1"/>
  <c r="BN240" i="1"/>
  <c r="Y278" i="1"/>
  <c r="BP275" i="1"/>
  <c r="BN275" i="1"/>
  <c r="BP276" i="1"/>
  <c r="BN276" i="1"/>
  <c r="BP277" i="1"/>
  <c r="BN277" i="1"/>
  <c r="Y287" i="1"/>
  <c r="BP285" i="1"/>
  <c r="BN285" i="1"/>
  <c r="BP286" i="1"/>
  <c r="BN286" i="1"/>
  <c r="H9" i="1"/>
  <c r="BN131" i="1"/>
  <c r="BP131" i="1"/>
  <c r="BN138" i="1"/>
  <c r="BN154" i="1"/>
  <c r="BN159" i="1"/>
  <c r="BP159" i="1"/>
  <c r="BN170" i="1"/>
  <c r="BP170" i="1"/>
  <c r="BN171" i="1"/>
  <c r="BN173" i="1"/>
  <c r="BN177" i="1"/>
  <c r="BP177" i="1"/>
  <c r="BN185" i="1"/>
  <c r="BN190" i="1"/>
  <c r="BP190" i="1"/>
  <c r="BN196" i="1"/>
  <c r="BP196" i="1"/>
  <c r="BN198" i="1"/>
  <c r="BN205" i="1"/>
  <c r="BN212" i="1"/>
  <c r="BN214" i="1"/>
  <c r="BN216" i="1"/>
  <c r="BN221" i="1"/>
  <c r="BP221" i="1"/>
  <c r="BN223" i="1"/>
  <c r="BN229" i="1"/>
  <c r="BP229" i="1"/>
  <c r="Y230" i="1"/>
  <c r="Y236" i="1"/>
  <c r="BP233" i="1"/>
  <c r="BN233" i="1"/>
  <c r="BP234" i="1"/>
  <c r="BN234" i="1"/>
  <c r="BP235" i="1"/>
  <c r="BN235" i="1"/>
  <c r="Y242" i="1"/>
  <c r="Y248" i="1"/>
  <c r="BP245" i="1"/>
  <c r="BN245" i="1"/>
  <c r="Y247" i="1"/>
  <c r="BP259" i="1"/>
  <c r="BN259" i="1"/>
  <c r="Y279" i="1"/>
  <c r="Y282" i="1"/>
  <c r="BP281" i="1"/>
  <c r="BN281" i="1"/>
  <c r="Y288" i="1"/>
  <c r="BP291" i="1"/>
  <c r="BN291" i="1"/>
  <c r="Y293" i="1"/>
  <c r="Y317" i="1"/>
  <c r="BP296" i="1"/>
  <c r="BN296" i="1"/>
  <c r="BP297" i="1"/>
  <c r="BN297" i="1"/>
  <c r="BP301" i="1"/>
  <c r="BN301" i="1"/>
  <c r="BP302" i="1"/>
  <c r="BN302" i="1"/>
  <c r="BP305" i="1"/>
  <c r="BN305" i="1"/>
  <c r="BP306" i="1"/>
  <c r="BN306" i="1"/>
  <c r="BP307" i="1"/>
  <c r="BN307" i="1"/>
  <c r="BP308" i="1"/>
  <c r="BN308" i="1"/>
  <c r="BP309" i="1"/>
  <c r="BN309" i="1"/>
  <c r="BP310" i="1"/>
  <c r="BN310" i="1"/>
  <c r="BP311" i="1"/>
  <c r="BN311" i="1"/>
  <c r="BP312" i="1"/>
  <c r="BN312" i="1"/>
  <c r="BP313" i="1"/>
  <c r="BN313" i="1"/>
  <c r="BP314" i="1"/>
  <c r="BN314" i="1"/>
  <c r="BP315" i="1"/>
  <c r="BN315" i="1"/>
  <c r="BP316" i="1"/>
  <c r="BN316" i="1"/>
  <c r="C337" i="1" l="1"/>
  <c r="B337" i="1"/>
  <c r="A337" i="1"/>
</calcChain>
</file>

<file path=xl/sharedStrings.xml><?xml version="1.0" encoding="utf-8"?>
<sst xmlns="http://schemas.openxmlformats.org/spreadsheetml/2006/main" count="1617" uniqueCount="547">
  <si>
    <t xml:space="preserve">  БЛАНК ЗАКАЗА </t>
  </si>
  <si>
    <t>ЗПФ</t>
  </si>
  <si>
    <t>на отгрузку продукции с ООО Трейд-Сервис с</t>
  </si>
  <si>
    <t>23.04.2025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</si>
  <si>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</si>
  <si>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</si>
  <si>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</si>
  <si>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</si>
  <si>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</si>
  <si>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</si>
  <si>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</si>
  <si>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</si>
  <si>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</si>
  <si>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Трояны с.,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</si>
  <si>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</si>
  <si>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</si>
  <si>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</si>
  <si>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</si>
  <si>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</si>
  <si>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</si>
  <si>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</si>
  <si>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</si>
  <si>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</si>
  <si>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</si>
  <si>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</si>
  <si>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</si>
  <si>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</si>
  <si>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</si>
  <si>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</si>
  <si>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</si>
  <si>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</si>
  <si>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</si>
  <si>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</si>
  <si>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</si>
  <si>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</si>
  <si>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</si>
  <si>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</si>
  <si>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</si>
  <si>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</si>
  <si>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</si>
  <si>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</si>
  <si>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</si>
  <si>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</si>
  <si>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</si>
  <si>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</si>
  <si>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</si>
  <si>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</si>
  <si>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</si>
  <si>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</si>
  <si>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</si>
  <si>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</si>
  <si>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</si>
  <si>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</si>
  <si>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</si>
  <si>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</si>
  <si>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</si>
  <si>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</si>
  <si>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</si>
  <si>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</si>
  <si>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</si>
  <si>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</si>
  <si>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</si>
  <si>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Пельмени</t>
  </si>
  <si>
    <t>SU002224</t>
  </si>
  <si>
    <t>P002928</t>
  </si>
  <si>
    <t>12</t>
  </si>
  <si>
    <t>Короб, мин. 1</t>
  </si>
  <si>
    <t>МГ</t>
  </si>
  <si>
    <t>кор</t>
  </si>
  <si>
    <t>ЕАЭС N RU Д-RU.РА01.В.80841/20</t>
  </si>
  <si>
    <t>Короб</t>
  </si>
  <si>
    <t>Итого</t>
  </si>
  <si>
    <t>кг</t>
  </si>
  <si>
    <t>Горячая штучка</t>
  </si>
  <si>
    <t>Наггетсы ГШ</t>
  </si>
  <si>
    <t>Наггетсы</t>
  </si>
  <si>
    <t>SU003599</t>
  </si>
  <si>
    <t>P004603</t>
  </si>
  <si>
    <t>14</t>
  </si>
  <si>
    <t>Наггетсы «Нагетосы Сочная курочка в хрустящей панировке» Фикс.вес 0,25 ТМ «Горячая штучка»</t>
  </si>
  <si>
    <t>ЕАЭС N RU Д-RU.РА10.В.22386/23</t>
  </si>
  <si>
    <t>ПГП</t>
  </si>
  <si>
    <t>SU003598</t>
  </si>
  <si>
    <t>P004602</t>
  </si>
  <si>
    <t>Наггетсы «Нагетосы Сочная курочка» Фикс.вес 0,25 ТМ «Горячая штучка»</t>
  </si>
  <si>
    <t>SU003600</t>
  </si>
  <si>
    <t>P004600</t>
  </si>
  <si>
    <t>Наггетсы «Нагетосы Сочная курочка со сметаной и зеленью» Фикс.вес 0,25 ТМ «Горячая штучка»</t>
  </si>
  <si>
    <t>Grandmeni</t>
  </si>
  <si>
    <t>SU003826</t>
  </si>
  <si>
    <t>P004887</t>
  </si>
  <si>
    <t>Пельмени «Grandmeni с говядиной» Фикс.вес 0,7 сфера ТМ «Горячая штучка»</t>
  </si>
  <si>
    <t>ЕАЭС N RU Д-RU.РА05.В.25234/24</t>
  </si>
  <si>
    <t>SU003828</t>
  </si>
  <si>
    <t>P004889</t>
  </si>
  <si>
    <t>Пельмени «Grandmeni с говядиной и свининой» Фикс.вес 0,7 классическая форма ТМ «Горячая штучка»</t>
  </si>
  <si>
    <t>ЕАЭС N RU Д-RU.РА05.В.16662/24</t>
  </si>
  <si>
    <t>SU003827</t>
  </si>
  <si>
    <t>P004888</t>
  </si>
  <si>
    <t>Пельмени «Grandmeni со сливочным маслом» Фикс.вес 0,7 сфера ТМ «Горячая штучка»</t>
  </si>
  <si>
    <t>ЕАЭС N RU Д-RU.РА05.В.39960/24</t>
  </si>
  <si>
    <t>Бигбули ГШ</t>
  </si>
  <si>
    <t>SU003386</t>
  </si>
  <si>
    <t>P004202</t>
  </si>
  <si>
    <t>ЕАЭС N RU Д-RU.РА06.В.58287/22</t>
  </si>
  <si>
    <t>SU002708</t>
  </si>
  <si>
    <t>P003682</t>
  </si>
  <si>
    <t>SU003532</t>
  </si>
  <si>
    <t>P004440</t>
  </si>
  <si>
    <t>SU003531</t>
  </si>
  <si>
    <t>P004441</t>
  </si>
  <si>
    <t>ЕАЭС N RU Д-RU.РА04.В.26948/22</t>
  </si>
  <si>
    <t>SU003385</t>
  </si>
  <si>
    <t>P004203</t>
  </si>
  <si>
    <t>SU003530</t>
  </si>
  <si>
    <t>P004443</t>
  </si>
  <si>
    <t>SU002624</t>
  </si>
  <si>
    <t>P003678</t>
  </si>
  <si>
    <t>SU003529</t>
  </si>
  <si>
    <t>P004442</t>
  </si>
  <si>
    <t>Foodgital</t>
  </si>
  <si>
    <t>SU003691</t>
  </si>
  <si>
    <t>P004772</t>
  </si>
  <si>
    <t>Пельмени «Пельмени» Фикс.вес 0,43 сфера ТС «Foodgital» ТМ «Горячая штучка»</t>
  </si>
  <si>
    <t>ЕАЭС N RU Д-RU.РА08.В.01107/24</t>
  </si>
  <si>
    <t>Котлеты</t>
  </si>
  <si>
    <t>SU003679</t>
  </si>
  <si>
    <t>P004730</t>
  </si>
  <si>
    <t>Котлеты «Котлеты» Фикс.вес 0,18 ТС «Foodgital» ТМ «Горячая штучка»</t>
  </si>
  <si>
    <t>ЕАЭС N RU Д-RU.РА05.В.89397/22</t>
  </si>
  <si>
    <t>SU003678</t>
  </si>
  <si>
    <t>P004731</t>
  </si>
  <si>
    <t>Наггетсы «Наггетсы» Фикс.вес 0,2 ТС «Foodgital» ТМ «Горячая штучка»</t>
  </si>
  <si>
    <t>ЕАЭС N RU Д-RU.РА03.В.95139/22</t>
  </si>
  <si>
    <t>Чебуреки</t>
  </si>
  <si>
    <t>SU002657</t>
  </si>
  <si>
    <t>P003038</t>
  </si>
  <si>
    <t>ЕАЭС N RU Д-RU.РА03.В.64590/22</t>
  </si>
  <si>
    <t>Снеки</t>
  </si>
  <si>
    <t>SU003680</t>
  </si>
  <si>
    <t>P004732</t>
  </si>
  <si>
    <t>Снеки «Чебупели» Фикс.вес 0,2 ТС «Foodgital» ТМ «Горячая штучка»</t>
  </si>
  <si>
    <t>SU003677</t>
  </si>
  <si>
    <t>P004733</t>
  </si>
  <si>
    <t>Снеки «Чебупицца Маргарита» Фикс.вес 0,2 ТС «Foodgital» ТМ «Горячая штучка»</t>
  </si>
  <si>
    <t>ЕАЭС N RU Д-RU.РА04.В.97529/23</t>
  </si>
  <si>
    <t>SU003676</t>
  </si>
  <si>
    <t>P004818</t>
  </si>
  <si>
    <t>Снеки «Чебупицца со вкусом 4 сыра» Фикс.вес 0,2 ТС «Foodgital» ТМ «Горячая штучка»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</si>
  <si>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</si>
  <si>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</si>
  <si>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</si>
  <si>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</si>
  <si>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</si>
  <si>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</si>
  <si>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</si>
  <si>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</si>
  <si>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</si>
  <si>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</si>
  <si>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Снеки «Бельмеши сочные с мясом» Фикс.вес 0,3 Пакет ТМ «Горячая штучка»</t>
  </si>
  <si>
    <t>ЕАЭС N RU Д-RU.РА02.В.49579/23</t>
  </si>
  <si>
    <t>Крылышки ГШ</t>
  </si>
  <si>
    <t>Крылья</t>
  </si>
  <si>
    <t>SU003591</t>
  </si>
  <si>
    <t>P004588</t>
  </si>
  <si>
    <t>Крылья «Хрустящие крылышки» Фикс.вес 0,3 Пакет ТМ «Горячая штучка»</t>
  </si>
  <si>
    <t>ЕАЭС N RU Д-RU.РА10.В.35725/23</t>
  </si>
  <si>
    <t>SU003607</t>
  </si>
  <si>
    <t>P004589</t>
  </si>
  <si>
    <t>Крылья «Крылышки острые к пиву» Фикс.вес 0,3 Пакет ТМ «Горячая штучка»</t>
  </si>
  <si>
    <t>ЕАЭС N RU Д-RU.РА01.В.97554/24</t>
  </si>
  <si>
    <t>Чебупели</t>
  </si>
  <si>
    <t>SU003608</t>
  </si>
  <si>
    <t>P004592</t>
  </si>
  <si>
    <t>Снеки «Чебупели острые» Фикс.вес 0,3 Пакет ТМ «Горячая штучка»</t>
  </si>
  <si>
    <t>SU003609</t>
  </si>
  <si>
    <t>P004584</t>
  </si>
  <si>
    <t>SU003594</t>
  </si>
  <si>
    <t>P004599</t>
  </si>
  <si>
    <t>Снеки «Чебупели с мясом без свинины» Фикс.вес 0,3 Пакет ТМ «Горячая штучка»</t>
  </si>
  <si>
    <t>ЕАЭС N RU Д-RU.РА01.В.13713/23</t>
  </si>
  <si>
    <t>SU003604</t>
  </si>
  <si>
    <t>P004605</t>
  </si>
  <si>
    <t>SU003605</t>
  </si>
  <si>
    <t>P004595</t>
  </si>
  <si>
    <t>Снеки «Готовые чебупели сочные с мясом» Фикс.вес 0,48 ТМ «Горячая штучка»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</si>
  <si>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</si>
  <si>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</si>
  <si>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</si>
  <si>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</si>
  <si>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</si>
  <si>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</si>
  <si>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</si>
  <si>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</si>
  <si>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</si>
  <si>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Чебуреки «Чебуреки со свининой и говядиной» Фикс.вес 0,36 Пакет ТМ «Горячая штучка»</t>
  </si>
  <si>
    <t>SU002570</t>
  </si>
  <si>
    <t>P004122</t>
  </si>
  <si>
    <t>ЕАЭС N RU Д-RU.РА02.В.33144/23</t>
  </si>
  <si>
    <t>Бульмени ГШ</t>
  </si>
  <si>
    <t>SU003717</t>
  </si>
  <si>
    <t>P004819</t>
  </si>
  <si>
    <t>Пельмени «Бульмени мини с мясом и оливковым маслом» Фикс.вес 0,7 сфера ТМ «Горячая штучка»</t>
  </si>
  <si>
    <t>ЕАЭС N RU Д-RU.РА01.В.70735/25</t>
  </si>
  <si>
    <t>SU003527</t>
  </si>
  <si>
    <t>P004474</t>
  </si>
  <si>
    <t>SU002627</t>
  </si>
  <si>
    <t>P003686</t>
  </si>
  <si>
    <t>SU003460</t>
  </si>
  <si>
    <t>P004345</t>
  </si>
  <si>
    <t>SU003528</t>
  </si>
  <si>
    <t>P004444</t>
  </si>
  <si>
    <t>SU003459</t>
  </si>
  <si>
    <t>P004346</t>
  </si>
  <si>
    <t>SU003727</t>
  </si>
  <si>
    <t>P004749</t>
  </si>
  <si>
    <t>Снеки «Бульмени хрустящие с мясом» Фикс.вес 0,22 сфера ТМ «Горячая штучка»</t>
  </si>
  <si>
    <t>ЕАЭС N RU Д-RU.РА01.В.73804/25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</si>
  <si>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</si>
  <si>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</si>
  <si>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</si>
  <si>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</si>
  <si>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</si>
  <si>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</si>
  <si>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</si>
  <si>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SU003384</t>
  </si>
  <si>
    <t>P004205</t>
  </si>
  <si>
    <t>ЕАЭС N RU Д-RU.РА02.В.13267/24</t>
  </si>
  <si>
    <t>SU003576</t>
  </si>
  <si>
    <t>P004489</t>
  </si>
  <si>
    <t>ЕАЭС N RU Д-RU.РА05.В.14086/23</t>
  </si>
  <si>
    <t>Круггетсы</t>
  </si>
  <si>
    <t>SU000194</t>
  </si>
  <si>
    <t>P004095</t>
  </si>
  <si>
    <t>ЕАЭС N RU Д-RU.РА09.В.48842/23, ЕАЭС N RU Д-RU.РА10.В.33475/23</t>
  </si>
  <si>
    <t>SU000195</t>
  </si>
  <si>
    <t>P004097</t>
  </si>
  <si>
    <t>Пекерсы</t>
  </si>
  <si>
    <t>SU003596</t>
  </si>
  <si>
    <t>P004594</t>
  </si>
  <si>
    <t>Снеки «Пекерсы с индейкой в сливочном соусе» Фикс.вес 0,25 Пакет ТМ «Горячая штучка»</t>
  </si>
  <si>
    <t>ЕАЭС N RU Д-RU.РА05.В.54714/24</t>
  </si>
  <si>
    <t>Хот-Догстер</t>
  </si>
  <si>
    <t>SU003632</t>
  </si>
  <si>
    <t>P004630</t>
  </si>
  <si>
    <t>Супермени</t>
  </si>
  <si>
    <t>Пельмени ПГП</t>
  </si>
  <si>
    <t>SU002176</t>
  </si>
  <si>
    <t>P004522</t>
  </si>
  <si>
    <t>6</t>
  </si>
  <si>
    <t>ЕАЭС N RU Д-RU.РА02.В.69059/24</t>
  </si>
  <si>
    <t>SU002177</t>
  </si>
  <si>
    <t>P004523</t>
  </si>
  <si>
    <t>Чебуманы</t>
  </si>
  <si>
    <t>SU002668</t>
  </si>
  <si>
    <t>P004109</t>
  </si>
  <si>
    <t>ЕАЭС N RU Д-RU.РА10.В.56532/23</t>
  </si>
  <si>
    <t>No Name</t>
  </si>
  <si>
    <t>Зареченские продукты</t>
  </si>
  <si>
    <t>SU003415</t>
  </si>
  <si>
    <t>P004235</t>
  </si>
  <si>
    <t>Снеки «Сосисоны в темпуре» Весовой ТМ «No Name» 1,8</t>
  </si>
  <si>
    <t>No Name ЗПФ</t>
  </si>
  <si>
    <t>SU002396</t>
  </si>
  <si>
    <t>P004620</t>
  </si>
  <si>
    <t>Пельмени «Зареченские» Весовые Сфера ТМ «No name» 5 кг</t>
  </si>
  <si>
    <t>ЕАЭС N RU Д-RU.РА05.В.15328/24</t>
  </si>
  <si>
    <t>SU002314</t>
  </si>
  <si>
    <t>P004568</t>
  </si>
  <si>
    <t>Пельмени «Хинкали Классические» Весовые ТМ «Зареченские» 5 кг</t>
  </si>
  <si>
    <t>ЕАЭС N RU Д-RU.РА08.80803/23</t>
  </si>
  <si>
    <t>SU000197</t>
  </si>
  <si>
    <t>P004472</t>
  </si>
  <si>
    <t>ЕАЭС N RU Д-RU.РА08.В.65691/23</t>
  </si>
  <si>
    <t>SU002335</t>
  </si>
  <si>
    <t>P004619</t>
  </si>
  <si>
    <t>ЕАЭС N RU Д-RU.РА05.В.15378/24</t>
  </si>
  <si>
    <t>Вареники</t>
  </si>
  <si>
    <t>SU002532</t>
  </si>
  <si>
    <t>P002958</t>
  </si>
  <si>
    <t>ЕАЭС N RU Д-RU.РА01.В.17205/22</t>
  </si>
  <si>
    <t>SU002483</t>
  </si>
  <si>
    <t>P002961</t>
  </si>
  <si>
    <t>Вязанка</t>
  </si>
  <si>
    <t>Сливушка</t>
  </si>
  <si>
    <t>SU003800</t>
  </si>
  <si>
    <t>P004496</t>
  </si>
  <si>
    <t>ЕАЭС N RU Д-RU.РА04.В.84034/24</t>
  </si>
  <si>
    <t>SU003797</t>
  </si>
  <si>
    <t>P004497</t>
  </si>
  <si>
    <t>ЕАЭС N RU Д-RU.РА06.В.19349/24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</si>
  <si>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</si>
  <si>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</si>
  <si>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</si>
  <si>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</si>
  <si>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</si>
  <si>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</si>
  <si>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</si>
  <si>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</si>
  <si>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</si>
  <si>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Д-RU.РА05.В.23448/24</t>
  </si>
  <si>
    <t>КИЗ</t>
  </si>
  <si>
    <t>Стародворье</t>
  </si>
  <si>
    <t>Стародворье ПГП</t>
  </si>
  <si>
    <t>SU003777</t>
  </si>
  <si>
    <t>P004822</t>
  </si>
  <si>
    <t>ЕАЭС N RU Д-RU.РА08.В.93674/24</t>
  </si>
  <si>
    <t>SU003721</t>
  </si>
  <si>
    <t>P004811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</si>
  <si>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</si>
  <si>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</si>
  <si>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</si>
  <si>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</si>
  <si>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</si>
  <si>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</si>
  <si>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Мясорубская</t>
  </si>
  <si>
    <t>SU002920</t>
  </si>
  <si>
    <t>P003355</t>
  </si>
  <si>
    <t>ЕАЭС N RU Д-RU.РА01.В.79461/23</t>
  </si>
  <si>
    <t>SU003145</t>
  </si>
  <si>
    <t>P003731</t>
  </si>
  <si>
    <t>ЕАЭС N RU Д-RU.РА07.В.92933/23</t>
  </si>
  <si>
    <t>SU003077</t>
  </si>
  <si>
    <t>P003648</t>
  </si>
  <si>
    <t>ЕАЭС N RU Д-RU. РА06.В.00394/23</t>
  </si>
  <si>
    <t>Медвежьи ушки</t>
  </si>
  <si>
    <t>SU003260</t>
  </si>
  <si>
    <t>P003918</t>
  </si>
  <si>
    <t>ЕАЭС N RU Д-RU.РА10.В.37060/23</t>
  </si>
  <si>
    <t>SU003259</t>
  </si>
  <si>
    <t>P003920</t>
  </si>
  <si>
    <t>SU003064</t>
  </si>
  <si>
    <t>P003639</t>
  </si>
  <si>
    <t>ЕАЭС N RU Д-RU.РА02.В.30885/24</t>
  </si>
  <si>
    <t>SU003065</t>
  </si>
  <si>
    <t>P003641</t>
  </si>
  <si>
    <t>SU003066</t>
  </si>
  <si>
    <t>P003630</t>
  </si>
  <si>
    <t>SU003067</t>
  </si>
  <si>
    <t>P003631</t>
  </si>
  <si>
    <t>Медвежье ушко</t>
  </si>
  <si>
    <t>SU002069</t>
  </si>
  <si>
    <t>P003001</t>
  </si>
  <si>
    <t>ЕАЭС N RU Д-RU.PA01.B.06796/21</t>
  </si>
  <si>
    <t>SU002066</t>
  </si>
  <si>
    <t>P003004</t>
  </si>
  <si>
    <t>SU002067</t>
  </si>
  <si>
    <t>P002999</t>
  </si>
  <si>
    <t>ЕАЭС N RU Д-RU.PA01.B.05295/21</t>
  </si>
  <si>
    <t>SU002068</t>
  </si>
  <si>
    <t>P003005</t>
  </si>
  <si>
    <t>Добросельские ЭТМ</t>
  </si>
  <si>
    <t>SU003841</t>
  </si>
  <si>
    <t>P004905</t>
  </si>
  <si>
    <t>Пельмени «Добросельские со свининой и говядиной» Фикс.вес 0,65 классическая форма ТМ «Стародворье»</t>
  </si>
  <si>
    <t>ЕАЭС N RU Д-RU.РА10.В.54690/24</t>
  </si>
  <si>
    <t>SU003708</t>
  </si>
  <si>
    <t>P004806</t>
  </si>
  <si>
    <t>Снеки «Жареные вареники с картофелем и беконом Добросельские» Фикс.вес 0,2 ТМ «Стародворье»</t>
  </si>
  <si>
    <t>ЕАЭС N RU Д-RU.РА10.В.24095/24</t>
  </si>
  <si>
    <t>SU003706</t>
  </si>
  <si>
    <t>P004804</t>
  </si>
  <si>
    <t>Снеки «Жареные пельмени с мясом Добросельские» Фикс.вес 0,2 ТМ «Стародворье»</t>
  </si>
  <si>
    <t>SU003707</t>
  </si>
  <si>
    <t>P004805</t>
  </si>
  <si>
    <t>Снеки «Жареные пельмени с мясом и сыром Добросельские» Фикс.вес 0,2 ТМ «Стародворье»</t>
  </si>
  <si>
    <t>Бордо</t>
  </si>
  <si>
    <t>SU002678</t>
  </si>
  <si>
    <t>P003054</t>
  </si>
  <si>
    <t>ЕАЭС N RU Д-RU.РА03.В.16517/23</t>
  </si>
  <si>
    <t>Сочные</t>
  </si>
  <si>
    <t>SU001859</t>
  </si>
  <si>
    <t>P004634</t>
  </si>
  <si>
    <t>ЕАЭС N RU Д-RU.РА01.В.86265/24</t>
  </si>
  <si>
    <t>SU003291</t>
  </si>
  <si>
    <t>P004009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</si>
  <si>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</si>
  <si>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</si>
  <si>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</si>
  <si>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</si>
  <si>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</si>
  <si>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</si>
  <si>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</si>
  <si>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</si>
  <si>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</si>
  <si>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SU003146</t>
  </si>
  <si>
    <t>P003732</t>
  </si>
  <si>
    <t>ЕАЭС N RU Д-RU.РА10.В.21233/23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</si>
  <si>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</si>
  <si>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</si>
  <si>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</si>
  <si>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</si>
  <si>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</si>
  <si>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Печеные пельмени «Владимирский стандарт с сочной курочкой» Фикс.вес 0,25 ТМ «Владимирский стандарт»</t>
  </si>
  <si>
    <t>ЕАЭС N RU Д-RU.РА04.В.81528/24</t>
  </si>
  <si>
    <t>SU003458</t>
  </si>
  <si>
    <t>P004385</t>
  </si>
  <si>
    <t>SU003319</t>
  </si>
  <si>
    <t>P004053</t>
  </si>
  <si>
    <t>Пельмени «Домашние» 0,7 сфера ТМ «Зареченские»</t>
  </si>
  <si>
    <t>ЕАЭС N RU Д-RU.РА01.В.15225/24</t>
  </si>
  <si>
    <t>SU003320</t>
  </si>
  <si>
    <t>P004060</t>
  </si>
  <si>
    <t>Пельмени «Домашние со сливочным маслом» 0,7 сфера ТМ «Зареченские»</t>
  </si>
  <si>
    <t>SU003086</t>
  </si>
  <si>
    <t>P003803</t>
  </si>
  <si>
    <t>Пельмени «Жемчужные» 1,0 сфера ТМ «Зареченские»</t>
  </si>
  <si>
    <t>ЕАЭС N RU Д-RU.РА05.В.31150/22</t>
  </si>
  <si>
    <t>SU003024</t>
  </si>
  <si>
    <t>P003488</t>
  </si>
  <si>
    <t>ЕАЭС N RU Д-RU. РА04.В.81210/23</t>
  </si>
  <si>
    <t>SU003020</t>
  </si>
  <si>
    <t>P003486</t>
  </si>
  <si>
    <t>ЕАЭС N RU Д-RU. РА04.В.81113/23</t>
  </si>
  <si>
    <t>SU003381</t>
  </si>
  <si>
    <t>P004190</t>
  </si>
  <si>
    <t>Наггетсы «Хрустящие» Фикс.вес 0,3 ф/п ТМ «Зареченские»</t>
  </si>
  <si>
    <t>SU003012</t>
  </si>
  <si>
    <t>P003478</t>
  </si>
  <si>
    <t>Чебуреки «Мясные» Весовые ТМ «Зареченские» 2,7 кг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</si>
  <si>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</si>
  <si>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</si>
  <si>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</si>
  <si>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</si>
  <si>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</si>
  <si>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</si>
  <si>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</si>
  <si>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Снеки «Мини-пицца с ветчиной и сыром» Весовые ТМ «Зареченские продукты» 3 кг</t>
  </si>
  <si>
    <t>ЕАЭС N RU Д-RU.РА02.В.25079/24</t>
  </si>
  <si>
    <t>SU003454</t>
  </si>
  <si>
    <t>P004364</t>
  </si>
  <si>
    <t>Снеки «Мини-сосиски в тесте» Весовые ТМ «Зареченские» 3,7 кг</t>
  </si>
  <si>
    <t>ЕАЭС N RU Д-RU.РА02.В.58883/24</t>
  </si>
  <si>
    <t>SU003434</t>
  </si>
  <si>
    <t>P004358</t>
  </si>
  <si>
    <t>SU003431</t>
  </si>
  <si>
    <t>P004279</t>
  </si>
  <si>
    <t>Снеки «Мини-чебуречки с сыром и ветчиной» Весовые ТМ «Зареченские» 3,5 кг</t>
  </si>
  <si>
    <t>ЕАЭС N RU Д-RU.РА02.В.25079/24, ЕАЭС N RU Д-RU.РА03.В.88195/24</t>
  </si>
  <si>
    <t>SU003436</t>
  </si>
  <si>
    <t>P004439</t>
  </si>
  <si>
    <t>Снеки «Мини-чебуречки с картофелем и сочной грудинкой» Весовой ТМ «Зареченские продукты» 3,5 кг</t>
  </si>
  <si>
    <t>ЕАЭС N RU Д-RU.РА03.В.46679/24</t>
  </si>
  <si>
    <t>SU003448</t>
  </si>
  <si>
    <t>P004394</t>
  </si>
  <si>
    <t>SU003446</t>
  </si>
  <si>
    <t>P004393</t>
  </si>
  <si>
    <t>Снеки «Пирожки с клубникой и вишней» Весовые ТМ «Зареченские» 3,7 кг</t>
  </si>
  <si>
    <t>SU003439</t>
  </si>
  <si>
    <t>P004359</t>
  </si>
  <si>
    <t>SU003442</t>
  </si>
  <si>
    <t>P004391</t>
  </si>
  <si>
    <t>Снеки «Пирожки с мясом, картофелем и грибами» Весовые ТМ «Зареченские» 3,7 кг</t>
  </si>
  <si>
    <t>SU003444</t>
  </si>
  <si>
    <t>P004392</t>
  </si>
  <si>
    <t>SU003383</t>
  </si>
  <si>
    <t>P004191</t>
  </si>
  <si>
    <t>Снеки «Мини-пицца с ветчиной и сыром» Фикс.вес 0,3 ф/п ТМ «Зареченские»</t>
  </si>
  <si>
    <t>SU003382</t>
  </si>
  <si>
    <t>P004195</t>
  </si>
  <si>
    <t>Снеки «Мини-сосиски в тесте» Фикс.вес 0,3 ф/п ТМ «Зареченские»</t>
  </si>
  <si>
    <t>SU003377</t>
  </si>
  <si>
    <t>P004193</t>
  </si>
  <si>
    <t>Снеки «Мини-чебуречки с мясом» Фикс.вес 0,3 ф/п ТМ «Зареченские»</t>
  </si>
  <si>
    <t>SU003376</t>
  </si>
  <si>
    <t>P004194</t>
  </si>
  <si>
    <t>Снеки «Мини-чебуречки с сыром и ветчиной» Фикс.вес 0,3 ф/п ТМ «Зареченские»</t>
  </si>
  <si>
    <t>SU003378</t>
  </si>
  <si>
    <t>P004196</t>
  </si>
  <si>
    <t>Снеки «Пирожки с мясом» Фикс.вес 0,3 ф/п ТМ «Зареченские»</t>
  </si>
  <si>
    <t>SU003379</t>
  </si>
  <si>
    <t>P004197</t>
  </si>
  <si>
    <t>Снеки «Пирожки с мясом, картофелем и грибами» Фикс.вес 0,3 ф/п ТМ «Зареченские»</t>
  </si>
  <si>
    <t>SU003380</t>
  </si>
  <si>
    <t>P004192</t>
  </si>
  <si>
    <t>Снеки «Пирожки с яблоком и грушей» Фикс.вес 0,3 ф/п ТМ «Зареченские»</t>
  </si>
  <si>
    <t>ЕАЭС N RU Д-RU. РА04. В.83232/23, ЕАЭС N RU Д-RU.РА02.В.25079/24</t>
  </si>
  <si>
    <t>SU002766</t>
  </si>
  <si>
    <t>P004236</t>
  </si>
  <si>
    <t>Снеки «Смак-мени с картофелем и сочной грудинкой» Фикс.вес 1 ТМ «Зареченские»</t>
  </si>
  <si>
    <t>ЕАЭС N RU Д-RU.РА08.В.72250/22, ЕАЭС N RU Д-RU.РА11.В.12797/23</t>
  </si>
  <si>
    <t>SU002767</t>
  </si>
  <si>
    <t>P004238</t>
  </si>
  <si>
    <t>Снеки Смак-мени с мясом ТМ Зареченские ТС Зареченские продукты ф/п ф/в 1,0</t>
  </si>
  <si>
    <t>ЕАЭС N RU Д-RU.РА08.В.71672/22</t>
  </si>
  <si>
    <t>SU003085</t>
  </si>
  <si>
    <t>P003651</t>
  </si>
  <si>
    <t>Снеки «Смаколадьи с яблоком и грушей» ф/в 0,9 ТМ «Зареченские»</t>
  </si>
  <si>
    <t>ЕАЭС N RU Д-RU.РА05.В.59099/23</t>
  </si>
  <si>
    <t>SU003823</t>
  </si>
  <si>
    <t>P004878</t>
  </si>
  <si>
    <t>Снеки «Сосисоны» Фикс.вес 0,3 ТМ «Зареченские продукты»</t>
  </si>
  <si>
    <t>ЕАЭС N RU Д-RU.РА10.В.24862/24</t>
  </si>
  <si>
    <t>Зареченские продукты Светофор</t>
  </si>
  <si>
    <t>SU003326</t>
  </si>
  <si>
    <t>P004075</t>
  </si>
  <si>
    <t>Снеки «Смаколадьи спелое яблоко» ф/в 0,8 ТМ «Зареченские»</t>
  </si>
  <si>
    <t>ЕАЭС N RU Д-RU.РА11.В.12697/23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</si>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</sst>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43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551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427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388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83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4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89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343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328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57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235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8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187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2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97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58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418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7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325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382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15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59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391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406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1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370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07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9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298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54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166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178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41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376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250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73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67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93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337"/>
  <sheetViews>
    <sheetView showGridLines="0" tabSelected="1" topLeftCell="A308" zoomScaleNormal="100" zoomScaleSheetLayoutView="100" workbookViewId="0">
      <selection activeCell="AA330" sqref="AA330"/>
    </sheetView>
  </sheetViews>
  <sheetFormatPr defaultColWidth="9.140625" defaultRowHeight="12.75" x14ac:dyDescent="0.2"/>
  <cols>
    <col min="1" max="1" width="9.140625" style="328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328" customWidth="1"/>
    <col min="19" max="19" width="6.140625" style="328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328" customWidth="1"/>
    <col min="25" max="25" width="11" style="328" customWidth="1"/>
    <col min="26" max="26" width="10" style="328" customWidth="1"/>
    <col min="27" max="27" width="11.5703125" style="328" customWidth="1"/>
    <col min="28" max="28" width="10.42578125" style="328" customWidth="1"/>
    <col min="29" max="29" width="30" style="328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328" customWidth="1"/>
    <col min="34" max="34" width="9.140625" style="328" customWidth="1"/>
    <col min="35" max="16384" width="9.140625" style="328"/>
  </cols>
  <sheetData>
    <row r="1" spans="1:32" s="324" customFormat="1" ht="45" customHeight="1" x14ac:dyDescent="0.2">
      <c r="A1" s="41"/>
      <c r="B1" s="41"/>
      <c r="C1" s="41"/>
      <c r="D1" s="388" t="s">
        <v>0</v>
      </c>
      <c r="E1" s="355"/>
      <c r="F1" s="355"/>
      <c r="G1" s="12" t="s">
        <v>1</v>
      </c>
      <c r="H1" s="388" t="s">
        <v>2</v>
      </c>
      <c r="I1" s="355"/>
      <c r="J1" s="355"/>
      <c r="K1" s="355"/>
      <c r="L1" s="355"/>
      <c r="M1" s="355"/>
      <c r="N1" s="355"/>
      <c r="O1" s="355"/>
      <c r="P1" s="355"/>
      <c r="Q1" s="355"/>
      <c r="R1" s="354" t="s">
        <v>3</v>
      </c>
      <c r="S1" s="355"/>
      <c r="T1" s="35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324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52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339"/>
      <c r="R2" s="339"/>
      <c r="S2" s="339"/>
      <c r="T2" s="339"/>
      <c r="U2" s="339"/>
      <c r="V2" s="339"/>
      <c r="W2" s="339"/>
      <c r="X2" s="16"/>
      <c r="Y2" s="16"/>
      <c r="Z2" s="16"/>
      <c r="AA2" s="16"/>
      <c r="AB2" s="51"/>
      <c r="AC2" s="51"/>
      <c r="AD2" s="51"/>
      <c r="AE2" s="51"/>
    </row>
    <row r="3" spans="1:32" s="324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339"/>
      <c r="Q3" s="339"/>
      <c r="R3" s="339"/>
      <c r="S3" s="339"/>
      <c r="T3" s="339"/>
      <c r="U3" s="339"/>
      <c r="V3" s="339"/>
      <c r="W3" s="339"/>
      <c r="X3" s="16"/>
      <c r="Y3" s="16"/>
      <c r="Z3" s="16"/>
      <c r="AA3" s="16"/>
      <c r="AB3" s="51"/>
      <c r="AC3" s="51"/>
      <c r="AD3" s="51"/>
      <c r="AE3" s="51"/>
    </row>
    <row r="4" spans="1:32" s="324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324" customFormat="1" ht="23.45" customHeight="1" x14ac:dyDescent="0.2">
      <c r="A5" s="421" t="s">
        <v>7</v>
      </c>
      <c r="B5" s="348"/>
      <c r="C5" s="349"/>
      <c r="D5" s="392"/>
      <c r="E5" s="393"/>
      <c r="F5" s="531" t="s">
        <v>8</v>
      </c>
      <c r="G5" s="349"/>
      <c r="H5" s="392"/>
      <c r="I5" s="495"/>
      <c r="J5" s="495"/>
      <c r="K5" s="495"/>
      <c r="L5" s="495"/>
      <c r="M5" s="393"/>
      <c r="N5" s="61"/>
      <c r="P5" s="24" t="s">
        <v>9</v>
      </c>
      <c r="Q5" s="535">
        <v>45775</v>
      </c>
      <c r="R5" s="419"/>
      <c r="T5" s="447" t="s">
        <v>10</v>
      </c>
      <c r="U5" s="448"/>
      <c r="V5" s="449" t="s">
        <v>11</v>
      </c>
      <c r="W5" s="419"/>
      <c r="AB5" s="51"/>
      <c r="AC5" s="51"/>
      <c r="AD5" s="51"/>
      <c r="AE5" s="51"/>
    </row>
    <row r="6" spans="1:32" s="324" customFormat="1" ht="24" customHeight="1" x14ac:dyDescent="0.2">
      <c r="A6" s="421" t="s">
        <v>12</v>
      </c>
      <c r="B6" s="348"/>
      <c r="C6" s="349"/>
      <c r="D6" s="497" t="s">
        <v>13</v>
      </c>
      <c r="E6" s="498"/>
      <c r="F6" s="498"/>
      <c r="G6" s="498"/>
      <c r="H6" s="498"/>
      <c r="I6" s="498"/>
      <c r="J6" s="498"/>
      <c r="K6" s="498"/>
      <c r="L6" s="498"/>
      <c r="M6" s="419"/>
      <c r="N6" s="62"/>
      <c r="P6" s="24" t="s">
        <v>14</v>
      </c>
      <c r="Q6" s="539" t="str">
        <f>IF(Q5=0," ",CHOOSE(WEEKDAY(Q5,2),"Понедельник","Вторник","Среда","Четверг","Пятница","Суббота","Воскресенье"))</f>
        <v>Понедельник</v>
      </c>
      <c r="R6" s="341"/>
      <c r="T6" s="451" t="s">
        <v>15</v>
      </c>
      <c r="U6" s="448"/>
      <c r="V6" s="484" t="s">
        <v>16</v>
      </c>
      <c r="W6" s="371"/>
      <c r="AB6" s="51"/>
      <c r="AC6" s="51"/>
      <c r="AD6" s="51"/>
      <c r="AE6" s="51"/>
    </row>
    <row r="7" spans="1:32" s="324" customFormat="1" ht="21.75" hidden="1" customHeight="1" x14ac:dyDescent="0.2">
      <c r="A7" s="55"/>
      <c r="B7" s="55"/>
      <c r="C7" s="55"/>
      <c r="D7" s="376" t="str">
        <f>IFERROR(VLOOKUP(DeliveryAddress,Table,3,0),1)</f>
        <v>1</v>
      </c>
      <c r="E7" s="377"/>
      <c r="F7" s="377"/>
      <c r="G7" s="377"/>
      <c r="H7" s="377"/>
      <c r="I7" s="377"/>
      <c r="J7" s="377"/>
      <c r="K7" s="377"/>
      <c r="L7" s="377"/>
      <c r="M7" s="378"/>
      <c r="N7" s="63"/>
      <c r="P7" s="24"/>
      <c r="Q7" s="42"/>
      <c r="R7" s="42"/>
      <c r="T7" s="339"/>
      <c r="U7" s="448"/>
      <c r="V7" s="485"/>
      <c r="W7" s="486"/>
      <c r="AB7" s="51"/>
      <c r="AC7" s="51"/>
      <c r="AD7" s="51"/>
      <c r="AE7" s="51"/>
    </row>
    <row r="8" spans="1:32" s="324" customFormat="1" ht="25.5" customHeight="1" x14ac:dyDescent="0.2">
      <c r="A8" s="545" t="s">
        <v>17</v>
      </c>
      <c r="B8" s="345"/>
      <c r="C8" s="346"/>
      <c r="D8" s="383"/>
      <c r="E8" s="384"/>
      <c r="F8" s="384"/>
      <c r="G8" s="384"/>
      <c r="H8" s="384"/>
      <c r="I8" s="384"/>
      <c r="J8" s="384"/>
      <c r="K8" s="384"/>
      <c r="L8" s="384"/>
      <c r="M8" s="385"/>
      <c r="N8" s="64"/>
      <c r="P8" s="24" t="s">
        <v>18</v>
      </c>
      <c r="Q8" s="422">
        <v>0.41666666666666669</v>
      </c>
      <c r="R8" s="378"/>
      <c r="T8" s="339"/>
      <c r="U8" s="448"/>
      <c r="V8" s="485"/>
      <c r="W8" s="486"/>
      <c r="AB8" s="51"/>
      <c r="AC8" s="51"/>
      <c r="AD8" s="51"/>
      <c r="AE8" s="51"/>
    </row>
    <row r="9" spans="1:32" s="324" customFormat="1" ht="39.950000000000003" customHeight="1" x14ac:dyDescent="0.2">
      <c r="A9" s="43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39"/>
      <c r="C9" s="339"/>
      <c r="D9" s="429"/>
      <c r="E9" s="343"/>
      <c r="F9" s="43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39"/>
      <c r="H9" s="342" t="str">
        <f>IF(AND($A$9="Тип доверенности/получателя при получении в адресе перегруза:",$D$9="Разовая доверенность"),"Введите ФИО","")</f>
        <v/>
      </c>
      <c r="I9" s="343"/>
      <c r="J9" s="34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43"/>
      <c r="L9" s="343"/>
      <c r="M9" s="343"/>
      <c r="N9" s="322"/>
      <c r="P9" s="26" t="s">
        <v>19</v>
      </c>
      <c r="Q9" s="414"/>
      <c r="R9" s="415"/>
      <c r="T9" s="339"/>
      <c r="U9" s="448"/>
      <c r="V9" s="487"/>
      <c r="W9" s="488"/>
      <c r="X9" s="43"/>
      <c r="Y9" s="43"/>
      <c r="Z9" s="43"/>
      <c r="AA9" s="43"/>
      <c r="AB9" s="51"/>
      <c r="AC9" s="51"/>
      <c r="AD9" s="51"/>
      <c r="AE9" s="51"/>
    </row>
    <row r="10" spans="1:32" s="324" customFormat="1" ht="26.45" customHeight="1" x14ac:dyDescent="0.2">
      <c r="A10" s="43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39"/>
      <c r="C10" s="339"/>
      <c r="D10" s="429"/>
      <c r="E10" s="343"/>
      <c r="F10" s="43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39"/>
      <c r="H10" s="482" t="str">
        <f>IFERROR(VLOOKUP($D$10,Proxy,2,FALSE),"")</f>
        <v/>
      </c>
      <c r="I10" s="339"/>
      <c r="J10" s="339"/>
      <c r="K10" s="339"/>
      <c r="L10" s="339"/>
      <c r="M10" s="339"/>
      <c r="N10" s="323"/>
      <c r="P10" s="26" t="s">
        <v>20</v>
      </c>
      <c r="Q10" s="452"/>
      <c r="R10" s="453"/>
      <c r="U10" s="24" t="s">
        <v>21</v>
      </c>
      <c r="V10" s="370" t="s">
        <v>22</v>
      </c>
      <c r="W10" s="371"/>
      <c r="X10" s="44"/>
      <c r="Y10" s="44"/>
      <c r="Z10" s="44"/>
      <c r="AA10" s="44"/>
      <c r="AB10" s="51"/>
      <c r="AC10" s="51"/>
      <c r="AD10" s="51"/>
      <c r="AE10" s="51"/>
    </row>
    <row r="11" spans="1:32" s="324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418"/>
      <c r="R11" s="419"/>
      <c r="U11" s="24" t="s">
        <v>25</v>
      </c>
      <c r="V11" s="510" t="s">
        <v>26</v>
      </c>
      <c r="W11" s="415"/>
      <c r="X11" s="45"/>
      <c r="Y11" s="45"/>
      <c r="Z11" s="45"/>
      <c r="AA11" s="45"/>
      <c r="AB11" s="51"/>
      <c r="AC11" s="51"/>
      <c r="AD11" s="51"/>
      <c r="AE11" s="51"/>
    </row>
    <row r="12" spans="1:32" s="324" customFormat="1" ht="18.600000000000001" customHeight="1" x14ac:dyDescent="0.2">
      <c r="A12" s="444" t="s">
        <v>27</v>
      </c>
      <c r="B12" s="348"/>
      <c r="C12" s="348"/>
      <c r="D12" s="348"/>
      <c r="E12" s="348"/>
      <c r="F12" s="348"/>
      <c r="G12" s="348"/>
      <c r="H12" s="348"/>
      <c r="I12" s="348"/>
      <c r="J12" s="348"/>
      <c r="K12" s="348"/>
      <c r="L12" s="348"/>
      <c r="M12" s="349"/>
      <c r="N12" s="65"/>
      <c r="P12" s="24" t="s">
        <v>28</v>
      </c>
      <c r="Q12" s="422"/>
      <c r="R12" s="378"/>
      <c r="S12" s="23"/>
      <c r="U12" s="24"/>
      <c r="V12" s="355"/>
      <c r="W12" s="339"/>
      <c r="AB12" s="51"/>
      <c r="AC12" s="51"/>
      <c r="AD12" s="51"/>
      <c r="AE12" s="51"/>
    </row>
    <row r="13" spans="1:32" s="324" customFormat="1" ht="23.25" customHeight="1" x14ac:dyDescent="0.2">
      <c r="A13" s="444" t="s">
        <v>29</v>
      </c>
      <c r="B13" s="348"/>
      <c r="C13" s="348"/>
      <c r="D13" s="348"/>
      <c r="E13" s="348"/>
      <c r="F13" s="348"/>
      <c r="G13" s="348"/>
      <c r="H13" s="348"/>
      <c r="I13" s="348"/>
      <c r="J13" s="348"/>
      <c r="K13" s="348"/>
      <c r="L13" s="348"/>
      <c r="M13" s="349"/>
      <c r="N13" s="65"/>
      <c r="O13" s="26"/>
      <c r="P13" s="26" t="s">
        <v>30</v>
      </c>
      <c r="Q13" s="510"/>
      <c r="R13" s="41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324" customFormat="1" ht="18.600000000000001" customHeight="1" x14ac:dyDescent="0.2">
      <c r="A14" s="444" t="s">
        <v>31</v>
      </c>
      <c r="B14" s="348"/>
      <c r="C14" s="348"/>
      <c r="D14" s="348"/>
      <c r="E14" s="348"/>
      <c r="F14" s="348"/>
      <c r="G14" s="348"/>
      <c r="H14" s="348"/>
      <c r="I14" s="348"/>
      <c r="J14" s="348"/>
      <c r="K14" s="348"/>
      <c r="L14" s="348"/>
      <c r="M14" s="349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324" customFormat="1" ht="22.5" customHeight="1" x14ac:dyDescent="0.2">
      <c r="A15" s="464" t="s">
        <v>32</v>
      </c>
      <c r="B15" s="348"/>
      <c r="C15" s="348"/>
      <c r="D15" s="348"/>
      <c r="E15" s="348"/>
      <c r="F15" s="348"/>
      <c r="G15" s="348"/>
      <c r="H15" s="348"/>
      <c r="I15" s="348"/>
      <c r="J15" s="348"/>
      <c r="K15" s="348"/>
      <c r="L15" s="348"/>
      <c r="M15" s="349"/>
      <c r="N15" s="66"/>
      <c r="P15" s="437" t="s">
        <v>33</v>
      </c>
      <c r="Q15" s="355"/>
      <c r="R15" s="355"/>
      <c r="S15" s="355"/>
      <c r="T15" s="35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438"/>
      <c r="Q16" s="438"/>
      <c r="R16" s="438"/>
      <c r="S16" s="438"/>
      <c r="T16" s="438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67" t="s">
        <v>34</v>
      </c>
      <c r="B17" s="367" t="s">
        <v>35</v>
      </c>
      <c r="C17" s="426" t="s">
        <v>36</v>
      </c>
      <c r="D17" s="367" t="s">
        <v>37</v>
      </c>
      <c r="E17" s="405"/>
      <c r="F17" s="367" t="s">
        <v>38</v>
      </c>
      <c r="G17" s="367" t="s">
        <v>39</v>
      </c>
      <c r="H17" s="367" t="s">
        <v>40</v>
      </c>
      <c r="I17" s="367" t="s">
        <v>41</v>
      </c>
      <c r="J17" s="367" t="s">
        <v>42</v>
      </c>
      <c r="K17" s="367" t="s">
        <v>43</v>
      </c>
      <c r="L17" s="367" t="s">
        <v>44</v>
      </c>
      <c r="M17" s="367" t="s">
        <v>45</v>
      </c>
      <c r="N17" s="367" t="s">
        <v>46</v>
      </c>
      <c r="O17" s="367" t="s">
        <v>47</v>
      </c>
      <c r="P17" s="367" t="s">
        <v>48</v>
      </c>
      <c r="Q17" s="404"/>
      <c r="R17" s="404"/>
      <c r="S17" s="404"/>
      <c r="T17" s="405"/>
      <c r="U17" s="544" t="s">
        <v>49</v>
      </c>
      <c r="V17" s="349"/>
      <c r="W17" s="367" t="s">
        <v>50</v>
      </c>
      <c r="X17" s="367" t="s">
        <v>51</v>
      </c>
      <c r="Y17" s="542" t="s">
        <v>52</v>
      </c>
      <c r="Z17" s="493" t="s">
        <v>53</v>
      </c>
      <c r="AA17" s="480" t="s">
        <v>54</v>
      </c>
      <c r="AB17" s="480" t="s">
        <v>55</v>
      </c>
      <c r="AC17" s="480" t="s">
        <v>56</v>
      </c>
      <c r="AD17" s="480" t="s">
        <v>57</v>
      </c>
      <c r="AE17" s="526"/>
      <c r="AF17" s="527"/>
      <c r="AG17" s="69"/>
      <c r="BD17" s="68" t="s">
        <v>58</v>
      </c>
    </row>
    <row r="18" spans="1:68" ht="14.25" customHeight="1" x14ac:dyDescent="0.2">
      <c r="A18" s="368"/>
      <c r="B18" s="368"/>
      <c r="C18" s="368"/>
      <c r="D18" s="406"/>
      <c r="E18" s="408"/>
      <c r="F18" s="368"/>
      <c r="G18" s="368"/>
      <c r="H18" s="368"/>
      <c r="I18" s="368"/>
      <c r="J18" s="368"/>
      <c r="K18" s="368"/>
      <c r="L18" s="368"/>
      <c r="M18" s="368"/>
      <c r="N18" s="368"/>
      <c r="O18" s="368"/>
      <c r="P18" s="406"/>
      <c r="Q18" s="407"/>
      <c r="R18" s="407"/>
      <c r="S18" s="407"/>
      <c r="T18" s="408"/>
      <c r="U18" s="70" t="s">
        <v>59</v>
      </c>
      <c r="V18" s="70" t="s">
        <v>60</v>
      </c>
      <c r="W18" s="368"/>
      <c r="X18" s="368"/>
      <c r="Y18" s="543"/>
      <c r="Z18" s="494"/>
      <c r="AA18" s="481"/>
      <c r="AB18" s="481"/>
      <c r="AC18" s="481"/>
      <c r="AD18" s="528"/>
      <c r="AE18" s="529"/>
      <c r="AF18" s="530"/>
      <c r="AG18" s="69"/>
      <c r="BD18" s="68"/>
    </row>
    <row r="19" spans="1:68" ht="27.75" customHeight="1" x14ac:dyDescent="0.2">
      <c r="A19" s="435" t="s">
        <v>61</v>
      </c>
      <c r="B19" s="436"/>
      <c r="C19" s="436"/>
      <c r="D19" s="436"/>
      <c r="E19" s="436"/>
      <c r="F19" s="436"/>
      <c r="G19" s="436"/>
      <c r="H19" s="436"/>
      <c r="I19" s="436"/>
      <c r="J19" s="436"/>
      <c r="K19" s="436"/>
      <c r="L19" s="436"/>
      <c r="M19" s="436"/>
      <c r="N19" s="436"/>
      <c r="O19" s="436"/>
      <c r="P19" s="436"/>
      <c r="Q19" s="436"/>
      <c r="R19" s="436"/>
      <c r="S19" s="436"/>
      <c r="T19" s="436"/>
      <c r="U19" s="436"/>
      <c r="V19" s="436"/>
      <c r="W19" s="436"/>
      <c r="X19" s="436"/>
      <c r="Y19" s="436"/>
      <c r="Z19" s="436"/>
      <c r="AA19" s="48"/>
      <c r="AB19" s="48"/>
      <c r="AC19" s="48"/>
    </row>
    <row r="20" spans="1:68" ht="16.5" customHeight="1" x14ac:dyDescent="0.25">
      <c r="A20" s="364" t="s">
        <v>61</v>
      </c>
      <c r="B20" s="339"/>
      <c r="C20" s="339"/>
      <c r="D20" s="339"/>
      <c r="E20" s="339"/>
      <c r="F20" s="339"/>
      <c r="G20" s="339"/>
      <c r="H20" s="339"/>
      <c r="I20" s="339"/>
      <c r="J20" s="339"/>
      <c r="K20" s="339"/>
      <c r="L20" s="339"/>
      <c r="M20" s="339"/>
      <c r="N20" s="339"/>
      <c r="O20" s="339"/>
      <c r="P20" s="339"/>
      <c r="Q20" s="339"/>
      <c r="R20" s="339"/>
      <c r="S20" s="339"/>
      <c r="T20" s="339"/>
      <c r="U20" s="339"/>
      <c r="V20" s="339"/>
      <c r="W20" s="339"/>
      <c r="X20" s="339"/>
      <c r="Y20" s="339"/>
      <c r="Z20" s="339"/>
      <c r="AA20" s="325"/>
      <c r="AB20" s="325"/>
      <c r="AC20" s="325"/>
    </row>
    <row r="21" spans="1:68" ht="14.25" customHeight="1" x14ac:dyDescent="0.25">
      <c r="A21" s="338" t="s">
        <v>62</v>
      </c>
      <c r="B21" s="339"/>
      <c r="C21" s="339"/>
      <c r="D21" s="339"/>
      <c r="E21" s="339"/>
      <c r="F21" s="339"/>
      <c r="G21" s="339"/>
      <c r="H21" s="339"/>
      <c r="I21" s="339"/>
      <c r="J21" s="339"/>
      <c r="K21" s="339"/>
      <c r="L21" s="339"/>
      <c r="M21" s="339"/>
      <c r="N21" s="339"/>
      <c r="O21" s="339"/>
      <c r="P21" s="339"/>
      <c r="Q21" s="339"/>
      <c r="R21" s="339"/>
      <c r="S21" s="339"/>
      <c r="T21" s="339"/>
      <c r="U21" s="339"/>
      <c r="V21" s="339"/>
      <c r="W21" s="339"/>
      <c r="X21" s="339"/>
      <c r="Y21" s="339"/>
      <c r="Z21" s="339"/>
      <c r="AA21" s="326"/>
      <c r="AB21" s="326"/>
      <c r="AC21" s="326"/>
    </row>
    <row r="22" spans="1:68" ht="27" customHeight="1" x14ac:dyDescent="0.25">
      <c r="A22" s="54" t="s">
        <v>63</v>
      </c>
      <c r="B22" s="54" t="s">
        <v>64</v>
      </c>
      <c r="C22" s="31">
        <v>4301070899</v>
      </c>
      <c r="D22" s="340">
        <v>4607111035752</v>
      </c>
      <c r="E22" s="341"/>
      <c r="F22" s="329">
        <v>0.43</v>
      </c>
      <c r="G22" s="32">
        <v>16</v>
      </c>
      <c r="H22" s="329">
        <v>6.88</v>
      </c>
      <c r="I22" s="329">
        <v>7.2539999999999996</v>
      </c>
      <c r="J22" s="32">
        <v>84</v>
      </c>
      <c r="K22" s="32" t="s">
        <v>65</v>
      </c>
      <c r="L22" s="32" t="s">
        <v>66</v>
      </c>
      <c r="M22" s="33" t="s">
        <v>67</v>
      </c>
      <c r="N22" s="33"/>
      <c r="O22" s="32">
        <v>180</v>
      </c>
      <c r="P22" s="490" t="str">
        <f>HYPERLINK("https://abi.ru/products/Замороженные/Ядрена копоть/Ядрена копоть/Пельмени/P002928/","Пельмени «С мясом и копченостями» 0,43 сфера ТМ «Ядрена копоть»")</f>
        <v>Пельмени «С мясом и копченостями» 0,43 сфера ТМ «Ядрена копоть»</v>
      </c>
      <c r="Q22" s="335"/>
      <c r="R22" s="335"/>
      <c r="S22" s="335"/>
      <c r="T22" s="336"/>
      <c r="U22" s="34"/>
      <c r="V22" s="34"/>
      <c r="W22" s="35" t="s">
        <v>68</v>
      </c>
      <c r="X22" s="330">
        <v>0</v>
      </c>
      <c r="Y22" s="331">
        <f>IFERROR(IF(X22="","",X22),"")</f>
        <v>0</v>
      </c>
      <c r="Z22" s="36">
        <f>IFERROR(IF(X22="","",X22*0.0155),"")</f>
        <v>0</v>
      </c>
      <c r="AA22" s="56"/>
      <c r="AB22" s="57"/>
      <c r="AC22" s="72" t="s">
        <v>69</v>
      </c>
      <c r="AG22" s="67"/>
      <c r="AJ22" s="71" t="s">
        <v>70</v>
      </c>
      <c r="AK22" s="71">
        <v>1</v>
      </c>
      <c r="BB22" s="73" t="s">
        <v>1</v>
      </c>
      <c r="BM22" s="67">
        <f>IFERROR(X22*I22,"0")</f>
        <v>0</v>
      </c>
      <c r="BN22" s="67">
        <f>IFERROR(Y22*I22,"0")</f>
        <v>0</v>
      </c>
      <c r="BO22" s="67">
        <f>IFERROR(X22/J22,"0")</f>
        <v>0</v>
      </c>
      <c r="BP22" s="67">
        <f>IFERROR(Y22/J22,"0")</f>
        <v>0</v>
      </c>
    </row>
    <row r="23" spans="1:68" x14ac:dyDescent="0.2">
      <c r="A23" s="350"/>
      <c r="B23" s="339"/>
      <c r="C23" s="339"/>
      <c r="D23" s="339"/>
      <c r="E23" s="339"/>
      <c r="F23" s="339"/>
      <c r="G23" s="339"/>
      <c r="H23" s="339"/>
      <c r="I23" s="339"/>
      <c r="J23" s="339"/>
      <c r="K23" s="339"/>
      <c r="L23" s="339"/>
      <c r="M23" s="339"/>
      <c r="N23" s="339"/>
      <c r="O23" s="351"/>
      <c r="P23" s="344" t="s">
        <v>71</v>
      </c>
      <c r="Q23" s="345"/>
      <c r="R23" s="345"/>
      <c r="S23" s="345"/>
      <c r="T23" s="345"/>
      <c r="U23" s="345"/>
      <c r="V23" s="346"/>
      <c r="W23" s="37" t="s">
        <v>68</v>
      </c>
      <c r="X23" s="332">
        <f>IFERROR(SUM(X22:X22),"0")</f>
        <v>0</v>
      </c>
      <c r="Y23" s="332">
        <f>IFERROR(SUM(Y22:Y22),"0")</f>
        <v>0</v>
      </c>
      <c r="Z23" s="332">
        <f>IFERROR(IF(Z22="",0,Z22),"0")</f>
        <v>0</v>
      </c>
      <c r="AA23" s="333"/>
      <c r="AB23" s="333"/>
      <c r="AC23" s="333"/>
    </row>
    <row r="24" spans="1:68" x14ac:dyDescent="0.2">
      <c r="A24" s="339"/>
      <c r="B24" s="339"/>
      <c r="C24" s="339"/>
      <c r="D24" s="339"/>
      <c r="E24" s="339"/>
      <c r="F24" s="339"/>
      <c r="G24" s="339"/>
      <c r="H24" s="339"/>
      <c r="I24" s="339"/>
      <c r="J24" s="339"/>
      <c r="K24" s="339"/>
      <c r="L24" s="339"/>
      <c r="M24" s="339"/>
      <c r="N24" s="339"/>
      <c r="O24" s="351"/>
      <c r="P24" s="344" t="s">
        <v>71</v>
      </c>
      <c r="Q24" s="345"/>
      <c r="R24" s="345"/>
      <c r="S24" s="345"/>
      <c r="T24" s="345"/>
      <c r="U24" s="345"/>
      <c r="V24" s="346"/>
      <c r="W24" s="37" t="s">
        <v>72</v>
      </c>
      <c r="X24" s="332">
        <f>IFERROR(SUMPRODUCT(X22:X22*H22:H22),"0")</f>
        <v>0</v>
      </c>
      <c r="Y24" s="332">
        <f>IFERROR(SUMPRODUCT(Y22:Y22*H22:H22),"0")</f>
        <v>0</v>
      </c>
      <c r="Z24" s="37"/>
      <c r="AA24" s="333"/>
      <c r="AB24" s="333"/>
      <c r="AC24" s="333"/>
    </row>
    <row r="25" spans="1:68" ht="27.75" customHeight="1" x14ac:dyDescent="0.2">
      <c r="A25" s="435" t="s">
        <v>73</v>
      </c>
      <c r="B25" s="436"/>
      <c r="C25" s="436"/>
      <c r="D25" s="436"/>
      <c r="E25" s="436"/>
      <c r="F25" s="436"/>
      <c r="G25" s="436"/>
      <c r="H25" s="436"/>
      <c r="I25" s="436"/>
      <c r="J25" s="436"/>
      <c r="K25" s="436"/>
      <c r="L25" s="436"/>
      <c r="M25" s="436"/>
      <c r="N25" s="436"/>
      <c r="O25" s="436"/>
      <c r="P25" s="436"/>
      <c r="Q25" s="436"/>
      <c r="R25" s="436"/>
      <c r="S25" s="436"/>
      <c r="T25" s="436"/>
      <c r="U25" s="436"/>
      <c r="V25" s="436"/>
      <c r="W25" s="436"/>
      <c r="X25" s="436"/>
      <c r="Y25" s="436"/>
      <c r="Z25" s="436"/>
      <c r="AA25" s="48"/>
      <c r="AB25" s="48"/>
      <c r="AC25" s="48"/>
    </row>
    <row r="26" spans="1:68" ht="16.5" customHeight="1" x14ac:dyDescent="0.25">
      <c r="A26" s="364" t="s">
        <v>74</v>
      </c>
      <c r="B26" s="339"/>
      <c r="C26" s="339"/>
      <c r="D26" s="339"/>
      <c r="E26" s="339"/>
      <c r="F26" s="339"/>
      <c r="G26" s="339"/>
      <c r="H26" s="339"/>
      <c r="I26" s="339"/>
      <c r="J26" s="339"/>
      <c r="K26" s="339"/>
      <c r="L26" s="339"/>
      <c r="M26" s="339"/>
      <c r="N26" s="339"/>
      <c r="O26" s="339"/>
      <c r="P26" s="339"/>
      <c r="Q26" s="339"/>
      <c r="R26" s="339"/>
      <c r="S26" s="339"/>
      <c r="T26" s="339"/>
      <c r="U26" s="339"/>
      <c r="V26" s="339"/>
      <c r="W26" s="339"/>
      <c r="X26" s="339"/>
      <c r="Y26" s="339"/>
      <c r="Z26" s="339"/>
      <c r="AA26" s="325"/>
      <c r="AB26" s="325"/>
      <c r="AC26" s="325"/>
    </row>
    <row r="27" spans="1:68" ht="14.25" customHeight="1" x14ac:dyDescent="0.25">
      <c r="A27" s="338" t="s">
        <v>75</v>
      </c>
      <c r="B27" s="339"/>
      <c r="C27" s="339"/>
      <c r="D27" s="339"/>
      <c r="E27" s="339"/>
      <c r="F27" s="339"/>
      <c r="G27" s="339"/>
      <c r="H27" s="339"/>
      <c r="I27" s="339"/>
      <c r="J27" s="339"/>
      <c r="K27" s="339"/>
      <c r="L27" s="339"/>
      <c r="M27" s="339"/>
      <c r="N27" s="339"/>
      <c r="O27" s="339"/>
      <c r="P27" s="339"/>
      <c r="Q27" s="339"/>
      <c r="R27" s="339"/>
      <c r="S27" s="339"/>
      <c r="T27" s="339"/>
      <c r="U27" s="339"/>
      <c r="V27" s="339"/>
      <c r="W27" s="339"/>
      <c r="X27" s="339"/>
      <c r="Y27" s="339"/>
      <c r="Z27" s="339"/>
      <c r="AA27" s="326"/>
      <c r="AB27" s="326"/>
      <c r="AC27" s="326"/>
    </row>
    <row r="28" spans="1:68" ht="27" customHeight="1" x14ac:dyDescent="0.25">
      <c r="A28" s="54" t="s">
        <v>76</v>
      </c>
      <c r="B28" s="54" t="s">
        <v>77</v>
      </c>
      <c r="C28" s="31">
        <v>4301132186</v>
      </c>
      <c r="D28" s="340">
        <v>4607111036520</v>
      </c>
      <c r="E28" s="341"/>
      <c r="F28" s="329">
        <v>0.25</v>
      </c>
      <c r="G28" s="32">
        <v>6</v>
      </c>
      <c r="H28" s="329">
        <v>1.5</v>
      </c>
      <c r="I28" s="329">
        <v>1.9218</v>
      </c>
      <c r="J28" s="32">
        <v>140</v>
      </c>
      <c r="K28" s="32" t="s">
        <v>78</v>
      </c>
      <c r="L28" s="32" t="s">
        <v>66</v>
      </c>
      <c r="M28" s="33" t="s">
        <v>67</v>
      </c>
      <c r="N28" s="33"/>
      <c r="O28" s="32">
        <v>365</v>
      </c>
      <c r="P28" s="356" t="s">
        <v>79</v>
      </c>
      <c r="Q28" s="335"/>
      <c r="R28" s="335"/>
      <c r="S28" s="335"/>
      <c r="T28" s="336"/>
      <c r="U28" s="34"/>
      <c r="V28" s="34"/>
      <c r="W28" s="35" t="s">
        <v>68</v>
      </c>
      <c r="X28" s="330">
        <v>0</v>
      </c>
      <c r="Y28" s="331">
        <f>IFERROR(IF(X28="","",X28),"")</f>
        <v>0</v>
      </c>
      <c r="Z28" s="36">
        <f>IFERROR(IF(X28="","",X28*0.00941),"")</f>
        <v>0</v>
      </c>
      <c r="AA28" s="56"/>
      <c r="AB28" s="57"/>
      <c r="AC28" s="74" t="s">
        <v>80</v>
      </c>
      <c r="AG28" s="67"/>
      <c r="AJ28" s="71" t="s">
        <v>70</v>
      </c>
      <c r="AK28" s="71">
        <v>1</v>
      </c>
      <c r="BB28" s="75" t="s">
        <v>81</v>
      </c>
      <c r="BM28" s="67">
        <f>IFERROR(X28*I28,"0")</f>
        <v>0</v>
      </c>
      <c r="BN28" s="67">
        <f>IFERROR(Y28*I28,"0")</f>
        <v>0</v>
      </c>
      <c r="BO28" s="67">
        <f>IFERROR(X28/J28,"0")</f>
        <v>0</v>
      </c>
      <c r="BP28" s="67">
        <f>IFERROR(Y28/J28,"0")</f>
        <v>0</v>
      </c>
    </row>
    <row r="29" spans="1:68" ht="27" customHeight="1" x14ac:dyDescent="0.25">
      <c r="A29" s="54" t="s">
        <v>82</v>
      </c>
      <c r="B29" s="54" t="s">
        <v>83</v>
      </c>
      <c r="C29" s="31">
        <v>4301132185</v>
      </c>
      <c r="D29" s="340">
        <v>4607111036537</v>
      </c>
      <c r="E29" s="341"/>
      <c r="F29" s="329">
        <v>0.25</v>
      </c>
      <c r="G29" s="32">
        <v>6</v>
      </c>
      <c r="H29" s="329">
        <v>1.5</v>
      </c>
      <c r="I29" s="329">
        <v>1.9218</v>
      </c>
      <c r="J29" s="32">
        <v>140</v>
      </c>
      <c r="K29" s="32" t="s">
        <v>78</v>
      </c>
      <c r="L29" s="32" t="s">
        <v>66</v>
      </c>
      <c r="M29" s="33" t="s">
        <v>67</v>
      </c>
      <c r="N29" s="33"/>
      <c r="O29" s="32">
        <v>365</v>
      </c>
      <c r="P29" s="380" t="s">
        <v>84</v>
      </c>
      <c r="Q29" s="335"/>
      <c r="R29" s="335"/>
      <c r="S29" s="335"/>
      <c r="T29" s="336"/>
      <c r="U29" s="34"/>
      <c r="V29" s="34"/>
      <c r="W29" s="35" t="s">
        <v>68</v>
      </c>
      <c r="X29" s="330">
        <v>14</v>
      </c>
      <c r="Y29" s="331">
        <f>IFERROR(IF(X29="","",X29),"")</f>
        <v>14</v>
      </c>
      <c r="Z29" s="36">
        <f>IFERROR(IF(X29="","",X29*0.00941),"")</f>
        <v>0.13174</v>
      </c>
      <c r="AA29" s="56"/>
      <c r="AB29" s="57"/>
      <c r="AC29" s="76" t="s">
        <v>80</v>
      </c>
      <c r="AG29" s="67"/>
      <c r="AJ29" s="71" t="s">
        <v>70</v>
      </c>
      <c r="AK29" s="71">
        <v>1</v>
      </c>
      <c r="BB29" s="77" t="s">
        <v>81</v>
      </c>
      <c r="BM29" s="67">
        <f>IFERROR(X29*I29,"0")</f>
        <v>26.905200000000001</v>
      </c>
      <c r="BN29" s="67">
        <f>IFERROR(Y29*I29,"0")</f>
        <v>26.905200000000001</v>
      </c>
      <c r="BO29" s="67">
        <f>IFERROR(X29/J29,"0")</f>
        <v>0.1</v>
      </c>
      <c r="BP29" s="67">
        <f>IFERROR(Y29/J29,"0")</f>
        <v>0.1</v>
      </c>
    </row>
    <row r="30" spans="1:68" ht="27" customHeight="1" x14ac:dyDescent="0.25">
      <c r="A30" s="54" t="s">
        <v>85</v>
      </c>
      <c r="B30" s="54" t="s">
        <v>86</v>
      </c>
      <c r="C30" s="31">
        <v>4301132183</v>
      </c>
      <c r="D30" s="340">
        <v>4607111036605</v>
      </c>
      <c r="E30" s="341"/>
      <c r="F30" s="329">
        <v>0.25</v>
      </c>
      <c r="G30" s="32">
        <v>6</v>
      </c>
      <c r="H30" s="329">
        <v>1.5</v>
      </c>
      <c r="I30" s="329">
        <v>1.9218</v>
      </c>
      <c r="J30" s="32">
        <v>140</v>
      </c>
      <c r="K30" s="32" t="s">
        <v>78</v>
      </c>
      <c r="L30" s="32" t="s">
        <v>66</v>
      </c>
      <c r="M30" s="33" t="s">
        <v>67</v>
      </c>
      <c r="N30" s="33"/>
      <c r="O30" s="32">
        <v>365</v>
      </c>
      <c r="P30" s="362" t="s">
        <v>87</v>
      </c>
      <c r="Q30" s="335"/>
      <c r="R30" s="335"/>
      <c r="S30" s="335"/>
      <c r="T30" s="336"/>
      <c r="U30" s="34"/>
      <c r="V30" s="34"/>
      <c r="W30" s="35" t="s">
        <v>68</v>
      </c>
      <c r="X30" s="330">
        <v>0</v>
      </c>
      <c r="Y30" s="331">
        <f>IFERROR(IF(X30="","",X30),"")</f>
        <v>0</v>
      </c>
      <c r="Z30" s="36">
        <f>IFERROR(IF(X30="","",X30*0.00941),"")</f>
        <v>0</v>
      </c>
      <c r="AA30" s="56"/>
      <c r="AB30" s="57"/>
      <c r="AC30" s="78" t="s">
        <v>80</v>
      </c>
      <c r="AG30" s="67"/>
      <c r="AJ30" s="71" t="s">
        <v>70</v>
      </c>
      <c r="AK30" s="71">
        <v>1</v>
      </c>
      <c r="BB30" s="79" t="s">
        <v>81</v>
      </c>
      <c r="BM30" s="67">
        <f>IFERROR(X30*I30,"0")</f>
        <v>0</v>
      </c>
      <c r="BN30" s="67">
        <f>IFERROR(Y30*I30,"0")</f>
        <v>0</v>
      </c>
      <c r="BO30" s="67">
        <f>IFERROR(X30/J30,"0")</f>
        <v>0</v>
      </c>
      <c r="BP30" s="67">
        <f>IFERROR(Y30/J30,"0")</f>
        <v>0</v>
      </c>
    </row>
    <row r="31" spans="1:68" x14ac:dyDescent="0.2">
      <c r="A31" s="350"/>
      <c r="B31" s="339"/>
      <c r="C31" s="339"/>
      <c r="D31" s="339"/>
      <c r="E31" s="339"/>
      <c r="F31" s="339"/>
      <c r="G31" s="339"/>
      <c r="H31" s="339"/>
      <c r="I31" s="339"/>
      <c r="J31" s="339"/>
      <c r="K31" s="339"/>
      <c r="L31" s="339"/>
      <c r="M31" s="339"/>
      <c r="N31" s="339"/>
      <c r="O31" s="351"/>
      <c r="P31" s="344" t="s">
        <v>71</v>
      </c>
      <c r="Q31" s="345"/>
      <c r="R31" s="345"/>
      <c r="S31" s="345"/>
      <c r="T31" s="345"/>
      <c r="U31" s="345"/>
      <c r="V31" s="346"/>
      <c r="W31" s="37" t="s">
        <v>68</v>
      </c>
      <c r="X31" s="332">
        <f>IFERROR(SUM(X28:X30),"0")</f>
        <v>14</v>
      </c>
      <c r="Y31" s="332">
        <f>IFERROR(SUM(Y28:Y30),"0")</f>
        <v>14</v>
      </c>
      <c r="Z31" s="332">
        <f>IFERROR(IF(Z28="",0,Z28),"0")+IFERROR(IF(Z29="",0,Z29),"0")+IFERROR(IF(Z30="",0,Z30),"0")</f>
        <v>0.13174</v>
      </c>
      <c r="AA31" s="333"/>
      <c r="AB31" s="333"/>
      <c r="AC31" s="333"/>
    </row>
    <row r="32" spans="1:68" x14ac:dyDescent="0.2">
      <c r="A32" s="339"/>
      <c r="B32" s="339"/>
      <c r="C32" s="339"/>
      <c r="D32" s="339"/>
      <c r="E32" s="339"/>
      <c r="F32" s="339"/>
      <c r="G32" s="339"/>
      <c r="H32" s="339"/>
      <c r="I32" s="339"/>
      <c r="J32" s="339"/>
      <c r="K32" s="339"/>
      <c r="L32" s="339"/>
      <c r="M32" s="339"/>
      <c r="N32" s="339"/>
      <c r="O32" s="351"/>
      <c r="P32" s="344" t="s">
        <v>71</v>
      </c>
      <c r="Q32" s="345"/>
      <c r="R32" s="345"/>
      <c r="S32" s="345"/>
      <c r="T32" s="345"/>
      <c r="U32" s="345"/>
      <c r="V32" s="346"/>
      <c r="W32" s="37" t="s">
        <v>72</v>
      </c>
      <c r="X32" s="332">
        <f>IFERROR(SUMPRODUCT(X28:X30*H28:H30),"0")</f>
        <v>21</v>
      </c>
      <c r="Y32" s="332">
        <f>IFERROR(SUMPRODUCT(Y28:Y30*H28:H30),"0")</f>
        <v>21</v>
      </c>
      <c r="Z32" s="37"/>
      <c r="AA32" s="333"/>
      <c r="AB32" s="333"/>
      <c r="AC32" s="333"/>
    </row>
    <row r="33" spans="1:68" ht="16.5" customHeight="1" x14ac:dyDescent="0.25">
      <c r="A33" s="364" t="s">
        <v>88</v>
      </c>
      <c r="B33" s="339"/>
      <c r="C33" s="339"/>
      <c r="D33" s="339"/>
      <c r="E33" s="339"/>
      <c r="F33" s="339"/>
      <c r="G33" s="339"/>
      <c r="H33" s="339"/>
      <c r="I33" s="339"/>
      <c r="J33" s="339"/>
      <c r="K33" s="339"/>
      <c r="L33" s="339"/>
      <c r="M33" s="339"/>
      <c r="N33" s="339"/>
      <c r="O33" s="339"/>
      <c r="P33" s="339"/>
      <c r="Q33" s="339"/>
      <c r="R33" s="339"/>
      <c r="S33" s="339"/>
      <c r="T33" s="339"/>
      <c r="U33" s="339"/>
      <c r="V33" s="339"/>
      <c r="W33" s="339"/>
      <c r="X33" s="339"/>
      <c r="Y33" s="339"/>
      <c r="Z33" s="339"/>
      <c r="AA33" s="325"/>
      <c r="AB33" s="325"/>
      <c r="AC33" s="325"/>
    </row>
    <row r="34" spans="1:68" ht="14.25" customHeight="1" x14ac:dyDescent="0.25">
      <c r="A34" s="338" t="s">
        <v>62</v>
      </c>
      <c r="B34" s="339"/>
      <c r="C34" s="339"/>
      <c r="D34" s="339"/>
      <c r="E34" s="339"/>
      <c r="F34" s="339"/>
      <c r="G34" s="339"/>
      <c r="H34" s="339"/>
      <c r="I34" s="339"/>
      <c r="J34" s="339"/>
      <c r="K34" s="339"/>
      <c r="L34" s="339"/>
      <c r="M34" s="339"/>
      <c r="N34" s="339"/>
      <c r="O34" s="339"/>
      <c r="P34" s="339"/>
      <c r="Q34" s="339"/>
      <c r="R34" s="339"/>
      <c r="S34" s="339"/>
      <c r="T34" s="339"/>
      <c r="U34" s="339"/>
      <c r="V34" s="339"/>
      <c r="W34" s="339"/>
      <c r="X34" s="339"/>
      <c r="Y34" s="339"/>
      <c r="Z34" s="339"/>
      <c r="AA34" s="326"/>
      <c r="AB34" s="326"/>
      <c r="AC34" s="326"/>
    </row>
    <row r="35" spans="1:68" ht="27" customHeight="1" x14ac:dyDescent="0.25">
      <c r="A35" s="54" t="s">
        <v>89</v>
      </c>
      <c r="B35" s="54" t="s">
        <v>90</v>
      </c>
      <c r="C35" s="31">
        <v>4301071090</v>
      </c>
      <c r="D35" s="340">
        <v>4620207490075</v>
      </c>
      <c r="E35" s="341"/>
      <c r="F35" s="329">
        <v>0.7</v>
      </c>
      <c r="G35" s="32">
        <v>8</v>
      </c>
      <c r="H35" s="329">
        <v>5.6</v>
      </c>
      <c r="I35" s="329">
        <v>5.87</v>
      </c>
      <c r="J35" s="32">
        <v>84</v>
      </c>
      <c r="K35" s="32" t="s">
        <v>65</v>
      </c>
      <c r="L35" s="32" t="s">
        <v>66</v>
      </c>
      <c r="M35" s="33" t="s">
        <v>67</v>
      </c>
      <c r="N35" s="33"/>
      <c r="O35" s="32">
        <v>180</v>
      </c>
      <c r="P35" s="502" t="s">
        <v>91</v>
      </c>
      <c r="Q35" s="335"/>
      <c r="R35" s="335"/>
      <c r="S35" s="335"/>
      <c r="T35" s="336"/>
      <c r="U35" s="34"/>
      <c r="V35" s="34"/>
      <c r="W35" s="35" t="s">
        <v>68</v>
      </c>
      <c r="X35" s="330">
        <v>12</v>
      </c>
      <c r="Y35" s="331">
        <f>IFERROR(IF(X35="","",X35),"")</f>
        <v>12</v>
      </c>
      <c r="Z35" s="36">
        <f>IFERROR(IF(X35="","",X35*0.0155),"")</f>
        <v>0.186</v>
      </c>
      <c r="AA35" s="56"/>
      <c r="AB35" s="57"/>
      <c r="AC35" s="80" t="s">
        <v>92</v>
      </c>
      <c r="AG35" s="67"/>
      <c r="AJ35" s="71" t="s">
        <v>70</v>
      </c>
      <c r="AK35" s="71">
        <v>1</v>
      </c>
      <c r="BB35" s="81" t="s">
        <v>1</v>
      </c>
      <c r="BM35" s="67">
        <f>IFERROR(X35*I35,"0")</f>
        <v>70.44</v>
      </c>
      <c r="BN35" s="67">
        <f>IFERROR(Y35*I35,"0")</f>
        <v>70.44</v>
      </c>
      <c r="BO35" s="67">
        <f>IFERROR(X35/J35,"0")</f>
        <v>0.14285714285714285</v>
      </c>
      <c r="BP35" s="67">
        <f>IFERROR(Y35/J35,"0")</f>
        <v>0.14285714285714285</v>
      </c>
    </row>
    <row r="36" spans="1:68" ht="27" customHeight="1" x14ac:dyDescent="0.25">
      <c r="A36" s="54" t="s">
        <v>93</v>
      </c>
      <c r="B36" s="54" t="s">
        <v>94</v>
      </c>
      <c r="C36" s="31">
        <v>4301071092</v>
      </c>
      <c r="D36" s="340">
        <v>4620207490174</v>
      </c>
      <c r="E36" s="341"/>
      <c r="F36" s="329">
        <v>0.7</v>
      </c>
      <c r="G36" s="32">
        <v>8</v>
      </c>
      <c r="H36" s="329">
        <v>5.6</v>
      </c>
      <c r="I36" s="329">
        <v>5.87</v>
      </c>
      <c r="J36" s="32">
        <v>84</v>
      </c>
      <c r="K36" s="32" t="s">
        <v>65</v>
      </c>
      <c r="L36" s="32" t="s">
        <v>66</v>
      </c>
      <c r="M36" s="33" t="s">
        <v>67</v>
      </c>
      <c r="N36" s="33"/>
      <c r="O36" s="32">
        <v>180</v>
      </c>
      <c r="P36" s="519" t="s">
        <v>95</v>
      </c>
      <c r="Q36" s="335"/>
      <c r="R36" s="335"/>
      <c r="S36" s="335"/>
      <c r="T36" s="336"/>
      <c r="U36" s="34"/>
      <c r="V36" s="34"/>
      <c r="W36" s="35" t="s">
        <v>68</v>
      </c>
      <c r="X36" s="330">
        <v>24</v>
      </c>
      <c r="Y36" s="331">
        <f>IFERROR(IF(X36="","",X36),"")</f>
        <v>24</v>
      </c>
      <c r="Z36" s="36">
        <f>IFERROR(IF(X36="","",X36*0.0155),"")</f>
        <v>0.372</v>
      </c>
      <c r="AA36" s="56"/>
      <c r="AB36" s="57"/>
      <c r="AC36" s="82" t="s">
        <v>96</v>
      </c>
      <c r="AG36" s="67"/>
      <c r="AJ36" s="71" t="s">
        <v>70</v>
      </c>
      <c r="AK36" s="71">
        <v>1</v>
      </c>
      <c r="BB36" s="83" t="s">
        <v>1</v>
      </c>
      <c r="BM36" s="67">
        <f>IFERROR(X36*I36,"0")</f>
        <v>140.88</v>
      </c>
      <c r="BN36" s="67">
        <f>IFERROR(Y36*I36,"0")</f>
        <v>140.88</v>
      </c>
      <c r="BO36" s="67">
        <f>IFERROR(X36/J36,"0")</f>
        <v>0.2857142857142857</v>
      </c>
      <c r="BP36" s="67">
        <f>IFERROR(Y36/J36,"0")</f>
        <v>0.2857142857142857</v>
      </c>
    </row>
    <row r="37" spans="1:68" ht="27" customHeight="1" x14ac:dyDescent="0.25">
      <c r="A37" s="54" t="s">
        <v>97</v>
      </c>
      <c r="B37" s="54" t="s">
        <v>98</v>
      </c>
      <c r="C37" s="31">
        <v>4301071091</v>
      </c>
      <c r="D37" s="340">
        <v>4620207490044</v>
      </c>
      <c r="E37" s="341"/>
      <c r="F37" s="329">
        <v>0.7</v>
      </c>
      <c r="G37" s="32">
        <v>8</v>
      </c>
      <c r="H37" s="329">
        <v>5.6</v>
      </c>
      <c r="I37" s="329">
        <v>5.87</v>
      </c>
      <c r="J37" s="32">
        <v>84</v>
      </c>
      <c r="K37" s="32" t="s">
        <v>65</v>
      </c>
      <c r="L37" s="32" t="s">
        <v>66</v>
      </c>
      <c r="M37" s="33" t="s">
        <v>67</v>
      </c>
      <c r="N37" s="33"/>
      <c r="O37" s="32">
        <v>180</v>
      </c>
      <c r="P37" s="470" t="s">
        <v>99</v>
      </c>
      <c r="Q37" s="335"/>
      <c r="R37" s="335"/>
      <c r="S37" s="335"/>
      <c r="T37" s="336"/>
      <c r="U37" s="34"/>
      <c r="V37" s="34"/>
      <c r="W37" s="35" t="s">
        <v>68</v>
      </c>
      <c r="X37" s="330">
        <v>0</v>
      </c>
      <c r="Y37" s="331">
        <f>IFERROR(IF(X37="","",X37),"")</f>
        <v>0</v>
      </c>
      <c r="Z37" s="36">
        <f>IFERROR(IF(X37="","",X37*0.0155),"")</f>
        <v>0</v>
      </c>
      <c r="AA37" s="56"/>
      <c r="AB37" s="57"/>
      <c r="AC37" s="84" t="s">
        <v>100</v>
      </c>
      <c r="AG37" s="67"/>
      <c r="AJ37" s="71" t="s">
        <v>70</v>
      </c>
      <c r="AK37" s="71">
        <v>1</v>
      </c>
      <c r="BB37" s="85" t="s">
        <v>1</v>
      </c>
      <c r="BM37" s="67">
        <f>IFERROR(X37*I37,"0")</f>
        <v>0</v>
      </c>
      <c r="BN37" s="67">
        <f>IFERROR(Y37*I37,"0")</f>
        <v>0</v>
      </c>
      <c r="BO37" s="67">
        <f>IFERROR(X37/J37,"0")</f>
        <v>0</v>
      </c>
      <c r="BP37" s="67">
        <f>IFERROR(Y37/J37,"0")</f>
        <v>0</v>
      </c>
    </row>
    <row r="38" spans="1:68" x14ac:dyDescent="0.2">
      <c r="A38" s="350"/>
      <c r="B38" s="339"/>
      <c r="C38" s="339"/>
      <c r="D38" s="339"/>
      <c r="E38" s="339"/>
      <c r="F38" s="339"/>
      <c r="G38" s="339"/>
      <c r="H38" s="339"/>
      <c r="I38" s="339"/>
      <c r="J38" s="339"/>
      <c r="K38" s="339"/>
      <c r="L38" s="339"/>
      <c r="M38" s="339"/>
      <c r="N38" s="339"/>
      <c r="O38" s="351"/>
      <c r="P38" s="344" t="s">
        <v>71</v>
      </c>
      <c r="Q38" s="345"/>
      <c r="R38" s="345"/>
      <c r="S38" s="345"/>
      <c r="T38" s="345"/>
      <c r="U38" s="345"/>
      <c r="V38" s="346"/>
      <c r="W38" s="37" t="s">
        <v>68</v>
      </c>
      <c r="X38" s="332">
        <f>IFERROR(SUM(X35:X37),"0")</f>
        <v>36</v>
      </c>
      <c r="Y38" s="332">
        <f>IFERROR(SUM(Y35:Y37),"0")</f>
        <v>36</v>
      </c>
      <c r="Z38" s="332">
        <f>IFERROR(IF(Z35="",0,Z35),"0")+IFERROR(IF(Z36="",0,Z36),"0")+IFERROR(IF(Z37="",0,Z37),"0")</f>
        <v>0.55800000000000005</v>
      </c>
      <c r="AA38" s="333"/>
      <c r="AB38" s="333"/>
      <c r="AC38" s="333"/>
    </row>
    <row r="39" spans="1:68" x14ac:dyDescent="0.2">
      <c r="A39" s="339"/>
      <c r="B39" s="339"/>
      <c r="C39" s="339"/>
      <c r="D39" s="339"/>
      <c r="E39" s="339"/>
      <c r="F39" s="339"/>
      <c r="G39" s="339"/>
      <c r="H39" s="339"/>
      <c r="I39" s="339"/>
      <c r="J39" s="339"/>
      <c r="K39" s="339"/>
      <c r="L39" s="339"/>
      <c r="M39" s="339"/>
      <c r="N39" s="339"/>
      <c r="O39" s="351"/>
      <c r="P39" s="344" t="s">
        <v>71</v>
      </c>
      <c r="Q39" s="345"/>
      <c r="R39" s="345"/>
      <c r="S39" s="345"/>
      <c r="T39" s="345"/>
      <c r="U39" s="345"/>
      <c r="V39" s="346"/>
      <c r="W39" s="37" t="s">
        <v>72</v>
      </c>
      <c r="X39" s="332">
        <f>IFERROR(SUMPRODUCT(X35:X37*H35:H37),"0")</f>
        <v>201.59999999999997</v>
      </c>
      <c r="Y39" s="332">
        <f>IFERROR(SUMPRODUCT(Y35:Y37*H35:H37),"0")</f>
        <v>201.59999999999997</v>
      </c>
      <c r="Z39" s="37"/>
      <c r="AA39" s="333"/>
      <c r="AB39" s="333"/>
      <c r="AC39" s="333"/>
    </row>
    <row r="40" spans="1:68" ht="16.5" customHeight="1" x14ac:dyDescent="0.25">
      <c r="A40" s="364" t="s">
        <v>101</v>
      </c>
      <c r="B40" s="339"/>
      <c r="C40" s="339"/>
      <c r="D40" s="339"/>
      <c r="E40" s="339"/>
      <c r="F40" s="339"/>
      <c r="G40" s="339"/>
      <c r="H40" s="339"/>
      <c r="I40" s="339"/>
      <c r="J40" s="339"/>
      <c r="K40" s="339"/>
      <c r="L40" s="339"/>
      <c r="M40" s="339"/>
      <c r="N40" s="339"/>
      <c r="O40" s="339"/>
      <c r="P40" s="339"/>
      <c r="Q40" s="339"/>
      <c r="R40" s="339"/>
      <c r="S40" s="339"/>
      <c r="T40" s="339"/>
      <c r="U40" s="339"/>
      <c r="V40" s="339"/>
      <c r="W40" s="339"/>
      <c r="X40" s="339"/>
      <c r="Y40" s="339"/>
      <c r="Z40" s="339"/>
      <c r="AA40" s="325"/>
      <c r="AB40" s="325"/>
      <c r="AC40" s="325"/>
    </row>
    <row r="41" spans="1:68" ht="14.25" customHeight="1" x14ac:dyDescent="0.25">
      <c r="A41" s="338" t="s">
        <v>62</v>
      </c>
      <c r="B41" s="339"/>
      <c r="C41" s="339"/>
      <c r="D41" s="339"/>
      <c r="E41" s="339"/>
      <c r="F41" s="339"/>
      <c r="G41" s="339"/>
      <c r="H41" s="339"/>
      <c r="I41" s="339"/>
      <c r="J41" s="339"/>
      <c r="K41" s="339"/>
      <c r="L41" s="339"/>
      <c r="M41" s="339"/>
      <c r="N41" s="339"/>
      <c r="O41" s="339"/>
      <c r="P41" s="339"/>
      <c r="Q41" s="339"/>
      <c r="R41" s="339"/>
      <c r="S41" s="339"/>
      <c r="T41" s="339"/>
      <c r="U41" s="339"/>
      <c r="V41" s="339"/>
      <c r="W41" s="339"/>
      <c r="X41" s="339"/>
      <c r="Y41" s="339"/>
      <c r="Z41" s="339"/>
      <c r="AA41" s="326"/>
      <c r="AB41" s="326"/>
      <c r="AC41" s="326"/>
    </row>
    <row r="42" spans="1:68" ht="27" customHeight="1" x14ac:dyDescent="0.25">
      <c r="A42" s="54" t="s">
        <v>102</v>
      </c>
      <c r="B42" s="54" t="s">
        <v>103</v>
      </c>
      <c r="C42" s="31">
        <v>4301071032</v>
      </c>
      <c r="D42" s="340">
        <v>4607111038999</v>
      </c>
      <c r="E42" s="341"/>
      <c r="F42" s="329">
        <v>0.4</v>
      </c>
      <c r="G42" s="32">
        <v>16</v>
      </c>
      <c r="H42" s="329">
        <v>6.4</v>
      </c>
      <c r="I42" s="329">
        <v>6.7195999999999998</v>
      </c>
      <c r="J42" s="32">
        <v>84</v>
      </c>
      <c r="K42" s="32" t="s">
        <v>65</v>
      </c>
      <c r="L42" s="32" t="s">
        <v>66</v>
      </c>
      <c r="M42" s="33" t="s">
        <v>67</v>
      </c>
      <c r="N42" s="33"/>
      <c r="O42" s="32">
        <v>180</v>
      </c>
      <c r="P42" s="394" t="str">
        <f>HYPERLINK("https://abi.ru/products/Замороженные/Горячая штучка/Бигбули ГШ/Пельмени/P004202/","Пельмени «Бигбули #МЕГАВКУСИЩЕ с сочной грудинкой» 0,4 сфера ТМ «Горячая штучка»")</f>
        <v>Пельмени «Бигбули #МЕГАВКУСИЩЕ с сочной грудинкой» 0,4 сфера ТМ «Горячая штучка»</v>
      </c>
      <c r="Q42" s="335"/>
      <c r="R42" s="335"/>
      <c r="S42" s="335"/>
      <c r="T42" s="336"/>
      <c r="U42" s="34"/>
      <c r="V42" s="34"/>
      <c r="W42" s="35" t="s">
        <v>68</v>
      </c>
      <c r="X42" s="330">
        <v>0</v>
      </c>
      <c r="Y42" s="331">
        <f t="shared" ref="Y42:Y49" si="0">IFERROR(IF(X42="","",X42),"")</f>
        <v>0</v>
      </c>
      <c r="Z42" s="36">
        <f t="shared" ref="Z42:Z49" si="1">IFERROR(IF(X42="","",X42*0.0155),"")</f>
        <v>0</v>
      </c>
      <c r="AA42" s="56"/>
      <c r="AB42" s="57"/>
      <c r="AC42" s="86" t="s">
        <v>104</v>
      </c>
      <c r="AG42" s="67"/>
      <c r="AJ42" s="71" t="s">
        <v>70</v>
      </c>
      <c r="AK42" s="71">
        <v>1</v>
      </c>
      <c r="BB42" s="87" t="s">
        <v>1</v>
      </c>
      <c r="BM42" s="67">
        <f t="shared" ref="BM42:BM49" si="2">IFERROR(X42*I42,"0")</f>
        <v>0</v>
      </c>
      <c r="BN42" s="67">
        <f t="shared" ref="BN42:BN49" si="3">IFERROR(Y42*I42,"0")</f>
        <v>0</v>
      </c>
      <c r="BO42" s="67">
        <f t="shared" ref="BO42:BO49" si="4">IFERROR(X42/J42,"0")</f>
        <v>0</v>
      </c>
      <c r="BP42" s="67">
        <f t="shared" ref="BP42:BP49" si="5">IFERROR(Y42/J42,"0")</f>
        <v>0</v>
      </c>
    </row>
    <row r="43" spans="1:68" ht="27" customHeight="1" x14ac:dyDescent="0.25">
      <c r="A43" s="54" t="s">
        <v>105</v>
      </c>
      <c r="B43" s="54" t="s">
        <v>106</v>
      </c>
      <c r="C43" s="31">
        <v>4301070972</v>
      </c>
      <c r="D43" s="340">
        <v>4607111037183</v>
      </c>
      <c r="E43" s="341"/>
      <c r="F43" s="329">
        <v>0.9</v>
      </c>
      <c r="G43" s="32">
        <v>8</v>
      </c>
      <c r="H43" s="329">
        <v>7.2</v>
      </c>
      <c r="I43" s="329">
        <v>7.4859999999999998</v>
      </c>
      <c r="J43" s="32">
        <v>84</v>
      </c>
      <c r="K43" s="32" t="s">
        <v>65</v>
      </c>
      <c r="L43" s="32" t="s">
        <v>66</v>
      </c>
      <c r="M43" s="33" t="s">
        <v>67</v>
      </c>
      <c r="N43" s="33"/>
      <c r="O43" s="32">
        <v>180</v>
      </c>
      <c r="P43" s="442" t="str">
        <f>HYPERLINK("https://abi.ru/products/Замороженные/Горячая штучка/Бигбули ГШ/Пельмени/P003682/","Пельмени «Бигбули #МЕГАВКУСИЩЕ с сочной грудинкой» 0,9 сфера ТМ «Горячая штучка»")</f>
        <v>Пельмени «Бигбули #МЕГАВКУСИЩЕ с сочной грудинкой» 0,9 сфера ТМ «Горячая штучка»</v>
      </c>
      <c r="Q43" s="335"/>
      <c r="R43" s="335"/>
      <c r="S43" s="335"/>
      <c r="T43" s="336"/>
      <c r="U43" s="34"/>
      <c r="V43" s="34"/>
      <c r="W43" s="35" t="s">
        <v>68</v>
      </c>
      <c r="X43" s="330">
        <v>0</v>
      </c>
      <c r="Y43" s="331">
        <f t="shared" si="0"/>
        <v>0</v>
      </c>
      <c r="Z43" s="36">
        <f t="shared" si="1"/>
        <v>0</v>
      </c>
      <c r="AA43" s="56"/>
      <c r="AB43" s="57"/>
      <c r="AC43" s="88" t="s">
        <v>104</v>
      </c>
      <c r="AG43" s="67"/>
      <c r="AJ43" s="71" t="s">
        <v>70</v>
      </c>
      <c r="AK43" s="71">
        <v>1</v>
      </c>
      <c r="BB43" s="89" t="s">
        <v>1</v>
      </c>
      <c r="BM43" s="67">
        <f t="shared" si="2"/>
        <v>0</v>
      </c>
      <c r="BN43" s="67">
        <f t="shared" si="3"/>
        <v>0</v>
      </c>
      <c r="BO43" s="67">
        <f t="shared" si="4"/>
        <v>0</v>
      </c>
      <c r="BP43" s="67">
        <f t="shared" si="5"/>
        <v>0</v>
      </c>
    </row>
    <row r="44" spans="1:68" ht="27" customHeight="1" x14ac:dyDescent="0.25">
      <c r="A44" s="54" t="s">
        <v>107</v>
      </c>
      <c r="B44" s="54" t="s">
        <v>108</v>
      </c>
      <c r="C44" s="31">
        <v>4301071044</v>
      </c>
      <c r="D44" s="340">
        <v>4607111039385</v>
      </c>
      <c r="E44" s="341"/>
      <c r="F44" s="329">
        <v>0.7</v>
      </c>
      <c r="G44" s="32">
        <v>10</v>
      </c>
      <c r="H44" s="329">
        <v>7</v>
      </c>
      <c r="I44" s="329">
        <v>7.3</v>
      </c>
      <c r="J44" s="32">
        <v>84</v>
      </c>
      <c r="K44" s="32" t="s">
        <v>65</v>
      </c>
      <c r="L44" s="32" t="s">
        <v>66</v>
      </c>
      <c r="M44" s="33" t="s">
        <v>67</v>
      </c>
      <c r="N44" s="33"/>
      <c r="O44" s="32">
        <v>180</v>
      </c>
      <c r="P44" s="386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44" s="335"/>
      <c r="R44" s="335"/>
      <c r="S44" s="335"/>
      <c r="T44" s="336"/>
      <c r="U44" s="34"/>
      <c r="V44" s="34"/>
      <c r="W44" s="35" t="s">
        <v>68</v>
      </c>
      <c r="X44" s="330">
        <v>36</v>
      </c>
      <c r="Y44" s="331">
        <f t="shared" si="0"/>
        <v>36</v>
      </c>
      <c r="Z44" s="36">
        <f t="shared" si="1"/>
        <v>0.55800000000000005</v>
      </c>
      <c r="AA44" s="56"/>
      <c r="AB44" s="57"/>
      <c r="AC44" s="90" t="s">
        <v>104</v>
      </c>
      <c r="AG44" s="67"/>
      <c r="AJ44" s="71" t="s">
        <v>70</v>
      </c>
      <c r="AK44" s="71">
        <v>1</v>
      </c>
      <c r="BB44" s="91" t="s">
        <v>1</v>
      </c>
      <c r="BM44" s="67">
        <f t="shared" si="2"/>
        <v>262.8</v>
      </c>
      <c r="BN44" s="67">
        <f t="shared" si="3"/>
        <v>262.8</v>
      </c>
      <c r="BO44" s="67">
        <f t="shared" si="4"/>
        <v>0.42857142857142855</v>
      </c>
      <c r="BP44" s="67">
        <f t="shared" si="5"/>
        <v>0.42857142857142855</v>
      </c>
    </row>
    <row r="45" spans="1:68" ht="27" customHeight="1" x14ac:dyDescent="0.25">
      <c r="A45" s="54" t="s">
        <v>109</v>
      </c>
      <c r="B45" s="54" t="s">
        <v>110</v>
      </c>
      <c r="C45" s="31">
        <v>4301071045</v>
      </c>
      <c r="D45" s="340">
        <v>4607111039392</v>
      </c>
      <c r="E45" s="341"/>
      <c r="F45" s="329">
        <v>0.4</v>
      </c>
      <c r="G45" s="32">
        <v>16</v>
      </c>
      <c r="H45" s="329">
        <v>6.4</v>
      </c>
      <c r="I45" s="329">
        <v>6.7195999999999998</v>
      </c>
      <c r="J45" s="32">
        <v>84</v>
      </c>
      <c r="K45" s="32" t="s">
        <v>65</v>
      </c>
      <c r="L45" s="32" t="s">
        <v>66</v>
      </c>
      <c r="M45" s="33" t="s">
        <v>67</v>
      </c>
      <c r="N45" s="33"/>
      <c r="O45" s="32">
        <v>180</v>
      </c>
      <c r="P45" s="483" t="str">
        <f>HYPERLINK("https://abi.ru/products/Замороженные/Горячая штучка/Бигбули ГШ/Пельмени/P004441/","Пельмени «Бигбули #МЕГАМАСЛИЩЕ со сливочным маслом» 0,4 сфера ТМ «Горячая штучка»")</f>
        <v>Пельмени «Бигбули #МЕГАМАСЛИЩЕ со сливочным маслом» 0,4 сфера ТМ «Горячая штучка»</v>
      </c>
      <c r="Q45" s="335"/>
      <c r="R45" s="335"/>
      <c r="S45" s="335"/>
      <c r="T45" s="336"/>
      <c r="U45" s="34"/>
      <c r="V45" s="34"/>
      <c r="W45" s="35" t="s">
        <v>68</v>
      </c>
      <c r="X45" s="330">
        <v>12</v>
      </c>
      <c r="Y45" s="331">
        <f t="shared" si="0"/>
        <v>12</v>
      </c>
      <c r="Z45" s="36">
        <f t="shared" si="1"/>
        <v>0.186</v>
      </c>
      <c r="AA45" s="56"/>
      <c r="AB45" s="57"/>
      <c r="AC45" s="92" t="s">
        <v>111</v>
      </c>
      <c r="AG45" s="67"/>
      <c r="AJ45" s="71" t="s">
        <v>70</v>
      </c>
      <c r="AK45" s="71">
        <v>1</v>
      </c>
      <c r="BB45" s="93" t="s">
        <v>1</v>
      </c>
      <c r="BM45" s="67">
        <f t="shared" si="2"/>
        <v>80.635199999999998</v>
      </c>
      <c r="BN45" s="67">
        <f t="shared" si="3"/>
        <v>80.635199999999998</v>
      </c>
      <c r="BO45" s="67">
        <f t="shared" si="4"/>
        <v>0.14285714285714285</v>
      </c>
      <c r="BP45" s="67">
        <f t="shared" si="5"/>
        <v>0.14285714285714285</v>
      </c>
    </row>
    <row r="46" spans="1:68" ht="27" customHeight="1" x14ac:dyDescent="0.25">
      <c r="A46" s="54" t="s">
        <v>112</v>
      </c>
      <c r="B46" s="54" t="s">
        <v>113</v>
      </c>
      <c r="C46" s="31">
        <v>4301071031</v>
      </c>
      <c r="D46" s="340">
        <v>4607111038982</v>
      </c>
      <c r="E46" s="341"/>
      <c r="F46" s="329">
        <v>0.7</v>
      </c>
      <c r="G46" s="32">
        <v>10</v>
      </c>
      <c r="H46" s="329">
        <v>7</v>
      </c>
      <c r="I46" s="329">
        <v>7.2859999999999996</v>
      </c>
      <c r="J46" s="32">
        <v>84</v>
      </c>
      <c r="K46" s="32" t="s">
        <v>65</v>
      </c>
      <c r="L46" s="32" t="s">
        <v>66</v>
      </c>
      <c r="M46" s="33" t="s">
        <v>67</v>
      </c>
      <c r="N46" s="33"/>
      <c r="O46" s="32">
        <v>180</v>
      </c>
      <c r="P46" s="504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46" s="335"/>
      <c r="R46" s="335"/>
      <c r="S46" s="335"/>
      <c r="T46" s="336"/>
      <c r="U46" s="34"/>
      <c r="V46" s="34"/>
      <c r="W46" s="35" t="s">
        <v>68</v>
      </c>
      <c r="X46" s="330">
        <v>0</v>
      </c>
      <c r="Y46" s="331">
        <f t="shared" si="0"/>
        <v>0</v>
      </c>
      <c r="Z46" s="36">
        <f t="shared" si="1"/>
        <v>0</v>
      </c>
      <c r="AA46" s="56"/>
      <c r="AB46" s="57"/>
      <c r="AC46" s="94" t="s">
        <v>111</v>
      </c>
      <c r="AG46" s="67"/>
      <c r="AJ46" s="71" t="s">
        <v>70</v>
      </c>
      <c r="AK46" s="71">
        <v>1</v>
      </c>
      <c r="BB46" s="95" t="s">
        <v>1</v>
      </c>
      <c r="BM46" s="67">
        <f t="shared" si="2"/>
        <v>0</v>
      </c>
      <c r="BN46" s="67">
        <f t="shared" si="3"/>
        <v>0</v>
      </c>
      <c r="BO46" s="67">
        <f t="shared" si="4"/>
        <v>0</v>
      </c>
      <c r="BP46" s="67">
        <f t="shared" si="5"/>
        <v>0</v>
      </c>
    </row>
    <row r="47" spans="1:68" ht="27" customHeight="1" x14ac:dyDescent="0.25">
      <c r="A47" s="54" t="s">
        <v>114</v>
      </c>
      <c r="B47" s="54" t="s">
        <v>115</v>
      </c>
      <c r="C47" s="31">
        <v>4301071046</v>
      </c>
      <c r="D47" s="340">
        <v>4607111039354</v>
      </c>
      <c r="E47" s="341"/>
      <c r="F47" s="329">
        <v>0.4</v>
      </c>
      <c r="G47" s="32">
        <v>16</v>
      </c>
      <c r="H47" s="329">
        <v>6.4</v>
      </c>
      <c r="I47" s="329">
        <v>6.7195999999999998</v>
      </c>
      <c r="J47" s="32">
        <v>84</v>
      </c>
      <c r="K47" s="32" t="s">
        <v>65</v>
      </c>
      <c r="L47" s="32" t="s">
        <v>66</v>
      </c>
      <c r="M47" s="33" t="s">
        <v>67</v>
      </c>
      <c r="N47" s="33"/>
      <c r="O47" s="32">
        <v>180</v>
      </c>
      <c r="P47" s="402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47" s="335"/>
      <c r="R47" s="335"/>
      <c r="S47" s="335"/>
      <c r="T47" s="336"/>
      <c r="U47" s="34"/>
      <c r="V47" s="34"/>
      <c r="W47" s="35" t="s">
        <v>68</v>
      </c>
      <c r="X47" s="330">
        <v>0</v>
      </c>
      <c r="Y47" s="331">
        <f t="shared" si="0"/>
        <v>0</v>
      </c>
      <c r="Z47" s="36">
        <f t="shared" si="1"/>
        <v>0</v>
      </c>
      <c r="AA47" s="56"/>
      <c r="AB47" s="57"/>
      <c r="AC47" s="96" t="s">
        <v>111</v>
      </c>
      <c r="AG47" s="67"/>
      <c r="AJ47" s="71" t="s">
        <v>70</v>
      </c>
      <c r="AK47" s="71">
        <v>1</v>
      </c>
      <c r="BB47" s="97" t="s">
        <v>1</v>
      </c>
      <c r="BM47" s="67">
        <f t="shared" si="2"/>
        <v>0</v>
      </c>
      <c r="BN47" s="67">
        <f t="shared" si="3"/>
        <v>0</v>
      </c>
      <c r="BO47" s="67">
        <f t="shared" si="4"/>
        <v>0</v>
      </c>
      <c r="BP47" s="67">
        <f t="shared" si="5"/>
        <v>0</v>
      </c>
    </row>
    <row r="48" spans="1:68" ht="27" customHeight="1" x14ac:dyDescent="0.25">
      <c r="A48" s="54" t="s">
        <v>116</v>
      </c>
      <c r="B48" s="54" t="s">
        <v>117</v>
      </c>
      <c r="C48" s="31">
        <v>4301070968</v>
      </c>
      <c r="D48" s="340">
        <v>4607111036889</v>
      </c>
      <c r="E48" s="341"/>
      <c r="F48" s="329">
        <v>0.9</v>
      </c>
      <c r="G48" s="32">
        <v>8</v>
      </c>
      <c r="H48" s="329">
        <v>7.2</v>
      </c>
      <c r="I48" s="329">
        <v>7.4859999999999998</v>
      </c>
      <c r="J48" s="32">
        <v>84</v>
      </c>
      <c r="K48" s="32" t="s">
        <v>65</v>
      </c>
      <c r="L48" s="32" t="s">
        <v>66</v>
      </c>
      <c r="M48" s="33" t="s">
        <v>67</v>
      </c>
      <c r="N48" s="33"/>
      <c r="O48" s="32">
        <v>180</v>
      </c>
      <c r="P48" s="506" t="str">
        <f>HYPERLINK("https://abi.ru/products/Замороженные/Горячая штучка/Бигбули ГШ/Пельмени/P003678/","Пельмени «Бигбули с мясом» 0,9 Сфера ТМ «Горячая штучка»")</f>
        <v>Пельмени «Бигбули с мясом» 0,9 Сфера ТМ «Горячая штучка»</v>
      </c>
      <c r="Q48" s="335"/>
      <c r="R48" s="335"/>
      <c r="S48" s="335"/>
      <c r="T48" s="336"/>
      <c r="U48" s="34"/>
      <c r="V48" s="34"/>
      <c r="W48" s="35" t="s">
        <v>68</v>
      </c>
      <c r="X48" s="330">
        <v>0</v>
      </c>
      <c r="Y48" s="331">
        <f t="shared" si="0"/>
        <v>0</v>
      </c>
      <c r="Z48" s="36">
        <f t="shared" si="1"/>
        <v>0</v>
      </c>
      <c r="AA48" s="56"/>
      <c r="AB48" s="57"/>
      <c r="AC48" s="98" t="s">
        <v>111</v>
      </c>
      <c r="AG48" s="67"/>
      <c r="AJ48" s="71" t="s">
        <v>70</v>
      </c>
      <c r="AK48" s="71">
        <v>1</v>
      </c>
      <c r="BB48" s="99" t="s">
        <v>1</v>
      </c>
      <c r="BM48" s="67">
        <f t="shared" si="2"/>
        <v>0</v>
      </c>
      <c r="BN48" s="67">
        <f t="shared" si="3"/>
        <v>0</v>
      </c>
      <c r="BO48" s="67">
        <f t="shared" si="4"/>
        <v>0</v>
      </c>
      <c r="BP48" s="67">
        <f t="shared" si="5"/>
        <v>0</v>
      </c>
    </row>
    <row r="49" spans="1:68" ht="27" customHeight="1" x14ac:dyDescent="0.25">
      <c r="A49" s="54" t="s">
        <v>118</v>
      </c>
      <c r="B49" s="54" t="s">
        <v>119</v>
      </c>
      <c r="C49" s="31">
        <v>4301071047</v>
      </c>
      <c r="D49" s="340">
        <v>4607111039330</v>
      </c>
      <c r="E49" s="341"/>
      <c r="F49" s="329">
        <v>0.7</v>
      </c>
      <c r="G49" s="32">
        <v>10</v>
      </c>
      <c r="H49" s="329">
        <v>7</v>
      </c>
      <c r="I49" s="329">
        <v>7.3</v>
      </c>
      <c r="J49" s="32">
        <v>84</v>
      </c>
      <c r="K49" s="32" t="s">
        <v>65</v>
      </c>
      <c r="L49" s="32" t="s">
        <v>66</v>
      </c>
      <c r="M49" s="33" t="s">
        <v>67</v>
      </c>
      <c r="N49" s="33"/>
      <c r="O49" s="32">
        <v>180</v>
      </c>
      <c r="P49" s="518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49" s="335"/>
      <c r="R49" s="335"/>
      <c r="S49" s="335"/>
      <c r="T49" s="336"/>
      <c r="U49" s="34"/>
      <c r="V49" s="34"/>
      <c r="W49" s="35" t="s">
        <v>68</v>
      </c>
      <c r="X49" s="330">
        <v>0</v>
      </c>
      <c r="Y49" s="331">
        <f t="shared" si="0"/>
        <v>0</v>
      </c>
      <c r="Z49" s="36">
        <f t="shared" si="1"/>
        <v>0</v>
      </c>
      <c r="AA49" s="56"/>
      <c r="AB49" s="57"/>
      <c r="AC49" s="100" t="s">
        <v>111</v>
      </c>
      <c r="AG49" s="67"/>
      <c r="AJ49" s="71" t="s">
        <v>70</v>
      </c>
      <c r="AK49" s="71">
        <v>1</v>
      </c>
      <c r="BB49" s="101" t="s">
        <v>1</v>
      </c>
      <c r="BM49" s="67">
        <f t="shared" si="2"/>
        <v>0</v>
      </c>
      <c r="BN49" s="67">
        <f t="shared" si="3"/>
        <v>0</v>
      </c>
      <c r="BO49" s="67">
        <f t="shared" si="4"/>
        <v>0</v>
      </c>
      <c r="BP49" s="67">
        <f t="shared" si="5"/>
        <v>0</v>
      </c>
    </row>
    <row r="50" spans="1:68" x14ac:dyDescent="0.2">
      <c r="A50" s="350"/>
      <c r="B50" s="339"/>
      <c r="C50" s="339"/>
      <c r="D50" s="339"/>
      <c r="E50" s="339"/>
      <c r="F50" s="339"/>
      <c r="G50" s="339"/>
      <c r="H50" s="339"/>
      <c r="I50" s="339"/>
      <c r="J50" s="339"/>
      <c r="K50" s="339"/>
      <c r="L50" s="339"/>
      <c r="M50" s="339"/>
      <c r="N50" s="339"/>
      <c r="O50" s="351"/>
      <c r="P50" s="344" t="s">
        <v>71</v>
      </c>
      <c r="Q50" s="345"/>
      <c r="R50" s="345"/>
      <c r="S50" s="345"/>
      <c r="T50" s="345"/>
      <c r="U50" s="345"/>
      <c r="V50" s="346"/>
      <c r="W50" s="37" t="s">
        <v>68</v>
      </c>
      <c r="X50" s="332">
        <f>IFERROR(SUM(X42:X49),"0")</f>
        <v>48</v>
      </c>
      <c r="Y50" s="332">
        <f>IFERROR(SUM(Y42:Y49),"0")</f>
        <v>48</v>
      </c>
      <c r="Z50" s="332">
        <f>IFERROR(IF(Z42="",0,Z42),"0")+IFERROR(IF(Z43="",0,Z43),"0")+IFERROR(IF(Z44="",0,Z44),"0")+IFERROR(IF(Z45="",0,Z45),"0")+IFERROR(IF(Z46="",0,Z46),"0")+IFERROR(IF(Z47="",0,Z47),"0")+IFERROR(IF(Z48="",0,Z48),"0")+IFERROR(IF(Z49="",0,Z49),"0")</f>
        <v>0.74399999999999999</v>
      </c>
      <c r="AA50" s="333"/>
      <c r="AB50" s="333"/>
      <c r="AC50" s="333"/>
    </row>
    <row r="51" spans="1:68" x14ac:dyDescent="0.2">
      <c r="A51" s="339"/>
      <c r="B51" s="339"/>
      <c r="C51" s="339"/>
      <c r="D51" s="339"/>
      <c r="E51" s="339"/>
      <c r="F51" s="339"/>
      <c r="G51" s="339"/>
      <c r="H51" s="339"/>
      <c r="I51" s="339"/>
      <c r="J51" s="339"/>
      <c r="K51" s="339"/>
      <c r="L51" s="339"/>
      <c r="M51" s="339"/>
      <c r="N51" s="339"/>
      <c r="O51" s="351"/>
      <c r="P51" s="344" t="s">
        <v>71</v>
      </c>
      <c r="Q51" s="345"/>
      <c r="R51" s="345"/>
      <c r="S51" s="345"/>
      <c r="T51" s="345"/>
      <c r="U51" s="345"/>
      <c r="V51" s="346"/>
      <c r="W51" s="37" t="s">
        <v>72</v>
      </c>
      <c r="X51" s="332">
        <f>IFERROR(SUMPRODUCT(X42:X49*H42:H49),"0")</f>
        <v>328.8</v>
      </c>
      <c r="Y51" s="332">
        <f>IFERROR(SUMPRODUCT(Y42:Y49*H42:H49),"0")</f>
        <v>328.8</v>
      </c>
      <c r="Z51" s="37"/>
      <c r="AA51" s="333"/>
      <c r="AB51" s="333"/>
      <c r="AC51" s="333"/>
    </row>
    <row r="52" spans="1:68" ht="16.5" customHeight="1" x14ac:dyDescent="0.25">
      <c r="A52" s="364" t="s">
        <v>120</v>
      </c>
      <c r="B52" s="339"/>
      <c r="C52" s="339"/>
      <c r="D52" s="339"/>
      <c r="E52" s="339"/>
      <c r="F52" s="339"/>
      <c r="G52" s="339"/>
      <c r="H52" s="339"/>
      <c r="I52" s="339"/>
      <c r="J52" s="339"/>
      <c r="K52" s="339"/>
      <c r="L52" s="339"/>
      <c r="M52" s="339"/>
      <c r="N52" s="339"/>
      <c r="O52" s="339"/>
      <c r="P52" s="339"/>
      <c r="Q52" s="339"/>
      <c r="R52" s="339"/>
      <c r="S52" s="339"/>
      <c r="T52" s="339"/>
      <c r="U52" s="339"/>
      <c r="V52" s="339"/>
      <c r="W52" s="339"/>
      <c r="X52" s="339"/>
      <c r="Y52" s="339"/>
      <c r="Z52" s="339"/>
      <c r="AA52" s="325"/>
      <c r="AB52" s="325"/>
      <c r="AC52" s="325"/>
    </row>
    <row r="53" spans="1:68" ht="14.25" customHeight="1" x14ac:dyDescent="0.25">
      <c r="A53" s="338" t="s">
        <v>62</v>
      </c>
      <c r="B53" s="339"/>
      <c r="C53" s="339"/>
      <c r="D53" s="339"/>
      <c r="E53" s="339"/>
      <c r="F53" s="339"/>
      <c r="G53" s="339"/>
      <c r="H53" s="339"/>
      <c r="I53" s="339"/>
      <c r="J53" s="339"/>
      <c r="K53" s="339"/>
      <c r="L53" s="339"/>
      <c r="M53" s="339"/>
      <c r="N53" s="339"/>
      <c r="O53" s="339"/>
      <c r="P53" s="339"/>
      <c r="Q53" s="339"/>
      <c r="R53" s="339"/>
      <c r="S53" s="339"/>
      <c r="T53" s="339"/>
      <c r="U53" s="339"/>
      <c r="V53" s="339"/>
      <c r="W53" s="339"/>
      <c r="X53" s="339"/>
      <c r="Y53" s="339"/>
      <c r="Z53" s="339"/>
      <c r="AA53" s="326"/>
      <c r="AB53" s="326"/>
      <c r="AC53" s="326"/>
    </row>
    <row r="54" spans="1:68" ht="16.5" customHeight="1" x14ac:dyDescent="0.25">
      <c r="A54" s="54" t="s">
        <v>121</v>
      </c>
      <c r="B54" s="54" t="s">
        <v>122</v>
      </c>
      <c r="C54" s="31">
        <v>4301071073</v>
      </c>
      <c r="D54" s="340">
        <v>4620207490822</v>
      </c>
      <c r="E54" s="341"/>
      <c r="F54" s="329">
        <v>0.43</v>
      </c>
      <c r="G54" s="32">
        <v>8</v>
      </c>
      <c r="H54" s="329">
        <v>3.44</v>
      </c>
      <c r="I54" s="329">
        <v>3.64</v>
      </c>
      <c r="J54" s="32">
        <v>144</v>
      </c>
      <c r="K54" s="32" t="s">
        <v>65</v>
      </c>
      <c r="L54" s="32" t="s">
        <v>66</v>
      </c>
      <c r="M54" s="33" t="s">
        <v>67</v>
      </c>
      <c r="N54" s="33"/>
      <c r="O54" s="32">
        <v>365</v>
      </c>
      <c r="P54" s="525" t="s">
        <v>123</v>
      </c>
      <c r="Q54" s="335"/>
      <c r="R54" s="335"/>
      <c r="S54" s="335"/>
      <c r="T54" s="336"/>
      <c r="U54" s="34"/>
      <c r="V54" s="34"/>
      <c r="W54" s="35" t="s">
        <v>68</v>
      </c>
      <c r="X54" s="330">
        <v>0</v>
      </c>
      <c r="Y54" s="331">
        <f>IFERROR(IF(X54="","",X54),"")</f>
        <v>0</v>
      </c>
      <c r="Z54" s="36">
        <f>IFERROR(IF(X54="","",X54*0.00866),"")</f>
        <v>0</v>
      </c>
      <c r="AA54" s="56"/>
      <c r="AB54" s="57"/>
      <c r="AC54" s="102" t="s">
        <v>124</v>
      </c>
      <c r="AG54" s="67"/>
      <c r="AJ54" s="71" t="s">
        <v>70</v>
      </c>
      <c r="AK54" s="71">
        <v>1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x14ac:dyDescent="0.2">
      <c r="A55" s="350"/>
      <c r="B55" s="339"/>
      <c r="C55" s="339"/>
      <c r="D55" s="339"/>
      <c r="E55" s="339"/>
      <c r="F55" s="339"/>
      <c r="G55" s="339"/>
      <c r="H55" s="339"/>
      <c r="I55" s="339"/>
      <c r="J55" s="339"/>
      <c r="K55" s="339"/>
      <c r="L55" s="339"/>
      <c r="M55" s="339"/>
      <c r="N55" s="339"/>
      <c r="O55" s="351"/>
      <c r="P55" s="344" t="s">
        <v>71</v>
      </c>
      <c r="Q55" s="345"/>
      <c r="R55" s="345"/>
      <c r="S55" s="345"/>
      <c r="T55" s="345"/>
      <c r="U55" s="345"/>
      <c r="V55" s="346"/>
      <c r="W55" s="37" t="s">
        <v>68</v>
      </c>
      <c r="X55" s="332">
        <f>IFERROR(SUM(X54:X54),"0")</f>
        <v>0</v>
      </c>
      <c r="Y55" s="332">
        <f>IFERROR(SUM(Y54:Y54),"0")</f>
        <v>0</v>
      </c>
      <c r="Z55" s="332">
        <f>IFERROR(IF(Z54="",0,Z54),"0")</f>
        <v>0</v>
      </c>
      <c r="AA55" s="333"/>
      <c r="AB55" s="333"/>
      <c r="AC55" s="333"/>
    </row>
    <row r="56" spans="1:68" x14ac:dyDescent="0.2">
      <c r="A56" s="339"/>
      <c r="B56" s="339"/>
      <c r="C56" s="339"/>
      <c r="D56" s="339"/>
      <c r="E56" s="339"/>
      <c r="F56" s="339"/>
      <c r="G56" s="339"/>
      <c r="H56" s="339"/>
      <c r="I56" s="339"/>
      <c r="J56" s="339"/>
      <c r="K56" s="339"/>
      <c r="L56" s="339"/>
      <c r="M56" s="339"/>
      <c r="N56" s="339"/>
      <c r="O56" s="351"/>
      <c r="P56" s="344" t="s">
        <v>71</v>
      </c>
      <c r="Q56" s="345"/>
      <c r="R56" s="345"/>
      <c r="S56" s="345"/>
      <c r="T56" s="345"/>
      <c r="U56" s="345"/>
      <c r="V56" s="346"/>
      <c r="W56" s="37" t="s">
        <v>72</v>
      </c>
      <c r="X56" s="332">
        <f>IFERROR(SUMPRODUCT(X54:X54*H54:H54),"0")</f>
        <v>0</v>
      </c>
      <c r="Y56" s="332">
        <f>IFERROR(SUMPRODUCT(Y54:Y54*H54:H54),"0")</f>
        <v>0</v>
      </c>
      <c r="Z56" s="37"/>
      <c r="AA56" s="333"/>
      <c r="AB56" s="333"/>
      <c r="AC56" s="333"/>
    </row>
    <row r="57" spans="1:68" ht="14.25" customHeight="1" x14ac:dyDescent="0.25">
      <c r="A57" s="338" t="s">
        <v>125</v>
      </c>
      <c r="B57" s="339"/>
      <c r="C57" s="339"/>
      <c r="D57" s="339"/>
      <c r="E57" s="339"/>
      <c r="F57" s="339"/>
      <c r="G57" s="339"/>
      <c r="H57" s="339"/>
      <c r="I57" s="339"/>
      <c r="J57" s="339"/>
      <c r="K57" s="339"/>
      <c r="L57" s="339"/>
      <c r="M57" s="339"/>
      <c r="N57" s="339"/>
      <c r="O57" s="339"/>
      <c r="P57" s="339"/>
      <c r="Q57" s="339"/>
      <c r="R57" s="339"/>
      <c r="S57" s="339"/>
      <c r="T57" s="339"/>
      <c r="U57" s="339"/>
      <c r="V57" s="339"/>
      <c r="W57" s="339"/>
      <c r="X57" s="339"/>
      <c r="Y57" s="339"/>
      <c r="Z57" s="339"/>
      <c r="AA57" s="326"/>
      <c r="AB57" s="326"/>
      <c r="AC57" s="326"/>
    </row>
    <row r="58" spans="1:68" ht="16.5" customHeight="1" x14ac:dyDescent="0.25">
      <c r="A58" s="54" t="s">
        <v>126</v>
      </c>
      <c r="B58" s="54" t="s">
        <v>127</v>
      </c>
      <c r="C58" s="31">
        <v>4301100087</v>
      </c>
      <c r="D58" s="340">
        <v>4607111039743</v>
      </c>
      <c r="E58" s="341"/>
      <c r="F58" s="329">
        <v>0.18</v>
      </c>
      <c r="G58" s="32">
        <v>6</v>
      </c>
      <c r="H58" s="329">
        <v>1.08</v>
      </c>
      <c r="I58" s="329">
        <v>2.34</v>
      </c>
      <c r="J58" s="32">
        <v>182</v>
      </c>
      <c r="K58" s="32" t="s">
        <v>78</v>
      </c>
      <c r="L58" s="32" t="s">
        <v>66</v>
      </c>
      <c r="M58" s="33" t="s">
        <v>67</v>
      </c>
      <c r="N58" s="33"/>
      <c r="O58" s="32">
        <v>365</v>
      </c>
      <c r="P58" s="550" t="s">
        <v>128</v>
      </c>
      <c r="Q58" s="335"/>
      <c r="R58" s="335"/>
      <c r="S58" s="335"/>
      <c r="T58" s="336"/>
      <c r="U58" s="34"/>
      <c r="V58" s="34"/>
      <c r="W58" s="35" t="s">
        <v>68</v>
      </c>
      <c r="X58" s="330">
        <v>0</v>
      </c>
      <c r="Y58" s="331">
        <f>IFERROR(IF(X58="","",X58),"")</f>
        <v>0</v>
      </c>
      <c r="Z58" s="36">
        <f>IFERROR(IF(X58="","",X58*0.00941),"")</f>
        <v>0</v>
      </c>
      <c r="AA58" s="56"/>
      <c r="AB58" s="57"/>
      <c r="AC58" s="104" t="s">
        <v>129</v>
      </c>
      <c r="AG58" s="67"/>
      <c r="AJ58" s="71" t="s">
        <v>70</v>
      </c>
      <c r="AK58" s="71">
        <v>1</v>
      </c>
      <c r="BB58" s="105" t="s">
        <v>81</v>
      </c>
      <c r="BM58" s="67">
        <f>IFERROR(X58*I58,"0")</f>
        <v>0</v>
      </c>
      <c r="BN58" s="67">
        <f>IFERROR(Y58*I58,"0")</f>
        <v>0</v>
      </c>
      <c r="BO58" s="67">
        <f>IFERROR(X58/J58,"0")</f>
        <v>0</v>
      </c>
      <c r="BP58" s="67">
        <f>IFERROR(Y58/J58,"0")</f>
        <v>0</v>
      </c>
    </row>
    <row r="59" spans="1:68" x14ac:dyDescent="0.2">
      <c r="A59" s="350"/>
      <c r="B59" s="339"/>
      <c r="C59" s="339"/>
      <c r="D59" s="339"/>
      <c r="E59" s="339"/>
      <c r="F59" s="339"/>
      <c r="G59" s="339"/>
      <c r="H59" s="339"/>
      <c r="I59" s="339"/>
      <c r="J59" s="339"/>
      <c r="K59" s="339"/>
      <c r="L59" s="339"/>
      <c r="M59" s="339"/>
      <c r="N59" s="339"/>
      <c r="O59" s="351"/>
      <c r="P59" s="344" t="s">
        <v>71</v>
      </c>
      <c r="Q59" s="345"/>
      <c r="R59" s="345"/>
      <c r="S59" s="345"/>
      <c r="T59" s="345"/>
      <c r="U59" s="345"/>
      <c r="V59" s="346"/>
      <c r="W59" s="37" t="s">
        <v>68</v>
      </c>
      <c r="X59" s="332">
        <f>IFERROR(SUM(X58:X58),"0")</f>
        <v>0</v>
      </c>
      <c r="Y59" s="332">
        <f>IFERROR(SUM(Y58:Y58),"0")</f>
        <v>0</v>
      </c>
      <c r="Z59" s="332">
        <f>IFERROR(IF(Z58="",0,Z58),"0")</f>
        <v>0</v>
      </c>
      <c r="AA59" s="333"/>
      <c r="AB59" s="333"/>
      <c r="AC59" s="333"/>
    </row>
    <row r="60" spans="1:68" x14ac:dyDescent="0.2">
      <c r="A60" s="339"/>
      <c r="B60" s="339"/>
      <c r="C60" s="339"/>
      <c r="D60" s="339"/>
      <c r="E60" s="339"/>
      <c r="F60" s="339"/>
      <c r="G60" s="339"/>
      <c r="H60" s="339"/>
      <c r="I60" s="339"/>
      <c r="J60" s="339"/>
      <c r="K60" s="339"/>
      <c r="L60" s="339"/>
      <c r="M60" s="339"/>
      <c r="N60" s="339"/>
      <c r="O60" s="351"/>
      <c r="P60" s="344" t="s">
        <v>71</v>
      </c>
      <c r="Q60" s="345"/>
      <c r="R60" s="345"/>
      <c r="S60" s="345"/>
      <c r="T60" s="345"/>
      <c r="U60" s="345"/>
      <c r="V60" s="346"/>
      <c r="W60" s="37" t="s">
        <v>72</v>
      </c>
      <c r="X60" s="332">
        <f>IFERROR(SUMPRODUCT(X58:X58*H58:H58),"0")</f>
        <v>0</v>
      </c>
      <c r="Y60" s="332">
        <f>IFERROR(SUMPRODUCT(Y58:Y58*H58:H58),"0")</f>
        <v>0</v>
      </c>
      <c r="Z60" s="37"/>
      <c r="AA60" s="333"/>
      <c r="AB60" s="333"/>
      <c r="AC60" s="333"/>
    </row>
    <row r="61" spans="1:68" ht="14.25" customHeight="1" x14ac:dyDescent="0.25">
      <c r="A61" s="338" t="s">
        <v>75</v>
      </c>
      <c r="B61" s="339"/>
      <c r="C61" s="339"/>
      <c r="D61" s="339"/>
      <c r="E61" s="339"/>
      <c r="F61" s="339"/>
      <c r="G61" s="339"/>
      <c r="H61" s="339"/>
      <c r="I61" s="339"/>
      <c r="J61" s="339"/>
      <c r="K61" s="339"/>
      <c r="L61" s="339"/>
      <c r="M61" s="339"/>
      <c r="N61" s="339"/>
      <c r="O61" s="339"/>
      <c r="P61" s="339"/>
      <c r="Q61" s="339"/>
      <c r="R61" s="339"/>
      <c r="S61" s="339"/>
      <c r="T61" s="339"/>
      <c r="U61" s="339"/>
      <c r="V61" s="339"/>
      <c r="W61" s="339"/>
      <c r="X61" s="339"/>
      <c r="Y61" s="339"/>
      <c r="Z61" s="339"/>
      <c r="AA61" s="326"/>
      <c r="AB61" s="326"/>
      <c r="AC61" s="326"/>
    </row>
    <row r="62" spans="1:68" ht="16.5" customHeight="1" x14ac:dyDescent="0.25">
      <c r="A62" s="54" t="s">
        <v>130</v>
      </c>
      <c r="B62" s="54" t="s">
        <v>131</v>
      </c>
      <c r="C62" s="31">
        <v>4301132194</v>
      </c>
      <c r="D62" s="340">
        <v>4607111039712</v>
      </c>
      <c r="E62" s="341"/>
      <c r="F62" s="329">
        <v>0.2</v>
      </c>
      <c r="G62" s="32">
        <v>6</v>
      </c>
      <c r="H62" s="329">
        <v>1.2</v>
      </c>
      <c r="I62" s="329">
        <v>1.56</v>
      </c>
      <c r="J62" s="32">
        <v>140</v>
      </c>
      <c r="K62" s="32" t="s">
        <v>78</v>
      </c>
      <c r="L62" s="32" t="s">
        <v>66</v>
      </c>
      <c r="M62" s="33" t="s">
        <v>67</v>
      </c>
      <c r="N62" s="33"/>
      <c r="O62" s="32">
        <v>365</v>
      </c>
      <c r="P62" s="521" t="s">
        <v>132</v>
      </c>
      <c r="Q62" s="335"/>
      <c r="R62" s="335"/>
      <c r="S62" s="335"/>
      <c r="T62" s="336"/>
      <c r="U62" s="34"/>
      <c r="V62" s="34"/>
      <c r="W62" s="35" t="s">
        <v>68</v>
      </c>
      <c r="X62" s="330">
        <v>0</v>
      </c>
      <c r="Y62" s="331">
        <f>IFERROR(IF(X62="","",X62),"")</f>
        <v>0</v>
      </c>
      <c r="Z62" s="36">
        <f>IFERROR(IF(X62="","",X62*0.00941),"")</f>
        <v>0</v>
      </c>
      <c r="AA62" s="56"/>
      <c r="AB62" s="57"/>
      <c r="AC62" s="106" t="s">
        <v>133</v>
      </c>
      <c r="AG62" s="67"/>
      <c r="AJ62" s="71" t="s">
        <v>70</v>
      </c>
      <c r="AK62" s="71">
        <v>1</v>
      </c>
      <c r="BB62" s="107" t="s">
        <v>81</v>
      </c>
      <c r="BM62" s="67">
        <f>IFERROR(X62*I62,"0")</f>
        <v>0</v>
      </c>
      <c r="BN62" s="67">
        <f>IFERROR(Y62*I62,"0")</f>
        <v>0</v>
      </c>
      <c r="BO62" s="67">
        <f>IFERROR(X62/J62,"0")</f>
        <v>0</v>
      </c>
      <c r="BP62" s="67">
        <f>IFERROR(Y62/J62,"0")</f>
        <v>0</v>
      </c>
    </row>
    <row r="63" spans="1:68" x14ac:dyDescent="0.2">
      <c r="A63" s="350"/>
      <c r="B63" s="339"/>
      <c r="C63" s="339"/>
      <c r="D63" s="339"/>
      <c r="E63" s="339"/>
      <c r="F63" s="339"/>
      <c r="G63" s="339"/>
      <c r="H63" s="339"/>
      <c r="I63" s="339"/>
      <c r="J63" s="339"/>
      <c r="K63" s="339"/>
      <c r="L63" s="339"/>
      <c r="M63" s="339"/>
      <c r="N63" s="339"/>
      <c r="O63" s="351"/>
      <c r="P63" s="344" t="s">
        <v>71</v>
      </c>
      <c r="Q63" s="345"/>
      <c r="R63" s="345"/>
      <c r="S63" s="345"/>
      <c r="T63" s="345"/>
      <c r="U63" s="345"/>
      <c r="V63" s="346"/>
      <c r="W63" s="37" t="s">
        <v>68</v>
      </c>
      <c r="X63" s="332">
        <f>IFERROR(SUM(X62:X62),"0")</f>
        <v>0</v>
      </c>
      <c r="Y63" s="332">
        <f>IFERROR(SUM(Y62:Y62),"0")</f>
        <v>0</v>
      </c>
      <c r="Z63" s="332">
        <f>IFERROR(IF(Z62="",0,Z62),"0")</f>
        <v>0</v>
      </c>
      <c r="AA63" s="333"/>
      <c r="AB63" s="333"/>
      <c r="AC63" s="333"/>
    </row>
    <row r="64" spans="1:68" x14ac:dyDescent="0.2">
      <c r="A64" s="339"/>
      <c r="B64" s="339"/>
      <c r="C64" s="339"/>
      <c r="D64" s="339"/>
      <c r="E64" s="339"/>
      <c r="F64" s="339"/>
      <c r="G64" s="339"/>
      <c r="H64" s="339"/>
      <c r="I64" s="339"/>
      <c r="J64" s="339"/>
      <c r="K64" s="339"/>
      <c r="L64" s="339"/>
      <c r="M64" s="339"/>
      <c r="N64" s="339"/>
      <c r="O64" s="351"/>
      <c r="P64" s="344" t="s">
        <v>71</v>
      </c>
      <c r="Q64" s="345"/>
      <c r="R64" s="345"/>
      <c r="S64" s="345"/>
      <c r="T64" s="345"/>
      <c r="U64" s="345"/>
      <c r="V64" s="346"/>
      <c r="W64" s="37" t="s">
        <v>72</v>
      </c>
      <c r="X64" s="332">
        <f>IFERROR(SUMPRODUCT(X62:X62*H62:H62),"0")</f>
        <v>0</v>
      </c>
      <c r="Y64" s="332">
        <f>IFERROR(SUMPRODUCT(Y62:Y62*H62:H62),"0")</f>
        <v>0</v>
      </c>
      <c r="Z64" s="37"/>
      <c r="AA64" s="333"/>
      <c r="AB64" s="333"/>
      <c r="AC64" s="333"/>
    </row>
    <row r="65" spans="1:68" ht="14.25" customHeight="1" x14ac:dyDescent="0.25">
      <c r="A65" s="338" t="s">
        <v>134</v>
      </c>
      <c r="B65" s="339"/>
      <c r="C65" s="339"/>
      <c r="D65" s="339"/>
      <c r="E65" s="339"/>
      <c r="F65" s="339"/>
      <c r="G65" s="339"/>
      <c r="H65" s="339"/>
      <c r="I65" s="339"/>
      <c r="J65" s="339"/>
      <c r="K65" s="339"/>
      <c r="L65" s="339"/>
      <c r="M65" s="339"/>
      <c r="N65" s="339"/>
      <c r="O65" s="339"/>
      <c r="P65" s="339"/>
      <c r="Q65" s="339"/>
      <c r="R65" s="339"/>
      <c r="S65" s="339"/>
      <c r="T65" s="339"/>
      <c r="U65" s="339"/>
      <c r="V65" s="339"/>
      <c r="W65" s="339"/>
      <c r="X65" s="339"/>
      <c r="Y65" s="339"/>
      <c r="Z65" s="339"/>
      <c r="AA65" s="326"/>
      <c r="AB65" s="326"/>
      <c r="AC65" s="326"/>
    </row>
    <row r="66" spans="1:68" ht="16.5" customHeight="1" x14ac:dyDescent="0.25">
      <c r="A66" s="54" t="s">
        <v>135</v>
      </c>
      <c r="B66" s="54" t="s">
        <v>136</v>
      </c>
      <c r="C66" s="31">
        <v>4301136018</v>
      </c>
      <c r="D66" s="340">
        <v>4607111037008</v>
      </c>
      <c r="E66" s="341"/>
      <c r="F66" s="329">
        <v>0.36</v>
      </c>
      <c r="G66" s="32">
        <v>4</v>
      </c>
      <c r="H66" s="329">
        <v>1.44</v>
      </c>
      <c r="I66" s="329">
        <v>1.74</v>
      </c>
      <c r="J66" s="32">
        <v>140</v>
      </c>
      <c r="K66" s="32" t="s">
        <v>78</v>
      </c>
      <c r="L66" s="32" t="s">
        <v>66</v>
      </c>
      <c r="M66" s="33" t="s">
        <v>67</v>
      </c>
      <c r="N66" s="33"/>
      <c r="O66" s="32">
        <v>365</v>
      </c>
      <c r="P66" s="427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6" s="335"/>
      <c r="R66" s="335"/>
      <c r="S66" s="335"/>
      <c r="T66" s="336"/>
      <c r="U66" s="34"/>
      <c r="V66" s="34"/>
      <c r="W66" s="35" t="s">
        <v>68</v>
      </c>
      <c r="X66" s="330">
        <v>0</v>
      </c>
      <c r="Y66" s="331">
        <f>IFERROR(IF(X66="","",X66),"")</f>
        <v>0</v>
      </c>
      <c r="Z66" s="36">
        <f>IFERROR(IF(X66="","",X66*0.00941),"")</f>
        <v>0</v>
      </c>
      <c r="AA66" s="56"/>
      <c r="AB66" s="57"/>
      <c r="AC66" s="108" t="s">
        <v>137</v>
      </c>
      <c r="AG66" s="67"/>
      <c r="AJ66" s="71" t="s">
        <v>70</v>
      </c>
      <c r="AK66" s="71">
        <v>1</v>
      </c>
      <c r="BB66" s="109" t="s">
        <v>81</v>
      </c>
      <c r="BM66" s="67">
        <f>IFERROR(X66*I66,"0")</f>
        <v>0</v>
      </c>
      <c r="BN66" s="67">
        <f>IFERROR(Y66*I66,"0")</f>
        <v>0</v>
      </c>
      <c r="BO66" s="67">
        <f>IFERROR(X66/J66,"0")</f>
        <v>0</v>
      </c>
      <c r="BP66" s="67">
        <f>IFERROR(Y66/J66,"0")</f>
        <v>0</v>
      </c>
    </row>
    <row r="67" spans="1:68" x14ac:dyDescent="0.2">
      <c r="A67" s="350"/>
      <c r="B67" s="339"/>
      <c r="C67" s="339"/>
      <c r="D67" s="339"/>
      <c r="E67" s="339"/>
      <c r="F67" s="339"/>
      <c r="G67" s="339"/>
      <c r="H67" s="339"/>
      <c r="I67" s="339"/>
      <c r="J67" s="339"/>
      <c r="K67" s="339"/>
      <c r="L67" s="339"/>
      <c r="M67" s="339"/>
      <c r="N67" s="339"/>
      <c r="O67" s="351"/>
      <c r="P67" s="344" t="s">
        <v>71</v>
      </c>
      <c r="Q67" s="345"/>
      <c r="R67" s="345"/>
      <c r="S67" s="345"/>
      <c r="T67" s="345"/>
      <c r="U67" s="345"/>
      <c r="V67" s="346"/>
      <c r="W67" s="37" t="s">
        <v>68</v>
      </c>
      <c r="X67" s="332">
        <f>IFERROR(SUM(X66:X66),"0")</f>
        <v>0</v>
      </c>
      <c r="Y67" s="332">
        <f>IFERROR(SUM(Y66:Y66),"0")</f>
        <v>0</v>
      </c>
      <c r="Z67" s="332">
        <f>IFERROR(IF(Z66="",0,Z66),"0")</f>
        <v>0</v>
      </c>
      <c r="AA67" s="333"/>
      <c r="AB67" s="333"/>
      <c r="AC67" s="333"/>
    </row>
    <row r="68" spans="1:68" x14ac:dyDescent="0.2">
      <c r="A68" s="339"/>
      <c r="B68" s="339"/>
      <c r="C68" s="339"/>
      <c r="D68" s="339"/>
      <c r="E68" s="339"/>
      <c r="F68" s="339"/>
      <c r="G68" s="339"/>
      <c r="H68" s="339"/>
      <c r="I68" s="339"/>
      <c r="J68" s="339"/>
      <c r="K68" s="339"/>
      <c r="L68" s="339"/>
      <c r="M68" s="339"/>
      <c r="N68" s="339"/>
      <c r="O68" s="351"/>
      <c r="P68" s="344" t="s">
        <v>71</v>
      </c>
      <c r="Q68" s="345"/>
      <c r="R68" s="345"/>
      <c r="S68" s="345"/>
      <c r="T68" s="345"/>
      <c r="U68" s="345"/>
      <c r="V68" s="346"/>
      <c r="W68" s="37" t="s">
        <v>72</v>
      </c>
      <c r="X68" s="332">
        <f>IFERROR(SUMPRODUCT(X66:X66*H66:H66),"0")</f>
        <v>0</v>
      </c>
      <c r="Y68" s="332">
        <f>IFERROR(SUMPRODUCT(Y66:Y66*H66:H66),"0")</f>
        <v>0</v>
      </c>
      <c r="Z68" s="37"/>
      <c r="AA68" s="333"/>
      <c r="AB68" s="333"/>
      <c r="AC68" s="333"/>
    </row>
    <row r="69" spans="1:68" ht="14.25" customHeight="1" x14ac:dyDescent="0.25">
      <c r="A69" s="338" t="s">
        <v>138</v>
      </c>
      <c r="B69" s="339"/>
      <c r="C69" s="339"/>
      <c r="D69" s="339"/>
      <c r="E69" s="339"/>
      <c r="F69" s="339"/>
      <c r="G69" s="339"/>
      <c r="H69" s="339"/>
      <c r="I69" s="339"/>
      <c r="J69" s="339"/>
      <c r="K69" s="339"/>
      <c r="L69" s="339"/>
      <c r="M69" s="339"/>
      <c r="N69" s="339"/>
      <c r="O69" s="339"/>
      <c r="P69" s="339"/>
      <c r="Q69" s="339"/>
      <c r="R69" s="339"/>
      <c r="S69" s="339"/>
      <c r="T69" s="339"/>
      <c r="U69" s="339"/>
      <c r="V69" s="339"/>
      <c r="W69" s="339"/>
      <c r="X69" s="339"/>
      <c r="Y69" s="339"/>
      <c r="Z69" s="339"/>
      <c r="AA69" s="326"/>
      <c r="AB69" s="326"/>
      <c r="AC69" s="326"/>
    </row>
    <row r="70" spans="1:68" ht="16.5" customHeight="1" x14ac:dyDescent="0.25">
      <c r="A70" s="54" t="s">
        <v>139</v>
      </c>
      <c r="B70" s="54" t="s">
        <v>140</v>
      </c>
      <c r="C70" s="31">
        <v>4301135664</v>
      </c>
      <c r="D70" s="340">
        <v>4607111039705</v>
      </c>
      <c r="E70" s="341"/>
      <c r="F70" s="329">
        <v>0.2</v>
      </c>
      <c r="G70" s="32">
        <v>6</v>
      </c>
      <c r="H70" s="329">
        <v>1.2</v>
      </c>
      <c r="I70" s="329">
        <v>1.56</v>
      </c>
      <c r="J70" s="32">
        <v>140</v>
      </c>
      <c r="K70" s="32" t="s">
        <v>78</v>
      </c>
      <c r="L70" s="32" t="s">
        <v>66</v>
      </c>
      <c r="M70" s="33" t="s">
        <v>67</v>
      </c>
      <c r="N70" s="33"/>
      <c r="O70" s="32">
        <v>365</v>
      </c>
      <c r="P70" s="538" t="s">
        <v>141</v>
      </c>
      <c r="Q70" s="335"/>
      <c r="R70" s="335"/>
      <c r="S70" s="335"/>
      <c r="T70" s="336"/>
      <c r="U70" s="34"/>
      <c r="V70" s="34"/>
      <c r="W70" s="35" t="s">
        <v>68</v>
      </c>
      <c r="X70" s="330">
        <v>0</v>
      </c>
      <c r="Y70" s="331">
        <f>IFERROR(IF(X70="","",X70),"")</f>
        <v>0</v>
      </c>
      <c r="Z70" s="36">
        <f>IFERROR(IF(X70="","",X70*0.00941),"")</f>
        <v>0</v>
      </c>
      <c r="AA70" s="56"/>
      <c r="AB70" s="57"/>
      <c r="AC70" s="110" t="s">
        <v>137</v>
      </c>
      <c r="AG70" s="67"/>
      <c r="AJ70" s="71" t="s">
        <v>70</v>
      </c>
      <c r="AK70" s="71">
        <v>1</v>
      </c>
      <c r="BB70" s="111" t="s">
        <v>81</v>
      </c>
      <c r="BM70" s="67">
        <f>IFERROR(X70*I70,"0")</f>
        <v>0</v>
      </c>
      <c r="BN70" s="67">
        <f>IFERROR(Y70*I70,"0")</f>
        <v>0</v>
      </c>
      <c r="BO70" s="67">
        <f>IFERROR(X70/J70,"0")</f>
        <v>0</v>
      </c>
      <c r="BP70" s="67">
        <f>IFERROR(Y70/J70,"0")</f>
        <v>0</v>
      </c>
    </row>
    <row r="71" spans="1:68" ht="27" customHeight="1" x14ac:dyDescent="0.25">
      <c r="A71" s="54" t="s">
        <v>142</v>
      </c>
      <c r="B71" s="54" t="s">
        <v>143</v>
      </c>
      <c r="C71" s="31">
        <v>4301135665</v>
      </c>
      <c r="D71" s="340">
        <v>4607111039729</v>
      </c>
      <c r="E71" s="341"/>
      <c r="F71" s="329">
        <v>0.2</v>
      </c>
      <c r="G71" s="32">
        <v>6</v>
      </c>
      <c r="H71" s="329">
        <v>1.2</v>
      </c>
      <c r="I71" s="329">
        <v>1.56</v>
      </c>
      <c r="J71" s="32">
        <v>140</v>
      </c>
      <c r="K71" s="32" t="s">
        <v>78</v>
      </c>
      <c r="L71" s="32" t="s">
        <v>66</v>
      </c>
      <c r="M71" s="33" t="s">
        <v>67</v>
      </c>
      <c r="N71" s="33"/>
      <c r="O71" s="32">
        <v>365</v>
      </c>
      <c r="P71" s="547" t="s">
        <v>144</v>
      </c>
      <c r="Q71" s="335"/>
      <c r="R71" s="335"/>
      <c r="S71" s="335"/>
      <c r="T71" s="336"/>
      <c r="U71" s="34"/>
      <c r="V71" s="34"/>
      <c r="W71" s="35" t="s">
        <v>68</v>
      </c>
      <c r="X71" s="330">
        <v>0</v>
      </c>
      <c r="Y71" s="331">
        <f>IFERROR(IF(X71="","",X71),"")</f>
        <v>0</v>
      </c>
      <c r="Z71" s="36">
        <f>IFERROR(IF(X71="","",X71*0.00941),"")</f>
        <v>0</v>
      </c>
      <c r="AA71" s="56"/>
      <c r="AB71" s="57"/>
      <c r="AC71" s="112" t="s">
        <v>145</v>
      </c>
      <c r="AG71" s="67"/>
      <c r="AJ71" s="71" t="s">
        <v>70</v>
      </c>
      <c r="AK71" s="71">
        <v>1</v>
      </c>
      <c r="BB71" s="113" t="s">
        <v>81</v>
      </c>
      <c r="BM71" s="67">
        <f>IFERROR(X71*I71,"0")</f>
        <v>0</v>
      </c>
      <c r="BN71" s="67">
        <f>IFERROR(Y71*I71,"0")</f>
        <v>0</v>
      </c>
      <c r="BO71" s="67">
        <f>IFERROR(X71/J71,"0")</f>
        <v>0</v>
      </c>
      <c r="BP71" s="67">
        <f>IFERROR(Y71/J71,"0")</f>
        <v>0</v>
      </c>
    </row>
    <row r="72" spans="1:68" ht="27" customHeight="1" x14ac:dyDescent="0.25">
      <c r="A72" s="54" t="s">
        <v>146</v>
      </c>
      <c r="B72" s="54" t="s">
        <v>147</v>
      </c>
      <c r="C72" s="31">
        <v>4301135702</v>
      </c>
      <c r="D72" s="340">
        <v>4620207490228</v>
      </c>
      <c r="E72" s="341"/>
      <c r="F72" s="329">
        <v>0.2</v>
      </c>
      <c r="G72" s="32">
        <v>6</v>
      </c>
      <c r="H72" s="329">
        <v>1.2</v>
      </c>
      <c r="I72" s="329">
        <v>1.56</v>
      </c>
      <c r="J72" s="32">
        <v>140</v>
      </c>
      <c r="K72" s="32" t="s">
        <v>78</v>
      </c>
      <c r="L72" s="32" t="s">
        <v>66</v>
      </c>
      <c r="M72" s="33" t="s">
        <v>67</v>
      </c>
      <c r="N72" s="33"/>
      <c r="O72" s="32">
        <v>365</v>
      </c>
      <c r="P72" s="533" t="s">
        <v>148</v>
      </c>
      <c r="Q72" s="335"/>
      <c r="R72" s="335"/>
      <c r="S72" s="335"/>
      <c r="T72" s="336"/>
      <c r="U72" s="34"/>
      <c r="V72" s="34"/>
      <c r="W72" s="35" t="s">
        <v>68</v>
      </c>
      <c r="X72" s="330">
        <v>0</v>
      </c>
      <c r="Y72" s="331">
        <f>IFERROR(IF(X72="","",X72),"")</f>
        <v>0</v>
      </c>
      <c r="Z72" s="36">
        <f>IFERROR(IF(X72="","",X72*0.00941),"")</f>
        <v>0</v>
      </c>
      <c r="AA72" s="56"/>
      <c r="AB72" s="57"/>
      <c r="AC72" s="114" t="s">
        <v>145</v>
      </c>
      <c r="AG72" s="67"/>
      <c r="AJ72" s="71" t="s">
        <v>70</v>
      </c>
      <c r="AK72" s="71">
        <v>1</v>
      </c>
      <c r="BB72" s="115" t="s">
        <v>81</v>
      </c>
      <c r="BM72" s="67">
        <f>IFERROR(X72*I72,"0")</f>
        <v>0</v>
      </c>
      <c r="BN72" s="67">
        <f>IFERROR(Y72*I72,"0")</f>
        <v>0</v>
      </c>
      <c r="BO72" s="67">
        <f>IFERROR(X72/J72,"0")</f>
        <v>0</v>
      </c>
      <c r="BP72" s="67">
        <f>IFERROR(Y72/J72,"0")</f>
        <v>0</v>
      </c>
    </row>
    <row r="73" spans="1:68" x14ac:dyDescent="0.2">
      <c r="A73" s="350"/>
      <c r="B73" s="339"/>
      <c r="C73" s="339"/>
      <c r="D73" s="339"/>
      <c r="E73" s="339"/>
      <c r="F73" s="339"/>
      <c r="G73" s="339"/>
      <c r="H73" s="339"/>
      <c r="I73" s="339"/>
      <c r="J73" s="339"/>
      <c r="K73" s="339"/>
      <c r="L73" s="339"/>
      <c r="M73" s="339"/>
      <c r="N73" s="339"/>
      <c r="O73" s="351"/>
      <c r="P73" s="344" t="s">
        <v>71</v>
      </c>
      <c r="Q73" s="345"/>
      <c r="R73" s="345"/>
      <c r="S73" s="345"/>
      <c r="T73" s="345"/>
      <c r="U73" s="345"/>
      <c r="V73" s="346"/>
      <c r="W73" s="37" t="s">
        <v>68</v>
      </c>
      <c r="X73" s="332">
        <f>IFERROR(SUM(X70:X72),"0")</f>
        <v>0</v>
      </c>
      <c r="Y73" s="332">
        <f>IFERROR(SUM(Y70:Y72),"0")</f>
        <v>0</v>
      </c>
      <c r="Z73" s="332">
        <f>IFERROR(IF(Z70="",0,Z70),"0")+IFERROR(IF(Z71="",0,Z71),"0")+IFERROR(IF(Z72="",0,Z72),"0")</f>
        <v>0</v>
      </c>
      <c r="AA73" s="333"/>
      <c r="AB73" s="333"/>
      <c r="AC73" s="333"/>
    </row>
    <row r="74" spans="1:68" x14ac:dyDescent="0.2">
      <c r="A74" s="339"/>
      <c r="B74" s="339"/>
      <c r="C74" s="339"/>
      <c r="D74" s="339"/>
      <c r="E74" s="339"/>
      <c r="F74" s="339"/>
      <c r="G74" s="339"/>
      <c r="H74" s="339"/>
      <c r="I74" s="339"/>
      <c r="J74" s="339"/>
      <c r="K74" s="339"/>
      <c r="L74" s="339"/>
      <c r="M74" s="339"/>
      <c r="N74" s="339"/>
      <c r="O74" s="351"/>
      <c r="P74" s="344" t="s">
        <v>71</v>
      </c>
      <c r="Q74" s="345"/>
      <c r="R74" s="345"/>
      <c r="S74" s="345"/>
      <c r="T74" s="345"/>
      <c r="U74" s="345"/>
      <c r="V74" s="346"/>
      <c r="W74" s="37" t="s">
        <v>72</v>
      </c>
      <c r="X74" s="332">
        <f>IFERROR(SUMPRODUCT(X70:X72*H70:H72),"0")</f>
        <v>0</v>
      </c>
      <c r="Y74" s="332">
        <f>IFERROR(SUMPRODUCT(Y70:Y72*H70:H72),"0")</f>
        <v>0</v>
      </c>
      <c r="Z74" s="37"/>
      <c r="AA74" s="333"/>
      <c r="AB74" s="333"/>
      <c r="AC74" s="333"/>
    </row>
    <row r="75" spans="1:68" ht="16.5" customHeight="1" x14ac:dyDescent="0.25">
      <c r="A75" s="364" t="s">
        <v>149</v>
      </c>
      <c r="B75" s="339"/>
      <c r="C75" s="339"/>
      <c r="D75" s="339"/>
      <c r="E75" s="339"/>
      <c r="F75" s="339"/>
      <c r="G75" s="339"/>
      <c r="H75" s="339"/>
      <c r="I75" s="339"/>
      <c r="J75" s="339"/>
      <c r="K75" s="339"/>
      <c r="L75" s="339"/>
      <c r="M75" s="339"/>
      <c r="N75" s="339"/>
      <c r="O75" s="339"/>
      <c r="P75" s="339"/>
      <c r="Q75" s="339"/>
      <c r="R75" s="339"/>
      <c r="S75" s="339"/>
      <c r="T75" s="339"/>
      <c r="U75" s="339"/>
      <c r="V75" s="339"/>
      <c r="W75" s="339"/>
      <c r="X75" s="339"/>
      <c r="Y75" s="339"/>
      <c r="Z75" s="339"/>
      <c r="AA75" s="325"/>
      <c r="AB75" s="325"/>
      <c r="AC75" s="325"/>
    </row>
    <row r="76" spans="1:68" ht="14.25" customHeight="1" x14ac:dyDescent="0.25">
      <c r="A76" s="338" t="s">
        <v>62</v>
      </c>
      <c r="B76" s="339"/>
      <c r="C76" s="339"/>
      <c r="D76" s="339"/>
      <c r="E76" s="339"/>
      <c r="F76" s="339"/>
      <c r="G76" s="339"/>
      <c r="H76" s="339"/>
      <c r="I76" s="339"/>
      <c r="J76" s="339"/>
      <c r="K76" s="339"/>
      <c r="L76" s="339"/>
      <c r="M76" s="339"/>
      <c r="N76" s="339"/>
      <c r="O76" s="339"/>
      <c r="P76" s="339"/>
      <c r="Q76" s="339"/>
      <c r="R76" s="339"/>
      <c r="S76" s="339"/>
      <c r="T76" s="339"/>
      <c r="U76" s="339"/>
      <c r="V76" s="339"/>
      <c r="W76" s="339"/>
      <c r="X76" s="339"/>
      <c r="Y76" s="339"/>
      <c r="Z76" s="339"/>
      <c r="AA76" s="326"/>
      <c r="AB76" s="326"/>
      <c r="AC76" s="326"/>
    </row>
    <row r="77" spans="1:68" ht="27" customHeight="1" x14ac:dyDescent="0.25">
      <c r="A77" s="54" t="s">
        <v>150</v>
      </c>
      <c r="B77" s="54" t="s">
        <v>151</v>
      </c>
      <c r="C77" s="31">
        <v>4301070977</v>
      </c>
      <c r="D77" s="340">
        <v>4607111037411</v>
      </c>
      <c r="E77" s="341"/>
      <c r="F77" s="329">
        <v>2.7</v>
      </c>
      <c r="G77" s="32">
        <v>1</v>
      </c>
      <c r="H77" s="329">
        <v>2.7</v>
      </c>
      <c r="I77" s="329">
        <v>2.8132000000000001</v>
      </c>
      <c r="J77" s="32">
        <v>234</v>
      </c>
      <c r="K77" s="32" t="s">
        <v>152</v>
      </c>
      <c r="L77" s="32" t="s">
        <v>66</v>
      </c>
      <c r="M77" s="33" t="s">
        <v>67</v>
      </c>
      <c r="N77" s="33"/>
      <c r="O77" s="32">
        <v>180</v>
      </c>
      <c r="P77" s="466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7" s="335"/>
      <c r="R77" s="335"/>
      <c r="S77" s="335"/>
      <c r="T77" s="336"/>
      <c r="U77" s="34"/>
      <c r="V77" s="34"/>
      <c r="W77" s="35" t="s">
        <v>68</v>
      </c>
      <c r="X77" s="330">
        <v>0</v>
      </c>
      <c r="Y77" s="331">
        <f>IFERROR(IF(X77="","",X77),"")</f>
        <v>0</v>
      </c>
      <c r="Z77" s="36">
        <f>IFERROR(IF(X77="","",X77*0.00502),"")</f>
        <v>0</v>
      </c>
      <c r="AA77" s="56"/>
      <c r="AB77" s="57"/>
      <c r="AC77" s="116" t="s">
        <v>153</v>
      </c>
      <c r="AG77" s="67"/>
      <c r="AJ77" s="71" t="s">
        <v>70</v>
      </c>
      <c r="AK77" s="71">
        <v>1</v>
      </c>
      <c r="BB77" s="117" t="s">
        <v>1</v>
      </c>
      <c r="BM77" s="67">
        <f>IFERROR(X77*I77,"0")</f>
        <v>0</v>
      </c>
      <c r="BN77" s="67">
        <f>IFERROR(Y77*I77,"0")</f>
        <v>0</v>
      </c>
      <c r="BO77" s="67">
        <f>IFERROR(X77/J77,"0")</f>
        <v>0</v>
      </c>
      <c r="BP77" s="67">
        <f>IFERROR(Y77/J77,"0")</f>
        <v>0</v>
      </c>
    </row>
    <row r="78" spans="1:68" ht="27" customHeight="1" x14ac:dyDescent="0.25">
      <c r="A78" s="54" t="s">
        <v>154</v>
      </c>
      <c r="B78" s="54" t="s">
        <v>155</v>
      </c>
      <c r="C78" s="31">
        <v>4301070981</v>
      </c>
      <c r="D78" s="340">
        <v>4607111036728</v>
      </c>
      <c r="E78" s="341"/>
      <c r="F78" s="329">
        <v>5</v>
      </c>
      <c r="G78" s="32">
        <v>1</v>
      </c>
      <c r="H78" s="329">
        <v>5</v>
      </c>
      <c r="I78" s="329">
        <v>5.2131999999999996</v>
      </c>
      <c r="J78" s="32">
        <v>144</v>
      </c>
      <c r="K78" s="32" t="s">
        <v>65</v>
      </c>
      <c r="L78" s="32" t="s">
        <v>66</v>
      </c>
      <c r="M78" s="33" t="s">
        <v>67</v>
      </c>
      <c r="N78" s="33"/>
      <c r="O78" s="32">
        <v>180</v>
      </c>
      <c r="P78" s="417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8" s="335"/>
      <c r="R78" s="335"/>
      <c r="S78" s="335"/>
      <c r="T78" s="336"/>
      <c r="U78" s="34"/>
      <c r="V78" s="34"/>
      <c r="W78" s="35" t="s">
        <v>68</v>
      </c>
      <c r="X78" s="330">
        <v>0</v>
      </c>
      <c r="Y78" s="331">
        <f>IFERROR(IF(X78="","",X78),"")</f>
        <v>0</v>
      </c>
      <c r="Z78" s="36">
        <f>IFERROR(IF(X78="","",X78*0.00866),"")</f>
        <v>0</v>
      </c>
      <c r="AA78" s="56"/>
      <c r="AB78" s="57"/>
      <c r="AC78" s="118" t="s">
        <v>153</v>
      </c>
      <c r="AG78" s="67"/>
      <c r="AJ78" s="71" t="s">
        <v>70</v>
      </c>
      <c r="AK78" s="71">
        <v>1</v>
      </c>
      <c r="BB78" s="119" t="s">
        <v>1</v>
      </c>
      <c r="BM78" s="67">
        <f>IFERROR(X78*I78,"0")</f>
        <v>0</v>
      </c>
      <c r="BN78" s="67">
        <f>IFERROR(Y78*I78,"0")</f>
        <v>0</v>
      </c>
      <c r="BO78" s="67">
        <f>IFERROR(X78/J78,"0")</f>
        <v>0</v>
      </c>
      <c r="BP78" s="67">
        <f>IFERROR(Y78/J78,"0")</f>
        <v>0</v>
      </c>
    </row>
    <row r="79" spans="1:68" x14ac:dyDescent="0.2">
      <c r="A79" s="350"/>
      <c r="B79" s="339"/>
      <c r="C79" s="339"/>
      <c r="D79" s="339"/>
      <c r="E79" s="339"/>
      <c r="F79" s="339"/>
      <c r="G79" s="339"/>
      <c r="H79" s="339"/>
      <c r="I79" s="339"/>
      <c r="J79" s="339"/>
      <c r="K79" s="339"/>
      <c r="L79" s="339"/>
      <c r="M79" s="339"/>
      <c r="N79" s="339"/>
      <c r="O79" s="351"/>
      <c r="P79" s="344" t="s">
        <v>71</v>
      </c>
      <c r="Q79" s="345"/>
      <c r="R79" s="345"/>
      <c r="S79" s="345"/>
      <c r="T79" s="345"/>
      <c r="U79" s="345"/>
      <c r="V79" s="346"/>
      <c r="W79" s="37" t="s">
        <v>68</v>
      </c>
      <c r="X79" s="332">
        <f>IFERROR(SUM(X77:X78),"0")</f>
        <v>0</v>
      </c>
      <c r="Y79" s="332">
        <f>IFERROR(SUM(Y77:Y78),"0")</f>
        <v>0</v>
      </c>
      <c r="Z79" s="332">
        <f>IFERROR(IF(Z77="",0,Z77),"0")+IFERROR(IF(Z78="",0,Z78),"0")</f>
        <v>0</v>
      </c>
      <c r="AA79" s="333"/>
      <c r="AB79" s="333"/>
      <c r="AC79" s="333"/>
    </row>
    <row r="80" spans="1:68" x14ac:dyDescent="0.2">
      <c r="A80" s="339"/>
      <c r="B80" s="339"/>
      <c r="C80" s="339"/>
      <c r="D80" s="339"/>
      <c r="E80" s="339"/>
      <c r="F80" s="339"/>
      <c r="G80" s="339"/>
      <c r="H80" s="339"/>
      <c r="I80" s="339"/>
      <c r="J80" s="339"/>
      <c r="K80" s="339"/>
      <c r="L80" s="339"/>
      <c r="M80" s="339"/>
      <c r="N80" s="339"/>
      <c r="O80" s="351"/>
      <c r="P80" s="344" t="s">
        <v>71</v>
      </c>
      <c r="Q80" s="345"/>
      <c r="R80" s="345"/>
      <c r="S80" s="345"/>
      <c r="T80" s="345"/>
      <c r="U80" s="345"/>
      <c r="V80" s="346"/>
      <c r="W80" s="37" t="s">
        <v>72</v>
      </c>
      <c r="X80" s="332">
        <f>IFERROR(SUMPRODUCT(X77:X78*H77:H78),"0")</f>
        <v>0</v>
      </c>
      <c r="Y80" s="332">
        <f>IFERROR(SUMPRODUCT(Y77:Y78*H77:H78),"0")</f>
        <v>0</v>
      </c>
      <c r="Z80" s="37"/>
      <c r="AA80" s="333"/>
      <c r="AB80" s="333"/>
      <c r="AC80" s="333"/>
    </row>
    <row r="81" spans="1:68" ht="16.5" customHeight="1" x14ac:dyDescent="0.25">
      <c r="A81" s="364" t="s">
        <v>156</v>
      </c>
      <c r="B81" s="339"/>
      <c r="C81" s="339"/>
      <c r="D81" s="339"/>
      <c r="E81" s="339"/>
      <c r="F81" s="339"/>
      <c r="G81" s="339"/>
      <c r="H81" s="339"/>
      <c r="I81" s="339"/>
      <c r="J81" s="339"/>
      <c r="K81" s="339"/>
      <c r="L81" s="339"/>
      <c r="M81" s="339"/>
      <c r="N81" s="339"/>
      <c r="O81" s="339"/>
      <c r="P81" s="339"/>
      <c r="Q81" s="339"/>
      <c r="R81" s="339"/>
      <c r="S81" s="339"/>
      <c r="T81" s="339"/>
      <c r="U81" s="339"/>
      <c r="V81" s="339"/>
      <c r="W81" s="339"/>
      <c r="X81" s="339"/>
      <c r="Y81" s="339"/>
      <c r="Z81" s="339"/>
      <c r="AA81" s="325"/>
      <c r="AB81" s="325"/>
      <c r="AC81" s="325"/>
    </row>
    <row r="82" spans="1:68" ht="14.25" customHeight="1" x14ac:dyDescent="0.25">
      <c r="A82" s="338" t="s">
        <v>138</v>
      </c>
      <c r="B82" s="339"/>
      <c r="C82" s="339"/>
      <c r="D82" s="339"/>
      <c r="E82" s="339"/>
      <c r="F82" s="339"/>
      <c r="G82" s="339"/>
      <c r="H82" s="339"/>
      <c r="I82" s="339"/>
      <c r="J82" s="339"/>
      <c r="K82" s="339"/>
      <c r="L82" s="339"/>
      <c r="M82" s="339"/>
      <c r="N82" s="339"/>
      <c r="O82" s="339"/>
      <c r="P82" s="339"/>
      <c r="Q82" s="339"/>
      <c r="R82" s="339"/>
      <c r="S82" s="339"/>
      <c r="T82" s="339"/>
      <c r="U82" s="339"/>
      <c r="V82" s="339"/>
      <c r="W82" s="339"/>
      <c r="X82" s="339"/>
      <c r="Y82" s="339"/>
      <c r="Z82" s="339"/>
      <c r="AA82" s="326"/>
      <c r="AB82" s="326"/>
      <c r="AC82" s="326"/>
    </row>
    <row r="83" spans="1:68" ht="27" customHeight="1" x14ac:dyDescent="0.25">
      <c r="A83" s="54" t="s">
        <v>157</v>
      </c>
      <c r="B83" s="54" t="s">
        <v>158</v>
      </c>
      <c r="C83" s="31">
        <v>4301135584</v>
      </c>
      <c r="D83" s="340">
        <v>4607111033659</v>
      </c>
      <c r="E83" s="341"/>
      <c r="F83" s="329">
        <v>0.3</v>
      </c>
      <c r="G83" s="32">
        <v>12</v>
      </c>
      <c r="H83" s="329">
        <v>3.6</v>
      </c>
      <c r="I83" s="329">
        <v>4.3036000000000003</v>
      </c>
      <c r="J83" s="32">
        <v>70</v>
      </c>
      <c r="K83" s="32" t="s">
        <v>78</v>
      </c>
      <c r="L83" s="32" t="s">
        <v>66</v>
      </c>
      <c r="M83" s="33" t="s">
        <v>67</v>
      </c>
      <c r="N83" s="33"/>
      <c r="O83" s="32">
        <v>180</v>
      </c>
      <c r="P83" s="541" t="s">
        <v>159</v>
      </c>
      <c r="Q83" s="335"/>
      <c r="R83" s="335"/>
      <c r="S83" s="335"/>
      <c r="T83" s="336"/>
      <c r="U83" s="34"/>
      <c r="V83" s="34"/>
      <c r="W83" s="35" t="s">
        <v>68</v>
      </c>
      <c r="X83" s="330">
        <v>0</v>
      </c>
      <c r="Y83" s="331">
        <f>IFERROR(IF(X83="","",X83),"")</f>
        <v>0</v>
      </c>
      <c r="Z83" s="36">
        <f>IFERROR(IF(X83="","",X83*0.01788),"")</f>
        <v>0</v>
      </c>
      <c r="AA83" s="56"/>
      <c r="AB83" s="57"/>
      <c r="AC83" s="120" t="s">
        <v>160</v>
      </c>
      <c r="AG83" s="67"/>
      <c r="AJ83" s="71" t="s">
        <v>70</v>
      </c>
      <c r="AK83" s="71">
        <v>1</v>
      </c>
      <c r="BB83" s="121" t="s">
        <v>81</v>
      </c>
      <c r="BM83" s="67">
        <f>IFERROR(X83*I83,"0")</f>
        <v>0</v>
      </c>
      <c r="BN83" s="67">
        <f>IFERROR(Y83*I83,"0")</f>
        <v>0</v>
      </c>
      <c r="BO83" s="67">
        <f>IFERROR(X83/J83,"0")</f>
        <v>0</v>
      </c>
      <c r="BP83" s="67">
        <f>IFERROR(Y83/J83,"0")</f>
        <v>0</v>
      </c>
    </row>
    <row r="84" spans="1:68" x14ac:dyDescent="0.2">
      <c r="A84" s="350"/>
      <c r="B84" s="339"/>
      <c r="C84" s="339"/>
      <c r="D84" s="339"/>
      <c r="E84" s="339"/>
      <c r="F84" s="339"/>
      <c r="G84" s="339"/>
      <c r="H84" s="339"/>
      <c r="I84" s="339"/>
      <c r="J84" s="339"/>
      <c r="K84" s="339"/>
      <c r="L84" s="339"/>
      <c r="M84" s="339"/>
      <c r="N84" s="339"/>
      <c r="O84" s="351"/>
      <c r="P84" s="344" t="s">
        <v>71</v>
      </c>
      <c r="Q84" s="345"/>
      <c r="R84" s="345"/>
      <c r="S84" s="345"/>
      <c r="T84" s="345"/>
      <c r="U84" s="345"/>
      <c r="V84" s="346"/>
      <c r="W84" s="37" t="s">
        <v>68</v>
      </c>
      <c r="X84" s="332">
        <f>IFERROR(SUM(X83:X83),"0")</f>
        <v>0</v>
      </c>
      <c r="Y84" s="332">
        <f>IFERROR(SUM(Y83:Y83),"0")</f>
        <v>0</v>
      </c>
      <c r="Z84" s="332">
        <f>IFERROR(IF(Z83="",0,Z83),"0")</f>
        <v>0</v>
      </c>
      <c r="AA84" s="333"/>
      <c r="AB84" s="333"/>
      <c r="AC84" s="333"/>
    </row>
    <row r="85" spans="1:68" x14ac:dyDescent="0.2">
      <c r="A85" s="339"/>
      <c r="B85" s="339"/>
      <c r="C85" s="339"/>
      <c r="D85" s="339"/>
      <c r="E85" s="339"/>
      <c r="F85" s="339"/>
      <c r="G85" s="339"/>
      <c r="H85" s="339"/>
      <c r="I85" s="339"/>
      <c r="J85" s="339"/>
      <c r="K85" s="339"/>
      <c r="L85" s="339"/>
      <c r="M85" s="339"/>
      <c r="N85" s="339"/>
      <c r="O85" s="351"/>
      <c r="P85" s="344" t="s">
        <v>71</v>
      </c>
      <c r="Q85" s="345"/>
      <c r="R85" s="345"/>
      <c r="S85" s="345"/>
      <c r="T85" s="345"/>
      <c r="U85" s="345"/>
      <c r="V85" s="346"/>
      <c r="W85" s="37" t="s">
        <v>72</v>
      </c>
      <c r="X85" s="332">
        <f>IFERROR(SUMPRODUCT(X83:X83*H83:H83),"0")</f>
        <v>0</v>
      </c>
      <c r="Y85" s="332">
        <f>IFERROR(SUMPRODUCT(Y83:Y83*H83:H83),"0")</f>
        <v>0</v>
      </c>
      <c r="Z85" s="37"/>
      <c r="AA85" s="333"/>
      <c r="AB85" s="333"/>
      <c r="AC85" s="333"/>
    </row>
    <row r="86" spans="1:68" ht="16.5" customHeight="1" x14ac:dyDescent="0.25">
      <c r="A86" s="364" t="s">
        <v>161</v>
      </c>
      <c r="B86" s="339"/>
      <c r="C86" s="339"/>
      <c r="D86" s="339"/>
      <c r="E86" s="339"/>
      <c r="F86" s="339"/>
      <c r="G86" s="339"/>
      <c r="H86" s="339"/>
      <c r="I86" s="339"/>
      <c r="J86" s="339"/>
      <c r="K86" s="339"/>
      <c r="L86" s="339"/>
      <c r="M86" s="339"/>
      <c r="N86" s="339"/>
      <c r="O86" s="339"/>
      <c r="P86" s="339"/>
      <c r="Q86" s="339"/>
      <c r="R86" s="339"/>
      <c r="S86" s="339"/>
      <c r="T86" s="339"/>
      <c r="U86" s="339"/>
      <c r="V86" s="339"/>
      <c r="W86" s="339"/>
      <c r="X86" s="339"/>
      <c r="Y86" s="339"/>
      <c r="Z86" s="339"/>
      <c r="AA86" s="325"/>
      <c r="AB86" s="325"/>
      <c r="AC86" s="325"/>
    </row>
    <row r="87" spans="1:68" ht="14.25" customHeight="1" x14ac:dyDescent="0.25">
      <c r="A87" s="338" t="s">
        <v>162</v>
      </c>
      <c r="B87" s="339"/>
      <c r="C87" s="339"/>
      <c r="D87" s="339"/>
      <c r="E87" s="339"/>
      <c r="F87" s="339"/>
      <c r="G87" s="339"/>
      <c r="H87" s="339"/>
      <c r="I87" s="339"/>
      <c r="J87" s="339"/>
      <c r="K87" s="339"/>
      <c r="L87" s="339"/>
      <c r="M87" s="339"/>
      <c r="N87" s="339"/>
      <c r="O87" s="339"/>
      <c r="P87" s="339"/>
      <c r="Q87" s="339"/>
      <c r="R87" s="339"/>
      <c r="S87" s="339"/>
      <c r="T87" s="339"/>
      <c r="U87" s="339"/>
      <c r="V87" s="339"/>
      <c r="W87" s="339"/>
      <c r="X87" s="339"/>
      <c r="Y87" s="339"/>
      <c r="Z87" s="339"/>
      <c r="AA87" s="326"/>
      <c r="AB87" s="326"/>
      <c r="AC87" s="326"/>
    </row>
    <row r="88" spans="1:68" ht="27" customHeight="1" x14ac:dyDescent="0.25">
      <c r="A88" s="54" t="s">
        <v>163</v>
      </c>
      <c r="B88" s="54" t="s">
        <v>164</v>
      </c>
      <c r="C88" s="31">
        <v>4301131041</v>
      </c>
      <c r="D88" s="340">
        <v>4607111034120</v>
      </c>
      <c r="E88" s="341"/>
      <c r="F88" s="329">
        <v>0.3</v>
      </c>
      <c r="G88" s="32">
        <v>12</v>
      </c>
      <c r="H88" s="329">
        <v>3.6</v>
      </c>
      <c r="I88" s="329">
        <v>4.3036000000000003</v>
      </c>
      <c r="J88" s="32">
        <v>70</v>
      </c>
      <c r="K88" s="32" t="s">
        <v>78</v>
      </c>
      <c r="L88" s="32" t="s">
        <v>66</v>
      </c>
      <c r="M88" s="33" t="s">
        <v>67</v>
      </c>
      <c r="N88" s="33"/>
      <c r="O88" s="32">
        <v>180</v>
      </c>
      <c r="P88" s="461" t="s">
        <v>165</v>
      </c>
      <c r="Q88" s="335"/>
      <c r="R88" s="335"/>
      <c r="S88" s="335"/>
      <c r="T88" s="336"/>
      <c r="U88" s="34"/>
      <c r="V88" s="34"/>
      <c r="W88" s="35" t="s">
        <v>68</v>
      </c>
      <c r="X88" s="330">
        <v>42</v>
      </c>
      <c r="Y88" s="331">
        <f>IFERROR(IF(X88="","",X88),"")</f>
        <v>42</v>
      </c>
      <c r="Z88" s="36">
        <f>IFERROR(IF(X88="","",X88*0.01788),"")</f>
        <v>0.75095999999999996</v>
      </c>
      <c r="AA88" s="56"/>
      <c r="AB88" s="57"/>
      <c r="AC88" s="122" t="s">
        <v>166</v>
      </c>
      <c r="AG88" s="67"/>
      <c r="AJ88" s="71" t="s">
        <v>70</v>
      </c>
      <c r="AK88" s="71">
        <v>1</v>
      </c>
      <c r="BB88" s="123" t="s">
        <v>81</v>
      </c>
      <c r="BM88" s="67">
        <f>IFERROR(X88*I88,"0")</f>
        <v>180.75120000000001</v>
      </c>
      <c r="BN88" s="67">
        <f>IFERROR(Y88*I88,"0")</f>
        <v>180.75120000000001</v>
      </c>
      <c r="BO88" s="67">
        <f>IFERROR(X88/J88,"0")</f>
        <v>0.6</v>
      </c>
      <c r="BP88" s="67">
        <f>IFERROR(Y88/J88,"0")</f>
        <v>0.6</v>
      </c>
    </row>
    <row r="89" spans="1:68" ht="27" customHeight="1" x14ac:dyDescent="0.25">
      <c r="A89" s="54" t="s">
        <v>167</v>
      </c>
      <c r="B89" s="54" t="s">
        <v>168</v>
      </c>
      <c r="C89" s="31">
        <v>4301131042</v>
      </c>
      <c r="D89" s="340">
        <v>4607111034137</v>
      </c>
      <c r="E89" s="341"/>
      <c r="F89" s="329">
        <v>0.3</v>
      </c>
      <c r="G89" s="32">
        <v>12</v>
      </c>
      <c r="H89" s="329">
        <v>3.6</v>
      </c>
      <c r="I89" s="329">
        <v>4.3036000000000003</v>
      </c>
      <c r="J89" s="32">
        <v>70</v>
      </c>
      <c r="K89" s="32" t="s">
        <v>78</v>
      </c>
      <c r="L89" s="32" t="s">
        <v>66</v>
      </c>
      <c r="M89" s="33" t="s">
        <v>67</v>
      </c>
      <c r="N89" s="33"/>
      <c r="O89" s="32">
        <v>180</v>
      </c>
      <c r="P89" s="458" t="s">
        <v>169</v>
      </c>
      <c r="Q89" s="335"/>
      <c r="R89" s="335"/>
      <c r="S89" s="335"/>
      <c r="T89" s="336"/>
      <c r="U89" s="34"/>
      <c r="V89" s="34"/>
      <c r="W89" s="35" t="s">
        <v>68</v>
      </c>
      <c r="X89" s="330">
        <v>28</v>
      </c>
      <c r="Y89" s="331">
        <f>IFERROR(IF(X89="","",X89),"")</f>
        <v>28</v>
      </c>
      <c r="Z89" s="36">
        <f>IFERROR(IF(X89="","",X89*0.01788),"")</f>
        <v>0.50063999999999997</v>
      </c>
      <c r="AA89" s="56"/>
      <c r="AB89" s="57"/>
      <c r="AC89" s="124" t="s">
        <v>170</v>
      </c>
      <c r="AG89" s="67"/>
      <c r="AJ89" s="71" t="s">
        <v>70</v>
      </c>
      <c r="AK89" s="71">
        <v>1</v>
      </c>
      <c r="BB89" s="125" t="s">
        <v>81</v>
      </c>
      <c r="BM89" s="67">
        <f>IFERROR(X89*I89,"0")</f>
        <v>120.50080000000001</v>
      </c>
      <c r="BN89" s="67">
        <f>IFERROR(Y89*I89,"0")</f>
        <v>120.50080000000001</v>
      </c>
      <c r="BO89" s="67">
        <f>IFERROR(X89/J89,"0")</f>
        <v>0.4</v>
      </c>
      <c r="BP89" s="67">
        <f>IFERROR(Y89/J89,"0")</f>
        <v>0.4</v>
      </c>
    </row>
    <row r="90" spans="1:68" x14ac:dyDescent="0.2">
      <c r="A90" s="350"/>
      <c r="B90" s="339"/>
      <c r="C90" s="339"/>
      <c r="D90" s="339"/>
      <c r="E90" s="339"/>
      <c r="F90" s="339"/>
      <c r="G90" s="339"/>
      <c r="H90" s="339"/>
      <c r="I90" s="339"/>
      <c r="J90" s="339"/>
      <c r="K90" s="339"/>
      <c r="L90" s="339"/>
      <c r="M90" s="339"/>
      <c r="N90" s="339"/>
      <c r="O90" s="351"/>
      <c r="P90" s="344" t="s">
        <v>71</v>
      </c>
      <c r="Q90" s="345"/>
      <c r="R90" s="345"/>
      <c r="S90" s="345"/>
      <c r="T90" s="345"/>
      <c r="U90" s="345"/>
      <c r="V90" s="346"/>
      <c r="W90" s="37" t="s">
        <v>68</v>
      </c>
      <c r="X90" s="332">
        <f>IFERROR(SUM(X88:X89),"0")</f>
        <v>70</v>
      </c>
      <c r="Y90" s="332">
        <f>IFERROR(SUM(Y88:Y89),"0")</f>
        <v>70</v>
      </c>
      <c r="Z90" s="332">
        <f>IFERROR(IF(Z88="",0,Z88),"0")+IFERROR(IF(Z89="",0,Z89),"0")</f>
        <v>1.2515999999999998</v>
      </c>
      <c r="AA90" s="333"/>
      <c r="AB90" s="333"/>
      <c r="AC90" s="333"/>
    </row>
    <row r="91" spans="1:68" x14ac:dyDescent="0.2">
      <c r="A91" s="339"/>
      <c r="B91" s="339"/>
      <c r="C91" s="339"/>
      <c r="D91" s="339"/>
      <c r="E91" s="339"/>
      <c r="F91" s="339"/>
      <c r="G91" s="339"/>
      <c r="H91" s="339"/>
      <c r="I91" s="339"/>
      <c r="J91" s="339"/>
      <c r="K91" s="339"/>
      <c r="L91" s="339"/>
      <c r="M91" s="339"/>
      <c r="N91" s="339"/>
      <c r="O91" s="351"/>
      <c r="P91" s="344" t="s">
        <v>71</v>
      </c>
      <c r="Q91" s="345"/>
      <c r="R91" s="345"/>
      <c r="S91" s="345"/>
      <c r="T91" s="345"/>
      <c r="U91" s="345"/>
      <c r="V91" s="346"/>
      <c r="W91" s="37" t="s">
        <v>72</v>
      </c>
      <c r="X91" s="332">
        <f>IFERROR(SUMPRODUCT(X88:X89*H88:H89),"0")</f>
        <v>252</v>
      </c>
      <c r="Y91" s="332">
        <f>IFERROR(SUMPRODUCT(Y88:Y89*H88:H89),"0")</f>
        <v>252</v>
      </c>
      <c r="Z91" s="37"/>
      <c r="AA91" s="333"/>
      <c r="AB91" s="333"/>
      <c r="AC91" s="333"/>
    </row>
    <row r="92" spans="1:68" ht="16.5" customHeight="1" x14ac:dyDescent="0.25">
      <c r="A92" s="364" t="s">
        <v>171</v>
      </c>
      <c r="B92" s="339"/>
      <c r="C92" s="339"/>
      <c r="D92" s="339"/>
      <c r="E92" s="339"/>
      <c r="F92" s="339"/>
      <c r="G92" s="339"/>
      <c r="H92" s="339"/>
      <c r="I92" s="339"/>
      <c r="J92" s="339"/>
      <c r="K92" s="339"/>
      <c r="L92" s="339"/>
      <c r="M92" s="339"/>
      <c r="N92" s="339"/>
      <c r="O92" s="339"/>
      <c r="P92" s="339"/>
      <c r="Q92" s="339"/>
      <c r="R92" s="339"/>
      <c r="S92" s="339"/>
      <c r="T92" s="339"/>
      <c r="U92" s="339"/>
      <c r="V92" s="339"/>
      <c r="W92" s="339"/>
      <c r="X92" s="339"/>
      <c r="Y92" s="339"/>
      <c r="Z92" s="339"/>
      <c r="AA92" s="325"/>
      <c r="AB92" s="325"/>
      <c r="AC92" s="325"/>
    </row>
    <row r="93" spans="1:68" ht="14.25" customHeight="1" x14ac:dyDescent="0.25">
      <c r="A93" s="338" t="s">
        <v>138</v>
      </c>
      <c r="B93" s="339"/>
      <c r="C93" s="339"/>
      <c r="D93" s="339"/>
      <c r="E93" s="339"/>
      <c r="F93" s="339"/>
      <c r="G93" s="339"/>
      <c r="H93" s="339"/>
      <c r="I93" s="339"/>
      <c r="J93" s="339"/>
      <c r="K93" s="339"/>
      <c r="L93" s="339"/>
      <c r="M93" s="339"/>
      <c r="N93" s="339"/>
      <c r="O93" s="339"/>
      <c r="P93" s="339"/>
      <c r="Q93" s="339"/>
      <c r="R93" s="339"/>
      <c r="S93" s="339"/>
      <c r="T93" s="339"/>
      <c r="U93" s="339"/>
      <c r="V93" s="339"/>
      <c r="W93" s="339"/>
      <c r="X93" s="339"/>
      <c r="Y93" s="339"/>
      <c r="Z93" s="339"/>
      <c r="AA93" s="326"/>
      <c r="AB93" s="326"/>
      <c r="AC93" s="326"/>
    </row>
    <row r="94" spans="1:68" ht="27" customHeight="1" x14ac:dyDescent="0.25">
      <c r="A94" s="54" t="s">
        <v>172</v>
      </c>
      <c r="B94" s="54" t="s">
        <v>173</v>
      </c>
      <c r="C94" s="31">
        <v>4301135569</v>
      </c>
      <c r="D94" s="340">
        <v>4607111033628</v>
      </c>
      <c r="E94" s="341"/>
      <c r="F94" s="329">
        <v>0.3</v>
      </c>
      <c r="G94" s="32">
        <v>12</v>
      </c>
      <c r="H94" s="329">
        <v>3.6</v>
      </c>
      <c r="I94" s="329">
        <v>4.3036000000000003</v>
      </c>
      <c r="J94" s="32">
        <v>70</v>
      </c>
      <c r="K94" s="32" t="s">
        <v>78</v>
      </c>
      <c r="L94" s="32" t="s">
        <v>66</v>
      </c>
      <c r="M94" s="33" t="s">
        <v>67</v>
      </c>
      <c r="N94" s="33"/>
      <c r="O94" s="32">
        <v>180</v>
      </c>
      <c r="P94" s="382" t="s">
        <v>174</v>
      </c>
      <c r="Q94" s="335"/>
      <c r="R94" s="335"/>
      <c r="S94" s="335"/>
      <c r="T94" s="336"/>
      <c r="U94" s="34"/>
      <c r="V94" s="34"/>
      <c r="W94" s="35" t="s">
        <v>68</v>
      </c>
      <c r="X94" s="330">
        <v>14</v>
      </c>
      <c r="Y94" s="331">
        <f t="shared" ref="Y94:Y99" si="6">IFERROR(IF(X94="","",X94),"")</f>
        <v>14</v>
      </c>
      <c r="Z94" s="36">
        <f t="shared" ref="Z94:Z99" si="7">IFERROR(IF(X94="","",X94*0.01788),"")</f>
        <v>0.25031999999999999</v>
      </c>
      <c r="AA94" s="56"/>
      <c r="AB94" s="57"/>
      <c r="AC94" s="126" t="s">
        <v>160</v>
      </c>
      <c r="AG94" s="67"/>
      <c r="AJ94" s="71" t="s">
        <v>70</v>
      </c>
      <c r="AK94" s="71">
        <v>1</v>
      </c>
      <c r="BB94" s="127" t="s">
        <v>81</v>
      </c>
      <c r="BM94" s="67">
        <f t="shared" ref="BM94:BM99" si="8">IFERROR(X94*I94,"0")</f>
        <v>60.250400000000006</v>
      </c>
      <c r="BN94" s="67">
        <f t="shared" ref="BN94:BN99" si="9">IFERROR(Y94*I94,"0")</f>
        <v>60.250400000000006</v>
      </c>
      <c r="BO94" s="67">
        <f t="shared" ref="BO94:BO99" si="10">IFERROR(X94/J94,"0")</f>
        <v>0.2</v>
      </c>
      <c r="BP94" s="67">
        <f t="shared" ref="BP94:BP99" si="11">IFERROR(Y94/J94,"0")</f>
        <v>0.2</v>
      </c>
    </row>
    <row r="95" spans="1:68" ht="27" customHeight="1" x14ac:dyDescent="0.25">
      <c r="A95" s="54" t="s">
        <v>175</v>
      </c>
      <c r="B95" s="54" t="s">
        <v>176</v>
      </c>
      <c r="C95" s="31">
        <v>4301135565</v>
      </c>
      <c r="D95" s="340">
        <v>4607111033451</v>
      </c>
      <c r="E95" s="341"/>
      <c r="F95" s="329">
        <v>0.3</v>
      </c>
      <c r="G95" s="32">
        <v>12</v>
      </c>
      <c r="H95" s="329">
        <v>3.6</v>
      </c>
      <c r="I95" s="329">
        <v>4.3036000000000003</v>
      </c>
      <c r="J95" s="32">
        <v>70</v>
      </c>
      <c r="K95" s="32" t="s">
        <v>78</v>
      </c>
      <c r="L95" s="32" t="s">
        <v>66</v>
      </c>
      <c r="M95" s="33" t="s">
        <v>67</v>
      </c>
      <c r="N95" s="33"/>
      <c r="O95" s="32">
        <v>180</v>
      </c>
      <c r="P95" s="387" t="str">
        <f>HYPERLINK("https://abi.ru/products/Замороженные/Горячая штучка/Чебупели/Снеки/P004584/","Снеки «Чебупели с ветчиной и сыром» Фикс.вес 0,3 Пакет ТМ «Горячая штучка»")</f>
        <v>Снеки «Чебупели с ветчиной и сыром» Фикс.вес 0,3 Пакет ТМ «Горячая штучка»</v>
      </c>
      <c r="Q95" s="335"/>
      <c r="R95" s="335"/>
      <c r="S95" s="335"/>
      <c r="T95" s="336"/>
      <c r="U95" s="34"/>
      <c r="V95" s="34"/>
      <c r="W95" s="35" t="s">
        <v>68</v>
      </c>
      <c r="X95" s="330">
        <v>42</v>
      </c>
      <c r="Y95" s="331">
        <f t="shared" si="6"/>
        <v>42</v>
      </c>
      <c r="Z95" s="36">
        <f t="shared" si="7"/>
        <v>0.75095999999999996</v>
      </c>
      <c r="AA95" s="56"/>
      <c r="AB95" s="57"/>
      <c r="AC95" s="128" t="s">
        <v>160</v>
      </c>
      <c r="AG95" s="67"/>
      <c r="AJ95" s="71" t="s">
        <v>70</v>
      </c>
      <c r="AK95" s="71">
        <v>1</v>
      </c>
      <c r="BB95" s="129" t="s">
        <v>81</v>
      </c>
      <c r="BM95" s="67">
        <f t="shared" si="8"/>
        <v>180.75120000000001</v>
      </c>
      <c r="BN95" s="67">
        <f t="shared" si="9"/>
        <v>180.75120000000001</v>
      </c>
      <c r="BO95" s="67">
        <f t="shared" si="10"/>
        <v>0.6</v>
      </c>
      <c r="BP95" s="67">
        <f t="shared" si="11"/>
        <v>0.6</v>
      </c>
    </row>
    <row r="96" spans="1:68" ht="27" customHeight="1" x14ac:dyDescent="0.25">
      <c r="A96" s="54" t="s">
        <v>177</v>
      </c>
      <c r="B96" s="54" t="s">
        <v>178</v>
      </c>
      <c r="C96" s="31">
        <v>4301135575</v>
      </c>
      <c r="D96" s="340">
        <v>4607111035141</v>
      </c>
      <c r="E96" s="341"/>
      <c r="F96" s="329">
        <v>0.3</v>
      </c>
      <c r="G96" s="32">
        <v>12</v>
      </c>
      <c r="H96" s="329">
        <v>3.6</v>
      </c>
      <c r="I96" s="329">
        <v>4.3036000000000003</v>
      </c>
      <c r="J96" s="32">
        <v>70</v>
      </c>
      <c r="K96" s="32" t="s">
        <v>78</v>
      </c>
      <c r="L96" s="32" t="s">
        <v>66</v>
      </c>
      <c r="M96" s="33" t="s">
        <v>67</v>
      </c>
      <c r="N96" s="33"/>
      <c r="O96" s="32">
        <v>180</v>
      </c>
      <c r="P96" s="477" t="s">
        <v>179</v>
      </c>
      <c r="Q96" s="335"/>
      <c r="R96" s="335"/>
      <c r="S96" s="335"/>
      <c r="T96" s="336"/>
      <c r="U96" s="34"/>
      <c r="V96" s="34"/>
      <c r="W96" s="35" t="s">
        <v>68</v>
      </c>
      <c r="X96" s="330">
        <v>14</v>
      </c>
      <c r="Y96" s="331">
        <f t="shared" si="6"/>
        <v>14</v>
      </c>
      <c r="Z96" s="36">
        <f t="shared" si="7"/>
        <v>0.25031999999999999</v>
      </c>
      <c r="AA96" s="56"/>
      <c r="AB96" s="57"/>
      <c r="AC96" s="130" t="s">
        <v>180</v>
      </c>
      <c r="AG96" s="67"/>
      <c r="AJ96" s="71" t="s">
        <v>70</v>
      </c>
      <c r="AK96" s="71">
        <v>1</v>
      </c>
      <c r="BB96" s="131" t="s">
        <v>81</v>
      </c>
      <c r="BM96" s="67">
        <f t="shared" si="8"/>
        <v>60.250400000000006</v>
      </c>
      <c r="BN96" s="67">
        <f t="shared" si="9"/>
        <v>60.250400000000006</v>
      </c>
      <c r="BO96" s="67">
        <f t="shared" si="10"/>
        <v>0.2</v>
      </c>
      <c r="BP96" s="67">
        <f t="shared" si="11"/>
        <v>0.2</v>
      </c>
    </row>
    <row r="97" spans="1:68" ht="27" customHeight="1" x14ac:dyDescent="0.25">
      <c r="A97" s="54" t="s">
        <v>181</v>
      </c>
      <c r="B97" s="54" t="s">
        <v>182</v>
      </c>
      <c r="C97" s="31">
        <v>4301135578</v>
      </c>
      <c r="D97" s="340">
        <v>4607111033444</v>
      </c>
      <c r="E97" s="341"/>
      <c r="F97" s="329">
        <v>0.3</v>
      </c>
      <c r="G97" s="32">
        <v>12</v>
      </c>
      <c r="H97" s="329">
        <v>3.6</v>
      </c>
      <c r="I97" s="329">
        <v>4.3036000000000003</v>
      </c>
      <c r="J97" s="32">
        <v>70</v>
      </c>
      <c r="K97" s="32" t="s">
        <v>78</v>
      </c>
      <c r="L97" s="32" t="s">
        <v>66</v>
      </c>
      <c r="M97" s="33" t="s">
        <v>67</v>
      </c>
      <c r="N97" s="33"/>
      <c r="O97" s="32">
        <v>180</v>
      </c>
      <c r="P97" s="399" t="str">
        <f>HYPERLINK("https://abi.ru/products/Замороженные/Горячая штучка/Чебупели/Снеки/P004605/","Снеки «Чебупели сочные с мясом» Фикс.вес 0,3 Пакет ТМ «Горячая штучка»")</f>
        <v>Снеки «Чебупели сочные с мясом» Фикс.вес 0,3 Пакет ТМ «Горячая штучка»</v>
      </c>
      <c r="Q97" s="335"/>
      <c r="R97" s="335"/>
      <c r="S97" s="335"/>
      <c r="T97" s="336"/>
      <c r="U97" s="34"/>
      <c r="V97" s="34"/>
      <c r="W97" s="35" t="s">
        <v>68</v>
      </c>
      <c r="X97" s="330">
        <v>42</v>
      </c>
      <c r="Y97" s="331">
        <f t="shared" si="6"/>
        <v>42</v>
      </c>
      <c r="Z97" s="36">
        <f t="shared" si="7"/>
        <v>0.75095999999999996</v>
      </c>
      <c r="AA97" s="56"/>
      <c r="AB97" s="57"/>
      <c r="AC97" s="132" t="s">
        <v>160</v>
      </c>
      <c r="AG97" s="67"/>
      <c r="AJ97" s="71" t="s">
        <v>70</v>
      </c>
      <c r="AK97" s="71">
        <v>1</v>
      </c>
      <c r="BB97" s="133" t="s">
        <v>81</v>
      </c>
      <c r="BM97" s="67">
        <f t="shared" si="8"/>
        <v>180.75120000000001</v>
      </c>
      <c r="BN97" s="67">
        <f t="shared" si="9"/>
        <v>180.75120000000001</v>
      </c>
      <c r="BO97" s="67">
        <f t="shared" si="10"/>
        <v>0.6</v>
      </c>
      <c r="BP97" s="67">
        <f t="shared" si="11"/>
        <v>0.6</v>
      </c>
    </row>
    <row r="98" spans="1:68" ht="27" customHeight="1" x14ac:dyDescent="0.25">
      <c r="A98" s="54" t="s">
        <v>183</v>
      </c>
      <c r="B98" s="54" t="s">
        <v>184</v>
      </c>
      <c r="C98" s="31">
        <v>4301135571</v>
      </c>
      <c r="D98" s="340">
        <v>4607111035028</v>
      </c>
      <c r="E98" s="341"/>
      <c r="F98" s="329">
        <v>0.48</v>
      </c>
      <c r="G98" s="32">
        <v>8</v>
      </c>
      <c r="H98" s="329">
        <v>3.84</v>
      </c>
      <c r="I98" s="329">
        <v>4.4488000000000003</v>
      </c>
      <c r="J98" s="32">
        <v>70</v>
      </c>
      <c r="K98" s="32" t="s">
        <v>78</v>
      </c>
      <c r="L98" s="32" t="s">
        <v>66</v>
      </c>
      <c r="M98" s="33" t="s">
        <v>67</v>
      </c>
      <c r="N98" s="33"/>
      <c r="O98" s="32">
        <v>180</v>
      </c>
      <c r="P98" s="496" t="s">
        <v>185</v>
      </c>
      <c r="Q98" s="335"/>
      <c r="R98" s="335"/>
      <c r="S98" s="335"/>
      <c r="T98" s="336"/>
      <c r="U98" s="34"/>
      <c r="V98" s="34"/>
      <c r="W98" s="35" t="s">
        <v>68</v>
      </c>
      <c r="X98" s="330">
        <v>0</v>
      </c>
      <c r="Y98" s="331">
        <f t="shared" si="6"/>
        <v>0</v>
      </c>
      <c r="Z98" s="36">
        <f t="shared" si="7"/>
        <v>0</v>
      </c>
      <c r="AA98" s="56"/>
      <c r="AB98" s="57"/>
      <c r="AC98" s="134" t="s">
        <v>160</v>
      </c>
      <c r="AG98" s="67"/>
      <c r="AJ98" s="71" t="s">
        <v>70</v>
      </c>
      <c r="AK98" s="71">
        <v>1</v>
      </c>
      <c r="BB98" s="135" t="s">
        <v>81</v>
      </c>
      <c r="BM98" s="67">
        <f t="shared" si="8"/>
        <v>0</v>
      </c>
      <c r="BN98" s="67">
        <f t="shared" si="9"/>
        <v>0</v>
      </c>
      <c r="BO98" s="67">
        <f t="shared" si="10"/>
        <v>0</v>
      </c>
      <c r="BP98" s="67">
        <f t="shared" si="11"/>
        <v>0</v>
      </c>
    </row>
    <row r="99" spans="1:68" ht="27" customHeight="1" x14ac:dyDescent="0.25">
      <c r="A99" s="54" t="s">
        <v>186</v>
      </c>
      <c r="B99" s="54" t="s">
        <v>187</v>
      </c>
      <c r="C99" s="31">
        <v>4301135285</v>
      </c>
      <c r="D99" s="340">
        <v>4607111036407</v>
      </c>
      <c r="E99" s="341"/>
      <c r="F99" s="329">
        <v>0.3</v>
      </c>
      <c r="G99" s="32">
        <v>14</v>
      </c>
      <c r="H99" s="329">
        <v>4.2</v>
      </c>
      <c r="I99" s="329">
        <v>4.5292000000000003</v>
      </c>
      <c r="J99" s="32">
        <v>70</v>
      </c>
      <c r="K99" s="32" t="s">
        <v>78</v>
      </c>
      <c r="L99" s="32" t="s">
        <v>66</v>
      </c>
      <c r="M99" s="33" t="s">
        <v>67</v>
      </c>
      <c r="N99" s="33"/>
      <c r="O99" s="32">
        <v>180</v>
      </c>
      <c r="P99" s="372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9" s="335"/>
      <c r="R99" s="335"/>
      <c r="S99" s="335"/>
      <c r="T99" s="336"/>
      <c r="U99" s="34"/>
      <c r="V99" s="34"/>
      <c r="W99" s="35" t="s">
        <v>68</v>
      </c>
      <c r="X99" s="330">
        <v>0</v>
      </c>
      <c r="Y99" s="331">
        <f t="shared" si="6"/>
        <v>0</v>
      </c>
      <c r="Z99" s="36">
        <f t="shared" si="7"/>
        <v>0</v>
      </c>
      <c r="AA99" s="56"/>
      <c r="AB99" s="57"/>
      <c r="AC99" s="136" t="s">
        <v>188</v>
      </c>
      <c r="AG99" s="67"/>
      <c r="AJ99" s="71" t="s">
        <v>70</v>
      </c>
      <c r="AK99" s="71">
        <v>1</v>
      </c>
      <c r="BB99" s="137" t="s">
        <v>81</v>
      </c>
      <c r="BM99" s="67">
        <f t="shared" si="8"/>
        <v>0</v>
      </c>
      <c r="BN99" s="67">
        <f t="shared" si="9"/>
        <v>0</v>
      </c>
      <c r="BO99" s="67">
        <f t="shared" si="10"/>
        <v>0</v>
      </c>
      <c r="BP99" s="67">
        <f t="shared" si="11"/>
        <v>0</v>
      </c>
    </row>
    <row r="100" spans="1:68" x14ac:dyDescent="0.2">
      <c r="A100" s="350"/>
      <c r="B100" s="339"/>
      <c r="C100" s="339"/>
      <c r="D100" s="339"/>
      <c r="E100" s="339"/>
      <c r="F100" s="339"/>
      <c r="G100" s="339"/>
      <c r="H100" s="339"/>
      <c r="I100" s="339"/>
      <c r="J100" s="339"/>
      <c r="K100" s="339"/>
      <c r="L100" s="339"/>
      <c r="M100" s="339"/>
      <c r="N100" s="339"/>
      <c r="O100" s="351"/>
      <c r="P100" s="344" t="s">
        <v>71</v>
      </c>
      <c r="Q100" s="345"/>
      <c r="R100" s="345"/>
      <c r="S100" s="345"/>
      <c r="T100" s="345"/>
      <c r="U100" s="345"/>
      <c r="V100" s="346"/>
      <c r="W100" s="37" t="s">
        <v>68</v>
      </c>
      <c r="X100" s="332">
        <f>IFERROR(SUM(X94:X99),"0")</f>
        <v>112</v>
      </c>
      <c r="Y100" s="332">
        <f>IFERROR(SUM(Y94:Y99),"0")</f>
        <v>112</v>
      </c>
      <c r="Z100" s="332">
        <f>IFERROR(IF(Z94="",0,Z94),"0")+IFERROR(IF(Z95="",0,Z95),"0")+IFERROR(IF(Z96="",0,Z96),"0")+IFERROR(IF(Z97="",0,Z97),"0")+IFERROR(IF(Z98="",0,Z98),"0")+IFERROR(IF(Z99="",0,Z99),"0")</f>
        <v>2.0025599999999999</v>
      </c>
      <c r="AA100" s="333"/>
      <c r="AB100" s="333"/>
      <c r="AC100" s="333"/>
    </row>
    <row r="101" spans="1:68" x14ac:dyDescent="0.2">
      <c r="A101" s="339"/>
      <c r="B101" s="339"/>
      <c r="C101" s="339"/>
      <c r="D101" s="339"/>
      <c r="E101" s="339"/>
      <c r="F101" s="339"/>
      <c r="G101" s="339"/>
      <c r="H101" s="339"/>
      <c r="I101" s="339"/>
      <c r="J101" s="339"/>
      <c r="K101" s="339"/>
      <c r="L101" s="339"/>
      <c r="M101" s="339"/>
      <c r="N101" s="339"/>
      <c r="O101" s="351"/>
      <c r="P101" s="344" t="s">
        <v>71</v>
      </c>
      <c r="Q101" s="345"/>
      <c r="R101" s="345"/>
      <c r="S101" s="345"/>
      <c r="T101" s="345"/>
      <c r="U101" s="345"/>
      <c r="V101" s="346"/>
      <c r="W101" s="37" t="s">
        <v>72</v>
      </c>
      <c r="X101" s="332">
        <f>IFERROR(SUMPRODUCT(X94:X99*H94:H99),"0")</f>
        <v>403.20000000000005</v>
      </c>
      <c r="Y101" s="332">
        <f>IFERROR(SUMPRODUCT(Y94:Y99*H94:H99),"0")</f>
        <v>403.20000000000005</v>
      </c>
      <c r="Z101" s="37"/>
      <c r="AA101" s="333"/>
      <c r="AB101" s="333"/>
      <c r="AC101" s="333"/>
    </row>
    <row r="102" spans="1:68" ht="16.5" customHeight="1" x14ac:dyDescent="0.25">
      <c r="A102" s="364" t="s">
        <v>189</v>
      </c>
      <c r="B102" s="339"/>
      <c r="C102" s="339"/>
      <c r="D102" s="339"/>
      <c r="E102" s="339"/>
      <c r="F102" s="339"/>
      <c r="G102" s="339"/>
      <c r="H102" s="339"/>
      <c r="I102" s="339"/>
      <c r="J102" s="339"/>
      <c r="K102" s="339"/>
      <c r="L102" s="339"/>
      <c r="M102" s="339"/>
      <c r="N102" s="339"/>
      <c r="O102" s="339"/>
      <c r="P102" s="339"/>
      <c r="Q102" s="339"/>
      <c r="R102" s="339"/>
      <c r="S102" s="339"/>
      <c r="T102" s="339"/>
      <c r="U102" s="339"/>
      <c r="V102" s="339"/>
      <c r="W102" s="339"/>
      <c r="X102" s="339"/>
      <c r="Y102" s="339"/>
      <c r="Z102" s="339"/>
      <c r="AA102" s="325"/>
      <c r="AB102" s="325"/>
      <c r="AC102" s="325"/>
    </row>
    <row r="103" spans="1:68" ht="14.25" customHeight="1" x14ac:dyDescent="0.25">
      <c r="A103" s="338" t="s">
        <v>134</v>
      </c>
      <c r="B103" s="339"/>
      <c r="C103" s="339"/>
      <c r="D103" s="339"/>
      <c r="E103" s="339"/>
      <c r="F103" s="339"/>
      <c r="G103" s="339"/>
      <c r="H103" s="339"/>
      <c r="I103" s="339"/>
      <c r="J103" s="339"/>
      <c r="K103" s="339"/>
      <c r="L103" s="339"/>
      <c r="M103" s="339"/>
      <c r="N103" s="339"/>
      <c r="O103" s="339"/>
      <c r="P103" s="339"/>
      <c r="Q103" s="339"/>
      <c r="R103" s="339"/>
      <c r="S103" s="339"/>
      <c r="T103" s="339"/>
      <c r="U103" s="339"/>
      <c r="V103" s="339"/>
      <c r="W103" s="339"/>
      <c r="X103" s="339"/>
      <c r="Y103" s="339"/>
      <c r="Z103" s="339"/>
      <c r="AA103" s="326"/>
      <c r="AB103" s="326"/>
      <c r="AC103" s="326"/>
    </row>
    <row r="104" spans="1:68" ht="27" customHeight="1" x14ac:dyDescent="0.25">
      <c r="A104" s="54" t="s">
        <v>190</v>
      </c>
      <c r="B104" s="54" t="s">
        <v>191</v>
      </c>
      <c r="C104" s="31">
        <v>4301136042</v>
      </c>
      <c r="D104" s="340">
        <v>4607025784012</v>
      </c>
      <c r="E104" s="341"/>
      <c r="F104" s="329">
        <v>0.09</v>
      </c>
      <c r="G104" s="32">
        <v>24</v>
      </c>
      <c r="H104" s="329">
        <v>2.16</v>
      </c>
      <c r="I104" s="329">
        <v>2.4912000000000001</v>
      </c>
      <c r="J104" s="32">
        <v>126</v>
      </c>
      <c r="K104" s="32" t="s">
        <v>78</v>
      </c>
      <c r="L104" s="32" t="s">
        <v>66</v>
      </c>
      <c r="M104" s="33" t="s">
        <v>67</v>
      </c>
      <c r="N104" s="33"/>
      <c r="O104" s="32">
        <v>180</v>
      </c>
      <c r="P104" s="366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4" s="335"/>
      <c r="R104" s="335"/>
      <c r="S104" s="335"/>
      <c r="T104" s="336"/>
      <c r="U104" s="34"/>
      <c r="V104" s="34"/>
      <c r="W104" s="35" t="s">
        <v>68</v>
      </c>
      <c r="X104" s="330">
        <v>0</v>
      </c>
      <c r="Y104" s="331">
        <f>IFERROR(IF(X104="","",X104),"")</f>
        <v>0</v>
      </c>
      <c r="Z104" s="36">
        <f>IFERROR(IF(X104="","",X104*0.00936),"")</f>
        <v>0</v>
      </c>
      <c r="AA104" s="56"/>
      <c r="AB104" s="57"/>
      <c r="AC104" s="138" t="s">
        <v>192</v>
      </c>
      <c r="AG104" s="67"/>
      <c r="AJ104" s="71" t="s">
        <v>70</v>
      </c>
      <c r="AK104" s="71">
        <v>1</v>
      </c>
      <c r="BB104" s="139" t="s">
        <v>81</v>
      </c>
      <c r="BM104" s="67">
        <f>IFERROR(X104*I104,"0")</f>
        <v>0</v>
      </c>
      <c r="BN104" s="67">
        <f>IFERROR(Y104*I104,"0")</f>
        <v>0</v>
      </c>
      <c r="BO104" s="67">
        <f>IFERROR(X104/J104,"0")</f>
        <v>0</v>
      </c>
      <c r="BP104" s="67">
        <f>IFERROR(Y104/J104,"0")</f>
        <v>0</v>
      </c>
    </row>
    <row r="105" spans="1:68" ht="27" customHeight="1" x14ac:dyDescent="0.25">
      <c r="A105" s="54" t="s">
        <v>193</v>
      </c>
      <c r="B105" s="54" t="s">
        <v>194</v>
      </c>
      <c r="C105" s="31">
        <v>4301136077</v>
      </c>
      <c r="D105" s="340">
        <v>4607025784319</v>
      </c>
      <c r="E105" s="341"/>
      <c r="F105" s="329">
        <v>0.36</v>
      </c>
      <c r="G105" s="32">
        <v>10</v>
      </c>
      <c r="H105" s="329">
        <v>3.6</v>
      </c>
      <c r="I105" s="329">
        <v>4.2439999999999998</v>
      </c>
      <c r="J105" s="32">
        <v>70</v>
      </c>
      <c r="K105" s="32" t="s">
        <v>78</v>
      </c>
      <c r="L105" s="32" t="s">
        <v>66</v>
      </c>
      <c r="M105" s="33" t="s">
        <v>67</v>
      </c>
      <c r="N105" s="33"/>
      <c r="O105" s="32">
        <v>180</v>
      </c>
      <c r="P105" s="516" t="s">
        <v>195</v>
      </c>
      <c r="Q105" s="335"/>
      <c r="R105" s="335"/>
      <c r="S105" s="335"/>
      <c r="T105" s="336"/>
      <c r="U105" s="34"/>
      <c r="V105" s="34"/>
      <c r="W105" s="35" t="s">
        <v>68</v>
      </c>
      <c r="X105" s="330">
        <v>14</v>
      </c>
      <c r="Y105" s="331">
        <f>IFERROR(IF(X105="","",X105),"")</f>
        <v>14</v>
      </c>
      <c r="Z105" s="36">
        <f>IFERROR(IF(X105="","",X105*0.01788),"")</f>
        <v>0.25031999999999999</v>
      </c>
      <c r="AA105" s="56"/>
      <c r="AB105" s="57"/>
      <c r="AC105" s="140" t="s">
        <v>160</v>
      </c>
      <c r="AG105" s="67"/>
      <c r="AJ105" s="71" t="s">
        <v>70</v>
      </c>
      <c r="AK105" s="71">
        <v>1</v>
      </c>
      <c r="BB105" s="141" t="s">
        <v>81</v>
      </c>
      <c r="BM105" s="67">
        <f>IFERROR(X105*I105,"0")</f>
        <v>59.415999999999997</v>
      </c>
      <c r="BN105" s="67">
        <f>IFERROR(Y105*I105,"0")</f>
        <v>59.415999999999997</v>
      </c>
      <c r="BO105" s="67">
        <f>IFERROR(X105/J105,"0")</f>
        <v>0.2</v>
      </c>
      <c r="BP105" s="67">
        <f>IFERROR(Y105/J105,"0")</f>
        <v>0.2</v>
      </c>
    </row>
    <row r="106" spans="1:68" ht="16.5" customHeight="1" x14ac:dyDescent="0.25">
      <c r="A106" s="54" t="s">
        <v>196</v>
      </c>
      <c r="B106" s="54" t="s">
        <v>197</v>
      </c>
      <c r="C106" s="31">
        <v>4301136039</v>
      </c>
      <c r="D106" s="340">
        <v>4607111035370</v>
      </c>
      <c r="E106" s="341"/>
      <c r="F106" s="329">
        <v>0.14000000000000001</v>
      </c>
      <c r="G106" s="32">
        <v>22</v>
      </c>
      <c r="H106" s="329">
        <v>3.08</v>
      </c>
      <c r="I106" s="329">
        <v>3.464</v>
      </c>
      <c r="J106" s="32">
        <v>84</v>
      </c>
      <c r="K106" s="32" t="s">
        <v>65</v>
      </c>
      <c r="L106" s="32" t="s">
        <v>66</v>
      </c>
      <c r="M106" s="33" t="s">
        <v>67</v>
      </c>
      <c r="N106" s="33"/>
      <c r="O106" s="32">
        <v>180</v>
      </c>
      <c r="P106" s="499" t="str">
        <f>HYPERLINK("https://abi.ru/products/Замороженные/Горячая штучка/Чебуреки ГШ/Чебуреки/P004122/","Чебуречище Базовый ассортимент Штучка 0,14 Пленка Горячая штучка")</f>
        <v>Чебуречище Базовый ассортимент Штучка 0,14 Пленка Горячая штучка</v>
      </c>
      <c r="Q106" s="335"/>
      <c r="R106" s="335"/>
      <c r="S106" s="335"/>
      <c r="T106" s="336"/>
      <c r="U106" s="34"/>
      <c r="V106" s="34"/>
      <c r="W106" s="35" t="s">
        <v>68</v>
      </c>
      <c r="X106" s="330">
        <v>12</v>
      </c>
      <c r="Y106" s="331">
        <f>IFERROR(IF(X106="","",X106),"")</f>
        <v>12</v>
      </c>
      <c r="Z106" s="36">
        <f>IFERROR(IF(X106="","",X106*0.0155),"")</f>
        <v>0.186</v>
      </c>
      <c r="AA106" s="56"/>
      <c r="AB106" s="57"/>
      <c r="AC106" s="142" t="s">
        <v>198</v>
      </c>
      <c r="AG106" s="67"/>
      <c r="AJ106" s="71" t="s">
        <v>70</v>
      </c>
      <c r="AK106" s="71">
        <v>1</v>
      </c>
      <c r="BB106" s="143" t="s">
        <v>81</v>
      </c>
      <c r="BM106" s="67">
        <f>IFERROR(X106*I106,"0")</f>
        <v>41.567999999999998</v>
      </c>
      <c r="BN106" s="67">
        <f>IFERROR(Y106*I106,"0")</f>
        <v>41.567999999999998</v>
      </c>
      <c r="BO106" s="67">
        <f>IFERROR(X106/J106,"0")</f>
        <v>0.14285714285714285</v>
      </c>
      <c r="BP106" s="67">
        <f>IFERROR(Y106/J106,"0")</f>
        <v>0.14285714285714285</v>
      </c>
    </row>
    <row r="107" spans="1:68" x14ac:dyDescent="0.2">
      <c r="A107" s="350"/>
      <c r="B107" s="339"/>
      <c r="C107" s="339"/>
      <c r="D107" s="339"/>
      <c r="E107" s="339"/>
      <c r="F107" s="339"/>
      <c r="G107" s="339"/>
      <c r="H107" s="339"/>
      <c r="I107" s="339"/>
      <c r="J107" s="339"/>
      <c r="K107" s="339"/>
      <c r="L107" s="339"/>
      <c r="M107" s="339"/>
      <c r="N107" s="339"/>
      <c r="O107" s="351"/>
      <c r="P107" s="344" t="s">
        <v>71</v>
      </c>
      <c r="Q107" s="345"/>
      <c r="R107" s="345"/>
      <c r="S107" s="345"/>
      <c r="T107" s="345"/>
      <c r="U107" s="345"/>
      <c r="V107" s="346"/>
      <c r="W107" s="37" t="s">
        <v>68</v>
      </c>
      <c r="X107" s="332">
        <f>IFERROR(SUM(X104:X106),"0")</f>
        <v>26</v>
      </c>
      <c r="Y107" s="332">
        <f>IFERROR(SUM(Y104:Y106),"0")</f>
        <v>26</v>
      </c>
      <c r="Z107" s="332">
        <f>IFERROR(IF(Z104="",0,Z104),"0")+IFERROR(IF(Z105="",0,Z105),"0")+IFERROR(IF(Z106="",0,Z106),"0")</f>
        <v>0.43631999999999999</v>
      </c>
      <c r="AA107" s="333"/>
      <c r="AB107" s="333"/>
      <c r="AC107" s="333"/>
    </row>
    <row r="108" spans="1:68" x14ac:dyDescent="0.2">
      <c r="A108" s="339"/>
      <c r="B108" s="339"/>
      <c r="C108" s="339"/>
      <c r="D108" s="339"/>
      <c r="E108" s="339"/>
      <c r="F108" s="339"/>
      <c r="G108" s="339"/>
      <c r="H108" s="339"/>
      <c r="I108" s="339"/>
      <c r="J108" s="339"/>
      <c r="K108" s="339"/>
      <c r="L108" s="339"/>
      <c r="M108" s="339"/>
      <c r="N108" s="339"/>
      <c r="O108" s="351"/>
      <c r="P108" s="344" t="s">
        <v>71</v>
      </c>
      <c r="Q108" s="345"/>
      <c r="R108" s="345"/>
      <c r="S108" s="345"/>
      <c r="T108" s="345"/>
      <c r="U108" s="345"/>
      <c r="V108" s="346"/>
      <c r="W108" s="37" t="s">
        <v>72</v>
      </c>
      <c r="X108" s="332">
        <f>IFERROR(SUMPRODUCT(X104:X106*H104:H106),"0")</f>
        <v>87.36</v>
      </c>
      <c r="Y108" s="332">
        <f>IFERROR(SUMPRODUCT(Y104:Y106*H104:H106),"0")</f>
        <v>87.36</v>
      </c>
      <c r="Z108" s="37"/>
      <c r="AA108" s="333"/>
      <c r="AB108" s="333"/>
      <c r="AC108" s="333"/>
    </row>
    <row r="109" spans="1:68" ht="16.5" customHeight="1" x14ac:dyDescent="0.25">
      <c r="A109" s="364" t="s">
        <v>199</v>
      </c>
      <c r="B109" s="339"/>
      <c r="C109" s="339"/>
      <c r="D109" s="339"/>
      <c r="E109" s="339"/>
      <c r="F109" s="339"/>
      <c r="G109" s="339"/>
      <c r="H109" s="339"/>
      <c r="I109" s="339"/>
      <c r="J109" s="339"/>
      <c r="K109" s="339"/>
      <c r="L109" s="339"/>
      <c r="M109" s="339"/>
      <c r="N109" s="339"/>
      <c r="O109" s="339"/>
      <c r="P109" s="339"/>
      <c r="Q109" s="339"/>
      <c r="R109" s="339"/>
      <c r="S109" s="339"/>
      <c r="T109" s="339"/>
      <c r="U109" s="339"/>
      <c r="V109" s="339"/>
      <c r="W109" s="339"/>
      <c r="X109" s="339"/>
      <c r="Y109" s="339"/>
      <c r="Z109" s="339"/>
      <c r="AA109" s="325"/>
      <c r="AB109" s="325"/>
      <c r="AC109" s="325"/>
    </row>
    <row r="110" spans="1:68" ht="14.25" customHeight="1" x14ac:dyDescent="0.25">
      <c r="A110" s="338" t="s">
        <v>62</v>
      </c>
      <c r="B110" s="339"/>
      <c r="C110" s="339"/>
      <c r="D110" s="339"/>
      <c r="E110" s="339"/>
      <c r="F110" s="339"/>
      <c r="G110" s="339"/>
      <c r="H110" s="339"/>
      <c r="I110" s="339"/>
      <c r="J110" s="339"/>
      <c r="K110" s="339"/>
      <c r="L110" s="339"/>
      <c r="M110" s="339"/>
      <c r="N110" s="339"/>
      <c r="O110" s="339"/>
      <c r="P110" s="339"/>
      <c r="Q110" s="339"/>
      <c r="R110" s="339"/>
      <c r="S110" s="339"/>
      <c r="T110" s="339"/>
      <c r="U110" s="339"/>
      <c r="V110" s="339"/>
      <c r="W110" s="339"/>
      <c r="X110" s="339"/>
      <c r="Y110" s="339"/>
      <c r="Z110" s="339"/>
      <c r="AA110" s="326"/>
      <c r="AB110" s="326"/>
      <c r="AC110" s="326"/>
    </row>
    <row r="111" spans="1:68" ht="27" customHeight="1" x14ac:dyDescent="0.25">
      <c r="A111" s="54" t="s">
        <v>200</v>
      </c>
      <c r="B111" s="54" t="s">
        <v>201</v>
      </c>
      <c r="C111" s="31">
        <v>4301071074</v>
      </c>
      <c r="D111" s="340">
        <v>4620207491157</v>
      </c>
      <c r="E111" s="341"/>
      <c r="F111" s="329">
        <v>0.7</v>
      </c>
      <c r="G111" s="32">
        <v>10</v>
      </c>
      <c r="H111" s="329">
        <v>7</v>
      </c>
      <c r="I111" s="329">
        <v>7.28</v>
      </c>
      <c r="J111" s="32">
        <v>84</v>
      </c>
      <c r="K111" s="32" t="s">
        <v>65</v>
      </c>
      <c r="L111" s="32" t="s">
        <v>66</v>
      </c>
      <c r="M111" s="33" t="s">
        <v>67</v>
      </c>
      <c r="N111" s="33"/>
      <c r="O111" s="32">
        <v>180</v>
      </c>
      <c r="P111" s="505" t="s">
        <v>202</v>
      </c>
      <c r="Q111" s="335"/>
      <c r="R111" s="335"/>
      <c r="S111" s="335"/>
      <c r="T111" s="336"/>
      <c r="U111" s="34"/>
      <c r="V111" s="34"/>
      <c r="W111" s="35" t="s">
        <v>68</v>
      </c>
      <c r="X111" s="330">
        <v>0</v>
      </c>
      <c r="Y111" s="331">
        <f t="shared" ref="Y111:Y116" si="12">IFERROR(IF(X111="","",X111),"")</f>
        <v>0</v>
      </c>
      <c r="Z111" s="36">
        <f t="shared" ref="Z111:Z116" si="13">IFERROR(IF(X111="","",X111*0.0155),"")</f>
        <v>0</v>
      </c>
      <c r="AA111" s="56"/>
      <c r="AB111" s="57"/>
      <c r="AC111" s="144" t="s">
        <v>203</v>
      </c>
      <c r="AG111" s="67"/>
      <c r="AJ111" s="71" t="s">
        <v>70</v>
      </c>
      <c r="AK111" s="71">
        <v>1</v>
      </c>
      <c r="BB111" s="145" t="s">
        <v>1</v>
      </c>
      <c r="BM111" s="67">
        <f t="shared" ref="BM111:BM116" si="14">IFERROR(X111*I111,"0")</f>
        <v>0</v>
      </c>
      <c r="BN111" s="67">
        <f t="shared" ref="BN111:BN116" si="15">IFERROR(Y111*I111,"0")</f>
        <v>0</v>
      </c>
      <c r="BO111" s="67">
        <f t="shared" ref="BO111:BO116" si="16">IFERROR(X111/J111,"0")</f>
        <v>0</v>
      </c>
      <c r="BP111" s="67">
        <f t="shared" ref="BP111:BP116" si="17">IFERROR(Y111/J111,"0")</f>
        <v>0</v>
      </c>
    </row>
    <row r="112" spans="1:68" ht="27" customHeight="1" x14ac:dyDescent="0.25">
      <c r="A112" s="54" t="s">
        <v>204</v>
      </c>
      <c r="B112" s="54" t="s">
        <v>205</v>
      </c>
      <c r="C112" s="31">
        <v>4301071051</v>
      </c>
      <c r="D112" s="340">
        <v>4607111039262</v>
      </c>
      <c r="E112" s="341"/>
      <c r="F112" s="329">
        <v>0.4</v>
      </c>
      <c r="G112" s="32">
        <v>16</v>
      </c>
      <c r="H112" s="329">
        <v>6.4</v>
      </c>
      <c r="I112" s="329">
        <v>6.7195999999999998</v>
      </c>
      <c r="J112" s="32">
        <v>84</v>
      </c>
      <c r="K112" s="32" t="s">
        <v>65</v>
      </c>
      <c r="L112" s="32" t="s">
        <v>66</v>
      </c>
      <c r="M112" s="33" t="s">
        <v>67</v>
      </c>
      <c r="N112" s="33"/>
      <c r="O112" s="32">
        <v>180</v>
      </c>
      <c r="P112" s="509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2" s="335"/>
      <c r="R112" s="335"/>
      <c r="S112" s="335"/>
      <c r="T112" s="336"/>
      <c r="U112" s="34"/>
      <c r="V112" s="34"/>
      <c r="W112" s="35" t="s">
        <v>68</v>
      </c>
      <c r="X112" s="330">
        <v>12</v>
      </c>
      <c r="Y112" s="331">
        <f t="shared" si="12"/>
        <v>12</v>
      </c>
      <c r="Z112" s="36">
        <f t="shared" si="13"/>
        <v>0.186</v>
      </c>
      <c r="AA112" s="56"/>
      <c r="AB112" s="57"/>
      <c r="AC112" s="146" t="s">
        <v>153</v>
      </c>
      <c r="AG112" s="67"/>
      <c r="AJ112" s="71" t="s">
        <v>70</v>
      </c>
      <c r="AK112" s="71">
        <v>1</v>
      </c>
      <c r="BB112" s="147" t="s">
        <v>1</v>
      </c>
      <c r="BM112" s="67">
        <f t="shared" si="14"/>
        <v>80.635199999999998</v>
      </c>
      <c r="BN112" s="67">
        <f t="shared" si="15"/>
        <v>80.635199999999998</v>
      </c>
      <c r="BO112" s="67">
        <f t="shared" si="16"/>
        <v>0.14285714285714285</v>
      </c>
      <c r="BP112" s="67">
        <f t="shared" si="17"/>
        <v>0.14285714285714285</v>
      </c>
    </row>
    <row r="113" spans="1:68" ht="27" customHeight="1" x14ac:dyDescent="0.25">
      <c r="A113" s="54" t="s">
        <v>206</v>
      </c>
      <c r="B113" s="54" t="s">
        <v>207</v>
      </c>
      <c r="C113" s="31">
        <v>4301070976</v>
      </c>
      <c r="D113" s="340">
        <v>4607111034144</v>
      </c>
      <c r="E113" s="341"/>
      <c r="F113" s="329">
        <v>0.9</v>
      </c>
      <c r="G113" s="32">
        <v>8</v>
      </c>
      <c r="H113" s="329">
        <v>7.2</v>
      </c>
      <c r="I113" s="329">
        <v>7.4859999999999998</v>
      </c>
      <c r="J113" s="32">
        <v>84</v>
      </c>
      <c r="K113" s="32" t="s">
        <v>65</v>
      </c>
      <c r="L113" s="32" t="s">
        <v>66</v>
      </c>
      <c r="M113" s="33" t="s">
        <v>67</v>
      </c>
      <c r="N113" s="33"/>
      <c r="O113" s="32">
        <v>180</v>
      </c>
      <c r="P113" s="403" t="str">
        <f>HYPERLINK("https://abi.ru/products/Замороженные/Горячая штучка/Бульмени ГШ/Пельмени/P003686/","Пельмени «Бульмени с говядиной и свининой» 0,9 Сфера ТМ «Горячая штучка»")</f>
        <v>Пельмени «Бульмени с говядиной и свининой» 0,9 Сфера ТМ «Горячая штучка»</v>
      </c>
      <c r="Q113" s="335"/>
      <c r="R113" s="335"/>
      <c r="S113" s="335"/>
      <c r="T113" s="336"/>
      <c r="U113" s="34"/>
      <c r="V113" s="34"/>
      <c r="W113" s="35" t="s">
        <v>68</v>
      </c>
      <c r="X113" s="330">
        <v>0</v>
      </c>
      <c r="Y113" s="331">
        <f t="shared" si="12"/>
        <v>0</v>
      </c>
      <c r="Z113" s="36">
        <f t="shared" si="13"/>
        <v>0</v>
      </c>
      <c r="AA113" s="56"/>
      <c r="AB113" s="57"/>
      <c r="AC113" s="148" t="s">
        <v>153</v>
      </c>
      <c r="AG113" s="67"/>
      <c r="AJ113" s="71" t="s">
        <v>70</v>
      </c>
      <c r="AK113" s="71">
        <v>1</v>
      </c>
      <c r="BB113" s="149" t="s">
        <v>1</v>
      </c>
      <c r="BM113" s="67">
        <f t="shared" si="14"/>
        <v>0</v>
      </c>
      <c r="BN113" s="67">
        <f t="shared" si="15"/>
        <v>0</v>
      </c>
      <c r="BO113" s="67">
        <f t="shared" si="16"/>
        <v>0</v>
      </c>
      <c r="BP113" s="67">
        <f t="shared" si="17"/>
        <v>0</v>
      </c>
    </row>
    <row r="114" spans="1:68" ht="27" customHeight="1" x14ac:dyDescent="0.25">
      <c r="A114" s="54" t="s">
        <v>208</v>
      </c>
      <c r="B114" s="54" t="s">
        <v>209</v>
      </c>
      <c r="C114" s="31">
        <v>4301071038</v>
      </c>
      <c r="D114" s="340">
        <v>4607111039248</v>
      </c>
      <c r="E114" s="341"/>
      <c r="F114" s="329">
        <v>0.7</v>
      </c>
      <c r="G114" s="32">
        <v>10</v>
      </c>
      <c r="H114" s="329">
        <v>7</v>
      </c>
      <c r="I114" s="329">
        <v>7.3</v>
      </c>
      <c r="J114" s="32">
        <v>84</v>
      </c>
      <c r="K114" s="32" t="s">
        <v>65</v>
      </c>
      <c r="L114" s="32" t="s">
        <v>66</v>
      </c>
      <c r="M114" s="33" t="s">
        <v>67</v>
      </c>
      <c r="N114" s="33"/>
      <c r="O114" s="32">
        <v>180</v>
      </c>
      <c r="P114" s="511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4" s="335"/>
      <c r="R114" s="335"/>
      <c r="S114" s="335"/>
      <c r="T114" s="336"/>
      <c r="U114" s="34"/>
      <c r="V114" s="34"/>
      <c r="W114" s="35" t="s">
        <v>68</v>
      </c>
      <c r="X114" s="330">
        <v>12</v>
      </c>
      <c r="Y114" s="331">
        <f t="shared" si="12"/>
        <v>12</v>
      </c>
      <c r="Z114" s="36">
        <f t="shared" si="13"/>
        <v>0.186</v>
      </c>
      <c r="AA114" s="56"/>
      <c r="AB114" s="57"/>
      <c r="AC114" s="150" t="s">
        <v>153</v>
      </c>
      <c r="AG114" s="67"/>
      <c r="AJ114" s="71" t="s">
        <v>70</v>
      </c>
      <c r="AK114" s="71">
        <v>1</v>
      </c>
      <c r="BB114" s="151" t="s">
        <v>1</v>
      </c>
      <c r="BM114" s="67">
        <f t="shared" si="14"/>
        <v>87.6</v>
      </c>
      <c r="BN114" s="67">
        <f t="shared" si="15"/>
        <v>87.6</v>
      </c>
      <c r="BO114" s="67">
        <f t="shared" si="16"/>
        <v>0.14285714285714285</v>
      </c>
      <c r="BP114" s="67">
        <f t="shared" si="17"/>
        <v>0.14285714285714285</v>
      </c>
    </row>
    <row r="115" spans="1:68" ht="27" customHeight="1" x14ac:dyDescent="0.25">
      <c r="A115" s="54" t="s">
        <v>210</v>
      </c>
      <c r="B115" s="54" t="s">
        <v>211</v>
      </c>
      <c r="C115" s="31">
        <v>4301071049</v>
      </c>
      <c r="D115" s="340">
        <v>4607111039293</v>
      </c>
      <c r="E115" s="341"/>
      <c r="F115" s="329">
        <v>0.4</v>
      </c>
      <c r="G115" s="32">
        <v>16</v>
      </c>
      <c r="H115" s="329">
        <v>6.4</v>
      </c>
      <c r="I115" s="329">
        <v>6.7195999999999998</v>
      </c>
      <c r="J115" s="32">
        <v>84</v>
      </c>
      <c r="K115" s="32" t="s">
        <v>65</v>
      </c>
      <c r="L115" s="32" t="s">
        <v>66</v>
      </c>
      <c r="M115" s="33" t="s">
        <v>67</v>
      </c>
      <c r="N115" s="33"/>
      <c r="O115" s="32">
        <v>180</v>
      </c>
      <c r="P115" s="463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5" s="335"/>
      <c r="R115" s="335"/>
      <c r="S115" s="335"/>
      <c r="T115" s="336"/>
      <c r="U115" s="34"/>
      <c r="V115" s="34"/>
      <c r="W115" s="35" t="s">
        <v>68</v>
      </c>
      <c r="X115" s="330">
        <v>0</v>
      </c>
      <c r="Y115" s="331">
        <f t="shared" si="12"/>
        <v>0</v>
      </c>
      <c r="Z115" s="36">
        <f t="shared" si="13"/>
        <v>0</v>
      </c>
      <c r="AA115" s="56"/>
      <c r="AB115" s="57"/>
      <c r="AC115" s="152" t="s">
        <v>153</v>
      </c>
      <c r="AG115" s="67"/>
      <c r="AJ115" s="71" t="s">
        <v>70</v>
      </c>
      <c r="AK115" s="71">
        <v>1</v>
      </c>
      <c r="BB115" s="153" t="s">
        <v>1</v>
      </c>
      <c r="BM115" s="67">
        <f t="shared" si="14"/>
        <v>0</v>
      </c>
      <c r="BN115" s="67">
        <f t="shared" si="15"/>
        <v>0</v>
      </c>
      <c r="BO115" s="67">
        <f t="shared" si="16"/>
        <v>0</v>
      </c>
      <c r="BP115" s="67">
        <f t="shared" si="17"/>
        <v>0</v>
      </c>
    </row>
    <row r="116" spans="1:68" ht="27" customHeight="1" x14ac:dyDescent="0.25">
      <c r="A116" s="54" t="s">
        <v>212</v>
      </c>
      <c r="B116" s="54" t="s">
        <v>213</v>
      </c>
      <c r="C116" s="31">
        <v>4301071039</v>
      </c>
      <c r="D116" s="340">
        <v>4607111039279</v>
      </c>
      <c r="E116" s="341"/>
      <c r="F116" s="329">
        <v>0.7</v>
      </c>
      <c r="G116" s="32">
        <v>10</v>
      </c>
      <c r="H116" s="329">
        <v>7</v>
      </c>
      <c r="I116" s="329">
        <v>7.3</v>
      </c>
      <c r="J116" s="32">
        <v>84</v>
      </c>
      <c r="K116" s="32" t="s">
        <v>65</v>
      </c>
      <c r="L116" s="32" t="s">
        <v>66</v>
      </c>
      <c r="M116" s="33" t="s">
        <v>67</v>
      </c>
      <c r="N116" s="33"/>
      <c r="O116" s="32">
        <v>180</v>
      </c>
      <c r="P116" s="398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6" s="335"/>
      <c r="R116" s="335"/>
      <c r="S116" s="335"/>
      <c r="T116" s="336"/>
      <c r="U116" s="34"/>
      <c r="V116" s="34"/>
      <c r="W116" s="35" t="s">
        <v>68</v>
      </c>
      <c r="X116" s="330">
        <v>0</v>
      </c>
      <c r="Y116" s="331">
        <f t="shared" si="12"/>
        <v>0</v>
      </c>
      <c r="Z116" s="36">
        <f t="shared" si="13"/>
        <v>0</v>
      </c>
      <c r="AA116" s="56"/>
      <c r="AB116" s="57"/>
      <c r="AC116" s="154" t="s">
        <v>153</v>
      </c>
      <c r="AG116" s="67"/>
      <c r="AJ116" s="71" t="s">
        <v>70</v>
      </c>
      <c r="AK116" s="71">
        <v>1</v>
      </c>
      <c r="BB116" s="155" t="s">
        <v>1</v>
      </c>
      <c r="BM116" s="67">
        <f t="shared" si="14"/>
        <v>0</v>
      </c>
      <c r="BN116" s="67">
        <f t="shared" si="15"/>
        <v>0</v>
      </c>
      <c r="BO116" s="67">
        <f t="shared" si="16"/>
        <v>0</v>
      </c>
      <c r="BP116" s="67">
        <f t="shared" si="17"/>
        <v>0</v>
      </c>
    </row>
    <row r="117" spans="1:68" x14ac:dyDescent="0.2">
      <c r="A117" s="350"/>
      <c r="B117" s="339"/>
      <c r="C117" s="339"/>
      <c r="D117" s="339"/>
      <c r="E117" s="339"/>
      <c r="F117" s="339"/>
      <c r="G117" s="339"/>
      <c r="H117" s="339"/>
      <c r="I117" s="339"/>
      <c r="J117" s="339"/>
      <c r="K117" s="339"/>
      <c r="L117" s="339"/>
      <c r="M117" s="339"/>
      <c r="N117" s="339"/>
      <c r="O117" s="351"/>
      <c r="P117" s="344" t="s">
        <v>71</v>
      </c>
      <c r="Q117" s="345"/>
      <c r="R117" s="345"/>
      <c r="S117" s="345"/>
      <c r="T117" s="345"/>
      <c r="U117" s="345"/>
      <c r="V117" s="346"/>
      <c r="W117" s="37" t="s">
        <v>68</v>
      </c>
      <c r="X117" s="332">
        <f>IFERROR(SUM(X111:X116),"0")</f>
        <v>24</v>
      </c>
      <c r="Y117" s="332">
        <f>IFERROR(SUM(Y111:Y116),"0")</f>
        <v>24</v>
      </c>
      <c r="Z117" s="332">
        <f>IFERROR(IF(Z111="",0,Z111),"0")+IFERROR(IF(Z112="",0,Z112),"0")+IFERROR(IF(Z113="",0,Z113),"0")+IFERROR(IF(Z114="",0,Z114),"0")+IFERROR(IF(Z115="",0,Z115),"0")+IFERROR(IF(Z116="",0,Z116),"0")</f>
        <v>0.372</v>
      </c>
      <c r="AA117" s="333"/>
      <c r="AB117" s="333"/>
      <c r="AC117" s="333"/>
    </row>
    <row r="118" spans="1:68" x14ac:dyDescent="0.2">
      <c r="A118" s="339"/>
      <c r="B118" s="339"/>
      <c r="C118" s="339"/>
      <c r="D118" s="339"/>
      <c r="E118" s="339"/>
      <c r="F118" s="339"/>
      <c r="G118" s="339"/>
      <c r="H118" s="339"/>
      <c r="I118" s="339"/>
      <c r="J118" s="339"/>
      <c r="K118" s="339"/>
      <c r="L118" s="339"/>
      <c r="M118" s="339"/>
      <c r="N118" s="339"/>
      <c r="O118" s="351"/>
      <c r="P118" s="344" t="s">
        <v>71</v>
      </c>
      <c r="Q118" s="345"/>
      <c r="R118" s="345"/>
      <c r="S118" s="345"/>
      <c r="T118" s="345"/>
      <c r="U118" s="345"/>
      <c r="V118" s="346"/>
      <c r="W118" s="37" t="s">
        <v>72</v>
      </c>
      <c r="X118" s="332">
        <f>IFERROR(SUMPRODUCT(X111:X116*H111:H116),"0")</f>
        <v>160.80000000000001</v>
      </c>
      <c r="Y118" s="332">
        <f>IFERROR(SUMPRODUCT(Y111:Y116*H111:H116),"0")</f>
        <v>160.80000000000001</v>
      </c>
      <c r="Z118" s="37"/>
      <c r="AA118" s="333"/>
      <c r="AB118" s="333"/>
      <c r="AC118" s="333"/>
    </row>
    <row r="119" spans="1:68" ht="14.25" customHeight="1" x14ac:dyDescent="0.25">
      <c r="A119" s="338" t="s">
        <v>138</v>
      </c>
      <c r="B119" s="339"/>
      <c r="C119" s="339"/>
      <c r="D119" s="339"/>
      <c r="E119" s="339"/>
      <c r="F119" s="339"/>
      <c r="G119" s="339"/>
      <c r="H119" s="339"/>
      <c r="I119" s="339"/>
      <c r="J119" s="339"/>
      <c r="K119" s="339"/>
      <c r="L119" s="339"/>
      <c r="M119" s="339"/>
      <c r="N119" s="339"/>
      <c r="O119" s="339"/>
      <c r="P119" s="339"/>
      <c r="Q119" s="339"/>
      <c r="R119" s="339"/>
      <c r="S119" s="339"/>
      <c r="T119" s="339"/>
      <c r="U119" s="339"/>
      <c r="V119" s="339"/>
      <c r="W119" s="339"/>
      <c r="X119" s="339"/>
      <c r="Y119" s="339"/>
      <c r="Z119" s="339"/>
      <c r="AA119" s="326"/>
      <c r="AB119" s="326"/>
      <c r="AC119" s="326"/>
    </row>
    <row r="120" spans="1:68" ht="27" customHeight="1" x14ac:dyDescent="0.25">
      <c r="A120" s="54" t="s">
        <v>214</v>
      </c>
      <c r="B120" s="54" t="s">
        <v>215</v>
      </c>
      <c r="C120" s="31">
        <v>4301135670</v>
      </c>
      <c r="D120" s="340">
        <v>4620207490983</v>
      </c>
      <c r="E120" s="341"/>
      <c r="F120" s="329">
        <v>0.22</v>
      </c>
      <c r="G120" s="32">
        <v>12</v>
      </c>
      <c r="H120" s="329">
        <v>2.64</v>
      </c>
      <c r="I120" s="329">
        <v>3.3435999999999999</v>
      </c>
      <c r="J120" s="32">
        <v>70</v>
      </c>
      <c r="K120" s="32" t="s">
        <v>78</v>
      </c>
      <c r="L120" s="32" t="s">
        <v>66</v>
      </c>
      <c r="M120" s="33" t="s">
        <v>67</v>
      </c>
      <c r="N120" s="33"/>
      <c r="O120" s="32">
        <v>180</v>
      </c>
      <c r="P120" s="389" t="s">
        <v>216</v>
      </c>
      <c r="Q120" s="335"/>
      <c r="R120" s="335"/>
      <c r="S120" s="335"/>
      <c r="T120" s="336"/>
      <c r="U120" s="34"/>
      <c r="V120" s="34"/>
      <c r="W120" s="35" t="s">
        <v>68</v>
      </c>
      <c r="X120" s="330">
        <v>0</v>
      </c>
      <c r="Y120" s="331">
        <f>IFERROR(IF(X120="","",X120),"")</f>
        <v>0</v>
      </c>
      <c r="Z120" s="36">
        <f>IFERROR(IF(X120="","",X120*0.01788),"")</f>
        <v>0</v>
      </c>
      <c r="AA120" s="56"/>
      <c r="AB120" s="57"/>
      <c r="AC120" s="156" t="s">
        <v>217</v>
      </c>
      <c r="AG120" s="67"/>
      <c r="AJ120" s="71" t="s">
        <v>70</v>
      </c>
      <c r="AK120" s="71">
        <v>1</v>
      </c>
      <c r="BB120" s="157" t="s">
        <v>81</v>
      </c>
      <c r="BM120" s="67">
        <f>IFERROR(X120*I120,"0")</f>
        <v>0</v>
      </c>
      <c r="BN120" s="67">
        <f>IFERROR(Y120*I120,"0")</f>
        <v>0</v>
      </c>
      <c r="BO120" s="67">
        <f>IFERROR(X120/J120,"0")</f>
        <v>0</v>
      </c>
      <c r="BP120" s="67">
        <f>IFERROR(Y120/J120,"0")</f>
        <v>0</v>
      </c>
    </row>
    <row r="121" spans="1:68" x14ac:dyDescent="0.2">
      <c r="A121" s="350"/>
      <c r="B121" s="339"/>
      <c r="C121" s="339"/>
      <c r="D121" s="339"/>
      <c r="E121" s="339"/>
      <c r="F121" s="339"/>
      <c r="G121" s="339"/>
      <c r="H121" s="339"/>
      <c r="I121" s="339"/>
      <c r="J121" s="339"/>
      <c r="K121" s="339"/>
      <c r="L121" s="339"/>
      <c r="M121" s="339"/>
      <c r="N121" s="339"/>
      <c r="O121" s="351"/>
      <c r="P121" s="344" t="s">
        <v>71</v>
      </c>
      <c r="Q121" s="345"/>
      <c r="R121" s="345"/>
      <c r="S121" s="345"/>
      <c r="T121" s="345"/>
      <c r="U121" s="345"/>
      <c r="V121" s="346"/>
      <c r="W121" s="37" t="s">
        <v>68</v>
      </c>
      <c r="X121" s="332">
        <f>IFERROR(SUM(X120:X120),"0")</f>
        <v>0</v>
      </c>
      <c r="Y121" s="332">
        <f>IFERROR(SUM(Y120:Y120),"0")</f>
        <v>0</v>
      </c>
      <c r="Z121" s="332">
        <f>IFERROR(IF(Z120="",0,Z120),"0")</f>
        <v>0</v>
      </c>
      <c r="AA121" s="333"/>
      <c r="AB121" s="333"/>
      <c r="AC121" s="333"/>
    </row>
    <row r="122" spans="1:68" x14ac:dyDescent="0.2">
      <c r="A122" s="339"/>
      <c r="B122" s="339"/>
      <c r="C122" s="339"/>
      <c r="D122" s="339"/>
      <c r="E122" s="339"/>
      <c r="F122" s="339"/>
      <c r="G122" s="339"/>
      <c r="H122" s="339"/>
      <c r="I122" s="339"/>
      <c r="J122" s="339"/>
      <c r="K122" s="339"/>
      <c r="L122" s="339"/>
      <c r="M122" s="339"/>
      <c r="N122" s="339"/>
      <c r="O122" s="351"/>
      <c r="P122" s="344" t="s">
        <v>71</v>
      </c>
      <c r="Q122" s="345"/>
      <c r="R122" s="345"/>
      <c r="S122" s="345"/>
      <c r="T122" s="345"/>
      <c r="U122" s="345"/>
      <c r="V122" s="346"/>
      <c r="W122" s="37" t="s">
        <v>72</v>
      </c>
      <c r="X122" s="332">
        <f>IFERROR(SUMPRODUCT(X120:X120*H120:H120),"0")</f>
        <v>0</v>
      </c>
      <c r="Y122" s="332">
        <f>IFERROR(SUMPRODUCT(Y120:Y120*H120:H120),"0")</f>
        <v>0</v>
      </c>
      <c r="Z122" s="37"/>
      <c r="AA122" s="333"/>
      <c r="AB122" s="333"/>
      <c r="AC122" s="333"/>
    </row>
    <row r="123" spans="1:68" ht="16.5" customHeight="1" x14ac:dyDescent="0.25">
      <c r="A123" s="364" t="s">
        <v>218</v>
      </c>
      <c r="B123" s="339"/>
      <c r="C123" s="339"/>
      <c r="D123" s="339"/>
      <c r="E123" s="339"/>
      <c r="F123" s="339"/>
      <c r="G123" s="339"/>
      <c r="H123" s="339"/>
      <c r="I123" s="339"/>
      <c r="J123" s="339"/>
      <c r="K123" s="339"/>
      <c r="L123" s="339"/>
      <c r="M123" s="339"/>
      <c r="N123" s="339"/>
      <c r="O123" s="339"/>
      <c r="P123" s="339"/>
      <c r="Q123" s="339"/>
      <c r="R123" s="339"/>
      <c r="S123" s="339"/>
      <c r="T123" s="339"/>
      <c r="U123" s="339"/>
      <c r="V123" s="339"/>
      <c r="W123" s="339"/>
      <c r="X123" s="339"/>
      <c r="Y123" s="339"/>
      <c r="Z123" s="339"/>
      <c r="AA123" s="325"/>
      <c r="AB123" s="325"/>
      <c r="AC123" s="325"/>
    </row>
    <row r="124" spans="1:68" ht="14.25" customHeight="1" x14ac:dyDescent="0.25">
      <c r="A124" s="338" t="s">
        <v>138</v>
      </c>
      <c r="B124" s="339"/>
      <c r="C124" s="339"/>
      <c r="D124" s="339"/>
      <c r="E124" s="339"/>
      <c r="F124" s="339"/>
      <c r="G124" s="339"/>
      <c r="H124" s="339"/>
      <c r="I124" s="339"/>
      <c r="J124" s="339"/>
      <c r="K124" s="339"/>
      <c r="L124" s="339"/>
      <c r="M124" s="339"/>
      <c r="N124" s="339"/>
      <c r="O124" s="339"/>
      <c r="P124" s="339"/>
      <c r="Q124" s="339"/>
      <c r="R124" s="339"/>
      <c r="S124" s="339"/>
      <c r="T124" s="339"/>
      <c r="U124" s="339"/>
      <c r="V124" s="339"/>
      <c r="W124" s="339"/>
      <c r="X124" s="339"/>
      <c r="Y124" s="339"/>
      <c r="Z124" s="339"/>
      <c r="AA124" s="326"/>
      <c r="AB124" s="326"/>
      <c r="AC124" s="326"/>
    </row>
    <row r="125" spans="1:68" ht="27" customHeight="1" x14ac:dyDescent="0.25">
      <c r="A125" s="54" t="s">
        <v>219</v>
      </c>
      <c r="B125" s="54" t="s">
        <v>220</v>
      </c>
      <c r="C125" s="31">
        <v>4301135533</v>
      </c>
      <c r="D125" s="340">
        <v>4607111034014</v>
      </c>
      <c r="E125" s="341"/>
      <c r="F125" s="329">
        <v>0.25</v>
      </c>
      <c r="G125" s="32">
        <v>12</v>
      </c>
      <c r="H125" s="329">
        <v>3</v>
      </c>
      <c r="I125" s="329">
        <v>3.7035999999999998</v>
      </c>
      <c r="J125" s="32">
        <v>70</v>
      </c>
      <c r="K125" s="32" t="s">
        <v>78</v>
      </c>
      <c r="L125" s="32" t="s">
        <v>66</v>
      </c>
      <c r="M125" s="33" t="s">
        <v>67</v>
      </c>
      <c r="N125" s="33"/>
      <c r="O125" s="32">
        <v>180</v>
      </c>
      <c r="P125" s="508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25" s="335"/>
      <c r="R125" s="335"/>
      <c r="S125" s="335"/>
      <c r="T125" s="336"/>
      <c r="U125" s="34"/>
      <c r="V125" s="34"/>
      <c r="W125" s="35" t="s">
        <v>68</v>
      </c>
      <c r="X125" s="330">
        <v>28</v>
      </c>
      <c r="Y125" s="331">
        <f>IFERROR(IF(X125="","",X125),"")</f>
        <v>28</v>
      </c>
      <c r="Z125" s="36">
        <f>IFERROR(IF(X125="","",X125*0.01788),"")</f>
        <v>0.50063999999999997</v>
      </c>
      <c r="AA125" s="56"/>
      <c r="AB125" s="57"/>
      <c r="AC125" s="158" t="s">
        <v>221</v>
      </c>
      <c r="AG125" s="67"/>
      <c r="AJ125" s="71" t="s">
        <v>70</v>
      </c>
      <c r="AK125" s="71">
        <v>1</v>
      </c>
      <c r="BB125" s="159" t="s">
        <v>81</v>
      </c>
      <c r="BM125" s="67">
        <f>IFERROR(X125*I125,"0")</f>
        <v>103.70079999999999</v>
      </c>
      <c r="BN125" s="67">
        <f>IFERROR(Y125*I125,"0")</f>
        <v>103.70079999999999</v>
      </c>
      <c r="BO125" s="67">
        <f>IFERROR(X125/J125,"0")</f>
        <v>0.4</v>
      </c>
      <c r="BP125" s="67">
        <f>IFERROR(Y125/J125,"0")</f>
        <v>0.4</v>
      </c>
    </row>
    <row r="126" spans="1:68" ht="27" customHeight="1" x14ac:dyDescent="0.25">
      <c r="A126" s="54" t="s">
        <v>222</v>
      </c>
      <c r="B126" s="54" t="s">
        <v>223</v>
      </c>
      <c r="C126" s="31">
        <v>4301135532</v>
      </c>
      <c r="D126" s="340">
        <v>4607111033994</v>
      </c>
      <c r="E126" s="341"/>
      <c r="F126" s="329">
        <v>0.25</v>
      </c>
      <c r="G126" s="32">
        <v>12</v>
      </c>
      <c r="H126" s="329">
        <v>3</v>
      </c>
      <c r="I126" s="329">
        <v>3.7035999999999998</v>
      </c>
      <c r="J126" s="32">
        <v>70</v>
      </c>
      <c r="K126" s="32" t="s">
        <v>78</v>
      </c>
      <c r="L126" s="32" t="s">
        <v>66</v>
      </c>
      <c r="M126" s="33" t="s">
        <v>67</v>
      </c>
      <c r="N126" s="33"/>
      <c r="O126" s="32">
        <v>180</v>
      </c>
      <c r="P126" s="546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26" s="335"/>
      <c r="R126" s="335"/>
      <c r="S126" s="335"/>
      <c r="T126" s="336"/>
      <c r="U126" s="34"/>
      <c r="V126" s="34"/>
      <c r="W126" s="35" t="s">
        <v>68</v>
      </c>
      <c r="X126" s="330">
        <v>0</v>
      </c>
      <c r="Y126" s="331">
        <f>IFERROR(IF(X126="","",X126),"")</f>
        <v>0</v>
      </c>
      <c r="Z126" s="36">
        <f>IFERROR(IF(X126="","",X126*0.01788),"")</f>
        <v>0</v>
      </c>
      <c r="AA126" s="56"/>
      <c r="AB126" s="57"/>
      <c r="AC126" s="160" t="s">
        <v>160</v>
      </c>
      <c r="AG126" s="67"/>
      <c r="AJ126" s="71" t="s">
        <v>70</v>
      </c>
      <c r="AK126" s="71">
        <v>1</v>
      </c>
      <c r="BB126" s="161" t="s">
        <v>81</v>
      </c>
      <c r="BM126" s="67">
        <f>IFERROR(X126*I126,"0")</f>
        <v>0</v>
      </c>
      <c r="BN126" s="67">
        <f>IFERROR(Y126*I126,"0")</f>
        <v>0</v>
      </c>
      <c r="BO126" s="67">
        <f>IFERROR(X126/J126,"0")</f>
        <v>0</v>
      </c>
      <c r="BP126" s="67">
        <f>IFERROR(Y126/J126,"0")</f>
        <v>0</v>
      </c>
    </row>
    <row r="127" spans="1:68" x14ac:dyDescent="0.2">
      <c r="A127" s="350"/>
      <c r="B127" s="339"/>
      <c r="C127" s="339"/>
      <c r="D127" s="339"/>
      <c r="E127" s="339"/>
      <c r="F127" s="339"/>
      <c r="G127" s="339"/>
      <c r="H127" s="339"/>
      <c r="I127" s="339"/>
      <c r="J127" s="339"/>
      <c r="K127" s="339"/>
      <c r="L127" s="339"/>
      <c r="M127" s="339"/>
      <c r="N127" s="339"/>
      <c r="O127" s="351"/>
      <c r="P127" s="344" t="s">
        <v>71</v>
      </c>
      <c r="Q127" s="345"/>
      <c r="R127" s="345"/>
      <c r="S127" s="345"/>
      <c r="T127" s="345"/>
      <c r="U127" s="345"/>
      <c r="V127" s="346"/>
      <c r="W127" s="37" t="s">
        <v>68</v>
      </c>
      <c r="X127" s="332">
        <f>IFERROR(SUM(X125:X126),"0")</f>
        <v>28</v>
      </c>
      <c r="Y127" s="332">
        <f>IFERROR(SUM(Y125:Y126),"0")</f>
        <v>28</v>
      </c>
      <c r="Z127" s="332">
        <f>IFERROR(IF(Z125="",0,Z125),"0")+IFERROR(IF(Z126="",0,Z126),"0")</f>
        <v>0.50063999999999997</v>
      </c>
      <c r="AA127" s="333"/>
      <c r="AB127" s="333"/>
      <c r="AC127" s="333"/>
    </row>
    <row r="128" spans="1:68" x14ac:dyDescent="0.2">
      <c r="A128" s="339"/>
      <c r="B128" s="339"/>
      <c r="C128" s="339"/>
      <c r="D128" s="339"/>
      <c r="E128" s="339"/>
      <c r="F128" s="339"/>
      <c r="G128" s="339"/>
      <c r="H128" s="339"/>
      <c r="I128" s="339"/>
      <c r="J128" s="339"/>
      <c r="K128" s="339"/>
      <c r="L128" s="339"/>
      <c r="M128" s="339"/>
      <c r="N128" s="339"/>
      <c r="O128" s="351"/>
      <c r="P128" s="344" t="s">
        <v>71</v>
      </c>
      <c r="Q128" s="345"/>
      <c r="R128" s="345"/>
      <c r="S128" s="345"/>
      <c r="T128" s="345"/>
      <c r="U128" s="345"/>
      <c r="V128" s="346"/>
      <c r="W128" s="37" t="s">
        <v>72</v>
      </c>
      <c r="X128" s="332">
        <f>IFERROR(SUMPRODUCT(X125:X126*H125:H126),"0")</f>
        <v>84</v>
      </c>
      <c r="Y128" s="332">
        <f>IFERROR(SUMPRODUCT(Y125:Y126*H125:H126),"0")</f>
        <v>84</v>
      </c>
      <c r="Z128" s="37"/>
      <c r="AA128" s="333"/>
      <c r="AB128" s="333"/>
      <c r="AC128" s="333"/>
    </row>
    <row r="129" spans="1:68" ht="16.5" customHeight="1" x14ac:dyDescent="0.25">
      <c r="A129" s="364" t="s">
        <v>224</v>
      </c>
      <c r="B129" s="339"/>
      <c r="C129" s="339"/>
      <c r="D129" s="339"/>
      <c r="E129" s="339"/>
      <c r="F129" s="339"/>
      <c r="G129" s="339"/>
      <c r="H129" s="339"/>
      <c r="I129" s="339"/>
      <c r="J129" s="339"/>
      <c r="K129" s="339"/>
      <c r="L129" s="339"/>
      <c r="M129" s="339"/>
      <c r="N129" s="339"/>
      <c r="O129" s="339"/>
      <c r="P129" s="339"/>
      <c r="Q129" s="339"/>
      <c r="R129" s="339"/>
      <c r="S129" s="339"/>
      <c r="T129" s="339"/>
      <c r="U129" s="339"/>
      <c r="V129" s="339"/>
      <c r="W129" s="339"/>
      <c r="X129" s="339"/>
      <c r="Y129" s="339"/>
      <c r="Z129" s="339"/>
      <c r="AA129" s="325"/>
      <c r="AB129" s="325"/>
      <c r="AC129" s="325"/>
    </row>
    <row r="130" spans="1:68" ht="14.25" customHeight="1" x14ac:dyDescent="0.25">
      <c r="A130" s="338" t="s">
        <v>138</v>
      </c>
      <c r="B130" s="339"/>
      <c r="C130" s="339"/>
      <c r="D130" s="339"/>
      <c r="E130" s="339"/>
      <c r="F130" s="339"/>
      <c r="G130" s="339"/>
      <c r="H130" s="339"/>
      <c r="I130" s="339"/>
      <c r="J130" s="339"/>
      <c r="K130" s="339"/>
      <c r="L130" s="339"/>
      <c r="M130" s="339"/>
      <c r="N130" s="339"/>
      <c r="O130" s="339"/>
      <c r="P130" s="339"/>
      <c r="Q130" s="339"/>
      <c r="R130" s="339"/>
      <c r="S130" s="339"/>
      <c r="T130" s="339"/>
      <c r="U130" s="339"/>
      <c r="V130" s="339"/>
      <c r="W130" s="339"/>
      <c r="X130" s="339"/>
      <c r="Y130" s="339"/>
      <c r="Z130" s="339"/>
      <c r="AA130" s="326"/>
      <c r="AB130" s="326"/>
      <c r="AC130" s="326"/>
    </row>
    <row r="131" spans="1:68" ht="27" customHeight="1" x14ac:dyDescent="0.25">
      <c r="A131" s="54" t="s">
        <v>225</v>
      </c>
      <c r="B131" s="54" t="s">
        <v>226</v>
      </c>
      <c r="C131" s="31">
        <v>4301135311</v>
      </c>
      <c r="D131" s="340">
        <v>4607111039095</v>
      </c>
      <c r="E131" s="341"/>
      <c r="F131" s="329">
        <v>0.25</v>
      </c>
      <c r="G131" s="32">
        <v>12</v>
      </c>
      <c r="H131" s="329">
        <v>3</v>
      </c>
      <c r="I131" s="329">
        <v>3.7480000000000002</v>
      </c>
      <c r="J131" s="32">
        <v>70</v>
      </c>
      <c r="K131" s="32" t="s">
        <v>78</v>
      </c>
      <c r="L131" s="32" t="s">
        <v>66</v>
      </c>
      <c r="M131" s="33" t="s">
        <v>67</v>
      </c>
      <c r="N131" s="33"/>
      <c r="O131" s="32">
        <v>180</v>
      </c>
      <c r="P131" s="410" t="str">
        <f>HYPERLINK("https://abi.ru/products/Замороженные/Горячая штучка/Хотстеры/Снеки/P004205/","Снеки «Хотстеры с сыром» ф/в 0,25 ТМ «Горячая штучка»")</f>
        <v>Снеки «Хотстеры с сыром» ф/в 0,25 ТМ «Горячая штучка»</v>
      </c>
      <c r="Q131" s="335"/>
      <c r="R131" s="335"/>
      <c r="S131" s="335"/>
      <c r="T131" s="336"/>
      <c r="U131" s="34"/>
      <c r="V131" s="34"/>
      <c r="W131" s="35" t="s">
        <v>68</v>
      </c>
      <c r="X131" s="330">
        <v>0</v>
      </c>
      <c r="Y131" s="331">
        <f>IFERROR(IF(X131="","",X131),"")</f>
        <v>0</v>
      </c>
      <c r="Z131" s="36">
        <f>IFERROR(IF(X131="","",X131*0.01788),"")</f>
        <v>0</v>
      </c>
      <c r="AA131" s="56"/>
      <c r="AB131" s="57"/>
      <c r="AC131" s="162" t="s">
        <v>227</v>
      </c>
      <c r="AG131" s="67"/>
      <c r="AJ131" s="71" t="s">
        <v>70</v>
      </c>
      <c r="AK131" s="71">
        <v>1</v>
      </c>
      <c r="BB131" s="163" t="s">
        <v>81</v>
      </c>
      <c r="BM131" s="67">
        <f>IFERROR(X131*I131,"0")</f>
        <v>0</v>
      </c>
      <c r="BN131" s="67">
        <f>IFERROR(Y131*I131,"0")</f>
        <v>0</v>
      </c>
      <c r="BO131" s="67">
        <f>IFERROR(X131/J131,"0")</f>
        <v>0</v>
      </c>
      <c r="BP131" s="67">
        <f>IFERROR(Y131/J131,"0")</f>
        <v>0</v>
      </c>
    </row>
    <row r="132" spans="1:68" ht="16.5" customHeight="1" x14ac:dyDescent="0.25">
      <c r="A132" s="54" t="s">
        <v>228</v>
      </c>
      <c r="B132" s="54" t="s">
        <v>229</v>
      </c>
      <c r="C132" s="31">
        <v>4301135534</v>
      </c>
      <c r="D132" s="340">
        <v>4607111034199</v>
      </c>
      <c r="E132" s="341"/>
      <c r="F132" s="329">
        <v>0.25</v>
      </c>
      <c r="G132" s="32">
        <v>12</v>
      </c>
      <c r="H132" s="329">
        <v>3</v>
      </c>
      <c r="I132" s="329">
        <v>3.7035999999999998</v>
      </c>
      <c r="J132" s="32">
        <v>70</v>
      </c>
      <c r="K132" s="32" t="s">
        <v>78</v>
      </c>
      <c r="L132" s="32" t="s">
        <v>66</v>
      </c>
      <c r="M132" s="33" t="s">
        <v>67</v>
      </c>
      <c r="N132" s="33"/>
      <c r="O132" s="32">
        <v>180</v>
      </c>
      <c r="P132" s="433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32" s="335"/>
      <c r="R132" s="335"/>
      <c r="S132" s="335"/>
      <c r="T132" s="336"/>
      <c r="U132" s="34"/>
      <c r="V132" s="34"/>
      <c r="W132" s="35" t="s">
        <v>68</v>
      </c>
      <c r="X132" s="330">
        <v>14</v>
      </c>
      <c r="Y132" s="331">
        <f>IFERROR(IF(X132="","",X132),"")</f>
        <v>14</v>
      </c>
      <c r="Z132" s="36">
        <f>IFERROR(IF(X132="","",X132*0.01788),"")</f>
        <v>0.25031999999999999</v>
      </c>
      <c r="AA132" s="56"/>
      <c r="AB132" s="57"/>
      <c r="AC132" s="164" t="s">
        <v>230</v>
      </c>
      <c r="AG132" s="67"/>
      <c r="AJ132" s="71" t="s">
        <v>70</v>
      </c>
      <c r="AK132" s="71">
        <v>1</v>
      </c>
      <c r="BB132" s="165" t="s">
        <v>81</v>
      </c>
      <c r="BM132" s="67">
        <f>IFERROR(X132*I132,"0")</f>
        <v>51.850399999999993</v>
      </c>
      <c r="BN132" s="67">
        <f>IFERROR(Y132*I132,"0")</f>
        <v>51.850399999999993</v>
      </c>
      <c r="BO132" s="67">
        <f>IFERROR(X132/J132,"0")</f>
        <v>0.2</v>
      </c>
      <c r="BP132" s="67">
        <f>IFERROR(Y132/J132,"0")</f>
        <v>0.2</v>
      </c>
    </row>
    <row r="133" spans="1:68" x14ac:dyDescent="0.2">
      <c r="A133" s="350"/>
      <c r="B133" s="339"/>
      <c r="C133" s="339"/>
      <c r="D133" s="339"/>
      <c r="E133" s="339"/>
      <c r="F133" s="339"/>
      <c r="G133" s="339"/>
      <c r="H133" s="339"/>
      <c r="I133" s="339"/>
      <c r="J133" s="339"/>
      <c r="K133" s="339"/>
      <c r="L133" s="339"/>
      <c r="M133" s="339"/>
      <c r="N133" s="339"/>
      <c r="O133" s="351"/>
      <c r="P133" s="344" t="s">
        <v>71</v>
      </c>
      <c r="Q133" s="345"/>
      <c r="R133" s="345"/>
      <c r="S133" s="345"/>
      <c r="T133" s="345"/>
      <c r="U133" s="345"/>
      <c r="V133" s="346"/>
      <c r="W133" s="37" t="s">
        <v>68</v>
      </c>
      <c r="X133" s="332">
        <f>IFERROR(SUM(X131:X132),"0")</f>
        <v>14</v>
      </c>
      <c r="Y133" s="332">
        <f>IFERROR(SUM(Y131:Y132),"0")</f>
        <v>14</v>
      </c>
      <c r="Z133" s="332">
        <f>IFERROR(IF(Z131="",0,Z131),"0")+IFERROR(IF(Z132="",0,Z132),"0")</f>
        <v>0.25031999999999999</v>
      </c>
      <c r="AA133" s="333"/>
      <c r="AB133" s="333"/>
      <c r="AC133" s="333"/>
    </row>
    <row r="134" spans="1:68" x14ac:dyDescent="0.2">
      <c r="A134" s="339"/>
      <c r="B134" s="339"/>
      <c r="C134" s="339"/>
      <c r="D134" s="339"/>
      <c r="E134" s="339"/>
      <c r="F134" s="339"/>
      <c r="G134" s="339"/>
      <c r="H134" s="339"/>
      <c r="I134" s="339"/>
      <c r="J134" s="339"/>
      <c r="K134" s="339"/>
      <c r="L134" s="339"/>
      <c r="M134" s="339"/>
      <c r="N134" s="339"/>
      <c r="O134" s="351"/>
      <c r="P134" s="344" t="s">
        <v>71</v>
      </c>
      <c r="Q134" s="345"/>
      <c r="R134" s="345"/>
      <c r="S134" s="345"/>
      <c r="T134" s="345"/>
      <c r="U134" s="345"/>
      <c r="V134" s="346"/>
      <c r="W134" s="37" t="s">
        <v>72</v>
      </c>
      <c r="X134" s="332">
        <f>IFERROR(SUMPRODUCT(X131:X132*H131:H132),"0")</f>
        <v>42</v>
      </c>
      <c r="Y134" s="332">
        <f>IFERROR(SUMPRODUCT(Y131:Y132*H131:H132),"0")</f>
        <v>42</v>
      </c>
      <c r="Z134" s="37"/>
      <c r="AA134" s="333"/>
      <c r="AB134" s="333"/>
      <c r="AC134" s="333"/>
    </row>
    <row r="135" spans="1:68" ht="16.5" customHeight="1" x14ac:dyDescent="0.25">
      <c r="A135" s="364" t="s">
        <v>231</v>
      </c>
      <c r="B135" s="339"/>
      <c r="C135" s="339"/>
      <c r="D135" s="339"/>
      <c r="E135" s="339"/>
      <c r="F135" s="339"/>
      <c r="G135" s="339"/>
      <c r="H135" s="339"/>
      <c r="I135" s="339"/>
      <c r="J135" s="339"/>
      <c r="K135" s="339"/>
      <c r="L135" s="339"/>
      <c r="M135" s="339"/>
      <c r="N135" s="339"/>
      <c r="O135" s="339"/>
      <c r="P135" s="339"/>
      <c r="Q135" s="339"/>
      <c r="R135" s="339"/>
      <c r="S135" s="339"/>
      <c r="T135" s="339"/>
      <c r="U135" s="339"/>
      <c r="V135" s="339"/>
      <c r="W135" s="339"/>
      <c r="X135" s="339"/>
      <c r="Y135" s="339"/>
      <c r="Z135" s="339"/>
      <c r="AA135" s="325"/>
      <c r="AB135" s="325"/>
      <c r="AC135" s="325"/>
    </row>
    <row r="136" spans="1:68" ht="14.25" customHeight="1" x14ac:dyDescent="0.25">
      <c r="A136" s="338" t="s">
        <v>138</v>
      </c>
      <c r="B136" s="339"/>
      <c r="C136" s="339"/>
      <c r="D136" s="339"/>
      <c r="E136" s="339"/>
      <c r="F136" s="339"/>
      <c r="G136" s="339"/>
      <c r="H136" s="339"/>
      <c r="I136" s="339"/>
      <c r="J136" s="339"/>
      <c r="K136" s="339"/>
      <c r="L136" s="339"/>
      <c r="M136" s="339"/>
      <c r="N136" s="339"/>
      <c r="O136" s="339"/>
      <c r="P136" s="339"/>
      <c r="Q136" s="339"/>
      <c r="R136" s="339"/>
      <c r="S136" s="339"/>
      <c r="T136" s="339"/>
      <c r="U136" s="339"/>
      <c r="V136" s="339"/>
      <c r="W136" s="339"/>
      <c r="X136" s="339"/>
      <c r="Y136" s="339"/>
      <c r="Z136" s="339"/>
      <c r="AA136" s="326"/>
      <c r="AB136" s="326"/>
      <c r="AC136" s="326"/>
    </row>
    <row r="137" spans="1:68" ht="27" customHeight="1" x14ac:dyDescent="0.25">
      <c r="A137" s="54" t="s">
        <v>232</v>
      </c>
      <c r="B137" s="54" t="s">
        <v>233</v>
      </c>
      <c r="C137" s="31">
        <v>4301135275</v>
      </c>
      <c r="D137" s="340">
        <v>4607111034380</v>
      </c>
      <c r="E137" s="341"/>
      <c r="F137" s="329">
        <v>0.25</v>
      </c>
      <c r="G137" s="32">
        <v>12</v>
      </c>
      <c r="H137" s="329">
        <v>3</v>
      </c>
      <c r="I137" s="329">
        <v>3.28</v>
      </c>
      <c r="J137" s="32">
        <v>70</v>
      </c>
      <c r="K137" s="32" t="s">
        <v>78</v>
      </c>
      <c r="L137" s="32" t="s">
        <v>66</v>
      </c>
      <c r="M137" s="33" t="s">
        <v>67</v>
      </c>
      <c r="N137" s="33"/>
      <c r="O137" s="32">
        <v>180</v>
      </c>
      <c r="P137" s="428" t="str">
        <f>HYPERLINK("https://abi.ru/products/Замороженные/Горячая штучка/Круггетсы/Снеки/P004095/","«Круггетсы с сырным соусом» Фикс.вес 0,25 ф/п ТМ «Горячая штучка»")</f>
        <v>«Круггетсы с сырным соусом» Фикс.вес 0,25 ф/п ТМ «Горячая штучка»</v>
      </c>
      <c r="Q137" s="335"/>
      <c r="R137" s="335"/>
      <c r="S137" s="335"/>
      <c r="T137" s="336"/>
      <c r="U137" s="34"/>
      <c r="V137" s="34"/>
      <c r="W137" s="35" t="s">
        <v>68</v>
      </c>
      <c r="X137" s="330">
        <v>28</v>
      </c>
      <c r="Y137" s="331">
        <f>IFERROR(IF(X137="","",X137),"")</f>
        <v>28</v>
      </c>
      <c r="Z137" s="36">
        <f>IFERROR(IF(X137="","",X137*0.01788),"")</f>
        <v>0.50063999999999997</v>
      </c>
      <c r="AA137" s="56"/>
      <c r="AB137" s="57"/>
      <c r="AC137" s="166" t="s">
        <v>234</v>
      </c>
      <c r="AG137" s="67"/>
      <c r="AJ137" s="71" t="s">
        <v>70</v>
      </c>
      <c r="AK137" s="71">
        <v>1</v>
      </c>
      <c r="BB137" s="167" t="s">
        <v>81</v>
      </c>
      <c r="BM137" s="67">
        <f>IFERROR(X137*I137,"0")</f>
        <v>91.839999999999989</v>
      </c>
      <c r="BN137" s="67">
        <f>IFERROR(Y137*I137,"0")</f>
        <v>91.839999999999989</v>
      </c>
      <c r="BO137" s="67">
        <f>IFERROR(X137/J137,"0")</f>
        <v>0.4</v>
      </c>
      <c r="BP137" s="67">
        <f>IFERROR(Y137/J137,"0")</f>
        <v>0.4</v>
      </c>
    </row>
    <row r="138" spans="1:68" ht="27" customHeight="1" x14ac:dyDescent="0.25">
      <c r="A138" s="54" t="s">
        <v>235</v>
      </c>
      <c r="B138" s="54" t="s">
        <v>236</v>
      </c>
      <c r="C138" s="31">
        <v>4301135277</v>
      </c>
      <c r="D138" s="340">
        <v>4607111034397</v>
      </c>
      <c r="E138" s="341"/>
      <c r="F138" s="329">
        <v>0.25</v>
      </c>
      <c r="G138" s="32">
        <v>12</v>
      </c>
      <c r="H138" s="329">
        <v>3</v>
      </c>
      <c r="I138" s="329">
        <v>3.28</v>
      </c>
      <c r="J138" s="32">
        <v>70</v>
      </c>
      <c r="K138" s="32" t="s">
        <v>78</v>
      </c>
      <c r="L138" s="32" t="s">
        <v>66</v>
      </c>
      <c r="M138" s="33" t="s">
        <v>67</v>
      </c>
      <c r="N138" s="33"/>
      <c r="O138" s="32">
        <v>180</v>
      </c>
      <c r="P138" s="446" t="str">
        <f>HYPERLINK("https://abi.ru/products/Замороженные/Горячая штучка/Круггетсы/Снеки/P004097/","Снеки «Круггетсы Сочные» Фикс.вес 0,25 ф/п ТМ «Горячая штучка»")</f>
        <v>Снеки «Круггетсы Сочные» Фикс.вес 0,25 ф/п ТМ «Горячая штучка»</v>
      </c>
      <c r="Q138" s="335"/>
      <c r="R138" s="335"/>
      <c r="S138" s="335"/>
      <c r="T138" s="336"/>
      <c r="U138" s="34"/>
      <c r="V138" s="34"/>
      <c r="W138" s="35" t="s">
        <v>68</v>
      </c>
      <c r="X138" s="330">
        <v>28</v>
      </c>
      <c r="Y138" s="331">
        <f>IFERROR(IF(X138="","",X138),"")</f>
        <v>28</v>
      </c>
      <c r="Z138" s="36">
        <f>IFERROR(IF(X138="","",X138*0.01788),"")</f>
        <v>0.50063999999999997</v>
      </c>
      <c r="AA138" s="56"/>
      <c r="AB138" s="57"/>
      <c r="AC138" s="168" t="s">
        <v>221</v>
      </c>
      <c r="AG138" s="67"/>
      <c r="AJ138" s="71" t="s">
        <v>70</v>
      </c>
      <c r="AK138" s="71">
        <v>1</v>
      </c>
      <c r="BB138" s="169" t="s">
        <v>81</v>
      </c>
      <c r="BM138" s="67">
        <f>IFERROR(X138*I138,"0")</f>
        <v>91.839999999999989</v>
      </c>
      <c r="BN138" s="67">
        <f>IFERROR(Y138*I138,"0")</f>
        <v>91.839999999999989</v>
      </c>
      <c r="BO138" s="67">
        <f>IFERROR(X138/J138,"0")</f>
        <v>0.4</v>
      </c>
      <c r="BP138" s="67">
        <f>IFERROR(Y138/J138,"0")</f>
        <v>0.4</v>
      </c>
    </row>
    <row r="139" spans="1:68" x14ac:dyDescent="0.2">
      <c r="A139" s="350"/>
      <c r="B139" s="339"/>
      <c r="C139" s="339"/>
      <c r="D139" s="339"/>
      <c r="E139" s="339"/>
      <c r="F139" s="339"/>
      <c r="G139" s="339"/>
      <c r="H139" s="339"/>
      <c r="I139" s="339"/>
      <c r="J139" s="339"/>
      <c r="K139" s="339"/>
      <c r="L139" s="339"/>
      <c r="M139" s="339"/>
      <c r="N139" s="339"/>
      <c r="O139" s="351"/>
      <c r="P139" s="344" t="s">
        <v>71</v>
      </c>
      <c r="Q139" s="345"/>
      <c r="R139" s="345"/>
      <c r="S139" s="345"/>
      <c r="T139" s="345"/>
      <c r="U139" s="345"/>
      <c r="V139" s="346"/>
      <c r="W139" s="37" t="s">
        <v>68</v>
      </c>
      <c r="X139" s="332">
        <f>IFERROR(SUM(X137:X138),"0")</f>
        <v>56</v>
      </c>
      <c r="Y139" s="332">
        <f>IFERROR(SUM(Y137:Y138),"0")</f>
        <v>56</v>
      </c>
      <c r="Z139" s="332">
        <f>IFERROR(IF(Z137="",0,Z137),"0")+IFERROR(IF(Z138="",0,Z138),"0")</f>
        <v>1.0012799999999999</v>
      </c>
      <c r="AA139" s="333"/>
      <c r="AB139" s="333"/>
      <c r="AC139" s="333"/>
    </row>
    <row r="140" spans="1:68" x14ac:dyDescent="0.2">
      <c r="A140" s="339"/>
      <c r="B140" s="339"/>
      <c r="C140" s="339"/>
      <c r="D140" s="339"/>
      <c r="E140" s="339"/>
      <c r="F140" s="339"/>
      <c r="G140" s="339"/>
      <c r="H140" s="339"/>
      <c r="I140" s="339"/>
      <c r="J140" s="339"/>
      <c r="K140" s="339"/>
      <c r="L140" s="339"/>
      <c r="M140" s="339"/>
      <c r="N140" s="339"/>
      <c r="O140" s="351"/>
      <c r="P140" s="344" t="s">
        <v>71</v>
      </c>
      <c r="Q140" s="345"/>
      <c r="R140" s="345"/>
      <c r="S140" s="345"/>
      <c r="T140" s="345"/>
      <c r="U140" s="345"/>
      <c r="V140" s="346"/>
      <c r="W140" s="37" t="s">
        <v>72</v>
      </c>
      <c r="X140" s="332">
        <f>IFERROR(SUMPRODUCT(X137:X138*H137:H138),"0")</f>
        <v>168</v>
      </c>
      <c r="Y140" s="332">
        <f>IFERROR(SUMPRODUCT(Y137:Y138*H137:H138),"0")</f>
        <v>168</v>
      </c>
      <c r="Z140" s="37"/>
      <c r="AA140" s="333"/>
      <c r="AB140" s="333"/>
      <c r="AC140" s="333"/>
    </row>
    <row r="141" spans="1:68" ht="16.5" customHeight="1" x14ac:dyDescent="0.25">
      <c r="A141" s="364" t="s">
        <v>237</v>
      </c>
      <c r="B141" s="339"/>
      <c r="C141" s="339"/>
      <c r="D141" s="339"/>
      <c r="E141" s="339"/>
      <c r="F141" s="339"/>
      <c r="G141" s="339"/>
      <c r="H141" s="339"/>
      <c r="I141" s="339"/>
      <c r="J141" s="339"/>
      <c r="K141" s="339"/>
      <c r="L141" s="339"/>
      <c r="M141" s="339"/>
      <c r="N141" s="339"/>
      <c r="O141" s="339"/>
      <c r="P141" s="339"/>
      <c r="Q141" s="339"/>
      <c r="R141" s="339"/>
      <c r="S141" s="339"/>
      <c r="T141" s="339"/>
      <c r="U141" s="339"/>
      <c r="V141" s="339"/>
      <c r="W141" s="339"/>
      <c r="X141" s="339"/>
      <c r="Y141" s="339"/>
      <c r="Z141" s="339"/>
      <c r="AA141" s="325"/>
      <c r="AB141" s="325"/>
      <c r="AC141" s="325"/>
    </row>
    <row r="142" spans="1:68" ht="14.25" customHeight="1" x14ac:dyDescent="0.25">
      <c r="A142" s="338" t="s">
        <v>138</v>
      </c>
      <c r="B142" s="339"/>
      <c r="C142" s="339"/>
      <c r="D142" s="339"/>
      <c r="E142" s="339"/>
      <c r="F142" s="339"/>
      <c r="G142" s="339"/>
      <c r="H142" s="339"/>
      <c r="I142" s="339"/>
      <c r="J142" s="339"/>
      <c r="K142" s="339"/>
      <c r="L142" s="339"/>
      <c r="M142" s="339"/>
      <c r="N142" s="339"/>
      <c r="O142" s="339"/>
      <c r="P142" s="339"/>
      <c r="Q142" s="339"/>
      <c r="R142" s="339"/>
      <c r="S142" s="339"/>
      <c r="T142" s="339"/>
      <c r="U142" s="339"/>
      <c r="V142" s="339"/>
      <c r="W142" s="339"/>
      <c r="X142" s="339"/>
      <c r="Y142" s="339"/>
      <c r="Z142" s="339"/>
      <c r="AA142" s="326"/>
      <c r="AB142" s="326"/>
      <c r="AC142" s="326"/>
    </row>
    <row r="143" spans="1:68" ht="27" customHeight="1" x14ac:dyDescent="0.25">
      <c r="A143" s="54" t="s">
        <v>238</v>
      </c>
      <c r="B143" s="54" t="s">
        <v>239</v>
      </c>
      <c r="C143" s="31">
        <v>4301135570</v>
      </c>
      <c r="D143" s="340">
        <v>4607111035806</v>
      </c>
      <c r="E143" s="341"/>
      <c r="F143" s="329">
        <v>0.25</v>
      </c>
      <c r="G143" s="32">
        <v>12</v>
      </c>
      <c r="H143" s="329">
        <v>3</v>
      </c>
      <c r="I143" s="329">
        <v>3.7035999999999998</v>
      </c>
      <c r="J143" s="32">
        <v>70</v>
      </c>
      <c r="K143" s="32" t="s">
        <v>78</v>
      </c>
      <c r="L143" s="32" t="s">
        <v>66</v>
      </c>
      <c r="M143" s="33" t="s">
        <v>67</v>
      </c>
      <c r="N143" s="33"/>
      <c r="O143" s="32">
        <v>180</v>
      </c>
      <c r="P143" s="472" t="s">
        <v>240</v>
      </c>
      <c r="Q143" s="335"/>
      <c r="R143" s="335"/>
      <c r="S143" s="335"/>
      <c r="T143" s="336"/>
      <c r="U143" s="34"/>
      <c r="V143" s="34"/>
      <c r="W143" s="35" t="s">
        <v>68</v>
      </c>
      <c r="X143" s="330">
        <v>0</v>
      </c>
      <c r="Y143" s="331">
        <f>IFERROR(IF(X143="","",X143),"")</f>
        <v>0</v>
      </c>
      <c r="Z143" s="36">
        <f>IFERROR(IF(X143="","",X143*0.01788),"")</f>
        <v>0</v>
      </c>
      <c r="AA143" s="56"/>
      <c r="AB143" s="57"/>
      <c r="AC143" s="170" t="s">
        <v>241</v>
      </c>
      <c r="AG143" s="67"/>
      <c r="AJ143" s="71" t="s">
        <v>70</v>
      </c>
      <c r="AK143" s="71">
        <v>1</v>
      </c>
      <c r="BB143" s="171" t="s">
        <v>81</v>
      </c>
      <c r="BM143" s="67">
        <f>IFERROR(X143*I143,"0")</f>
        <v>0</v>
      </c>
      <c r="BN143" s="67">
        <f>IFERROR(Y143*I143,"0")</f>
        <v>0</v>
      </c>
      <c r="BO143" s="67">
        <f>IFERROR(X143/J143,"0")</f>
        <v>0</v>
      </c>
      <c r="BP143" s="67">
        <f>IFERROR(Y143/J143,"0")</f>
        <v>0</v>
      </c>
    </row>
    <row r="144" spans="1:68" x14ac:dyDescent="0.2">
      <c r="A144" s="350"/>
      <c r="B144" s="339"/>
      <c r="C144" s="339"/>
      <c r="D144" s="339"/>
      <c r="E144" s="339"/>
      <c r="F144" s="339"/>
      <c r="G144" s="339"/>
      <c r="H144" s="339"/>
      <c r="I144" s="339"/>
      <c r="J144" s="339"/>
      <c r="K144" s="339"/>
      <c r="L144" s="339"/>
      <c r="M144" s="339"/>
      <c r="N144" s="339"/>
      <c r="O144" s="351"/>
      <c r="P144" s="344" t="s">
        <v>71</v>
      </c>
      <c r="Q144" s="345"/>
      <c r="R144" s="345"/>
      <c r="S144" s="345"/>
      <c r="T144" s="345"/>
      <c r="U144" s="345"/>
      <c r="V144" s="346"/>
      <c r="W144" s="37" t="s">
        <v>68</v>
      </c>
      <c r="X144" s="332">
        <f>IFERROR(SUM(X143:X143),"0")</f>
        <v>0</v>
      </c>
      <c r="Y144" s="332">
        <f>IFERROR(SUM(Y143:Y143),"0")</f>
        <v>0</v>
      </c>
      <c r="Z144" s="332">
        <f>IFERROR(IF(Z143="",0,Z143),"0")</f>
        <v>0</v>
      </c>
      <c r="AA144" s="333"/>
      <c r="AB144" s="333"/>
      <c r="AC144" s="333"/>
    </row>
    <row r="145" spans="1:68" x14ac:dyDescent="0.2">
      <c r="A145" s="339"/>
      <c r="B145" s="339"/>
      <c r="C145" s="339"/>
      <c r="D145" s="339"/>
      <c r="E145" s="339"/>
      <c r="F145" s="339"/>
      <c r="G145" s="339"/>
      <c r="H145" s="339"/>
      <c r="I145" s="339"/>
      <c r="J145" s="339"/>
      <c r="K145" s="339"/>
      <c r="L145" s="339"/>
      <c r="M145" s="339"/>
      <c r="N145" s="339"/>
      <c r="O145" s="351"/>
      <c r="P145" s="344" t="s">
        <v>71</v>
      </c>
      <c r="Q145" s="345"/>
      <c r="R145" s="345"/>
      <c r="S145" s="345"/>
      <c r="T145" s="345"/>
      <c r="U145" s="345"/>
      <c r="V145" s="346"/>
      <c r="W145" s="37" t="s">
        <v>72</v>
      </c>
      <c r="X145" s="332">
        <f>IFERROR(SUMPRODUCT(X143:X143*H143:H143),"0")</f>
        <v>0</v>
      </c>
      <c r="Y145" s="332">
        <f>IFERROR(SUMPRODUCT(Y143:Y143*H143:H143),"0")</f>
        <v>0</v>
      </c>
      <c r="Z145" s="37"/>
      <c r="AA145" s="333"/>
      <c r="AB145" s="333"/>
      <c r="AC145" s="333"/>
    </row>
    <row r="146" spans="1:68" ht="16.5" customHeight="1" x14ac:dyDescent="0.25">
      <c r="A146" s="364" t="s">
        <v>242</v>
      </c>
      <c r="B146" s="339"/>
      <c r="C146" s="339"/>
      <c r="D146" s="339"/>
      <c r="E146" s="339"/>
      <c r="F146" s="339"/>
      <c r="G146" s="339"/>
      <c r="H146" s="339"/>
      <c r="I146" s="339"/>
      <c r="J146" s="339"/>
      <c r="K146" s="339"/>
      <c r="L146" s="339"/>
      <c r="M146" s="339"/>
      <c r="N146" s="339"/>
      <c r="O146" s="339"/>
      <c r="P146" s="339"/>
      <c r="Q146" s="339"/>
      <c r="R146" s="339"/>
      <c r="S146" s="339"/>
      <c r="T146" s="339"/>
      <c r="U146" s="339"/>
      <c r="V146" s="339"/>
      <c r="W146" s="339"/>
      <c r="X146" s="339"/>
      <c r="Y146" s="339"/>
      <c r="Z146" s="339"/>
      <c r="AA146" s="325"/>
      <c r="AB146" s="325"/>
      <c r="AC146" s="325"/>
    </row>
    <row r="147" spans="1:68" ht="14.25" customHeight="1" x14ac:dyDescent="0.25">
      <c r="A147" s="338" t="s">
        <v>138</v>
      </c>
      <c r="B147" s="339"/>
      <c r="C147" s="339"/>
      <c r="D147" s="339"/>
      <c r="E147" s="339"/>
      <c r="F147" s="339"/>
      <c r="G147" s="339"/>
      <c r="H147" s="339"/>
      <c r="I147" s="339"/>
      <c r="J147" s="339"/>
      <c r="K147" s="339"/>
      <c r="L147" s="339"/>
      <c r="M147" s="339"/>
      <c r="N147" s="339"/>
      <c r="O147" s="339"/>
      <c r="P147" s="339"/>
      <c r="Q147" s="339"/>
      <c r="R147" s="339"/>
      <c r="S147" s="339"/>
      <c r="T147" s="339"/>
      <c r="U147" s="339"/>
      <c r="V147" s="339"/>
      <c r="W147" s="339"/>
      <c r="X147" s="339"/>
      <c r="Y147" s="339"/>
      <c r="Z147" s="339"/>
      <c r="AA147" s="326"/>
      <c r="AB147" s="326"/>
      <c r="AC147" s="326"/>
    </row>
    <row r="148" spans="1:68" ht="16.5" customHeight="1" x14ac:dyDescent="0.25">
      <c r="A148" s="54" t="s">
        <v>243</v>
      </c>
      <c r="B148" s="54" t="s">
        <v>244</v>
      </c>
      <c r="C148" s="31">
        <v>4301135596</v>
      </c>
      <c r="D148" s="340">
        <v>4607111039613</v>
      </c>
      <c r="E148" s="341"/>
      <c r="F148" s="329">
        <v>0.09</v>
      </c>
      <c r="G148" s="32">
        <v>30</v>
      </c>
      <c r="H148" s="329">
        <v>2.7</v>
      </c>
      <c r="I148" s="329">
        <v>3.09</v>
      </c>
      <c r="J148" s="32">
        <v>126</v>
      </c>
      <c r="K148" s="32" t="s">
        <v>78</v>
      </c>
      <c r="L148" s="32" t="s">
        <v>66</v>
      </c>
      <c r="M148" s="33" t="s">
        <v>67</v>
      </c>
      <c r="N148" s="33"/>
      <c r="O148" s="32">
        <v>180</v>
      </c>
      <c r="P148" s="396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48" s="335"/>
      <c r="R148" s="335"/>
      <c r="S148" s="335"/>
      <c r="T148" s="336"/>
      <c r="U148" s="34"/>
      <c r="V148" s="34"/>
      <c r="W148" s="35" t="s">
        <v>68</v>
      </c>
      <c r="X148" s="330">
        <v>14</v>
      </c>
      <c r="Y148" s="331">
        <f>IFERROR(IF(X148="","",X148),"")</f>
        <v>14</v>
      </c>
      <c r="Z148" s="36">
        <f>IFERROR(IF(X148="","",X148*0.00936),"")</f>
        <v>0.13103999999999999</v>
      </c>
      <c r="AA148" s="56"/>
      <c r="AB148" s="57"/>
      <c r="AC148" s="172" t="s">
        <v>227</v>
      </c>
      <c r="AG148" s="67"/>
      <c r="AJ148" s="71" t="s">
        <v>70</v>
      </c>
      <c r="AK148" s="71">
        <v>1</v>
      </c>
      <c r="BB148" s="173" t="s">
        <v>81</v>
      </c>
      <c r="BM148" s="67">
        <f>IFERROR(X148*I148,"0")</f>
        <v>43.26</v>
      </c>
      <c r="BN148" s="67">
        <f>IFERROR(Y148*I148,"0")</f>
        <v>43.26</v>
      </c>
      <c r="BO148" s="67">
        <f>IFERROR(X148/J148,"0")</f>
        <v>0.1111111111111111</v>
      </c>
      <c r="BP148" s="67">
        <f>IFERROR(Y148/J148,"0")</f>
        <v>0.1111111111111111</v>
      </c>
    </row>
    <row r="149" spans="1:68" x14ac:dyDescent="0.2">
      <c r="A149" s="350"/>
      <c r="B149" s="339"/>
      <c r="C149" s="339"/>
      <c r="D149" s="339"/>
      <c r="E149" s="339"/>
      <c r="F149" s="339"/>
      <c r="G149" s="339"/>
      <c r="H149" s="339"/>
      <c r="I149" s="339"/>
      <c r="J149" s="339"/>
      <c r="K149" s="339"/>
      <c r="L149" s="339"/>
      <c r="M149" s="339"/>
      <c r="N149" s="339"/>
      <c r="O149" s="351"/>
      <c r="P149" s="344" t="s">
        <v>71</v>
      </c>
      <c r="Q149" s="345"/>
      <c r="R149" s="345"/>
      <c r="S149" s="345"/>
      <c r="T149" s="345"/>
      <c r="U149" s="345"/>
      <c r="V149" s="346"/>
      <c r="W149" s="37" t="s">
        <v>68</v>
      </c>
      <c r="X149" s="332">
        <f>IFERROR(SUM(X148:X148),"0")</f>
        <v>14</v>
      </c>
      <c r="Y149" s="332">
        <f>IFERROR(SUM(Y148:Y148),"0")</f>
        <v>14</v>
      </c>
      <c r="Z149" s="332">
        <f>IFERROR(IF(Z148="",0,Z148),"0")</f>
        <v>0.13103999999999999</v>
      </c>
      <c r="AA149" s="333"/>
      <c r="AB149" s="333"/>
      <c r="AC149" s="333"/>
    </row>
    <row r="150" spans="1:68" x14ac:dyDescent="0.2">
      <c r="A150" s="339"/>
      <c r="B150" s="339"/>
      <c r="C150" s="339"/>
      <c r="D150" s="339"/>
      <c r="E150" s="339"/>
      <c r="F150" s="339"/>
      <c r="G150" s="339"/>
      <c r="H150" s="339"/>
      <c r="I150" s="339"/>
      <c r="J150" s="339"/>
      <c r="K150" s="339"/>
      <c r="L150" s="339"/>
      <c r="M150" s="339"/>
      <c r="N150" s="339"/>
      <c r="O150" s="351"/>
      <c r="P150" s="344" t="s">
        <v>71</v>
      </c>
      <c r="Q150" s="345"/>
      <c r="R150" s="345"/>
      <c r="S150" s="345"/>
      <c r="T150" s="345"/>
      <c r="U150" s="345"/>
      <c r="V150" s="346"/>
      <c r="W150" s="37" t="s">
        <v>72</v>
      </c>
      <c r="X150" s="332">
        <f>IFERROR(SUMPRODUCT(X148:X148*H148:H148),"0")</f>
        <v>37.800000000000004</v>
      </c>
      <c r="Y150" s="332">
        <f>IFERROR(SUMPRODUCT(Y148:Y148*H148:H148),"0")</f>
        <v>37.800000000000004</v>
      </c>
      <c r="Z150" s="37"/>
      <c r="AA150" s="333"/>
      <c r="AB150" s="333"/>
      <c r="AC150" s="333"/>
    </row>
    <row r="151" spans="1:68" ht="16.5" customHeight="1" x14ac:dyDescent="0.25">
      <c r="A151" s="364" t="s">
        <v>245</v>
      </c>
      <c r="B151" s="339"/>
      <c r="C151" s="339"/>
      <c r="D151" s="339"/>
      <c r="E151" s="339"/>
      <c r="F151" s="339"/>
      <c r="G151" s="339"/>
      <c r="H151" s="339"/>
      <c r="I151" s="339"/>
      <c r="J151" s="339"/>
      <c r="K151" s="339"/>
      <c r="L151" s="339"/>
      <c r="M151" s="339"/>
      <c r="N151" s="339"/>
      <c r="O151" s="339"/>
      <c r="P151" s="339"/>
      <c r="Q151" s="339"/>
      <c r="R151" s="339"/>
      <c r="S151" s="339"/>
      <c r="T151" s="339"/>
      <c r="U151" s="339"/>
      <c r="V151" s="339"/>
      <c r="W151" s="339"/>
      <c r="X151" s="339"/>
      <c r="Y151" s="339"/>
      <c r="Z151" s="339"/>
      <c r="AA151" s="325"/>
      <c r="AB151" s="325"/>
      <c r="AC151" s="325"/>
    </row>
    <row r="152" spans="1:68" ht="14.25" customHeight="1" x14ac:dyDescent="0.25">
      <c r="A152" s="338" t="s">
        <v>246</v>
      </c>
      <c r="B152" s="339"/>
      <c r="C152" s="339"/>
      <c r="D152" s="339"/>
      <c r="E152" s="339"/>
      <c r="F152" s="339"/>
      <c r="G152" s="339"/>
      <c r="H152" s="339"/>
      <c r="I152" s="339"/>
      <c r="J152" s="339"/>
      <c r="K152" s="339"/>
      <c r="L152" s="339"/>
      <c r="M152" s="339"/>
      <c r="N152" s="339"/>
      <c r="O152" s="339"/>
      <c r="P152" s="339"/>
      <c r="Q152" s="339"/>
      <c r="R152" s="339"/>
      <c r="S152" s="339"/>
      <c r="T152" s="339"/>
      <c r="U152" s="339"/>
      <c r="V152" s="339"/>
      <c r="W152" s="339"/>
      <c r="X152" s="339"/>
      <c r="Y152" s="339"/>
      <c r="Z152" s="339"/>
      <c r="AA152" s="326"/>
      <c r="AB152" s="326"/>
      <c r="AC152" s="326"/>
    </row>
    <row r="153" spans="1:68" ht="27" customHeight="1" x14ac:dyDescent="0.25">
      <c r="A153" s="54" t="s">
        <v>247</v>
      </c>
      <c r="B153" s="54" t="s">
        <v>248</v>
      </c>
      <c r="C153" s="31">
        <v>4301071054</v>
      </c>
      <c r="D153" s="340">
        <v>4607111035639</v>
      </c>
      <c r="E153" s="341"/>
      <c r="F153" s="329">
        <v>0.2</v>
      </c>
      <c r="G153" s="32">
        <v>8</v>
      </c>
      <c r="H153" s="329">
        <v>1.6</v>
      </c>
      <c r="I153" s="329">
        <v>2.12</v>
      </c>
      <c r="J153" s="32">
        <v>72</v>
      </c>
      <c r="K153" s="32" t="s">
        <v>249</v>
      </c>
      <c r="L153" s="32" t="s">
        <v>66</v>
      </c>
      <c r="M153" s="33" t="s">
        <v>67</v>
      </c>
      <c r="N153" s="33"/>
      <c r="O153" s="32">
        <v>180</v>
      </c>
      <c r="P153" s="462" t="str">
        <f>HYPERLINK("https://abi.ru/products/Замороженные/Горячая штучка/Супермени/Пельмени ПГП/P004522/","Пельмени ПГП «Супермени с мясом» 0,2 Сфера ТМ «Горячая штучка»")</f>
        <v>Пельмени ПГП «Супермени с мясом» 0,2 Сфера ТМ «Горячая штучка»</v>
      </c>
      <c r="Q153" s="335"/>
      <c r="R153" s="335"/>
      <c r="S153" s="335"/>
      <c r="T153" s="336"/>
      <c r="U153" s="34"/>
      <c r="V153" s="34"/>
      <c r="W153" s="35" t="s">
        <v>68</v>
      </c>
      <c r="X153" s="330">
        <v>0</v>
      </c>
      <c r="Y153" s="331">
        <f>IFERROR(IF(X153="","",X153),"")</f>
        <v>0</v>
      </c>
      <c r="Z153" s="36">
        <f>IFERROR(IF(X153="","",X153*0.01157),"")</f>
        <v>0</v>
      </c>
      <c r="AA153" s="56"/>
      <c r="AB153" s="57"/>
      <c r="AC153" s="174" t="s">
        <v>250</v>
      </c>
      <c r="AG153" s="67"/>
      <c r="AJ153" s="71" t="s">
        <v>70</v>
      </c>
      <c r="AK153" s="71">
        <v>1</v>
      </c>
      <c r="BB153" s="175" t="s">
        <v>81</v>
      </c>
      <c r="BM153" s="67">
        <f>IFERROR(X153*I153,"0")</f>
        <v>0</v>
      </c>
      <c r="BN153" s="67">
        <f>IFERROR(Y153*I153,"0")</f>
        <v>0</v>
      </c>
      <c r="BO153" s="67">
        <f>IFERROR(X153/J153,"0")</f>
        <v>0</v>
      </c>
      <c r="BP153" s="67">
        <f>IFERROR(Y153/J153,"0")</f>
        <v>0</v>
      </c>
    </row>
    <row r="154" spans="1:68" ht="27" customHeight="1" x14ac:dyDescent="0.25">
      <c r="A154" s="54" t="s">
        <v>251</v>
      </c>
      <c r="B154" s="54" t="s">
        <v>252</v>
      </c>
      <c r="C154" s="31">
        <v>4301135540</v>
      </c>
      <c r="D154" s="340">
        <v>4607111035646</v>
      </c>
      <c r="E154" s="341"/>
      <c r="F154" s="329">
        <v>0.2</v>
      </c>
      <c r="G154" s="32">
        <v>8</v>
      </c>
      <c r="H154" s="329">
        <v>1.6</v>
      </c>
      <c r="I154" s="329">
        <v>2.12</v>
      </c>
      <c r="J154" s="32">
        <v>72</v>
      </c>
      <c r="K154" s="32" t="s">
        <v>249</v>
      </c>
      <c r="L154" s="32" t="s">
        <v>66</v>
      </c>
      <c r="M154" s="33" t="s">
        <v>67</v>
      </c>
      <c r="N154" s="33"/>
      <c r="O154" s="32">
        <v>180</v>
      </c>
      <c r="P154" s="478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54" s="335"/>
      <c r="R154" s="335"/>
      <c r="S154" s="335"/>
      <c r="T154" s="336"/>
      <c r="U154" s="34"/>
      <c r="V154" s="34"/>
      <c r="W154" s="35" t="s">
        <v>68</v>
      </c>
      <c r="X154" s="330">
        <v>0</v>
      </c>
      <c r="Y154" s="331">
        <f>IFERROR(IF(X154="","",X154),"")</f>
        <v>0</v>
      </c>
      <c r="Z154" s="36">
        <f>IFERROR(IF(X154="","",X154*0.01157),"")</f>
        <v>0</v>
      </c>
      <c r="AA154" s="56"/>
      <c r="AB154" s="57"/>
      <c r="AC154" s="176" t="s">
        <v>250</v>
      </c>
      <c r="AG154" s="67"/>
      <c r="AJ154" s="71" t="s">
        <v>70</v>
      </c>
      <c r="AK154" s="71">
        <v>1</v>
      </c>
      <c r="BB154" s="177" t="s">
        <v>81</v>
      </c>
      <c r="BM154" s="67">
        <f>IFERROR(X154*I154,"0")</f>
        <v>0</v>
      </c>
      <c r="BN154" s="67">
        <f>IFERROR(Y154*I154,"0")</f>
        <v>0</v>
      </c>
      <c r="BO154" s="67">
        <f>IFERROR(X154/J154,"0")</f>
        <v>0</v>
      </c>
      <c r="BP154" s="67">
        <f>IFERROR(Y154/J154,"0")</f>
        <v>0</v>
      </c>
    </row>
    <row r="155" spans="1:68" x14ac:dyDescent="0.2">
      <c r="A155" s="350"/>
      <c r="B155" s="339"/>
      <c r="C155" s="339"/>
      <c r="D155" s="339"/>
      <c r="E155" s="339"/>
      <c r="F155" s="339"/>
      <c r="G155" s="339"/>
      <c r="H155" s="339"/>
      <c r="I155" s="339"/>
      <c r="J155" s="339"/>
      <c r="K155" s="339"/>
      <c r="L155" s="339"/>
      <c r="M155" s="339"/>
      <c r="N155" s="339"/>
      <c r="O155" s="351"/>
      <c r="P155" s="344" t="s">
        <v>71</v>
      </c>
      <c r="Q155" s="345"/>
      <c r="R155" s="345"/>
      <c r="S155" s="345"/>
      <c r="T155" s="345"/>
      <c r="U155" s="345"/>
      <c r="V155" s="346"/>
      <c r="W155" s="37" t="s">
        <v>68</v>
      </c>
      <c r="X155" s="332">
        <f>IFERROR(SUM(X153:X154),"0")</f>
        <v>0</v>
      </c>
      <c r="Y155" s="332">
        <f>IFERROR(SUM(Y153:Y154),"0")</f>
        <v>0</v>
      </c>
      <c r="Z155" s="332">
        <f>IFERROR(IF(Z153="",0,Z153),"0")+IFERROR(IF(Z154="",0,Z154),"0")</f>
        <v>0</v>
      </c>
      <c r="AA155" s="333"/>
      <c r="AB155" s="333"/>
      <c r="AC155" s="333"/>
    </row>
    <row r="156" spans="1:68" x14ac:dyDescent="0.2">
      <c r="A156" s="339"/>
      <c r="B156" s="339"/>
      <c r="C156" s="339"/>
      <c r="D156" s="339"/>
      <c r="E156" s="339"/>
      <c r="F156" s="339"/>
      <c r="G156" s="339"/>
      <c r="H156" s="339"/>
      <c r="I156" s="339"/>
      <c r="J156" s="339"/>
      <c r="K156" s="339"/>
      <c r="L156" s="339"/>
      <c r="M156" s="339"/>
      <c r="N156" s="339"/>
      <c r="O156" s="351"/>
      <c r="P156" s="344" t="s">
        <v>71</v>
      </c>
      <c r="Q156" s="345"/>
      <c r="R156" s="345"/>
      <c r="S156" s="345"/>
      <c r="T156" s="345"/>
      <c r="U156" s="345"/>
      <c r="V156" s="346"/>
      <c r="W156" s="37" t="s">
        <v>72</v>
      </c>
      <c r="X156" s="332">
        <f>IFERROR(SUMPRODUCT(X153:X154*H153:H154),"0")</f>
        <v>0</v>
      </c>
      <c r="Y156" s="332">
        <f>IFERROR(SUMPRODUCT(Y153:Y154*H153:H154),"0")</f>
        <v>0</v>
      </c>
      <c r="Z156" s="37"/>
      <c r="AA156" s="333"/>
      <c r="AB156" s="333"/>
      <c r="AC156" s="333"/>
    </row>
    <row r="157" spans="1:68" ht="16.5" customHeight="1" x14ac:dyDescent="0.25">
      <c r="A157" s="364" t="s">
        <v>253</v>
      </c>
      <c r="B157" s="339"/>
      <c r="C157" s="339"/>
      <c r="D157" s="339"/>
      <c r="E157" s="339"/>
      <c r="F157" s="339"/>
      <c r="G157" s="339"/>
      <c r="H157" s="339"/>
      <c r="I157" s="339"/>
      <c r="J157" s="339"/>
      <c r="K157" s="339"/>
      <c r="L157" s="339"/>
      <c r="M157" s="339"/>
      <c r="N157" s="339"/>
      <c r="O157" s="339"/>
      <c r="P157" s="339"/>
      <c r="Q157" s="339"/>
      <c r="R157" s="339"/>
      <c r="S157" s="339"/>
      <c r="T157" s="339"/>
      <c r="U157" s="339"/>
      <c r="V157" s="339"/>
      <c r="W157" s="339"/>
      <c r="X157" s="339"/>
      <c r="Y157" s="339"/>
      <c r="Z157" s="339"/>
      <c r="AA157" s="325"/>
      <c r="AB157" s="325"/>
      <c r="AC157" s="325"/>
    </row>
    <row r="158" spans="1:68" ht="14.25" customHeight="1" x14ac:dyDescent="0.25">
      <c r="A158" s="338" t="s">
        <v>138</v>
      </c>
      <c r="B158" s="339"/>
      <c r="C158" s="339"/>
      <c r="D158" s="339"/>
      <c r="E158" s="339"/>
      <c r="F158" s="339"/>
      <c r="G158" s="339"/>
      <c r="H158" s="339"/>
      <c r="I158" s="339"/>
      <c r="J158" s="339"/>
      <c r="K158" s="339"/>
      <c r="L158" s="339"/>
      <c r="M158" s="339"/>
      <c r="N158" s="339"/>
      <c r="O158" s="339"/>
      <c r="P158" s="339"/>
      <c r="Q158" s="339"/>
      <c r="R158" s="339"/>
      <c r="S158" s="339"/>
      <c r="T158" s="339"/>
      <c r="U158" s="339"/>
      <c r="V158" s="339"/>
      <c r="W158" s="339"/>
      <c r="X158" s="339"/>
      <c r="Y158" s="339"/>
      <c r="Z158" s="339"/>
      <c r="AA158" s="326"/>
      <c r="AB158" s="326"/>
      <c r="AC158" s="326"/>
    </row>
    <row r="159" spans="1:68" ht="27" customHeight="1" x14ac:dyDescent="0.25">
      <c r="A159" s="54" t="s">
        <v>254</v>
      </c>
      <c r="B159" s="54" t="s">
        <v>255</v>
      </c>
      <c r="C159" s="31">
        <v>4301135281</v>
      </c>
      <c r="D159" s="340">
        <v>4607111036568</v>
      </c>
      <c r="E159" s="341"/>
      <c r="F159" s="329">
        <v>0.28000000000000003</v>
      </c>
      <c r="G159" s="32">
        <v>6</v>
      </c>
      <c r="H159" s="329">
        <v>1.68</v>
      </c>
      <c r="I159" s="329">
        <v>2.1017999999999999</v>
      </c>
      <c r="J159" s="32">
        <v>140</v>
      </c>
      <c r="K159" s="32" t="s">
        <v>78</v>
      </c>
      <c r="L159" s="32" t="s">
        <v>66</v>
      </c>
      <c r="M159" s="33" t="s">
        <v>67</v>
      </c>
      <c r="N159" s="33"/>
      <c r="O159" s="32">
        <v>180</v>
      </c>
      <c r="P159" s="476" t="str">
        <f>HYPERLINK("https://abi.ru/products/Замороженные/Горячая штучка/Чебуманы/Снеки/P004109/","Снеки Чебуманы с говядиной Чебуманы Фикс.вес 0,28 лоток Горячая штучка")</f>
        <v>Снеки Чебуманы с говядиной Чебуманы Фикс.вес 0,28 лоток Горячая штучка</v>
      </c>
      <c r="Q159" s="335"/>
      <c r="R159" s="335"/>
      <c r="S159" s="335"/>
      <c r="T159" s="336"/>
      <c r="U159" s="34"/>
      <c r="V159" s="34"/>
      <c r="W159" s="35" t="s">
        <v>68</v>
      </c>
      <c r="X159" s="330">
        <v>0</v>
      </c>
      <c r="Y159" s="331">
        <f>IFERROR(IF(X159="","",X159),"")</f>
        <v>0</v>
      </c>
      <c r="Z159" s="36">
        <f>IFERROR(IF(X159="","",X159*0.00941),"")</f>
        <v>0</v>
      </c>
      <c r="AA159" s="56"/>
      <c r="AB159" s="57"/>
      <c r="AC159" s="178" t="s">
        <v>256</v>
      </c>
      <c r="AG159" s="67"/>
      <c r="AJ159" s="71" t="s">
        <v>70</v>
      </c>
      <c r="AK159" s="71">
        <v>1</v>
      </c>
      <c r="BB159" s="179" t="s">
        <v>81</v>
      </c>
      <c r="BM159" s="67">
        <f>IFERROR(X159*I159,"0")</f>
        <v>0</v>
      </c>
      <c r="BN159" s="67">
        <f>IFERROR(Y159*I159,"0")</f>
        <v>0</v>
      </c>
      <c r="BO159" s="67">
        <f>IFERROR(X159/J159,"0")</f>
        <v>0</v>
      </c>
      <c r="BP159" s="67">
        <f>IFERROR(Y159/J159,"0")</f>
        <v>0</v>
      </c>
    </row>
    <row r="160" spans="1:68" x14ac:dyDescent="0.2">
      <c r="A160" s="350"/>
      <c r="B160" s="339"/>
      <c r="C160" s="339"/>
      <c r="D160" s="339"/>
      <c r="E160" s="339"/>
      <c r="F160" s="339"/>
      <c r="G160" s="339"/>
      <c r="H160" s="339"/>
      <c r="I160" s="339"/>
      <c r="J160" s="339"/>
      <c r="K160" s="339"/>
      <c r="L160" s="339"/>
      <c r="M160" s="339"/>
      <c r="N160" s="339"/>
      <c r="O160" s="351"/>
      <c r="P160" s="344" t="s">
        <v>71</v>
      </c>
      <c r="Q160" s="345"/>
      <c r="R160" s="345"/>
      <c r="S160" s="345"/>
      <c r="T160" s="345"/>
      <c r="U160" s="345"/>
      <c r="V160" s="346"/>
      <c r="W160" s="37" t="s">
        <v>68</v>
      </c>
      <c r="X160" s="332">
        <f>IFERROR(SUM(X159:X159),"0")</f>
        <v>0</v>
      </c>
      <c r="Y160" s="332">
        <f>IFERROR(SUM(Y159:Y159),"0")</f>
        <v>0</v>
      </c>
      <c r="Z160" s="332">
        <f>IFERROR(IF(Z159="",0,Z159),"0")</f>
        <v>0</v>
      </c>
      <c r="AA160" s="333"/>
      <c r="AB160" s="333"/>
      <c r="AC160" s="333"/>
    </row>
    <row r="161" spans="1:68" x14ac:dyDescent="0.2">
      <c r="A161" s="339"/>
      <c r="B161" s="339"/>
      <c r="C161" s="339"/>
      <c r="D161" s="339"/>
      <c r="E161" s="339"/>
      <c r="F161" s="339"/>
      <c r="G161" s="339"/>
      <c r="H161" s="339"/>
      <c r="I161" s="339"/>
      <c r="J161" s="339"/>
      <c r="K161" s="339"/>
      <c r="L161" s="339"/>
      <c r="M161" s="339"/>
      <c r="N161" s="339"/>
      <c r="O161" s="351"/>
      <c r="P161" s="344" t="s">
        <v>71</v>
      </c>
      <c r="Q161" s="345"/>
      <c r="R161" s="345"/>
      <c r="S161" s="345"/>
      <c r="T161" s="345"/>
      <c r="U161" s="345"/>
      <c r="V161" s="346"/>
      <c r="W161" s="37" t="s">
        <v>72</v>
      </c>
      <c r="X161" s="332">
        <f>IFERROR(SUMPRODUCT(X159:X159*H159:H159),"0")</f>
        <v>0</v>
      </c>
      <c r="Y161" s="332">
        <f>IFERROR(SUMPRODUCT(Y159:Y159*H159:H159),"0")</f>
        <v>0</v>
      </c>
      <c r="Z161" s="37"/>
      <c r="AA161" s="333"/>
      <c r="AB161" s="333"/>
      <c r="AC161" s="333"/>
    </row>
    <row r="162" spans="1:68" ht="27.75" customHeight="1" x14ac:dyDescent="0.2">
      <c r="A162" s="435" t="s">
        <v>257</v>
      </c>
      <c r="B162" s="436"/>
      <c r="C162" s="436"/>
      <c r="D162" s="436"/>
      <c r="E162" s="436"/>
      <c r="F162" s="436"/>
      <c r="G162" s="436"/>
      <c r="H162" s="436"/>
      <c r="I162" s="436"/>
      <c r="J162" s="436"/>
      <c r="K162" s="436"/>
      <c r="L162" s="436"/>
      <c r="M162" s="436"/>
      <c r="N162" s="436"/>
      <c r="O162" s="436"/>
      <c r="P162" s="436"/>
      <c r="Q162" s="436"/>
      <c r="R162" s="436"/>
      <c r="S162" s="436"/>
      <c r="T162" s="436"/>
      <c r="U162" s="436"/>
      <c r="V162" s="436"/>
      <c r="W162" s="436"/>
      <c r="X162" s="436"/>
      <c r="Y162" s="436"/>
      <c r="Z162" s="436"/>
      <c r="AA162" s="48"/>
      <c r="AB162" s="48"/>
      <c r="AC162" s="48"/>
    </row>
    <row r="163" spans="1:68" ht="16.5" customHeight="1" x14ac:dyDescent="0.25">
      <c r="A163" s="364" t="s">
        <v>258</v>
      </c>
      <c r="B163" s="339"/>
      <c r="C163" s="339"/>
      <c r="D163" s="339"/>
      <c r="E163" s="339"/>
      <c r="F163" s="339"/>
      <c r="G163" s="339"/>
      <c r="H163" s="339"/>
      <c r="I163" s="339"/>
      <c r="J163" s="339"/>
      <c r="K163" s="339"/>
      <c r="L163" s="339"/>
      <c r="M163" s="339"/>
      <c r="N163" s="339"/>
      <c r="O163" s="339"/>
      <c r="P163" s="339"/>
      <c r="Q163" s="339"/>
      <c r="R163" s="339"/>
      <c r="S163" s="339"/>
      <c r="T163" s="339"/>
      <c r="U163" s="339"/>
      <c r="V163" s="339"/>
      <c r="W163" s="339"/>
      <c r="X163" s="339"/>
      <c r="Y163" s="339"/>
      <c r="Z163" s="339"/>
      <c r="AA163" s="325"/>
      <c r="AB163" s="325"/>
      <c r="AC163" s="325"/>
    </row>
    <row r="164" spans="1:68" ht="14.25" customHeight="1" x14ac:dyDescent="0.25">
      <c r="A164" s="338" t="s">
        <v>138</v>
      </c>
      <c r="B164" s="339"/>
      <c r="C164" s="339"/>
      <c r="D164" s="339"/>
      <c r="E164" s="339"/>
      <c r="F164" s="339"/>
      <c r="G164" s="339"/>
      <c r="H164" s="339"/>
      <c r="I164" s="339"/>
      <c r="J164" s="339"/>
      <c r="K164" s="339"/>
      <c r="L164" s="339"/>
      <c r="M164" s="339"/>
      <c r="N164" s="339"/>
      <c r="O164" s="339"/>
      <c r="P164" s="339"/>
      <c r="Q164" s="339"/>
      <c r="R164" s="339"/>
      <c r="S164" s="339"/>
      <c r="T164" s="339"/>
      <c r="U164" s="339"/>
      <c r="V164" s="339"/>
      <c r="W164" s="339"/>
      <c r="X164" s="339"/>
      <c r="Y164" s="339"/>
      <c r="Z164" s="339"/>
      <c r="AA164" s="326"/>
      <c r="AB164" s="326"/>
      <c r="AC164" s="326"/>
    </row>
    <row r="165" spans="1:68" ht="27" customHeight="1" x14ac:dyDescent="0.25">
      <c r="A165" s="54" t="s">
        <v>259</v>
      </c>
      <c r="B165" s="54" t="s">
        <v>260</v>
      </c>
      <c r="C165" s="31">
        <v>4301135317</v>
      </c>
      <c r="D165" s="340">
        <v>4607111039057</v>
      </c>
      <c r="E165" s="341"/>
      <c r="F165" s="329">
        <v>1.8</v>
      </c>
      <c r="G165" s="32">
        <v>1</v>
      </c>
      <c r="H165" s="329">
        <v>1.8</v>
      </c>
      <c r="I165" s="329">
        <v>1.9</v>
      </c>
      <c r="J165" s="32">
        <v>234</v>
      </c>
      <c r="K165" s="32" t="s">
        <v>152</v>
      </c>
      <c r="L165" s="32" t="s">
        <v>66</v>
      </c>
      <c r="M165" s="33" t="s">
        <v>67</v>
      </c>
      <c r="N165" s="33"/>
      <c r="O165" s="32">
        <v>180</v>
      </c>
      <c r="P165" s="361" t="s">
        <v>261</v>
      </c>
      <c r="Q165" s="335"/>
      <c r="R165" s="335"/>
      <c r="S165" s="335"/>
      <c r="T165" s="336"/>
      <c r="U165" s="34"/>
      <c r="V165" s="34"/>
      <c r="W165" s="35" t="s">
        <v>68</v>
      </c>
      <c r="X165" s="330">
        <v>0</v>
      </c>
      <c r="Y165" s="331">
        <f>IFERROR(IF(X165="","",X165),"")</f>
        <v>0</v>
      </c>
      <c r="Z165" s="36">
        <f>IFERROR(IF(X165="","",X165*0.00502),"")</f>
        <v>0</v>
      </c>
      <c r="AA165" s="56"/>
      <c r="AB165" s="57"/>
      <c r="AC165" s="180" t="s">
        <v>227</v>
      </c>
      <c r="AG165" s="67"/>
      <c r="AJ165" s="71" t="s">
        <v>70</v>
      </c>
      <c r="AK165" s="71">
        <v>1</v>
      </c>
      <c r="BB165" s="181" t="s">
        <v>81</v>
      </c>
      <c r="BM165" s="67">
        <f>IFERROR(X165*I165,"0")</f>
        <v>0</v>
      </c>
      <c r="BN165" s="67">
        <f>IFERROR(Y165*I165,"0")</f>
        <v>0</v>
      </c>
      <c r="BO165" s="67">
        <f>IFERROR(X165/J165,"0")</f>
        <v>0</v>
      </c>
      <c r="BP165" s="67">
        <f>IFERROR(Y165/J165,"0")</f>
        <v>0</v>
      </c>
    </row>
    <row r="166" spans="1:68" x14ac:dyDescent="0.2">
      <c r="A166" s="350"/>
      <c r="B166" s="339"/>
      <c r="C166" s="339"/>
      <c r="D166" s="339"/>
      <c r="E166" s="339"/>
      <c r="F166" s="339"/>
      <c r="G166" s="339"/>
      <c r="H166" s="339"/>
      <c r="I166" s="339"/>
      <c r="J166" s="339"/>
      <c r="K166" s="339"/>
      <c r="L166" s="339"/>
      <c r="M166" s="339"/>
      <c r="N166" s="339"/>
      <c r="O166" s="351"/>
      <c r="P166" s="344" t="s">
        <v>71</v>
      </c>
      <c r="Q166" s="345"/>
      <c r="R166" s="345"/>
      <c r="S166" s="345"/>
      <c r="T166" s="345"/>
      <c r="U166" s="345"/>
      <c r="V166" s="346"/>
      <c r="W166" s="37" t="s">
        <v>68</v>
      </c>
      <c r="X166" s="332">
        <f>IFERROR(SUM(X165:X165),"0")</f>
        <v>0</v>
      </c>
      <c r="Y166" s="332">
        <f>IFERROR(SUM(Y165:Y165),"0")</f>
        <v>0</v>
      </c>
      <c r="Z166" s="332">
        <f>IFERROR(IF(Z165="",0,Z165),"0")</f>
        <v>0</v>
      </c>
      <c r="AA166" s="333"/>
      <c r="AB166" s="333"/>
      <c r="AC166" s="333"/>
    </row>
    <row r="167" spans="1:68" x14ac:dyDescent="0.2">
      <c r="A167" s="339"/>
      <c r="B167" s="339"/>
      <c r="C167" s="339"/>
      <c r="D167" s="339"/>
      <c r="E167" s="339"/>
      <c r="F167" s="339"/>
      <c r="G167" s="339"/>
      <c r="H167" s="339"/>
      <c r="I167" s="339"/>
      <c r="J167" s="339"/>
      <c r="K167" s="339"/>
      <c r="L167" s="339"/>
      <c r="M167" s="339"/>
      <c r="N167" s="339"/>
      <c r="O167" s="351"/>
      <c r="P167" s="344" t="s">
        <v>71</v>
      </c>
      <c r="Q167" s="345"/>
      <c r="R167" s="345"/>
      <c r="S167" s="345"/>
      <c r="T167" s="345"/>
      <c r="U167" s="345"/>
      <c r="V167" s="346"/>
      <c r="W167" s="37" t="s">
        <v>72</v>
      </c>
      <c r="X167" s="332">
        <f>IFERROR(SUMPRODUCT(X165:X165*H165:H165),"0")</f>
        <v>0</v>
      </c>
      <c r="Y167" s="332">
        <f>IFERROR(SUMPRODUCT(Y165:Y165*H165:H165),"0")</f>
        <v>0</v>
      </c>
      <c r="Z167" s="37"/>
      <c r="AA167" s="333"/>
      <c r="AB167" s="333"/>
      <c r="AC167" s="333"/>
    </row>
    <row r="168" spans="1:68" ht="16.5" customHeight="1" x14ac:dyDescent="0.25">
      <c r="A168" s="364" t="s">
        <v>262</v>
      </c>
      <c r="B168" s="339"/>
      <c r="C168" s="339"/>
      <c r="D168" s="339"/>
      <c r="E168" s="339"/>
      <c r="F168" s="339"/>
      <c r="G168" s="339"/>
      <c r="H168" s="339"/>
      <c r="I168" s="339"/>
      <c r="J168" s="339"/>
      <c r="K168" s="339"/>
      <c r="L168" s="339"/>
      <c r="M168" s="339"/>
      <c r="N168" s="339"/>
      <c r="O168" s="339"/>
      <c r="P168" s="339"/>
      <c r="Q168" s="339"/>
      <c r="R168" s="339"/>
      <c r="S168" s="339"/>
      <c r="T168" s="339"/>
      <c r="U168" s="339"/>
      <c r="V168" s="339"/>
      <c r="W168" s="339"/>
      <c r="X168" s="339"/>
      <c r="Y168" s="339"/>
      <c r="Z168" s="339"/>
      <c r="AA168" s="325"/>
      <c r="AB168" s="325"/>
      <c r="AC168" s="325"/>
    </row>
    <row r="169" spans="1:68" ht="14.25" customHeight="1" x14ac:dyDescent="0.25">
      <c r="A169" s="338" t="s">
        <v>62</v>
      </c>
      <c r="B169" s="339"/>
      <c r="C169" s="339"/>
      <c r="D169" s="339"/>
      <c r="E169" s="339"/>
      <c r="F169" s="339"/>
      <c r="G169" s="339"/>
      <c r="H169" s="339"/>
      <c r="I169" s="339"/>
      <c r="J169" s="339"/>
      <c r="K169" s="339"/>
      <c r="L169" s="339"/>
      <c r="M169" s="339"/>
      <c r="N169" s="339"/>
      <c r="O169" s="339"/>
      <c r="P169" s="339"/>
      <c r="Q169" s="339"/>
      <c r="R169" s="339"/>
      <c r="S169" s="339"/>
      <c r="T169" s="339"/>
      <c r="U169" s="339"/>
      <c r="V169" s="339"/>
      <c r="W169" s="339"/>
      <c r="X169" s="339"/>
      <c r="Y169" s="339"/>
      <c r="Z169" s="339"/>
      <c r="AA169" s="326"/>
      <c r="AB169" s="326"/>
      <c r="AC169" s="326"/>
    </row>
    <row r="170" spans="1:68" ht="16.5" customHeight="1" x14ac:dyDescent="0.25">
      <c r="A170" s="54" t="s">
        <v>263</v>
      </c>
      <c r="B170" s="54" t="s">
        <v>264</v>
      </c>
      <c r="C170" s="31">
        <v>4301071062</v>
      </c>
      <c r="D170" s="340">
        <v>4607111036384</v>
      </c>
      <c r="E170" s="341"/>
      <c r="F170" s="329">
        <v>5</v>
      </c>
      <c r="G170" s="32">
        <v>1</v>
      </c>
      <c r="H170" s="329">
        <v>5</v>
      </c>
      <c r="I170" s="329">
        <v>5.2106000000000003</v>
      </c>
      <c r="J170" s="32">
        <v>144</v>
      </c>
      <c r="K170" s="32" t="s">
        <v>65</v>
      </c>
      <c r="L170" s="32" t="s">
        <v>66</v>
      </c>
      <c r="M170" s="33" t="s">
        <v>67</v>
      </c>
      <c r="N170" s="33"/>
      <c r="O170" s="32">
        <v>180</v>
      </c>
      <c r="P170" s="373" t="s">
        <v>265</v>
      </c>
      <c r="Q170" s="335"/>
      <c r="R170" s="335"/>
      <c r="S170" s="335"/>
      <c r="T170" s="336"/>
      <c r="U170" s="34"/>
      <c r="V170" s="34"/>
      <c r="W170" s="35" t="s">
        <v>68</v>
      </c>
      <c r="X170" s="330">
        <v>0</v>
      </c>
      <c r="Y170" s="331">
        <f>IFERROR(IF(X170="","",X170),"")</f>
        <v>0</v>
      </c>
      <c r="Z170" s="36">
        <f>IFERROR(IF(X170="","",X170*0.00866),"")</f>
        <v>0</v>
      </c>
      <c r="AA170" s="56"/>
      <c r="AB170" s="57"/>
      <c r="AC170" s="182" t="s">
        <v>266</v>
      </c>
      <c r="AG170" s="67"/>
      <c r="AJ170" s="71" t="s">
        <v>70</v>
      </c>
      <c r="AK170" s="71">
        <v>1</v>
      </c>
      <c r="BB170" s="183" t="s">
        <v>1</v>
      </c>
      <c r="BM170" s="67">
        <f>IFERROR(X170*I170,"0")</f>
        <v>0</v>
      </c>
      <c r="BN170" s="67">
        <f>IFERROR(Y170*I170,"0")</f>
        <v>0</v>
      </c>
      <c r="BO170" s="67">
        <f>IFERROR(X170/J170,"0")</f>
        <v>0</v>
      </c>
      <c r="BP170" s="67">
        <f>IFERROR(Y170/J170,"0")</f>
        <v>0</v>
      </c>
    </row>
    <row r="171" spans="1:68" ht="16.5" customHeight="1" x14ac:dyDescent="0.25">
      <c r="A171" s="54" t="s">
        <v>267</v>
      </c>
      <c r="B171" s="54" t="s">
        <v>268</v>
      </c>
      <c r="C171" s="31">
        <v>4301071056</v>
      </c>
      <c r="D171" s="340">
        <v>4640242180250</v>
      </c>
      <c r="E171" s="341"/>
      <c r="F171" s="329">
        <v>5</v>
      </c>
      <c r="G171" s="32">
        <v>1</v>
      </c>
      <c r="H171" s="329">
        <v>5</v>
      </c>
      <c r="I171" s="329">
        <v>5.2131999999999996</v>
      </c>
      <c r="J171" s="32">
        <v>144</v>
      </c>
      <c r="K171" s="32" t="s">
        <v>65</v>
      </c>
      <c r="L171" s="32" t="s">
        <v>66</v>
      </c>
      <c r="M171" s="33" t="s">
        <v>67</v>
      </c>
      <c r="N171" s="33"/>
      <c r="O171" s="32">
        <v>180</v>
      </c>
      <c r="P171" s="391" t="s">
        <v>269</v>
      </c>
      <c r="Q171" s="335"/>
      <c r="R171" s="335"/>
      <c r="S171" s="335"/>
      <c r="T171" s="336"/>
      <c r="U171" s="34"/>
      <c r="V171" s="34"/>
      <c r="W171" s="35" t="s">
        <v>68</v>
      </c>
      <c r="X171" s="330">
        <v>0</v>
      </c>
      <c r="Y171" s="331">
        <f>IFERROR(IF(X171="","",X171),"")</f>
        <v>0</v>
      </c>
      <c r="Z171" s="36">
        <f>IFERROR(IF(X171="","",X171*0.00866),"")</f>
        <v>0</v>
      </c>
      <c r="AA171" s="56"/>
      <c r="AB171" s="57"/>
      <c r="AC171" s="184" t="s">
        <v>270</v>
      </c>
      <c r="AG171" s="67"/>
      <c r="AJ171" s="71" t="s">
        <v>70</v>
      </c>
      <c r="AK171" s="71">
        <v>1</v>
      </c>
      <c r="BB171" s="185" t="s">
        <v>1</v>
      </c>
      <c r="BM171" s="67">
        <f>IFERROR(X171*I171,"0")</f>
        <v>0</v>
      </c>
      <c r="BN171" s="67">
        <f>IFERROR(Y171*I171,"0")</f>
        <v>0</v>
      </c>
      <c r="BO171" s="67">
        <f>IFERROR(X171/J171,"0")</f>
        <v>0</v>
      </c>
      <c r="BP171" s="67">
        <f>IFERROR(Y171/J171,"0")</f>
        <v>0</v>
      </c>
    </row>
    <row r="172" spans="1:68" ht="27" customHeight="1" x14ac:dyDescent="0.25">
      <c r="A172" s="54" t="s">
        <v>271</v>
      </c>
      <c r="B172" s="54" t="s">
        <v>272</v>
      </c>
      <c r="C172" s="31">
        <v>4301071050</v>
      </c>
      <c r="D172" s="340">
        <v>4607111036216</v>
      </c>
      <c r="E172" s="341"/>
      <c r="F172" s="329">
        <v>5</v>
      </c>
      <c r="G172" s="32">
        <v>1</v>
      </c>
      <c r="H172" s="329">
        <v>5</v>
      </c>
      <c r="I172" s="329">
        <v>5.2131999999999996</v>
      </c>
      <c r="J172" s="32">
        <v>144</v>
      </c>
      <c r="K172" s="32" t="s">
        <v>65</v>
      </c>
      <c r="L172" s="32" t="s">
        <v>66</v>
      </c>
      <c r="M172" s="33" t="s">
        <v>67</v>
      </c>
      <c r="N172" s="33"/>
      <c r="O172" s="32">
        <v>180</v>
      </c>
      <c r="P172" s="353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2" s="335"/>
      <c r="R172" s="335"/>
      <c r="S172" s="335"/>
      <c r="T172" s="336"/>
      <c r="U172" s="34"/>
      <c r="V172" s="34"/>
      <c r="W172" s="35" t="s">
        <v>68</v>
      </c>
      <c r="X172" s="330">
        <v>36</v>
      </c>
      <c r="Y172" s="331">
        <f>IFERROR(IF(X172="","",X172),"")</f>
        <v>36</v>
      </c>
      <c r="Z172" s="36">
        <f>IFERROR(IF(X172="","",X172*0.00866),"")</f>
        <v>0.31175999999999998</v>
      </c>
      <c r="AA172" s="56"/>
      <c r="AB172" s="57"/>
      <c r="AC172" s="186" t="s">
        <v>273</v>
      </c>
      <c r="AG172" s="67"/>
      <c r="AJ172" s="71" t="s">
        <v>70</v>
      </c>
      <c r="AK172" s="71">
        <v>1</v>
      </c>
      <c r="BB172" s="187" t="s">
        <v>1</v>
      </c>
      <c r="BM172" s="67">
        <f>IFERROR(X172*I172,"0")</f>
        <v>187.67519999999999</v>
      </c>
      <c r="BN172" s="67">
        <f>IFERROR(Y172*I172,"0")</f>
        <v>187.67519999999999</v>
      </c>
      <c r="BO172" s="67">
        <f>IFERROR(X172/J172,"0")</f>
        <v>0.25</v>
      </c>
      <c r="BP172" s="67">
        <f>IFERROR(Y172/J172,"0")</f>
        <v>0.25</v>
      </c>
    </row>
    <row r="173" spans="1:68" ht="27" customHeight="1" x14ac:dyDescent="0.25">
      <c r="A173" s="54" t="s">
        <v>274</v>
      </c>
      <c r="B173" s="54" t="s">
        <v>275</v>
      </c>
      <c r="C173" s="31">
        <v>4301071061</v>
      </c>
      <c r="D173" s="340">
        <v>4607111036278</v>
      </c>
      <c r="E173" s="341"/>
      <c r="F173" s="329">
        <v>5</v>
      </c>
      <c r="G173" s="32">
        <v>1</v>
      </c>
      <c r="H173" s="329">
        <v>5</v>
      </c>
      <c r="I173" s="329">
        <v>5.2405999999999997</v>
      </c>
      <c r="J173" s="32">
        <v>84</v>
      </c>
      <c r="K173" s="32" t="s">
        <v>65</v>
      </c>
      <c r="L173" s="32" t="s">
        <v>66</v>
      </c>
      <c r="M173" s="33" t="s">
        <v>67</v>
      </c>
      <c r="N173" s="33"/>
      <c r="O173" s="32">
        <v>180</v>
      </c>
      <c r="P173" s="379" t="str">
        <f>HYPERLINK("https://abi.ru/products/Замороженные/No Name/No Name ЗПФ/Пельмени/P004619/","Пельмени «Умелый повар» Весовые Равиоли ТМ «No name» 5 кг")</f>
        <v>Пельмени «Умелый повар» Весовые Равиоли ТМ «No name» 5 кг</v>
      </c>
      <c r="Q173" s="335"/>
      <c r="R173" s="335"/>
      <c r="S173" s="335"/>
      <c r="T173" s="336"/>
      <c r="U173" s="34"/>
      <c r="V173" s="34"/>
      <c r="W173" s="35" t="s">
        <v>68</v>
      </c>
      <c r="X173" s="330">
        <v>0</v>
      </c>
      <c r="Y173" s="331">
        <f>IFERROR(IF(X173="","",X173),"")</f>
        <v>0</v>
      </c>
      <c r="Z173" s="36">
        <f>IFERROR(IF(X173="","",X173*0.0155),"")</f>
        <v>0</v>
      </c>
      <c r="AA173" s="56"/>
      <c r="AB173" s="57"/>
      <c r="AC173" s="188" t="s">
        <v>276</v>
      </c>
      <c r="AG173" s="67"/>
      <c r="AJ173" s="71" t="s">
        <v>70</v>
      </c>
      <c r="AK173" s="71">
        <v>1</v>
      </c>
      <c r="BB173" s="189" t="s">
        <v>1</v>
      </c>
      <c r="BM173" s="67">
        <f>IFERROR(X173*I173,"0")</f>
        <v>0</v>
      </c>
      <c r="BN173" s="67">
        <f>IFERROR(Y173*I173,"0")</f>
        <v>0</v>
      </c>
      <c r="BO173" s="67">
        <f>IFERROR(X173/J173,"0")</f>
        <v>0</v>
      </c>
      <c r="BP173" s="67">
        <f>IFERROR(Y173/J173,"0")</f>
        <v>0</v>
      </c>
    </row>
    <row r="174" spans="1:68" x14ac:dyDescent="0.2">
      <c r="A174" s="350"/>
      <c r="B174" s="339"/>
      <c r="C174" s="339"/>
      <c r="D174" s="339"/>
      <c r="E174" s="339"/>
      <c r="F174" s="339"/>
      <c r="G174" s="339"/>
      <c r="H174" s="339"/>
      <c r="I174" s="339"/>
      <c r="J174" s="339"/>
      <c r="K174" s="339"/>
      <c r="L174" s="339"/>
      <c r="M174" s="339"/>
      <c r="N174" s="339"/>
      <c r="O174" s="351"/>
      <c r="P174" s="344" t="s">
        <v>71</v>
      </c>
      <c r="Q174" s="345"/>
      <c r="R174" s="345"/>
      <c r="S174" s="345"/>
      <c r="T174" s="345"/>
      <c r="U174" s="345"/>
      <c r="V174" s="346"/>
      <c r="W174" s="37" t="s">
        <v>68</v>
      </c>
      <c r="X174" s="332">
        <f>IFERROR(SUM(X170:X173),"0")</f>
        <v>36</v>
      </c>
      <c r="Y174" s="332">
        <f>IFERROR(SUM(Y170:Y173),"0")</f>
        <v>36</v>
      </c>
      <c r="Z174" s="332">
        <f>IFERROR(IF(Z170="",0,Z170),"0")+IFERROR(IF(Z171="",0,Z171),"0")+IFERROR(IF(Z172="",0,Z172),"0")+IFERROR(IF(Z173="",0,Z173),"0")</f>
        <v>0.31175999999999998</v>
      </c>
      <c r="AA174" s="333"/>
      <c r="AB174" s="333"/>
      <c r="AC174" s="333"/>
    </row>
    <row r="175" spans="1:68" x14ac:dyDescent="0.2">
      <c r="A175" s="339"/>
      <c r="B175" s="339"/>
      <c r="C175" s="339"/>
      <c r="D175" s="339"/>
      <c r="E175" s="339"/>
      <c r="F175" s="339"/>
      <c r="G175" s="339"/>
      <c r="H175" s="339"/>
      <c r="I175" s="339"/>
      <c r="J175" s="339"/>
      <c r="K175" s="339"/>
      <c r="L175" s="339"/>
      <c r="M175" s="339"/>
      <c r="N175" s="339"/>
      <c r="O175" s="351"/>
      <c r="P175" s="344" t="s">
        <v>71</v>
      </c>
      <c r="Q175" s="345"/>
      <c r="R175" s="345"/>
      <c r="S175" s="345"/>
      <c r="T175" s="345"/>
      <c r="U175" s="345"/>
      <c r="V175" s="346"/>
      <c r="W175" s="37" t="s">
        <v>72</v>
      </c>
      <c r="X175" s="332">
        <f>IFERROR(SUMPRODUCT(X170:X173*H170:H173),"0")</f>
        <v>180</v>
      </c>
      <c r="Y175" s="332">
        <f>IFERROR(SUMPRODUCT(Y170:Y173*H170:H173),"0")</f>
        <v>180</v>
      </c>
      <c r="Z175" s="37"/>
      <c r="AA175" s="333"/>
      <c r="AB175" s="333"/>
      <c r="AC175" s="333"/>
    </row>
    <row r="176" spans="1:68" ht="14.25" customHeight="1" x14ac:dyDescent="0.25">
      <c r="A176" s="338" t="s">
        <v>277</v>
      </c>
      <c r="B176" s="339"/>
      <c r="C176" s="339"/>
      <c r="D176" s="339"/>
      <c r="E176" s="339"/>
      <c r="F176" s="339"/>
      <c r="G176" s="339"/>
      <c r="H176" s="339"/>
      <c r="I176" s="339"/>
      <c r="J176" s="339"/>
      <c r="K176" s="339"/>
      <c r="L176" s="339"/>
      <c r="M176" s="339"/>
      <c r="N176" s="339"/>
      <c r="O176" s="339"/>
      <c r="P176" s="339"/>
      <c r="Q176" s="339"/>
      <c r="R176" s="339"/>
      <c r="S176" s="339"/>
      <c r="T176" s="339"/>
      <c r="U176" s="339"/>
      <c r="V176" s="339"/>
      <c r="W176" s="339"/>
      <c r="X176" s="339"/>
      <c r="Y176" s="339"/>
      <c r="Z176" s="339"/>
      <c r="AA176" s="326"/>
      <c r="AB176" s="326"/>
      <c r="AC176" s="326"/>
    </row>
    <row r="177" spans="1:68" ht="27" customHeight="1" x14ac:dyDescent="0.25">
      <c r="A177" s="54" t="s">
        <v>278</v>
      </c>
      <c r="B177" s="54" t="s">
        <v>279</v>
      </c>
      <c r="C177" s="31">
        <v>4301080153</v>
      </c>
      <c r="D177" s="340">
        <v>4607111036827</v>
      </c>
      <c r="E177" s="341"/>
      <c r="F177" s="329">
        <v>1</v>
      </c>
      <c r="G177" s="32">
        <v>5</v>
      </c>
      <c r="H177" s="329">
        <v>5</v>
      </c>
      <c r="I177" s="329">
        <v>5.2</v>
      </c>
      <c r="J177" s="32">
        <v>144</v>
      </c>
      <c r="K177" s="32" t="s">
        <v>65</v>
      </c>
      <c r="L177" s="32" t="s">
        <v>66</v>
      </c>
      <c r="M177" s="33" t="s">
        <v>67</v>
      </c>
      <c r="N177" s="33"/>
      <c r="O177" s="32">
        <v>90</v>
      </c>
      <c r="P177" s="500" t="str">
        <f>HYPERLINK("https://abi.ru/products/Замороженные/No Name/No Name ЗПФ/Вареники/P002958/","Вареники Благолепные с картофелем и грибами No name Весовые Классическая форма No name 5 кг")</f>
        <v>Вареники Благолепные с картофелем и грибами No name Весовые Классическая форма No name 5 кг</v>
      </c>
      <c r="Q177" s="335"/>
      <c r="R177" s="335"/>
      <c r="S177" s="335"/>
      <c r="T177" s="336"/>
      <c r="U177" s="34"/>
      <c r="V177" s="34"/>
      <c r="W177" s="35" t="s">
        <v>68</v>
      </c>
      <c r="X177" s="330">
        <v>0</v>
      </c>
      <c r="Y177" s="331">
        <f>IFERROR(IF(X177="","",X177),"")</f>
        <v>0</v>
      </c>
      <c r="Z177" s="36">
        <f>IFERROR(IF(X177="","",X177*0.00866),"")</f>
        <v>0</v>
      </c>
      <c r="AA177" s="56"/>
      <c r="AB177" s="57"/>
      <c r="AC177" s="190" t="s">
        <v>280</v>
      </c>
      <c r="AG177" s="67"/>
      <c r="AJ177" s="71" t="s">
        <v>70</v>
      </c>
      <c r="AK177" s="71">
        <v>1</v>
      </c>
      <c r="BB177" s="191" t="s">
        <v>1</v>
      </c>
      <c r="BM177" s="67">
        <f>IFERROR(X177*I177,"0")</f>
        <v>0</v>
      </c>
      <c r="BN177" s="67">
        <f>IFERROR(Y177*I177,"0")</f>
        <v>0</v>
      </c>
      <c r="BO177" s="67">
        <f>IFERROR(X177/J177,"0")</f>
        <v>0</v>
      </c>
      <c r="BP177" s="67">
        <f>IFERROR(Y177/J177,"0")</f>
        <v>0</v>
      </c>
    </row>
    <row r="178" spans="1:68" ht="27" customHeight="1" x14ac:dyDescent="0.25">
      <c r="A178" s="54" t="s">
        <v>281</v>
      </c>
      <c r="B178" s="54" t="s">
        <v>282</v>
      </c>
      <c r="C178" s="31">
        <v>4301080154</v>
      </c>
      <c r="D178" s="340">
        <v>4607111036834</v>
      </c>
      <c r="E178" s="341"/>
      <c r="F178" s="329">
        <v>1</v>
      </c>
      <c r="G178" s="32">
        <v>5</v>
      </c>
      <c r="H178" s="329">
        <v>5</v>
      </c>
      <c r="I178" s="329">
        <v>5.2530000000000001</v>
      </c>
      <c r="J178" s="32">
        <v>144</v>
      </c>
      <c r="K178" s="32" t="s">
        <v>65</v>
      </c>
      <c r="L178" s="32" t="s">
        <v>66</v>
      </c>
      <c r="M178" s="33" t="s">
        <v>67</v>
      </c>
      <c r="N178" s="33"/>
      <c r="O178" s="32">
        <v>90</v>
      </c>
      <c r="P178" s="514" t="str">
        <f>HYPERLINK("https://abi.ru/products/Замороженные/No Name/No Name ЗПФ/Вареники/P002961/","Вареники с картофелем и луком No name Весовые Классическая форма No name 5 кг")</f>
        <v>Вареники с картофелем и луком No name Весовые Классическая форма No name 5 кг</v>
      </c>
      <c r="Q178" s="335"/>
      <c r="R178" s="335"/>
      <c r="S178" s="335"/>
      <c r="T178" s="336"/>
      <c r="U178" s="34"/>
      <c r="V178" s="34"/>
      <c r="W178" s="35" t="s">
        <v>68</v>
      </c>
      <c r="X178" s="330">
        <v>0</v>
      </c>
      <c r="Y178" s="331">
        <f>IFERROR(IF(X178="","",X178),"")</f>
        <v>0</v>
      </c>
      <c r="Z178" s="36">
        <f>IFERROR(IF(X178="","",X178*0.00866),"")</f>
        <v>0</v>
      </c>
      <c r="AA178" s="56"/>
      <c r="AB178" s="57"/>
      <c r="AC178" s="192" t="s">
        <v>280</v>
      </c>
      <c r="AG178" s="67"/>
      <c r="AJ178" s="71" t="s">
        <v>70</v>
      </c>
      <c r="AK178" s="71">
        <v>1</v>
      </c>
      <c r="BB178" s="193" t="s">
        <v>1</v>
      </c>
      <c r="BM178" s="67">
        <f>IFERROR(X178*I178,"0")</f>
        <v>0</v>
      </c>
      <c r="BN178" s="67">
        <f>IFERROR(Y178*I178,"0")</f>
        <v>0</v>
      </c>
      <c r="BO178" s="67">
        <f>IFERROR(X178/J178,"0")</f>
        <v>0</v>
      </c>
      <c r="BP178" s="67">
        <f>IFERROR(Y178/J178,"0")</f>
        <v>0</v>
      </c>
    </row>
    <row r="179" spans="1:68" x14ac:dyDescent="0.2">
      <c r="A179" s="350"/>
      <c r="B179" s="339"/>
      <c r="C179" s="339"/>
      <c r="D179" s="339"/>
      <c r="E179" s="339"/>
      <c r="F179" s="339"/>
      <c r="G179" s="339"/>
      <c r="H179" s="339"/>
      <c r="I179" s="339"/>
      <c r="J179" s="339"/>
      <c r="K179" s="339"/>
      <c r="L179" s="339"/>
      <c r="M179" s="339"/>
      <c r="N179" s="339"/>
      <c r="O179" s="351"/>
      <c r="P179" s="344" t="s">
        <v>71</v>
      </c>
      <c r="Q179" s="345"/>
      <c r="R179" s="345"/>
      <c r="S179" s="345"/>
      <c r="T179" s="345"/>
      <c r="U179" s="345"/>
      <c r="V179" s="346"/>
      <c r="W179" s="37" t="s">
        <v>68</v>
      </c>
      <c r="X179" s="332">
        <f>IFERROR(SUM(X177:X178),"0")</f>
        <v>0</v>
      </c>
      <c r="Y179" s="332">
        <f>IFERROR(SUM(Y177:Y178),"0")</f>
        <v>0</v>
      </c>
      <c r="Z179" s="332">
        <f>IFERROR(IF(Z177="",0,Z177),"0")+IFERROR(IF(Z178="",0,Z178),"0")</f>
        <v>0</v>
      </c>
      <c r="AA179" s="333"/>
      <c r="AB179" s="333"/>
      <c r="AC179" s="333"/>
    </row>
    <row r="180" spans="1:68" x14ac:dyDescent="0.2">
      <c r="A180" s="339"/>
      <c r="B180" s="339"/>
      <c r="C180" s="339"/>
      <c r="D180" s="339"/>
      <c r="E180" s="339"/>
      <c r="F180" s="339"/>
      <c r="G180" s="339"/>
      <c r="H180" s="339"/>
      <c r="I180" s="339"/>
      <c r="J180" s="339"/>
      <c r="K180" s="339"/>
      <c r="L180" s="339"/>
      <c r="M180" s="339"/>
      <c r="N180" s="339"/>
      <c r="O180" s="351"/>
      <c r="P180" s="344" t="s">
        <v>71</v>
      </c>
      <c r="Q180" s="345"/>
      <c r="R180" s="345"/>
      <c r="S180" s="345"/>
      <c r="T180" s="345"/>
      <c r="U180" s="345"/>
      <c r="V180" s="346"/>
      <c r="W180" s="37" t="s">
        <v>72</v>
      </c>
      <c r="X180" s="332">
        <f>IFERROR(SUMPRODUCT(X177:X178*H177:H178),"0")</f>
        <v>0</v>
      </c>
      <c r="Y180" s="332">
        <f>IFERROR(SUMPRODUCT(Y177:Y178*H177:H178),"0")</f>
        <v>0</v>
      </c>
      <c r="Z180" s="37"/>
      <c r="AA180" s="333"/>
      <c r="AB180" s="333"/>
      <c r="AC180" s="333"/>
    </row>
    <row r="181" spans="1:68" ht="27.75" customHeight="1" x14ac:dyDescent="0.2">
      <c r="A181" s="435" t="s">
        <v>283</v>
      </c>
      <c r="B181" s="436"/>
      <c r="C181" s="436"/>
      <c r="D181" s="436"/>
      <c r="E181" s="436"/>
      <c r="F181" s="436"/>
      <c r="G181" s="436"/>
      <c r="H181" s="436"/>
      <c r="I181" s="436"/>
      <c r="J181" s="436"/>
      <c r="K181" s="436"/>
      <c r="L181" s="436"/>
      <c r="M181" s="436"/>
      <c r="N181" s="436"/>
      <c r="O181" s="436"/>
      <c r="P181" s="436"/>
      <c r="Q181" s="436"/>
      <c r="R181" s="436"/>
      <c r="S181" s="436"/>
      <c r="T181" s="436"/>
      <c r="U181" s="436"/>
      <c r="V181" s="436"/>
      <c r="W181" s="436"/>
      <c r="X181" s="436"/>
      <c r="Y181" s="436"/>
      <c r="Z181" s="436"/>
      <c r="AA181" s="48"/>
      <c r="AB181" s="48"/>
      <c r="AC181" s="48"/>
    </row>
    <row r="182" spans="1:68" ht="16.5" customHeight="1" x14ac:dyDescent="0.25">
      <c r="A182" s="364" t="s">
        <v>284</v>
      </c>
      <c r="B182" s="339"/>
      <c r="C182" s="339"/>
      <c r="D182" s="339"/>
      <c r="E182" s="339"/>
      <c r="F182" s="339"/>
      <c r="G182" s="339"/>
      <c r="H182" s="339"/>
      <c r="I182" s="339"/>
      <c r="J182" s="339"/>
      <c r="K182" s="339"/>
      <c r="L182" s="339"/>
      <c r="M182" s="339"/>
      <c r="N182" s="339"/>
      <c r="O182" s="339"/>
      <c r="P182" s="339"/>
      <c r="Q182" s="339"/>
      <c r="R182" s="339"/>
      <c r="S182" s="339"/>
      <c r="T182" s="339"/>
      <c r="U182" s="339"/>
      <c r="V182" s="339"/>
      <c r="W182" s="339"/>
      <c r="X182" s="339"/>
      <c r="Y182" s="339"/>
      <c r="Z182" s="339"/>
      <c r="AA182" s="325"/>
      <c r="AB182" s="325"/>
      <c r="AC182" s="325"/>
    </row>
    <row r="183" spans="1:68" ht="14.25" customHeight="1" x14ac:dyDescent="0.25">
      <c r="A183" s="338" t="s">
        <v>75</v>
      </c>
      <c r="B183" s="339"/>
      <c r="C183" s="339"/>
      <c r="D183" s="339"/>
      <c r="E183" s="339"/>
      <c r="F183" s="339"/>
      <c r="G183" s="339"/>
      <c r="H183" s="339"/>
      <c r="I183" s="339"/>
      <c r="J183" s="339"/>
      <c r="K183" s="339"/>
      <c r="L183" s="339"/>
      <c r="M183" s="339"/>
      <c r="N183" s="339"/>
      <c r="O183" s="339"/>
      <c r="P183" s="339"/>
      <c r="Q183" s="339"/>
      <c r="R183" s="339"/>
      <c r="S183" s="339"/>
      <c r="T183" s="339"/>
      <c r="U183" s="339"/>
      <c r="V183" s="339"/>
      <c r="W183" s="339"/>
      <c r="X183" s="339"/>
      <c r="Y183" s="339"/>
      <c r="Z183" s="339"/>
      <c r="AA183" s="326"/>
      <c r="AB183" s="326"/>
      <c r="AC183" s="326"/>
    </row>
    <row r="184" spans="1:68" ht="27" customHeight="1" x14ac:dyDescent="0.25">
      <c r="A184" s="54" t="s">
        <v>285</v>
      </c>
      <c r="B184" s="54" t="s">
        <v>286</v>
      </c>
      <c r="C184" s="31">
        <v>4301132182</v>
      </c>
      <c r="D184" s="340">
        <v>4607111035721</v>
      </c>
      <c r="E184" s="341"/>
      <c r="F184" s="329">
        <v>0.25</v>
      </c>
      <c r="G184" s="32">
        <v>12</v>
      </c>
      <c r="H184" s="329">
        <v>3</v>
      </c>
      <c r="I184" s="329">
        <v>3.3879999999999999</v>
      </c>
      <c r="J184" s="32">
        <v>70</v>
      </c>
      <c r="K184" s="32" t="s">
        <v>78</v>
      </c>
      <c r="L184" s="32" t="s">
        <v>66</v>
      </c>
      <c r="M184" s="33" t="s">
        <v>67</v>
      </c>
      <c r="N184" s="33"/>
      <c r="O184" s="32">
        <v>365</v>
      </c>
      <c r="P184" s="390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4" s="335"/>
      <c r="R184" s="335"/>
      <c r="S184" s="335"/>
      <c r="T184" s="336"/>
      <c r="U184" s="34"/>
      <c r="V184" s="34"/>
      <c r="W184" s="35" t="s">
        <v>68</v>
      </c>
      <c r="X184" s="330">
        <v>42</v>
      </c>
      <c r="Y184" s="331">
        <f>IFERROR(IF(X184="","",X184),"")</f>
        <v>42</v>
      </c>
      <c r="Z184" s="36">
        <f>IFERROR(IF(X184="","",X184*0.01788),"")</f>
        <v>0.75095999999999996</v>
      </c>
      <c r="AA184" s="56"/>
      <c r="AB184" s="57"/>
      <c r="AC184" s="194" t="s">
        <v>287</v>
      </c>
      <c r="AG184" s="67"/>
      <c r="AJ184" s="71" t="s">
        <v>70</v>
      </c>
      <c r="AK184" s="71">
        <v>1</v>
      </c>
      <c r="BB184" s="195" t="s">
        <v>81</v>
      </c>
      <c r="BM184" s="67">
        <f>IFERROR(X184*I184,"0")</f>
        <v>142.29599999999999</v>
      </c>
      <c r="BN184" s="67">
        <f>IFERROR(Y184*I184,"0")</f>
        <v>142.29599999999999</v>
      </c>
      <c r="BO184" s="67">
        <f>IFERROR(X184/J184,"0")</f>
        <v>0.6</v>
      </c>
      <c r="BP184" s="67">
        <f>IFERROR(Y184/J184,"0")</f>
        <v>0.6</v>
      </c>
    </row>
    <row r="185" spans="1:68" ht="27" customHeight="1" x14ac:dyDescent="0.25">
      <c r="A185" s="54" t="s">
        <v>288</v>
      </c>
      <c r="B185" s="54" t="s">
        <v>289</v>
      </c>
      <c r="C185" s="31">
        <v>4301132179</v>
      </c>
      <c r="D185" s="340">
        <v>4607111035691</v>
      </c>
      <c r="E185" s="341"/>
      <c r="F185" s="329">
        <v>0.25</v>
      </c>
      <c r="G185" s="32">
        <v>12</v>
      </c>
      <c r="H185" s="329">
        <v>3</v>
      </c>
      <c r="I185" s="329">
        <v>3.3879999999999999</v>
      </c>
      <c r="J185" s="32">
        <v>70</v>
      </c>
      <c r="K185" s="32" t="s">
        <v>78</v>
      </c>
      <c r="L185" s="32" t="s">
        <v>66</v>
      </c>
      <c r="M185" s="33" t="s">
        <v>67</v>
      </c>
      <c r="N185" s="33"/>
      <c r="O185" s="32">
        <v>365</v>
      </c>
      <c r="P185" s="440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5" s="335"/>
      <c r="R185" s="335"/>
      <c r="S185" s="335"/>
      <c r="T185" s="336"/>
      <c r="U185" s="34"/>
      <c r="V185" s="34"/>
      <c r="W185" s="35" t="s">
        <v>68</v>
      </c>
      <c r="X185" s="330">
        <v>56</v>
      </c>
      <c r="Y185" s="331">
        <f>IFERROR(IF(X185="","",X185),"")</f>
        <v>56</v>
      </c>
      <c r="Z185" s="36">
        <f>IFERROR(IF(X185="","",X185*0.01788),"")</f>
        <v>1.0012799999999999</v>
      </c>
      <c r="AA185" s="56"/>
      <c r="AB185" s="57"/>
      <c r="AC185" s="196" t="s">
        <v>290</v>
      </c>
      <c r="AG185" s="67"/>
      <c r="AJ185" s="71" t="s">
        <v>70</v>
      </c>
      <c r="AK185" s="71">
        <v>1</v>
      </c>
      <c r="BB185" s="197" t="s">
        <v>81</v>
      </c>
      <c r="BM185" s="67">
        <f>IFERROR(X185*I185,"0")</f>
        <v>189.72800000000001</v>
      </c>
      <c r="BN185" s="67">
        <f>IFERROR(Y185*I185,"0")</f>
        <v>189.72800000000001</v>
      </c>
      <c r="BO185" s="67">
        <f>IFERROR(X185/J185,"0")</f>
        <v>0.8</v>
      </c>
      <c r="BP185" s="67">
        <f>IFERROR(Y185/J185,"0")</f>
        <v>0.8</v>
      </c>
    </row>
    <row r="186" spans="1:68" ht="27" customHeight="1" x14ac:dyDescent="0.25">
      <c r="A186" s="54" t="s">
        <v>291</v>
      </c>
      <c r="B186" s="54" t="s">
        <v>292</v>
      </c>
      <c r="C186" s="31">
        <v>4301132170</v>
      </c>
      <c r="D186" s="340">
        <v>4607111038487</v>
      </c>
      <c r="E186" s="341"/>
      <c r="F186" s="329">
        <v>0.25</v>
      </c>
      <c r="G186" s="32">
        <v>12</v>
      </c>
      <c r="H186" s="329">
        <v>3</v>
      </c>
      <c r="I186" s="329">
        <v>3.7360000000000002</v>
      </c>
      <c r="J186" s="32">
        <v>70</v>
      </c>
      <c r="K186" s="32" t="s">
        <v>78</v>
      </c>
      <c r="L186" s="32" t="s">
        <v>66</v>
      </c>
      <c r="M186" s="33" t="s">
        <v>67</v>
      </c>
      <c r="N186" s="33"/>
      <c r="O186" s="32">
        <v>180</v>
      </c>
      <c r="P186" s="532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6" s="335"/>
      <c r="R186" s="335"/>
      <c r="S186" s="335"/>
      <c r="T186" s="336"/>
      <c r="U186" s="34"/>
      <c r="V186" s="34"/>
      <c r="W186" s="35" t="s">
        <v>68</v>
      </c>
      <c r="X186" s="330">
        <v>14</v>
      </c>
      <c r="Y186" s="331">
        <f>IFERROR(IF(X186="","",X186),"")</f>
        <v>14</v>
      </c>
      <c r="Z186" s="36">
        <f>IFERROR(IF(X186="","",X186*0.01788),"")</f>
        <v>0.25031999999999999</v>
      </c>
      <c r="AA186" s="56"/>
      <c r="AB186" s="57"/>
      <c r="AC186" s="198" t="s">
        <v>293</v>
      </c>
      <c r="AG186" s="67"/>
      <c r="AJ186" s="71" t="s">
        <v>70</v>
      </c>
      <c r="AK186" s="71">
        <v>1</v>
      </c>
      <c r="BB186" s="199" t="s">
        <v>81</v>
      </c>
      <c r="BM186" s="67">
        <f>IFERROR(X186*I186,"0")</f>
        <v>52.304000000000002</v>
      </c>
      <c r="BN186" s="67">
        <f>IFERROR(Y186*I186,"0")</f>
        <v>52.304000000000002</v>
      </c>
      <c r="BO186" s="67">
        <f>IFERROR(X186/J186,"0")</f>
        <v>0.2</v>
      </c>
      <c r="BP186" s="67">
        <f>IFERROR(Y186/J186,"0")</f>
        <v>0.2</v>
      </c>
    </row>
    <row r="187" spans="1:68" x14ac:dyDescent="0.2">
      <c r="A187" s="350"/>
      <c r="B187" s="339"/>
      <c r="C187" s="339"/>
      <c r="D187" s="339"/>
      <c r="E187" s="339"/>
      <c r="F187" s="339"/>
      <c r="G187" s="339"/>
      <c r="H187" s="339"/>
      <c r="I187" s="339"/>
      <c r="J187" s="339"/>
      <c r="K187" s="339"/>
      <c r="L187" s="339"/>
      <c r="M187" s="339"/>
      <c r="N187" s="339"/>
      <c r="O187" s="351"/>
      <c r="P187" s="344" t="s">
        <v>71</v>
      </c>
      <c r="Q187" s="345"/>
      <c r="R187" s="345"/>
      <c r="S187" s="345"/>
      <c r="T187" s="345"/>
      <c r="U187" s="345"/>
      <c r="V187" s="346"/>
      <c r="W187" s="37" t="s">
        <v>68</v>
      </c>
      <c r="X187" s="332">
        <f>IFERROR(SUM(X184:X186),"0")</f>
        <v>112</v>
      </c>
      <c r="Y187" s="332">
        <f>IFERROR(SUM(Y184:Y186),"0")</f>
        <v>112</v>
      </c>
      <c r="Z187" s="332">
        <f>IFERROR(IF(Z184="",0,Z184),"0")+IFERROR(IF(Z185="",0,Z185),"0")+IFERROR(IF(Z186="",0,Z186),"0")</f>
        <v>2.0025599999999999</v>
      </c>
      <c r="AA187" s="333"/>
      <c r="AB187" s="333"/>
      <c r="AC187" s="333"/>
    </row>
    <row r="188" spans="1:68" x14ac:dyDescent="0.2">
      <c r="A188" s="339"/>
      <c r="B188" s="339"/>
      <c r="C188" s="339"/>
      <c r="D188" s="339"/>
      <c r="E188" s="339"/>
      <c r="F188" s="339"/>
      <c r="G188" s="339"/>
      <c r="H188" s="339"/>
      <c r="I188" s="339"/>
      <c r="J188" s="339"/>
      <c r="K188" s="339"/>
      <c r="L188" s="339"/>
      <c r="M188" s="339"/>
      <c r="N188" s="339"/>
      <c r="O188" s="351"/>
      <c r="P188" s="344" t="s">
        <v>71</v>
      </c>
      <c r="Q188" s="345"/>
      <c r="R188" s="345"/>
      <c r="S188" s="345"/>
      <c r="T188" s="345"/>
      <c r="U188" s="345"/>
      <c r="V188" s="346"/>
      <c r="W188" s="37" t="s">
        <v>72</v>
      </c>
      <c r="X188" s="332">
        <f>IFERROR(SUMPRODUCT(X184:X186*H184:H186),"0")</f>
        <v>336</v>
      </c>
      <c r="Y188" s="332">
        <f>IFERROR(SUMPRODUCT(Y184:Y186*H184:H186),"0")</f>
        <v>336</v>
      </c>
      <c r="Z188" s="37"/>
      <c r="AA188" s="333"/>
      <c r="AB188" s="333"/>
      <c r="AC188" s="333"/>
    </row>
    <row r="189" spans="1:68" ht="14.25" customHeight="1" x14ac:dyDescent="0.25">
      <c r="A189" s="338" t="s">
        <v>294</v>
      </c>
      <c r="B189" s="339"/>
      <c r="C189" s="339"/>
      <c r="D189" s="339"/>
      <c r="E189" s="339"/>
      <c r="F189" s="339"/>
      <c r="G189" s="339"/>
      <c r="H189" s="339"/>
      <c r="I189" s="339"/>
      <c r="J189" s="339"/>
      <c r="K189" s="339"/>
      <c r="L189" s="339"/>
      <c r="M189" s="339"/>
      <c r="N189" s="339"/>
      <c r="O189" s="339"/>
      <c r="P189" s="339"/>
      <c r="Q189" s="339"/>
      <c r="R189" s="339"/>
      <c r="S189" s="339"/>
      <c r="T189" s="339"/>
      <c r="U189" s="339"/>
      <c r="V189" s="339"/>
      <c r="W189" s="339"/>
      <c r="X189" s="339"/>
      <c r="Y189" s="339"/>
      <c r="Z189" s="339"/>
      <c r="AA189" s="326"/>
      <c r="AB189" s="326"/>
      <c r="AC189" s="326"/>
    </row>
    <row r="190" spans="1:68" ht="27" customHeight="1" x14ac:dyDescent="0.25">
      <c r="A190" s="54" t="s">
        <v>295</v>
      </c>
      <c r="B190" s="54" t="s">
        <v>296</v>
      </c>
      <c r="C190" s="31">
        <v>4301051855</v>
      </c>
      <c r="D190" s="340">
        <v>4680115885875</v>
      </c>
      <c r="E190" s="341"/>
      <c r="F190" s="329">
        <v>1</v>
      </c>
      <c r="G190" s="32">
        <v>9</v>
      </c>
      <c r="H190" s="329">
        <v>9</v>
      </c>
      <c r="I190" s="329">
        <v>9.4350000000000005</v>
      </c>
      <c r="J190" s="32">
        <v>64</v>
      </c>
      <c r="K190" s="32" t="s">
        <v>297</v>
      </c>
      <c r="L190" s="32" t="s">
        <v>66</v>
      </c>
      <c r="M190" s="33" t="s">
        <v>298</v>
      </c>
      <c r="N190" s="33"/>
      <c r="O190" s="32">
        <v>365</v>
      </c>
      <c r="P190" s="503" t="s">
        <v>299</v>
      </c>
      <c r="Q190" s="335"/>
      <c r="R190" s="335"/>
      <c r="S190" s="335"/>
      <c r="T190" s="336"/>
      <c r="U190" s="34"/>
      <c r="V190" s="34"/>
      <c r="W190" s="35" t="s">
        <v>68</v>
      </c>
      <c r="X190" s="330">
        <v>0</v>
      </c>
      <c r="Y190" s="331">
        <f>IFERROR(IF(X190="","",X190),"")</f>
        <v>0</v>
      </c>
      <c r="Z190" s="36">
        <f>IFERROR(IF(X190="","",X190*0.01898),"")</f>
        <v>0</v>
      </c>
      <c r="AA190" s="56"/>
      <c r="AB190" s="57"/>
      <c r="AC190" s="200" t="s">
        <v>300</v>
      </c>
      <c r="AG190" s="67"/>
      <c r="AJ190" s="71" t="s">
        <v>70</v>
      </c>
      <c r="AK190" s="71">
        <v>1</v>
      </c>
      <c r="BB190" s="201" t="s">
        <v>301</v>
      </c>
      <c r="BM190" s="67">
        <f>IFERROR(X190*I190,"0")</f>
        <v>0</v>
      </c>
      <c r="BN190" s="67">
        <f>IFERROR(Y190*I190,"0")</f>
        <v>0</v>
      </c>
      <c r="BO190" s="67">
        <f>IFERROR(X190/J190,"0")</f>
        <v>0</v>
      </c>
      <c r="BP190" s="67">
        <f>IFERROR(Y190/J190,"0")</f>
        <v>0</v>
      </c>
    </row>
    <row r="191" spans="1:68" x14ac:dyDescent="0.2">
      <c r="A191" s="350"/>
      <c r="B191" s="339"/>
      <c r="C191" s="339"/>
      <c r="D191" s="339"/>
      <c r="E191" s="339"/>
      <c r="F191" s="339"/>
      <c r="G191" s="339"/>
      <c r="H191" s="339"/>
      <c r="I191" s="339"/>
      <c r="J191" s="339"/>
      <c r="K191" s="339"/>
      <c r="L191" s="339"/>
      <c r="M191" s="339"/>
      <c r="N191" s="339"/>
      <c r="O191" s="351"/>
      <c r="P191" s="344" t="s">
        <v>71</v>
      </c>
      <c r="Q191" s="345"/>
      <c r="R191" s="345"/>
      <c r="S191" s="345"/>
      <c r="T191" s="345"/>
      <c r="U191" s="345"/>
      <c r="V191" s="346"/>
      <c r="W191" s="37" t="s">
        <v>68</v>
      </c>
      <c r="X191" s="332">
        <f>IFERROR(SUM(X190:X190),"0")</f>
        <v>0</v>
      </c>
      <c r="Y191" s="332">
        <f>IFERROR(SUM(Y190:Y190),"0")</f>
        <v>0</v>
      </c>
      <c r="Z191" s="332">
        <f>IFERROR(IF(Z190="",0,Z190),"0")</f>
        <v>0</v>
      </c>
      <c r="AA191" s="333"/>
      <c r="AB191" s="333"/>
      <c r="AC191" s="333"/>
    </row>
    <row r="192" spans="1:68" x14ac:dyDescent="0.2">
      <c r="A192" s="339"/>
      <c r="B192" s="339"/>
      <c r="C192" s="339"/>
      <c r="D192" s="339"/>
      <c r="E192" s="339"/>
      <c r="F192" s="339"/>
      <c r="G192" s="339"/>
      <c r="H192" s="339"/>
      <c r="I192" s="339"/>
      <c r="J192" s="339"/>
      <c r="K192" s="339"/>
      <c r="L192" s="339"/>
      <c r="M192" s="339"/>
      <c r="N192" s="339"/>
      <c r="O192" s="351"/>
      <c r="P192" s="344" t="s">
        <v>71</v>
      </c>
      <c r="Q192" s="345"/>
      <c r="R192" s="345"/>
      <c r="S192" s="345"/>
      <c r="T192" s="345"/>
      <c r="U192" s="345"/>
      <c r="V192" s="346"/>
      <c r="W192" s="37" t="s">
        <v>72</v>
      </c>
      <c r="X192" s="332">
        <f>IFERROR(SUMPRODUCT(X190:X190*H190:H190),"0")</f>
        <v>0</v>
      </c>
      <c r="Y192" s="332">
        <f>IFERROR(SUMPRODUCT(Y190:Y190*H190:H190),"0")</f>
        <v>0</v>
      </c>
      <c r="Z192" s="37"/>
      <c r="AA192" s="333"/>
      <c r="AB192" s="333"/>
      <c r="AC192" s="333"/>
    </row>
    <row r="193" spans="1:68" ht="27.75" customHeight="1" x14ac:dyDescent="0.2">
      <c r="A193" s="435" t="s">
        <v>302</v>
      </c>
      <c r="B193" s="436"/>
      <c r="C193" s="436"/>
      <c r="D193" s="436"/>
      <c r="E193" s="436"/>
      <c r="F193" s="436"/>
      <c r="G193" s="436"/>
      <c r="H193" s="436"/>
      <c r="I193" s="436"/>
      <c r="J193" s="436"/>
      <c r="K193" s="436"/>
      <c r="L193" s="436"/>
      <c r="M193" s="436"/>
      <c r="N193" s="436"/>
      <c r="O193" s="436"/>
      <c r="P193" s="436"/>
      <c r="Q193" s="436"/>
      <c r="R193" s="436"/>
      <c r="S193" s="436"/>
      <c r="T193" s="436"/>
      <c r="U193" s="436"/>
      <c r="V193" s="436"/>
      <c r="W193" s="436"/>
      <c r="X193" s="436"/>
      <c r="Y193" s="436"/>
      <c r="Z193" s="436"/>
      <c r="AA193" s="48"/>
      <c r="AB193" s="48"/>
      <c r="AC193" s="48"/>
    </row>
    <row r="194" spans="1:68" ht="16.5" customHeight="1" x14ac:dyDescent="0.25">
      <c r="A194" s="364" t="s">
        <v>303</v>
      </c>
      <c r="B194" s="339"/>
      <c r="C194" s="339"/>
      <c r="D194" s="339"/>
      <c r="E194" s="339"/>
      <c r="F194" s="339"/>
      <c r="G194" s="339"/>
      <c r="H194" s="339"/>
      <c r="I194" s="339"/>
      <c r="J194" s="339"/>
      <c r="K194" s="339"/>
      <c r="L194" s="339"/>
      <c r="M194" s="339"/>
      <c r="N194" s="339"/>
      <c r="O194" s="339"/>
      <c r="P194" s="339"/>
      <c r="Q194" s="339"/>
      <c r="R194" s="339"/>
      <c r="S194" s="339"/>
      <c r="T194" s="339"/>
      <c r="U194" s="339"/>
      <c r="V194" s="339"/>
      <c r="W194" s="339"/>
      <c r="X194" s="339"/>
      <c r="Y194" s="339"/>
      <c r="Z194" s="339"/>
      <c r="AA194" s="325"/>
      <c r="AB194" s="325"/>
      <c r="AC194" s="325"/>
    </row>
    <row r="195" spans="1:68" ht="14.25" customHeight="1" x14ac:dyDescent="0.25">
      <c r="A195" s="338" t="s">
        <v>138</v>
      </c>
      <c r="B195" s="339"/>
      <c r="C195" s="339"/>
      <c r="D195" s="339"/>
      <c r="E195" s="339"/>
      <c r="F195" s="339"/>
      <c r="G195" s="339"/>
      <c r="H195" s="339"/>
      <c r="I195" s="339"/>
      <c r="J195" s="339"/>
      <c r="K195" s="339"/>
      <c r="L195" s="339"/>
      <c r="M195" s="339"/>
      <c r="N195" s="339"/>
      <c r="O195" s="339"/>
      <c r="P195" s="339"/>
      <c r="Q195" s="339"/>
      <c r="R195" s="339"/>
      <c r="S195" s="339"/>
      <c r="T195" s="339"/>
      <c r="U195" s="339"/>
      <c r="V195" s="339"/>
      <c r="W195" s="339"/>
      <c r="X195" s="339"/>
      <c r="Y195" s="339"/>
      <c r="Z195" s="339"/>
      <c r="AA195" s="326"/>
      <c r="AB195" s="326"/>
      <c r="AC195" s="326"/>
    </row>
    <row r="196" spans="1:68" ht="27" customHeight="1" x14ac:dyDescent="0.25">
      <c r="A196" s="54" t="s">
        <v>304</v>
      </c>
      <c r="B196" s="54" t="s">
        <v>305</v>
      </c>
      <c r="C196" s="31">
        <v>4301135707</v>
      </c>
      <c r="D196" s="340">
        <v>4620207490198</v>
      </c>
      <c r="E196" s="341"/>
      <c r="F196" s="329">
        <v>0.2</v>
      </c>
      <c r="G196" s="32">
        <v>12</v>
      </c>
      <c r="H196" s="329">
        <v>2.4</v>
      </c>
      <c r="I196" s="329">
        <v>3.1036000000000001</v>
      </c>
      <c r="J196" s="32">
        <v>70</v>
      </c>
      <c r="K196" s="32" t="s">
        <v>78</v>
      </c>
      <c r="L196" s="32" t="s">
        <v>66</v>
      </c>
      <c r="M196" s="33" t="s">
        <v>67</v>
      </c>
      <c r="N196" s="33"/>
      <c r="O196" s="32">
        <v>180</v>
      </c>
      <c r="P196" s="520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6" s="335"/>
      <c r="R196" s="335"/>
      <c r="S196" s="335"/>
      <c r="T196" s="336"/>
      <c r="U196" s="34"/>
      <c r="V196" s="34"/>
      <c r="W196" s="35" t="s">
        <v>68</v>
      </c>
      <c r="X196" s="330">
        <v>14</v>
      </c>
      <c r="Y196" s="331">
        <f>IFERROR(IF(X196="","",X196),"")</f>
        <v>14</v>
      </c>
      <c r="Z196" s="36">
        <f>IFERROR(IF(X196="","",X196*0.01788),"")</f>
        <v>0.25031999999999999</v>
      </c>
      <c r="AA196" s="56"/>
      <c r="AB196" s="57"/>
      <c r="AC196" s="202" t="s">
        <v>306</v>
      </c>
      <c r="AG196" s="67"/>
      <c r="AJ196" s="71" t="s">
        <v>70</v>
      </c>
      <c r="AK196" s="71">
        <v>1</v>
      </c>
      <c r="BB196" s="203" t="s">
        <v>81</v>
      </c>
      <c r="BM196" s="67">
        <f>IFERROR(X196*I196,"0")</f>
        <v>43.450400000000002</v>
      </c>
      <c r="BN196" s="67">
        <f>IFERROR(Y196*I196,"0")</f>
        <v>43.450400000000002</v>
      </c>
      <c r="BO196" s="67">
        <f>IFERROR(X196/J196,"0")</f>
        <v>0.2</v>
      </c>
      <c r="BP196" s="67">
        <f>IFERROR(Y196/J196,"0")</f>
        <v>0.2</v>
      </c>
    </row>
    <row r="197" spans="1:68" ht="27" customHeight="1" x14ac:dyDescent="0.25">
      <c r="A197" s="54" t="s">
        <v>307</v>
      </c>
      <c r="B197" s="54" t="s">
        <v>308</v>
      </c>
      <c r="C197" s="31">
        <v>4301135719</v>
      </c>
      <c r="D197" s="340">
        <v>4620207490235</v>
      </c>
      <c r="E197" s="341"/>
      <c r="F197" s="329">
        <v>0.2</v>
      </c>
      <c r="G197" s="32">
        <v>12</v>
      </c>
      <c r="H197" s="329">
        <v>2.4</v>
      </c>
      <c r="I197" s="329">
        <v>3.1036000000000001</v>
      </c>
      <c r="J197" s="32">
        <v>70</v>
      </c>
      <c r="K197" s="32" t="s">
        <v>78</v>
      </c>
      <c r="L197" s="32" t="s">
        <v>66</v>
      </c>
      <c r="M197" s="33" t="s">
        <v>67</v>
      </c>
      <c r="N197" s="33"/>
      <c r="O197" s="32">
        <v>180</v>
      </c>
      <c r="P197" s="430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197" s="335"/>
      <c r="R197" s="335"/>
      <c r="S197" s="335"/>
      <c r="T197" s="336"/>
      <c r="U197" s="34"/>
      <c r="V197" s="34"/>
      <c r="W197" s="35" t="s">
        <v>68</v>
      </c>
      <c r="X197" s="330">
        <v>0</v>
      </c>
      <c r="Y197" s="331">
        <f>IFERROR(IF(X197="","",X197),"")</f>
        <v>0</v>
      </c>
      <c r="Z197" s="36">
        <f>IFERROR(IF(X197="","",X197*0.01788),"")</f>
        <v>0</v>
      </c>
      <c r="AA197" s="56"/>
      <c r="AB197" s="57"/>
      <c r="AC197" s="204" t="s">
        <v>309</v>
      </c>
      <c r="AG197" s="67"/>
      <c r="AJ197" s="71" t="s">
        <v>70</v>
      </c>
      <c r="AK197" s="71">
        <v>1</v>
      </c>
      <c r="BB197" s="205" t="s">
        <v>81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ht="27" customHeight="1" x14ac:dyDescent="0.25">
      <c r="A198" s="54" t="s">
        <v>310</v>
      </c>
      <c r="B198" s="54" t="s">
        <v>311</v>
      </c>
      <c r="C198" s="31">
        <v>4301135697</v>
      </c>
      <c r="D198" s="340">
        <v>4620207490259</v>
      </c>
      <c r="E198" s="341"/>
      <c r="F198" s="329">
        <v>0.2</v>
      </c>
      <c r="G198" s="32">
        <v>12</v>
      </c>
      <c r="H198" s="329">
        <v>2.4</v>
      </c>
      <c r="I198" s="329">
        <v>3.1036000000000001</v>
      </c>
      <c r="J198" s="32">
        <v>70</v>
      </c>
      <c r="K198" s="32" t="s">
        <v>78</v>
      </c>
      <c r="L198" s="32" t="s">
        <v>66</v>
      </c>
      <c r="M198" s="33" t="s">
        <v>67</v>
      </c>
      <c r="N198" s="33"/>
      <c r="O198" s="32">
        <v>180</v>
      </c>
      <c r="P198" s="524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98" s="335"/>
      <c r="R198" s="335"/>
      <c r="S198" s="335"/>
      <c r="T198" s="336"/>
      <c r="U198" s="34"/>
      <c r="V198" s="34"/>
      <c r="W198" s="35" t="s">
        <v>68</v>
      </c>
      <c r="X198" s="330">
        <v>14</v>
      </c>
      <c r="Y198" s="331">
        <f>IFERROR(IF(X198="","",X198),"")</f>
        <v>14</v>
      </c>
      <c r="Z198" s="36">
        <f>IFERROR(IF(X198="","",X198*0.01788),"")</f>
        <v>0.25031999999999999</v>
      </c>
      <c r="AA198" s="56"/>
      <c r="AB198" s="57"/>
      <c r="AC198" s="206" t="s">
        <v>306</v>
      </c>
      <c r="AG198" s="67"/>
      <c r="AJ198" s="71" t="s">
        <v>70</v>
      </c>
      <c r="AK198" s="71">
        <v>1</v>
      </c>
      <c r="BB198" s="207" t="s">
        <v>81</v>
      </c>
      <c r="BM198" s="67">
        <f>IFERROR(X198*I198,"0")</f>
        <v>43.450400000000002</v>
      </c>
      <c r="BN198" s="67">
        <f>IFERROR(Y198*I198,"0")</f>
        <v>43.450400000000002</v>
      </c>
      <c r="BO198" s="67">
        <f>IFERROR(X198/J198,"0")</f>
        <v>0.2</v>
      </c>
      <c r="BP198" s="67">
        <f>IFERROR(Y198/J198,"0")</f>
        <v>0.2</v>
      </c>
    </row>
    <row r="199" spans="1:68" ht="27" customHeight="1" x14ac:dyDescent="0.25">
      <c r="A199" s="54" t="s">
        <v>312</v>
      </c>
      <c r="B199" s="54" t="s">
        <v>313</v>
      </c>
      <c r="C199" s="31">
        <v>4301135681</v>
      </c>
      <c r="D199" s="340">
        <v>4620207490143</v>
      </c>
      <c r="E199" s="341"/>
      <c r="F199" s="329">
        <v>0.22</v>
      </c>
      <c r="G199" s="32">
        <v>12</v>
      </c>
      <c r="H199" s="329">
        <v>2.64</v>
      </c>
      <c r="I199" s="329">
        <v>3.3435999999999999</v>
      </c>
      <c r="J199" s="32">
        <v>70</v>
      </c>
      <c r="K199" s="32" t="s">
        <v>78</v>
      </c>
      <c r="L199" s="32" t="s">
        <v>66</v>
      </c>
      <c r="M199" s="33" t="s">
        <v>67</v>
      </c>
      <c r="N199" s="33"/>
      <c r="O199" s="32">
        <v>180</v>
      </c>
      <c r="P199" s="534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99" s="335"/>
      <c r="R199" s="335"/>
      <c r="S199" s="335"/>
      <c r="T199" s="336"/>
      <c r="U199" s="34"/>
      <c r="V199" s="34"/>
      <c r="W199" s="35" t="s">
        <v>68</v>
      </c>
      <c r="X199" s="330">
        <v>0</v>
      </c>
      <c r="Y199" s="331">
        <f>IFERROR(IF(X199="","",X199),"")</f>
        <v>0</v>
      </c>
      <c r="Z199" s="36">
        <f>IFERROR(IF(X199="","",X199*0.01788),"")</f>
        <v>0</v>
      </c>
      <c r="AA199" s="56"/>
      <c r="AB199" s="57"/>
      <c r="AC199" s="208" t="s">
        <v>314</v>
      </c>
      <c r="AG199" s="67"/>
      <c r="AJ199" s="71" t="s">
        <v>70</v>
      </c>
      <c r="AK199" s="71">
        <v>1</v>
      </c>
      <c r="BB199" s="209" t="s">
        <v>81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x14ac:dyDescent="0.2">
      <c r="A200" s="350"/>
      <c r="B200" s="339"/>
      <c r="C200" s="339"/>
      <c r="D200" s="339"/>
      <c r="E200" s="339"/>
      <c r="F200" s="339"/>
      <c r="G200" s="339"/>
      <c r="H200" s="339"/>
      <c r="I200" s="339"/>
      <c r="J200" s="339"/>
      <c r="K200" s="339"/>
      <c r="L200" s="339"/>
      <c r="M200" s="339"/>
      <c r="N200" s="339"/>
      <c r="O200" s="351"/>
      <c r="P200" s="344" t="s">
        <v>71</v>
      </c>
      <c r="Q200" s="345"/>
      <c r="R200" s="345"/>
      <c r="S200" s="345"/>
      <c r="T200" s="345"/>
      <c r="U200" s="345"/>
      <c r="V200" s="346"/>
      <c r="W200" s="37" t="s">
        <v>68</v>
      </c>
      <c r="X200" s="332">
        <f>IFERROR(SUM(X196:X199),"0")</f>
        <v>28</v>
      </c>
      <c r="Y200" s="332">
        <f>IFERROR(SUM(Y196:Y199),"0")</f>
        <v>28</v>
      </c>
      <c r="Z200" s="332">
        <f>IFERROR(IF(Z196="",0,Z196),"0")+IFERROR(IF(Z197="",0,Z197),"0")+IFERROR(IF(Z198="",0,Z198),"0")+IFERROR(IF(Z199="",0,Z199),"0")</f>
        <v>0.50063999999999997</v>
      </c>
      <c r="AA200" s="333"/>
      <c r="AB200" s="333"/>
      <c r="AC200" s="333"/>
    </row>
    <row r="201" spans="1:68" x14ac:dyDescent="0.2">
      <c r="A201" s="339"/>
      <c r="B201" s="339"/>
      <c r="C201" s="339"/>
      <c r="D201" s="339"/>
      <c r="E201" s="339"/>
      <c r="F201" s="339"/>
      <c r="G201" s="339"/>
      <c r="H201" s="339"/>
      <c r="I201" s="339"/>
      <c r="J201" s="339"/>
      <c r="K201" s="339"/>
      <c r="L201" s="339"/>
      <c r="M201" s="339"/>
      <c r="N201" s="339"/>
      <c r="O201" s="351"/>
      <c r="P201" s="344" t="s">
        <v>71</v>
      </c>
      <c r="Q201" s="345"/>
      <c r="R201" s="345"/>
      <c r="S201" s="345"/>
      <c r="T201" s="345"/>
      <c r="U201" s="345"/>
      <c r="V201" s="346"/>
      <c r="W201" s="37" t="s">
        <v>72</v>
      </c>
      <c r="X201" s="332">
        <f>IFERROR(SUMPRODUCT(X196:X199*H196:H199),"0")</f>
        <v>67.2</v>
      </c>
      <c r="Y201" s="332">
        <f>IFERROR(SUMPRODUCT(Y196:Y199*H196:H199),"0")</f>
        <v>67.2</v>
      </c>
      <c r="Z201" s="37"/>
      <c r="AA201" s="333"/>
      <c r="AB201" s="333"/>
      <c r="AC201" s="333"/>
    </row>
    <row r="202" spans="1:68" ht="16.5" customHeight="1" x14ac:dyDescent="0.25">
      <c r="A202" s="364" t="s">
        <v>315</v>
      </c>
      <c r="B202" s="339"/>
      <c r="C202" s="339"/>
      <c r="D202" s="339"/>
      <c r="E202" s="339"/>
      <c r="F202" s="339"/>
      <c r="G202" s="339"/>
      <c r="H202" s="339"/>
      <c r="I202" s="339"/>
      <c r="J202" s="339"/>
      <c r="K202" s="339"/>
      <c r="L202" s="339"/>
      <c r="M202" s="339"/>
      <c r="N202" s="339"/>
      <c r="O202" s="339"/>
      <c r="P202" s="339"/>
      <c r="Q202" s="339"/>
      <c r="R202" s="339"/>
      <c r="S202" s="339"/>
      <c r="T202" s="339"/>
      <c r="U202" s="339"/>
      <c r="V202" s="339"/>
      <c r="W202" s="339"/>
      <c r="X202" s="339"/>
      <c r="Y202" s="339"/>
      <c r="Z202" s="339"/>
      <c r="AA202" s="325"/>
      <c r="AB202" s="325"/>
      <c r="AC202" s="325"/>
    </row>
    <row r="203" spans="1:68" ht="14.25" customHeight="1" x14ac:dyDescent="0.25">
      <c r="A203" s="338" t="s">
        <v>62</v>
      </c>
      <c r="B203" s="339"/>
      <c r="C203" s="339"/>
      <c r="D203" s="339"/>
      <c r="E203" s="339"/>
      <c r="F203" s="339"/>
      <c r="G203" s="339"/>
      <c r="H203" s="339"/>
      <c r="I203" s="339"/>
      <c r="J203" s="339"/>
      <c r="K203" s="339"/>
      <c r="L203" s="339"/>
      <c r="M203" s="339"/>
      <c r="N203" s="339"/>
      <c r="O203" s="339"/>
      <c r="P203" s="339"/>
      <c r="Q203" s="339"/>
      <c r="R203" s="339"/>
      <c r="S203" s="339"/>
      <c r="T203" s="339"/>
      <c r="U203" s="339"/>
      <c r="V203" s="339"/>
      <c r="W203" s="339"/>
      <c r="X203" s="339"/>
      <c r="Y203" s="339"/>
      <c r="Z203" s="339"/>
      <c r="AA203" s="326"/>
      <c r="AB203" s="326"/>
      <c r="AC203" s="326"/>
    </row>
    <row r="204" spans="1:68" ht="16.5" customHeight="1" x14ac:dyDescent="0.25">
      <c r="A204" s="54" t="s">
        <v>316</v>
      </c>
      <c r="B204" s="54" t="s">
        <v>317</v>
      </c>
      <c r="C204" s="31">
        <v>4301070948</v>
      </c>
      <c r="D204" s="340">
        <v>4607111037022</v>
      </c>
      <c r="E204" s="341"/>
      <c r="F204" s="329">
        <v>0.7</v>
      </c>
      <c r="G204" s="32">
        <v>8</v>
      </c>
      <c r="H204" s="329">
        <v>5.6</v>
      </c>
      <c r="I204" s="329">
        <v>5.87</v>
      </c>
      <c r="J204" s="32">
        <v>84</v>
      </c>
      <c r="K204" s="32" t="s">
        <v>65</v>
      </c>
      <c r="L204" s="32" t="s">
        <v>66</v>
      </c>
      <c r="M204" s="33" t="s">
        <v>67</v>
      </c>
      <c r="N204" s="33"/>
      <c r="O204" s="32">
        <v>180</v>
      </c>
      <c r="P204" s="467" t="str">
        <f>HYPERLINK("https://abi.ru/products/Замороженные/Стародворье/Мясорубская/Пельмени/P003355/","Пельмени Мясорубские Стародворье ЗПФ 0,7 Равиоли Стародворье")</f>
        <v>Пельмени Мясорубские Стародворье ЗПФ 0,7 Равиоли Стародворье</v>
      </c>
      <c r="Q204" s="335"/>
      <c r="R204" s="335"/>
      <c r="S204" s="335"/>
      <c r="T204" s="336"/>
      <c r="U204" s="34"/>
      <c r="V204" s="34"/>
      <c r="W204" s="35" t="s">
        <v>68</v>
      </c>
      <c r="X204" s="330">
        <v>12</v>
      </c>
      <c r="Y204" s="331">
        <f>IFERROR(IF(X204="","",X204),"")</f>
        <v>12</v>
      </c>
      <c r="Z204" s="36">
        <f>IFERROR(IF(X204="","",X204*0.0155),"")</f>
        <v>0.186</v>
      </c>
      <c r="AA204" s="56"/>
      <c r="AB204" s="57"/>
      <c r="AC204" s="210" t="s">
        <v>318</v>
      </c>
      <c r="AG204" s="67"/>
      <c r="AJ204" s="71" t="s">
        <v>70</v>
      </c>
      <c r="AK204" s="71">
        <v>1</v>
      </c>
      <c r="BB204" s="211" t="s">
        <v>1</v>
      </c>
      <c r="BM204" s="67">
        <f>IFERROR(X204*I204,"0")</f>
        <v>70.44</v>
      </c>
      <c r="BN204" s="67">
        <f>IFERROR(Y204*I204,"0")</f>
        <v>70.44</v>
      </c>
      <c r="BO204" s="67">
        <f>IFERROR(X204/J204,"0")</f>
        <v>0.14285714285714285</v>
      </c>
      <c r="BP204" s="67">
        <f>IFERROR(Y204/J204,"0")</f>
        <v>0.14285714285714285</v>
      </c>
    </row>
    <row r="205" spans="1:68" ht="27" customHeight="1" x14ac:dyDescent="0.25">
      <c r="A205" s="54" t="s">
        <v>319</v>
      </c>
      <c r="B205" s="54" t="s">
        <v>320</v>
      </c>
      <c r="C205" s="31">
        <v>4301070990</v>
      </c>
      <c r="D205" s="340">
        <v>4607111038494</v>
      </c>
      <c r="E205" s="341"/>
      <c r="F205" s="329">
        <v>0.7</v>
      </c>
      <c r="G205" s="32">
        <v>8</v>
      </c>
      <c r="H205" s="329">
        <v>5.6</v>
      </c>
      <c r="I205" s="329">
        <v>5.87</v>
      </c>
      <c r="J205" s="32">
        <v>84</v>
      </c>
      <c r="K205" s="32" t="s">
        <v>65</v>
      </c>
      <c r="L205" s="32" t="s">
        <v>66</v>
      </c>
      <c r="M205" s="33" t="s">
        <v>67</v>
      </c>
      <c r="N205" s="33"/>
      <c r="O205" s="32">
        <v>180</v>
      </c>
      <c r="P205" s="420" t="str">
        <f>HYPERLINK("https://abi.ru/products/Замороженные/Стародворье/Мясорубская/Пельмени/P003731/","Пельмени «Мясорубские с рубленой говядиной» 0,7 сфера ТМ «Стародворье»")</f>
        <v>Пельмени «Мясорубские с рубленой говядиной» 0,7 сфера ТМ «Стародворье»</v>
      </c>
      <c r="Q205" s="335"/>
      <c r="R205" s="335"/>
      <c r="S205" s="335"/>
      <c r="T205" s="336"/>
      <c r="U205" s="34"/>
      <c r="V205" s="34"/>
      <c r="W205" s="35" t="s">
        <v>68</v>
      </c>
      <c r="X205" s="330">
        <v>0</v>
      </c>
      <c r="Y205" s="331">
        <f>IFERROR(IF(X205="","",X205),"")</f>
        <v>0</v>
      </c>
      <c r="Z205" s="36">
        <f>IFERROR(IF(X205="","",X205*0.0155),"")</f>
        <v>0</v>
      </c>
      <c r="AA205" s="56"/>
      <c r="AB205" s="57"/>
      <c r="AC205" s="212" t="s">
        <v>321</v>
      </c>
      <c r="AG205" s="67"/>
      <c r="AJ205" s="71" t="s">
        <v>70</v>
      </c>
      <c r="AK205" s="71">
        <v>1</v>
      </c>
      <c r="BB205" s="213" t="s">
        <v>1</v>
      </c>
      <c r="BM205" s="67">
        <f>IFERROR(X205*I205,"0")</f>
        <v>0</v>
      </c>
      <c r="BN205" s="67">
        <f>IFERROR(Y205*I205,"0")</f>
        <v>0</v>
      </c>
      <c r="BO205" s="67">
        <f>IFERROR(X205/J205,"0")</f>
        <v>0</v>
      </c>
      <c r="BP205" s="67">
        <f>IFERROR(Y205/J205,"0")</f>
        <v>0</v>
      </c>
    </row>
    <row r="206" spans="1:68" ht="27" customHeight="1" x14ac:dyDescent="0.25">
      <c r="A206" s="54" t="s">
        <v>322</v>
      </c>
      <c r="B206" s="54" t="s">
        <v>323</v>
      </c>
      <c r="C206" s="31">
        <v>4301070966</v>
      </c>
      <c r="D206" s="340">
        <v>4607111038135</v>
      </c>
      <c r="E206" s="341"/>
      <c r="F206" s="329">
        <v>0.7</v>
      </c>
      <c r="G206" s="32">
        <v>8</v>
      </c>
      <c r="H206" s="329">
        <v>5.6</v>
      </c>
      <c r="I206" s="329">
        <v>5.87</v>
      </c>
      <c r="J206" s="32">
        <v>84</v>
      </c>
      <c r="K206" s="32" t="s">
        <v>65</v>
      </c>
      <c r="L206" s="32" t="s">
        <v>66</v>
      </c>
      <c r="M206" s="33" t="s">
        <v>67</v>
      </c>
      <c r="N206" s="33"/>
      <c r="O206" s="32">
        <v>180</v>
      </c>
      <c r="P206" s="468" t="str">
        <f>HYPERLINK("https://abi.ru/products/Замороженные/Стародворье/Мясорубская/Пельмени/P003648/","Пельмени «Мясорубские с рубленой грудинкой» 0,7 Классическая форма ТМ «Стародворье»")</f>
        <v>Пельмени «Мясорубские с рубленой грудинкой» 0,7 Классическая форма ТМ «Стародворье»</v>
      </c>
      <c r="Q206" s="335"/>
      <c r="R206" s="335"/>
      <c r="S206" s="335"/>
      <c r="T206" s="336"/>
      <c r="U206" s="34"/>
      <c r="V206" s="34"/>
      <c r="W206" s="35" t="s">
        <v>68</v>
      </c>
      <c r="X206" s="330">
        <v>0</v>
      </c>
      <c r="Y206" s="331">
        <f>IFERROR(IF(X206="","",X206),"")</f>
        <v>0</v>
      </c>
      <c r="Z206" s="36">
        <f>IFERROR(IF(X206="","",X206*0.0155),"")</f>
        <v>0</v>
      </c>
      <c r="AA206" s="56"/>
      <c r="AB206" s="57"/>
      <c r="AC206" s="214" t="s">
        <v>324</v>
      </c>
      <c r="AG206" s="67"/>
      <c r="AJ206" s="71" t="s">
        <v>70</v>
      </c>
      <c r="AK206" s="71">
        <v>1</v>
      </c>
      <c r="BB206" s="215" t="s">
        <v>1</v>
      </c>
      <c r="BM206" s="67">
        <f>IFERROR(X206*I206,"0")</f>
        <v>0</v>
      </c>
      <c r="BN206" s="67">
        <f>IFERROR(Y206*I206,"0")</f>
        <v>0</v>
      </c>
      <c r="BO206" s="67">
        <f>IFERROR(X206/J206,"0")</f>
        <v>0</v>
      </c>
      <c r="BP206" s="67">
        <f>IFERROR(Y206/J206,"0")</f>
        <v>0</v>
      </c>
    </row>
    <row r="207" spans="1:68" x14ac:dyDescent="0.2">
      <c r="A207" s="350"/>
      <c r="B207" s="339"/>
      <c r="C207" s="339"/>
      <c r="D207" s="339"/>
      <c r="E207" s="339"/>
      <c r="F207" s="339"/>
      <c r="G207" s="339"/>
      <c r="H207" s="339"/>
      <c r="I207" s="339"/>
      <c r="J207" s="339"/>
      <c r="K207" s="339"/>
      <c r="L207" s="339"/>
      <c r="M207" s="339"/>
      <c r="N207" s="339"/>
      <c r="O207" s="351"/>
      <c r="P207" s="344" t="s">
        <v>71</v>
      </c>
      <c r="Q207" s="345"/>
      <c r="R207" s="345"/>
      <c r="S207" s="345"/>
      <c r="T207" s="345"/>
      <c r="U207" s="345"/>
      <c r="V207" s="346"/>
      <c r="W207" s="37" t="s">
        <v>68</v>
      </c>
      <c r="X207" s="332">
        <f>IFERROR(SUM(X204:X206),"0")</f>
        <v>12</v>
      </c>
      <c r="Y207" s="332">
        <f>IFERROR(SUM(Y204:Y206),"0")</f>
        <v>12</v>
      </c>
      <c r="Z207" s="332">
        <f>IFERROR(IF(Z204="",0,Z204),"0")+IFERROR(IF(Z205="",0,Z205),"0")+IFERROR(IF(Z206="",0,Z206),"0")</f>
        <v>0.186</v>
      </c>
      <c r="AA207" s="333"/>
      <c r="AB207" s="333"/>
      <c r="AC207" s="333"/>
    </row>
    <row r="208" spans="1:68" x14ac:dyDescent="0.2">
      <c r="A208" s="339"/>
      <c r="B208" s="339"/>
      <c r="C208" s="339"/>
      <c r="D208" s="339"/>
      <c r="E208" s="339"/>
      <c r="F208" s="339"/>
      <c r="G208" s="339"/>
      <c r="H208" s="339"/>
      <c r="I208" s="339"/>
      <c r="J208" s="339"/>
      <c r="K208" s="339"/>
      <c r="L208" s="339"/>
      <c r="M208" s="339"/>
      <c r="N208" s="339"/>
      <c r="O208" s="351"/>
      <c r="P208" s="344" t="s">
        <v>71</v>
      </c>
      <c r="Q208" s="345"/>
      <c r="R208" s="345"/>
      <c r="S208" s="345"/>
      <c r="T208" s="345"/>
      <c r="U208" s="345"/>
      <c r="V208" s="346"/>
      <c r="W208" s="37" t="s">
        <v>72</v>
      </c>
      <c r="X208" s="332">
        <f>IFERROR(SUMPRODUCT(X204:X206*H204:H206),"0")</f>
        <v>67.199999999999989</v>
      </c>
      <c r="Y208" s="332">
        <f>IFERROR(SUMPRODUCT(Y204:Y206*H204:H206),"0")</f>
        <v>67.199999999999989</v>
      </c>
      <c r="Z208" s="37"/>
      <c r="AA208" s="333"/>
      <c r="AB208" s="333"/>
      <c r="AC208" s="333"/>
    </row>
    <row r="209" spans="1:68" ht="16.5" customHeight="1" x14ac:dyDescent="0.25">
      <c r="A209" s="364" t="s">
        <v>325</v>
      </c>
      <c r="B209" s="339"/>
      <c r="C209" s="339"/>
      <c r="D209" s="339"/>
      <c r="E209" s="339"/>
      <c r="F209" s="339"/>
      <c r="G209" s="339"/>
      <c r="H209" s="339"/>
      <c r="I209" s="339"/>
      <c r="J209" s="339"/>
      <c r="K209" s="339"/>
      <c r="L209" s="339"/>
      <c r="M209" s="339"/>
      <c r="N209" s="339"/>
      <c r="O209" s="339"/>
      <c r="P209" s="339"/>
      <c r="Q209" s="339"/>
      <c r="R209" s="339"/>
      <c r="S209" s="339"/>
      <c r="T209" s="339"/>
      <c r="U209" s="339"/>
      <c r="V209" s="339"/>
      <c r="W209" s="339"/>
      <c r="X209" s="339"/>
      <c r="Y209" s="339"/>
      <c r="Z209" s="339"/>
      <c r="AA209" s="325"/>
      <c r="AB209" s="325"/>
      <c r="AC209" s="325"/>
    </row>
    <row r="210" spans="1:68" ht="14.25" customHeight="1" x14ac:dyDescent="0.25">
      <c r="A210" s="338" t="s">
        <v>62</v>
      </c>
      <c r="B210" s="339"/>
      <c r="C210" s="339"/>
      <c r="D210" s="339"/>
      <c r="E210" s="339"/>
      <c r="F210" s="339"/>
      <c r="G210" s="339"/>
      <c r="H210" s="339"/>
      <c r="I210" s="339"/>
      <c r="J210" s="339"/>
      <c r="K210" s="339"/>
      <c r="L210" s="339"/>
      <c r="M210" s="339"/>
      <c r="N210" s="339"/>
      <c r="O210" s="339"/>
      <c r="P210" s="339"/>
      <c r="Q210" s="339"/>
      <c r="R210" s="339"/>
      <c r="S210" s="339"/>
      <c r="T210" s="339"/>
      <c r="U210" s="339"/>
      <c r="V210" s="339"/>
      <c r="W210" s="339"/>
      <c r="X210" s="339"/>
      <c r="Y210" s="339"/>
      <c r="Z210" s="339"/>
      <c r="AA210" s="326"/>
      <c r="AB210" s="326"/>
      <c r="AC210" s="326"/>
    </row>
    <row r="211" spans="1:68" ht="27" customHeight="1" x14ac:dyDescent="0.25">
      <c r="A211" s="54" t="s">
        <v>326</v>
      </c>
      <c r="B211" s="54" t="s">
        <v>327</v>
      </c>
      <c r="C211" s="31">
        <v>4301070996</v>
      </c>
      <c r="D211" s="340">
        <v>4607111038654</v>
      </c>
      <c r="E211" s="341"/>
      <c r="F211" s="329">
        <v>0.4</v>
      </c>
      <c r="G211" s="32">
        <v>16</v>
      </c>
      <c r="H211" s="329">
        <v>6.4</v>
      </c>
      <c r="I211" s="329">
        <v>6.63</v>
      </c>
      <c r="J211" s="32">
        <v>84</v>
      </c>
      <c r="K211" s="32" t="s">
        <v>65</v>
      </c>
      <c r="L211" s="32" t="s">
        <v>66</v>
      </c>
      <c r="M211" s="33" t="s">
        <v>67</v>
      </c>
      <c r="N211" s="33"/>
      <c r="O211" s="32">
        <v>180</v>
      </c>
      <c r="P211" s="459" t="str">
        <f>HYPERLINK("https://abi.ru/products/Замороженные/Стародворье/Медвежьи ушки/Пельмени/P003918/","Пельмени «Медвежьи ушки с фермерскими сливками» 0,4 Классическая форма ТМ «Стародворье»")</f>
        <v>Пельмени «Медвежьи ушки с фермерскими сливками» 0,4 Классическая форма ТМ «Стародворье»</v>
      </c>
      <c r="Q211" s="335"/>
      <c r="R211" s="335"/>
      <c r="S211" s="335"/>
      <c r="T211" s="336"/>
      <c r="U211" s="34"/>
      <c r="V211" s="34"/>
      <c r="W211" s="35" t="s">
        <v>68</v>
      </c>
      <c r="X211" s="330">
        <v>0</v>
      </c>
      <c r="Y211" s="331">
        <f t="shared" ref="Y211:Y216" si="18">IFERROR(IF(X211="","",X211),"")</f>
        <v>0</v>
      </c>
      <c r="Z211" s="36">
        <f t="shared" ref="Z211:Z216" si="19">IFERROR(IF(X211="","",X211*0.0155),"")</f>
        <v>0</v>
      </c>
      <c r="AA211" s="56"/>
      <c r="AB211" s="57"/>
      <c r="AC211" s="216" t="s">
        <v>328</v>
      </c>
      <c r="AG211" s="67"/>
      <c r="AJ211" s="71" t="s">
        <v>70</v>
      </c>
      <c r="AK211" s="71">
        <v>1</v>
      </c>
      <c r="BB211" s="217" t="s">
        <v>1</v>
      </c>
      <c r="BM211" s="67">
        <f t="shared" ref="BM211:BM216" si="20">IFERROR(X211*I211,"0")</f>
        <v>0</v>
      </c>
      <c r="BN211" s="67">
        <f t="shared" ref="BN211:BN216" si="21">IFERROR(Y211*I211,"0")</f>
        <v>0</v>
      </c>
      <c r="BO211" s="67">
        <f t="shared" ref="BO211:BO216" si="22">IFERROR(X211/J211,"0")</f>
        <v>0</v>
      </c>
      <c r="BP211" s="67">
        <f t="shared" ref="BP211:BP216" si="23">IFERROR(Y211/J211,"0")</f>
        <v>0</v>
      </c>
    </row>
    <row r="212" spans="1:68" ht="27" customHeight="1" x14ac:dyDescent="0.25">
      <c r="A212" s="54" t="s">
        <v>329</v>
      </c>
      <c r="B212" s="54" t="s">
        <v>330</v>
      </c>
      <c r="C212" s="31">
        <v>4301070997</v>
      </c>
      <c r="D212" s="340">
        <v>4607111038586</v>
      </c>
      <c r="E212" s="341"/>
      <c r="F212" s="329">
        <v>0.7</v>
      </c>
      <c r="G212" s="32">
        <v>8</v>
      </c>
      <c r="H212" s="329">
        <v>5.6</v>
      </c>
      <c r="I212" s="329">
        <v>5.83</v>
      </c>
      <c r="J212" s="32">
        <v>84</v>
      </c>
      <c r="K212" s="32" t="s">
        <v>65</v>
      </c>
      <c r="L212" s="32" t="s">
        <v>66</v>
      </c>
      <c r="M212" s="33" t="s">
        <v>67</v>
      </c>
      <c r="N212" s="33"/>
      <c r="O212" s="32">
        <v>180</v>
      </c>
      <c r="P212" s="479" t="str">
        <f>HYPERLINK("https://abi.ru/products/Замороженные/Стародворье/Медвежьи ушки/Пельмени/P003920/","Пельмени «Медвежьи ушки с фермерскими сливками» 0,7 Классическая форма ТМ «Стародворье»")</f>
        <v>Пельмени «Медвежьи ушки с фермерскими сливками» 0,7 Классическая форма ТМ «Стародворье»</v>
      </c>
      <c r="Q212" s="335"/>
      <c r="R212" s="335"/>
      <c r="S212" s="335"/>
      <c r="T212" s="336"/>
      <c r="U212" s="34"/>
      <c r="V212" s="34"/>
      <c r="W212" s="35" t="s">
        <v>68</v>
      </c>
      <c r="X212" s="330">
        <v>0</v>
      </c>
      <c r="Y212" s="331">
        <f t="shared" si="18"/>
        <v>0</v>
      </c>
      <c r="Z212" s="36">
        <f t="shared" si="19"/>
        <v>0</v>
      </c>
      <c r="AA212" s="56"/>
      <c r="AB212" s="57"/>
      <c r="AC212" s="218" t="s">
        <v>328</v>
      </c>
      <c r="AG212" s="67"/>
      <c r="AJ212" s="71" t="s">
        <v>70</v>
      </c>
      <c r="AK212" s="71">
        <v>1</v>
      </c>
      <c r="BB212" s="219" t="s">
        <v>1</v>
      </c>
      <c r="BM212" s="67">
        <f t="shared" si="20"/>
        <v>0</v>
      </c>
      <c r="BN212" s="67">
        <f t="shared" si="21"/>
        <v>0</v>
      </c>
      <c r="BO212" s="67">
        <f t="shared" si="22"/>
        <v>0</v>
      </c>
      <c r="BP212" s="67">
        <f t="shared" si="23"/>
        <v>0</v>
      </c>
    </row>
    <row r="213" spans="1:68" ht="27" customHeight="1" x14ac:dyDescent="0.25">
      <c r="A213" s="54" t="s">
        <v>331</v>
      </c>
      <c r="B213" s="54" t="s">
        <v>332</v>
      </c>
      <c r="C213" s="31">
        <v>4301070962</v>
      </c>
      <c r="D213" s="340">
        <v>4607111038609</v>
      </c>
      <c r="E213" s="341"/>
      <c r="F213" s="329">
        <v>0.4</v>
      </c>
      <c r="G213" s="32">
        <v>16</v>
      </c>
      <c r="H213" s="329">
        <v>6.4</v>
      </c>
      <c r="I213" s="329">
        <v>6.71</v>
      </c>
      <c r="J213" s="32">
        <v>84</v>
      </c>
      <c r="K213" s="32" t="s">
        <v>65</v>
      </c>
      <c r="L213" s="32" t="s">
        <v>66</v>
      </c>
      <c r="M213" s="33" t="s">
        <v>67</v>
      </c>
      <c r="N213" s="33"/>
      <c r="O213" s="32">
        <v>180</v>
      </c>
      <c r="P213" s="352" t="str">
        <f>HYPERLINK("https://abi.ru/products/Замороженные/Стародворье/Медвежьи ушки/Пельмени/P003639/","Пельмени «Медвежьи ушки с фермерской свининой и говядиной Большие» 0,4 Классическая форма ТМ «Стародворье»")</f>
        <v>Пельмени «Медвежьи ушки с фермерской свининой и говядиной Большие» 0,4 Классическая форма ТМ «Стародворье»</v>
      </c>
      <c r="Q213" s="335"/>
      <c r="R213" s="335"/>
      <c r="S213" s="335"/>
      <c r="T213" s="336"/>
      <c r="U213" s="34"/>
      <c r="V213" s="34"/>
      <c r="W213" s="35" t="s">
        <v>68</v>
      </c>
      <c r="X213" s="330">
        <v>0</v>
      </c>
      <c r="Y213" s="331">
        <f t="shared" si="18"/>
        <v>0</v>
      </c>
      <c r="Z213" s="36">
        <f t="shared" si="19"/>
        <v>0</v>
      </c>
      <c r="AA213" s="56"/>
      <c r="AB213" s="57"/>
      <c r="AC213" s="220" t="s">
        <v>333</v>
      </c>
      <c r="AG213" s="67"/>
      <c r="AJ213" s="71" t="s">
        <v>70</v>
      </c>
      <c r="AK213" s="71">
        <v>1</v>
      </c>
      <c r="BB213" s="221" t="s">
        <v>1</v>
      </c>
      <c r="BM213" s="67">
        <f t="shared" si="20"/>
        <v>0</v>
      </c>
      <c r="BN213" s="67">
        <f t="shared" si="21"/>
        <v>0</v>
      </c>
      <c r="BO213" s="67">
        <f t="shared" si="22"/>
        <v>0</v>
      </c>
      <c r="BP213" s="67">
        <f t="shared" si="23"/>
        <v>0</v>
      </c>
    </row>
    <row r="214" spans="1:68" ht="27" customHeight="1" x14ac:dyDescent="0.25">
      <c r="A214" s="54" t="s">
        <v>334</v>
      </c>
      <c r="B214" s="54" t="s">
        <v>335</v>
      </c>
      <c r="C214" s="31">
        <v>4301070963</v>
      </c>
      <c r="D214" s="340">
        <v>4607111038630</v>
      </c>
      <c r="E214" s="341"/>
      <c r="F214" s="329">
        <v>0.7</v>
      </c>
      <c r="G214" s="32">
        <v>8</v>
      </c>
      <c r="H214" s="329">
        <v>5.6</v>
      </c>
      <c r="I214" s="329">
        <v>5.87</v>
      </c>
      <c r="J214" s="32">
        <v>84</v>
      </c>
      <c r="K214" s="32" t="s">
        <v>65</v>
      </c>
      <c r="L214" s="32" t="s">
        <v>66</v>
      </c>
      <c r="M214" s="33" t="s">
        <v>67</v>
      </c>
      <c r="N214" s="33"/>
      <c r="O214" s="32">
        <v>180</v>
      </c>
      <c r="P214" s="517" t="str">
        <f>HYPERLINK("https://abi.ru/products/Замороженные/Стародворье/Медвежьи ушки/Пельмени/P003641/","Пельмени «с фермерской свининой и говядиной Большие» 0,7 классическая форма ТМ «Стародворье»")</f>
        <v>Пельмени «с фермерской свининой и говядиной Большие» 0,7 классическая форма ТМ «Стародворье»</v>
      </c>
      <c r="Q214" s="335"/>
      <c r="R214" s="335"/>
      <c r="S214" s="335"/>
      <c r="T214" s="336"/>
      <c r="U214" s="34"/>
      <c r="V214" s="34"/>
      <c r="W214" s="35" t="s">
        <v>68</v>
      </c>
      <c r="X214" s="330">
        <v>0</v>
      </c>
      <c r="Y214" s="331">
        <f t="shared" si="18"/>
        <v>0</v>
      </c>
      <c r="Z214" s="36">
        <f t="shared" si="19"/>
        <v>0</v>
      </c>
      <c r="AA214" s="56"/>
      <c r="AB214" s="57"/>
      <c r="AC214" s="222" t="s">
        <v>333</v>
      </c>
      <c r="AG214" s="67"/>
      <c r="AJ214" s="71" t="s">
        <v>70</v>
      </c>
      <c r="AK214" s="71">
        <v>1</v>
      </c>
      <c r="BB214" s="223" t="s">
        <v>1</v>
      </c>
      <c r="BM214" s="67">
        <f t="shared" si="20"/>
        <v>0</v>
      </c>
      <c r="BN214" s="67">
        <f t="shared" si="21"/>
        <v>0</v>
      </c>
      <c r="BO214" s="67">
        <f t="shared" si="22"/>
        <v>0</v>
      </c>
      <c r="BP214" s="67">
        <f t="shared" si="23"/>
        <v>0</v>
      </c>
    </row>
    <row r="215" spans="1:68" ht="27" customHeight="1" x14ac:dyDescent="0.25">
      <c r="A215" s="54" t="s">
        <v>336</v>
      </c>
      <c r="B215" s="54" t="s">
        <v>337</v>
      </c>
      <c r="C215" s="31">
        <v>4301070959</v>
      </c>
      <c r="D215" s="340">
        <v>4607111038616</v>
      </c>
      <c r="E215" s="341"/>
      <c r="F215" s="329">
        <v>0.4</v>
      </c>
      <c r="G215" s="32">
        <v>16</v>
      </c>
      <c r="H215" s="329">
        <v>6.4</v>
      </c>
      <c r="I215" s="329">
        <v>6.71</v>
      </c>
      <c r="J215" s="32">
        <v>84</v>
      </c>
      <c r="K215" s="32" t="s">
        <v>65</v>
      </c>
      <c r="L215" s="32" t="s">
        <v>66</v>
      </c>
      <c r="M215" s="33" t="s">
        <v>67</v>
      </c>
      <c r="N215" s="33"/>
      <c r="O215" s="32">
        <v>180</v>
      </c>
      <c r="P215" s="360" t="str">
        <f>HYPERLINK("https://abi.ru/products/Замороженные/Стародворье/Медвежьи ушки/Пельмени/P003630/","Пельмени «Медвежьи ушки с фермерской свининой и говядиной Малые» 0,4 Классическая форма ТМ «Стародворье»")</f>
        <v>Пельмени «Медвежьи ушки с фермерской свининой и говядиной Малые» 0,4 Классическая форма ТМ «Стародворье»</v>
      </c>
      <c r="Q215" s="335"/>
      <c r="R215" s="335"/>
      <c r="S215" s="335"/>
      <c r="T215" s="336"/>
      <c r="U215" s="34"/>
      <c r="V215" s="34"/>
      <c r="W215" s="35" t="s">
        <v>68</v>
      </c>
      <c r="X215" s="330">
        <v>0</v>
      </c>
      <c r="Y215" s="331">
        <f t="shared" si="18"/>
        <v>0</v>
      </c>
      <c r="Z215" s="36">
        <f t="shared" si="19"/>
        <v>0</v>
      </c>
      <c r="AA215" s="56"/>
      <c r="AB215" s="57"/>
      <c r="AC215" s="224" t="s">
        <v>328</v>
      </c>
      <c r="AG215" s="67"/>
      <c r="AJ215" s="71" t="s">
        <v>70</v>
      </c>
      <c r="AK215" s="71">
        <v>1</v>
      </c>
      <c r="BB215" s="225" t="s">
        <v>1</v>
      </c>
      <c r="BM215" s="67">
        <f t="shared" si="20"/>
        <v>0</v>
      </c>
      <c r="BN215" s="67">
        <f t="shared" si="21"/>
        <v>0</v>
      </c>
      <c r="BO215" s="67">
        <f t="shared" si="22"/>
        <v>0</v>
      </c>
      <c r="BP215" s="67">
        <f t="shared" si="23"/>
        <v>0</v>
      </c>
    </row>
    <row r="216" spans="1:68" ht="27" customHeight="1" x14ac:dyDescent="0.25">
      <c r="A216" s="54" t="s">
        <v>338</v>
      </c>
      <c r="B216" s="54" t="s">
        <v>339</v>
      </c>
      <c r="C216" s="31">
        <v>4301070960</v>
      </c>
      <c r="D216" s="340">
        <v>4607111038623</v>
      </c>
      <c r="E216" s="341"/>
      <c r="F216" s="329">
        <v>0.7</v>
      </c>
      <c r="G216" s="32">
        <v>8</v>
      </c>
      <c r="H216" s="329">
        <v>5.6</v>
      </c>
      <c r="I216" s="329">
        <v>5.87</v>
      </c>
      <c r="J216" s="32">
        <v>84</v>
      </c>
      <c r="K216" s="32" t="s">
        <v>65</v>
      </c>
      <c r="L216" s="32" t="s">
        <v>66</v>
      </c>
      <c r="M216" s="33" t="s">
        <v>67</v>
      </c>
      <c r="N216" s="33"/>
      <c r="O216" s="32">
        <v>180</v>
      </c>
      <c r="P216" s="455" t="str">
        <f>HYPERLINK("https://abi.ru/products/Замороженные/Стародворье/Медвежьи ушки/Пельмени/P003631/","Пельмени «Медвежьи ушки с фермерской свининой и говядиной Малые» 0,7 Классическая форма ТМ «Стародворье»")</f>
        <v>Пельмени «Медвежьи ушки с фермерской свининой и говядиной Малые» 0,7 Классическая форма ТМ «Стародворье»</v>
      </c>
      <c r="Q216" s="335"/>
      <c r="R216" s="335"/>
      <c r="S216" s="335"/>
      <c r="T216" s="336"/>
      <c r="U216" s="34"/>
      <c r="V216" s="34"/>
      <c r="W216" s="35" t="s">
        <v>68</v>
      </c>
      <c r="X216" s="330">
        <v>0</v>
      </c>
      <c r="Y216" s="331">
        <f t="shared" si="18"/>
        <v>0</v>
      </c>
      <c r="Z216" s="36">
        <f t="shared" si="19"/>
        <v>0</v>
      </c>
      <c r="AA216" s="56"/>
      <c r="AB216" s="57"/>
      <c r="AC216" s="226" t="s">
        <v>328</v>
      </c>
      <c r="AG216" s="67"/>
      <c r="AJ216" s="71" t="s">
        <v>70</v>
      </c>
      <c r="AK216" s="71">
        <v>1</v>
      </c>
      <c r="BB216" s="227" t="s">
        <v>1</v>
      </c>
      <c r="BM216" s="67">
        <f t="shared" si="20"/>
        <v>0</v>
      </c>
      <c r="BN216" s="67">
        <f t="shared" si="21"/>
        <v>0</v>
      </c>
      <c r="BO216" s="67">
        <f t="shared" si="22"/>
        <v>0</v>
      </c>
      <c r="BP216" s="67">
        <f t="shared" si="23"/>
        <v>0</v>
      </c>
    </row>
    <row r="217" spans="1:68" x14ac:dyDescent="0.2">
      <c r="A217" s="350"/>
      <c r="B217" s="339"/>
      <c r="C217" s="339"/>
      <c r="D217" s="339"/>
      <c r="E217" s="339"/>
      <c r="F217" s="339"/>
      <c r="G217" s="339"/>
      <c r="H217" s="339"/>
      <c r="I217" s="339"/>
      <c r="J217" s="339"/>
      <c r="K217" s="339"/>
      <c r="L217" s="339"/>
      <c r="M217" s="339"/>
      <c r="N217" s="339"/>
      <c r="O217" s="351"/>
      <c r="P217" s="344" t="s">
        <v>71</v>
      </c>
      <c r="Q217" s="345"/>
      <c r="R217" s="345"/>
      <c r="S217" s="345"/>
      <c r="T217" s="345"/>
      <c r="U217" s="345"/>
      <c r="V217" s="346"/>
      <c r="W217" s="37" t="s">
        <v>68</v>
      </c>
      <c r="X217" s="332">
        <f>IFERROR(SUM(X211:X216),"0")</f>
        <v>0</v>
      </c>
      <c r="Y217" s="332">
        <f>IFERROR(SUM(Y211:Y216),"0")</f>
        <v>0</v>
      </c>
      <c r="Z217" s="332">
        <f>IFERROR(IF(Z211="",0,Z211),"0")+IFERROR(IF(Z212="",0,Z212),"0")+IFERROR(IF(Z213="",0,Z213),"0")+IFERROR(IF(Z214="",0,Z214),"0")+IFERROR(IF(Z215="",0,Z215),"0")+IFERROR(IF(Z216="",0,Z216),"0")</f>
        <v>0</v>
      </c>
      <c r="AA217" s="333"/>
      <c r="AB217" s="333"/>
      <c r="AC217" s="333"/>
    </row>
    <row r="218" spans="1:68" x14ac:dyDescent="0.2">
      <c r="A218" s="339"/>
      <c r="B218" s="339"/>
      <c r="C218" s="339"/>
      <c r="D218" s="339"/>
      <c r="E218" s="339"/>
      <c r="F218" s="339"/>
      <c r="G218" s="339"/>
      <c r="H218" s="339"/>
      <c r="I218" s="339"/>
      <c r="J218" s="339"/>
      <c r="K218" s="339"/>
      <c r="L218" s="339"/>
      <c r="M218" s="339"/>
      <c r="N218" s="339"/>
      <c r="O218" s="351"/>
      <c r="P218" s="344" t="s">
        <v>71</v>
      </c>
      <c r="Q218" s="345"/>
      <c r="R218" s="345"/>
      <c r="S218" s="345"/>
      <c r="T218" s="345"/>
      <c r="U218" s="345"/>
      <c r="V218" s="346"/>
      <c r="W218" s="37" t="s">
        <v>72</v>
      </c>
      <c r="X218" s="332">
        <f>IFERROR(SUMPRODUCT(X211:X216*H211:H216),"0")</f>
        <v>0</v>
      </c>
      <c r="Y218" s="332">
        <f>IFERROR(SUMPRODUCT(Y211:Y216*H211:H216),"0")</f>
        <v>0</v>
      </c>
      <c r="Z218" s="37"/>
      <c r="AA218" s="333"/>
      <c r="AB218" s="333"/>
      <c r="AC218" s="333"/>
    </row>
    <row r="219" spans="1:68" ht="16.5" customHeight="1" x14ac:dyDescent="0.25">
      <c r="A219" s="364" t="s">
        <v>340</v>
      </c>
      <c r="B219" s="339"/>
      <c r="C219" s="339"/>
      <c r="D219" s="339"/>
      <c r="E219" s="339"/>
      <c r="F219" s="339"/>
      <c r="G219" s="339"/>
      <c r="H219" s="339"/>
      <c r="I219" s="339"/>
      <c r="J219" s="339"/>
      <c r="K219" s="339"/>
      <c r="L219" s="339"/>
      <c r="M219" s="339"/>
      <c r="N219" s="339"/>
      <c r="O219" s="339"/>
      <c r="P219" s="339"/>
      <c r="Q219" s="339"/>
      <c r="R219" s="339"/>
      <c r="S219" s="339"/>
      <c r="T219" s="339"/>
      <c r="U219" s="339"/>
      <c r="V219" s="339"/>
      <c r="W219" s="339"/>
      <c r="X219" s="339"/>
      <c r="Y219" s="339"/>
      <c r="Z219" s="339"/>
      <c r="AA219" s="325"/>
      <c r="AB219" s="325"/>
      <c r="AC219" s="325"/>
    </row>
    <row r="220" spans="1:68" ht="14.25" customHeight="1" x14ac:dyDescent="0.25">
      <c r="A220" s="338" t="s">
        <v>62</v>
      </c>
      <c r="B220" s="339"/>
      <c r="C220" s="339"/>
      <c r="D220" s="339"/>
      <c r="E220" s="339"/>
      <c r="F220" s="339"/>
      <c r="G220" s="339"/>
      <c r="H220" s="339"/>
      <c r="I220" s="339"/>
      <c r="J220" s="339"/>
      <c r="K220" s="339"/>
      <c r="L220" s="339"/>
      <c r="M220" s="339"/>
      <c r="N220" s="339"/>
      <c r="O220" s="339"/>
      <c r="P220" s="339"/>
      <c r="Q220" s="339"/>
      <c r="R220" s="339"/>
      <c r="S220" s="339"/>
      <c r="T220" s="339"/>
      <c r="U220" s="339"/>
      <c r="V220" s="339"/>
      <c r="W220" s="339"/>
      <c r="X220" s="339"/>
      <c r="Y220" s="339"/>
      <c r="Z220" s="339"/>
      <c r="AA220" s="326"/>
      <c r="AB220" s="326"/>
      <c r="AC220" s="326"/>
    </row>
    <row r="221" spans="1:68" ht="27" customHeight="1" x14ac:dyDescent="0.25">
      <c r="A221" s="54" t="s">
        <v>341</v>
      </c>
      <c r="B221" s="54" t="s">
        <v>342</v>
      </c>
      <c r="C221" s="31">
        <v>4301070917</v>
      </c>
      <c r="D221" s="340">
        <v>4607111035912</v>
      </c>
      <c r="E221" s="341"/>
      <c r="F221" s="329">
        <v>0.43</v>
      </c>
      <c r="G221" s="32">
        <v>16</v>
      </c>
      <c r="H221" s="329">
        <v>6.88</v>
      </c>
      <c r="I221" s="329">
        <v>7.19</v>
      </c>
      <c r="J221" s="32">
        <v>84</v>
      </c>
      <c r="K221" s="32" t="s">
        <v>65</v>
      </c>
      <c r="L221" s="32" t="s">
        <v>66</v>
      </c>
      <c r="M221" s="33" t="s">
        <v>67</v>
      </c>
      <c r="N221" s="33"/>
      <c r="O221" s="32">
        <v>180</v>
      </c>
      <c r="P221" s="357" t="str">
        <f>HYPERLINK("https://abi.ru/products/Замороженные/Стародворье/Медвежье ушко/Пельмени/P003001/","Пельмени Отборные из свинины и говядины Медвежье ушко 0,43 Псевдозащип Стародворье")</f>
        <v>Пельмени Отборные из свинины и говядины Медвежье ушко 0,43 Псевдозащип Стародворье</v>
      </c>
      <c r="Q221" s="335"/>
      <c r="R221" s="335"/>
      <c r="S221" s="335"/>
      <c r="T221" s="336"/>
      <c r="U221" s="34"/>
      <c r="V221" s="34"/>
      <c r="W221" s="35" t="s">
        <v>68</v>
      </c>
      <c r="X221" s="330">
        <v>0</v>
      </c>
      <c r="Y221" s="331">
        <f>IFERROR(IF(X221="","",X221),"")</f>
        <v>0</v>
      </c>
      <c r="Z221" s="36">
        <f>IFERROR(IF(X221="","",X221*0.0155),"")</f>
        <v>0</v>
      </c>
      <c r="AA221" s="56"/>
      <c r="AB221" s="57"/>
      <c r="AC221" s="228" t="s">
        <v>343</v>
      </c>
      <c r="AG221" s="67"/>
      <c r="AJ221" s="71" t="s">
        <v>70</v>
      </c>
      <c r="AK221" s="71">
        <v>1</v>
      </c>
      <c r="BB221" s="229" t="s">
        <v>1</v>
      </c>
      <c r="BM221" s="67">
        <f>IFERROR(X221*I221,"0")</f>
        <v>0</v>
      </c>
      <c r="BN221" s="67">
        <f>IFERROR(Y221*I221,"0")</f>
        <v>0</v>
      </c>
      <c r="BO221" s="67">
        <f>IFERROR(X221/J221,"0")</f>
        <v>0</v>
      </c>
      <c r="BP221" s="67">
        <f>IFERROR(Y221/J221,"0")</f>
        <v>0</v>
      </c>
    </row>
    <row r="222" spans="1:68" ht="27" customHeight="1" x14ac:dyDescent="0.25">
      <c r="A222" s="54" t="s">
        <v>344</v>
      </c>
      <c r="B222" s="54" t="s">
        <v>345</v>
      </c>
      <c r="C222" s="31">
        <v>4301070920</v>
      </c>
      <c r="D222" s="340">
        <v>4607111035929</v>
      </c>
      <c r="E222" s="341"/>
      <c r="F222" s="329">
        <v>0.9</v>
      </c>
      <c r="G222" s="32">
        <v>8</v>
      </c>
      <c r="H222" s="329">
        <v>7.2</v>
      </c>
      <c r="I222" s="329">
        <v>7.47</v>
      </c>
      <c r="J222" s="32">
        <v>84</v>
      </c>
      <c r="K222" s="32" t="s">
        <v>65</v>
      </c>
      <c r="L222" s="32" t="s">
        <v>66</v>
      </c>
      <c r="M222" s="33" t="s">
        <v>67</v>
      </c>
      <c r="N222" s="33"/>
      <c r="O222" s="32">
        <v>180</v>
      </c>
      <c r="P222" s="489" t="str">
        <f>HYPERLINK("https://abi.ru/products/Замороженные/Стародворье/Медвежье ушко/Пельмени/P003004/","Пельмени Отборные из свинины и говядины Медвежье ушко 0,9 Псевдозащип Стародворье")</f>
        <v>Пельмени Отборные из свинины и говядины Медвежье ушко 0,9 Псевдозащип Стародворье</v>
      </c>
      <c r="Q222" s="335"/>
      <c r="R222" s="335"/>
      <c r="S222" s="335"/>
      <c r="T222" s="336"/>
      <c r="U222" s="34"/>
      <c r="V222" s="34"/>
      <c r="W222" s="35" t="s">
        <v>68</v>
      </c>
      <c r="X222" s="330">
        <v>12</v>
      </c>
      <c r="Y222" s="331">
        <f>IFERROR(IF(X222="","",X222),"")</f>
        <v>12</v>
      </c>
      <c r="Z222" s="36">
        <f>IFERROR(IF(X222="","",X222*0.0155),"")</f>
        <v>0.186</v>
      </c>
      <c r="AA222" s="56"/>
      <c r="AB222" s="57"/>
      <c r="AC222" s="230" t="s">
        <v>343</v>
      </c>
      <c r="AG222" s="67"/>
      <c r="AJ222" s="71" t="s">
        <v>70</v>
      </c>
      <c r="AK222" s="71">
        <v>1</v>
      </c>
      <c r="BB222" s="231" t="s">
        <v>1</v>
      </c>
      <c r="BM222" s="67">
        <f>IFERROR(X222*I222,"0")</f>
        <v>89.64</v>
      </c>
      <c r="BN222" s="67">
        <f>IFERROR(Y222*I222,"0")</f>
        <v>89.64</v>
      </c>
      <c r="BO222" s="67">
        <f>IFERROR(X222/J222,"0")</f>
        <v>0.14285714285714285</v>
      </c>
      <c r="BP222" s="67">
        <f>IFERROR(Y222/J222,"0")</f>
        <v>0.14285714285714285</v>
      </c>
    </row>
    <row r="223" spans="1:68" ht="27" customHeight="1" x14ac:dyDescent="0.25">
      <c r="A223" s="54" t="s">
        <v>346</v>
      </c>
      <c r="B223" s="54" t="s">
        <v>347</v>
      </c>
      <c r="C223" s="31">
        <v>4301070915</v>
      </c>
      <c r="D223" s="340">
        <v>4607111035882</v>
      </c>
      <c r="E223" s="341"/>
      <c r="F223" s="329">
        <v>0.43</v>
      </c>
      <c r="G223" s="32">
        <v>16</v>
      </c>
      <c r="H223" s="329">
        <v>6.88</v>
      </c>
      <c r="I223" s="329">
        <v>7.19</v>
      </c>
      <c r="J223" s="32">
        <v>84</v>
      </c>
      <c r="K223" s="32" t="s">
        <v>65</v>
      </c>
      <c r="L223" s="32" t="s">
        <v>66</v>
      </c>
      <c r="M223" s="33" t="s">
        <v>67</v>
      </c>
      <c r="N223" s="33"/>
      <c r="O223" s="32">
        <v>180</v>
      </c>
      <c r="P223" s="412" t="str">
        <f>HYPERLINK("https://abi.ru/products/Замороженные/Стародворье/Медвежье ушко/Пельмени/P002999/","Пельмени Отборные из говядины Медвежье ушко 0,43 Псевдозащип Стародворье")</f>
        <v>Пельмени Отборные из говядины Медвежье ушко 0,43 Псевдозащип Стародворье</v>
      </c>
      <c r="Q223" s="335"/>
      <c r="R223" s="335"/>
      <c r="S223" s="335"/>
      <c r="T223" s="336"/>
      <c r="U223" s="34"/>
      <c r="V223" s="34"/>
      <c r="W223" s="35" t="s">
        <v>68</v>
      </c>
      <c r="X223" s="330">
        <v>0</v>
      </c>
      <c r="Y223" s="331">
        <f>IFERROR(IF(X223="","",X223),"")</f>
        <v>0</v>
      </c>
      <c r="Z223" s="36">
        <f>IFERROR(IF(X223="","",X223*0.0155),"")</f>
        <v>0</v>
      </c>
      <c r="AA223" s="56"/>
      <c r="AB223" s="57"/>
      <c r="AC223" s="232" t="s">
        <v>348</v>
      </c>
      <c r="AG223" s="67"/>
      <c r="AJ223" s="71" t="s">
        <v>70</v>
      </c>
      <c r="AK223" s="71">
        <v>1</v>
      </c>
      <c r="BB223" s="233" t="s">
        <v>1</v>
      </c>
      <c r="BM223" s="67">
        <f>IFERROR(X223*I223,"0")</f>
        <v>0</v>
      </c>
      <c r="BN223" s="67">
        <f>IFERROR(Y223*I223,"0")</f>
        <v>0</v>
      </c>
      <c r="BO223" s="67">
        <f>IFERROR(X223/J223,"0")</f>
        <v>0</v>
      </c>
      <c r="BP223" s="67">
        <f>IFERROR(Y223/J223,"0")</f>
        <v>0</v>
      </c>
    </row>
    <row r="224" spans="1:68" ht="27" customHeight="1" x14ac:dyDescent="0.25">
      <c r="A224" s="54" t="s">
        <v>349</v>
      </c>
      <c r="B224" s="54" t="s">
        <v>350</v>
      </c>
      <c r="C224" s="31">
        <v>4301070921</v>
      </c>
      <c r="D224" s="340">
        <v>4607111035905</v>
      </c>
      <c r="E224" s="341"/>
      <c r="F224" s="329">
        <v>0.9</v>
      </c>
      <c r="G224" s="32">
        <v>8</v>
      </c>
      <c r="H224" s="329">
        <v>7.2</v>
      </c>
      <c r="I224" s="329">
        <v>7.47</v>
      </c>
      <c r="J224" s="32">
        <v>84</v>
      </c>
      <c r="K224" s="32" t="s">
        <v>65</v>
      </c>
      <c r="L224" s="32" t="s">
        <v>66</v>
      </c>
      <c r="M224" s="33" t="s">
        <v>67</v>
      </c>
      <c r="N224" s="33"/>
      <c r="O224" s="32">
        <v>180</v>
      </c>
      <c r="P224" s="457" t="str">
        <f>HYPERLINK("https://abi.ru/products/Замороженные/Стародворье/Медвежье ушко/Пельмени/P003005/","Пельмени Отборные из говядины Медвежье ушко 0,9 Псевдозащип Стародворье")</f>
        <v>Пельмени Отборные из говядины Медвежье ушко 0,9 Псевдозащип Стародворье</v>
      </c>
      <c r="Q224" s="335"/>
      <c r="R224" s="335"/>
      <c r="S224" s="335"/>
      <c r="T224" s="336"/>
      <c r="U224" s="34"/>
      <c r="V224" s="34"/>
      <c r="W224" s="35" t="s">
        <v>68</v>
      </c>
      <c r="X224" s="330">
        <v>0</v>
      </c>
      <c r="Y224" s="331">
        <f>IFERROR(IF(X224="","",X224),"")</f>
        <v>0</v>
      </c>
      <c r="Z224" s="36">
        <f>IFERROR(IF(X224="","",X224*0.0155),"")</f>
        <v>0</v>
      </c>
      <c r="AA224" s="56"/>
      <c r="AB224" s="57"/>
      <c r="AC224" s="234" t="s">
        <v>348</v>
      </c>
      <c r="AG224" s="67"/>
      <c r="AJ224" s="71" t="s">
        <v>70</v>
      </c>
      <c r="AK224" s="71">
        <v>1</v>
      </c>
      <c r="BB224" s="235" t="s">
        <v>1</v>
      </c>
      <c r="BM224" s="67">
        <f>IFERROR(X224*I224,"0")</f>
        <v>0</v>
      </c>
      <c r="BN224" s="67">
        <f>IFERROR(Y224*I224,"0")</f>
        <v>0</v>
      </c>
      <c r="BO224" s="67">
        <f>IFERROR(X224/J224,"0")</f>
        <v>0</v>
      </c>
      <c r="BP224" s="67">
        <f>IFERROR(Y224/J224,"0")</f>
        <v>0</v>
      </c>
    </row>
    <row r="225" spans="1:68" x14ac:dyDescent="0.2">
      <c r="A225" s="350"/>
      <c r="B225" s="339"/>
      <c r="C225" s="339"/>
      <c r="D225" s="339"/>
      <c r="E225" s="339"/>
      <c r="F225" s="339"/>
      <c r="G225" s="339"/>
      <c r="H225" s="339"/>
      <c r="I225" s="339"/>
      <c r="J225" s="339"/>
      <c r="K225" s="339"/>
      <c r="L225" s="339"/>
      <c r="M225" s="339"/>
      <c r="N225" s="339"/>
      <c r="O225" s="351"/>
      <c r="P225" s="344" t="s">
        <v>71</v>
      </c>
      <c r="Q225" s="345"/>
      <c r="R225" s="345"/>
      <c r="S225" s="345"/>
      <c r="T225" s="345"/>
      <c r="U225" s="345"/>
      <c r="V225" s="346"/>
      <c r="W225" s="37" t="s">
        <v>68</v>
      </c>
      <c r="X225" s="332">
        <f>IFERROR(SUM(X221:X224),"0")</f>
        <v>12</v>
      </c>
      <c r="Y225" s="332">
        <f>IFERROR(SUM(Y221:Y224),"0")</f>
        <v>12</v>
      </c>
      <c r="Z225" s="332">
        <f>IFERROR(IF(Z221="",0,Z221),"0")+IFERROR(IF(Z222="",0,Z222),"0")+IFERROR(IF(Z223="",0,Z223),"0")+IFERROR(IF(Z224="",0,Z224),"0")</f>
        <v>0.186</v>
      </c>
      <c r="AA225" s="333"/>
      <c r="AB225" s="333"/>
      <c r="AC225" s="333"/>
    </row>
    <row r="226" spans="1:68" x14ac:dyDescent="0.2">
      <c r="A226" s="339"/>
      <c r="B226" s="339"/>
      <c r="C226" s="339"/>
      <c r="D226" s="339"/>
      <c r="E226" s="339"/>
      <c r="F226" s="339"/>
      <c r="G226" s="339"/>
      <c r="H226" s="339"/>
      <c r="I226" s="339"/>
      <c r="J226" s="339"/>
      <c r="K226" s="339"/>
      <c r="L226" s="339"/>
      <c r="M226" s="339"/>
      <c r="N226" s="339"/>
      <c r="O226" s="351"/>
      <c r="P226" s="344" t="s">
        <v>71</v>
      </c>
      <c r="Q226" s="345"/>
      <c r="R226" s="345"/>
      <c r="S226" s="345"/>
      <c r="T226" s="345"/>
      <c r="U226" s="345"/>
      <c r="V226" s="346"/>
      <c r="W226" s="37" t="s">
        <v>72</v>
      </c>
      <c r="X226" s="332">
        <f>IFERROR(SUMPRODUCT(X221:X224*H221:H224),"0")</f>
        <v>86.4</v>
      </c>
      <c r="Y226" s="332">
        <f>IFERROR(SUMPRODUCT(Y221:Y224*H221:H224),"0")</f>
        <v>86.4</v>
      </c>
      <c r="Z226" s="37"/>
      <c r="AA226" s="333"/>
      <c r="AB226" s="333"/>
      <c r="AC226" s="333"/>
    </row>
    <row r="227" spans="1:68" ht="16.5" customHeight="1" x14ac:dyDescent="0.25">
      <c r="A227" s="364" t="s">
        <v>351</v>
      </c>
      <c r="B227" s="339"/>
      <c r="C227" s="339"/>
      <c r="D227" s="339"/>
      <c r="E227" s="339"/>
      <c r="F227" s="339"/>
      <c r="G227" s="339"/>
      <c r="H227" s="339"/>
      <c r="I227" s="339"/>
      <c r="J227" s="339"/>
      <c r="K227" s="339"/>
      <c r="L227" s="339"/>
      <c r="M227" s="339"/>
      <c r="N227" s="339"/>
      <c r="O227" s="339"/>
      <c r="P227" s="339"/>
      <c r="Q227" s="339"/>
      <c r="R227" s="339"/>
      <c r="S227" s="339"/>
      <c r="T227" s="339"/>
      <c r="U227" s="339"/>
      <c r="V227" s="339"/>
      <c r="W227" s="339"/>
      <c r="X227" s="339"/>
      <c r="Y227" s="339"/>
      <c r="Z227" s="339"/>
      <c r="AA227" s="325"/>
      <c r="AB227" s="325"/>
      <c r="AC227" s="325"/>
    </row>
    <row r="228" spans="1:68" ht="14.25" customHeight="1" x14ac:dyDescent="0.25">
      <c r="A228" s="338" t="s">
        <v>62</v>
      </c>
      <c r="B228" s="339"/>
      <c r="C228" s="339"/>
      <c r="D228" s="339"/>
      <c r="E228" s="339"/>
      <c r="F228" s="339"/>
      <c r="G228" s="339"/>
      <c r="H228" s="339"/>
      <c r="I228" s="339"/>
      <c r="J228" s="339"/>
      <c r="K228" s="339"/>
      <c r="L228" s="339"/>
      <c r="M228" s="339"/>
      <c r="N228" s="339"/>
      <c r="O228" s="339"/>
      <c r="P228" s="339"/>
      <c r="Q228" s="339"/>
      <c r="R228" s="339"/>
      <c r="S228" s="339"/>
      <c r="T228" s="339"/>
      <c r="U228" s="339"/>
      <c r="V228" s="339"/>
      <c r="W228" s="339"/>
      <c r="X228" s="339"/>
      <c r="Y228" s="339"/>
      <c r="Z228" s="339"/>
      <c r="AA228" s="326"/>
      <c r="AB228" s="326"/>
      <c r="AC228" s="326"/>
    </row>
    <row r="229" spans="1:68" ht="27" customHeight="1" x14ac:dyDescent="0.25">
      <c r="A229" s="54" t="s">
        <v>352</v>
      </c>
      <c r="B229" s="54" t="s">
        <v>353</v>
      </c>
      <c r="C229" s="31">
        <v>4301071093</v>
      </c>
      <c r="D229" s="340">
        <v>4620207490709</v>
      </c>
      <c r="E229" s="341"/>
      <c r="F229" s="329">
        <v>0.65</v>
      </c>
      <c r="G229" s="32">
        <v>8</v>
      </c>
      <c r="H229" s="329">
        <v>5.2</v>
      </c>
      <c r="I229" s="329">
        <v>5.47</v>
      </c>
      <c r="J229" s="32">
        <v>84</v>
      </c>
      <c r="K229" s="32" t="s">
        <v>65</v>
      </c>
      <c r="L229" s="32" t="s">
        <v>66</v>
      </c>
      <c r="M229" s="33" t="s">
        <v>67</v>
      </c>
      <c r="N229" s="33"/>
      <c r="O229" s="32">
        <v>180</v>
      </c>
      <c r="P229" s="465" t="s">
        <v>354</v>
      </c>
      <c r="Q229" s="335"/>
      <c r="R229" s="335"/>
      <c r="S229" s="335"/>
      <c r="T229" s="336"/>
      <c r="U229" s="34"/>
      <c r="V229" s="34"/>
      <c r="W229" s="35" t="s">
        <v>68</v>
      </c>
      <c r="X229" s="330">
        <v>0</v>
      </c>
      <c r="Y229" s="331">
        <f>IFERROR(IF(X229="","",X229),"")</f>
        <v>0</v>
      </c>
      <c r="Z229" s="36">
        <f>IFERROR(IF(X229="","",X229*0.0155),"")</f>
        <v>0</v>
      </c>
      <c r="AA229" s="56"/>
      <c r="AB229" s="57"/>
      <c r="AC229" s="236" t="s">
        <v>355</v>
      </c>
      <c r="AG229" s="67"/>
      <c r="AJ229" s="71" t="s">
        <v>70</v>
      </c>
      <c r="AK229" s="71">
        <v>1</v>
      </c>
      <c r="BB229" s="237" t="s">
        <v>1</v>
      </c>
      <c r="BM229" s="67">
        <f>IFERROR(X229*I229,"0")</f>
        <v>0</v>
      </c>
      <c r="BN229" s="67">
        <f>IFERROR(Y229*I229,"0")</f>
        <v>0</v>
      </c>
      <c r="BO229" s="67">
        <f>IFERROR(X229/J229,"0")</f>
        <v>0</v>
      </c>
      <c r="BP229" s="67">
        <f>IFERROR(Y229/J229,"0")</f>
        <v>0</v>
      </c>
    </row>
    <row r="230" spans="1:68" x14ac:dyDescent="0.2">
      <c r="A230" s="350"/>
      <c r="B230" s="339"/>
      <c r="C230" s="339"/>
      <c r="D230" s="339"/>
      <c r="E230" s="339"/>
      <c r="F230" s="339"/>
      <c r="G230" s="339"/>
      <c r="H230" s="339"/>
      <c r="I230" s="339"/>
      <c r="J230" s="339"/>
      <c r="K230" s="339"/>
      <c r="L230" s="339"/>
      <c r="M230" s="339"/>
      <c r="N230" s="339"/>
      <c r="O230" s="351"/>
      <c r="P230" s="344" t="s">
        <v>71</v>
      </c>
      <c r="Q230" s="345"/>
      <c r="R230" s="345"/>
      <c r="S230" s="345"/>
      <c r="T230" s="345"/>
      <c r="U230" s="345"/>
      <c r="V230" s="346"/>
      <c r="W230" s="37" t="s">
        <v>68</v>
      </c>
      <c r="X230" s="332">
        <f>IFERROR(SUM(X229:X229),"0")</f>
        <v>0</v>
      </c>
      <c r="Y230" s="332">
        <f>IFERROR(SUM(Y229:Y229),"0")</f>
        <v>0</v>
      </c>
      <c r="Z230" s="332">
        <f>IFERROR(IF(Z229="",0,Z229),"0")</f>
        <v>0</v>
      </c>
      <c r="AA230" s="333"/>
      <c r="AB230" s="333"/>
      <c r="AC230" s="333"/>
    </row>
    <row r="231" spans="1:68" x14ac:dyDescent="0.2">
      <c r="A231" s="339"/>
      <c r="B231" s="339"/>
      <c r="C231" s="339"/>
      <c r="D231" s="339"/>
      <c r="E231" s="339"/>
      <c r="F231" s="339"/>
      <c r="G231" s="339"/>
      <c r="H231" s="339"/>
      <c r="I231" s="339"/>
      <c r="J231" s="339"/>
      <c r="K231" s="339"/>
      <c r="L231" s="339"/>
      <c r="M231" s="339"/>
      <c r="N231" s="339"/>
      <c r="O231" s="351"/>
      <c r="P231" s="344" t="s">
        <v>71</v>
      </c>
      <c r="Q231" s="345"/>
      <c r="R231" s="345"/>
      <c r="S231" s="345"/>
      <c r="T231" s="345"/>
      <c r="U231" s="345"/>
      <c r="V231" s="346"/>
      <c r="W231" s="37" t="s">
        <v>72</v>
      </c>
      <c r="X231" s="332">
        <f>IFERROR(SUMPRODUCT(X229:X229*H229:H229),"0")</f>
        <v>0</v>
      </c>
      <c r="Y231" s="332">
        <f>IFERROR(SUMPRODUCT(Y229:Y229*H229:H229),"0")</f>
        <v>0</v>
      </c>
      <c r="Z231" s="37"/>
      <c r="AA231" s="333"/>
      <c r="AB231" s="333"/>
      <c r="AC231" s="333"/>
    </row>
    <row r="232" spans="1:68" ht="14.25" customHeight="1" x14ac:dyDescent="0.25">
      <c r="A232" s="338" t="s">
        <v>138</v>
      </c>
      <c r="B232" s="339"/>
      <c r="C232" s="339"/>
      <c r="D232" s="339"/>
      <c r="E232" s="339"/>
      <c r="F232" s="339"/>
      <c r="G232" s="339"/>
      <c r="H232" s="339"/>
      <c r="I232" s="339"/>
      <c r="J232" s="339"/>
      <c r="K232" s="339"/>
      <c r="L232" s="339"/>
      <c r="M232" s="339"/>
      <c r="N232" s="339"/>
      <c r="O232" s="339"/>
      <c r="P232" s="339"/>
      <c r="Q232" s="339"/>
      <c r="R232" s="339"/>
      <c r="S232" s="339"/>
      <c r="T232" s="339"/>
      <c r="U232" s="339"/>
      <c r="V232" s="339"/>
      <c r="W232" s="339"/>
      <c r="X232" s="339"/>
      <c r="Y232" s="339"/>
      <c r="Z232" s="339"/>
      <c r="AA232" s="326"/>
      <c r="AB232" s="326"/>
      <c r="AC232" s="326"/>
    </row>
    <row r="233" spans="1:68" ht="27" customHeight="1" x14ac:dyDescent="0.25">
      <c r="A233" s="54" t="s">
        <v>356</v>
      </c>
      <c r="B233" s="54" t="s">
        <v>357</v>
      </c>
      <c r="C233" s="31">
        <v>4301135692</v>
      </c>
      <c r="D233" s="340">
        <v>4620207490570</v>
      </c>
      <c r="E233" s="341"/>
      <c r="F233" s="329">
        <v>0.2</v>
      </c>
      <c r="G233" s="32">
        <v>12</v>
      </c>
      <c r="H233" s="329">
        <v>2.4</v>
      </c>
      <c r="I233" s="329">
        <v>3.1036000000000001</v>
      </c>
      <c r="J233" s="32">
        <v>70</v>
      </c>
      <c r="K233" s="32" t="s">
        <v>78</v>
      </c>
      <c r="L233" s="32" t="s">
        <v>66</v>
      </c>
      <c r="M233" s="33" t="s">
        <v>67</v>
      </c>
      <c r="N233" s="33"/>
      <c r="O233" s="32">
        <v>180</v>
      </c>
      <c r="P233" s="469" t="s">
        <v>358</v>
      </c>
      <c r="Q233" s="335"/>
      <c r="R233" s="335"/>
      <c r="S233" s="335"/>
      <c r="T233" s="336"/>
      <c r="U233" s="34"/>
      <c r="V233" s="34"/>
      <c r="W233" s="35" t="s">
        <v>68</v>
      </c>
      <c r="X233" s="330">
        <v>0</v>
      </c>
      <c r="Y233" s="331">
        <f>IFERROR(IF(X233="","",X233),"")</f>
        <v>0</v>
      </c>
      <c r="Z233" s="36">
        <f>IFERROR(IF(X233="","",X233*0.01788),"")</f>
        <v>0</v>
      </c>
      <c r="AA233" s="56"/>
      <c r="AB233" s="57"/>
      <c r="AC233" s="238" t="s">
        <v>359</v>
      </c>
      <c r="AG233" s="67"/>
      <c r="AJ233" s="71" t="s">
        <v>70</v>
      </c>
      <c r="AK233" s="71">
        <v>1</v>
      </c>
      <c r="BB233" s="239" t="s">
        <v>81</v>
      </c>
      <c r="BM233" s="67">
        <f>IFERROR(X233*I233,"0")</f>
        <v>0</v>
      </c>
      <c r="BN233" s="67">
        <f>IFERROR(Y233*I233,"0")</f>
        <v>0</v>
      </c>
      <c r="BO233" s="67">
        <f>IFERROR(X233/J233,"0")</f>
        <v>0</v>
      </c>
      <c r="BP233" s="67">
        <f>IFERROR(Y233/J233,"0")</f>
        <v>0</v>
      </c>
    </row>
    <row r="234" spans="1:68" ht="27" customHeight="1" x14ac:dyDescent="0.25">
      <c r="A234" s="54" t="s">
        <v>360</v>
      </c>
      <c r="B234" s="54" t="s">
        <v>361</v>
      </c>
      <c r="C234" s="31">
        <v>4301135691</v>
      </c>
      <c r="D234" s="340">
        <v>4620207490549</v>
      </c>
      <c r="E234" s="341"/>
      <c r="F234" s="329">
        <v>0.2</v>
      </c>
      <c r="G234" s="32">
        <v>12</v>
      </c>
      <c r="H234" s="329">
        <v>2.4</v>
      </c>
      <c r="I234" s="329">
        <v>3.1036000000000001</v>
      </c>
      <c r="J234" s="32">
        <v>70</v>
      </c>
      <c r="K234" s="32" t="s">
        <v>78</v>
      </c>
      <c r="L234" s="32" t="s">
        <v>66</v>
      </c>
      <c r="M234" s="33" t="s">
        <v>67</v>
      </c>
      <c r="N234" s="33"/>
      <c r="O234" s="32">
        <v>180</v>
      </c>
      <c r="P234" s="375" t="s">
        <v>362</v>
      </c>
      <c r="Q234" s="335"/>
      <c r="R234" s="335"/>
      <c r="S234" s="335"/>
      <c r="T234" s="336"/>
      <c r="U234" s="34"/>
      <c r="V234" s="34"/>
      <c r="W234" s="35" t="s">
        <v>68</v>
      </c>
      <c r="X234" s="330">
        <v>0</v>
      </c>
      <c r="Y234" s="331">
        <f>IFERROR(IF(X234="","",X234),"")</f>
        <v>0</v>
      </c>
      <c r="Z234" s="36">
        <f>IFERROR(IF(X234="","",X234*0.01788),"")</f>
        <v>0</v>
      </c>
      <c r="AA234" s="56"/>
      <c r="AB234" s="57"/>
      <c r="AC234" s="240" t="s">
        <v>359</v>
      </c>
      <c r="AG234" s="67"/>
      <c r="AJ234" s="71" t="s">
        <v>70</v>
      </c>
      <c r="AK234" s="71">
        <v>1</v>
      </c>
      <c r="BB234" s="241" t="s">
        <v>81</v>
      </c>
      <c r="BM234" s="67">
        <f>IFERROR(X234*I234,"0")</f>
        <v>0</v>
      </c>
      <c r="BN234" s="67">
        <f>IFERROR(Y234*I234,"0")</f>
        <v>0</v>
      </c>
      <c r="BO234" s="67">
        <f>IFERROR(X234/J234,"0")</f>
        <v>0</v>
      </c>
      <c r="BP234" s="67">
        <f>IFERROR(Y234/J234,"0")</f>
        <v>0</v>
      </c>
    </row>
    <row r="235" spans="1:68" ht="27" customHeight="1" x14ac:dyDescent="0.25">
      <c r="A235" s="54" t="s">
        <v>363</v>
      </c>
      <c r="B235" s="54" t="s">
        <v>364</v>
      </c>
      <c r="C235" s="31">
        <v>4301135694</v>
      </c>
      <c r="D235" s="340">
        <v>4620207490501</v>
      </c>
      <c r="E235" s="341"/>
      <c r="F235" s="329">
        <v>0.2</v>
      </c>
      <c r="G235" s="32">
        <v>12</v>
      </c>
      <c r="H235" s="329">
        <v>2.4</v>
      </c>
      <c r="I235" s="329">
        <v>3.1036000000000001</v>
      </c>
      <c r="J235" s="32">
        <v>70</v>
      </c>
      <c r="K235" s="32" t="s">
        <v>78</v>
      </c>
      <c r="L235" s="32" t="s">
        <v>66</v>
      </c>
      <c r="M235" s="33" t="s">
        <v>67</v>
      </c>
      <c r="N235" s="33"/>
      <c r="O235" s="32">
        <v>180</v>
      </c>
      <c r="P235" s="473" t="s">
        <v>365</v>
      </c>
      <c r="Q235" s="335"/>
      <c r="R235" s="335"/>
      <c r="S235" s="335"/>
      <c r="T235" s="336"/>
      <c r="U235" s="34"/>
      <c r="V235" s="34"/>
      <c r="W235" s="35" t="s">
        <v>68</v>
      </c>
      <c r="X235" s="330">
        <v>0</v>
      </c>
      <c r="Y235" s="331">
        <f>IFERROR(IF(X235="","",X235),"")</f>
        <v>0</v>
      </c>
      <c r="Z235" s="36">
        <f>IFERROR(IF(X235="","",X235*0.01788),"")</f>
        <v>0</v>
      </c>
      <c r="AA235" s="56"/>
      <c r="AB235" s="57"/>
      <c r="AC235" s="242" t="s">
        <v>359</v>
      </c>
      <c r="AG235" s="67"/>
      <c r="AJ235" s="71" t="s">
        <v>70</v>
      </c>
      <c r="AK235" s="71">
        <v>1</v>
      </c>
      <c r="BB235" s="243" t="s">
        <v>81</v>
      </c>
      <c r="BM235" s="67">
        <f>IFERROR(X235*I235,"0")</f>
        <v>0</v>
      </c>
      <c r="BN235" s="67">
        <f>IFERROR(Y235*I235,"0")</f>
        <v>0</v>
      </c>
      <c r="BO235" s="67">
        <f>IFERROR(X235/J235,"0")</f>
        <v>0</v>
      </c>
      <c r="BP235" s="67">
        <f>IFERROR(Y235/J235,"0")</f>
        <v>0</v>
      </c>
    </row>
    <row r="236" spans="1:68" x14ac:dyDescent="0.2">
      <c r="A236" s="350"/>
      <c r="B236" s="339"/>
      <c r="C236" s="339"/>
      <c r="D236" s="339"/>
      <c r="E236" s="339"/>
      <c r="F236" s="339"/>
      <c r="G236" s="339"/>
      <c r="H236" s="339"/>
      <c r="I236" s="339"/>
      <c r="J236" s="339"/>
      <c r="K236" s="339"/>
      <c r="L236" s="339"/>
      <c r="M236" s="339"/>
      <c r="N236" s="339"/>
      <c r="O236" s="351"/>
      <c r="P236" s="344" t="s">
        <v>71</v>
      </c>
      <c r="Q236" s="345"/>
      <c r="R236" s="345"/>
      <c r="S236" s="345"/>
      <c r="T236" s="345"/>
      <c r="U236" s="345"/>
      <c r="V236" s="346"/>
      <c r="W236" s="37" t="s">
        <v>68</v>
      </c>
      <c r="X236" s="332">
        <f>IFERROR(SUM(X233:X235),"0")</f>
        <v>0</v>
      </c>
      <c r="Y236" s="332">
        <f>IFERROR(SUM(Y233:Y235),"0")</f>
        <v>0</v>
      </c>
      <c r="Z236" s="332">
        <f>IFERROR(IF(Z233="",0,Z233),"0")+IFERROR(IF(Z234="",0,Z234),"0")+IFERROR(IF(Z235="",0,Z235),"0")</f>
        <v>0</v>
      </c>
      <c r="AA236" s="333"/>
      <c r="AB236" s="333"/>
      <c r="AC236" s="333"/>
    </row>
    <row r="237" spans="1:68" x14ac:dyDescent="0.2">
      <c r="A237" s="339"/>
      <c r="B237" s="339"/>
      <c r="C237" s="339"/>
      <c r="D237" s="339"/>
      <c r="E237" s="339"/>
      <c r="F237" s="339"/>
      <c r="G237" s="339"/>
      <c r="H237" s="339"/>
      <c r="I237" s="339"/>
      <c r="J237" s="339"/>
      <c r="K237" s="339"/>
      <c r="L237" s="339"/>
      <c r="M237" s="339"/>
      <c r="N237" s="339"/>
      <c r="O237" s="351"/>
      <c r="P237" s="344" t="s">
        <v>71</v>
      </c>
      <c r="Q237" s="345"/>
      <c r="R237" s="345"/>
      <c r="S237" s="345"/>
      <c r="T237" s="345"/>
      <c r="U237" s="345"/>
      <c r="V237" s="346"/>
      <c r="W237" s="37" t="s">
        <v>72</v>
      </c>
      <c r="X237" s="332">
        <f>IFERROR(SUMPRODUCT(X233:X235*H233:H235),"0")</f>
        <v>0</v>
      </c>
      <c r="Y237" s="332">
        <f>IFERROR(SUMPRODUCT(Y233:Y235*H233:H235),"0")</f>
        <v>0</v>
      </c>
      <c r="Z237" s="37"/>
      <c r="AA237" s="333"/>
      <c r="AB237" s="333"/>
      <c r="AC237" s="333"/>
    </row>
    <row r="238" spans="1:68" ht="16.5" customHeight="1" x14ac:dyDescent="0.25">
      <c r="A238" s="364" t="s">
        <v>366</v>
      </c>
      <c r="B238" s="339"/>
      <c r="C238" s="339"/>
      <c r="D238" s="339"/>
      <c r="E238" s="339"/>
      <c r="F238" s="339"/>
      <c r="G238" s="339"/>
      <c r="H238" s="339"/>
      <c r="I238" s="339"/>
      <c r="J238" s="339"/>
      <c r="K238" s="339"/>
      <c r="L238" s="339"/>
      <c r="M238" s="339"/>
      <c r="N238" s="339"/>
      <c r="O238" s="339"/>
      <c r="P238" s="339"/>
      <c r="Q238" s="339"/>
      <c r="R238" s="339"/>
      <c r="S238" s="339"/>
      <c r="T238" s="339"/>
      <c r="U238" s="339"/>
      <c r="V238" s="339"/>
      <c r="W238" s="339"/>
      <c r="X238" s="339"/>
      <c r="Y238" s="339"/>
      <c r="Z238" s="339"/>
      <c r="AA238" s="325"/>
      <c r="AB238" s="325"/>
      <c r="AC238" s="325"/>
    </row>
    <row r="239" spans="1:68" ht="14.25" customHeight="1" x14ac:dyDescent="0.25">
      <c r="A239" s="338" t="s">
        <v>294</v>
      </c>
      <c r="B239" s="339"/>
      <c r="C239" s="339"/>
      <c r="D239" s="339"/>
      <c r="E239" s="339"/>
      <c r="F239" s="339"/>
      <c r="G239" s="339"/>
      <c r="H239" s="339"/>
      <c r="I239" s="339"/>
      <c r="J239" s="339"/>
      <c r="K239" s="339"/>
      <c r="L239" s="339"/>
      <c r="M239" s="339"/>
      <c r="N239" s="339"/>
      <c r="O239" s="339"/>
      <c r="P239" s="339"/>
      <c r="Q239" s="339"/>
      <c r="R239" s="339"/>
      <c r="S239" s="339"/>
      <c r="T239" s="339"/>
      <c r="U239" s="339"/>
      <c r="V239" s="339"/>
      <c r="W239" s="339"/>
      <c r="X239" s="339"/>
      <c r="Y239" s="339"/>
      <c r="Z239" s="339"/>
      <c r="AA239" s="326"/>
      <c r="AB239" s="326"/>
      <c r="AC239" s="326"/>
    </row>
    <row r="240" spans="1:68" ht="27" customHeight="1" x14ac:dyDescent="0.25">
      <c r="A240" s="54" t="s">
        <v>367</v>
      </c>
      <c r="B240" s="54" t="s">
        <v>368</v>
      </c>
      <c r="C240" s="31">
        <v>4301051320</v>
      </c>
      <c r="D240" s="340">
        <v>4680115881334</v>
      </c>
      <c r="E240" s="341"/>
      <c r="F240" s="329">
        <v>0.33</v>
      </c>
      <c r="G240" s="32">
        <v>6</v>
      </c>
      <c r="H240" s="329">
        <v>1.98</v>
      </c>
      <c r="I240" s="329">
        <v>2.25</v>
      </c>
      <c r="J240" s="32">
        <v>182</v>
      </c>
      <c r="K240" s="32" t="s">
        <v>78</v>
      </c>
      <c r="L240" s="32" t="s">
        <v>66</v>
      </c>
      <c r="M240" s="33" t="s">
        <v>298</v>
      </c>
      <c r="N240" s="33"/>
      <c r="O240" s="32">
        <v>365</v>
      </c>
      <c r="P240" s="397" t="str">
        <f>HYPERLINK("https://abi.ru/products/Замороженные/Стародворье/Бордо/Сосиски замороженные/P003054/","Сосиски «Оригинальные» замороженные Фикс.вес 0,33 п/а ТМ «Стародворье»")</f>
        <v>Сосиски «Оригинальные» замороженные Фикс.вес 0,33 п/а ТМ «Стародворье»</v>
      </c>
      <c r="Q240" s="335"/>
      <c r="R240" s="335"/>
      <c r="S240" s="335"/>
      <c r="T240" s="336"/>
      <c r="U240" s="34"/>
      <c r="V240" s="34"/>
      <c r="W240" s="35" t="s">
        <v>68</v>
      </c>
      <c r="X240" s="330">
        <v>0</v>
      </c>
      <c r="Y240" s="331">
        <f>IFERROR(IF(X240="","",X240),"")</f>
        <v>0</v>
      </c>
      <c r="Z240" s="36">
        <f>IFERROR(IF(X240="","",X240*0.00651),"")</f>
        <v>0</v>
      </c>
      <c r="AA240" s="56"/>
      <c r="AB240" s="57"/>
      <c r="AC240" s="244" t="s">
        <v>369</v>
      </c>
      <c r="AG240" s="67"/>
      <c r="AJ240" s="71" t="s">
        <v>70</v>
      </c>
      <c r="AK240" s="71">
        <v>1</v>
      </c>
      <c r="BB240" s="245" t="s">
        <v>301</v>
      </c>
      <c r="BM240" s="67">
        <f>IFERROR(X240*I240,"0")</f>
        <v>0</v>
      </c>
      <c r="BN240" s="67">
        <f>IFERROR(Y240*I240,"0")</f>
        <v>0</v>
      </c>
      <c r="BO240" s="67">
        <f>IFERROR(X240/J240,"0")</f>
        <v>0</v>
      </c>
      <c r="BP240" s="67">
        <f>IFERROR(Y240/J240,"0")</f>
        <v>0</v>
      </c>
    </row>
    <row r="241" spans="1:68" x14ac:dyDescent="0.2">
      <c r="A241" s="350"/>
      <c r="B241" s="339"/>
      <c r="C241" s="339"/>
      <c r="D241" s="339"/>
      <c r="E241" s="339"/>
      <c r="F241" s="339"/>
      <c r="G241" s="339"/>
      <c r="H241" s="339"/>
      <c r="I241" s="339"/>
      <c r="J241" s="339"/>
      <c r="K241" s="339"/>
      <c r="L241" s="339"/>
      <c r="M241" s="339"/>
      <c r="N241" s="339"/>
      <c r="O241" s="351"/>
      <c r="P241" s="344" t="s">
        <v>71</v>
      </c>
      <c r="Q241" s="345"/>
      <c r="R241" s="345"/>
      <c r="S241" s="345"/>
      <c r="T241" s="345"/>
      <c r="U241" s="345"/>
      <c r="V241" s="346"/>
      <c r="W241" s="37" t="s">
        <v>68</v>
      </c>
      <c r="X241" s="332">
        <f>IFERROR(SUM(X240:X240),"0")</f>
        <v>0</v>
      </c>
      <c r="Y241" s="332">
        <f>IFERROR(SUM(Y240:Y240),"0")</f>
        <v>0</v>
      </c>
      <c r="Z241" s="332">
        <f>IFERROR(IF(Z240="",0,Z240),"0")</f>
        <v>0</v>
      </c>
      <c r="AA241" s="333"/>
      <c r="AB241" s="333"/>
      <c r="AC241" s="333"/>
    </row>
    <row r="242" spans="1:68" x14ac:dyDescent="0.2">
      <c r="A242" s="339"/>
      <c r="B242" s="339"/>
      <c r="C242" s="339"/>
      <c r="D242" s="339"/>
      <c r="E242" s="339"/>
      <c r="F242" s="339"/>
      <c r="G242" s="339"/>
      <c r="H242" s="339"/>
      <c r="I242" s="339"/>
      <c r="J242" s="339"/>
      <c r="K242" s="339"/>
      <c r="L242" s="339"/>
      <c r="M242" s="339"/>
      <c r="N242" s="339"/>
      <c r="O242" s="351"/>
      <c r="P242" s="344" t="s">
        <v>71</v>
      </c>
      <c r="Q242" s="345"/>
      <c r="R242" s="345"/>
      <c r="S242" s="345"/>
      <c r="T242" s="345"/>
      <c r="U242" s="345"/>
      <c r="V242" s="346"/>
      <c r="W242" s="37" t="s">
        <v>72</v>
      </c>
      <c r="X242" s="332">
        <f>IFERROR(SUMPRODUCT(X240:X240*H240:H240),"0")</f>
        <v>0</v>
      </c>
      <c r="Y242" s="332">
        <f>IFERROR(SUMPRODUCT(Y240:Y240*H240:H240),"0")</f>
        <v>0</v>
      </c>
      <c r="Z242" s="37"/>
      <c r="AA242" s="333"/>
      <c r="AB242" s="333"/>
      <c r="AC242" s="333"/>
    </row>
    <row r="243" spans="1:68" ht="16.5" customHeight="1" x14ac:dyDescent="0.25">
      <c r="A243" s="364" t="s">
        <v>370</v>
      </c>
      <c r="B243" s="339"/>
      <c r="C243" s="339"/>
      <c r="D243" s="339"/>
      <c r="E243" s="339"/>
      <c r="F243" s="339"/>
      <c r="G243" s="339"/>
      <c r="H243" s="339"/>
      <c r="I243" s="339"/>
      <c r="J243" s="339"/>
      <c r="K243" s="339"/>
      <c r="L243" s="339"/>
      <c r="M243" s="339"/>
      <c r="N243" s="339"/>
      <c r="O243" s="339"/>
      <c r="P243" s="339"/>
      <c r="Q243" s="339"/>
      <c r="R243" s="339"/>
      <c r="S243" s="339"/>
      <c r="T243" s="339"/>
      <c r="U243" s="339"/>
      <c r="V243" s="339"/>
      <c r="W243" s="339"/>
      <c r="X243" s="339"/>
      <c r="Y243" s="339"/>
      <c r="Z243" s="339"/>
      <c r="AA243" s="325"/>
      <c r="AB243" s="325"/>
      <c r="AC243" s="325"/>
    </row>
    <row r="244" spans="1:68" ht="14.25" customHeight="1" x14ac:dyDescent="0.25">
      <c r="A244" s="338" t="s">
        <v>62</v>
      </c>
      <c r="B244" s="339"/>
      <c r="C244" s="339"/>
      <c r="D244" s="339"/>
      <c r="E244" s="339"/>
      <c r="F244" s="339"/>
      <c r="G244" s="339"/>
      <c r="H244" s="339"/>
      <c r="I244" s="339"/>
      <c r="J244" s="339"/>
      <c r="K244" s="339"/>
      <c r="L244" s="339"/>
      <c r="M244" s="339"/>
      <c r="N244" s="339"/>
      <c r="O244" s="339"/>
      <c r="P244" s="339"/>
      <c r="Q244" s="339"/>
      <c r="R244" s="339"/>
      <c r="S244" s="339"/>
      <c r="T244" s="339"/>
      <c r="U244" s="339"/>
      <c r="V244" s="339"/>
      <c r="W244" s="339"/>
      <c r="X244" s="339"/>
      <c r="Y244" s="339"/>
      <c r="Z244" s="339"/>
      <c r="AA244" s="326"/>
      <c r="AB244" s="326"/>
      <c r="AC244" s="326"/>
    </row>
    <row r="245" spans="1:68" ht="16.5" customHeight="1" x14ac:dyDescent="0.25">
      <c r="A245" s="54" t="s">
        <v>371</v>
      </c>
      <c r="B245" s="54" t="s">
        <v>372</v>
      </c>
      <c r="C245" s="31">
        <v>4301071063</v>
      </c>
      <c r="D245" s="340">
        <v>4607111039019</v>
      </c>
      <c r="E245" s="341"/>
      <c r="F245" s="329">
        <v>0.43</v>
      </c>
      <c r="G245" s="32">
        <v>16</v>
      </c>
      <c r="H245" s="329">
        <v>6.88</v>
      </c>
      <c r="I245" s="329">
        <v>7.2060000000000004</v>
      </c>
      <c r="J245" s="32">
        <v>84</v>
      </c>
      <c r="K245" s="32" t="s">
        <v>65</v>
      </c>
      <c r="L245" s="32" t="s">
        <v>66</v>
      </c>
      <c r="M245" s="33" t="s">
        <v>67</v>
      </c>
      <c r="N245" s="33"/>
      <c r="O245" s="32">
        <v>180</v>
      </c>
      <c r="P245" s="456" t="str">
        <f>HYPERLINK("https://abi.ru/products/Замороженные/Стародворье/Сочные/Пельмени/P004634/","Пельмени «Сочные» 0,43 ТМ «Стародворье»")</f>
        <v>Пельмени «Сочные» 0,43 ТМ «Стародворье»</v>
      </c>
      <c r="Q245" s="335"/>
      <c r="R245" s="335"/>
      <c r="S245" s="335"/>
      <c r="T245" s="336"/>
      <c r="U245" s="34"/>
      <c r="V245" s="34"/>
      <c r="W245" s="35" t="s">
        <v>68</v>
      </c>
      <c r="X245" s="330">
        <v>0</v>
      </c>
      <c r="Y245" s="331">
        <f>IFERROR(IF(X245="","",X245),"")</f>
        <v>0</v>
      </c>
      <c r="Z245" s="36">
        <f>IFERROR(IF(X245="","",X245*0.0155),"")</f>
        <v>0</v>
      </c>
      <c r="AA245" s="56"/>
      <c r="AB245" s="57"/>
      <c r="AC245" s="246" t="s">
        <v>373</v>
      </c>
      <c r="AG245" s="67"/>
      <c r="AJ245" s="71" t="s">
        <v>70</v>
      </c>
      <c r="AK245" s="71">
        <v>1</v>
      </c>
      <c r="BB245" s="247" t="s">
        <v>1</v>
      </c>
      <c r="BM245" s="67">
        <f>IFERROR(X245*I245,"0")</f>
        <v>0</v>
      </c>
      <c r="BN245" s="67">
        <f>IFERROR(Y245*I245,"0")</f>
        <v>0</v>
      </c>
      <c r="BO245" s="67">
        <f>IFERROR(X245/J245,"0")</f>
        <v>0</v>
      </c>
      <c r="BP245" s="67">
        <f>IFERROR(Y245/J245,"0")</f>
        <v>0</v>
      </c>
    </row>
    <row r="246" spans="1:68" ht="16.5" customHeight="1" x14ac:dyDescent="0.25">
      <c r="A246" s="54" t="s">
        <v>374</v>
      </c>
      <c r="B246" s="54" t="s">
        <v>375</v>
      </c>
      <c r="C246" s="31">
        <v>4301071000</v>
      </c>
      <c r="D246" s="340">
        <v>4607111038708</v>
      </c>
      <c r="E246" s="341"/>
      <c r="F246" s="329">
        <v>0.8</v>
      </c>
      <c r="G246" s="32">
        <v>8</v>
      </c>
      <c r="H246" s="329">
        <v>6.4</v>
      </c>
      <c r="I246" s="329">
        <v>6.67</v>
      </c>
      <c r="J246" s="32">
        <v>84</v>
      </c>
      <c r="K246" s="32" t="s">
        <v>65</v>
      </c>
      <c r="L246" s="32" t="s">
        <v>66</v>
      </c>
      <c r="M246" s="33" t="s">
        <v>67</v>
      </c>
      <c r="N246" s="33"/>
      <c r="O246" s="32">
        <v>180</v>
      </c>
      <c r="P246" s="423" t="str">
        <f>HYPERLINK("https://abi.ru/products/Замороженные/Стародворье/Сочные/Пельмени/P004009/","Пельмени Сочные Сочные 0,8 Сфера Стародворье")</f>
        <v>Пельмени Сочные Сочные 0,8 Сфера Стародворье</v>
      </c>
      <c r="Q246" s="335"/>
      <c r="R246" s="335"/>
      <c r="S246" s="335"/>
      <c r="T246" s="336"/>
      <c r="U246" s="34"/>
      <c r="V246" s="34"/>
      <c r="W246" s="35" t="s">
        <v>68</v>
      </c>
      <c r="X246" s="330">
        <v>0</v>
      </c>
      <c r="Y246" s="331">
        <f>IFERROR(IF(X246="","",X246),"")</f>
        <v>0</v>
      </c>
      <c r="Z246" s="36">
        <f>IFERROR(IF(X246="","",X246*0.0155),"")</f>
        <v>0</v>
      </c>
      <c r="AA246" s="56"/>
      <c r="AB246" s="57"/>
      <c r="AC246" s="248" t="s">
        <v>373</v>
      </c>
      <c r="AG246" s="67"/>
      <c r="AJ246" s="71" t="s">
        <v>70</v>
      </c>
      <c r="AK246" s="71">
        <v>1</v>
      </c>
      <c r="BB246" s="249" t="s">
        <v>1</v>
      </c>
      <c r="BM246" s="67">
        <f>IFERROR(X246*I246,"0")</f>
        <v>0</v>
      </c>
      <c r="BN246" s="67">
        <f>IFERROR(Y246*I246,"0")</f>
        <v>0</v>
      </c>
      <c r="BO246" s="67">
        <f>IFERROR(X246/J246,"0")</f>
        <v>0</v>
      </c>
      <c r="BP246" s="67">
        <f>IFERROR(Y246/J246,"0")</f>
        <v>0</v>
      </c>
    </row>
    <row r="247" spans="1:68" x14ac:dyDescent="0.2">
      <c r="A247" s="350"/>
      <c r="B247" s="339"/>
      <c r="C247" s="339"/>
      <c r="D247" s="339"/>
      <c r="E247" s="339"/>
      <c r="F247" s="339"/>
      <c r="G247" s="339"/>
      <c r="H247" s="339"/>
      <c r="I247" s="339"/>
      <c r="J247" s="339"/>
      <c r="K247" s="339"/>
      <c r="L247" s="339"/>
      <c r="M247" s="339"/>
      <c r="N247" s="339"/>
      <c r="O247" s="351"/>
      <c r="P247" s="344" t="s">
        <v>71</v>
      </c>
      <c r="Q247" s="345"/>
      <c r="R247" s="345"/>
      <c r="S247" s="345"/>
      <c r="T247" s="345"/>
      <c r="U247" s="345"/>
      <c r="V247" s="346"/>
      <c r="W247" s="37" t="s">
        <v>68</v>
      </c>
      <c r="X247" s="332">
        <f>IFERROR(SUM(X245:X246),"0")</f>
        <v>0</v>
      </c>
      <c r="Y247" s="332">
        <f>IFERROR(SUM(Y245:Y246),"0")</f>
        <v>0</v>
      </c>
      <c r="Z247" s="332">
        <f>IFERROR(IF(Z245="",0,Z245),"0")+IFERROR(IF(Z246="",0,Z246),"0")</f>
        <v>0</v>
      </c>
      <c r="AA247" s="333"/>
      <c r="AB247" s="333"/>
      <c r="AC247" s="333"/>
    </row>
    <row r="248" spans="1:68" x14ac:dyDescent="0.2">
      <c r="A248" s="339"/>
      <c r="B248" s="339"/>
      <c r="C248" s="339"/>
      <c r="D248" s="339"/>
      <c r="E248" s="339"/>
      <c r="F248" s="339"/>
      <c r="G248" s="339"/>
      <c r="H248" s="339"/>
      <c r="I248" s="339"/>
      <c r="J248" s="339"/>
      <c r="K248" s="339"/>
      <c r="L248" s="339"/>
      <c r="M248" s="339"/>
      <c r="N248" s="339"/>
      <c r="O248" s="351"/>
      <c r="P248" s="344" t="s">
        <v>71</v>
      </c>
      <c r="Q248" s="345"/>
      <c r="R248" s="345"/>
      <c r="S248" s="345"/>
      <c r="T248" s="345"/>
      <c r="U248" s="345"/>
      <c r="V248" s="346"/>
      <c r="W248" s="37" t="s">
        <v>72</v>
      </c>
      <c r="X248" s="332">
        <f>IFERROR(SUMPRODUCT(X245:X246*H245:H246),"0")</f>
        <v>0</v>
      </c>
      <c r="Y248" s="332">
        <f>IFERROR(SUMPRODUCT(Y245:Y246*H245:H246),"0")</f>
        <v>0</v>
      </c>
      <c r="Z248" s="37"/>
      <c r="AA248" s="333"/>
      <c r="AB248" s="333"/>
      <c r="AC248" s="333"/>
    </row>
    <row r="249" spans="1:68" ht="27.75" customHeight="1" x14ac:dyDescent="0.2">
      <c r="A249" s="435" t="s">
        <v>376</v>
      </c>
      <c r="B249" s="436"/>
      <c r="C249" s="436"/>
      <c r="D249" s="436"/>
      <c r="E249" s="436"/>
      <c r="F249" s="436"/>
      <c r="G249" s="436"/>
      <c r="H249" s="436"/>
      <c r="I249" s="436"/>
      <c r="J249" s="436"/>
      <c r="K249" s="436"/>
      <c r="L249" s="436"/>
      <c r="M249" s="436"/>
      <c r="N249" s="436"/>
      <c r="O249" s="436"/>
      <c r="P249" s="436"/>
      <c r="Q249" s="436"/>
      <c r="R249" s="436"/>
      <c r="S249" s="436"/>
      <c r="T249" s="436"/>
      <c r="U249" s="436"/>
      <c r="V249" s="436"/>
      <c r="W249" s="436"/>
      <c r="X249" s="436"/>
      <c r="Y249" s="436"/>
      <c r="Z249" s="436"/>
      <c r="AA249" s="48"/>
      <c r="AB249" s="48"/>
      <c r="AC249" s="48"/>
    </row>
    <row r="250" spans="1:68" ht="16.5" customHeight="1" x14ac:dyDescent="0.25">
      <c r="A250" s="364" t="s">
        <v>377</v>
      </c>
      <c r="B250" s="339"/>
      <c r="C250" s="339"/>
      <c r="D250" s="339"/>
      <c r="E250" s="339"/>
      <c r="F250" s="339"/>
      <c r="G250" s="339"/>
      <c r="H250" s="339"/>
      <c r="I250" s="339"/>
      <c r="J250" s="339"/>
      <c r="K250" s="339"/>
      <c r="L250" s="339"/>
      <c r="M250" s="339"/>
      <c r="N250" s="339"/>
      <c r="O250" s="339"/>
      <c r="P250" s="339"/>
      <c r="Q250" s="339"/>
      <c r="R250" s="339"/>
      <c r="S250" s="339"/>
      <c r="T250" s="339"/>
      <c r="U250" s="339"/>
      <c r="V250" s="339"/>
      <c r="W250" s="339"/>
      <c r="X250" s="339"/>
      <c r="Y250" s="339"/>
      <c r="Z250" s="339"/>
      <c r="AA250" s="325"/>
      <c r="AB250" s="325"/>
      <c r="AC250" s="325"/>
    </row>
    <row r="251" spans="1:68" ht="14.25" customHeight="1" x14ac:dyDescent="0.25">
      <c r="A251" s="338" t="s">
        <v>62</v>
      </c>
      <c r="B251" s="339"/>
      <c r="C251" s="339"/>
      <c r="D251" s="339"/>
      <c r="E251" s="339"/>
      <c r="F251" s="339"/>
      <c r="G251" s="339"/>
      <c r="H251" s="339"/>
      <c r="I251" s="339"/>
      <c r="J251" s="339"/>
      <c r="K251" s="339"/>
      <c r="L251" s="339"/>
      <c r="M251" s="339"/>
      <c r="N251" s="339"/>
      <c r="O251" s="339"/>
      <c r="P251" s="339"/>
      <c r="Q251" s="339"/>
      <c r="R251" s="339"/>
      <c r="S251" s="339"/>
      <c r="T251" s="339"/>
      <c r="U251" s="339"/>
      <c r="V251" s="339"/>
      <c r="W251" s="339"/>
      <c r="X251" s="339"/>
      <c r="Y251" s="339"/>
      <c r="Z251" s="339"/>
      <c r="AA251" s="326"/>
      <c r="AB251" s="326"/>
      <c r="AC251" s="326"/>
    </row>
    <row r="252" spans="1:68" ht="27" customHeight="1" x14ac:dyDescent="0.25">
      <c r="A252" s="54" t="s">
        <v>378</v>
      </c>
      <c r="B252" s="54" t="s">
        <v>379</v>
      </c>
      <c r="C252" s="31">
        <v>4301071036</v>
      </c>
      <c r="D252" s="340">
        <v>4607111036162</v>
      </c>
      <c r="E252" s="341"/>
      <c r="F252" s="329">
        <v>0.8</v>
      </c>
      <c r="G252" s="32">
        <v>8</v>
      </c>
      <c r="H252" s="329">
        <v>6.4</v>
      </c>
      <c r="I252" s="329">
        <v>6.6811999999999996</v>
      </c>
      <c r="J252" s="32">
        <v>84</v>
      </c>
      <c r="K252" s="32" t="s">
        <v>65</v>
      </c>
      <c r="L252" s="32" t="s">
        <v>66</v>
      </c>
      <c r="M252" s="33" t="s">
        <v>67</v>
      </c>
      <c r="N252" s="33"/>
      <c r="O252" s="32">
        <v>90</v>
      </c>
      <c r="P252" s="369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52" s="335"/>
      <c r="R252" s="335"/>
      <c r="S252" s="335"/>
      <c r="T252" s="336"/>
      <c r="U252" s="34"/>
      <c r="V252" s="34"/>
      <c r="W252" s="35" t="s">
        <v>68</v>
      </c>
      <c r="X252" s="330">
        <v>0</v>
      </c>
      <c r="Y252" s="331">
        <f>IFERROR(IF(X252="","",X252),"")</f>
        <v>0</v>
      </c>
      <c r="Z252" s="36">
        <f>IFERROR(IF(X252="","",X252*0.0155),"")</f>
        <v>0</v>
      </c>
      <c r="AA252" s="56"/>
      <c r="AB252" s="57"/>
      <c r="AC252" s="250" t="s">
        <v>380</v>
      </c>
      <c r="AG252" s="67"/>
      <c r="AJ252" s="71" t="s">
        <v>70</v>
      </c>
      <c r="AK252" s="71">
        <v>1</v>
      </c>
      <c r="BB252" s="251" t="s">
        <v>1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x14ac:dyDescent="0.2">
      <c r="A253" s="350"/>
      <c r="B253" s="339"/>
      <c r="C253" s="339"/>
      <c r="D253" s="339"/>
      <c r="E253" s="339"/>
      <c r="F253" s="339"/>
      <c r="G253" s="339"/>
      <c r="H253" s="339"/>
      <c r="I253" s="339"/>
      <c r="J253" s="339"/>
      <c r="K253" s="339"/>
      <c r="L253" s="339"/>
      <c r="M253" s="339"/>
      <c r="N253" s="339"/>
      <c r="O253" s="351"/>
      <c r="P253" s="344" t="s">
        <v>71</v>
      </c>
      <c r="Q253" s="345"/>
      <c r="R253" s="345"/>
      <c r="S253" s="345"/>
      <c r="T253" s="345"/>
      <c r="U253" s="345"/>
      <c r="V253" s="346"/>
      <c r="W253" s="37" t="s">
        <v>68</v>
      </c>
      <c r="X253" s="332">
        <f>IFERROR(SUM(X252:X252),"0")</f>
        <v>0</v>
      </c>
      <c r="Y253" s="332">
        <f>IFERROR(SUM(Y252:Y252),"0")</f>
        <v>0</v>
      </c>
      <c r="Z253" s="332">
        <f>IFERROR(IF(Z252="",0,Z252),"0")</f>
        <v>0</v>
      </c>
      <c r="AA253" s="333"/>
      <c r="AB253" s="333"/>
      <c r="AC253" s="333"/>
    </row>
    <row r="254" spans="1:68" x14ac:dyDescent="0.2">
      <c r="A254" s="339"/>
      <c r="B254" s="339"/>
      <c r="C254" s="339"/>
      <c r="D254" s="339"/>
      <c r="E254" s="339"/>
      <c r="F254" s="339"/>
      <c r="G254" s="339"/>
      <c r="H254" s="339"/>
      <c r="I254" s="339"/>
      <c r="J254" s="339"/>
      <c r="K254" s="339"/>
      <c r="L254" s="339"/>
      <c r="M254" s="339"/>
      <c r="N254" s="339"/>
      <c r="O254" s="351"/>
      <c r="P254" s="344" t="s">
        <v>71</v>
      </c>
      <c r="Q254" s="345"/>
      <c r="R254" s="345"/>
      <c r="S254" s="345"/>
      <c r="T254" s="345"/>
      <c r="U254" s="345"/>
      <c r="V254" s="346"/>
      <c r="W254" s="37" t="s">
        <v>72</v>
      </c>
      <c r="X254" s="332">
        <f>IFERROR(SUMPRODUCT(X252:X252*H252:H252),"0")</f>
        <v>0</v>
      </c>
      <c r="Y254" s="332">
        <f>IFERROR(SUMPRODUCT(Y252:Y252*H252:H252),"0")</f>
        <v>0</v>
      </c>
      <c r="Z254" s="37"/>
      <c r="AA254" s="333"/>
      <c r="AB254" s="333"/>
      <c r="AC254" s="333"/>
    </row>
    <row r="255" spans="1:68" ht="27.75" customHeight="1" x14ac:dyDescent="0.2">
      <c r="A255" s="435" t="s">
        <v>381</v>
      </c>
      <c r="B255" s="436"/>
      <c r="C255" s="436"/>
      <c r="D255" s="436"/>
      <c r="E255" s="436"/>
      <c r="F255" s="436"/>
      <c r="G255" s="436"/>
      <c r="H255" s="436"/>
      <c r="I255" s="436"/>
      <c r="J255" s="436"/>
      <c r="K255" s="436"/>
      <c r="L255" s="436"/>
      <c r="M255" s="436"/>
      <c r="N255" s="436"/>
      <c r="O255" s="436"/>
      <c r="P255" s="436"/>
      <c r="Q255" s="436"/>
      <c r="R255" s="436"/>
      <c r="S255" s="436"/>
      <c r="T255" s="436"/>
      <c r="U255" s="436"/>
      <c r="V255" s="436"/>
      <c r="W255" s="436"/>
      <c r="X255" s="436"/>
      <c r="Y255" s="436"/>
      <c r="Z255" s="436"/>
      <c r="AA255" s="48"/>
      <c r="AB255" s="48"/>
      <c r="AC255" s="48"/>
    </row>
    <row r="256" spans="1:68" ht="16.5" customHeight="1" x14ac:dyDescent="0.25">
      <c r="A256" s="364" t="s">
        <v>382</v>
      </c>
      <c r="B256" s="339"/>
      <c r="C256" s="339"/>
      <c r="D256" s="339"/>
      <c r="E256" s="339"/>
      <c r="F256" s="339"/>
      <c r="G256" s="339"/>
      <c r="H256" s="339"/>
      <c r="I256" s="339"/>
      <c r="J256" s="339"/>
      <c r="K256" s="339"/>
      <c r="L256" s="339"/>
      <c r="M256" s="339"/>
      <c r="N256" s="339"/>
      <c r="O256" s="339"/>
      <c r="P256" s="339"/>
      <c r="Q256" s="339"/>
      <c r="R256" s="339"/>
      <c r="S256" s="339"/>
      <c r="T256" s="339"/>
      <c r="U256" s="339"/>
      <c r="V256" s="339"/>
      <c r="W256" s="339"/>
      <c r="X256" s="339"/>
      <c r="Y256" s="339"/>
      <c r="Z256" s="339"/>
      <c r="AA256" s="325"/>
      <c r="AB256" s="325"/>
      <c r="AC256" s="325"/>
    </row>
    <row r="257" spans="1:68" ht="14.25" customHeight="1" x14ac:dyDescent="0.25">
      <c r="A257" s="338" t="s">
        <v>62</v>
      </c>
      <c r="B257" s="339"/>
      <c r="C257" s="339"/>
      <c r="D257" s="339"/>
      <c r="E257" s="339"/>
      <c r="F257" s="339"/>
      <c r="G257" s="339"/>
      <c r="H257" s="339"/>
      <c r="I257" s="339"/>
      <c r="J257" s="339"/>
      <c r="K257" s="339"/>
      <c r="L257" s="339"/>
      <c r="M257" s="339"/>
      <c r="N257" s="339"/>
      <c r="O257" s="339"/>
      <c r="P257" s="339"/>
      <c r="Q257" s="339"/>
      <c r="R257" s="339"/>
      <c r="S257" s="339"/>
      <c r="T257" s="339"/>
      <c r="U257" s="339"/>
      <c r="V257" s="339"/>
      <c r="W257" s="339"/>
      <c r="X257" s="339"/>
      <c r="Y257" s="339"/>
      <c r="Z257" s="339"/>
      <c r="AA257" s="326"/>
      <c r="AB257" s="326"/>
      <c r="AC257" s="326"/>
    </row>
    <row r="258" spans="1:68" ht="27" customHeight="1" x14ac:dyDescent="0.25">
      <c r="A258" s="54" t="s">
        <v>383</v>
      </c>
      <c r="B258" s="54" t="s">
        <v>384</v>
      </c>
      <c r="C258" s="31">
        <v>4301071029</v>
      </c>
      <c r="D258" s="340">
        <v>4607111035899</v>
      </c>
      <c r="E258" s="341"/>
      <c r="F258" s="329">
        <v>1</v>
      </c>
      <c r="G258" s="32">
        <v>5</v>
      </c>
      <c r="H258" s="329">
        <v>5</v>
      </c>
      <c r="I258" s="329">
        <v>5.2619999999999996</v>
      </c>
      <c r="J258" s="32">
        <v>84</v>
      </c>
      <c r="K258" s="32" t="s">
        <v>65</v>
      </c>
      <c r="L258" s="32" t="s">
        <v>66</v>
      </c>
      <c r="M258" s="33" t="s">
        <v>67</v>
      </c>
      <c r="N258" s="33"/>
      <c r="O258" s="32">
        <v>180</v>
      </c>
      <c r="P258" s="411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58" s="335"/>
      <c r="R258" s="335"/>
      <c r="S258" s="335"/>
      <c r="T258" s="336"/>
      <c r="U258" s="34"/>
      <c r="V258" s="34"/>
      <c r="W258" s="35" t="s">
        <v>68</v>
      </c>
      <c r="X258" s="330">
        <v>0</v>
      </c>
      <c r="Y258" s="331">
        <f>IFERROR(IF(X258="","",X258),"")</f>
        <v>0</v>
      </c>
      <c r="Z258" s="36">
        <f>IFERROR(IF(X258="","",X258*0.0155),"")</f>
        <v>0</v>
      </c>
      <c r="AA258" s="56"/>
      <c r="AB258" s="57"/>
      <c r="AC258" s="252" t="s">
        <v>273</v>
      </c>
      <c r="AG258" s="67"/>
      <c r="AJ258" s="71" t="s">
        <v>70</v>
      </c>
      <c r="AK258" s="71">
        <v>1</v>
      </c>
      <c r="BB258" s="253" t="s">
        <v>1</v>
      </c>
      <c r="BM258" s="67">
        <f>IFERROR(X258*I258,"0")</f>
        <v>0</v>
      </c>
      <c r="BN258" s="67">
        <f>IFERROR(Y258*I258,"0")</f>
        <v>0</v>
      </c>
      <c r="BO258" s="67">
        <f>IFERROR(X258/J258,"0")</f>
        <v>0</v>
      </c>
      <c r="BP258" s="67">
        <f>IFERROR(Y258/J258,"0")</f>
        <v>0</v>
      </c>
    </row>
    <row r="259" spans="1:68" ht="27" customHeight="1" x14ac:dyDescent="0.25">
      <c r="A259" s="54" t="s">
        <v>385</v>
      </c>
      <c r="B259" s="54" t="s">
        <v>386</v>
      </c>
      <c r="C259" s="31">
        <v>4301070991</v>
      </c>
      <c r="D259" s="340">
        <v>4607111038180</v>
      </c>
      <c r="E259" s="341"/>
      <c r="F259" s="329">
        <v>0.4</v>
      </c>
      <c r="G259" s="32">
        <v>16</v>
      </c>
      <c r="H259" s="329">
        <v>6.4</v>
      </c>
      <c r="I259" s="329">
        <v>6.71</v>
      </c>
      <c r="J259" s="32">
        <v>84</v>
      </c>
      <c r="K259" s="32" t="s">
        <v>65</v>
      </c>
      <c r="L259" s="32" t="s">
        <v>66</v>
      </c>
      <c r="M259" s="33" t="s">
        <v>67</v>
      </c>
      <c r="N259" s="33"/>
      <c r="O259" s="32">
        <v>180</v>
      </c>
      <c r="P259" s="395" t="str">
        <f>HYPERLINK("https://abi.ru/products/Замороженные/Особый рецепт/Любимая ложка/Пельмени/P003732/","Пельмени «Татарские» Фикс.вес 0,4 Классическая форма ТМ «Особый рецепт»")</f>
        <v>Пельмени «Татарские» Фикс.вес 0,4 Классическая форма ТМ «Особый рецепт»</v>
      </c>
      <c r="Q259" s="335"/>
      <c r="R259" s="335"/>
      <c r="S259" s="335"/>
      <c r="T259" s="336"/>
      <c r="U259" s="34"/>
      <c r="V259" s="34"/>
      <c r="W259" s="35" t="s">
        <v>68</v>
      </c>
      <c r="X259" s="330">
        <v>0</v>
      </c>
      <c r="Y259" s="331">
        <f>IFERROR(IF(X259="","",X259),"")</f>
        <v>0</v>
      </c>
      <c r="Z259" s="36">
        <f>IFERROR(IF(X259="","",X259*0.0155),"")</f>
        <v>0</v>
      </c>
      <c r="AA259" s="56"/>
      <c r="AB259" s="57"/>
      <c r="AC259" s="254" t="s">
        <v>387</v>
      </c>
      <c r="AG259" s="67"/>
      <c r="AJ259" s="71" t="s">
        <v>70</v>
      </c>
      <c r="AK259" s="71">
        <v>1</v>
      </c>
      <c r="BB259" s="255" t="s">
        <v>1</v>
      </c>
      <c r="BM259" s="67">
        <f>IFERROR(X259*I259,"0")</f>
        <v>0</v>
      </c>
      <c r="BN259" s="67">
        <f>IFERROR(Y259*I259,"0")</f>
        <v>0</v>
      </c>
      <c r="BO259" s="67">
        <f>IFERROR(X259/J259,"0")</f>
        <v>0</v>
      </c>
      <c r="BP259" s="67">
        <f>IFERROR(Y259/J259,"0")</f>
        <v>0</v>
      </c>
    </row>
    <row r="260" spans="1:68" x14ac:dyDescent="0.2">
      <c r="A260" s="350"/>
      <c r="B260" s="339"/>
      <c r="C260" s="339"/>
      <c r="D260" s="339"/>
      <c r="E260" s="339"/>
      <c r="F260" s="339"/>
      <c r="G260" s="339"/>
      <c r="H260" s="339"/>
      <c r="I260" s="339"/>
      <c r="J260" s="339"/>
      <c r="K260" s="339"/>
      <c r="L260" s="339"/>
      <c r="M260" s="339"/>
      <c r="N260" s="339"/>
      <c r="O260" s="351"/>
      <c r="P260" s="344" t="s">
        <v>71</v>
      </c>
      <c r="Q260" s="345"/>
      <c r="R260" s="345"/>
      <c r="S260" s="345"/>
      <c r="T260" s="345"/>
      <c r="U260" s="345"/>
      <c r="V260" s="346"/>
      <c r="W260" s="37" t="s">
        <v>68</v>
      </c>
      <c r="X260" s="332">
        <f>IFERROR(SUM(X258:X259),"0")</f>
        <v>0</v>
      </c>
      <c r="Y260" s="332">
        <f>IFERROR(SUM(Y258:Y259),"0")</f>
        <v>0</v>
      </c>
      <c r="Z260" s="332">
        <f>IFERROR(IF(Z258="",0,Z258),"0")+IFERROR(IF(Z259="",0,Z259),"0")</f>
        <v>0</v>
      </c>
      <c r="AA260" s="333"/>
      <c r="AB260" s="333"/>
      <c r="AC260" s="333"/>
    </row>
    <row r="261" spans="1:68" x14ac:dyDescent="0.2">
      <c r="A261" s="339"/>
      <c r="B261" s="339"/>
      <c r="C261" s="339"/>
      <c r="D261" s="339"/>
      <c r="E261" s="339"/>
      <c r="F261" s="339"/>
      <c r="G261" s="339"/>
      <c r="H261" s="339"/>
      <c r="I261" s="339"/>
      <c r="J261" s="339"/>
      <c r="K261" s="339"/>
      <c r="L261" s="339"/>
      <c r="M261" s="339"/>
      <c r="N261" s="339"/>
      <c r="O261" s="351"/>
      <c r="P261" s="344" t="s">
        <v>71</v>
      </c>
      <c r="Q261" s="345"/>
      <c r="R261" s="345"/>
      <c r="S261" s="345"/>
      <c r="T261" s="345"/>
      <c r="U261" s="345"/>
      <c r="V261" s="346"/>
      <c r="W261" s="37" t="s">
        <v>72</v>
      </c>
      <c r="X261" s="332">
        <f>IFERROR(SUMPRODUCT(X258:X259*H258:H259),"0")</f>
        <v>0</v>
      </c>
      <c r="Y261" s="332">
        <f>IFERROR(SUMPRODUCT(Y258:Y259*H258:H259),"0")</f>
        <v>0</v>
      </c>
      <c r="Z261" s="37"/>
      <c r="AA261" s="333"/>
      <c r="AB261" s="333"/>
      <c r="AC261" s="333"/>
    </row>
    <row r="262" spans="1:68" ht="27.75" customHeight="1" x14ac:dyDescent="0.2">
      <c r="A262" s="435" t="s">
        <v>388</v>
      </c>
      <c r="B262" s="436"/>
      <c r="C262" s="436"/>
      <c r="D262" s="436"/>
      <c r="E262" s="436"/>
      <c r="F262" s="436"/>
      <c r="G262" s="436"/>
      <c r="H262" s="436"/>
      <c r="I262" s="436"/>
      <c r="J262" s="436"/>
      <c r="K262" s="436"/>
      <c r="L262" s="436"/>
      <c r="M262" s="436"/>
      <c r="N262" s="436"/>
      <c r="O262" s="436"/>
      <c r="P262" s="436"/>
      <c r="Q262" s="436"/>
      <c r="R262" s="436"/>
      <c r="S262" s="436"/>
      <c r="T262" s="436"/>
      <c r="U262" s="436"/>
      <c r="V262" s="436"/>
      <c r="W262" s="436"/>
      <c r="X262" s="436"/>
      <c r="Y262" s="436"/>
      <c r="Z262" s="436"/>
      <c r="AA262" s="48"/>
      <c r="AB262" s="48"/>
      <c r="AC262" s="48"/>
    </row>
    <row r="263" spans="1:68" ht="16.5" customHeight="1" x14ac:dyDescent="0.25">
      <c r="A263" s="364" t="s">
        <v>389</v>
      </c>
      <c r="B263" s="339"/>
      <c r="C263" s="339"/>
      <c r="D263" s="339"/>
      <c r="E263" s="339"/>
      <c r="F263" s="339"/>
      <c r="G263" s="339"/>
      <c r="H263" s="339"/>
      <c r="I263" s="339"/>
      <c r="J263" s="339"/>
      <c r="K263" s="339"/>
      <c r="L263" s="339"/>
      <c r="M263" s="339"/>
      <c r="N263" s="339"/>
      <c r="O263" s="339"/>
      <c r="P263" s="339"/>
      <c r="Q263" s="339"/>
      <c r="R263" s="339"/>
      <c r="S263" s="339"/>
      <c r="T263" s="339"/>
      <c r="U263" s="339"/>
      <c r="V263" s="339"/>
      <c r="W263" s="339"/>
      <c r="X263" s="339"/>
      <c r="Y263" s="339"/>
      <c r="Z263" s="339"/>
      <c r="AA263" s="325"/>
      <c r="AB263" s="325"/>
      <c r="AC263" s="325"/>
    </row>
    <row r="264" spans="1:68" ht="14.25" customHeight="1" x14ac:dyDescent="0.25">
      <c r="A264" s="338" t="s">
        <v>390</v>
      </c>
      <c r="B264" s="339"/>
      <c r="C264" s="339"/>
      <c r="D264" s="339"/>
      <c r="E264" s="339"/>
      <c r="F264" s="339"/>
      <c r="G264" s="339"/>
      <c r="H264" s="339"/>
      <c r="I264" s="339"/>
      <c r="J264" s="339"/>
      <c r="K264" s="339"/>
      <c r="L264" s="339"/>
      <c r="M264" s="339"/>
      <c r="N264" s="339"/>
      <c r="O264" s="339"/>
      <c r="P264" s="339"/>
      <c r="Q264" s="339"/>
      <c r="R264" s="339"/>
      <c r="S264" s="339"/>
      <c r="T264" s="339"/>
      <c r="U264" s="339"/>
      <c r="V264" s="339"/>
      <c r="W264" s="339"/>
      <c r="X264" s="339"/>
      <c r="Y264" s="339"/>
      <c r="Z264" s="339"/>
      <c r="AA264" s="326"/>
      <c r="AB264" s="326"/>
      <c r="AC264" s="326"/>
    </row>
    <row r="265" spans="1:68" ht="27" customHeight="1" x14ac:dyDescent="0.25">
      <c r="A265" s="54" t="s">
        <v>391</v>
      </c>
      <c r="B265" s="54" t="s">
        <v>392</v>
      </c>
      <c r="C265" s="31">
        <v>4301133004</v>
      </c>
      <c r="D265" s="340">
        <v>4607111039774</v>
      </c>
      <c r="E265" s="341"/>
      <c r="F265" s="329">
        <v>0.25</v>
      </c>
      <c r="G265" s="32">
        <v>12</v>
      </c>
      <c r="H265" s="329">
        <v>3</v>
      </c>
      <c r="I265" s="329">
        <v>3.22</v>
      </c>
      <c r="J265" s="32">
        <v>70</v>
      </c>
      <c r="K265" s="32" t="s">
        <v>78</v>
      </c>
      <c r="L265" s="32" t="s">
        <v>66</v>
      </c>
      <c r="M265" s="33" t="s">
        <v>67</v>
      </c>
      <c r="N265" s="33"/>
      <c r="O265" s="32">
        <v>180</v>
      </c>
      <c r="P265" s="381" t="s">
        <v>393</v>
      </c>
      <c r="Q265" s="335"/>
      <c r="R265" s="335"/>
      <c r="S265" s="335"/>
      <c r="T265" s="336"/>
      <c r="U265" s="34"/>
      <c r="V265" s="34"/>
      <c r="W265" s="35" t="s">
        <v>68</v>
      </c>
      <c r="X265" s="330">
        <v>0</v>
      </c>
      <c r="Y265" s="331">
        <f>IFERROR(IF(X265="","",X265),"")</f>
        <v>0</v>
      </c>
      <c r="Z265" s="36">
        <f>IFERROR(IF(X265="","",X265*0.01788),"")</f>
        <v>0</v>
      </c>
      <c r="AA265" s="56"/>
      <c r="AB265" s="57"/>
      <c r="AC265" s="256" t="s">
        <v>394</v>
      </c>
      <c r="AG265" s="67"/>
      <c r="AJ265" s="71" t="s">
        <v>70</v>
      </c>
      <c r="AK265" s="71">
        <v>1</v>
      </c>
      <c r="BB265" s="257" t="s">
        <v>81</v>
      </c>
      <c r="BM265" s="67">
        <f>IFERROR(X265*I265,"0")</f>
        <v>0</v>
      </c>
      <c r="BN265" s="67">
        <f>IFERROR(Y265*I265,"0")</f>
        <v>0</v>
      </c>
      <c r="BO265" s="67">
        <f>IFERROR(X265/J265,"0")</f>
        <v>0</v>
      </c>
      <c r="BP265" s="67">
        <f>IFERROR(Y265/J265,"0")</f>
        <v>0</v>
      </c>
    </row>
    <row r="266" spans="1:68" x14ac:dyDescent="0.2">
      <c r="A266" s="350"/>
      <c r="B266" s="339"/>
      <c r="C266" s="339"/>
      <c r="D266" s="339"/>
      <c r="E266" s="339"/>
      <c r="F266" s="339"/>
      <c r="G266" s="339"/>
      <c r="H266" s="339"/>
      <c r="I266" s="339"/>
      <c r="J266" s="339"/>
      <c r="K266" s="339"/>
      <c r="L266" s="339"/>
      <c r="M266" s="339"/>
      <c r="N266" s="339"/>
      <c r="O266" s="351"/>
      <c r="P266" s="344" t="s">
        <v>71</v>
      </c>
      <c r="Q266" s="345"/>
      <c r="R266" s="345"/>
      <c r="S266" s="345"/>
      <c r="T266" s="345"/>
      <c r="U266" s="345"/>
      <c r="V266" s="346"/>
      <c r="W266" s="37" t="s">
        <v>68</v>
      </c>
      <c r="X266" s="332">
        <f>IFERROR(SUM(X265:X265),"0")</f>
        <v>0</v>
      </c>
      <c r="Y266" s="332">
        <f>IFERROR(SUM(Y265:Y265),"0")</f>
        <v>0</v>
      </c>
      <c r="Z266" s="332">
        <f>IFERROR(IF(Z265="",0,Z265),"0")</f>
        <v>0</v>
      </c>
      <c r="AA266" s="333"/>
      <c r="AB266" s="333"/>
      <c r="AC266" s="333"/>
    </row>
    <row r="267" spans="1:68" x14ac:dyDescent="0.2">
      <c r="A267" s="339"/>
      <c r="B267" s="339"/>
      <c r="C267" s="339"/>
      <c r="D267" s="339"/>
      <c r="E267" s="339"/>
      <c r="F267" s="339"/>
      <c r="G267" s="339"/>
      <c r="H267" s="339"/>
      <c r="I267" s="339"/>
      <c r="J267" s="339"/>
      <c r="K267" s="339"/>
      <c r="L267" s="339"/>
      <c r="M267" s="339"/>
      <c r="N267" s="339"/>
      <c r="O267" s="351"/>
      <c r="P267" s="344" t="s">
        <v>71</v>
      </c>
      <c r="Q267" s="345"/>
      <c r="R267" s="345"/>
      <c r="S267" s="345"/>
      <c r="T267" s="345"/>
      <c r="U267" s="345"/>
      <c r="V267" s="346"/>
      <c r="W267" s="37" t="s">
        <v>72</v>
      </c>
      <c r="X267" s="332">
        <f>IFERROR(SUMPRODUCT(X265:X265*H265:H265),"0")</f>
        <v>0</v>
      </c>
      <c r="Y267" s="332">
        <f>IFERROR(SUMPRODUCT(Y265:Y265*H265:H265),"0")</f>
        <v>0</v>
      </c>
      <c r="Z267" s="37"/>
      <c r="AA267" s="333"/>
      <c r="AB267" s="333"/>
      <c r="AC267" s="333"/>
    </row>
    <row r="268" spans="1:68" ht="14.25" customHeight="1" x14ac:dyDescent="0.25">
      <c r="A268" s="338" t="s">
        <v>138</v>
      </c>
      <c r="B268" s="339"/>
      <c r="C268" s="339"/>
      <c r="D268" s="339"/>
      <c r="E268" s="339"/>
      <c r="F268" s="339"/>
      <c r="G268" s="339"/>
      <c r="H268" s="339"/>
      <c r="I268" s="339"/>
      <c r="J268" s="339"/>
      <c r="K268" s="339"/>
      <c r="L268" s="339"/>
      <c r="M268" s="339"/>
      <c r="N268" s="339"/>
      <c r="O268" s="339"/>
      <c r="P268" s="339"/>
      <c r="Q268" s="339"/>
      <c r="R268" s="339"/>
      <c r="S268" s="339"/>
      <c r="T268" s="339"/>
      <c r="U268" s="339"/>
      <c r="V268" s="339"/>
      <c r="W268" s="339"/>
      <c r="X268" s="339"/>
      <c r="Y268" s="339"/>
      <c r="Z268" s="339"/>
      <c r="AA268" s="326"/>
      <c r="AB268" s="326"/>
      <c r="AC268" s="326"/>
    </row>
    <row r="269" spans="1:68" ht="37.5" customHeight="1" x14ac:dyDescent="0.25">
      <c r="A269" s="54" t="s">
        <v>395</v>
      </c>
      <c r="B269" s="54" t="s">
        <v>396</v>
      </c>
      <c r="C269" s="31">
        <v>4301135400</v>
      </c>
      <c r="D269" s="340">
        <v>4607111039361</v>
      </c>
      <c r="E269" s="341"/>
      <c r="F269" s="329">
        <v>0.25</v>
      </c>
      <c r="G269" s="32">
        <v>12</v>
      </c>
      <c r="H269" s="329">
        <v>3</v>
      </c>
      <c r="I269" s="329">
        <v>3.7035999999999998</v>
      </c>
      <c r="J269" s="32">
        <v>70</v>
      </c>
      <c r="K269" s="32" t="s">
        <v>78</v>
      </c>
      <c r="L269" s="32" t="s">
        <v>66</v>
      </c>
      <c r="M269" s="33" t="s">
        <v>67</v>
      </c>
      <c r="N269" s="33"/>
      <c r="O269" s="32">
        <v>180</v>
      </c>
      <c r="P269" s="501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69" s="335"/>
      <c r="R269" s="335"/>
      <c r="S269" s="335"/>
      <c r="T269" s="336"/>
      <c r="U269" s="34"/>
      <c r="V269" s="34"/>
      <c r="W269" s="35" t="s">
        <v>68</v>
      </c>
      <c r="X269" s="330">
        <v>0</v>
      </c>
      <c r="Y269" s="331">
        <f>IFERROR(IF(X269="","",X269),"")</f>
        <v>0</v>
      </c>
      <c r="Z269" s="36">
        <f>IFERROR(IF(X269="","",X269*0.01788),"")</f>
        <v>0</v>
      </c>
      <c r="AA269" s="56"/>
      <c r="AB269" s="57"/>
      <c r="AC269" s="258" t="s">
        <v>394</v>
      </c>
      <c r="AG269" s="67"/>
      <c r="AJ269" s="71" t="s">
        <v>70</v>
      </c>
      <c r="AK269" s="71">
        <v>1</v>
      </c>
      <c r="BB269" s="259" t="s">
        <v>81</v>
      </c>
      <c r="BM269" s="67">
        <f>IFERROR(X269*I269,"0")</f>
        <v>0</v>
      </c>
      <c r="BN269" s="67">
        <f>IFERROR(Y269*I269,"0")</f>
        <v>0</v>
      </c>
      <c r="BO269" s="67">
        <f>IFERROR(X269/J269,"0")</f>
        <v>0</v>
      </c>
      <c r="BP269" s="67">
        <f>IFERROR(Y269/J269,"0")</f>
        <v>0</v>
      </c>
    </row>
    <row r="270" spans="1:68" x14ac:dyDescent="0.2">
      <c r="A270" s="350"/>
      <c r="B270" s="339"/>
      <c r="C270" s="339"/>
      <c r="D270" s="339"/>
      <c r="E270" s="339"/>
      <c r="F270" s="339"/>
      <c r="G270" s="339"/>
      <c r="H270" s="339"/>
      <c r="I270" s="339"/>
      <c r="J270" s="339"/>
      <c r="K270" s="339"/>
      <c r="L270" s="339"/>
      <c r="M270" s="339"/>
      <c r="N270" s="339"/>
      <c r="O270" s="351"/>
      <c r="P270" s="344" t="s">
        <v>71</v>
      </c>
      <c r="Q270" s="345"/>
      <c r="R270" s="345"/>
      <c r="S270" s="345"/>
      <c r="T270" s="345"/>
      <c r="U270" s="345"/>
      <c r="V270" s="346"/>
      <c r="W270" s="37" t="s">
        <v>68</v>
      </c>
      <c r="X270" s="332">
        <f>IFERROR(SUM(X269:X269),"0")</f>
        <v>0</v>
      </c>
      <c r="Y270" s="332">
        <f>IFERROR(SUM(Y269:Y269),"0")</f>
        <v>0</v>
      </c>
      <c r="Z270" s="332">
        <f>IFERROR(IF(Z269="",0,Z269),"0")</f>
        <v>0</v>
      </c>
      <c r="AA270" s="333"/>
      <c r="AB270" s="333"/>
      <c r="AC270" s="333"/>
    </row>
    <row r="271" spans="1:68" x14ac:dyDescent="0.2">
      <c r="A271" s="339"/>
      <c r="B271" s="339"/>
      <c r="C271" s="339"/>
      <c r="D271" s="339"/>
      <c r="E271" s="339"/>
      <c r="F271" s="339"/>
      <c r="G271" s="339"/>
      <c r="H271" s="339"/>
      <c r="I271" s="339"/>
      <c r="J271" s="339"/>
      <c r="K271" s="339"/>
      <c r="L271" s="339"/>
      <c r="M271" s="339"/>
      <c r="N271" s="339"/>
      <c r="O271" s="351"/>
      <c r="P271" s="344" t="s">
        <v>71</v>
      </c>
      <c r="Q271" s="345"/>
      <c r="R271" s="345"/>
      <c r="S271" s="345"/>
      <c r="T271" s="345"/>
      <c r="U271" s="345"/>
      <c r="V271" s="346"/>
      <c r="W271" s="37" t="s">
        <v>72</v>
      </c>
      <c r="X271" s="332">
        <f>IFERROR(SUMPRODUCT(X269:X269*H269:H269),"0")</f>
        <v>0</v>
      </c>
      <c r="Y271" s="332">
        <f>IFERROR(SUMPRODUCT(Y269:Y269*H269:H269),"0")</f>
        <v>0</v>
      </c>
      <c r="Z271" s="37"/>
      <c r="AA271" s="333"/>
      <c r="AB271" s="333"/>
      <c r="AC271" s="333"/>
    </row>
    <row r="272" spans="1:68" ht="27.75" customHeight="1" x14ac:dyDescent="0.2">
      <c r="A272" s="435" t="s">
        <v>258</v>
      </c>
      <c r="B272" s="436"/>
      <c r="C272" s="436"/>
      <c r="D272" s="436"/>
      <c r="E272" s="436"/>
      <c r="F272" s="436"/>
      <c r="G272" s="436"/>
      <c r="H272" s="436"/>
      <c r="I272" s="436"/>
      <c r="J272" s="436"/>
      <c r="K272" s="436"/>
      <c r="L272" s="436"/>
      <c r="M272" s="436"/>
      <c r="N272" s="436"/>
      <c r="O272" s="436"/>
      <c r="P272" s="436"/>
      <c r="Q272" s="436"/>
      <c r="R272" s="436"/>
      <c r="S272" s="436"/>
      <c r="T272" s="436"/>
      <c r="U272" s="436"/>
      <c r="V272" s="436"/>
      <c r="W272" s="436"/>
      <c r="X272" s="436"/>
      <c r="Y272" s="436"/>
      <c r="Z272" s="436"/>
      <c r="AA272" s="48"/>
      <c r="AB272" s="48"/>
      <c r="AC272" s="48"/>
    </row>
    <row r="273" spans="1:68" ht="16.5" customHeight="1" x14ac:dyDescent="0.25">
      <c r="A273" s="364" t="s">
        <v>258</v>
      </c>
      <c r="B273" s="339"/>
      <c r="C273" s="339"/>
      <c r="D273" s="339"/>
      <c r="E273" s="339"/>
      <c r="F273" s="339"/>
      <c r="G273" s="339"/>
      <c r="H273" s="339"/>
      <c r="I273" s="339"/>
      <c r="J273" s="339"/>
      <c r="K273" s="339"/>
      <c r="L273" s="339"/>
      <c r="M273" s="339"/>
      <c r="N273" s="339"/>
      <c r="O273" s="339"/>
      <c r="P273" s="339"/>
      <c r="Q273" s="339"/>
      <c r="R273" s="339"/>
      <c r="S273" s="339"/>
      <c r="T273" s="339"/>
      <c r="U273" s="339"/>
      <c r="V273" s="339"/>
      <c r="W273" s="339"/>
      <c r="X273" s="339"/>
      <c r="Y273" s="339"/>
      <c r="Z273" s="339"/>
      <c r="AA273" s="325"/>
      <c r="AB273" s="325"/>
      <c r="AC273" s="325"/>
    </row>
    <row r="274" spans="1:68" ht="14.25" customHeight="1" x14ac:dyDescent="0.25">
      <c r="A274" s="338" t="s">
        <v>62</v>
      </c>
      <c r="B274" s="339"/>
      <c r="C274" s="339"/>
      <c r="D274" s="339"/>
      <c r="E274" s="339"/>
      <c r="F274" s="339"/>
      <c r="G274" s="339"/>
      <c r="H274" s="339"/>
      <c r="I274" s="339"/>
      <c r="J274" s="339"/>
      <c r="K274" s="339"/>
      <c r="L274" s="339"/>
      <c r="M274" s="339"/>
      <c r="N274" s="339"/>
      <c r="O274" s="339"/>
      <c r="P274" s="339"/>
      <c r="Q274" s="339"/>
      <c r="R274" s="339"/>
      <c r="S274" s="339"/>
      <c r="T274" s="339"/>
      <c r="U274" s="339"/>
      <c r="V274" s="339"/>
      <c r="W274" s="339"/>
      <c r="X274" s="339"/>
      <c r="Y274" s="339"/>
      <c r="Z274" s="339"/>
      <c r="AA274" s="326"/>
      <c r="AB274" s="326"/>
      <c r="AC274" s="326"/>
    </row>
    <row r="275" spans="1:68" ht="27" customHeight="1" x14ac:dyDescent="0.25">
      <c r="A275" s="54" t="s">
        <v>397</v>
      </c>
      <c r="B275" s="54" t="s">
        <v>398</v>
      </c>
      <c r="C275" s="31">
        <v>4301071014</v>
      </c>
      <c r="D275" s="340">
        <v>4640242181264</v>
      </c>
      <c r="E275" s="341"/>
      <c r="F275" s="329">
        <v>0.7</v>
      </c>
      <c r="G275" s="32">
        <v>10</v>
      </c>
      <c r="H275" s="329">
        <v>7</v>
      </c>
      <c r="I275" s="329">
        <v>7.28</v>
      </c>
      <c r="J275" s="32">
        <v>84</v>
      </c>
      <c r="K275" s="32" t="s">
        <v>65</v>
      </c>
      <c r="L275" s="32" t="s">
        <v>66</v>
      </c>
      <c r="M275" s="33" t="s">
        <v>67</v>
      </c>
      <c r="N275" s="33"/>
      <c r="O275" s="32">
        <v>180</v>
      </c>
      <c r="P275" s="365" t="s">
        <v>399</v>
      </c>
      <c r="Q275" s="335"/>
      <c r="R275" s="335"/>
      <c r="S275" s="335"/>
      <c r="T275" s="336"/>
      <c r="U275" s="34"/>
      <c r="V275" s="34"/>
      <c r="W275" s="35" t="s">
        <v>68</v>
      </c>
      <c r="X275" s="330">
        <v>0</v>
      </c>
      <c r="Y275" s="331">
        <f>IFERROR(IF(X275="","",X275),"")</f>
        <v>0</v>
      </c>
      <c r="Z275" s="36">
        <f>IFERROR(IF(X275="","",X275*0.0155),"")</f>
        <v>0</v>
      </c>
      <c r="AA275" s="56"/>
      <c r="AB275" s="57"/>
      <c r="AC275" s="260" t="s">
        <v>400</v>
      </c>
      <c r="AG275" s="67"/>
      <c r="AJ275" s="71" t="s">
        <v>70</v>
      </c>
      <c r="AK275" s="71">
        <v>1</v>
      </c>
      <c r="BB275" s="261" t="s">
        <v>1</v>
      </c>
      <c r="BM275" s="67">
        <f>IFERROR(X275*I275,"0")</f>
        <v>0</v>
      </c>
      <c r="BN275" s="67">
        <f>IFERROR(Y275*I275,"0")</f>
        <v>0</v>
      </c>
      <c r="BO275" s="67">
        <f>IFERROR(X275/J275,"0")</f>
        <v>0</v>
      </c>
      <c r="BP275" s="67">
        <f>IFERROR(Y275/J275,"0")</f>
        <v>0</v>
      </c>
    </row>
    <row r="276" spans="1:68" ht="27" customHeight="1" x14ac:dyDescent="0.25">
      <c r="A276" s="54" t="s">
        <v>401</v>
      </c>
      <c r="B276" s="54" t="s">
        <v>402</v>
      </c>
      <c r="C276" s="31">
        <v>4301071021</v>
      </c>
      <c r="D276" s="340">
        <v>4640242181325</v>
      </c>
      <c r="E276" s="341"/>
      <c r="F276" s="329">
        <v>0.7</v>
      </c>
      <c r="G276" s="32">
        <v>10</v>
      </c>
      <c r="H276" s="329">
        <v>7</v>
      </c>
      <c r="I276" s="329">
        <v>7.28</v>
      </c>
      <c r="J276" s="32">
        <v>84</v>
      </c>
      <c r="K276" s="32" t="s">
        <v>65</v>
      </c>
      <c r="L276" s="32" t="s">
        <v>66</v>
      </c>
      <c r="M276" s="33" t="s">
        <v>67</v>
      </c>
      <c r="N276" s="33"/>
      <c r="O276" s="32">
        <v>180</v>
      </c>
      <c r="P276" s="515" t="s">
        <v>403</v>
      </c>
      <c r="Q276" s="335"/>
      <c r="R276" s="335"/>
      <c r="S276" s="335"/>
      <c r="T276" s="336"/>
      <c r="U276" s="34"/>
      <c r="V276" s="34"/>
      <c r="W276" s="35" t="s">
        <v>68</v>
      </c>
      <c r="X276" s="330">
        <v>0</v>
      </c>
      <c r="Y276" s="331">
        <f>IFERROR(IF(X276="","",X276),"")</f>
        <v>0</v>
      </c>
      <c r="Z276" s="36">
        <f>IFERROR(IF(X276="","",X276*0.0155),"")</f>
        <v>0</v>
      </c>
      <c r="AA276" s="56"/>
      <c r="AB276" s="57"/>
      <c r="AC276" s="262" t="s">
        <v>400</v>
      </c>
      <c r="AG276" s="67"/>
      <c r="AJ276" s="71" t="s">
        <v>70</v>
      </c>
      <c r="AK276" s="71">
        <v>1</v>
      </c>
      <c r="BB276" s="263" t="s">
        <v>1</v>
      </c>
      <c r="BM276" s="67">
        <f>IFERROR(X276*I276,"0")</f>
        <v>0</v>
      </c>
      <c r="BN276" s="67">
        <f>IFERROR(Y276*I276,"0")</f>
        <v>0</v>
      </c>
      <c r="BO276" s="67">
        <f>IFERROR(X276/J276,"0")</f>
        <v>0</v>
      </c>
      <c r="BP276" s="67">
        <f>IFERROR(Y276/J276,"0")</f>
        <v>0</v>
      </c>
    </row>
    <row r="277" spans="1:68" ht="27" customHeight="1" x14ac:dyDescent="0.25">
      <c r="A277" s="54" t="s">
        <v>404</v>
      </c>
      <c r="B277" s="54" t="s">
        <v>405</v>
      </c>
      <c r="C277" s="31">
        <v>4301070993</v>
      </c>
      <c r="D277" s="340">
        <v>4640242180670</v>
      </c>
      <c r="E277" s="341"/>
      <c r="F277" s="329">
        <v>1</v>
      </c>
      <c r="G277" s="32">
        <v>6</v>
      </c>
      <c r="H277" s="329">
        <v>6</v>
      </c>
      <c r="I277" s="329">
        <v>6.23</v>
      </c>
      <c r="J277" s="32">
        <v>84</v>
      </c>
      <c r="K277" s="32" t="s">
        <v>65</v>
      </c>
      <c r="L277" s="32" t="s">
        <v>66</v>
      </c>
      <c r="M277" s="33" t="s">
        <v>67</v>
      </c>
      <c r="N277" s="33"/>
      <c r="O277" s="32">
        <v>180</v>
      </c>
      <c r="P277" s="441" t="s">
        <v>406</v>
      </c>
      <c r="Q277" s="335"/>
      <c r="R277" s="335"/>
      <c r="S277" s="335"/>
      <c r="T277" s="336"/>
      <c r="U277" s="34"/>
      <c r="V277" s="34"/>
      <c r="W277" s="35" t="s">
        <v>68</v>
      </c>
      <c r="X277" s="330">
        <v>0</v>
      </c>
      <c r="Y277" s="331">
        <f>IFERROR(IF(X277="","",X277),"")</f>
        <v>0</v>
      </c>
      <c r="Z277" s="36">
        <f>IFERROR(IF(X277="","",X277*0.0155),"")</f>
        <v>0</v>
      </c>
      <c r="AA277" s="56"/>
      <c r="AB277" s="57"/>
      <c r="AC277" s="264" t="s">
        <v>407</v>
      </c>
      <c r="AG277" s="67"/>
      <c r="AJ277" s="71" t="s">
        <v>70</v>
      </c>
      <c r="AK277" s="71">
        <v>1</v>
      </c>
      <c r="BB277" s="265" t="s">
        <v>1</v>
      </c>
      <c r="BM277" s="67">
        <f>IFERROR(X277*I277,"0")</f>
        <v>0</v>
      </c>
      <c r="BN277" s="67">
        <f>IFERROR(Y277*I277,"0")</f>
        <v>0</v>
      </c>
      <c r="BO277" s="67">
        <f>IFERROR(X277/J277,"0")</f>
        <v>0</v>
      </c>
      <c r="BP277" s="67">
        <f>IFERROR(Y277/J277,"0")</f>
        <v>0</v>
      </c>
    </row>
    <row r="278" spans="1:68" x14ac:dyDescent="0.2">
      <c r="A278" s="350"/>
      <c r="B278" s="339"/>
      <c r="C278" s="339"/>
      <c r="D278" s="339"/>
      <c r="E278" s="339"/>
      <c r="F278" s="339"/>
      <c r="G278" s="339"/>
      <c r="H278" s="339"/>
      <c r="I278" s="339"/>
      <c r="J278" s="339"/>
      <c r="K278" s="339"/>
      <c r="L278" s="339"/>
      <c r="M278" s="339"/>
      <c r="N278" s="339"/>
      <c r="O278" s="351"/>
      <c r="P278" s="344" t="s">
        <v>71</v>
      </c>
      <c r="Q278" s="345"/>
      <c r="R278" s="345"/>
      <c r="S278" s="345"/>
      <c r="T278" s="345"/>
      <c r="U278" s="345"/>
      <c r="V278" s="346"/>
      <c r="W278" s="37" t="s">
        <v>68</v>
      </c>
      <c r="X278" s="332">
        <f>IFERROR(SUM(X275:X277),"0")</f>
        <v>0</v>
      </c>
      <c r="Y278" s="332">
        <f>IFERROR(SUM(Y275:Y277),"0")</f>
        <v>0</v>
      </c>
      <c r="Z278" s="332">
        <f>IFERROR(IF(Z275="",0,Z275),"0")+IFERROR(IF(Z276="",0,Z276),"0")+IFERROR(IF(Z277="",0,Z277),"0")</f>
        <v>0</v>
      </c>
      <c r="AA278" s="333"/>
      <c r="AB278" s="333"/>
      <c r="AC278" s="333"/>
    </row>
    <row r="279" spans="1:68" x14ac:dyDescent="0.2">
      <c r="A279" s="339"/>
      <c r="B279" s="339"/>
      <c r="C279" s="339"/>
      <c r="D279" s="339"/>
      <c r="E279" s="339"/>
      <c r="F279" s="339"/>
      <c r="G279" s="339"/>
      <c r="H279" s="339"/>
      <c r="I279" s="339"/>
      <c r="J279" s="339"/>
      <c r="K279" s="339"/>
      <c r="L279" s="339"/>
      <c r="M279" s="339"/>
      <c r="N279" s="339"/>
      <c r="O279" s="351"/>
      <c r="P279" s="344" t="s">
        <v>71</v>
      </c>
      <c r="Q279" s="345"/>
      <c r="R279" s="345"/>
      <c r="S279" s="345"/>
      <c r="T279" s="345"/>
      <c r="U279" s="345"/>
      <c r="V279" s="346"/>
      <c r="W279" s="37" t="s">
        <v>72</v>
      </c>
      <c r="X279" s="332">
        <f>IFERROR(SUMPRODUCT(X275:X277*H275:H277),"0")</f>
        <v>0</v>
      </c>
      <c r="Y279" s="332">
        <f>IFERROR(SUMPRODUCT(Y275:Y277*H275:H277),"0")</f>
        <v>0</v>
      </c>
      <c r="Z279" s="37"/>
      <c r="AA279" s="333"/>
      <c r="AB279" s="333"/>
      <c r="AC279" s="333"/>
    </row>
    <row r="280" spans="1:68" ht="14.25" customHeight="1" x14ac:dyDescent="0.25">
      <c r="A280" s="338" t="s">
        <v>162</v>
      </c>
      <c r="B280" s="339"/>
      <c r="C280" s="339"/>
      <c r="D280" s="339"/>
      <c r="E280" s="339"/>
      <c r="F280" s="339"/>
      <c r="G280" s="339"/>
      <c r="H280" s="339"/>
      <c r="I280" s="339"/>
      <c r="J280" s="339"/>
      <c r="K280" s="339"/>
      <c r="L280" s="339"/>
      <c r="M280" s="339"/>
      <c r="N280" s="339"/>
      <c r="O280" s="339"/>
      <c r="P280" s="339"/>
      <c r="Q280" s="339"/>
      <c r="R280" s="339"/>
      <c r="S280" s="339"/>
      <c r="T280" s="339"/>
      <c r="U280" s="339"/>
      <c r="V280" s="339"/>
      <c r="W280" s="339"/>
      <c r="X280" s="339"/>
      <c r="Y280" s="339"/>
      <c r="Z280" s="339"/>
      <c r="AA280" s="326"/>
      <c r="AB280" s="326"/>
      <c r="AC280" s="326"/>
    </row>
    <row r="281" spans="1:68" ht="27" customHeight="1" x14ac:dyDescent="0.25">
      <c r="A281" s="54" t="s">
        <v>408</v>
      </c>
      <c r="B281" s="54" t="s">
        <v>409</v>
      </c>
      <c r="C281" s="31">
        <v>4301131019</v>
      </c>
      <c r="D281" s="340">
        <v>4640242180427</v>
      </c>
      <c r="E281" s="341"/>
      <c r="F281" s="329">
        <v>1.8</v>
      </c>
      <c r="G281" s="32">
        <v>1</v>
      </c>
      <c r="H281" s="329">
        <v>1.8</v>
      </c>
      <c r="I281" s="329">
        <v>1.915</v>
      </c>
      <c r="J281" s="32">
        <v>234</v>
      </c>
      <c r="K281" s="32" t="s">
        <v>152</v>
      </c>
      <c r="L281" s="32" t="s">
        <v>66</v>
      </c>
      <c r="M281" s="33" t="s">
        <v>67</v>
      </c>
      <c r="N281" s="33"/>
      <c r="O281" s="32">
        <v>180</v>
      </c>
      <c r="P281" s="413" t="str">
        <f>HYPERLINK("https://abi.ru/products/Замороженные/Зареченские продукты/Зареченские продукты/Крылья/P003488/","Крылья «Хрустящие крылышки» Весовой ТМ «Зареченские» 1,8 кг")</f>
        <v>Крылья «Хрустящие крылышки» Весовой ТМ «Зареченские» 1,8 кг</v>
      </c>
      <c r="Q281" s="335"/>
      <c r="R281" s="335"/>
      <c r="S281" s="335"/>
      <c r="T281" s="336"/>
      <c r="U281" s="34"/>
      <c r="V281" s="34"/>
      <c r="W281" s="35" t="s">
        <v>68</v>
      </c>
      <c r="X281" s="330">
        <v>36</v>
      </c>
      <c r="Y281" s="331">
        <f>IFERROR(IF(X281="","",X281),"")</f>
        <v>36</v>
      </c>
      <c r="Z281" s="36">
        <f>IFERROR(IF(X281="","",X281*0.00502),"")</f>
        <v>0.18071999999999999</v>
      </c>
      <c r="AA281" s="56"/>
      <c r="AB281" s="57"/>
      <c r="AC281" s="266" t="s">
        <v>410</v>
      </c>
      <c r="AG281" s="67"/>
      <c r="AJ281" s="71" t="s">
        <v>70</v>
      </c>
      <c r="AK281" s="71">
        <v>1</v>
      </c>
      <c r="BB281" s="267" t="s">
        <v>81</v>
      </c>
      <c r="BM281" s="67">
        <f>IFERROR(X281*I281,"0")</f>
        <v>68.94</v>
      </c>
      <c r="BN281" s="67">
        <f>IFERROR(Y281*I281,"0")</f>
        <v>68.94</v>
      </c>
      <c r="BO281" s="67">
        <f>IFERROR(X281/J281,"0")</f>
        <v>0.15384615384615385</v>
      </c>
      <c r="BP281" s="67">
        <f>IFERROR(Y281/J281,"0")</f>
        <v>0.15384615384615385</v>
      </c>
    </row>
    <row r="282" spans="1:68" x14ac:dyDescent="0.2">
      <c r="A282" s="350"/>
      <c r="B282" s="339"/>
      <c r="C282" s="339"/>
      <c r="D282" s="339"/>
      <c r="E282" s="339"/>
      <c r="F282" s="339"/>
      <c r="G282" s="339"/>
      <c r="H282" s="339"/>
      <c r="I282" s="339"/>
      <c r="J282" s="339"/>
      <c r="K282" s="339"/>
      <c r="L282" s="339"/>
      <c r="M282" s="339"/>
      <c r="N282" s="339"/>
      <c r="O282" s="351"/>
      <c r="P282" s="344" t="s">
        <v>71</v>
      </c>
      <c r="Q282" s="345"/>
      <c r="R282" s="345"/>
      <c r="S282" s="345"/>
      <c r="T282" s="345"/>
      <c r="U282" s="345"/>
      <c r="V282" s="346"/>
      <c r="W282" s="37" t="s">
        <v>68</v>
      </c>
      <c r="X282" s="332">
        <f>IFERROR(SUM(X281:X281),"0")</f>
        <v>36</v>
      </c>
      <c r="Y282" s="332">
        <f>IFERROR(SUM(Y281:Y281),"0")</f>
        <v>36</v>
      </c>
      <c r="Z282" s="332">
        <f>IFERROR(IF(Z281="",0,Z281),"0")</f>
        <v>0.18071999999999999</v>
      </c>
      <c r="AA282" s="333"/>
      <c r="AB282" s="333"/>
      <c r="AC282" s="333"/>
    </row>
    <row r="283" spans="1:68" x14ac:dyDescent="0.2">
      <c r="A283" s="339"/>
      <c r="B283" s="339"/>
      <c r="C283" s="339"/>
      <c r="D283" s="339"/>
      <c r="E283" s="339"/>
      <c r="F283" s="339"/>
      <c r="G283" s="339"/>
      <c r="H283" s="339"/>
      <c r="I283" s="339"/>
      <c r="J283" s="339"/>
      <c r="K283" s="339"/>
      <c r="L283" s="339"/>
      <c r="M283" s="339"/>
      <c r="N283" s="339"/>
      <c r="O283" s="351"/>
      <c r="P283" s="344" t="s">
        <v>71</v>
      </c>
      <c r="Q283" s="345"/>
      <c r="R283" s="345"/>
      <c r="S283" s="345"/>
      <c r="T283" s="345"/>
      <c r="U283" s="345"/>
      <c r="V283" s="346"/>
      <c r="W283" s="37" t="s">
        <v>72</v>
      </c>
      <c r="X283" s="332">
        <f>IFERROR(SUMPRODUCT(X281:X281*H281:H281),"0")</f>
        <v>64.8</v>
      </c>
      <c r="Y283" s="332">
        <f>IFERROR(SUMPRODUCT(Y281:Y281*H281:H281),"0")</f>
        <v>64.8</v>
      </c>
      <c r="Z283" s="37"/>
      <c r="AA283" s="333"/>
      <c r="AB283" s="333"/>
      <c r="AC283" s="333"/>
    </row>
    <row r="284" spans="1:68" ht="14.25" customHeight="1" x14ac:dyDescent="0.25">
      <c r="A284" s="338" t="s">
        <v>75</v>
      </c>
      <c r="B284" s="339"/>
      <c r="C284" s="339"/>
      <c r="D284" s="339"/>
      <c r="E284" s="339"/>
      <c r="F284" s="339"/>
      <c r="G284" s="339"/>
      <c r="H284" s="339"/>
      <c r="I284" s="339"/>
      <c r="J284" s="339"/>
      <c r="K284" s="339"/>
      <c r="L284" s="339"/>
      <c r="M284" s="339"/>
      <c r="N284" s="339"/>
      <c r="O284" s="339"/>
      <c r="P284" s="339"/>
      <c r="Q284" s="339"/>
      <c r="R284" s="339"/>
      <c r="S284" s="339"/>
      <c r="T284" s="339"/>
      <c r="U284" s="339"/>
      <c r="V284" s="339"/>
      <c r="W284" s="339"/>
      <c r="X284" s="339"/>
      <c r="Y284" s="339"/>
      <c r="Z284" s="339"/>
      <c r="AA284" s="326"/>
      <c r="AB284" s="326"/>
      <c r="AC284" s="326"/>
    </row>
    <row r="285" spans="1:68" ht="27" customHeight="1" x14ac:dyDescent="0.25">
      <c r="A285" s="54" t="s">
        <v>411</v>
      </c>
      <c r="B285" s="54" t="s">
        <v>412</v>
      </c>
      <c r="C285" s="31">
        <v>4301132080</v>
      </c>
      <c r="D285" s="340">
        <v>4640242180397</v>
      </c>
      <c r="E285" s="341"/>
      <c r="F285" s="329">
        <v>1</v>
      </c>
      <c r="G285" s="32">
        <v>6</v>
      </c>
      <c r="H285" s="329">
        <v>6</v>
      </c>
      <c r="I285" s="329">
        <v>6.26</v>
      </c>
      <c r="J285" s="32">
        <v>84</v>
      </c>
      <c r="K285" s="32" t="s">
        <v>65</v>
      </c>
      <c r="L285" s="32" t="s">
        <v>66</v>
      </c>
      <c r="M285" s="33" t="s">
        <v>67</v>
      </c>
      <c r="N285" s="33"/>
      <c r="O285" s="32">
        <v>180</v>
      </c>
      <c r="P285" s="443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85" s="335"/>
      <c r="R285" s="335"/>
      <c r="S285" s="335"/>
      <c r="T285" s="336"/>
      <c r="U285" s="34"/>
      <c r="V285" s="34"/>
      <c r="W285" s="35" t="s">
        <v>68</v>
      </c>
      <c r="X285" s="330">
        <v>0</v>
      </c>
      <c r="Y285" s="331">
        <f>IFERROR(IF(X285="","",X285),"")</f>
        <v>0</v>
      </c>
      <c r="Z285" s="36">
        <f>IFERROR(IF(X285="","",X285*0.0155),"")</f>
        <v>0</v>
      </c>
      <c r="AA285" s="56"/>
      <c r="AB285" s="57"/>
      <c r="AC285" s="268" t="s">
        <v>413</v>
      </c>
      <c r="AG285" s="67"/>
      <c r="AJ285" s="71" t="s">
        <v>70</v>
      </c>
      <c r="AK285" s="71">
        <v>1</v>
      </c>
      <c r="BB285" s="269" t="s">
        <v>81</v>
      </c>
      <c r="BM285" s="67">
        <f>IFERROR(X285*I285,"0")</f>
        <v>0</v>
      </c>
      <c r="BN285" s="67">
        <f>IFERROR(Y285*I285,"0")</f>
        <v>0</v>
      </c>
      <c r="BO285" s="67">
        <f>IFERROR(X285/J285,"0")</f>
        <v>0</v>
      </c>
      <c r="BP285" s="67">
        <f>IFERROR(Y285/J285,"0")</f>
        <v>0</v>
      </c>
    </row>
    <row r="286" spans="1:68" ht="27" customHeight="1" x14ac:dyDescent="0.25">
      <c r="A286" s="54" t="s">
        <v>414</v>
      </c>
      <c r="B286" s="54" t="s">
        <v>415</v>
      </c>
      <c r="C286" s="31">
        <v>4301132104</v>
      </c>
      <c r="D286" s="340">
        <v>4640242181219</v>
      </c>
      <c r="E286" s="341"/>
      <c r="F286" s="329">
        <v>0.3</v>
      </c>
      <c r="G286" s="32">
        <v>9</v>
      </c>
      <c r="H286" s="329">
        <v>2.7</v>
      </c>
      <c r="I286" s="329">
        <v>2.8450000000000002</v>
      </c>
      <c r="J286" s="32">
        <v>234</v>
      </c>
      <c r="K286" s="32" t="s">
        <v>152</v>
      </c>
      <c r="L286" s="32" t="s">
        <v>66</v>
      </c>
      <c r="M286" s="33" t="s">
        <v>67</v>
      </c>
      <c r="N286" s="33"/>
      <c r="O286" s="32">
        <v>180</v>
      </c>
      <c r="P286" s="409" t="s">
        <v>416</v>
      </c>
      <c r="Q286" s="335"/>
      <c r="R286" s="335"/>
      <c r="S286" s="335"/>
      <c r="T286" s="336"/>
      <c r="U286" s="34"/>
      <c r="V286" s="34"/>
      <c r="W286" s="35" t="s">
        <v>68</v>
      </c>
      <c r="X286" s="330">
        <v>0</v>
      </c>
      <c r="Y286" s="331">
        <f>IFERROR(IF(X286="","",X286),"")</f>
        <v>0</v>
      </c>
      <c r="Z286" s="36">
        <f>IFERROR(IF(X286="","",X286*0.00502),"")</f>
        <v>0</v>
      </c>
      <c r="AA286" s="56"/>
      <c r="AB286" s="57"/>
      <c r="AC286" s="270" t="s">
        <v>413</v>
      </c>
      <c r="AG286" s="67"/>
      <c r="AJ286" s="71" t="s">
        <v>70</v>
      </c>
      <c r="AK286" s="71">
        <v>1</v>
      </c>
      <c r="BB286" s="271" t="s">
        <v>81</v>
      </c>
      <c r="BM286" s="67">
        <f>IFERROR(X286*I286,"0")</f>
        <v>0</v>
      </c>
      <c r="BN286" s="67">
        <f>IFERROR(Y286*I286,"0")</f>
        <v>0</v>
      </c>
      <c r="BO286" s="67">
        <f>IFERROR(X286/J286,"0")</f>
        <v>0</v>
      </c>
      <c r="BP286" s="67">
        <f>IFERROR(Y286/J286,"0")</f>
        <v>0</v>
      </c>
    </row>
    <row r="287" spans="1:68" x14ac:dyDescent="0.2">
      <c r="A287" s="350"/>
      <c r="B287" s="339"/>
      <c r="C287" s="339"/>
      <c r="D287" s="339"/>
      <c r="E287" s="339"/>
      <c r="F287" s="339"/>
      <c r="G287" s="339"/>
      <c r="H287" s="339"/>
      <c r="I287" s="339"/>
      <c r="J287" s="339"/>
      <c r="K287" s="339"/>
      <c r="L287" s="339"/>
      <c r="M287" s="339"/>
      <c r="N287" s="339"/>
      <c r="O287" s="351"/>
      <c r="P287" s="344" t="s">
        <v>71</v>
      </c>
      <c r="Q287" s="345"/>
      <c r="R287" s="345"/>
      <c r="S287" s="345"/>
      <c r="T287" s="345"/>
      <c r="U287" s="345"/>
      <c r="V287" s="346"/>
      <c r="W287" s="37" t="s">
        <v>68</v>
      </c>
      <c r="X287" s="332">
        <f>IFERROR(SUM(X285:X286),"0")</f>
        <v>0</v>
      </c>
      <c r="Y287" s="332">
        <f>IFERROR(SUM(Y285:Y286),"0")</f>
        <v>0</v>
      </c>
      <c r="Z287" s="332">
        <f>IFERROR(IF(Z285="",0,Z285),"0")+IFERROR(IF(Z286="",0,Z286),"0")</f>
        <v>0</v>
      </c>
      <c r="AA287" s="333"/>
      <c r="AB287" s="333"/>
      <c r="AC287" s="333"/>
    </row>
    <row r="288" spans="1:68" x14ac:dyDescent="0.2">
      <c r="A288" s="339"/>
      <c r="B288" s="339"/>
      <c r="C288" s="339"/>
      <c r="D288" s="339"/>
      <c r="E288" s="339"/>
      <c r="F288" s="339"/>
      <c r="G288" s="339"/>
      <c r="H288" s="339"/>
      <c r="I288" s="339"/>
      <c r="J288" s="339"/>
      <c r="K288" s="339"/>
      <c r="L288" s="339"/>
      <c r="M288" s="339"/>
      <c r="N288" s="339"/>
      <c r="O288" s="351"/>
      <c r="P288" s="344" t="s">
        <v>71</v>
      </c>
      <c r="Q288" s="345"/>
      <c r="R288" s="345"/>
      <c r="S288" s="345"/>
      <c r="T288" s="345"/>
      <c r="U288" s="345"/>
      <c r="V288" s="346"/>
      <c r="W288" s="37" t="s">
        <v>72</v>
      </c>
      <c r="X288" s="332">
        <f>IFERROR(SUMPRODUCT(X285:X286*H285:H286),"0")</f>
        <v>0</v>
      </c>
      <c r="Y288" s="332">
        <f>IFERROR(SUMPRODUCT(Y285:Y286*H285:H286),"0")</f>
        <v>0</v>
      </c>
      <c r="Z288" s="37"/>
      <c r="AA288" s="333"/>
      <c r="AB288" s="333"/>
      <c r="AC288" s="333"/>
    </row>
    <row r="289" spans="1:68" ht="14.25" customHeight="1" x14ac:dyDescent="0.25">
      <c r="A289" s="338" t="s">
        <v>134</v>
      </c>
      <c r="B289" s="339"/>
      <c r="C289" s="339"/>
      <c r="D289" s="339"/>
      <c r="E289" s="339"/>
      <c r="F289" s="339"/>
      <c r="G289" s="339"/>
      <c r="H289" s="339"/>
      <c r="I289" s="339"/>
      <c r="J289" s="339"/>
      <c r="K289" s="339"/>
      <c r="L289" s="339"/>
      <c r="M289" s="339"/>
      <c r="N289" s="339"/>
      <c r="O289" s="339"/>
      <c r="P289" s="339"/>
      <c r="Q289" s="339"/>
      <c r="R289" s="339"/>
      <c r="S289" s="339"/>
      <c r="T289" s="339"/>
      <c r="U289" s="339"/>
      <c r="V289" s="339"/>
      <c r="W289" s="339"/>
      <c r="X289" s="339"/>
      <c r="Y289" s="339"/>
      <c r="Z289" s="339"/>
      <c r="AA289" s="326"/>
      <c r="AB289" s="326"/>
      <c r="AC289" s="326"/>
    </row>
    <row r="290" spans="1:68" ht="27" customHeight="1" x14ac:dyDescent="0.25">
      <c r="A290" s="54" t="s">
        <v>417</v>
      </c>
      <c r="B290" s="54" t="s">
        <v>418</v>
      </c>
      <c r="C290" s="31">
        <v>4301136028</v>
      </c>
      <c r="D290" s="340">
        <v>4640242180304</v>
      </c>
      <c r="E290" s="341"/>
      <c r="F290" s="329">
        <v>2.7</v>
      </c>
      <c r="G290" s="32">
        <v>1</v>
      </c>
      <c r="H290" s="329">
        <v>2.7</v>
      </c>
      <c r="I290" s="329">
        <v>2.8906000000000001</v>
      </c>
      <c r="J290" s="32">
        <v>126</v>
      </c>
      <c r="K290" s="32" t="s">
        <v>78</v>
      </c>
      <c r="L290" s="32" t="s">
        <v>66</v>
      </c>
      <c r="M290" s="33" t="s">
        <v>67</v>
      </c>
      <c r="N290" s="33"/>
      <c r="O290" s="32">
        <v>180</v>
      </c>
      <c r="P290" s="363" t="s">
        <v>419</v>
      </c>
      <c r="Q290" s="335"/>
      <c r="R290" s="335"/>
      <c r="S290" s="335"/>
      <c r="T290" s="336"/>
      <c r="U290" s="34"/>
      <c r="V290" s="34"/>
      <c r="W290" s="35" t="s">
        <v>68</v>
      </c>
      <c r="X290" s="330">
        <v>0</v>
      </c>
      <c r="Y290" s="331">
        <f>IFERROR(IF(X290="","",X290),"")</f>
        <v>0</v>
      </c>
      <c r="Z290" s="36">
        <f>IFERROR(IF(X290="","",X290*0.00936),"")</f>
        <v>0</v>
      </c>
      <c r="AA290" s="56"/>
      <c r="AB290" s="57"/>
      <c r="AC290" s="272" t="s">
        <v>420</v>
      </c>
      <c r="AG290" s="67"/>
      <c r="AJ290" s="71" t="s">
        <v>70</v>
      </c>
      <c r="AK290" s="71">
        <v>1</v>
      </c>
      <c r="BB290" s="273" t="s">
        <v>81</v>
      </c>
      <c r="BM290" s="67">
        <f>IFERROR(X290*I290,"0")</f>
        <v>0</v>
      </c>
      <c r="BN290" s="67">
        <f>IFERROR(Y290*I290,"0")</f>
        <v>0</v>
      </c>
      <c r="BO290" s="67">
        <f>IFERROR(X290/J290,"0")</f>
        <v>0</v>
      </c>
      <c r="BP290" s="67">
        <f>IFERROR(Y290/J290,"0")</f>
        <v>0</v>
      </c>
    </row>
    <row r="291" spans="1:68" ht="27" customHeight="1" x14ac:dyDescent="0.25">
      <c r="A291" s="54" t="s">
        <v>421</v>
      </c>
      <c r="B291" s="54" t="s">
        <v>422</v>
      </c>
      <c r="C291" s="31">
        <v>4301136026</v>
      </c>
      <c r="D291" s="340">
        <v>4640242180236</v>
      </c>
      <c r="E291" s="341"/>
      <c r="F291" s="329">
        <v>5</v>
      </c>
      <c r="G291" s="32">
        <v>1</v>
      </c>
      <c r="H291" s="329">
        <v>5</v>
      </c>
      <c r="I291" s="329">
        <v>5.2350000000000003</v>
      </c>
      <c r="J291" s="32">
        <v>84</v>
      </c>
      <c r="K291" s="32" t="s">
        <v>65</v>
      </c>
      <c r="L291" s="32" t="s">
        <v>66</v>
      </c>
      <c r="M291" s="33" t="s">
        <v>67</v>
      </c>
      <c r="N291" s="33"/>
      <c r="O291" s="32">
        <v>180</v>
      </c>
      <c r="P291" s="537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91" s="335"/>
      <c r="R291" s="335"/>
      <c r="S291" s="335"/>
      <c r="T291" s="336"/>
      <c r="U291" s="34"/>
      <c r="V291" s="34"/>
      <c r="W291" s="35" t="s">
        <v>68</v>
      </c>
      <c r="X291" s="330">
        <v>12</v>
      </c>
      <c r="Y291" s="331">
        <f>IFERROR(IF(X291="","",X291),"")</f>
        <v>12</v>
      </c>
      <c r="Z291" s="36">
        <f>IFERROR(IF(X291="","",X291*0.0155),"")</f>
        <v>0.186</v>
      </c>
      <c r="AA291" s="56"/>
      <c r="AB291" s="57"/>
      <c r="AC291" s="274" t="s">
        <v>420</v>
      </c>
      <c r="AG291" s="67"/>
      <c r="AJ291" s="71" t="s">
        <v>70</v>
      </c>
      <c r="AK291" s="71">
        <v>1</v>
      </c>
      <c r="BB291" s="275" t="s">
        <v>81</v>
      </c>
      <c r="BM291" s="67">
        <f>IFERROR(X291*I291,"0")</f>
        <v>62.820000000000007</v>
      </c>
      <c r="BN291" s="67">
        <f>IFERROR(Y291*I291,"0")</f>
        <v>62.820000000000007</v>
      </c>
      <c r="BO291" s="67">
        <f>IFERROR(X291/J291,"0")</f>
        <v>0.14285714285714285</v>
      </c>
      <c r="BP291" s="67">
        <f>IFERROR(Y291/J291,"0")</f>
        <v>0.14285714285714285</v>
      </c>
    </row>
    <row r="292" spans="1:68" ht="27" customHeight="1" x14ac:dyDescent="0.25">
      <c r="A292" s="54" t="s">
        <v>423</v>
      </c>
      <c r="B292" s="54" t="s">
        <v>424</v>
      </c>
      <c r="C292" s="31">
        <v>4301136029</v>
      </c>
      <c r="D292" s="340">
        <v>4640242180410</v>
      </c>
      <c r="E292" s="341"/>
      <c r="F292" s="329">
        <v>2.2400000000000002</v>
      </c>
      <c r="G292" s="32">
        <v>1</v>
      </c>
      <c r="H292" s="329">
        <v>2.2400000000000002</v>
      </c>
      <c r="I292" s="329">
        <v>2.4319999999999999</v>
      </c>
      <c r="J292" s="32">
        <v>126</v>
      </c>
      <c r="K292" s="32" t="s">
        <v>78</v>
      </c>
      <c r="L292" s="32" t="s">
        <v>66</v>
      </c>
      <c r="M292" s="33" t="s">
        <v>67</v>
      </c>
      <c r="N292" s="33"/>
      <c r="O292" s="32">
        <v>180</v>
      </c>
      <c r="P292" s="540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92" s="335"/>
      <c r="R292" s="335"/>
      <c r="S292" s="335"/>
      <c r="T292" s="336"/>
      <c r="U292" s="34"/>
      <c r="V292" s="34"/>
      <c r="W292" s="35" t="s">
        <v>68</v>
      </c>
      <c r="X292" s="330">
        <v>0</v>
      </c>
      <c r="Y292" s="331">
        <f>IFERROR(IF(X292="","",X292),"")</f>
        <v>0</v>
      </c>
      <c r="Z292" s="36">
        <f>IFERROR(IF(X292="","",X292*0.00936),"")</f>
        <v>0</v>
      </c>
      <c r="AA292" s="56"/>
      <c r="AB292" s="57"/>
      <c r="AC292" s="276" t="s">
        <v>420</v>
      </c>
      <c r="AG292" s="67"/>
      <c r="AJ292" s="71" t="s">
        <v>70</v>
      </c>
      <c r="AK292" s="71">
        <v>1</v>
      </c>
      <c r="BB292" s="277" t="s">
        <v>81</v>
      </c>
      <c r="BM292" s="67">
        <f>IFERROR(X292*I292,"0")</f>
        <v>0</v>
      </c>
      <c r="BN292" s="67">
        <f>IFERROR(Y292*I292,"0")</f>
        <v>0</v>
      </c>
      <c r="BO292" s="67">
        <f>IFERROR(X292/J292,"0")</f>
        <v>0</v>
      </c>
      <c r="BP292" s="67">
        <f>IFERROR(Y292/J292,"0")</f>
        <v>0</v>
      </c>
    </row>
    <row r="293" spans="1:68" x14ac:dyDescent="0.2">
      <c r="A293" s="350"/>
      <c r="B293" s="339"/>
      <c r="C293" s="339"/>
      <c r="D293" s="339"/>
      <c r="E293" s="339"/>
      <c r="F293" s="339"/>
      <c r="G293" s="339"/>
      <c r="H293" s="339"/>
      <c r="I293" s="339"/>
      <c r="J293" s="339"/>
      <c r="K293" s="339"/>
      <c r="L293" s="339"/>
      <c r="M293" s="339"/>
      <c r="N293" s="339"/>
      <c r="O293" s="351"/>
      <c r="P293" s="344" t="s">
        <v>71</v>
      </c>
      <c r="Q293" s="345"/>
      <c r="R293" s="345"/>
      <c r="S293" s="345"/>
      <c r="T293" s="345"/>
      <c r="U293" s="345"/>
      <c r="V293" s="346"/>
      <c r="W293" s="37" t="s">
        <v>68</v>
      </c>
      <c r="X293" s="332">
        <f>IFERROR(SUM(X290:X292),"0")</f>
        <v>12</v>
      </c>
      <c r="Y293" s="332">
        <f>IFERROR(SUM(Y290:Y292),"0")</f>
        <v>12</v>
      </c>
      <c r="Z293" s="332">
        <f>IFERROR(IF(Z290="",0,Z290),"0")+IFERROR(IF(Z291="",0,Z291),"0")+IFERROR(IF(Z292="",0,Z292),"0")</f>
        <v>0.186</v>
      </c>
      <c r="AA293" s="333"/>
      <c r="AB293" s="333"/>
      <c r="AC293" s="333"/>
    </row>
    <row r="294" spans="1:68" x14ac:dyDescent="0.2">
      <c r="A294" s="339"/>
      <c r="B294" s="339"/>
      <c r="C294" s="339"/>
      <c r="D294" s="339"/>
      <c r="E294" s="339"/>
      <c r="F294" s="339"/>
      <c r="G294" s="339"/>
      <c r="H294" s="339"/>
      <c r="I294" s="339"/>
      <c r="J294" s="339"/>
      <c r="K294" s="339"/>
      <c r="L294" s="339"/>
      <c r="M294" s="339"/>
      <c r="N294" s="339"/>
      <c r="O294" s="351"/>
      <c r="P294" s="344" t="s">
        <v>71</v>
      </c>
      <c r="Q294" s="345"/>
      <c r="R294" s="345"/>
      <c r="S294" s="345"/>
      <c r="T294" s="345"/>
      <c r="U294" s="345"/>
      <c r="V294" s="346"/>
      <c r="W294" s="37" t="s">
        <v>72</v>
      </c>
      <c r="X294" s="332">
        <f>IFERROR(SUMPRODUCT(X290:X292*H290:H292),"0")</f>
        <v>60</v>
      </c>
      <c r="Y294" s="332">
        <f>IFERROR(SUMPRODUCT(Y290:Y292*H290:H292),"0")</f>
        <v>60</v>
      </c>
      <c r="Z294" s="37"/>
      <c r="AA294" s="333"/>
      <c r="AB294" s="333"/>
      <c r="AC294" s="333"/>
    </row>
    <row r="295" spans="1:68" ht="14.25" customHeight="1" x14ac:dyDescent="0.25">
      <c r="A295" s="338" t="s">
        <v>138</v>
      </c>
      <c r="B295" s="339"/>
      <c r="C295" s="339"/>
      <c r="D295" s="339"/>
      <c r="E295" s="339"/>
      <c r="F295" s="339"/>
      <c r="G295" s="339"/>
      <c r="H295" s="339"/>
      <c r="I295" s="339"/>
      <c r="J295" s="339"/>
      <c r="K295" s="339"/>
      <c r="L295" s="339"/>
      <c r="M295" s="339"/>
      <c r="N295" s="339"/>
      <c r="O295" s="339"/>
      <c r="P295" s="339"/>
      <c r="Q295" s="339"/>
      <c r="R295" s="339"/>
      <c r="S295" s="339"/>
      <c r="T295" s="339"/>
      <c r="U295" s="339"/>
      <c r="V295" s="339"/>
      <c r="W295" s="339"/>
      <c r="X295" s="339"/>
      <c r="Y295" s="339"/>
      <c r="Z295" s="339"/>
      <c r="AA295" s="326"/>
      <c r="AB295" s="326"/>
      <c r="AC295" s="326"/>
    </row>
    <row r="296" spans="1:68" ht="37.5" customHeight="1" x14ac:dyDescent="0.25">
      <c r="A296" s="54" t="s">
        <v>425</v>
      </c>
      <c r="B296" s="54" t="s">
        <v>426</v>
      </c>
      <c r="C296" s="31">
        <v>4301135504</v>
      </c>
      <c r="D296" s="340">
        <v>4640242181554</v>
      </c>
      <c r="E296" s="341"/>
      <c r="F296" s="329">
        <v>3</v>
      </c>
      <c r="G296" s="32">
        <v>1</v>
      </c>
      <c r="H296" s="329">
        <v>3</v>
      </c>
      <c r="I296" s="329">
        <v>3.1920000000000002</v>
      </c>
      <c r="J296" s="32">
        <v>126</v>
      </c>
      <c r="K296" s="32" t="s">
        <v>78</v>
      </c>
      <c r="L296" s="32" t="s">
        <v>66</v>
      </c>
      <c r="M296" s="33" t="s">
        <v>67</v>
      </c>
      <c r="N296" s="33"/>
      <c r="O296" s="32">
        <v>180</v>
      </c>
      <c r="P296" s="454" t="s">
        <v>427</v>
      </c>
      <c r="Q296" s="335"/>
      <c r="R296" s="335"/>
      <c r="S296" s="335"/>
      <c r="T296" s="336"/>
      <c r="U296" s="34"/>
      <c r="V296" s="34"/>
      <c r="W296" s="35" t="s">
        <v>68</v>
      </c>
      <c r="X296" s="330">
        <v>0</v>
      </c>
      <c r="Y296" s="331">
        <f t="shared" ref="Y296:Y316" si="24">IFERROR(IF(X296="","",X296),"")</f>
        <v>0</v>
      </c>
      <c r="Z296" s="36">
        <f>IFERROR(IF(X296="","",X296*0.00936),"")</f>
        <v>0</v>
      </c>
      <c r="AA296" s="56"/>
      <c r="AB296" s="57"/>
      <c r="AC296" s="278" t="s">
        <v>428</v>
      </c>
      <c r="AG296" s="67"/>
      <c r="AJ296" s="71" t="s">
        <v>70</v>
      </c>
      <c r="AK296" s="71">
        <v>1</v>
      </c>
      <c r="BB296" s="279" t="s">
        <v>81</v>
      </c>
      <c r="BM296" s="67">
        <f t="shared" ref="BM296:BM316" si="25">IFERROR(X296*I296,"0")</f>
        <v>0</v>
      </c>
      <c r="BN296" s="67">
        <f t="shared" ref="BN296:BN316" si="26">IFERROR(Y296*I296,"0")</f>
        <v>0</v>
      </c>
      <c r="BO296" s="67">
        <f t="shared" ref="BO296:BO316" si="27">IFERROR(X296/J296,"0")</f>
        <v>0</v>
      </c>
      <c r="BP296" s="67">
        <f t="shared" ref="BP296:BP316" si="28">IFERROR(Y296/J296,"0")</f>
        <v>0</v>
      </c>
    </row>
    <row r="297" spans="1:68" ht="27" customHeight="1" x14ac:dyDescent="0.25">
      <c r="A297" s="54" t="s">
        <v>429</v>
      </c>
      <c r="B297" s="54" t="s">
        <v>430</v>
      </c>
      <c r="C297" s="31">
        <v>4301135394</v>
      </c>
      <c r="D297" s="340">
        <v>4640242181561</v>
      </c>
      <c r="E297" s="341"/>
      <c r="F297" s="329">
        <v>3.7</v>
      </c>
      <c r="G297" s="32">
        <v>1</v>
      </c>
      <c r="H297" s="329">
        <v>3.7</v>
      </c>
      <c r="I297" s="329">
        <v>3.8919999999999999</v>
      </c>
      <c r="J297" s="32">
        <v>126</v>
      </c>
      <c r="K297" s="32" t="s">
        <v>78</v>
      </c>
      <c r="L297" s="32" t="s">
        <v>66</v>
      </c>
      <c r="M297" s="33" t="s">
        <v>67</v>
      </c>
      <c r="N297" s="33"/>
      <c r="O297" s="32">
        <v>180</v>
      </c>
      <c r="P297" s="536" t="s">
        <v>431</v>
      </c>
      <c r="Q297" s="335"/>
      <c r="R297" s="335"/>
      <c r="S297" s="335"/>
      <c r="T297" s="336"/>
      <c r="U297" s="34"/>
      <c r="V297" s="34"/>
      <c r="W297" s="35" t="s">
        <v>68</v>
      </c>
      <c r="X297" s="330">
        <v>0</v>
      </c>
      <c r="Y297" s="331">
        <f t="shared" si="24"/>
        <v>0</v>
      </c>
      <c r="Z297" s="36">
        <f>IFERROR(IF(X297="","",X297*0.00936),"")</f>
        <v>0</v>
      </c>
      <c r="AA297" s="56"/>
      <c r="AB297" s="57"/>
      <c r="AC297" s="280" t="s">
        <v>432</v>
      </c>
      <c r="AG297" s="67"/>
      <c r="AJ297" s="71" t="s">
        <v>70</v>
      </c>
      <c r="AK297" s="71">
        <v>1</v>
      </c>
      <c r="BB297" s="281" t="s">
        <v>81</v>
      </c>
      <c r="BM297" s="67">
        <f t="shared" si="25"/>
        <v>0</v>
      </c>
      <c r="BN297" s="67">
        <f t="shared" si="26"/>
        <v>0</v>
      </c>
      <c r="BO297" s="67">
        <f t="shared" si="27"/>
        <v>0</v>
      </c>
      <c r="BP297" s="67">
        <f t="shared" si="28"/>
        <v>0</v>
      </c>
    </row>
    <row r="298" spans="1:68" ht="27" customHeight="1" x14ac:dyDescent="0.25">
      <c r="A298" s="54" t="s">
        <v>433</v>
      </c>
      <c r="B298" s="54" t="s">
        <v>434</v>
      </c>
      <c r="C298" s="31">
        <v>4301135374</v>
      </c>
      <c r="D298" s="340">
        <v>4640242181424</v>
      </c>
      <c r="E298" s="341"/>
      <c r="F298" s="329">
        <v>5.5</v>
      </c>
      <c r="G298" s="32">
        <v>1</v>
      </c>
      <c r="H298" s="329">
        <v>5.5</v>
      </c>
      <c r="I298" s="329">
        <v>5.7350000000000003</v>
      </c>
      <c r="J298" s="32">
        <v>84</v>
      </c>
      <c r="K298" s="32" t="s">
        <v>65</v>
      </c>
      <c r="L298" s="32" t="s">
        <v>66</v>
      </c>
      <c r="M298" s="33" t="s">
        <v>67</v>
      </c>
      <c r="N298" s="33"/>
      <c r="O298" s="32">
        <v>180</v>
      </c>
      <c r="P298" s="523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98" s="335"/>
      <c r="R298" s="335"/>
      <c r="S298" s="335"/>
      <c r="T298" s="336"/>
      <c r="U298" s="34"/>
      <c r="V298" s="34"/>
      <c r="W298" s="35" t="s">
        <v>68</v>
      </c>
      <c r="X298" s="330">
        <v>12</v>
      </c>
      <c r="Y298" s="331">
        <f t="shared" si="24"/>
        <v>12</v>
      </c>
      <c r="Z298" s="36">
        <f>IFERROR(IF(X298="","",X298*0.0155),"")</f>
        <v>0.186</v>
      </c>
      <c r="AA298" s="56"/>
      <c r="AB298" s="57"/>
      <c r="AC298" s="282" t="s">
        <v>428</v>
      </c>
      <c r="AG298" s="67"/>
      <c r="AJ298" s="71" t="s">
        <v>70</v>
      </c>
      <c r="AK298" s="71">
        <v>1</v>
      </c>
      <c r="BB298" s="283" t="s">
        <v>81</v>
      </c>
      <c r="BM298" s="67">
        <f t="shared" si="25"/>
        <v>68.820000000000007</v>
      </c>
      <c r="BN298" s="67">
        <f t="shared" si="26"/>
        <v>68.820000000000007</v>
      </c>
      <c r="BO298" s="67">
        <f t="shared" si="27"/>
        <v>0.14285714285714285</v>
      </c>
      <c r="BP298" s="67">
        <f t="shared" si="28"/>
        <v>0.14285714285714285</v>
      </c>
    </row>
    <row r="299" spans="1:68" ht="27" customHeight="1" x14ac:dyDescent="0.25">
      <c r="A299" s="54" t="s">
        <v>435</v>
      </c>
      <c r="B299" s="54" t="s">
        <v>436</v>
      </c>
      <c r="C299" s="31">
        <v>4301135320</v>
      </c>
      <c r="D299" s="340">
        <v>4640242181592</v>
      </c>
      <c r="E299" s="341"/>
      <c r="F299" s="329">
        <v>3.5</v>
      </c>
      <c r="G299" s="32">
        <v>1</v>
      </c>
      <c r="H299" s="329">
        <v>3.5</v>
      </c>
      <c r="I299" s="329">
        <v>3.6850000000000001</v>
      </c>
      <c r="J299" s="32">
        <v>126</v>
      </c>
      <c r="K299" s="32" t="s">
        <v>78</v>
      </c>
      <c r="L299" s="32" t="s">
        <v>66</v>
      </c>
      <c r="M299" s="33" t="s">
        <v>67</v>
      </c>
      <c r="N299" s="33"/>
      <c r="O299" s="32">
        <v>180</v>
      </c>
      <c r="P299" s="475" t="s">
        <v>437</v>
      </c>
      <c r="Q299" s="335"/>
      <c r="R299" s="335"/>
      <c r="S299" s="335"/>
      <c r="T299" s="336"/>
      <c r="U299" s="34"/>
      <c r="V299" s="34"/>
      <c r="W299" s="35" t="s">
        <v>68</v>
      </c>
      <c r="X299" s="330">
        <v>0</v>
      </c>
      <c r="Y299" s="331">
        <f t="shared" si="24"/>
        <v>0</v>
      </c>
      <c r="Z299" s="36">
        <f t="shared" ref="Z299:Z307" si="29">IFERROR(IF(X299="","",X299*0.00936),"")</f>
        <v>0</v>
      </c>
      <c r="AA299" s="56"/>
      <c r="AB299" s="57"/>
      <c r="AC299" s="284" t="s">
        <v>438</v>
      </c>
      <c r="AG299" s="67"/>
      <c r="AJ299" s="71" t="s">
        <v>70</v>
      </c>
      <c r="AK299" s="71">
        <v>1</v>
      </c>
      <c r="BB299" s="285" t="s">
        <v>81</v>
      </c>
      <c r="BM299" s="67">
        <f t="shared" si="25"/>
        <v>0</v>
      </c>
      <c r="BN299" s="67">
        <f t="shared" si="26"/>
        <v>0</v>
      </c>
      <c r="BO299" s="67">
        <f t="shared" si="27"/>
        <v>0</v>
      </c>
      <c r="BP299" s="67">
        <f t="shared" si="28"/>
        <v>0</v>
      </c>
    </row>
    <row r="300" spans="1:68" ht="37.5" customHeight="1" x14ac:dyDescent="0.25">
      <c r="A300" s="54" t="s">
        <v>439</v>
      </c>
      <c r="B300" s="54" t="s">
        <v>440</v>
      </c>
      <c r="C300" s="31">
        <v>4301135552</v>
      </c>
      <c r="D300" s="340">
        <v>4640242181431</v>
      </c>
      <c r="E300" s="341"/>
      <c r="F300" s="329">
        <v>3.5</v>
      </c>
      <c r="G300" s="32">
        <v>1</v>
      </c>
      <c r="H300" s="329">
        <v>3.5</v>
      </c>
      <c r="I300" s="329">
        <v>3.6920000000000002</v>
      </c>
      <c r="J300" s="32">
        <v>126</v>
      </c>
      <c r="K300" s="32" t="s">
        <v>78</v>
      </c>
      <c r="L300" s="32" t="s">
        <v>66</v>
      </c>
      <c r="M300" s="33" t="s">
        <v>67</v>
      </c>
      <c r="N300" s="33"/>
      <c r="O300" s="32">
        <v>180</v>
      </c>
      <c r="P300" s="425" t="s">
        <v>441</v>
      </c>
      <c r="Q300" s="335"/>
      <c r="R300" s="335"/>
      <c r="S300" s="335"/>
      <c r="T300" s="336"/>
      <c r="U300" s="34"/>
      <c r="V300" s="34"/>
      <c r="W300" s="35" t="s">
        <v>68</v>
      </c>
      <c r="X300" s="330">
        <v>0</v>
      </c>
      <c r="Y300" s="331">
        <f t="shared" si="24"/>
        <v>0</v>
      </c>
      <c r="Z300" s="36">
        <f t="shared" si="29"/>
        <v>0</v>
      </c>
      <c r="AA300" s="56"/>
      <c r="AB300" s="57"/>
      <c r="AC300" s="286" t="s">
        <v>442</v>
      </c>
      <c r="AG300" s="67"/>
      <c r="AJ300" s="71" t="s">
        <v>70</v>
      </c>
      <c r="AK300" s="71">
        <v>1</v>
      </c>
      <c r="BB300" s="287" t="s">
        <v>81</v>
      </c>
      <c r="BM300" s="67">
        <f t="shared" si="25"/>
        <v>0</v>
      </c>
      <c r="BN300" s="67">
        <f t="shared" si="26"/>
        <v>0</v>
      </c>
      <c r="BO300" s="67">
        <f t="shared" si="27"/>
        <v>0</v>
      </c>
      <c r="BP300" s="67">
        <f t="shared" si="28"/>
        <v>0</v>
      </c>
    </row>
    <row r="301" spans="1:68" ht="27" customHeight="1" x14ac:dyDescent="0.25">
      <c r="A301" s="54" t="s">
        <v>443</v>
      </c>
      <c r="B301" s="54" t="s">
        <v>444</v>
      </c>
      <c r="C301" s="31">
        <v>4301135405</v>
      </c>
      <c r="D301" s="340">
        <v>4640242181523</v>
      </c>
      <c r="E301" s="341"/>
      <c r="F301" s="329">
        <v>3</v>
      </c>
      <c r="G301" s="32">
        <v>1</v>
      </c>
      <c r="H301" s="329">
        <v>3</v>
      </c>
      <c r="I301" s="329">
        <v>3.1920000000000002</v>
      </c>
      <c r="J301" s="32">
        <v>126</v>
      </c>
      <c r="K301" s="32" t="s">
        <v>78</v>
      </c>
      <c r="L301" s="32" t="s">
        <v>66</v>
      </c>
      <c r="M301" s="33" t="s">
        <v>67</v>
      </c>
      <c r="N301" s="33"/>
      <c r="O301" s="32">
        <v>180</v>
      </c>
      <c r="P301" s="512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301" s="335"/>
      <c r="R301" s="335"/>
      <c r="S301" s="335"/>
      <c r="T301" s="336"/>
      <c r="U301" s="34"/>
      <c r="V301" s="34"/>
      <c r="W301" s="35" t="s">
        <v>68</v>
      </c>
      <c r="X301" s="330">
        <v>0</v>
      </c>
      <c r="Y301" s="331">
        <f t="shared" si="24"/>
        <v>0</v>
      </c>
      <c r="Z301" s="36">
        <f t="shared" si="29"/>
        <v>0</v>
      </c>
      <c r="AA301" s="56"/>
      <c r="AB301" s="57"/>
      <c r="AC301" s="288" t="s">
        <v>432</v>
      </c>
      <c r="AG301" s="67"/>
      <c r="AJ301" s="71" t="s">
        <v>70</v>
      </c>
      <c r="AK301" s="71">
        <v>1</v>
      </c>
      <c r="BB301" s="289" t="s">
        <v>81</v>
      </c>
      <c r="BM301" s="67">
        <f t="shared" si="25"/>
        <v>0</v>
      </c>
      <c r="BN301" s="67">
        <f t="shared" si="26"/>
        <v>0</v>
      </c>
      <c r="BO301" s="67">
        <f t="shared" si="27"/>
        <v>0</v>
      </c>
      <c r="BP301" s="67">
        <f t="shared" si="28"/>
        <v>0</v>
      </c>
    </row>
    <row r="302" spans="1:68" ht="37.5" customHeight="1" x14ac:dyDescent="0.25">
      <c r="A302" s="54" t="s">
        <v>445</v>
      </c>
      <c r="B302" s="54" t="s">
        <v>446</v>
      </c>
      <c r="C302" s="31">
        <v>4301135404</v>
      </c>
      <c r="D302" s="340">
        <v>4640242181516</v>
      </c>
      <c r="E302" s="341"/>
      <c r="F302" s="329">
        <v>3.7</v>
      </c>
      <c r="G302" s="32">
        <v>1</v>
      </c>
      <c r="H302" s="329">
        <v>3.7</v>
      </c>
      <c r="I302" s="329">
        <v>3.8919999999999999</v>
      </c>
      <c r="J302" s="32">
        <v>126</v>
      </c>
      <c r="K302" s="32" t="s">
        <v>78</v>
      </c>
      <c r="L302" s="32" t="s">
        <v>66</v>
      </c>
      <c r="M302" s="33" t="s">
        <v>67</v>
      </c>
      <c r="N302" s="33"/>
      <c r="O302" s="32">
        <v>180</v>
      </c>
      <c r="P302" s="337" t="s">
        <v>447</v>
      </c>
      <c r="Q302" s="335"/>
      <c r="R302" s="335"/>
      <c r="S302" s="335"/>
      <c r="T302" s="336"/>
      <c r="U302" s="34"/>
      <c r="V302" s="34"/>
      <c r="W302" s="35" t="s">
        <v>68</v>
      </c>
      <c r="X302" s="330">
        <v>0</v>
      </c>
      <c r="Y302" s="331">
        <f t="shared" si="24"/>
        <v>0</v>
      </c>
      <c r="Z302" s="36">
        <f t="shared" si="29"/>
        <v>0</v>
      </c>
      <c r="AA302" s="56"/>
      <c r="AB302" s="57"/>
      <c r="AC302" s="290" t="s">
        <v>442</v>
      </c>
      <c r="AG302" s="67"/>
      <c r="AJ302" s="71" t="s">
        <v>70</v>
      </c>
      <c r="AK302" s="71">
        <v>1</v>
      </c>
      <c r="BB302" s="291" t="s">
        <v>81</v>
      </c>
      <c r="BM302" s="67">
        <f t="shared" si="25"/>
        <v>0</v>
      </c>
      <c r="BN302" s="67">
        <f t="shared" si="26"/>
        <v>0</v>
      </c>
      <c r="BO302" s="67">
        <f t="shared" si="27"/>
        <v>0</v>
      </c>
      <c r="BP302" s="67">
        <f t="shared" si="28"/>
        <v>0</v>
      </c>
    </row>
    <row r="303" spans="1:68" ht="27" customHeight="1" x14ac:dyDescent="0.25">
      <c r="A303" s="54" t="s">
        <v>448</v>
      </c>
      <c r="B303" s="54" t="s">
        <v>449</v>
      </c>
      <c r="C303" s="31">
        <v>4301135375</v>
      </c>
      <c r="D303" s="340">
        <v>4640242181486</v>
      </c>
      <c r="E303" s="341"/>
      <c r="F303" s="329">
        <v>3.7</v>
      </c>
      <c r="G303" s="32">
        <v>1</v>
      </c>
      <c r="H303" s="329">
        <v>3.7</v>
      </c>
      <c r="I303" s="329">
        <v>3.8919999999999999</v>
      </c>
      <c r="J303" s="32">
        <v>126</v>
      </c>
      <c r="K303" s="32" t="s">
        <v>78</v>
      </c>
      <c r="L303" s="32" t="s">
        <v>66</v>
      </c>
      <c r="M303" s="33" t="s">
        <v>67</v>
      </c>
      <c r="N303" s="33"/>
      <c r="O303" s="32">
        <v>180</v>
      </c>
      <c r="P303" s="432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303" s="335"/>
      <c r="R303" s="335"/>
      <c r="S303" s="335"/>
      <c r="T303" s="336"/>
      <c r="U303" s="34"/>
      <c r="V303" s="34"/>
      <c r="W303" s="35" t="s">
        <v>68</v>
      </c>
      <c r="X303" s="330">
        <v>14</v>
      </c>
      <c r="Y303" s="331">
        <f t="shared" si="24"/>
        <v>14</v>
      </c>
      <c r="Z303" s="36">
        <f t="shared" si="29"/>
        <v>0.13103999999999999</v>
      </c>
      <c r="AA303" s="56"/>
      <c r="AB303" s="57"/>
      <c r="AC303" s="292" t="s">
        <v>428</v>
      </c>
      <c r="AG303" s="67"/>
      <c r="AJ303" s="71" t="s">
        <v>70</v>
      </c>
      <c r="AK303" s="71">
        <v>1</v>
      </c>
      <c r="BB303" s="293" t="s">
        <v>81</v>
      </c>
      <c r="BM303" s="67">
        <f t="shared" si="25"/>
        <v>54.488</v>
      </c>
      <c r="BN303" s="67">
        <f t="shared" si="26"/>
        <v>54.488</v>
      </c>
      <c r="BO303" s="67">
        <f t="shared" si="27"/>
        <v>0.1111111111111111</v>
      </c>
      <c r="BP303" s="67">
        <f t="shared" si="28"/>
        <v>0.1111111111111111</v>
      </c>
    </row>
    <row r="304" spans="1:68" ht="37.5" customHeight="1" x14ac:dyDescent="0.25">
      <c r="A304" s="54" t="s">
        <v>450</v>
      </c>
      <c r="B304" s="54" t="s">
        <v>451</v>
      </c>
      <c r="C304" s="31">
        <v>4301135402</v>
      </c>
      <c r="D304" s="340">
        <v>4640242181493</v>
      </c>
      <c r="E304" s="341"/>
      <c r="F304" s="329">
        <v>3.7</v>
      </c>
      <c r="G304" s="32">
        <v>1</v>
      </c>
      <c r="H304" s="329">
        <v>3.7</v>
      </c>
      <c r="I304" s="329">
        <v>3.8919999999999999</v>
      </c>
      <c r="J304" s="32">
        <v>126</v>
      </c>
      <c r="K304" s="32" t="s">
        <v>78</v>
      </c>
      <c r="L304" s="32" t="s">
        <v>66</v>
      </c>
      <c r="M304" s="33" t="s">
        <v>67</v>
      </c>
      <c r="N304" s="33"/>
      <c r="O304" s="32">
        <v>180</v>
      </c>
      <c r="P304" s="471" t="s">
        <v>452</v>
      </c>
      <c r="Q304" s="335"/>
      <c r="R304" s="335"/>
      <c r="S304" s="335"/>
      <c r="T304" s="336"/>
      <c r="U304" s="34"/>
      <c r="V304" s="34"/>
      <c r="W304" s="35" t="s">
        <v>68</v>
      </c>
      <c r="X304" s="330">
        <v>0</v>
      </c>
      <c r="Y304" s="331">
        <f t="shared" si="24"/>
        <v>0</v>
      </c>
      <c r="Z304" s="36">
        <f t="shared" si="29"/>
        <v>0</v>
      </c>
      <c r="AA304" s="56"/>
      <c r="AB304" s="57"/>
      <c r="AC304" s="294" t="s">
        <v>428</v>
      </c>
      <c r="AG304" s="67"/>
      <c r="AJ304" s="71" t="s">
        <v>70</v>
      </c>
      <c r="AK304" s="71">
        <v>1</v>
      </c>
      <c r="BB304" s="295" t="s">
        <v>81</v>
      </c>
      <c r="BM304" s="67">
        <f t="shared" si="25"/>
        <v>0</v>
      </c>
      <c r="BN304" s="67">
        <f t="shared" si="26"/>
        <v>0</v>
      </c>
      <c r="BO304" s="67">
        <f t="shared" si="27"/>
        <v>0</v>
      </c>
      <c r="BP304" s="67">
        <f t="shared" si="28"/>
        <v>0</v>
      </c>
    </row>
    <row r="305" spans="1:68" ht="37.5" customHeight="1" x14ac:dyDescent="0.25">
      <c r="A305" s="54" t="s">
        <v>453</v>
      </c>
      <c r="B305" s="54" t="s">
        <v>454</v>
      </c>
      <c r="C305" s="31">
        <v>4301135403</v>
      </c>
      <c r="D305" s="340">
        <v>4640242181509</v>
      </c>
      <c r="E305" s="341"/>
      <c r="F305" s="329">
        <v>3.7</v>
      </c>
      <c r="G305" s="32">
        <v>1</v>
      </c>
      <c r="H305" s="329">
        <v>3.7</v>
      </c>
      <c r="I305" s="329">
        <v>3.8919999999999999</v>
      </c>
      <c r="J305" s="32">
        <v>126</v>
      </c>
      <c r="K305" s="32" t="s">
        <v>78</v>
      </c>
      <c r="L305" s="32" t="s">
        <v>66</v>
      </c>
      <c r="M305" s="33" t="s">
        <v>67</v>
      </c>
      <c r="N305" s="33"/>
      <c r="O305" s="32">
        <v>180</v>
      </c>
      <c r="P305" s="434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305" s="335"/>
      <c r="R305" s="335"/>
      <c r="S305" s="335"/>
      <c r="T305" s="336"/>
      <c r="U305" s="34"/>
      <c r="V305" s="34"/>
      <c r="W305" s="35" t="s">
        <v>68</v>
      </c>
      <c r="X305" s="330">
        <v>0</v>
      </c>
      <c r="Y305" s="331">
        <f t="shared" si="24"/>
        <v>0</v>
      </c>
      <c r="Z305" s="36">
        <f t="shared" si="29"/>
        <v>0</v>
      </c>
      <c r="AA305" s="56"/>
      <c r="AB305" s="57"/>
      <c r="AC305" s="296" t="s">
        <v>428</v>
      </c>
      <c r="AG305" s="67"/>
      <c r="AJ305" s="71" t="s">
        <v>70</v>
      </c>
      <c r="AK305" s="71">
        <v>1</v>
      </c>
      <c r="BB305" s="297" t="s">
        <v>81</v>
      </c>
      <c r="BM305" s="67">
        <f t="shared" si="25"/>
        <v>0</v>
      </c>
      <c r="BN305" s="67">
        <f t="shared" si="26"/>
        <v>0</v>
      </c>
      <c r="BO305" s="67">
        <f t="shared" si="27"/>
        <v>0</v>
      </c>
      <c r="BP305" s="67">
        <f t="shared" si="28"/>
        <v>0</v>
      </c>
    </row>
    <row r="306" spans="1:68" ht="27" customHeight="1" x14ac:dyDescent="0.25">
      <c r="A306" s="54" t="s">
        <v>455</v>
      </c>
      <c r="B306" s="54" t="s">
        <v>456</v>
      </c>
      <c r="C306" s="31">
        <v>4301135304</v>
      </c>
      <c r="D306" s="340">
        <v>4640242181240</v>
      </c>
      <c r="E306" s="341"/>
      <c r="F306" s="329">
        <v>0.3</v>
      </c>
      <c r="G306" s="32">
        <v>9</v>
      </c>
      <c r="H306" s="329">
        <v>2.7</v>
      </c>
      <c r="I306" s="329">
        <v>2.88</v>
      </c>
      <c r="J306" s="32">
        <v>126</v>
      </c>
      <c r="K306" s="32" t="s">
        <v>78</v>
      </c>
      <c r="L306" s="32" t="s">
        <v>66</v>
      </c>
      <c r="M306" s="33" t="s">
        <v>67</v>
      </c>
      <c r="N306" s="33"/>
      <c r="O306" s="32">
        <v>180</v>
      </c>
      <c r="P306" s="474" t="s">
        <v>457</v>
      </c>
      <c r="Q306" s="335"/>
      <c r="R306" s="335"/>
      <c r="S306" s="335"/>
      <c r="T306" s="336"/>
      <c r="U306" s="34"/>
      <c r="V306" s="34"/>
      <c r="W306" s="35" t="s">
        <v>68</v>
      </c>
      <c r="X306" s="330">
        <v>0</v>
      </c>
      <c r="Y306" s="331">
        <f t="shared" si="24"/>
        <v>0</v>
      </c>
      <c r="Z306" s="36">
        <f t="shared" si="29"/>
        <v>0</v>
      </c>
      <c r="AA306" s="56"/>
      <c r="AB306" s="57"/>
      <c r="AC306" s="298" t="s">
        <v>428</v>
      </c>
      <c r="AG306" s="67"/>
      <c r="AJ306" s="71" t="s">
        <v>70</v>
      </c>
      <c r="AK306" s="71">
        <v>1</v>
      </c>
      <c r="BB306" s="299" t="s">
        <v>81</v>
      </c>
      <c r="BM306" s="67">
        <f t="shared" si="25"/>
        <v>0</v>
      </c>
      <c r="BN306" s="67">
        <f t="shared" si="26"/>
        <v>0</v>
      </c>
      <c r="BO306" s="67">
        <f t="shared" si="27"/>
        <v>0</v>
      </c>
      <c r="BP306" s="67">
        <f t="shared" si="28"/>
        <v>0</v>
      </c>
    </row>
    <row r="307" spans="1:68" ht="27" customHeight="1" x14ac:dyDescent="0.25">
      <c r="A307" s="54" t="s">
        <v>458</v>
      </c>
      <c r="B307" s="54" t="s">
        <v>459</v>
      </c>
      <c r="C307" s="31">
        <v>4301135310</v>
      </c>
      <c r="D307" s="340">
        <v>4640242181318</v>
      </c>
      <c r="E307" s="341"/>
      <c r="F307" s="329">
        <v>0.3</v>
      </c>
      <c r="G307" s="32">
        <v>9</v>
      </c>
      <c r="H307" s="329">
        <v>2.7</v>
      </c>
      <c r="I307" s="329">
        <v>2.988</v>
      </c>
      <c r="J307" s="32">
        <v>126</v>
      </c>
      <c r="K307" s="32" t="s">
        <v>78</v>
      </c>
      <c r="L307" s="32" t="s">
        <v>66</v>
      </c>
      <c r="M307" s="33" t="s">
        <v>67</v>
      </c>
      <c r="N307" s="33"/>
      <c r="O307" s="32">
        <v>180</v>
      </c>
      <c r="P307" s="549" t="s">
        <v>460</v>
      </c>
      <c r="Q307" s="335"/>
      <c r="R307" s="335"/>
      <c r="S307" s="335"/>
      <c r="T307" s="336"/>
      <c r="U307" s="34"/>
      <c r="V307" s="34"/>
      <c r="W307" s="35" t="s">
        <v>68</v>
      </c>
      <c r="X307" s="330">
        <v>0</v>
      </c>
      <c r="Y307" s="331">
        <f t="shared" si="24"/>
        <v>0</v>
      </c>
      <c r="Z307" s="36">
        <f t="shared" si="29"/>
        <v>0</v>
      </c>
      <c r="AA307" s="56"/>
      <c r="AB307" s="57"/>
      <c r="AC307" s="300" t="s">
        <v>432</v>
      </c>
      <c r="AG307" s="67"/>
      <c r="AJ307" s="71" t="s">
        <v>70</v>
      </c>
      <c r="AK307" s="71">
        <v>1</v>
      </c>
      <c r="BB307" s="301" t="s">
        <v>81</v>
      </c>
      <c r="BM307" s="67">
        <f t="shared" si="25"/>
        <v>0</v>
      </c>
      <c r="BN307" s="67">
        <f t="shared" si="26"/>
        <v>0</v>
      </c>
      <c r="BO307" s="67">
        <f t="shared" si="27"/>
        <v>0</v>
      </c>
      <c r="BP307" s="67">
        <f t="shared" si="28"/>
        <v>0</v>
      </c>
    </row>
    <row r="308" spans="1:68" ht="27" customHeight="1" x14ac:dyDescent="0.25">
      <c r="A308" s="54" t="s">
        <v>461</v>
      </c>
      <c r="B308" s="54" t="s">
        <v>462</v>
      </c>
      <c r="C308" s="31">
        <v>4301135306</v>
      </c>
      <c r="D308" s="340">
        <v>4640242181387</v>
      </c>
      <c r="E308" s="341"/>
      <c r="F308" s="329">
        <v>0.3</v>
      </c>
      <c r="G308" s="32">
        <v>9</v>
      </c>
      <c r="H308" s="329">
        <v>2.7</v>
      </c>
      <c r="I308" s="329">
        <v>2.8450000000000002</v>
      </c>
      <c r="J308" s="32">
        <v>234</v>
      </c>
      <c r="K308" s="32" t="s">
        <v>152</v>
      </c>
      <c r="L308" s="32" t="s">
        <v>66</v>
      </c>
      <c r="M308" s="33" t="s">
        <v>67</v>
      </c>
      <c r="N308" s="33"/>
      <c r="O308" s="32">
        <v>180</v>
      </c>
      <c r="P308" s="439" t="s">
        <v>463</v>
      </c>
      <c r="Q308" s="335"/>
      <c r="R308" s="335"/>
      <c r="S308" s="335"/>
      <c r="T308" s="336"/>
      <c r="U308" s="34"/>
      <c r="V308" s="34"/>
      <c r="W308" s="35" t="s">
        <v>68</v>
      </c>
      <c r="X308" s="330">
        <v>0</v>
      </c>
      <c r="Y308" s="331">
        <f t="shared" si="24"/>
        <v>0</v>
      </c>
      <c r="Z308" s="36">
        <f>IFERROR(IF(X308="","",X308*0.00502),"")</f>
        <v>0</v>
      </c>
      <c r="AA308" s="56"/>
      <c r="AB308" s="57"/>
      <c r="AC308" s="302" t="s">
        <v>428</v>
      </c>
      <c r="AG308" s="67"/>
      <c r="AJ308" s="71" t="s">
        <v>70</v>
      </c>
      <c r="AK308" s="71">
        <v>1</v>
      </c>
      <c r="BB308" s="303" t="s">
        <v>81</v>
      </c>
      <c r="BM308" s="67">
        <f t="shared" si="25"/>
        <v>0</v>
      </c>
      <c r="BN308" s="67">
        <f t="shared" si="26"/>
        <v>0</v>
      </c>
      <c r="BO308" s="67">
        <f t="shared" si="27"/>
        <v>0</v>
      </c>
      <c r="BP308" s="67">
        <f t="shared" si="28"/>
        <v>0</v>
      </c>
    </row>
    <row r="309" spans="1:68" ht="27" customHeight="1" x14ac:dyDescent="0.25">
      <c r="A309" s="54" t="s">
        <v>464</v>
      </c>
      <c r="B309" s="54" t="s">
        <v>465</v>
      </c>
      <c r="C309" s="31">
        <v>4301135305</v>
      </c>
      <c r="D309" s="340">
        <v>4640242181394</v>
      </c>
      <c r="E309" s="341"/>
      <c r="F309" s="329">
        <v>0.3</v>
      </c>
      <c r="G309" s="32">
        <v>9</v>
      </c>
      <c r="H309" s="329">
        <v>2.7</v>
      </c>
      <c r="I309" s="329">
        <v>2.8450000000000002</v>
      </c>
      <c r="J309" s="32">
        <v>234</v>
      </c>
      <c r="K309" s="32" t="s">
        <v>152</v>
      </c>
      <c r="L309" s="32" t="s">
        <v>66</v>
      </c>
      <c r="M309" s="33" t="s">
        <v>67</v>
      </c>
      <c r="N309" s="33"/>
      <c r="O309" s="32">
        <v>180</v>
      </c>
      <c r="P309" s="460" t="s">
        <v>466</v>
      </c>
      <c r="Q309" s="335"/>
      <c r="R309" s="335"/>
      <c r="S309" s="335"/>
      <c r="T309" s="336"/>
      <c r="U309" s="34"/>
      <c r="V309" s="34"/>
      <c r="W309" s="35" t="s">
        <v>68</v>
      </c>
      <c r="X309" s="330">
        <v>0</v>
      </c>
      <c r="Y309" s="331">
        <f t="shared" si="24"/>
        <v>0</v>
      </c>
      <c r="Z309" s="36">
        <f>IFERROR(IF(X309="","",X309*0.00502),"")</f>
        <v>0</v>
      </c>
      <c r="AA309" s="56"/>
      <c r="AB309" s="57"/>
      <c r="AC309" s="304" t="s">
        <v>428</v>
      </c>
      <c r="AG309" s="67"/>
      <c r="AJ309" s="71" t="s">
        <v>70</v>
      </c>
      <c r="AK309" s="71">
        <v>1</v>
      </c>
      <c r="BB309" s="305" t="s">
        <v>81</v>
      </c>
      <c r="BM309" s="67">
        <f t="shared" si="25"/>
        <v>0</v>
      </c>
      <c r="BN309" s="67">
        <f t="shared" si="26"/>
        <v>0</v>
      </c>
      <c r="BO309" s="67">
        <f t="shared" si="27"/>
        <v>0</v>
      </c>
      <c r="BP309" s="67">
        <f t="shared" si="28"/>
        <v>0</v>
      </c>
    </row>
    <row r="310" spans="1:68" ht="27" customHeight="1" x14ac:dyDescent="0.25">
      <c r="A310" s="54" t="s">
        <v>467</v>
      </c>
      <c r="B310" s="54" t="s">
        <v>468</v>
      </c>
      <c r="C310" s="31">
        <v>4301135309</v>
      </c>
      <c r="D310" s="340">
        <v>4640242181332</v>
      </c>
      <c r="E310" s="341"/>
      <c r="F310" s="329">
        <v>0.3</v>
      </c>
      <c r="G310" s="32">
        <v>9</v>
      </c>
      <c r="H310" s="329">
        <v>2.7</v>
      </c>
      <c r="I310" s="329">
        <v>2.9079999999999999</v>
      </c>
      <c r="J310" s="32">
        <v>234</v>
      </c>
      <c r="K310" s="32" t="s">
        <v>152</v>
      </c>
      <c r="L310" s="32" t="s">
        <v>66</v>
      </c>
      <c r="M310" s="33" t="s">
        <v>67</v>
      </c>
      <c r="N310" s="33"/>
      <c r="O310" s="32">
        <v>180</v>
      </c>
      <c r="P310" s="445" t="s">
        <v>469</v>
      </c>
      <c r="Q310" s="335"/>
      <c r="R310" s="335"/>
      <c r="S310" s="335"/>
      <c r="T310" s="336"/>
      <c r="U310" s="34"/>
      <c r="V310" s="34"/>
      <c r="W310" s="35" t="s">
        <v>68</v>
      </c>
      <c r="X310" s="330">
        <v>0</v>
      </c>
      <c r="Y310" s="331">
        <f t="shared" si="24"/>
        <v>0</v>
      </c>
      <c r="Z310" s="36">
        <f>IFERROR(IF(X310="","",X310*0.00502),"")</f>
        <v>0</v>
      </c>
      <c r="AA310" s="56"/>
      <c r="AB310" s="57"/>
      <c r="AC310" s="306" t="s">
        <v>428</v>
      </c>
      <c r="AG310" s="67"/>
      <c r="AJ310" s="71" t="s">
        <v>70</v>
      </c>
      <c r="AK310" s="71">
        <v>1</v>
      </c>
      <c r="BB310" s="307" t="s">
        <v>81</v>
      </c>
      <c r="BM310" s="67">
        <f t="shared" si="25"/>
        <v>0</v>
      </c>
      <c r="BN310" s="67">
        <f t="shared" si="26"/>
        <v>0</v>
      </c>
      <c r="BO310" s="67">
        <f t="shared" si="27"/>
        <v>0</v>
      </c>
      <c r="BP310" s="67">
        <f t="shared" si="28"/>
        <v>0</v>
      </c>
    </row>
    <row r="311" spans="1:68" ht="27" customHeight="1" x14ac:dyDescent="0.25">
      <c r="A311" s="54" t="s">
        <v>470</v>
      </c>
      <c r="B311" s="54" t="s">
        <v>471</v>
      </c>
      <c r="C311" s="31">
        <v>4301135308</v>
      </c>
      <c r="D311" s="340">
        <v>4640242181349</v>
      </c>
      <c r="E311" s="341"/>
      <c r="F311" s="329">
        <v>0.3</v>
      </c>
      <c r="G311" s="32">
        <v>9</v>
      </c>
      <c r="H311" s="329">
        <v>2.7</v>
      </c>
      <c r="I311" s="329">
        <v>2.9079999999999999</v>
      </c>
      <c r="J311" s="32">
        <v>234</v>
      </c>
      <c r="K311" s="32" t="s">
        <v>152</v>
      </c>
      <c r="L311" s="32" t="s">
        <v>66</v>
      </c>
      <c r="M311" s="33" t="s">
        <v>67</v>
      </c>
      <c r="N311" s="33"/>
      <c r="O311" s="32">
        <v>180</v>
      </c>
      <c r="P311" s="450" t="s">
        <v>472</v>
      </c>
      <c r="Q311" s="335"/>
      <c r="R311" s="335"/>
      <c r="S311" s="335"/>
      <c r="T311" s="336"/>
      <c r="U311" s="34"/>
      <c r="V311" s="34"/>
      <c r="W311" s="35" t="s">
        <v>68</v>
      </c>
      <c r="X311" s="330">
        <v>0</v>
      </c>
      <c r="Y311" s="331">
        <f t="shared" si="24"/>
        <v>0</v>
      </c>
      <c r="Z311" s="36">
        <f>IFERROR(IF(X311="","",X311*0.00502),"")</f>
        <v>0</v>
      </c>
      <c r="AA311" s="56"/>
      <c r="AB311" s="57"/>
      <c r="AC311" s="308" t="s">
        <v>428</v>
      </c>
      <c r="AG311" s="67"/>
      <c r="AJ311" s="71" t="s">
        <v>70</v>
      </c>
      <c r="AK311" s="71">
        <v>1</v>
      </c>
      <c r="BB311" s="309" t="s">
        <v>81</v>
      </c>
      <c r="BM311" s="67">
        <f t="shared" si="25"/>
        <v>0</v>
      </c>
      <c r="BN311" s="67">
        <f t="shared" si="26"/>
        <v>0</v>
      </c>
      <c r="BO311" s="67">
        <f t="shared" si="27"/>
        <v>0</v>
      </c>
      <c r="BP311" s="67">
        <f t="shared" si="28"/>
        <v>0</v>
      </c>
    </row>
    <row r="312" spans="1:68" ht="27" customHeight="1" x14ac:dyDescent="0.25">
      <c r="A312" s="54" t="s">
        <v>473</v>
      </c>
      <c r="B312" s="54" t="s">
        <v>474</v>
      </c>
      <c r="C312" s="31">
        <v>4301135307</v>
      </c>
      <c r="D312" s="340">
        <v>4640242181370</v>
      </c>
      <c r="E312" s="341"/>
      <c r="F312" s="329">
        <v>0.3</v>
      </c>
      <c r="G312" s="32">
        <v>9</v>
      </c>
      <c r="H312" s="329">
        <v>2.7</v>
      </c>
      <c r="I312" s="329">
        <v>2.9079999999999999</v>
      </c>
      <c r="J312" s="32">
        <v>234</v>
      </c>
      <c r="K312" s="32" t="s">
        <v>152</v>
      </c>
      <c r="L312" s="32" t="s">
        <v>66</v>
      </c>
      <c r="M312" s="33" t="s">
        <v>67</v>
      </c>
      <c r="N312" s="33"/>
      <c r="O312" s="32">
        <v>180</v>
      </c>
      <c r="P312" s="416" t="s">
        <v>475</v>
      </c>
      <c r="Q312" s="335"/>
      <c r="R312" s="335"/>
      <c r="S312" s="335"/>
      <c r="T312" s="336"/>
      <c r="U312" s="34"/>
      <c r="V312" s="34"/>
      <c r="W312" s="35" t="s">
        <v>68</v>
      </c>
      <c r="X312" s="330">
        <v>0</v>
      </c>
      <c r="Y312" s="331">
        <f t="shared" si="24"/>
        <v>0</v>
      </c>
      <c r="Z312" s="36">
        <f>IFERROR(IF(X312="","",X312*0.00502),"")</f>
        <v>0</v>
      </c>
      <c r="AA312" s="56"/>
      <c r="AB312" s="57"/>
      <c r="AC312" s="310" t="s">
        <v>476</v>
      </c>
      <c r="AG312" s="67"/>
      <c r="AJ312" s="71" t="s">
        <v>70</v>
      </c>
      <c r="AK312" s="71">
        <v>1</v>
      </c>
      <c r="BB312" s="311" t="s">
        <v>81</v>
      </c>
      <c r="BM312" s="67">
        <f t="shared" si="25"/>
        <v>0</v>
      </c>
      <c r="BN312" s="67">
        <f t="shared" si="26"/>
        <v>0</v>
      </c>
      <c r="BO312" s="67">
        <f t="shared" si="27"/>
        <v>0</v>
      </c>
      <c r="BP312" s="67">
        <f t="shared" si="28"/>
        <v>0</v>
      </c>
    </row>
    <row r="313" spans="1:68" ht="27" customHeight="1" x14ac:dyDescent="0.25">
      <c r="A313" s="54" t="s">
        <v>477</v>
      </c>
      <c r="B313" s="54" t="s">
        <v>478</v>
      </c>
      <c r="C313" s="31">
        <v>4301135318</v>
      </c>
      <c r="D313" s="340">
        <v>4607111037480</v>
      </c>
      <c r="E313" s="341"/>
      <c r="F313" s="329">
        <v>1</v>
      </c>
      <c r="G313" s="32">
        <v>4</v>
      </c>
      <c r="H313" s="329">
        <v>4</v>
      </c>
      <c r="I313" s="329">
        <v>4.2724000000000002</v>
      </c>
      <c r="J313" s="32">
        <v>84</v>
      </c>
      <c r="K313" s="32" t="s">
        <v>65</v>
      </c>
      <c r="L313" s="32" t="s">
        <v>66</v>
      </c>
      <c r="M313" s="33" t="s">
        <v>67</v>
      </c>
      <c r="N313" s="33"/>
      <c r="O313" s="32">
        <v>180</v>
      </c>
      <c r="P313" s="548" t="s">
        <v>479</v>
      </c>
      <c r="Q313" s="335"/>
      <c r="R313" s="335"/>
      <c r="S313" s="335"/>
      <c r="T313" s="336"/>
      <c r="U313" s="34"/>
      <c r="V313" s="34"/>
      <c r="W313" s="35" t="s">
        <v>68</v>
      </c>
      <c r="X313" s="330">
        <v>0</v>
      </c>
      <c r="Y313" s="331">
        <f t="shared" si="24"/>
        <v>0</v>
      </c>
      <c r="Z313" s="36">
        <f>IFERROR(IF(X313="","",X313*0.0155),"")</f>
        <v>0</v>
      </c>
      <c r="AA313" s="56"/>
      <c r="AB313" s="57"/>
      <c r="AC313" s="312" t="s">
        <v>480</v>
      </c>
      <c r="AG313" s="67"/>
      <c r="AJ313" s="71" t="s">
        <v>70</v>
      </c>
      <c r="AK313" s="71">
        <v>1</v>
      </c>
      <c r="BB313" s="313" t="s">
        <v>81</v>
      </c>
      <c r="BM313" s="67">
        <f t="shared" si="25"/>
        <v>0</v>
      </c>
      <c r="BN313" s="67">
        <f t="shared" si="26"/>
        <v>0</v>
      </c>
      <c r="BO313" s="67">
        <f t="shared" si="27"/>
        <v>0</v>
      </c>
      <c r="BP313" s="67">
        <f t="shared" si="28"/>
        <v>0</v>
      </c>
    </row>
    <row r="314" spans="1:68" ht="27" customHeight="1" x14ac:dyDescent="0.25">
      <c r="A314" s="54" t="s">
        <v>481</v>
      </c>
      <c r="B314" s="54" t="s">
        <v>482</v>
      </c>
      <c r="C314" s="31">
        <v>4301135319</v>
      </c>
      <c r="D314" s="340">
        <v>4607111037473</v>
      </c>
      <c r="E314" s="341"/>
      <c r="F314" s="329">
        <v>1</v>
      </c>
      <c r="G314" s="32">
        <v>4</v>
      </c>
      <c r="H314" s="329">
        <v>4</v>
      </c>
      <c r="I314" s="329">
        <v>4.2300000000000004</v>
      </c>
      <c r="J314" s="32">
        <v>84</v>
      </c>
      <c r="K314" s="32" t="s">
        <v>65</v>
      </c>
      <c r="L314" s="32" t="s">
        <v>66</v>
      </c>
      <c r="M314" s="33" t="s">
        <v>67</v>
      </c>
      <c r="N314" s="33"/>
      <c r="O314" s="32">
        <v>180</v>
      </c>
      <c r="P314" s="491" t="s">
        <v>483</v>
      </c>
      <c r="Q314" s="335"/>
      <c r="R314" s="335"/>
      <c r="S314" s="335"/>
      <c r="T314" s="336"/>
      <c r="U314" s="34"/>
      <c r="V314" s="34"/>
      <c r="W314" s="35" t="s">
        <v>68</v>
      </c>
      <c r="X314" s="330">
        <v>0</v>
      </c>
      <c r="Y314" s="331">
        <f t="shared" si="24"/>
        <v>0</v>
      </c>
      <c r="Z314" s="36">
        <f>IFERROR(IF(X314="","",X314*0.0155),"")</f>
        <v>0</v>
      </c>
      <c r="AA314" s="56"/>
      <c r="AB314" s="57"/>
      <c r="AC314" s="314" t="s">
        <v>484</v>
      </c>
      <c r="AG314" s="67"/>
      <c r="AJ314" s="71" t="s">
        <v>70</v>
      </c>
      <c r="AK314" s="71">
        <v>1</v>
      </c>
      <c r="BB314" s="315" t="s">
        <v>81</v>
      </c>
      <c r="BM314" s="67">
        <f t="shared" si="25"/>
        <v>0</v>
      </c>
      <c r="BN314" s="67">
        <f t="shared" si="26"/>
        <v>0</v>
      </c>
      <c r="BO314" s="67">
        <f t="shared" si="27"/>
        <v>0</v>
      </c>
      <c r="BP314" s="67">
        <f t="shared" si="28"/>
        <v>0</v>
      </c>
    </row>
    <row r="315" spans="1:68" ht="27" customHeight="1" x14ac:dyDescent="0.25">
      <c r="A315" s="54" t="s">
        <v>485</v>
      </c>
      <c r="B315" s="54" t="s">
        <v>486</v>
      </c>
      <c r="C315" s="31">
        <v>4301135198</v>
      </c>
      <c r="D315" s="340">
        <v>4640242180663</v>
      </c>
      <c r="E315" s="341"/>
      <c r="F315" s="329">
        <v>0.9</v>
      </c>
      <c r="G315" s="32">
        <v>4</v>
      </c>
      <c r="H315" s="329">
        <v>3.6</v>
      </c>
      <c r="I315" s="329">
        <v>3.83</v>
      </c>
      <c r="J315" s="32">
        <v>84</v>
      </c>
      <c r="K315" s="32" t="s">
        <v>65</v>
      </c>
      <c r="L315" s="32" t="s">
        <v>66</v>
      </c>
      <c r="M315" s="33" t="s">
        <v>67</v>
      </c>
      <c r="N315" s="33"/>
      <c r="O315" s="32">
        <v>180</v>
      </c>
      <c r="P315" s="334" t="s">
        <v>487</v>
      </c>
      <c r="Q315" s="335"/>
      <c r="R315" s="335"/>
      <c r="S315" s="335"/>
      <c r="T315" s="336"/>
      <c r="U315" s="34"/>
      <c r="V315" s="34"/>
      <c r="W315" s="35" t="s">
        <v>68</v>
      </c>
      <c r="X315" s="330">
        <v>0</v>
      </c>
      <c r="Y315" s="331">
        <f t="shared" si="24"/>
        <v>0</v>
      </c>
      <c r="Z315" s="36">
        <f>IFERROR(IF(X315="","",X315*0.0155),"")</f>
        <v>0</v>
      </c>
      <c r="AA315" s="56"/>
      <c r="AB315" s="57"/>
      <c r="AC315" s="316" t="s">
        <v>488</v>
      </c>
      <c r="AG315" s="67"/>
      <c r="AJ315" s="71" t="s">
        <v>70</v>
      </c>
      <c r="AK315" s="71">
        <v>1</v>
      </c>
      <c r="BB315" s="317" t="s">
        <v>81</v>
      </c>
      <c r="BM315" s="67">
        <f t="shared" si="25"/>
        <v>0</v>
      </c>
      <c r="BN315" s="67">
        <f t="shared" si="26"/>
        <v>0</v>
      </c>
      <c r="BO315" s="67">
        <f t="shared" si="27"/>
        <v>0</v>
      </c>
      <c r="BP315" s="67">
        <f t="shared" si="28"/>
        <v>0</v>
      </c>
    </row>
    <row r="316" spans="1:68" ht="27" customHeight="1" x14ac:dyDescent="0.25">
      <c r="A316" s="54" t="s">
        <v>489</v>
      </c>
      <c r="B316" s="54" t="s">
        <v>490</v>
      </c>
      <c r="C316" s="31">
        <v>4301135723</v>
      </c>
      <c r="D316" s="340">
        <v>4640242181783</v>
      </c>
      <c r="E316" s="341"/>
      <c r="F316" s="329">
        <v>0.3</v>
      </c>
      <c r="G316" s="32">
        <v>9</v>
      </c>
      <c r="H316" s="329">
        <v>2.7</v>
      </c>
      <c r="I316" s="329">
        <v>2.988</v>
      </c>
      <c r="J316" s="32">
        <v>126</v>
      </c>
      <c r="K316" s="32" t="s">
        <v>78</v>
      </c>
      <c r="L316" s="32" t="s">
        <v>66</v>
      </c>
      <c r="M316" s="33" t="s">
        <v>67</v>
      </c>
      <c r="N316" s="33"/>
      <c r="O316" s="32">
        <v>180</v>
      </c>
      <c r="P316" s="374" t="s">
        <v>491</v>
      </c>
      <c r="Q316" s="335"/>
      <c r="R316" s="335"/>
      <c r="S316" s="335"/>
      <c r="T316" s="336"/>
      <c r="U316" s="34"/>
      <c r="V316" s="34"/>
      <c r="W316" s="35" t="s">
        <v>68</v>
      </c>
      <c r="X316" s="330">
        <v>0</v>
      </c>
      <c r="Y316" s="331">
        <f t="shared" si="24"/>
        <v>0</v>
      </c>
      <c r="Z316" s="36">
        <f>IFERROR(IF(X316="","",X316*0.00936),"")</f>
        <v>0</v>
      </c>
      <c r="AA316" s="56"/>
      <c r="AB316" s="57"/>
      <c r="AC316" s="318" t="s">
        <v>492</v>
      </c>
      <c r="AG316" s="67"/>
      <c r="AJ316" s="71" t="s">
        <v>70</v>
      </c>
      <c r="AK316" s="71">
        <v>1</v>
      </c>
      <c r="BB316" s="319" t="s">
        <v>81</v>
      </c>
      <c r="BM316" s="67">
        <f t="shared" si="25"/>
        <v>0</v>
      </c>
      <c r="BN316" s="67">
        <f t="shared" si="26"/>
        <v>0</v>
      </c>
      <c r="BO316" s="67">
        <f t="shared" si="27"/>
        <v>0</v>
      </c>
      <c r="BP316" s="67">
        <f t="shared" si="28"/>
        <v>0</v>
      </c>
    </row>
    <row r="317" spans="1:68" x14ac:dyDescent="0.2">
      <c r="A317" s="350"/>
      <c r="B317" s="339"/>
      <c r="C317" s="339"/>
      <c r="D317" s="339"/>
      <c r="E317" s="339"/>
      <c r="F317" s="339"/>
      <c r="G317" s="339"/>
      <c r="H317" s="339"/>
      <c r="I317" s="339"/>
      <c r="J317" s="339"/>
      <c r="K317" s="339"/>
      <c r="L317" s="339"/>
      <c r="M317" s="339"/>
      <c r="N317" s="339"/>
      <c r="O317" s="351"/>
      <c r="P317" s="344" t="s">
        <v>71</v>
      </c>
      <c r="Q317" s="345"/>
      <c r="R317" s="345"/>
      <c r="S317" s="345"/>
      <c r="T317" s="345"/>
      <c r="U317" s="345"/>
      <c r="V317" s="346"/>
      <c r="W317" s="37" t="s">
        <v>68</v>
      </c>
      <c r="X317" s="332">
        <f>IFERROR(SUM(X296:X316),"0")</f>
        <v>26</v>
      </c>
      <c r="Y317" s="332">
        <f>IFERROR(SUM(Y296:Y316),"0")</f>
        <v>26</v>
      </c>
      <c r="Z317" s="332">
        <f>IFERROR(IF(Z296="",0,Z296),"0")+IFERROR(IF(Z297="",0,Z297),"0")+IFERROR(IF(Z298="",0,Z298),"0")+IFERROR(IF(Z299="",0,Z299),"0")+IFERROR(IF(Z300="",0,Z300),"0")+IFERROR(IF(Z301="",0,Z301),"0")+IFERROR(IF(Z302="",0,Z302),"0")+IFERROR(IF(Z303="",0,Z303),"0")+IFERROR(IF(Z304="",0,Z304),"0")+IFERROR(IF(Z305="",0,Z305),"0")+IFERROR(IF(Z306="",0,Z306),"0")+IFERROR(IF(Z307="",0,Z307),"0")+IFERROR(IF(Z308="",0,Z308),"0")+IFERROR(IF(Z309="",0,Z309),"0")+IFERROR(IF(Z310="",0,Z310),"0")+IFERROR(IF(Z311="",0,Z311),"0")+IFERROR(IF(Z312="",0,Z312),"0")+IFERROR(IF(Z313="",0,Z313),"0")+IFERROR(IF(Z314="",0,Z314),"0")+IFERROR(IF(Z315="",0,Z315),"0")+IFERROR(IF(Z316="",0,Z316),"0")</f>
        <v>0.31703999999999999</v>
      </c>
      <c r="AA317" s="333"/>
      <c r="AB317" s="333"/>
      <c r="AC317" s="333"/>
    </row>
    <row r="318" spans="1:68" x14ac:dyDescent="0.2">
      <c r="A318" s="339"/>
      <c r="B318" s="339"/>
      <c r="C318" s="339"/>
      <c r="D318" s="339"/>
      <c r="E318" s="339"/>
      <c r="F318" s="339"/>
      <c r="G318" s="339"/>
      <c r="H318" s="339"/>
      <c r="I318" s="339"/>
      <c r="J318" s="339"/>
      <c r="K318" s="339"/>
      <c r="L318" s="339"/>
      <c r="M318" s="339"/>
      <c r="N318" s="339"/>
      <c r="O318" s="351"/>
      <c r="P318" s="344" t="s">
        <v>71</v>
      </c>
      <c r="Q318" s="345"/>
      <c r="R318" s="345"/>
      <c r="S318" s="345"/>
      <c r="T318" s="345"/>
      <c r="U318" s="345"/>
      <c r="V318" s="346"/>
      <c r="W318" s="37" t="s">
        <v>72</v>
      </c>
      <c r="X318" s="332">
        <f>IFERROR(SUMPRODUCT(X296:X316*H296:H316),"0")</f>
        <v>117.80000000000001</v>
      </c>
      <c r="Y318" s="332">
        <f>IFERROR(SUMPRODUCT(Y296:Y316*H296:H316),"0")</f>
        <v>117.80000000000001</v>
      </c>
      <c r="Z318" s="37"/>
      <c r="AA318" s="333"/>
      <c r="AB318" s="333"/>
      <c r="AC318" s="333"/>
    </row>
    <row r="319" spans="1:68" ht="16.5" customHeight="1" x14ac:dyDescent="0.25">
      <c r="A319" s="364" t="s">
        <v>493</v>
      </c>
      <c r="B319" s="339"/>
      <c r="C319" s="339"/>
      <c r="D319" s="339"/>
      <c r="E319" s="339"/>
      <c r="F319" s="339"/>
      <c r="G319" s="339"/>
      <c r="H319" s="339"/>
      <c r="I319" s="339"/>
      <c r="J319" s="339"/>
      <c r="K319" s="339"/>
      <c r="L319" s="339"/>
      <c r="M319" s="339"/>
      <c r="N319" s="339"/>
      <c r="O319" s="339"/>
      <c r="P319" s="339"/>
      <c r="Q319" s="339"/>
      <c r="R319" s="339"/>
      <c r="S319" s="339"/>
      <c r="T319" s="339"/>
      <c r="U319" s="339"/>
      <c r="V319" s="339"/>
      <c r="W319" s="339"/>
      <c r="X319" s="339"/>
      <c r="Y319" s="339"/>
      <c r="Z319" s="339"/>
      <c r="AA319" s="325"/>
      <c r="AB319" s="325"/>
      <c r="AC319" s="325"/>
    </row>
    <row r="320" spans="1:68" ht="14.25" customHeight="1" x14ac:dyDescent="0.25">
      <c r="A320" s="338" t="s">
        <v>138</v>
      </c>
      <c r="B320" s="339"/>
      <c r="C320" s="339"/>
      <c r="D320" s="339"/>
      <c r="E320" s="339"/>
      <c r="F320" s="339"/>
      <c r="G320" s="339"/>
      <c r="H320" s="339"/>
      <c r="I320" s="339"/>
      <c r="J320" s="339"/>
      <c r="K320" s="339"/>
      <c r="L320" s="339"/>
      <c r="M320" s="339"/>
      <c r="N320" s="339"/>
      <c r="O320" s="339"/>
      <c r="P320" s="339"/>
      <c r="Q320" s="339"/>
      <c r="R320" s="339"/>
      <c r="S320" s="339"/>
      <c r="T320" s="339"/>
      <c r="U320" s="339"/>
      <c r="V320" s="339"/>
      <c r="W320" s="339"/>
      <c r="X320" s="339"/>
      <c r="Y320" s="339"/>
      <c r="Z320" s="339"/>
      <c r="AA320" s="326"/>
      <c r="AB320" s="326"/>
      <c r="AC320" s="326"/>
    </row>
    <row r="321" spans="1:68" ht="27" customHeight="1" x14ac:dyDescent="0.25">
      <c r="A321" s="54" t="s">
        <v>494</v>
      </c>
      <c r="B321" s="54" t="s">
        <v>495</v>
      </c>
      <c r="C321" s="31">
        <v>4301135268</v>
      </c>
      <c r="D321" s="340">
        <v>4640242181134</v>
      </c>
      <c r="E321" s="341"/>
      <c r="F321" s="329">
        <v>0.8</v>
      </c>
      <c r="G321" s="32">
        <v>5</v>
      </c>
      <c r="H321" s="329">
        <v>4</v>
      </c>
      <c r="I321" s="329">
        <v>4.2830000000000004</v>
      </c>
      <c r="J321" s="32">
        <v>84</v>
      </c>
      <c r="K321" s="32" t="s">
        <v>65</v>
      </c>
      <c r="L321" s="32" t="s">
        <v>66</v>
      </c>
      <c r="M321" s="33" t="s">
        <v>67</v>
      </c>
      <c r="N321" s="33"/>
      <c r="O321" s="32">
        <v>180</v>
      </c>
      <c r="P321" s="507" t="s">
        <v>496</v>
      </c>
      <c r="Q321" s="335"/>
      <c r="R321" s="335"/>
      <c r="S321" s="335"/>
      <c r="T321" s="336"/>
      <c r="U321" s="34"/>
      <c r="V321" s="34"/>
      <c r="W321" s="35" t="s">
        <v>68</v>
      </c>
      <c r="X321" s="330">
        <v>0</v>
      </c>
      <c r="Y321" s="331">
        <f>IFERROR(IF(X321="","",X321),"")</f>
        <v>0</v>
      </c>
      <c r="Z321" s="36">
        <f>IFERROR(IF(X321="","",X321*0.0155),"")</f>
        <v>0</v>
      </c>
      <c r="AA321" s="56"/>
      <c r="AB321" s="57"/>
      <c r="AC321" s="320" t="s">
        <v>497</v>
      </c>
      <c r="AG321" s="67"/>
      <c r="AJ321" s="71" t="s">
        <v>70</v>
      </c>
      <c r="AK321" s="71">
        <v>1</v>
      </c>
      <c r="BB321" s="321" t="s">
        <v>81</v>
      </c>
      <c r="BM321" s="67">
        <f>IFERROR(X321*I321,"0")</f>
        <v>0</v>
      </c>
      <c r="BN321" s="67">
        <f>IFERROR(Y321*I321,"0")</f>
        <v>0</v>
      </c>
      <c r="BO321" s="67">
        <f>IFERROR(X321/J321,"0")</f>
        <v>0</v>
      </c>
      <c r="BP321" s="67">
        <f>IFERROR(Y321/J321,"0")</f>
        <v>0</v>
      </c>
    </row>
    <row r="322" spans="1:68" x14ac:dyDescent="0.2">
      <c r="A322" s="350"/>
      <c r="B322" s="339"/>
      <c r="C322" s="339"/>
      <c r="D322" s="339"/>
      <c r="E322" s="339"/>
      <c r="F322" s="339"/>
      <c r="G322" s="339"/>
      <c r="H322" s="339"/>
      <c r="I322" s="339"/>
      <c r="J322" s="339"/>
      <c r="K322" s="339"/>
      <c r="L322" s="339"/>
      <c r="M322" s="339"/>
      <c r="N322" s="339"/>
      <c r="O322" s="351"/>
      <c r="P322" s="344" t="s">
        <v>71</v>
      </c>
      <c r="Q322" s="345"/>
      <c r="R322" s="345"/>
      <c r="S322" s="345"/>
      <c r="T322" s="345"/>
      <c r="U322" s="345"/>
      <c r="V322" s="346"/>
      <c r="W322" s="37" t="s">
        <v>68</v>
      </c>
      <c r="X322" s="332">
        <f>IFERROR(SUM(X321:X321),"0")</f>
        <v>0</v>
      </c>
      <c r="Y322" s="332">
        <f>IFERROR(SUM(Y321:Y321),"0")</f>
        <v>0</v>
      </c>
      <c r="Z322" s="332">
        <f>IFERROR(IF(Z321="",0,Z321),"0")</f>
        <v>0</v>
      </c>
      <c r="AA322" s="333"/>
      <c r="AB322" s="333"/>
      <c r="AC322" s="333"/>
    </row>
    <row r="323" spans="1:68" x14ac:dyDescent="0.2">
      <c r="A323" s="339"/>
      <c r="B323" s="339"/>
      <c r="C323" s="339"/>
      <c r="D323" s="339"/>
      <c r="E323" s="339"/>
      <c r="F323" s="339"/>
      <c r="G323" s="339"/>
      <c r="H323" s="339"/>
      <c r="I323" s="339"/>
      <c r="J323" s="339"/>
      <c r="K323" s="339"/>
      <c r="L323" s="339"/>
      <c r="M323" s="339"/>
      <c r="N323" s="339"/>
      <c r="O323" s="351"/>
      <c r="P323" s="344" t="s">
        <v>71</v>
      </c>
      <c r="Q323" s="345"/>
      <c r="R323" s="345"/>
      <c r="S323" s="345"/>
      <c r="T323" s="345"/>
      <c r="U323" s="345"/>
      <c r="V323" s="346"/>
      <c r="W323" s="37" t="s">
        <v>72</v>
      </c>
      <c r="X323" s="332">
        <f>IFERROR(SUMPRODUCT(X321:X321*H321:H321),"0")</f>
        <v>0</v>
      </c>
      <c r="Y323" s="332">
        <f>IFERROR(SUMPRODUCT(Y321:Y321*H321:H321),"0")</f>
        <v>0</v>
      </c>
      <c r="Z323" s="37"/>
      <c r="AA323" s="333"/>
      <c r="AB323" s="333"/>
      <c r="AC323" s="333"/>
    </row>
    <row r="324" spans="1:68" ht="15" customHeight="1" x14ac:dyDescent="0.2">
      <c r="A324" s="513"/>
      <c r="B324" s="339"/>
      <c r="C324" s="339"/>
      <c r="D324" s="339"/>
      <c r="E324" s="339"/>
      <c r="F324" s="339"/>
      <c r="G324" s="339"/>
      <c r="H324" s="339"/>
      <c r="I324" s="339"/>
      <c r="J324" s="339"/>
      <c r="K324" s="339"/>
      <c r="L324" s="339"/>
      <c r="M324" s="339"/>
      <c r="N324" s="339"/>
      <c r="O324" s="448"/>
      <c r="P324" s="347" t="s">
        <v>498</v>
      </c>
      <c r="Q324" s="348"/>
      <c r="R324" s="348"/>
      <c r="S324" s="348"/>
      <c r="T324" s="348"/>
      <c r="U324" s="348"/>
      <c r="V324" s="349"/>
      <c r="W324" s="37" t="s">
        <v>72</v>
      </c>
      <c r="X324" s="332">
        <f>IFERROR(X24+X32+X39+X51+X56+X60+X64+X68+X74+X80+X85+X91+X101+X108+X118+X122+X128+X134+X140+X145+X150+X156+X161+X167+X175+X180+X188+X192+X201+X208+X218+X226+X231+X237+X242+X248+X254+X261+X267+X271+X279+X283+X288+X294+X318+X323,"0")</f>
        <v>2765.9599999999996</v>
      </c>
      <c r="Y324" s="332">
        <f>IFERROR(Y24+Y32+Y39+Y51+Y56+Y60+Y64+Y68+Y74+Y80+Y85+Y91+Y101+Y108+Y118+Y122+Y128+Y134+Y140+Y145+Y150+Y156+Y161+Y167+Y175+Y180+Y188+Y192+Y201+Y208+Y218+Y226+Y231+Y237+Y242+Y248+Y254+Y261+Y267+Y271+Y279+Y283+Y288+Y294+Y318+Y323,"0")</f>
        <v>2765.9599999999996</v>
      </c>
      <c r="Z324" s="37"/>
      <c r="AA324" s="333"/>
      <c r="AB324" s="333"/>
      <c r="AC324" s="333"/>
    </row>
    <row r="325" spans="1:68" x14ac:dyDescent="0.2">
      <c r="A325" s="339"/>
      <c r="B325" s="339"/>
      <c r="C325" s="339"/>
      <c r="D325" s="339"/>
      <c r="E325" s="339"/>
      <c r="F325" s="339"/>
      <c r="G325" s="339"/>
      <c r="H325" s="339"/>
      <c r="I325" s="339"/>
      <c r="J325" s="339"/>
      <c r="K325" s="339"/>
      <c r="L325" s="339"/>
      <c r="M325" s="339"/>
      <c r="N325" s="339"/>
      <c r="O325" s="448"/>
      <c r="P325" s="347" t="s">
        <v>499</v>
      </c>
      <c r="Q325" s="348"/>
      <c r="R325" s="348"/>
      <c r="S325" s="348"/>
      <c r="T325" s="348"/>
      <c r="U325" s="348"/>
      <c r="V325" s="349"/>
      <c r="W325" s="37" t="s">
        <v>72</v>
      </c>
      <c r="X325" s="332">
        <f>IFERROR(SUM(BM22:BM321),"0")</f>
        <v>3090.6779999999999</v>
      </c>
      <c r="Y325" s="332">
        <f>IFERROR(SUM(BN22:BN321),"0")</f>
        <v>3090.6779999999999</v>
      </c>
      <c r="Z325" s="37"/>
      <c r="AA325" s="333"/>
      <c r="AB325" s="333"/>
      <c r="AC325" s="333"/>
    </row>
    <row r="326" spans="1:68" x14ac:dyDescent="0.2">
      <c r="A326" s="339"/>
      <c r="B326" s="339"/>
      <c r="C326" s="339"/>
      <c r="D326" s="339"/>
      <c r="E326" s="339"/>
      <c r="F326" s="339"/>
      <c r="G326" s="339"/>
      <c r="H326" s="339"/>
      <c r="I326" s="339"/>
      <c r="J326" s="339"/>
      <c r="K326" s="339"/>
      <c r="L326" s="339"/>
      <c r="M326" s="339"/>
      <c r="N326" s="339"/>
      <c r="O326" s="448"/>
      <c r="P326" s="347" t="s">
        <v>500</v>
      </c>
      <c r="Q326" s="348"/>
      <c r="R326" s="348"/>
      <c r="S326" s="348"/>
      <c r="T326" s="348"/>
      <c r="U326" s="348"/>
      <c r="V326" s="349"/>
      <c r="W326" s="37" t="s">
        <v>501</v>
      </c>
      <c r="X326" s="38">
        <f>ROUNDUP(SUM(BO22:BO321),0)</f>
        <v>9</v>
      </c>
      <c r="Y326" s="38">
        <f>ROUNDUP(SUM(BP22:BP321),0)</f>
        <v>9</v>
      </c>
      <c r="Z326" s="37"/>
      <c r="AA326" s="333"/>
      <c r="AB326" s="333"/>
      <c r="AC326" s="333"/>
    </row>
    <row r="327" spans="1:68" x14ac:dyDescent="0.2">
      <c r="A327" s="339"/>
      <c r="B327" s="339"/>
      <c r="C327" s="339"/>
      <c r="D327" s="339"/>
      <c r="E327" s="339"/>
      <c r="F327" s="339"/>
      <c r="G327" s="339"/>
      <c r="H327" s="339"/>
      <c r="I327" s="339"/>
      <c r="J327" s="339"/>
      <c r="K327" s="339"/>
      <c r="L327" s="339"/>
      <c r="M327" s="339"/>
      <c r="N327" s="339"/>
      <c r="O327" s="448"/>
      <c r="P327" s="347" t="s">
        <v>502</v>
      </c>
      <c r="Q327" s="348"/>
      <c r="R327" s="348"/>
      <c r="S327" s="348"/>
      <c r="T327" s="348"/>
      <c r="U327" s="348"/>
      <c r="V327" s="349"/>
      <c r="W327" s="37" t="s">
        <v>72</v>
      </c>
      <c r="X327" s="332">
        <f>GrossWeightTotal+PalletQtyTotal*25</f>
        <v>3315.6779999999999</v>
      </c>
      <c r="Y327" s="332">
        <f>GrossWeightTotalR+PalletQtyTotalR*25</f>
        <v>3315.6779999999999</v>
      </c>
      <c r="Z327" s="37"/>
      <c r="AA327" s="333"/>
      <c r="AB327" s="333"/>
      <c r="AC327" s="333"/>
    </row>
    <row r="328" spans="1:68" x14ac:dyDescent="0.2">
      <c r="A328" s="339"/>
      <c r="B328" s="339"/>
      <c r="C328" s="339"/>
      <c r="D328" s="339"/>
      <c r="E328" s="339"/>
      <c r="F328" s="339"/>
      <c r="G328" s="339"/>
      <c r="H328" s="339"/>
      <c r="I328" s="339"/>
      <c r="J328" s="339"/>
      <c r="K328" s="339"/>
      <c r="L328" s="339"/>
      <c r="M328" s="339"/>
      <c r="N328" s="339"/>
      <c r="O328" s="448"/>
      <c r="P328" s="347" t="s">
        <v>503</v>
      </c>
      <c r="Q328" s="348"/>
      <c r="R328" s="348"/>
      <c r="S328" s="348"/>
      <c r="T328" s="348"/>
      <c r="U328" s="348"/>
      <c r="V328" s="349"/>
      <c r="W328" s="37" t="s">
        <v>501</v>
      </c>
      <c r="X328" s="332">
        <f>IFERROR(X23+X31+X38+X50+X55+X59+X63+X67+X73+X79+X84+X90+X100+X107+X117+X121+X127+X133+X139+X144+X149+X155+X160+X166+X174+X179+X187+X191+X200+X207+X217+X225+X230+X236+X241+X247+X253+X260+X266+X270+X278+X282+X287+X293+X317+X322,"0")</f>
        <v>716</v>
      </c>
      <c r="Y328" s="332">
        <f>IFERROR(Y23+Y31+Y38+Y50+Y55+Y59+Y63+Y67+Y73+Y79+Y84+Y90+Y100+Y107+Y117+Y121+Y127+Y133+Y139+Y144+Y149+Y155+Y160+Y166+Y174+Y179+Y187+Y191+Y200+Y207+Y217+Y225+Y230+Y236+Y241+Y247+Y253+Y260+Y266+Y270+Y278+Y282+Y287+Y293+Y317+Y322,"0")</f>
        <v>716</v>
      </c>
      <c r="Z328" s="37"/>
      <c r="AA328" s="333"/>
      <c r="AB328" s="333"/>
      <c r="AC328" s="333"/>
    </row>
    <row r="329" spans="1:68" ht="14.25" customHeight="1" x14ac:dyDescent="0.2">
      <c r="A329" s="339"/>
      <c r="B329" s="339"/>
      <c r="C329" s="339"/>
      <c r="D329" s="339"/>
      <c r="E329" s="339"/>
      <c r="F329" s="339"/>
      <c r="G329" s="339"/>
      <c r="H329" s="339"/>
      <c r="I329" s="339"/>
      <c r="J329" s="339"/>
      <c r="K329" s="339"/>
      <c r="L329" s="339"/>
      <c r="M329" s="339"/>
      <c r="N329" s="339"/>
      <c r="O329" s="448"/>
      <c r="P329" s="347" t="s">
        <v>504</v>
      </c>
      <c r="Q329" s="348"/>
      <c r="R329" s="348"/>
      <c r="S329" s="348"/>
      <c r="T329" s="348"/>
      <c r="U329" s="348"/>
      <c r="V329" s="349"/>
      <c r="W329" s="39" t="s">
        <v>505</v>
      </c>
      <c r="X329" s="37"/>
      <c r="Y329" s="37"/>
      <c r="Z329" s="37">
        <f>IFERROR(Z23+Z31+Z38+Z50+Z55+Z59+Z63+Z67+Z73+Z79+Z84+Z90+Z100+Z107+Z117+Z121+Z127+Z133+Z139+Z144+Z149+Z155+Z160+Z166+Z174+Z179+Z187+Z191+Z200+Z207+Z217+Z225+Z230+Z236+Z241+Z247+Z253+Z260+Z266+Z270+Z278+Z282+Z287+Z293+Z317+Z322,"0")</f>
        <v>11.250220000000001</v>
      </c>
      <c r="AA329" s="333"/>
      <c r="AB329" s="333"/>
      <c r="AC329" s="333"/>
    </row>
    <row r="330" spans="1:68" ht="13.5" customHeight="1" thickBot="1" x14ac:dyDescent="0.25"/>
    <row r="331" spans="1:68" ht="27" customHeight="1" thickTop="1" thickBot="1" x14ac:dyDescent="0.25">
      <c r="A331" s="40" t="s">
        <v>506</v>
      </c>
      <c r="B331" s="327" t="s">
        <v>61</v>
      </c>
      <c r="C331" s="358" t="s">
        <v>73</v>
      </c>
      <c r="D331" s="492"/>
      <c r="E331" s="492"/>
      <c r="F331" s="492"/>
      <c r="G331" s="492"/>
      <c r="H331" s="492"/>
      <c r="I331" s="492"/>
      <c r="J331" s="492"/>
      <c r="K331" s="492"/>
      <c r="L331" s="492"/>
      <c r="M331" s="492"/>
      <c r="N331" s="492"/>
      <c r="O331" s="492"/>
      <c r="P331" s="492"/>
      <c r="Q331" s="492"/>
      <c r="R331" s="492"/>
      <c r="S331" s="492"/>
      <c r="T331" s="424"/>
      <c r="U331" s="358" t="s">
        <v>257</v>
      </c>
      <c r="V331" s="424"/>
      <c r="W331" s="327" t="s">
        <v>283</v>
      </c>
      <c r="X331" s="358" t="s">
        <v>302</v>
      </c>
      <c r="Y331" s="492"/>
      <c r="Z331" s="492"/>
      <c r="AA331" s="492"/>
      <c r="AB331" s="492"/>
      <c r="AC331" s="492"/>
      <c r="AD331" s="424"/>
      <c r="AE331" s="327" t="s">
        <v>376</v>
      </c>
      <c r="AF331" s="327" t="s">
        <v>381</v>
      </c>
      <c r="AG331" s="327" t="s">
        <v>388</v>
      </c>
      <c r="AH331" s="358" t="s">
        <v>258</v>
      </c>
      <c r="AI331" s="424"/>
    </row>
    <row r="332" spans="1:68" ht="14.25" customHeight="1" thickTop="1" x14ac:dyDescent="0.2">
      <c r="A332" s="400" t="s">
        <v>507</v>
      </c>
      <c r="B332" s="358" t="s">
        <v>61</v>
      </c>
      <c r="C332" s="358" t="s">
        <v>74</v>
      </c>
      <c r="D332" s="358" t="s">
        <v>88</v>
      </c>
      <c r="E332" s="358" t="s">
        <v>101</v>
      </c>
      <c r="F332" s="358" t="s">
        <v>120</v>
      </c>
      <c r="G332" s="358" t="s">
        <v>149</v>
      </c>
      <c r="H332" s="358" t="s">
        <v>156</v>
      </c>
      <c r="I332" s="358" t="s">
        <v>161</v>
      </c>
      <c r="J332" s="358" t="s">
        <v>171</v>
      </c>
      <c r="K332" s="358" t="s">
        <v>189</v>
      </c>
      <c r="L332" s="358" t="s">
        <v>199</v>
      </c>
      <c r="M332" s="358" t="s">
        <v>218</v>
      </c>
      <c r="N332" s="328"/>
      <c r="O332" s="358" t="s">
        <v>224</v>
      </c>
      <c r="P332" s="358" t="s">
        <v>231</v>
      </c>
      <c r="Q332" s="358" t="s">
        <v>237</v>
      </c>
      <c r="R332" s="358" t="s">
        <v>242</v>
      </c>
      <c r="S332" s="358" t="s">
        <v>245</v>
      </c>
      <c r="T332" s="358" t="s">
        <v>253</v>
      </c>
      <c r="U332" s="358" t="s">
        <v>258</v>
      </c>
      <c r="V332" s="358" t="s">
        <v>262</v>
      </c>
      <c r="W332" s="358" t="s">
        <v>284</v>
      </c>
      <c r="X332" s="358" t="s">
        <v>303</v>
      </c>
      <c r="Y332" s="358" t="s">
        <v>315</v>
      </c>
      <c r="Z332" s="358" t="s">
        <v>325</v>
      </c>
      <c r="AA332" s="358" t="s">
        <v>340</v>
      </c>
      <c r="AB332" s="358" t="s">
        <v>351</v>
      </c>
      <c r="AC332" s="358" t="s">
        <v>366</v>
      </c>
      <c r="AD332" s="358" t="s">
        <v>370</v>
      </c>
      <c r="AE332" s="358" t="s">
        <v>377</v>
      </c>
      <c r="AF332" s="358" t="s">
        <v>382</v>
      </c>
      <c r="AG332" s="358" t="s">
        <v>389</v>
      </c>
      <c r="AH332" s="358" t="s">
        <v>258</v>
      </c>
      <c r="AI332" s="358" t="s">
        <v>493</v>
      </c>
    </row>
    <row r="333" spans="1:68" ht="13.5" customHeight="1" thickBot="1" x14ac:dyDescent="0.25">
      <c r="A333" s="401"/>
      <c r="B333" s="359"/>
      <c r="C333" s="359"/>
      <c r="D333" s="359"/>
      <c r="E333" s="359"/>
      <c r="F333" s="359"/>
      <c r="G333" s="359"/>
      <c r="H333" s="359"/>
      <c r="I333" s="359"/>
      <c r="J333" s="359"/>
      <c r="K333" s="359"/>
      <c r="L333" s="359"/>
      <c r="M333" s="359"/>
      <c r="N333" s="328"/>
      <c r="O333" s="359"/>
      <c r="P333" s="359"/>
      <c r="Q333" s="359"/>
      <c r="R333" s="359"/>
      <c r="S333" s="359"/>
      <c r="T333" s="359"/>
      <c r="U333" s="359"/>
      <c r="V333" s="359"/>
      <c r="W333" s="359"/>
      <c r="X333" s="359"/>
      <c r="Y333" s="359"/>
      <c r="Z333" s="359"/>
      <c r="AA333" s="359"/>
      <c r="AB333" s="359"/>
      <c r="AC333" s="359"/>
      <c r="AD333" s="359"/>
      <c r="AE333" s="359"/>
      <c r="AF333" s="359"/>
      <c r="AG333" s="359"/>
      <c r="AH333" s="359"/>
      <c r="AI333" s="359"/>
    </row>
    <row r="334" spans="1:68" ht="18" customHeight="1" thickTop="1" thickBot="1" x14ac:dyDescent="0.25">
      <c r="A334" s="40" t="s">
        <v>508</v>
      </c>
      <c r="B334" s="46">
        <f>IFERROR(X22*H22,"0")</f>
        <v>0</v>
      </c>
      <c r="C334" s="46">
        <f>IFERROR(X28*H28,"0")+IFERROR(X29*H29,"0")+IFERROR(X30*H30,"0")</f>
        <v>21</v>
      </c>
      <c r="D334" s="46">
        <f>IFERROR(X35*H35,"0")+IFERROR(X36*H36,"0")+IFERROR(X37*H37,"0")</f>
        <v>201.59999999999997</v>
      </c>
      <c r="E334" s="46">
        <f>IFERROR(X42*H42,"0")+IFERROR(X43*H43,"0")+IFERROR(X44*H44,"0")+IFERROR(X45*H45,"0")+IFERROR(X46*H46,"0")+IFERROR(X47*H47,"0")+IFERROR(X48*H48,"0")+IFERROR(X49*H49,"0")</f>
        <v>328.8</v>
      </c>
      <c r="F334" s="46">
        <f>IFERROR(X54*H54,"0")+IFERROR(X58*H58,"0")+IFERROR(X62*H62,"0")+IFERROR(X66*H66,"0")+IFERROR(X70*H70,"0")+IFERROR(X71*H71,"0")+IFERROR(X72*H72,"0")</f>
        <v>0</v>
      </c>
      <c r="G334" s="46">
        <f>IFERROR(X77*H77,"0")+IFERROR(X78*H78,"0")</f>
        <v>0</v>
      </c>
      <c r="H334" s="46">
        <f>IFERROR(X83*H83,"0")</f>
        <v>0</v>
      </c>
      <c r="I334" s="46">
        <f>IFERROR(X88*H88,"0")+IFERROR(X89*H89,"0")</f>
        <v>252</v>
      </c>
      <c r="J334" s="46">
        <f>IFERROR(X94*H94,"0")+IFERROR(X95*H95,"0")+IFERROR(X96*H96,"0")+IFERROR(X97*H97,"0")+IFERROR(X98*H98,"0")+IFERROR(X99*H99,"0")</f>
        <v>403.20000000000005</v>
      </c>
      <c r="K334" s="46">
        <f>IFERROR(X104*H104,"0")+IFERROR(X105*H105,"0")+IFERROR(X106*H106,"0")</f>
        <v>87.36</v>
      </c>
      <c r="L334" s="46">
        <f>IFERROR(X111*H111,"0")+IFERROR(X112*H112,"0")+IFERROR(X113*H113,"0")+IFERROR(X114*H114,"0")+IFERROR(X115*H115,"0")+IFERROR(X116*H116,"0")+IFERROR(X120*H120,"0")</f>
        <v>160.80000000000001</v>
      </c>
      <c r="M334" s="46">
        <f>IFERROR(X125*H125,"0")+IFERROR(X126*H126,"0")</f>
        <v>84</v>
      </c>
      <c r="N334" s="328"/>
      <c r="O334" s="46">
        <f>IFERROR(X131*H131,"0")+IFERROR(X132*H132,"0")</f>
        <v>42</v>
      </c>
      <c r="P334" s="46">
        <f>IFERROR(X137*H137,"0")+IFERROR(X138*H138,"0")</f>
        <v>168</v>
      </c>
      <c r="Q334" s="46">
        <f>IFERROR(X143*H143,"0")</f>
        <v>0</v>
      </c>
      <c r="R334" s="46">
        <f>IFERROR(X148*H148,"0")</f>
        <v>37.800000000000004</v>
      </c>
      <c r="S334" s="46">
        <f>IFERROR(X153*H153,"0")+IFERROR(X154*H154,"0")</f>
        <v>0</v>
      </c>
      <c r="T334" s="46">
        <f>IFERROR(X159*H159,"0")</f>
        <v>0</v>
      </c>
      <c r="U334" s="46">
        <f>IFERROR(X165*H165,"0")</f>
        <v>0</v>
      </c>
      <c r="V334" s="46">
        <f>IFERROR(X170*H170,"0")+IFERROR(X171*H171,"0")+IFERROR(X172*H172,"0")+IFERROR(X173*H173,"0")+IFERROR(X177*H177,"0")+IFERROR(X178*H178,"0")</f>
        <v>180</v>
      </c>
      <c r="W334" s="46">
        <f>IFERROR(X184*H184,"0")+IFERROR(X185*H185,"0")+IFERROR(X186*H186,"0")+IFERROR(X190*H190,"0")</f>
        <v>336</v>
      </c>
      <c r="X334" s="46">
        <f>IFERROR(X196*H196,"0")+IFERROR(X197*H197,"0")+IFERROR(X198*H198,"0")+IFERROR(X199*H199,"0")</f>
        <v>67.2</v>
      </c>
      <c r="Y334" s="46">
        <f>IFERROR(X204*H204,"0")+IFERROR(X205*H205,"0")+IFERROR(X206*H206,"0")</f>
        <v>67.199999999999989</v>
      </c>
      <c r="Z334" s="46">
        <f>IFERROR(X211*H211,"0")+IFERROR(X212*H212,"0")+IFERROR(X213*H213,"0")+IFERROR(X214*H214,"0")+IFERROR(X215*H215,"0")+IFERROR(X216*H216,"0")</f>
        <v>0</v>
      </c>
      <c r="AA334" s="46">
        <f>IFERROR(X221*H221,"0")+IFERROR(X222*H222,"0")+IFERROR(X223*H223,"0")+IFERROR(X224*H224,"0")</f>
        <v>86.4</v>
      </c>
      <c r="AB334" s="46">
        <f>IFERROR(X229*H229,"0")+IFERROR(X233*H233,"0")+IFERROR(X234*H234,"0")+IFERROR(X235*H235,"0")</f>
        <v>0</v>
      </c>
      <c r="AC334" s="46">
        <f>IFERROR(X240*H240,"0")</f>
        <v>0</v>
      </c>
      <c r="AD334" s="46">
        <f>IFERROR(X245*H245,"0")+IFERROR(X246*H246,"0")</f>
        <v>0</v>
      </c>
      <c r="AE334" s="46">
        <f>IFERROR(X252*H252,"0")</f>
        <v>0</v>
      </c>
      <c r="AF334" s="46">
        <f>IFERROR(X258*H258,"0")+IFERROR(X259*H259,"0")</f>
        <v>0</v>
      </c>
      <c r="AG334" s="46">
        <f>IFERROR(X265*H265,"0")+IFERROR(X269*H269,"0")</f>
        <v>0</v>
      </c>
      <c r="AH334" s="46">
        <f>IFERROR(X275*H275,"0")+IFERROR(X276*H276,"0")+IFERROR(X277*H277,"0")+IFERROR(X281*H281,"0")+IFERROR(X285*H285,"0")+IFERROR(X286*H286,"0")+IFERROR(X290*H290,"0")+IFERROR(X291*H291,"0")+IFERROR(X292*H292,"0")+IFERROR(X296*H296,"0")+IFERROR(X297*H297,"0")+IFERROR(X298*H298,"0")+IFERROR(X299*H299,"0")+IFERROR(X300*H300,"0")+IFERROR(X301*H301,"0")+IFERROR(X302*H302,"0")+IFERROR(X303*H303,"0")+IFERROR(X304*H304,"0")+IFERROR(X305*H305,"0")+IFERROR(X306*H306,"0")+IFERROR(X307*H307,"0")+IFERROR(X308*H308,"0")+IFERROR(X309*H309,"0")+IFERROR(X310*H310,"0")+IFERROR(X311*H311,"0")+IFERROR(X312*H312,"0")+IFERROR(X313*H313,"0")+IFERROR(X314*H314,"0")+IFERROR(X315*H315,"0")+IFERROR(X316*H316,"0")</f>
        <v>242.60000000000002</v>
      </c>
      <c r="AI334" s="46">
        <f>IFERROR(X321*H321,"0")</f>
        <v>0</v>
      </c>
    </row>
    <row r="335" spans="1:68" ht="13.5" customHeight="1" thickTop="1" x14ac:dyDescent="0.2">
      <c r="C335" s="328"/>
    </row>
    <row r="336" spans="1:68" ht="19.5" customHeight="1" x14ac:dyDescent="0.2">
      <c r="A336" s="58" t="s">
        <v>509</v>
      </c>
      <c r="B336" s="58" t="s">
        <v>510</v>
      </c>
      <c r="C336" s="58" t="s">
        <v>511</v>
      </c>
    </row>
    <row r="337" spans="1:3" x14ac:dyDescent="0.2">
      <c r="A337" s="59">
        <f>SUMPRODUCT(--(BB:BB="ЗПФ"),--(W:W="кор"),H:H,Y:Y)+SUMPRODUCT(--(BB:BB="ЗПФ"),--(W:W="кг"),Y:Y)</f>
        <v>1024.8000000000002</v>
      </c>
      <c r="B337" s="60">
        <f>SUMPRODUCT(--(BB:BB="ПГП"),--(W:W="кор"),H:H,Y:Y)+SUMPRODUCT(--(BB:BB="ПГП"),--(W:W="кг"),Y:Y)</f>
        <v>1741.1599999999996</v>
      </c>
      <c r="C337" s="60">
        <f>SUMPRODUCT(--(BB:BB="КИЗ"),--(W:W="кор"),H:H,Y:Y)+SUMPRODUCT(--(BB:BB="КИЗ"),--(W:W="кг"),Y:Y)</f>
        <v>0</v>
      </c>
    </row>
  </sheetData>
  <sheetProtection algorithmName="SHA-512" hashValue="5d1szFkvX3l6NBX4SRtjIxoxbpbjzwgkD64us6G4FUSVYK39xiuNeVM4MYZ8L8JjHM1J5Ad0jNgvzbxYPInPEQ==" saltValue="o4+mX6izy9yimQkFWKS8B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587">
    <mergeCell ref="A10:C10"/>
    <mergeCell ref="P126:T126"/>
    <mergeCell ref="P140:V140"/>
    <mergeCell ref="A136:Z136"/>
    <mergeCell ref="A21:Z21"/>
    <mergeCell ref="D184:E184"/>
    <mergeCell ref="A57:Z57"/>
    <mergeCell ref="AH331:AI331"/>
    <mergeCell ref="A129:Z129"/>
    <mergeCell ref="A194:Z194"/>
    <mergeCell ref="D42:E42"/>
    <mergeCell ref="A181:Z181"/>
    <mergeCell ref="D173:E173"/>
    <mergeCell ref="D17:E18"/>
    <mergeCell ref="P71:T71"/>
    <mergeCell ref="P313:T313"/>
    <mergeCell ref="X17:X18"/>
    <mergeCell ref="P307:T307"/>
    <mergeCell ref="P58:T58"/>
    <mergeCell ref="A52:Z52"/>
    <mergeCell ref="D44:E44"/>
    <mergeCell ref="D286:E286"/>
    <mergeCell ref="P332:P333"/>
    <mergeCell ref="D291:E291"/>
    <mergeCell ref="A103:Z103"/>
    <mergeCell ref="D95:E95"/>
    <mergeCell ref="P74:V74"/>
    <mergeCell ref="A73:O74"/>
    <mergeCell ref="Y17:Y18"/>
    <mergeCell ref="A266:O267"/>
    <mergeCell ref="U17:V17"/>
    <mergeCell ref="A260:O261"/>
    <mergeCell ref="D97:E97"/>
    <mergeCell ref="A255:Z255"/>
    <mergeCell ref="V332:V333"/>
    <mergeCell ref="Q5:R5"/>
    <mergeCell ref="P297:T297"/>
    <mergeCell ref="P291:T291"/>
    <mergeCell ref="D234:E234"/>
    <mergeCell ref="P70:T70"/>
    <mergeCell ref="D171:E171"/>
    <mergeCell ref="A149:O150"/>
    <mergeCell ref="Q6:R6"/>
    <mergeCell ref="P292:T292"/>
    <mergeCell ref="P208:V208"/>
    <mergeCell ref="A33:Z33"/>
    <mergeCell ref="D196:E196"/>
    <mergeCell ref="A55:O56"/>
    <mergeCell ref="P145:V145"/>
    <mergeCell ref="P23:V23"/>
    <mergeCell ref="A262:Z262"/>
    <mergeCell ref="D54:E54"/>
    <mergeCell ref="P160:V160"/>
    <mergeCell ref="P283:V283"/>
    <mergeCell ref="P83:T83"/>
    <mergeCell ref="V12:W12"/>
    <mergeCell ref="A200:O201"/>
    <mergeCell ref="P122:V122"/>
    <mergeCell ref="A8:C8"/>
    <mergeCell ref="AH332:AH333"/>
    <mergeCell ref="A121:O122"/>
    <mergeCell ref="D305:E305"/>
    <mergeCell ref="D99:E99"/>
    <mergeCell ref="A130:Z130"/>
    <mergeCell ref="D310:E310"/>
    <mergeCell ref="AD17:AF18"/>
    <mergeCell ref="P167:V167"/>
    <mergeCell ref="P117:V117"/>
    <mergeCell ref="P55:V55"/>
    <mergeCell ref="W332:W333"/>
    <mergeCell ref="P144:V144"/>
    <mergeCell ref="X331:AD331"/>
    <mergeCell ref="O332:O333"/>
    <mergeCell ref="A25:Z25"/>
    <mergeCell ref="P186:T186"/>
    <mergeCell ref="D221:E221"/>
    <mergeCell ref="D165:E165"/>
    <mergeCell ref="D223:E223"/>
    <mergeCell ref="D29:E29"/>
    <mergeCell ref="D265:E265"/>
    <mergeCell ref="D216:E216"/>
    <mergeCell ref="A20:Z20"/>
    <mergeCell ref="D252:E252"/>
    <mergeCell ref="P2:W3"/>
    <mergeCell ref="P298:T298"/>
    <mergeCell ref="P218:V218"/>
    <mergeCell ref="P198:T198"/>
    <mergeCell ref="P54:T54"/>
    <mergeCell ref="D35:E35"/>
    <mergeCell ref="A289:Z289"/>
    <mergeCell ref="A23:O24"/>
    <mergeCell ref="D10:E10"/>
    <mergeCell ref="F10:G10"/>
    <mergeCell ref="F5:G5"/>
    <mergeCell ref="V11:W11"/>
    <mergeCell ref="A249:Z249"/>
    <mergeCell ref="A176:Z176"/>
    <mergeCell ref="P68:V68"/>
    <mergeCell ref="A257:Z257"/>
    <mergeCell ref="D276:E276"/>
    <mergeCell ref="D105:E105"/>
    <mergeCell ref="D170:E170"/>
    <mergeCell ref="A31:O32"/>
    <mergeCell ref="P72:T72"/>
    <mergeCell ref="D49:E49"/>
    <mergeCell ref="N17:N18"/>
    <mergeCell ref="P199:T199"/>
    <mergeCell ref="D321:E321"/>
    <mergeCell ref="P63:V63"/>
    <mergeCell ref="D215:E215"/>
    <mergeCell ref="A75:Z75"/>
    <mergeCell ref="P50:V50"/>
    <mergeCell ref="M17:M18"/>
    <mergeCell ref="O17:O18"/>
    <mergeCell ref="P187:V187"/>
    <mergeCell ref="P174:V174"/>
    <mergeCell ref="P196:T196"/>
    <mergeCell ref="P287:V287"/>
    <mergeCell ref="D177:E177"/>
    <mergeCell ref="P62:T62"/>
    <mergeCell ref="A320:Z320"/>
    <mergeCell ref="D120:E120"/>
    <mergeCell ref="F17:F18"/>
    <mergeCell ref="P321:T321"/>
    <mergeCell ref="P125:T125"/>
    <mergeCell ref="A9:C9"/>
    <mergeCell ref="D58:E58"/>
    <mergeCell ref="P112:T112"/>
    <mergeCell ref="X332:X333"/>
    <mergeCell ref="A236:O237"/>
    <mergeCell ref="P39:V39"/>
    <mergeCell ref="E332:E333"/>
    <mergeCell ref="G332:G333"/>
    <mergeCell ref="P32:V32"/>
    <mergeCell ref="P134:V134"/>
    <mergeCell ref="Q13:R13"/>
    <mergeCell ref="A93:Z93"/>
    <mergeCell ref="A220:Z220"/>
    <mergeCell ref="P114:T114"/>
    <mergeCell ref="A157:Z157"/>
    <mergeCell ref="D22:E22"/>
    <mergeCell ref="A284:Z284"/>
    <mergeCell ref="A127:O128"/>
    <mergeCell ref="P301:T301"/>
    <mergeCell ref="A324:O329"/>
    <mergeCell ref="P178:T178"/>
    <mergeCell ref="P276:T276"/>
    <mergeCell ref="H5:M5"/>
    <mergeCell ref="P31:V31"/>
    <mergeCell ref="A27:Z27"/>
    <mergeCell ref="P329:V329"/>
    <mergeCell ref="P98:T98"/>
    <mergeCell ref="D212:E212"/>
    <mergeCell ref="AI332:AI333"/>
    <mergeCell ref="D6:M6"/>
    <mergeCell ref="A317:O318"/>
    <mergeCell ref="D304:E304"/>
    <mergeCell ref="P266:V266"/>
    <mergeCell ref="D83:E83"/>
    <mergeCell ref="D143:E143"/>
    <mergeCell ref="P106:T106"/>
    <mergeCell ref="P177:T177"/>
    <mergeCell ref="P269:T269"/>
    <mergeCell ref="D299:E299"/>
    <mergeCell ref="A100:O101"/>
    <mergeCell ref="D222:E222"/>
    <mergeCell ref="P35:T35"/>
    <mergeCell ref="A295:Z295"/>
    <mergeCell ref="G17:G18"/>
    <mergeCell ref="D314:E314"/>
    <mergeCell ref="P242:V242"/>
    <mergeCell ref="P314:T314"/>
    <mergeCell ref="P236:V236"/>
    <mergeCell ref="A61:Z61"/>
    <mergeCell ref="C331:T331"/>
    <mergeCell ref="Z17:Z18"/>
    <mergeCell ref="AB17:AB18"/>
    <mergeCell ref="P271:V271"/>
    <mergeCell ref="P100:V100"/>
    <mergeCell ref="A41:Z41"/>
    <mergeCell ref="P237:V237"/>
    <mergeCell ref="D159:E159"/>
    <mergeCell ref="A232:Z232"/>
    <mergeCell ref="P121:V121"/>
    <mergeCell ref="A182:Z182"/>
    <mergeCell ref="A169:Z169"/>
    <mergeCell ref="P190:T190"/>
    <mergeCell ref="P46:T46"/>
    <mergeCell ref="A241:O242"/>
    <mergeCell ref="D154:E154"/>
    <mergeCell ref="P111:T111"/>
    <mergeCell ref="A227:Z227"/>
    <mergeCell ref="A273:Z273"/>
    <mergeCell ref="P48:T48"/>
    <mergeCell ref="D292:E292"/>
    <mergeCell ref="AA17:AA18"/>
    <mergeCell ref="P107:V107"/>
    <mergeCell ref="AC17:AC18"/>
    <mergeCell ref="H10:M10"/>
    <mergeCell ref="P101:V101"/>
    <mergeCell ref="D89:E89"/>
    <mergeCell ref="P45:T45"/>
    <mergeCell ref="D153:E153"/>
    <mergeCell ref="V6:W9"/>
    <mergeCell ref="P22:T22"/>
    <mergeCell ref="P105:T105"/>
    <mergeCell ref="P49:T49"/>
    <mergeCell ref="P36:T36"/>
    <mergeCell ref="D206:E206"/>
    <mergeCell ref="P241:V241"/>
    <mergeCell ref="D298:E298"/>
    <mergeCell ref="A50:O51"/>
    <mergeCell ref="A158:Z158"/>
    <mergeCell ref="P56:V56"/>
    <mergeCell ref="A141:Z141"/>
    <mergeCell ref="A144:O145"/>
    <mergeCell ref="P212:T212"/>
    <mergeCell ref="A135:Z135"/>
    <mergeCell ref="D199:E199"/>
    <mergeCell ref="D186:E186"/>
    <mergeCell ref="A155:O156"/>
    <mergeCell ref="P222:T222"/>
    <mergeCell ref="P214:T214"/>
    <mergeCell ref="D213:E213"/>
    <mergeCell ref="P192:V192"/>
    <mergeCell ref="A191:O192"/>
    <mergeCell ref="A166:O167"/>
    <mergeCell ref="J9:M9"/>
    <mergeCell ref="D112:E112"/>
    <mergeCell ref="AG332:AG333"/>
    <mergeCell ref="A90:O91"/>
    <mergeCell ref="D62:E62"/>
    <mergeCell ref="P206:T206"/>
    <mergeCell ref="P233:T233"/>
    <mergeCell ref="P37:T37"/>
    <mergeCell ref="P304:T304"/>
    <mergeCell ref="D285:E285"/>
    <mergeCell ref="P155:V155"/>
    <mergeCell ref="D114:E114"/>
    <mergeCell ref="P143:T143"/>
    <mergeCell ref="P235:T235"/>
    <mergeCell ref="P306:T306"/>
    <mergeCell ref="P328:V328"/>
    <mergeCell ref="A209:Z209"/>
    <mergeCell ref="A280:Z280"/>
    <mergeCell ref="A147:Z147"/>
    <mergeCell ref="A274:Z274"/>
    <mergeCell ref="P299:T299"/>
    <mergeCell ref="P150:V150"/>
    <mergeCell ref="P326:V326"/>
    <mergeCell ref="D138:E138"/>
    <mergeCell ref="D36:E36"/>
    <mergeCell ref="A13:M13"/>
    <mergeCell ref="A59:O60"/>
    <mergeCell ref="A230:O231"/>
    <mergeCell ref="A119:Z119"/>
    <mergeCell ref="P79:V79"/>
    <mergeCell ref="P73:V73"/>
    <mergeCell ref="A69:Z69"/>
    <mergeCell ref="P115:T115"/>
    <mergeCell ref="P231:V231"/>
    <mergeCell ref="A15:M15"/>
    <mergeCell ref="A183:Z183"/>
    <mergeCell ref="D48:E48"/>
    <mergeCell ref="P229:T229"/>
    <mergeCell ref="P77:T77"/>
    <mergeCell ref="A193:Z193"/>
    <mergeCell ref="P204:T204"/>
    <mergeCell ref="D125:E125"/>
    <mergeCell ref="A40:Z40"/>
    <mergeCell ref="P159:T159"/>
    <mergeCell ref="A82:Z82"/>
    <mergeCell ref="P96:T96"/>
    <mergeCell ref="H17:H18"/>
    <mergeCell ref="A146:Z146"/>
    <mergeCell ref="T5:U5"/>
    <mergeCell ref="D190:E190"/>
    <mergeCell ref="D246:E246"/>
    <mergeCell ref="D46:E46"/>
    <mergeCell ref="A319:Z319"/>
    <mergeCell ref="P294:V294"/>
    <mergeCell ref="V5:W5"/>
    <mergeCell ref="D233:E233"/>
    <mergeCell ref="D111:E111"/>
    <mergeCell ref="A142:Z142"/>
    <mergeCell ref="Q8:R8"/>
    <mergeCell ref="P311:T311"/>
    <mergeCell ref="D275:E275"/>
    <mergeCell ref="D104:E104"/>
    <mergeCell ref="P254:V254"/>
    <mergeCell ref="T6:U9"/>
    <mergeCell ref="Q10:R10"/>
    <mergeCell ref="D185:E185"/>
    <mergeCell ref="P296:T296"/>
    <mergeCell ref="P318:V318"/>
    <mergeCell ref="D277:E277"/>
    <mergeCell ref="P85:V85"/>
    <mergeCell ref="P60:V60"/>
    <mergeCell ref="P84:V84"/>
    <mergeCell ref="A12:M12"/>
    <mergeCell ref="P293:V293"/>
    <mergeCell ref="P200:V200"/>
    <mergeCell ref="A19:Z19"/>
    <mergeCell ref="P310:T310"/>
    <mergeCell ref="A14:M14"/>
    <mergeCell ref="A160:O161"/>
    <mergeCell ref="Q332:Q333"/>
    <mergeCell ref="P138:T138"/>
    <mergeCell ref="D332:D333"/>
    <mergeCell ref="F332:F333"/>
    <mergeCell ref="D43:E43"/>
    <mergeCell ref="P149:V149"/>
    <mergeCell ref="A272:Z272"/>
    <mergeCell ref="P216:T216"/>
    <mergeCell ref="A210:Z210"/>
    <mergeCell ref="D137:E137"/>
    <mergeCell ref="P80:V80"/>
    <mergeCell ref="A217:O218"/>
    <mergeCell ref="A203:Z203"/>
    <mergeCell ref="P245:T245"/>
    <mergeCell ref="P224:T224"/>
    <mergeCell ref="Y332:Y333"/>
    <mergeCell ref="D132:E132"/>
    <mergeCell ref="P15:T16"/>
    <mergeCell ref="K332:K333"/>
    <mergeCell ref="D116:E116"/>
    <mergeCell ref="A164:Z164"/>
    <mergeCell ref="P308:T308"/>
    <mergeCell ref="P185:T185"/>
    <mergeCell ref="D106:E106"/>
    <mergeCell ref="P277:T277"/>
    <mergeCell ref="A133:O134"/>
    <mergeCell ref="A195:Z195"/>
    <mergeCell ref="A251:Z251"/>
    <mergeCell ref="P288:V288"/>
    <mergeCell ref="P43:T43"/>
    <mergeCell ref="P285:T285"/>
    <mergeCell ref="A53:Z53"/>
    <mergeCell ref="A109:Z109"/>
    <mergeCell ref="P89:T89"/>
    <mergeCell ref="P211:T211"/>
    <mergeCell ref="P309:T309"/>
    <mergeCell ref="D178:E178"/>
    <mergeCell ref="P225:V225"/>
    <mergeCell ref="D172:E172"/>
    <mergeCell ref="P88:T88"/>
    <mergeCell ref="P153:T153"/>
    <mergeCell ref="P253:V253"/>
    <mergeCell ref="P303:T303"/>
    <mergeCell ref="P132:T132"/>
    <mergeCell ref="P317:V317"/>
    <mergeCell ref="P305:T305"/>
    <mergeCell ref="A38:O39"/>
    <mergeCell ref="D96:E96"/>
    <mergeCell ref="AB332:AB333"/>
    <mergeCell ref="A162:Z162"/>
    <mergeCell ref="A67:O68"/>
    <mergeCell ref="I332:I333"/>
    <mergeCell ref="AA332:AA333"/>
    <mergeCell ref="A270:O271"/>
    <mergeCell ref="A92:Z92"/>
    <mergeCell ref="A256:Z256"/>
    <mergeCell ref="A264:Z264"/>
    <mergeCell ref="D204:E204"/>
    <mergeCell ref="A207:O208"/>
    <mergeCell ref="D198:E198"/>
    <mergeCell ref="D269:E269"/>
    <mergeCell ref="D296:E296"/>
    <mergeCell ref="P154:T154"/>
    <mergeCell ref="A84:O85"/>
    <mergeCell ref="P247:V247"/>
    <mergeCell ref="A5:C5"/>
    <mergeCell ref="U331:V331"/>
    <mergeCell ref="Z332:Z333"/>
    <mergeCell ref="A107:O108"/>
    <mergeCell ref="A110:Z110"/>
    <mergeCell ref="P64:V64"/>
    <mergeCell ref="P191:V191"/>
    <mergeCell ref="P51:V51"/>
    <mergeCell ref="P128:V128"/>
    <mergeCell ref="A17:A18"/>
    <mergeCell ref="P300:T300"/>
    <mergeCell ref="A189:Z189"/>
    <mergeCell ref="C17:C18"/>
    <mergeCell ref="K17:K18"/>
    <mergeCell ref="A238:Z238"/>
    <mergeCell ref="D37:E37"/>
    <mergeCell ref="P66:T66"/>
    <mergeCell ref="P137:T137"/>
    <mergeCell ref="D9:E9"/>
    <mergeCell ref="P197:T197"/>
    <mergeCell ref="F9:G9"/>
    <mergeCell ref="A263:Z263"/>
    <mergeCell ref="P67:V67"/>
    <mergeCell ref="A247:O248"/>
    <mergeCell ref="AC332:AC333"/>
    <mergeCell ref="A117:O118"/>
    <mergeCell ref="P258:T258"/>
    <mergeCell ref="AE332:AE333"/>
    <mergeCell ref="P223:T223"/>
    <mergeCell ref="A168:Z168"/>
    <mergeCell ref="P201:V201"/>
    <mergeCell ref="P139:V139"/>
    <mergeCell ref="I17:I18"/>
    <mergeCell ref="D306:E306"/>
    <mergeCell ref="P281:T281"/>
    <mergeCell ref="D72:E72"/>
    <mergeCell ref="D235:E235"/>
    <mergeCell ref="R332:R333"/>
    <mergeCell ref="P270:V270"/>
    <mergeCell ref="A239:Z239"/>
    <mergeCell ref="J332:J333"/>
    <mergeCell ref="T332:T333"/>
    <mergeCell ref="L332:L333"/>
    <mergeCell ref="P267:V267"/>
    <mergeCell ref="P312:T312"/>
    <mergeCell ref="P278:V278"/>
    <mergeCell ref="P78:T78"/>
    <mergeCell ref="A219:Z219"/>
    <mergeCell ref="A332:A333"/>
    <mergeCell ref="D211:E211"/>
    <mergeCell ref="D1:F1"/>
    <mergeCell ref="P47:T47"/>
    <mergeCell ref="P282:V282"/>
    <mergeCell ref="J17:J18"/>
    <mergeCell ref="L17:L18"/>
    <mergeCell ref="D240:E240"/>
    <mergeCell ref="A244:Z244"/>
    <mergeCell ref="A293:O294"/>
    <mergeCell ref="A102:Z102"/>
    <mergeCell ref="P113:T113"/>
    <mergeCell ref="P17:T18"/>
    <mergeCell ref="P323:V323"/>
    <mergeCell ref="P286:T286"/>
    <mergeCell ref="D229:E229"/>
    <mergeCell ref="D77:E77"/>
    <mergeCell ref="P131:T131"/>
    <mergeCell ref="Q9:R9"/>
    <mergeCell ref="Q11:R11"/>
    <mergeCell ref="P205:T205"/>
    <mergeCell ref="A6:C6"/>
    <mergeCell ref="A322:O323"/>
    <mergeCell ref="D309:E309"/>
    <mergeCell ref="H1:Q1"/>
    <mergeCell ref="A268:Z268"/>
    <mergeCell ref="A243:Z243"/>
    <mergeCell ref="D214:E214"/>
    <mergeCell ref="P120:T120"/>
    <mergeCell ref="D259:E259"/>
    <mergeCell ref="A163:Z163"/>
    <mergeCell ref="D28:E28"/>
    <mergeCell ref="D313:E313"/>
    <mergeCell ref="A76:Z76"/>
    <mergeCell ref="P184:T184"/>
    <mergeCell ref="A174:O175"/>
    <mergeCell ref="A179:O180"/>
    <mergeCell ref="P171:T171"/>
    <mergeCell ref="D30:E30"/>
    <mergeCell ref="D5:E5"/>
    <mergeCell ref="D303:E303"/>
    <mergeCell ref="P42:T42"/>
    <mergeCell ref="D290:E290"/>
    <mergeCell ref="D94:E94"/>
    <mergeCell ref="P259:T259"/>
    <mergeCell ref="A278:O279"/>
    <mergeCell ref="P148:T148"/>
    <mergeCell ref="P175:V175"/>
    <mergeCell ref="D7:M7"/>
    <mergeCell ref="H332:H333"/>
    <mergeCell ref="P91:V91"/>
    <mergeCell ref="A81:Z81"/>
    <mergeCell ref="B332:B333"/>
    <mergeCell ref="A152:Z152"/>
    <mergeCell ref="P156:V156"/>
    <mergeCell ref="P327:V327"/>
    <mergeCell ref="D315:E315"/>
    <mergeCell ref="D302:E302"/>
    <mergeCell ref="P173:T173"/>
    <mergeCell ref="P29:T29"/>
    <mergeCell ref="P265:T265"/>
    <mergeCell ref="P94:T94"/>
    <mergeCell ref="D8:M8"/>
    <mergeCell ref="D300:E300"/>
    <mergeCell ref="P44:T44"/>
    <mergeCell ref="P279:V279"/>
    <mergeCell ref="P108:V108"/>
    <mergeCell ref="P180:V180"/>
    <mergeCell ref="P118:V118"/>
    <mergeCell ref="A228:Z228"/>
    <mergeCell ref="P95:T95"/>
    <mergeCell ref="P38:V38"/>
    <mergeCell ref="C332:C333"/>
    <mergeCell ref="P170:T170"/>
    <mergeCell ref="P316:T316"/>
    <mergeCell ref="D66:E66"/>
    <mergeCell ref="D126:E126"/>
    <mergeCell ref="D197:E197"/>
    <mergeCell ref="D47:E47"/>
    <mergeCell ref="U332:U333"/>
    <mergeCell ref="W17:W18"/>
    <mergeCell ref="P261:V261"/>
    <mergeCell ref="A86:Z86"/>
    <mergeCell ref="P161:V161"/>
    <mergeCell ref="P217:V217"/>
    <mergeCell ref="P90:V90"/>
    <mergeCell ref="A151:Z151"/>
    <mergeCell ref="P234:T234"/>
    <mergeCell ref="P325:V325"/>
    <mergeCell ref="S332:S333"/>
    <mergeCell ref="P240:T240"/>
    <mergeCell ref="P226:V226"/>
    <mergeCell ref="A87:Z87"/>
    <mergeCell ref="D316:E316"/>
    <mergeCell ref="D308:E308"/>
    <mergeCell ref="A225:O226"/>
    <mergeCell ref="R1:T1"/>
    <mergeCell ref="D71:E71"/>
    <mergeCell ref="P28:T28"/>
    <mergeCell ref="P221:T221"/>
    <mergeCell ref="AD332:AD333"/>
    <mergeCell ref="D307:E307"/>
    <mergeCell ref="AF332:AF333"/>
    <mergeCell ref="P215:T215"/>
    <mergeCell ref="A139:O140"/>
    <mergeCell ref="P165:T165"/>
    <mergeCell ref="A282:O283"/>
    <mergeCell ref="D98:E98"/>
    <mergeCell ref="P30:T30"/>
    <mergeCell ref="P179:V179"/>
    <mergeCell ref="M332:M333"/>
    <mergeCell ref="P166:V166"/>
    <mergeCell ref="P290:T290"/>
    <mergeCell ref="A202:Z202"/>
    <mergeCell ref="P230:V230"/>
    <mergeCell ref="A63:O64"/>
    <mergeCell ref="P275:T275"/>
    <mergeCell ref="P104:T104"/>
    <mergeCell ref="B17:B18"/>
    <mergeCell ref="P248:V248"/>
    <mergeCell ref="P324:V324"/>
    <mergeCell ref="D70:E70"/>
    <mergeCell ref="A79:O80"/>
    <mergeCell ref="D312:E312"/>
    <mergeCell ref="A65:Z65"/>
    <mergeCell ref="A287:O288"/>
    <mergeCell ref="D78:E78"/>
    <mergeCell ref="P213:T213"/>
    <mergeCell ref="D205:E205"/>
    <mergeCell ref="P172:T172"/>
    <mergeCell ref="D131:E131"/>
    <mergeCell ref="D258:E258"/>
    <mergeCell ref="P207:V207"/>
    <mergeCell ref="P252:T252"/>
    <mergeCell ref="A124:Z124"/>
    <mergeCell ref="P99:T99"/>
    <mergeCell ref="P188:V188"/>
    <mergeCell ref="A187:O188"/>
    <mergeCell ref="D245:E245"/>
    <mergeCell ref="D301:E301"/>
    <mergeCell ref="P116:T116"/>
    <mergeCell ref="D224:E224"/>
    <mergeCell ref="P97:T97"/>
    <mergeCell ref="D113:E113"/>
    <mergeCell ref="P315:T315"/>
    <mergeCell ref="P302:T302"/>
    <mergeCell ref="A34:Z34"/>
    <mergeCell ref="D45:E45"/>
    <mergeCell ref="H9:I9"/>
    <mergeCell ref="P24:V24"/>
    <mergeCell ref="P322:V322"/>
    <mergeCell ref="D281:E281"/>
    <mergeCell ref="P260:V260"/>
    <mergeCell ref="D297:E297"/>
    <mergeCell ref="V10:W10"/>
    <mergeCell ref="A26:Z26"/>
    <mergeCell ref="P59:V59"/>
    <mergeCell ref="D88:E88"/>
    <mergeCell ref="D148:E148"/>
    <mergeCell ref="A253:O254"/>
    <mergeCell ref="D311:E311"/>
    <mergeCell ref="D115:E115"/>
    <mergeCell ref="Q12:R12"/>
    <mergeCell ref="P246:T246"/>
    <mergeCell ref="P133:V133"/>
    <mergeCell ref="P127:V127"/>
    <mergeCell ref="A123:Z123"/>
    <mergeCell ref="A250:Z250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 X28:X30 X35:X37 X42:X49 X54 X58 X62 X66 X70:X72 X77:X78 X83 X88:X89 X94:X99 X104:X106 X111:X116 X120 X125:X126 X131:X132 X137:X138 X143 X148 X153:X154 X159 X165 X170:X173 X177:X178 X184:X186 X190 X196:X199 X204:X206 X211:X216 X221:X224 X229 X233:X235 X240 X245:X246 X252 X258:X259 X265 X269 X275:X277 X281 X285:X286 X290:X292 X296:X316 X321" xr:uid="{00000000-0002-0000-0000-000011000000}">
      <formula1>IF(AK22&gt;0,OR(X22=0,AND(IF(X22-AK22&gt;=0,TRUE,FALSE),X22&gt;0)),FALSE)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512</v>
      </c>
      <c r="H1" s="52"/>
    </row>
    <row r="3" spans="2:8" x14ac:dyDescent="0.2">
      <c r="B3" s="47" t="s">
        <v>513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514</v>
      </c>
      <c r="D6" s="47" t="s">
        <v>515</v>
      </c>
      <c r="E6" s="47"/>
    </row>
    <row r="7" spans="2:8" x14ac:dyDescent="0.2">
      <c r="B7" s="47" t="s">
        <v>516</v>
      </c>
      <c r="C7" s="47" t="s">
        <v>517</v>
      </c>
      <c r="D7" s="47" t="s">
        <v>518</v>
      </c>
      <c r="E7" s="47"/>
    </row>
    <row r="8" spans="2:8" x14ac:dyDescent="0.2">
      <c r="B8" s="47" t="s">
        <v>519</v>
      </c>
      <c r="C8" s="47" t="s">
        <v>520</v>
      </c>
      <c r="D8" s="47" t="s">
        <v>521</v>
      </c>
      <c r="E8" s="47"/>
    </row>
    <row r="9" spans="2:8" x14ac:dyDescent="0.2">
      <c r="B9" s="47" t="s">
        <v>522</v>
      </c>
      <c r="C9" s="47" t="s">
        <v>523</v>
      </c>
      <c r="D9" s="47" t="s">
        <v>524</v>
      </c>
      <c r="E9" s="47"/>
    </row>
    <row r="10" spans="2:8" x14ac:dyDescent="0.2">
      <c r="B10" s="47" t="s">
        <v>525</v>
      </c>
      <c r="C10" s="47" t="s">
        <v>526</v>
      </c>
      <c r="D10" s="47" t="s">
        <v>527</v>
      </c>
      <c r="E10" s="47"/>
    </row>
    <row r="11" spans="2:8" x14ac:dyDescent="0.2">
      <c r="B11" s="47" t="s">
        <v>528</v>
      </c>
      <c r="C11" s="47" t="s">
        <v>529</v>
      </c>
      <c r="D11" s="47" t="s">
        <v>249</v>
      </c>
      <c r="E11" s="47"/>
    </row>
    <row r="13" spans="2:8" x14ac:dyDescent="0.2">
      <c r="B13" s="47" t="s">
        <v>530</v>
      </c>
      <c r="C13" s="47" t="s">
        <v>514</v>
      </c>
      <c r="D13" s="47"/>
      <c r="E13" s="47"/>
    </row>
    <row r="15" spans="2:8" x14ac:dyDescent="0.2">
      <c r="B15" s="47" t="s">
        <v>531</v>
      </c>
      <c r="C15" s="47" t="s">
        <v>517</v>
      </c>
      <c r="D15" s="47"/>
      <c r="E15" s="47"/>
    </row>
    <row r="17" spans="2:5" x14ac:dyDescent="0.2">
      <c r="B17" s="47" t="s">
        <v>532</v>
      </c>
      <c r="C17" s="47" t="s">
        <v>520</v>
      </c>
      <c r="D17" s="47"/>
      <c r="E17" s="47"/>
    </row>
    <row r="19" spans="2:5" x14ac:dyDescent="0.2">
      <c r="B19" s="47" t="s">
        <v>533</v>
      </c>
      <c r="C19" s="47" t="s">
        <v>523</v>
      </c>
      <c r="D19" s="47"/>
      <c r="E19" s="47"/>
    </row>
    <row r="21" spans="2:5" x14ac:dyDescent="0.2">
      <c r="B21" s="47" t="s">
        <v>534</v>
      </c>
      <c r="C21" s="47" t="s">
        <v>526</v>
      </c>
      <c r="D21" s="47"/>
      <c r="E21" s="47"/>
    </row>
    <row r="23" spans="2:5" x14ac:dyDescent="0.2">
      <c r="B23" s="47" t="s">
        <v>535</v>
      </c>
      <c r="C23" s="47" t="s">
        <v>529</v>
      </c>
      <c r="D23" s="47"/>
      <c r="E23" s="47"/>
    </row>
    <row r="25" spans="2:5" x14ac:dyDescent="0.2">
      <c r="B25" s="47" t="s">
        <v>536</v>
      </c>
      <c r="C25" s="47"/>
      <c r="D25" s="47"/>
      <c r="E25" s="47"/>
    </row>
    <row r="26" spans="2:5" x14ac:dyDescent="0.2">
      <c r="B26" s="47" t="s">
        <v>537</v>
      </c>
      <c r="C26" s="47"/>
      <c r="D26" s="47"/>
      <c r="E26" s="47"/>
    </row>
    <row r="27" spans="2:5" x14ac:dyDescent="0.2">
      <c r="B27" s="47" t="s">
        <v>538</v>
      </c>
      <c r="C27" s="47"/>
      <c r="D27" s="47"/>
      <c r="E27" s="47"/>
    </row>
    <row r="28" spans="2:5" x14ac:dyDescent="0.2">
      <c r="B28" s="47" t="s">
        <v>539</v>
      </c>
      <c r="C28" s="47"/>
      <c r="D28" s="47"/>
      <c r="E28" s="47"/>
    </row>
    <row r="29" spans="2:5" x14ac:dyDescent="0.2">
      <c r="B29" s="47" t="s">
        <v>540</v>
      </c>
      <c r="C29" s="47"/>
      <c r="D29" s="47"/>
      <c r="E29" s="47"/>
    </row>
    <row r="30" spans="2:5" x14ac:dyDescent="0.2">
      <c r="B30" s="47" t="s">
        <v>541</v>
      </c>
      <c r="C30" s="47"/>
      <c r="D30" s="47"/>
      <c r="E30" s="47"/>
    </row>
    <row r="31" spans="2:5" x14ac:dyDescent="0.2">
      <c r="B31" s="47" t="s">
        <v>542</v>
      </c>
      <c r="C31" s="47"/>
      <c r="D31" s="47"/>
      <c r="E31" s="47"/>
    </row>
    <row r="32" spans="2:5" x14ac:dyDescent="0.2">
      <c r="B32" s="47" t="s">
        <v>543</v>
      </c>
      <c r="C32" s="47"/>
      <c r="D32" s="47"/>
      <c r="E32" s="47"/>
    </row>
    <row r="33" spans="2:5" x14ac:dyDescent="0.2">
      <c r="B33" s="47" t="s">
        <v>544</v>
      </c>
      <c r="C33" s="47"/>
      <c r="D33" s="47"/>
      <c r="E33" s="47"/>
    </row>
    <row r="34" spans="2:5" x14ac:dyDescent="0.2">
      <c r="B34" s="47" t="s">
        <v>545</v>
      </c>
      <c r="C34" s="47"/>
      <c r="D34" s="47"/>
      <c r="E34" s="47"/>
    </row>
    <row r="35" spans="2:5" x14ac:dyDescent="0.2">
      <c r="B35" s="47" t="s">
        <v>546</v>
      </c>
      <c r="C35" s="47"/>
      <c r="D35" s="47"/>
      <c r="E35" s="47"/>
    </row>
  </sheetData>
  <sheetProtection algorithmName="SHA-512" hashValue="CzmFbRUfUuhOWzSHyOhfqVq0OTOyrA+Qx8oEtbtysz+eiKgMFdRGaYtqs4kQdgexmARDxued6I2hbXrrWeipAg==" saltValue="a+5rYSAzszGQIDY64uMEM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551</vt:i4>
      </vt:variant>
    </vt:vector>
  </HeadingPairs>
  <TitlesOfParts>
    <vt:vector size="55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2025-04-25T08:22:04Z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