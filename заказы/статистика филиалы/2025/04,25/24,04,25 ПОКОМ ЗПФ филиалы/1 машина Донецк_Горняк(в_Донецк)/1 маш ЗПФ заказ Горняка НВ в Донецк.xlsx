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3BAA5B9A-6340-4EB7-9615-888ED087FA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Z317" i="1" s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88" i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X283" i="1"/>
  <c r="Z282" i="1"/>
  <c r="X282" i="1"/>
  <c r="BO281" i="1"/>
  <c r="BM281" i="1"/>
  <c r="Z281" i="1"/>
  <c r="Y281" i="1"/>
  <c r="P281" i="1"/>
  <c r="Y279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Y242" i="1"/>
  <c r="X242" i="1"/>
  <c r="Z241" i="1"/>
  <c r="X241" i="1"/>
  <c r="BO240" i="1"/>
  <c r="BM240" i="1"/>
  <c r="Z240" i="1"/>
  <c r="Y240" i="1"/>
  <c r="P240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P222" i="1" s="1"/>
  <c r="P222" i="1"/>
  <c r="BP221" i="1"/>
  <c r="BO221" i="1"/>
  <c r="BN221" i="1"/>
  <c r="BM221" i="1"/>
  <c r="Z221" i="1"/>
  <c r="Z225" i="1" s="1"/>
  <c r="Y221" i="1"/>
  <c r="Y225" i="1" s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Z217" i="1" s="1"/>
  <c r="Y211" i="1"/>
  <c r="Y218" i="1" s="1"/>
  <c r="P211" i="1"/>
  <c r="X208" i="1"/>
  <c r="X207" i="1"/>
  <c r="BO206" i="1"/>
  <c r="BM206" i="1"/>
  <c r="Z206" i="1"/>
  <c r="Y206" i="1"/>
  <c r="BP206" i="1" s="1"/>
  <c r="P206" i="1"/>
  <c r="BP205" i="1"/>
  <c r="BO205" i="1"/>
  <c r="BN205" i="1"/>
  <c r="BM205" i="1"/>
  <c r="Z205" i="1"/>
  <c r="Z207" i="1" s="1"/>
  <c r="Y205" i="1"/>
  <c r="P205" i="1"/>
  <c r="BO204" i="1"/>
  <c r="BM204" i="1"/>
  <c r="Z204" i="1"/>
  <c r="Y204" i="1"/>
  <c r="Y207" i="1" s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Y200" i="1" s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P184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BP171" i="1"/>
  <c r="BO171" i="1"/>
  <c r="BN171" i="1"/>
  <c r="BM171" i="1"/>
  <c r="Z171" i="1"/>
  <c r="Y171" i="1"/>
  <c r="BP170" i="1"/>
  <c r="BO170" i="1"/>
  <c r="BN170" i="1"/>
  <c r="BM170" i="1"/>
  <c r="Z170" i="1"/>
  <c r="Z174" i="1" s="1"/>
  <c r="Y170" i="1"/>
  <c r="Y175" i="1" s="1"/>
  <c r="X167" i="1"/>
  <c r="Z166" i="1"/>
  <c r="X166" i="1"/>
  <c r="BO165" i="1"/>
  <c r="BM165" i="1"/>
  <c r="Z165" i="1"/>
  <c r="Y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Z155" i="1" s="1"/>
  <c r="Y153" i="1"/>
  <c r="P153" i="1"/>
  <c r="X150" i="1"/>
  <c r="Z149" i="1"/>
  <c r="X149" i="1"/>
  <c r="BO148" i="1"/>
  <c r="BM148" i="1"/>
  <c r="Z148" i="1"/>
  <c r="Y148" i="1"/>
  <c r="Y150" i="1" s="1"/>
  <c r="P148" i="1"/>
  <c r="X145" i="1"/>
  <c r="Z144" i="1"/>
  <c r="X144" i="1"/>
  <c r="BO143" i="1"/>
  <c r="BM143" i="1"/>
  <c r="Z143" i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Y134" i="1"/>
  <c r="X134" i="1"/>
  <c r="Z133" i="1"/>
  <c r="X133" i="1"/>
  <c r="BO132" i="1"/>
  <c r="BM132" i="1"/>
  <c r="Z132" i="1"/>
  <c r="Y132" i="1"/>
  <c r="P132" i="1"/>
  <c r="BP131" i="1"/>
  <c r="BO131" i="1"/>
  <c r="BN131" i="1"/>
  <c r="BM131" i="1"/>
  <c r="Z131" i="1"/>
  <c r="Y131" i="1"/>
  <c r="Y133" i="1" s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P125" i="1"/>
  <c r="X122" i="1"/>
  <c r="Z121" i="1"/>
  <c r="X121" i="1"/>
  <c r="BO120" i="1"/>
  <c r="BM120" i="1"/>
  <c r="Z120" i="1"/>
  <c r="Y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X108" i="1"/>
  <c r="X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X101" i="1"/>
  <c r="X100" i="1"/>
  <c r="BO99" i="1"/>
  <c r="BM99" i="1"/>
  <c r="Z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Y101" i="1" s="1"/>
  <c r="P95" i="1"/>
  <c r="BP94" i="1"/>
  <c r="BO94" i="1"/>
  <c r="BN94" i="1"/>
  <c r="BM94" i="1"/>
  <c r="Z94" i="1"/>
  <c r="Z100" i="1" s="1"/>
  <c r="Y94" i="1"/>
  <c r="Y100" i="1" s="1"/>
  <c r="X91" i="1"/>
  <c r="Z90" i="1"/>
  <c r="X90" i="1"/>
  <c r="BO89" i="1"/>
  <c r="BM89" i="1"/>
  <c r="Z89" i="1"/>
  <c r="Y89" i="1"/>
  <c r="BO88" i="1"/>
  <c r="BM88" i="1"/>
  <c r="Z88" i="1"/>
  <c r="Y88" i="1"/>
  <c r="X85" i="1"/>
  <c r="Y84" i="1"/>
  <c r="X84" i="1"/>
  <c r="BP83" i="1"/>
  <c r="BO83" i="1"/>
  <c r="BN83" i="1"/>
  <c r="BM83" i="1"/>
  <c r="Z83" i="1"/>
  <c r="Z84" i="1" s="1"/>
  <c r="Y83" i="1"/>
  <c r="Y85" i="1" s="1"/>
  <c r="Y80" i="1"/>
  <c r="X80" i="1"/>
  <c r="Z79" i="1"/>
  <c r="X79" i="1"/>
  <c r="BO78" i="1"/>
  <c r="BM78" i="1"/>
  <c r="Z78" i="1"/>
  <c r="Y78" i="1"/>
  <c r="P78" i="1"/>
  <c r="BP77" i="1"/>
  <c r="BO77" i="1"/>
  <c r="BN77" i="1"/>
  <c r="BM77" i="1"/>
  <c r="Z77" i="1"/>
  <c r="Y77" i="1"/>
  <c r="Y79" i="1" s="1"/>
  <c r="P77" i="1"/>
  <c r="X74" i="1"/>
  <c r="Y73" i="1"/>
  <c r="X73" i="1"/>
  <c r="BP72" i="1"/>
  <c r="BO72" i="1"/>
  <c r="BN72" i="1"/>
  <c r="BM72" i="1"/>
  <c r="Z72" i="1"/>
  <c r="Y72" i="1"/>
  <c r="BP71" i="1"/>
  <c r="BO71" i="1"/>
  <c r="BN71" i="1"/>
  <c r="BM71" i="1"/>
  <c r="Z71" i="1"/>
  <c r="Y71" i="1"/>
  <c r="BP70" i="1"/>
  <c r="BO70" i="1"/>
  <c r="BN70" i="1"/>
  <c r="BM70" i="1"/>
  <c r="Z70" i="1"/>
  <c r="Z73" i="1" s="1"/>
  <c r="Y70" i="1"/>
  <c r="Y74" i="1" s="1"/>
  <c r="Y68" i="1"/>
  <c r="X68" i="1"/>
  <c r="Z67" i="1"/>
  <c r="X67" i="1"/>
  <c r="BO66" i="1"/>
  <c r="BM66" i="1"/>
  <c r="Z66" i="1"/>
  <c r="Y66" i="1"/>
  <c r="P66" i="1"/>
  <c r="X64" i="1"/>
  <c r="Z63" i="1"/>
  <c r="X63" i="1"/>
  <c r="BO62" i="1"/>
  <c r="BM62" i="1"/>
  <c r="Z62" i="1"/>
  <c r="Y62" i="1"/>
  <c r="Y64" i="1" s="1"/>
  <c r="X60" i="1"/>
  <c r="Y59" i="1"/>
  <c r="X59" i="1"/>
  <c r="BP58" i="1"/>
  <c r="BO58" i="1"/>
  <c r="BN58" i="1"/>
  <c r="BM58" i="1"/>
  <c r="Z58" i="1"/>
  <c r="Z59" i="1" s="1"/>
  <c r="Y58" i="1"/>
  <c r="Y60" i="1" s="1"/>
  <c r="Y56" i="1"/>
  <c r="X56" i="1"/>
  <c r="Z55" i="1"/>
  <c r="X55" i="1"/>
  <c r="BO54" i="1"/>
  <c r="BM54" i="1"/>
  <c r="Z54" i="1"/>
  <c r="Y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Y43" i="1"/>
  <c r="P43" i="1"/>
  <c r="BO42" i="1"/>
  <c r="BM42" i="1"/>
  <c r="Z42" i="1"/>
  <c r="Y42" i="1"/>
  <c r="P42" i="1"/>
  <c r="Y39" i="1"/>
  <c r="X39" i="1"/>
  <c r="Z38" i="1"/>
  <c r="X38" i="1"/>
  <c r="BO37" i="1"/>
  <c r="BM37" i="1"/>
  <c r="Z37" i="1"/>
  <c r="Y37" i="1"/>
  <c r="BO36" i="1"/>
  <c r="BM36" i="1"/>
  <c r="Z36" i="1"/>
  <c r="Y36" i="1"/>
  <c r="BO35" i="1"/>
  <c r="BM35" i="1"/>
  <c r="Z35" i="1"/>
  <c r="Y35" i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Z23" i="1"/>
  <c r="X23" i="1"/>
  <c r="X328" i="1" s="1"/>
  <c r="BO22" i="1"/>
  <c r="X326" i="1" s="1"/>
  <c r="BM22" i="1"/>
  <c r="X325" i="1" s="1"/>
  <c r="X327" i="1" s="1"/>
  <c r="Z22" i="1"/>
  <c r="Y22" i="1"/>
  <c r="P22" i="1"/>
  <c r="H10" i="1"/>
  <c r="A9" i="1"/>
  <c r="H9" i="1" s="1"/>
  <c r="D7" i="1"/>
  <c r="Q6" i="1"/>
  <c r="P2" i="1"/>
  <c r="Y23" i="1" l="1"/>
  <c r="BP22" i="1"/>
  <c r="BN22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Y24" i="1"/>
  <c r="Y38" i="1"/>
  <c r="BP35" i="1"/>
  <c r="BN35" i="1"/>
  <c r="BP36" i="1"/>
  <c r="BN36" i="1"/>
  <c r="BP37" i="1"/>
  <c r="BN37" i="1"/>
  <c r="Z50" i="1"/>
  <c r="Y63" i="1"/>
  <c r="BP62" i="1"/>
  <c r="BN62" i="1"/>
  <c r="BP78" i="1"/>
  <c r="BN78" i="1"/>
  <c r="Y91" i="1"/>
  <c r="BP95" i="1"/>
  <c r="BN95" i="1"/>
  <c r="BP96" i="1"/>
  <c r="BN96" i="1"/>
  <c r="BP99" i="1"/>
  <c r="BN99" i="1"/>
  <c r="Z107" i="1"/>
  <c r="Z329" i="1" s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Y326" i="1" l="1"/>
  <c r="C337" i="1"/>
  <c r="Y324" i="1"/>
  <c r="Y325" i="1"/>
  <c r="Y327" i="1" s="1"/>
  <c r="Y328" i="1"/>
  <c r="B337" i="1" l="1"/>
  <c r="A337" i="1"/>
</calcChain>
</file>

<file path=xl/sharedStrings.xml><?xml version="1.0" encoding="utf-8"?>
<sst xmlns="http://schemas.openxmlformats.org/spreadsheetml/2006/main" count="1617" uniqueCount="547">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</sst>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4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5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17</v>
      </c>
      <c r="B8" s="345"/>
      <c r="C8" s="346"/>
      <c r="D8" s="383"/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18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52"/>
      <c r="R10" s="453"/>
      <c r="U10" s="24" t="s">
        <v>21</v>
      </c>
      <c r="V10" s="370" t="s">
        <v>22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419"/>
      <c r="U11" s="24" t="s">
        <v>25</v>
      </c>
      <c r="V11" s="510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33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34</v>
      </c>
      <c r="B17" s="367" t="s">
        <v>35</v>
      </c>
      <c r="C17" s="426" t="s">
        <v>36</v>
      </c>
      <c r="D17" s="367" t="s">
        <v>37</v>
      </c>
      <c r="E17" s="405"/>
      <c r="F17" s="367" t="s">
        <v>38</v>
      </c>
      <c r="G17" s="367" t="s">
        <v>39</v>
      </c>
      <c r="H17" s="367" t="s">
        <v>40</v>
      </c>
      <c r="I17" s="367" t="s">
        <v>41</v>
      </c>
      <c r="J17" s="367" t="s">
        <v>42</v>
      </c>
      <c r="K17" s="367" t="s">
        <v>43</v>
      </c>
      <c r="L17" s="367" t="s">
        <v>44</v>
      </c>
      <c r="M17" s="367" t="s">
        <v>45</v>
      </c>
      <c r="N17" s="367" t="s">
        <v>46</v>
      </c>
      <c r="O17" s="367" t="s">
        <v>47</v>
      </c>
      <c r="P17" s="367" t="s">
        <v>48</v>
      </c>
      <c r="Q17" s="404"/>
      <c r="R17" s="404"/>
      <c r="S17" s="404"/>
      <c r="T17" s="405"/>
      <c r="U17" s="544" t="s">
        <v>49</v>
      </c>
      <c r="V17" s="349"/>
      <c r="W17" s="367" t="s">
        <v>50</v>
      </c>
      <c r="X17" s="367" t="s">
        <v>51</v>
      </c>
      <c r="Y17" s="542" t="s">
        <v>52</v>
      </c>
      <c r="Z17" s="493" t="s">
        <v>53</v>
      </c>
      <c r="AA17" s="480" t="s">
        <v>54</v>
      </c>
      <c r="AB17" s="480" t="s">
        <v>55</v>
      </c>
      <c r="AC17" s="480" t="s">
        <v>56</v>
      </c>
      <c r="AD17" s="480" t="s">
        <v>57</v>
      </c>
      <c r="AE17" s="526"/>
      <c r="AF17" s="527"/>
      <c r="AG17" s="69"/>
      <c r="BD17" s="68" t="s">
        <v>58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59</v>
      </c>
      <c r="V18" s="70" t="s">
        <v>60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5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0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0</v>
      </c>
      <c r="Y29" s="33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6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0</v>
      </c>
      <c r="Y31" s="332">
        <f>IFERROR(SUM(Y28:Y30),"0")</f>
        <v>0</v>
      </c>
      <c r="Z31" s="332">
        <f>IFERROR(IF(Z28="",0,Z28),"0")+IFERROR(IF(Z29="",0,Z29),"0")+IFERROR(IF(Z30="",0,Z30),"0")</f>
        <v>0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0</v>
      </c>
      <c r="Y32" s="332">
        <f>IFERROR(SUMPRODUCT(Y28:Y30*H28:H30),"0")</f>
        <v>0</v>
      </c>
      <c r="Z32" s="37"/>
      <c r="AA32" s="333"/>
      <c r="AB32" s="333"/>
      <c r="AC32" s="333"/>
    </row>
    <row r="33" spans="1:68" ht="16.5" customHeight="1" x14ac:dyDescent="0.25">
      <c r="A33" s="364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2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519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0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0</v>
      </c>
      <c r="Y38" s="332">
        <f>IFERROR(SUM(Y35:Y37),"0")</f>
        <v>0</v>
      </c>
      <c r="Z38" s="332">
        <f>IFERROR(IF(Z35="",0,Z35),"0")+IFERROR(IF(Z36="",0,Z36),"0")+IFERROR(IF(Z37="",0,Z37),"0")</f>
        <v>0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0</v>
      </c>
      <c r="Y39" s="332">
        <f>IFERROR(SUMPRODUCT(Y35:Y37*H35:H37),"0")</f>
        <v>0</v>
      </c>
      <c r="Z39" s="37"/>
      <c r="AA39" s="333"/>
      <c r="AB39" s="333"/>
      <c r="AC39" s="333"/>
    </row>
    <row r="40" spans="1:68" ht="16.5" customHeight="1" x14ac:dyDescent="0.25">
      <c r="A40" s="364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0</v>
      </c>
      <c r="Y50" s="332">
        <f>IFERROR(SUM(Y42:Y49),"0")</f>
        <v>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0</v>
      </c>
      <c r="Y51" s="332">
        <f>IFERROR(SUMPRODUCT(Y42:Y49*H42:H49),"0")</f>
        <v>0</v>
      </c>
      <c r="Z51" s="37"/>
      <c r="AA51" s="333"/>
      <c r="AB51" s="333"/>
      <c r="AC51" s="333"/>
    </row>
    <row r="52" spans="1:68" ht="16.5" customHeight="1" x14ac:dyDescent="0.25">
      <c r="A52" s="364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5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50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21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8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7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33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customHeight="1" x14ac:dyDescent="0.25">
      <c r="A81" s="364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41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customHeight="1" x14ac:dyDescent="0.25">
      <c r="A86" s="364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61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58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0</v>
      </c>
      <c r="Y90" s="332">
        <f>IFERROR(SUM(Y88:Y89),"0")</f>
        <v>0</v>
      </c>
      <c r="Z90" s="332">
        <f>IFERROR(IF(Z88="",0,Z88),"0")+IFERROR(IF(Z89="",0,Z89),"0")</f>
        <v>0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0</v>
      </c>
      <c r="Y91" s="332">
        <f>IFERROR(SUMPRODUCT(Y88:Y89*H88:H89),"0")</f>
        <v>0</v>
      </c>
      <c r="Z91" s="37"/>
      <c r="AA91" s="333"/>
      <c r="AB91" s="333"/>
      <c r="AC91" s="333"/>
    </row>
    <row r="92" spans="1:68" ht="16.5" customHeight="1" x14ac:dyDescent="0.25">
      <c r="A92" s="364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2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0</v>
      </c>
      <c r="Y95" s="331">
        <f t="shared" si="6"/>
        <v>0</v>
      </c>
      <c r="Z95" s="36">
        <f t="shared" si="7"/>
        <v>0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77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0</v>
      </c>
      <c r="Y97" s="331">
        <f t="shared" si="6"/>
        <v>0</v>
      </c>
      <c r="Z97" s="36">
        <f t="shared" si="7"/>
        <v>0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496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0</v>
      </c>
      <c r="Y100" s="332">
        <f>IFERROR(SUM(Y94:Y99),"0")</f>
        <v>0</v>
      </c>
      <c r="Z100" s="332">
        <f>IFERROR(IF(Z94="",0,Z94),"0")+IFERROR(IF(Z95="",0,Z95),"0")+IFERROR(IF(Z96="",0,Z96),"0")+IFERROR(IF(Z97="",0,Z97),"0")+IFERROR(IF(Z98="",0,Z98),"0")+IFERROR(IF(Z99="",0,Z99),"0")</f>
        <v>0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0</v>
      </c>
      <c r="Y101" s="332">
        <f>IFERROR(SUMPRODUCT(Y94:Y99*H94:H99),"0")</f>
        <v>0</v>
      </c>
      <c r="Z101" s="37"/>
      <c r="AA101" s="333"/>
      <c r="AB101" s="333"/>
      <c r="AC101" s="333"/>
    </row>
    <row r="102" spans="1:68" ht="16.5" customHeight="1" x14ac:dyDescent="0.25">
      <c r="A102" s="364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516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customHeight="1" x14ac:dyDescent="0.25">
      <c r="A109" s="364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05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0</v>
      </c>
      <c r="Y116" s="331">
        <f t="shared" si="12"/>
        <v>0</v>
      </c>
      <c r="Z116" s="36">
        <f t="shared" si="13"/>
        <v>0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0</v>
      </c>
      <c r="Y117" s="332">
        <f>IFERROR(SUM(Y111:Y116),"0")</f>
        <v>0</v>
      </c>
      <c r="Z117" s="332">
        <f>IFERROR(IF(Z111="",0,Z111),"0")+IFERROR(IF(Z112="",0,Z112),"0")+IFERROR(IF(Z113="",0,Z113),"0")+IFERROR(IF(Z114="",0,Z114),"0")+IFERROR(IF(Z115="",0,Z115),"0")+IFERROR(IF(Z116="",0,Z116),"0")</f>
        <v>0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0</v>
      </c>
      <c r="Y118" s="332">
        <f>IFERROR(SUMPRODUCT(Y111:Y116*H111:H116),"0")</f>
        <v>0</v>
      </c>
      <c r="Z118" s="37"/>
      <c r="AA118" s="333"/>
      <c r="AB118" s="333"/>
      <c r="AC118" s="333"/>
    </row>
    <row r="119" spans="1:68" ht="14.25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89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0</v>
      </c>
      <c r="Y125" s="331">
        <f>IFERROR(IF(X125="","",X125),"")</f>
        <v>0</v>
      </c>
      <c r="Z125" s="36">
        <f>IFERROR(IF(X125="","",X125*0.01788),"")</f>
        <v>0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0</v>
      </c>
      <c r="Y126" s="331">
        <f>IFERROR(IF(X126="","",X126),"")</f>
        <v>0</v>
      </c>
      <c r="Z126" s="36">
        <f>IFERROR(IF(X126="","",X126*0.01788),"")</f>
        <v>0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0</v>
      </c>
      <c r="Y127" s="332">
        <f>IFERROR(SUM(Y125:Y126),"0")</f>
        <v>0</v>
      </c>
      <c r="Z127" s="332">
        <f>IFERROR(IF(Z125="",0,Z125),"0")+IFERROR(IF(Z126="",0,Z126),"0")</f>
        <v>0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0</v>
      </c>
      <c r="Y128" s="332">
        <f>IFERROR(SUMPRODUCT(Y125:Y126*H125:H126),"0")</f>
        <v>0</v>
      </c>
      <c r="Z128" s="37"/>
      <c r="AA128" s="333"/>
      <c r="AB128" s="333"/>
      <c r="AC128" s="333"/>
    </row>
    <row r="129" spans="1:68" ht="16.5" customHeight="1" x14ac:dyDescent="0.25">
      <c r="A129" s="364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0</v>
      </c>
      <c r="Y132" s="331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0</v>
      </c>
      <c r="Y133" s="332">
        <f>IFERROR(SUM(Y131:Y132),"0")</f>
        <v>0</v>
      </c>
      <c r="Z133" s="332">
        <f>IFERROR(IF(Z131="",0,Z131),"0")+IFERROR(IF(Z132="",0,Z132),"0")</f>
        <v>0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0</v>
      </c>
      <c r="Y134" s="332">
        <f>IFERROR(SUMPRODUCT(Y131:Y132*H131:H132),"0")</f>
        <v>0</v>
      </c>
      <c r="Z134" s="37"/>
      <c r="AA134" s="333"/>
      <c r="AB134" s="333"/>
      <c r="AC134" s="333"/>
    </row>
    <row r="135" spans="1:68" ht="16.5" customHeight="1" x14ac:dyDescent="0.25">
      <c r="A135" s="364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0</v>
      </c>
      <c r="Y139" s="332">
        <f>IFERROR(SUM(Y137:Y138),"0")</f>
        <v>0</v>
      </c>
      <c r="Z139" s="332">
        <f>IFERROR(IF(Z137="",0,Z137),"0")+IFERROR(IF(Z138="",0,Z138),"0")</f>
        <v>0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0</v>
      </c>
      <c r="Y140" s="332">
        <f>IFERROR(SUMPRODUCT(Y137:Y138*H137:H138),"0")</f>
        <v>0</v>
      </c>
      <c r="Z140" s="37"/>
      <c r="AA140" s="333"/>
      <c r="AB140" s="333"/>
      <c r="AC140" s="333"/>
    </row>
    <row r="141" spans="1:68" ht="16.5" customHeight="1" x14ac:dyDescent="0.25">
      <c r="A141" s="364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2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customHeight="1" x14ac:dyDescent="0.25">
      <c r="A146" s="364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6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3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1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0</v>
      </c>
      <c r="Y184" s="331">
        <f>IFERROR(IF(X184="","",X184),"")</f>
        <v>0</v>
      </c>
      <c r="Z184" s="36">
        <f>IFERROR(IF(X184="","",X184*0.01788),"")</f>
        <v>0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0</v>
      </c>
      <c r="Y185" s="331">
        <f>IFERROR(IF(X185="","",X185),"")</f>
        <v>0</v>
      </c>
      <c r="Z185" s="36">
        <f>IFERROR(IF(X185="","",X185*0.01788),"")</f>
        <v>0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0</v>
      </c>
      <c r="Y186" s="331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0</v>
      </c>
      <c r="Y187" s="332">
        <f>IFERROR(SUM(Y184:Y186),"0")</f>
        <v>0</v>
      </c>
      <c r="Z187" s="332">
        <f>IFERROR(IF(Z184="",0,Z184),"0")+IFERROR(IF(Z185="",0,Z185),"0")+IFERROR(IF(Z186="",0,Z186),"0")</f>
        <v>0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0</v>
      </c>
      <c r="Y188" s="332">
        <f>IFERROR(SUMPRODUCT(Y184:Y186*H184:H186),"0")</f>
        <v>0</v>
      </c>
      <c r="Z188" s="37"/>
      <c r="AA188" s="333"/>
      <c r="AB188" s="333"/>
      <c r="AC188" s="333"/>
    </row>
    <row r="189" spans="1:68" ht="14.25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03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customHeight="1" x14ac:dyDescent="0.25">
      <c r="A209" s="364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customHeight="1" x14ac:dyDescent="0.25">
      <c r="A227" s="364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5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69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75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3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1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65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15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1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108</v>
      </c>
      <c r="Y281" s="331">
        <f>IFERROR(IF(X281="","",X281),"")</f>
        <v>108</v>
      </c>
      <c r="Z281" s="36">
        <f>IFERROR(IF(X281="","",X281*0.00502),"")</f>
        <v>0.54215999999999998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206.82</v>
      </c>
      <c r="BN281" s="67">
        <f>IFERROR(Y281*I281,"0")</f>
        <v>206.82</v>
      </c>
      <c r="BO281" s="67">
        <f>IFERROR(X281/J281,"0")</f>
        <v>0.46153846153846156</v>
      </c>
      <c r="BP281" s="67">
        <f>IFERROR(Y281/J281,"0")</f>
        <v>0.46153846153846156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108</v>
      </c>
      <c r="Y282" s="332">
        <f>IFERROR(SUM(Y281:Y281),"0")</f>
        <v>108</v>
      </c>
      <c r="Z282" s="332">
        <f>IFERROR(IF(Z281="",0,Z281),"0")</f>
        <v>0.54215999999999998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194.4</v>
      </c>
      <c r="Y283" s="332">
        <f>IFERROR(SUMPRODUCT(Y281:Y281*H281:H281),"0")</f>
        <v>194.4</v>
      </c>
      <c r="Z283" s="37"/>
      <c r="AA283" s="333"/>
      <c r="AB283" s="333"/>
      <c r="AC283" s="333"/>
    </row>
    <row r="284" spans="1:68" ht="14.25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336</v>
      </c>
      <c r="Y285" s="331">
        <f>IFERROR(IF(X285="","",X285),"")</f>
        <v>336</v>
      </c>
      <c r="Z285" s="36">
        <f>IFERROR(IF(X285="","",X285*0.0155),"")</f>
        <v>5.2080000000000002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2103.36</v>
      </c>
      <c r="BN285" s="67">
        <f>IFERROR(Y285*I285,"0")</f>
        <v>2103.36</v>
      </c>
      <c r="BO285" s="67">
        <f>IFERROR(X285/J285,"0")</f>
        <v>4</v>
      </c>
      <c r="BP285" s="67">
        <f>IFERROR(Y285/J285,"0")</f>
        <v>4</v>
      </c>
    </row>
    <row r="286" spans="1:68" ht="27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09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336</v>
      </c>
      <c r="Y287" s="332">
        <f>IFERROR(SUM(Y285:Y286),"0")</f>
        <v>336</v>
      </c>
      <c r="Z287" s="332">
        <f>IFERROR(IF(Z285="",0,Z285),"0")+IFERROR(IF(Z286="",0,Z286),"0")</f>
        <v>5.2080000000000002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2016</v>
      </c>
      <c r="Y288" s="332">
        <f>IFERROR(SUMPRODUCT(Y285:Y286*H285:H286),"0")</f>
        <v>2016</v>
      </c>
      <c r="Z288" s="37"/>
      <c r="AA288" s="333"/>
      <c r="AB288" s="333"/>
      <c r="AC288" s="333"/>
    </row>
    <row r="289" spans="1:68" ht="14.25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6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0</v>
      </c>
      <c r="Y293" s="332">
        <f>IFERROR(SUM(Y290:Y292),"0")</f>
        <v>0</v>
      </c>
      <c r="Z293" s="332">
        <f>IFERROR(IF(Z290="",0,Z290),"0")+IFERROR(IF(Z291="",0,Z291),"0")+IFERROR(IF(Z292="",0,Z292),"0")</f>
        <v>0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0</v>
      </c>
      <c r="Y294" s="332">
        <f>IFERROR(SUMPRODUCT(Y290:Y292*H290:H292),"0")</f>
        <v>0</v>
      </c>
      <c r="Z294" s="37"/>
      <c r="AA294" s="333"/>
      <c r="AB294" s="333"/>
      <c r="AC294" s="333"/>
    </row>
    <row r="295" spans="1:68" ht="14.25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54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6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378</v>
      </c>
      <c r="Y297" s="331">
        <f t="shared" si="24"/>
        <v>378</v>
      </c>
      <c r="Z297" s="36">
        <f>IFERROR(IF(X297="","",X297*0.00936),"")</f>
        <v>3.5380799999999999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1471.1759999999999</v>
      </c>
      <c r="BN297" s="67">
        <f t="shared" si="26"/>
        <v>1471.1759999999999</v>
      </c>
      <c r="BO297" s="67">
        <f t="shared" si="27"/>
        <v>3</v>
      </c>
      <c r="BP297" s="67">
        <f t="shared" si="28"/>
        <v>3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336</v>
      </c>
      <c r="Y298" s="331">
        <f t="shared" si="24"/>
        <v>336</v>
      </c>
      <c r="Z298" s="36">
        <f>IFERROR(IF(X298="","",X298*0.0155),"")</f>
        <v>5.2080000000000002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1926.96</v>
      </c>
      <c r="BN298" s="67">
        <f t="shared" si="26"/>
        <v>1926.96</v>
      </c>
      <c r="BO298" s="67">
        <f t="shared" si="27"/>
        <v>4</v>
      </c>
      <c r="BP298" s="67">
        <f t="shared" si="28"/>
        <v>4</v>
      </c>
    </row>
    <row r="299" spans="1:68" ht="27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5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56</v>
      </c>
      <c r="Y301" s="331">
        <f t="shared" si="24"/>
        <v>56</v>
      </c>
      <c r="Z301" s="36">
        <f t="shared" si="29"/>
        <v>0.52415999999999996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178.75200000000001</v>
      </c>
      <c r="BN301" s="67">
        <f t="shared" si="26"/>
        <v>178.75200000000001</v>
      </c>
      <c r="BO301" s="67">
        <f t="shared" si="27"/>
        <v>0.44444444444444442</v>
      </c>
      <c r="BP301" s="67">
        <f t="shared" si="28"/>
        <v>0.44444444444444442</v>
      </c>
    </row>
    <row r="302" spans="1:68" ht="37.5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1266</v>
      </c>
      <c r="Y303" s="331">
        <f t="shared" si="24"/>
        <v>1266</v>
      </c>
      <c r="Z303" s="36">
        <f t="shared" si="29"/>
        <v>11.84976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4927.2719999999999</v>
      </c>
      <c r="BN303" s="67">
        <f t="shared" si="26"/>
        <v>4927.2719999999999</v>
      </c>
      <c r="BO303" s="67">
        <f t="shared" si="27"/>
        <v>10.047619047619047</v>
      </c>
      <c r="BP303" s="67">
        <f t="shared" si="28"/>
        <v>10.047619047619047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1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28</v>
      </c>
      <c r="Y304" s="331">
        <f t="shared" si="24"/>
        <v>28</v>
      </c>
      <c r="Z304" s="36">
        <f t="shared" si="29"/>
        <v>0.26207999999999998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108.976</v>
      </c>
      <c r="BN304" s="67">
        <f t="shared" si="26"/>
        <v>108.976</v>
      </c>
      <c r="BO304" s="67">
        <f t="shared" si="27"/>
        <v>0.22222222222222221</v>
      </c>
      <c r="BP304" s="67">
        <f t="shared" si="28"/>
        <v>0.22222222222222221</v>
      </c>
    </row>
    <row r="305" spans="1:68" ht="37.5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4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9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39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60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45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0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16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8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491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4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2064</v>
      </c>
      <c r="Y317" s="332">
        <f>IFERROR(SUM(Y296:Y316),"0")</f>
        <v>2064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21.382079999999998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8202.4</v>
      </c>
      <c r="Y318" s="332">
        <f>IFERROR(SUMPRODUCT(Y296:Y316*H296:H316),"0")</f>
        <v>8202.4</v>
      </c>
      <c r="Z318" s="37"/>
      <c r="AA318" s="333"/>
      <c r="AB318" s="333"/>
      <c r="AC318" s="333"/>
    </row>
    <row r="319" spans="1:68" ht="16.5" customHeight="1" x14ac:dyDescent="0.25">
      <c r="A319" s="364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07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498</v>
      </c>
      <c r="Q324" s="348"/>
      <c r="R324" s="348"/>
      <c r="S324" s="348"/>
      <c r="T324" s="348"/>
      <c r="U324" s="348"/>
      <c r="V324" s="349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10412.799999999999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10412.799999999999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499</v>
      </c>
      <c r="Q325" s="348"/>
      <c r="R325" s="348"/>
      <c r="S325" s="348"/>
      <c r="T325" s="348"/>
      <c r="U325" s="348"/>
      <c r="V325" s="349"/>
      <c r="W325" s="37" t="s">
        <v>72</v>
      </c>
      <c r="X325" s="332">
        <f>IFERROR(SUM(BM22:BM321),"0")</f>
        <v>10923.316000000001</v>
      </c>
      <c r="Y325" s="332">
        <f>IFERROR(SUM(BN22:BN321),"0")</f>
        <v>10923.316000000001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500</v>
      </c>
      <c r="Q326" s="348"/>
      <c r="R326" s="348"/>
      <c r="S326" s="348"/>
      <c r="T326" s="348"/>
      <c r="U326" s="348"/>
      <c r="V326" s="349"/>
      <c r="W326" s="37" t="s">
        <v>501</v>
      </c>
      <c r="X326" s="38">
        <f>ROUNDUP(SUM(BO22:BO321),0)</f>
        <v>23</v>
      </c>
      <c r="Y326" s="38">
        <f>ROUNDUP(SUM(BP22:BP321),0)</f>
        <v>23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502</v>
      </c>
      <c r="Q327" s="348"/>
      <c r="R327" s="348"/>
      <c r="S327" s="348"/>
      <c r="T327" s="348"/>
      <c r="U327" s="348"/>
      <c r="V327" s="349"/>
      <c r="W327" s="37" t="s">
        <v>72</v>
      </c>
      <c r="X327" s="332">
        <f>GrossWeightTotal+PalletQtyTotal*25</f>
        <v>11498.316000000001</v>
      </c>
      <c r="Y327" s="332">
        <f>GrossWeightTotalR+PalletQtyTotalR*25</f>
        <v>11498.316000000001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503</v>
      </c>
      <c r="Q328" s="348"/>
      <c r="R328" s="348"/>
      <c r="S328" s="348"/>
      <c r="T328" s="348"/>
      <c r="U328" s="348"/>
      <c r="V328" s="349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2508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2508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504</v>
      </c>
      <c r="Q329" s="348"/>
      <c r="R329" s="348"/>
      <c r="S329" s="348"/>
      <c r="T329" s="348"/>
      <c r="U329" s="348"/>
      <c r="V329" s="349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27.132239999999999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58" t="s">
        <v>73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257</v>
      </c>
      <c r="V331" s="424"/>
      <c r="W331" s="327" t="s">
        <v>283</v>
      </c>
      <c r="X331" s="358" t="s">
        <v>302</v>
      </c>
      <c r="Y331" s="492"/>
      <c r="Z331" s="492"/>
      <c r="AA331" s="492"/>
      <c r="AB331" s="492"/>
      <c r="AC331" s="492"/>
      <c r="AD331" s="424"/>
      <c r="AE331" s="327" t="s">
        <v>376</v>
      </c>
      <c r="AF331" s="327" t="s">
        <v>381</v>
      </c>
      <c r="AG331" s="327" t="s">
        <v>388</v>
      </c>
      <c r="AH331" s="358" t="s">
        <v>258</v>
      </c>
      <c r="AI331" s="424"/>
    </row>
    <row r="332" spans="1:68" ht="14.25" customHeight="1" thickTop="1" x14ac:dyDescent="0.2">
      <c r="A332" s="400" t="s">
        <v>507</v>
      </c>
      <c r="B332" s="358" t="s">
        <v>61</v>
      </c>
      <c r="C332" s="358" t="s">
        <v>74</v>
      </c>
      <c r="D332" s="358" t="s">
        <v>88</v>
      </c>
      <c r="E332" s="358" t="s">
        <v>101</v>
      </c>
      <c r="F332" s="358" t="s">
        <v>120</v>
      </c>
      <c r="G332" s="358" t="s">
        <v>149</v>
      </c>
      <c r="H332" s="358" t="s">
        <v>156</v>
      </c>
      <c r="I332" s="358" t="s">
        <v>161</v>
      </c>
      <c r="J332" s="358" t="s">
        <v>171</v>
      </c>
      <c r="K332" s="358" t="s">
        <v>189</v>
      </c>
      <c r="L332" s="358" t="s">
        <v>199</v>
      </c>
      <c r="M332" s="358" t="s">
        <v>218</v>
      </c>
      <c r="N332" s="328"/>
      <c r="O332" s="358" t="s">
        <v>224</v>
      </c>
      <c r="P332" s="358" t="s">
        <v>231</v>
      </c>
      <c r="Q332" s="358" t="s">
        <v>237</v>
      </c>
      <c r="R332" s="358" t="s">
        <v>242</v>
      </c>
      <c r="S332" s="358" t="s">
        <v>245</v>
      </c>
      <c r="T332" s="358" t="s">
        <v>253</v>
      </c>
      <c r="U332" s="358" t="s">
        <v>258</v>
      </c>
      <c r="V332" s="358" t="s">
        <v>262</v>
      </c>
      <c r="W332" s="358" t="s">
        <v>284</v>
      </c>
      <c r="X332" s="358" t="s">
        <v>303</v>
      </c>
      <c r="Y332" s="358" t="s">
        <v>315</v>
      </c>
      <c r="Z332" s="358" t="s">
        <v>325</v>
      </c>
      <c r="AA332" s="358" t="s">
        <v>340</v>
      </c>
      <c r="AB332" s="358" t="s">
        <v>351</v>
      </c>
      <c r="AC332" s="358" t="s">
        <v>366</v>
      </c>
      <c r="AD332" s="358" t="s">
        <v>370</v>
      </c>
      <c r="AE332" s="358" t="s">
        <v>377</v>
      </c>
      <c r="AF332" s="358" t="s">
        <v>382</v>
      </c>
      <c r="AG332" s="358" t="s">
        <v>389</v>
      </c>
      <c r="AH332" s="358" t="s">
        <v>258</v>
      </c>
      <c r="AI332" s="358" t="s">
        <v>493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0</v>
      </c>
      <c r="D334" s="46">
        <f>IFERROR(X35*H35,"0")+IFERROR(X36*H36,"0")+IFERROR(X37*H37,"0")</f>
        <v>0</v>
      </c>
      <c r="E334" s="46">
        <f>IFERROR(X42*H42,"0")+IFERROR(X43*H43,"0")+IFERROR(X44*H44,"0")+IFERROR(X45*H45,"0")+IFERROR(X46*H46,"0")+IFERROR(X47*H47,"0")+IFERROR(X48*H48,"0")+IFERROR(X49*H49,"0")</f>
        <v>0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0</v>
      </c>
      <c r="J334" s="46">
        <f>IFERROR(X94*H94,"0")+IFERROR(X95*H95,"0")+IFERROR(X96*H96,"0")+IFERROR(X97*H97,"0")+IFERROR(X98*H98,"0")+IFERROR(X99*H99,"0")</f>
        <v>0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0</v>
      </c>
      <c r="M334" s="46">
        <f>IFERROR(X125*H125,"0")+IFERROR(X126*H126,"0")</f>
        <v>0</v>
      </c>
      <c r="N334" s="328"/>
      <c r="O334" s="46">
        <f>IFERROR(X131*H131,"0")+IFERROR(X132*H132,"0")</f>
        <v>0</v>
      </c>
      <c r="P334" s="46">
        <f>IFERROR(X137*H137,"0")+IFERROR(X138*H138,"0")</f>
        <v>0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10412.800000000001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0</v>
      </c>
      <c r="B337" s="60">
        <f>SUMPRODUCT(--(BB:BB="ПГП"),--(W:W="кор"),H:H,Y:Y)+SUMPRODUCT(--(BB:BB="ПГП"),--(W:W="кг"),Y:Y)</f>
        <v>10412.800000000001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2025-04-25T07:50:08Z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