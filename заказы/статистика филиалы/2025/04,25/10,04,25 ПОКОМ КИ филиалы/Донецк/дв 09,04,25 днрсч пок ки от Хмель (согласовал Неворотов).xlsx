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CD8E00F9-8B15-4C09-92F5-1F953620BC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6" i="1"/>
  <c r="R5" i="1"/>
  <c r="S5" i="1" l="1"/>
  <c r="AJ5" i="1"/>
  <c r="Q66" i="1"/>
  <c r="Q9" i="1"/>
  <c r="Q10" i="1"/>
  <c r="Q12" i="1"/>
  <c r="Q14" i="1"/>
  <c r="Q15" i="1"/>
  <c r="Q16" i="1"/>
  <c r="Q20" i="1"/>
  <c r="Q21" i="1"/>
  <c r="Q26" i="1"/>
  <c r="Q27" i="1"/>
  <c r="Q29" i="1"/>
  <c r="Q30" i="1"/>
  <c r="Q31" i="1"/>
  <c r="Q32" i="1"/>
  <c r="Q33" i="1"/>
  <c r="Q34" i="1"/>
  <c r="Q36" i="1"/>
  <c r="Q39" i="1"/>
  <c r="Q40" i="1"/>
  <c r="Q41" i="1"/>
  <c r="Q46" i="1"/>
  <c r="Q48" i="1"/>
  <c r="Q49" i="1"/>
  <c r="Q50" i="1"/>
  <c r="Q52" i="1"/>
  <c r="Q57" i="1"/>
  <c r="Q59" i="1"/>
  <c r="Q61" i="1"/>
  <c r="Q63" i="1"/>
  <c r="Q64" i="1"/>
  <c r="Q67" i="1"/>
  <c r="Q68" i="1"/>
  <c r="Q69" i="1"/>
  <c r="Q71" i="1"/>
  <c r="Q72" i="1"/>
  <c r="Q73" i="1"/>
  <c r="Q74" i="1"/>
  <c r="Q75" i="1"/>
  <c r="Q76" i="1"/>
  <c r="Q77" i="1"/>
  <c r="Q78" i="1"/>
  <c r="Q80" i="1"/>
  <c r="Q81" i="1"/>
  <c r="Q82" i="1"/>
  <c r="Q84" i="1"/>
  <c r="Q85" i="1"/>
  <c r="Q86" i="1"/>
  <c r="Q87" i="1"/>
  <c r="Q88" i="1"/>
  <c r="Q90" i="1"/>
  <c r="Q93" i="1"/>
  <c r="Q96" i="1"/>
  <c r="Q97" i="1"/>
  <c r="Q98" i="1"/>
  <c r="Q99" i="1"/>
  <c r="Q100" i="1"/>
  <c r="Q101" i="1"/>
  <c r="V101" i="1" l="1"/>
  <c r="V99" i="1"/>
  <c r="V97" i="1"/>
  <c r="V93" i="1"/>
  <c r="V81" i="1"/>
  <c r="V69" i="1"/>
  <c r="V67" i="1"/>
  <c r="V63" i="1"/>
  <c r="V59" i="1"/>
  <c r="V33" i="1"/>
  <c r="V31" i="1"/>
  <c r="V29" i="1"/>
  <c r="V15" i="1"/>
  <c r="V85" i="1"/>
  <c r="L7" i="1"/>
  <c r="O7" i="1" s="1"/>
  <c r="L8" i="1"/>
  <c r="O8" i="1" s="1"/>
  <c r="L9" i="1"/>
  <c r="O9" i="1" s="1"/>
  <c r="V9" i="1" s="1"/>
  <c r="L10" i="1"/>
  <c r="O10" i="1" s="1"/>
  <c r="V10" i="1" s="1"/>
  <c r="L11" i="1"/>
  <c r="O11" i="1" s="1"/>
  <c r="L12" i="1"/>
  <c r="O12" i="1" s="1"/>
  <c r="V12" i="1" s="1"/>
  <c r="L13" i="1"/>
  <c r="O13" i="1" s="1"/>
  <c r="P13" i="1" s="1"/>
  <c r="Q13" i="1" s="1"/>
  <c r="L14" i="1"/>
  <c r="O14" i="1" s="1"/>
  <c r="V14" i="1" s="1"/>
  <c r="L15" i="1"/>
  <c r="O15" i="1" s="1"/>
  <c r="L16" i="1"/>
  <c r="O16" i="1" s="1"/>
  <c r="V16" i="1" s="1"/>
  <c r="L17" i="1"/>
  <c r="O17" i="1" s="1"/>
  <c r="L18" i="1"/>
  <c r="O18" i="1" s="1"/>
  <c r="P18" i="1" s="1"/>
  <c r="Q18" i="1" s="1"/>
  <c r="L19" i="1"/>
  <c r="O19" i="1" s="1"/>
  <c r="L20" i="1"/>
  <c r="O20" i="1" s="1"/>
  <c r="V20" i="1" s="1"/>
  <c r="L21" i="1"/>
  <c r="O21" i="1" s="1"/>
  <c r="V21" i="1" s="1"/>
  <c r="L22" i="1"/>
  <c r="O22" i="1" s="1"/>
  <c r="L23" i="1"/>
  <c r="O23" i="1" s="1"/>
  <c r="L24" i="1"/>
  <c r="O24" i="1" s="1"/>
  <c r="L25" i="1"/>
  <c r="O25" i="1" s="1"/>
  <c r="L26" i="1"/>
  <c r="O26" i="1" s="1"/>
  <c r="V26" i="1" s="1"/>
  <c r="L27" i="1"/>
  <c r="O27" i="1" s="1"/>
  <c r="V27" i="1" s="1"/>
  <c r="L28" i="1"/>
  <c r="O28" i="1" s="1"/>
  <c r="L29" i="1"/>
  <c r="O29" i="1" s="1"/>
  <c r="L30" i="1"/>
  <c r="O30" i="1" s="1"/>
  <c r="V30" i="1" s="1"/>
  <c r="L31" i="1"/>
  <c r="O31" i="1" s="1"/>
  <c r="L32" i="1"/>
  <c r="O32" i="1" s="1"/>
  <c r="V32" i="1" s="1"/>
  <c r="L33" i="1"/>
  <c r="O33" i="1" s="1"/>
  <c r="L34" i="1"/>
  <c r="O34" i="1" s="1"/>
  <c r="V34" i="1" s="1"/>
  <c r="L35" i="1"/>
  <c r="O35" i="1" s="1"/>
  <c r="L36" i="1"/>
  <c r="O36" i="1" s="1"/>
  <c r="V36" i="1" s="1"/>
  <c r="L37" i="1"/>
  <c r="O37" i="1" s="1"/>
  <c r="L38" i="1"/>
  <c r="O38" i="1" s="1"/>
  <c r="P38" i="1" s="1"/>
  <c r="Q38" i="1" s="1"/>
  <c r="L39" i="1"/>
  <c r="O39" i="1" s="1"/>
  <c r="V39" i="1" s="1"/>
  <c r="L40" i="1"/>
  <c r="O40" i="1" s="1"/>
  <c r="V40" i="1" s="1"/>
  <c r="L41" i="1"/>
  <c r="O41" i="1" s="1"/>
  <c r="V41" i="1" s="1"/>
  <c r="L42" i="1"/>
  <c r="O42" i="1" s="1"/>
  <c r="P42" i="1" s="1"/>
  <c r="Q42" i="1" s="1"/>
  <c r="L43" i="1"/>
  <c r="O43" i="1" s="1"/>
  <c r="L44" i="1"/>
  <c r="O44" i="1" s="1"/>
  <c r="L45" i="1"/>
  <c r="O45" i="1" s="1"/>
  <c r="L46" i="1"/>
  <c r="O46" i="1" s="1"/>
  <c r="V46" i="1" s="1"/>
  <c r="L47" i="1"/>
  <c r="O47" i="1" s="1"/>
  <c r="L48" i="1"/>
  <c r="O48" i="1" s="1"/>
  <c r="V48" i="1" s="1"/>
  <c r="L49" i="1"/>
  <c r="O49" i="1" s="1"/>
  <c r="V49" i="1" s="1"/>
  <c r="L50" i="1"/>
  <c r="O50" i="1" s="1"/>
  <c r="V50" i="1" s="1"/>
  <c r="L51" i="1"/>
  <c r="O51" i="1" s="1"/>
  <c r="L52" i="1"/>
  <c r="O52" i="1" s="1"/>
  <c r="V52" i="1" s="1"/>
  <c r="L53" i="1"/>
  <c r="O53" i="1" s="1"/>
  <c r="L54" i="1"/>
  <c r="O54" i="1" s="1"/>
  <c r="P54" i="1" s="1"/>
  <c r="Q54" i="1" s="1"/>
  <c r="L55" i="1"/>
  <c r="O55" i="1" s="1"/>
  <c r="L56" i="1"/>
  <c r="O56" i="1" s="1"/>
  <c r="P56" i="1" s="1"/>
  <c r="Q56" i="1" s="1"/>
  <c r="L57" i="1"/>
  <c r="O57" i="1" s="1"/>
  <c r="V57" i="1" s="1"/>
  <c r="L58" i="1"/>
  <c r="O58" i="1" s="1"/>
  <c r="P58" i="1" s="1"/>
  <c r="Q58" i="1" s="1"/>
  <c r="L59" i="1"/>
  <c r="O59" i="1" s="1"/>
  <c r="L60" i="1"/>
  <c r="O60" i="1" s="1"/>
  <c r="P60" i="1" s="1"/>
  <c r="Q60" i="1" s="1"/>
  <c r="L61" i="1"/>
  <c r="O61" i="1" s="1"/>
  <c r="V61" i="1" s="1"/>
  <c r="L62" i="1"/>
  <c r="O62" i="1" s="1"/>
  <c r="P62" i="1" s="1"/>
  <c r="Q62" i="1" s="1"/>
  <c r="L63" i="1"/>
  <c r="O63" i="1" s="1"/>
  <c r="L64" i="1"/>
  <c r="O64" i="1" s="1"/>
  <c r="V64" i="1" s="1"/>
  <c r="L65" i="1"/>
  <c r="O65" i="1" s="1"/>
  <c r="L66" i="1"/>
  <c r="O66" i="1" s="1"/>
  <c r="V66" i="1" s="1"/>
  <c r="L67" i="1"/>
  <c r="O67" i="1" s="1"/>
  <c r="L68" i="1"/>
  <c r="O68" i="1" s="1"/>
  <c r="V68" i="1" s="1"/>
  <c r="L69" i="1"/>
  <c r="O69" i="1" s="1"/>
  <c r="L70" i="1"/>
  <c r="O70" i="1" s="1"/>
  <c r="P70" i="1" s="1"/>
  <c r="Q70" i="1" s="1"/>
  <c r="L71" i="1"/>
  <c r="O71" i="1" s="1"/>
  <c r="V71" i="1" s="1"/>
  <c r="L72" i="1"/>
  <c r="O72" i="1" s="1"/>
  <c r="V72" i="1" s="1"/>
  <c r="L73" i="1"/>
  <c r="O73" i="1" s="1"/>
  <c r="V73" i="1" s="1"/>
  <c r="L74" i="1"/>
  <c r="O74" i="1" s="1"/>
  <c r="V74" i="1" s="1"/>
  <c r="L75" i="1"/>
  <c r="O75" i="1" s="1"/>
  <c r="V75" i="1" s="1"/>
  <c r="L76" i="1"/>
  <c r="O76" i="1" s="1"/>
  <c r="V76" i="1" s="1"/>
  <c r="L77" i="1"/>
  <c r="O77" i="1" s="1"/>
  <c r="V77" i="1" s="1"/>
  <c r="L78" i="1"/>
  <c r="O78" i="1" s="1"/>
  <c r="V78" i="1" s="1"/>
  <c r="L79" i="1"/>
  <c r="O79" i="1" s="1"/>
  <c r="P79" i="1" s="1"/>
  <c r="Q79" i="1" s="1"/>
  <c r="L80" i="1"/>
  <c r="O80" i="1" s="1"/>
  <c r="V80" i="1" s="1"/>
  <c r="L81" i="1"/>
  <c r="O81" i="1" s="1"/>
  <c r="L82" i="1"/>
  <c r="O82" i="1" s="1"/>
  <c r="V82" i="1" s="1"/>
  <c r="L83" i="1"/>
  <c r="O83" i="1" s="1"/>
  <c r="L84" i="1"/>
  <c r="O84" i="1" s="1"/>
  <c r="V84" i="1" s="1"/>
  <c r="L85" i="1"/>
  <c r="O85" i="1" s="1"/>
  <c r="L86" i="1"/>
  <c r="O86" i="1" s="1"/>
  <c r="V86" i="1" s="1"/>
  <c r="L87" i="1"/>
  <c r="O87" i="1" s="1"/>
  <c r="V87" i="1" s="1"/>
  <c r="L88" i="1"/>
  <c r="O88" i="1" s="1"/>
  <c r="V88" i="1" s="1"/>
  <c r="L89" i="1"/>
  <c r="O89" i="1" s="1"/>
  <c r="L90" i="1"/>
  <c r="O90" i="1" s="1"/>
  <c r="L91" i="1"/>
  <c r="O91" i="1" s="1"/>
  <c r="P91" i="1" s="1"/>
  <c r="Q91" i="1" s="1"/>
  <c r="L92" i="1"/>
  <c r="O92" i="1" s="1"/>
  <c r="W92" i="1" s="1"/>
  <c r="L93" i="1"/>
  <c r="O93" i="1" s="1"/>
  <c r="L94" i="1"/>
  <c r="O94" i="1" s="1"/>
  <c r="W94" i="1" s="1"/>
  <c r="L95" i="1"/>
  <c r="O95" i="1" s="1"/>
  <c r="L96" i="1"/>
  <c r="O96" i="1" s="1"/>
  <c r="L97" i="1"/>
  <c r="O97" i="1" s="1"/>
  <c r="W97" i="1" s="1"/>
  <c r="L98" i="1"/>
  <c r="O98" i="1" s="1"/>
  <c r="L99" i="1"/>
  <c r="O99" i="1" s="1"/>
  <c r="W99" i="1" s="1"/>
  <c r="L100" i="1"/>
  <c r="O100" i="1" s="1"/>
  <c r="L101" i="1"/>
  <c r="O101" i="1" s="1"/>
  <c r="L6" i="1"/>
  <c r="O6" i="1" s="1"/>
  <c r="W100" i="1" l="1"/>
  <c r="V100" i="1"/>
  <c r="W98" i="1"/>
  <c r="V98" i="1"/>
  <c r="W96" i="1"/>
  <c r="V96" i="1"/>
  <c r="W90" i="1"/>
  <c r="V90" i="1"/>
  <c r="V70" i="1"/>
  <c r="V62" i="1"/>
  <c r="V60" i="1"/>
  <c r="V58" i="1"/>
  <c r="V56" i="1"/>
  <c r="V54" i="1"/>
  <c r="V42" i="1"/>
  <c r="V38" i="1"/>
  <c r="V18" i="1"/>
  <c r="V91" i="1"/>
  <c r="V79" i="1"/>
  <c r="V13" i="1"/>
  <c r="P94" i="1"/>
  <c r="P92" i="1"/>
  <c r="Q92" i="1" s="1"/>
  <c r="W101" i="1"/>
  <c r="W95" i="1"/>
  <c r="P95" i="1"/>
  <c r="W93" i="1"/>
  <c r="W91" i="1"/>
  <c r="P89" i="1"/>
  <c r="P83" i="1"/>
  <c r="Q83" i="1" s="1"/>
  <c r="P65" i="1"/>
  <c r="P7" i="1"/>
  <c r="P23" i="1"/>
  <c r="Q23" i="1" s="1"/>
  <c r="P25" i="1"/>
  <c r="P43" i="1"/>
  <c r="P45" i="1"/>
  <c r="Q45" i="1" s="1"/>
  <c r="P47" i="1"/>
  <c r="P51" i="1"/>
  <c r="P6" i="1"/>
  <c r="P8" i="1"/>
  <c r="P11" i="1"/>
  <c r="P17" i="1"/>
  <c r="P19" i="1"/>
  <c r="P22" i="1"/>
  <c r="Q22" i="1" s="1"/>
  <c r="P24" i="1"/>
  <c r="Q24" i="1" s="1"/>
  <c r="P28" i="1"/>
  <c r="P35" i="1"/>
  <c r="P37" i="1"/>
  <c r="P44" i="1"/>
  <c r="P53" i="1"/>
  <c r="P55" i="1"/>
  <c r="P66" i="1"/>
  <c r="W84" i="1"/>
  <c r="W76" i="1"/>
  <c r="W68" i="1"/>
  <c r="W60" i="1"/>
  <c r="W52" i="1"/>
  <c r="W44" i="1"/>
  <c r="W36" i="1"/>
  <c r="W28" i="1"/>
  <c r="W21" i="1"/>
  <c r="W14" i="1"/>
  <c r="W88" i="1"/>
  <c r="W80" i="1"/>
  <c r="W72" i="1"/>
  <c r="W64" i="1"/>
  <c r="W56" i="1"/>
  <c r="W48" i="1"/>
  <c r="W40" i="1"/>
  <c r="W32" i="1"/>
  <c r="W24" i="1"/>
  <c r="W18" i="1"/>
  <c r="W10" i="1"/>
  <c r="W6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16" i="1"/>
  <c r="W12" i="1"/>
  <c r="W8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2" i="1"/>
  <c r="W20" i="1"/>
  <c r="W19" i="1"/>
  <c r="W17" i="1"/>
  <c r="W15" i="1"/>
  <c r="W13" i="1"/>
  <c r="W11" i="1"/>
  <c r="W9" i="1"/>
  <c r="W7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O5" i="1"/>
  <c r="N5" i="1"/>
  <c r="M5" i="1"/>
  <c r="L5" i="1"/>
  <c r="J5" i="1"/>
  <c r="F5" i="1"/>
  <c r="E5" i="1"/>
  <c r="Q55" i="1" l="1"/>
  <c r="Q35" i="1"/>
  <c r="Q19" i="1"/>
  <c r="Q11" i="1"/>
  <c r="Q6" i="1"/>
  <c r="Q47" i="1"/>
  <c r="Q43" i="1"/>
  <c r="Q25" i="1"/>
  <c r="Q7" i="1"/>
  <c r="Q53" i="1"/>
  <c r="Q44" i="1"/>
  <c r="Q37" i="1"/>
  <c r="Q28" i="1"/>
  <c r="Q17" i="1"/>
  <c r="Q8" i="1"/>
  <c r="Q51" i="1"/>
  <c r="Q65" i="1"/>
  <c r="Q89" i="1"/>
  <c r="Q95" i="1"/>
  <c r="Q94" i="1"/>
  <c r="P5" i="1"/>
  <c r="K5" i="1"/>
  <c r="V95" i="1" l="1"/>
  <c r="V65" i="1"/>
  <c r="V45" i="1"/>
  <c r="V8" i="1"/>
  <c r="V22" i="1"/>
  <c r="V37" i="1"/>
  <c r="V53" i="1"/>
  <c r="V83" i="1"/>
  <c r="V25" i="1"/>
  <c r="V47" i="1"/>
  <c r="V11" i="1"/>
  <c r="V24" i="1"/>
  <c r="V55" i="1"/>
  <c r="V94" i="1"/>
  <c r="V89" i="1"/>
  <c r="V23" i="1"/>
  <c r="V51" i="1"/>
  <c r="V17" i="1"/>
  <c r="V28" i="1"/>
  <c r="V44" i="1"/>
  <c r="V92" i="1"/>
  <c r="V7" i="1"/>
  <c r="V43" i="1"/>
  <c r="V6" i="1"/>
  <c r="V19" i="1"/>
  <c r="V35" i="1"/>
  <c r="Q5" i="1"/>
  <c r="AI5" i="1" l="1"/>
</calcChain>
</file>

<file path=xl/sharedStrings.xml><?xml version="1.0" encoding="utf-8"?>
<sst xmlns="http://schemas.openxmlformats.org/spreadsheetml/2006/main" count="404" uniqueCount="176">
  <si>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</si>
  <si>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</si>
  <si>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</si>
  <si>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</si>
  <si>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</si>
  <si>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</si>
  <si>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</si>
  <si>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</si>
  <si>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</si>
  <si>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</si>
  <si>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</si>
  <si>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</si>
  <si>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</si>
  <si>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</si>
  <si>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</si>
  <si>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</si>
  <si>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</si>
  <si>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</si>
  <si>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</si>
  <si>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</si>
  <si>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</si>
  <si>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</si>
  <si>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</si>
  <si>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</si>
  <si>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</si>
  <si>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</si>
  <si>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</si>
  <si>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</si>
  <si>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</si>
  <si>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</si>
  <si>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</si>
  <si>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</si>
  <si>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</si>
  <si>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</si>
  <si>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</si>
  <si>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</si>
  <si>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</si>
  <si>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</si>
  <si>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</si>
  <si>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</si>
  <si>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</si>
  <si>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</si>
  <si>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</si>
  <si>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</si>
  <si>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</si>
  <si>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</si>
  <si>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</si>
  <si>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</si>
  <si>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</si>
  <si>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</si>
  <si>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</si>
  <si>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</si>
  <si>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117  Колбаса Сервелат Филейбургский с ароматными пряностями, в/у 0,35 кг срез, БАВАРУШКА ПОКОМ</t>
  </si>
  <si>
    <t>с 02,04,25 заказываем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</si>
  <si>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</si>
  <si>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</si>
  <si>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 / 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</si>
  <si>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</si>
  <si>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</si>
  <si>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</si>
  <si>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</si>
  <si>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</si>
  <si>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</si>
  <si>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</si>
  <si>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</si>
  <si>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</si>
  <si>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</si>
  <si>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</si>
  <si>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</si>
  <si>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</si>
  <si>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</si>
  <si>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</si>
  <si>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</si>
  <si>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</si>
  <si>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</si>
  <si>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</si>
  <si>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</si>
  <si>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</si>
  <si>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</si>
  <si>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</si>
  <si>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</si>
  <si>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нет уже акции / матрица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</si>
  <si>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</si>
  <si>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</si>
  <si>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</si>
  <si>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</si>
  <si>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</si>
  <si>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</si>
  <si>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</si>
  <si>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</si>
  <si>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</si>
  <si>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</si>
  <si>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</si>
  <si>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</si>
  <si>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</si>
  <si>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</si>
  <si>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</si>
  <si>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</si>
  <si>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</si>
  <si>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</si>
  <si>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</si>
  <si>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</si>
  <si>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</si>
  <si>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</si>
  <si>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</si>
  <si>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</si>
  <si>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</si>
  <si>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</si>
  <si>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</si>
  <si>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</si>
  <si>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</si>
  <si>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</si>
  <si>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</si>
  <si>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</si>
  <si>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</si>
  <si>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</si>
  <si>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</si>
  <si>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</si>
  <si>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</si>
  <si>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</si>
  <si>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</si>
  <si>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ТС Обжора / Акция ЮТЛ Март месяц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</si>
  <si>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</si>
  <si>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</si>
  <si>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</si>
  <si>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</si>
  <si>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</si>
  <si>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</si>
  <si>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</si>
  <si>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</si>
  <si>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440  Колбаса Любительская ТМ Вязанка в оболочке полиамид.ВЕС ПОКОМ </t>
  </si>
  <si>
    <t>нужно увеличить продажи / 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</si>
  <si>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</si>
  <si>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</si>
  <si>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</si>
  <si>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</si>
  <si>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</si>
  <si>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</si>
  <si>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</si>
  <si>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</si>
  <si>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</si>
  <si>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</si>
  <si>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 / 11,03,25 списание 7кг (недостача) / 22,01,25 списание 10кг (недостача)</t>
  </si>
  <si>
    <t xml:space="preserve"> 463  Колбаса Молочная Традиционнаяв оболочке полиамид.ТМ Стародворье. ВЕС ПОКОМ</t>
  </si>
  <si>
    <t>нужно увеличить продажи / 20,12,24 в уценку 51кг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</si>
  <si>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</si>
  <si>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</si>
  <si>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>с 13,02,25 заказываем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</si>
  <si>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</si>
  <si>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</si>
  <si>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</si>
  <si>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</si>
  <si>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</si>
  <si>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</si>
  <si>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</si>
  <si>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</si>
  <si>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</si>
  <si>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</si>
  <si>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</si>
  <si>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</si>
  <si>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</si>
  <si>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</si>
  <si>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новинка</t>
  </si>
  <si>
    <t>517  Сосиски С сыром ТМ Ядрена копоть 0,3кг  ПОКОМ</t>
  </si>
  <si>
    <t>помощь заводу СОСГ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</si>
  <si>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</si>
  <si>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25,01,25 в уценку 108кг</t>
    </r>
  </si>
  <si>
    <t>нужно увеличить продажи / 20,12,24 в уценку 121кг</t>
  </si>
  <si>
    <t>нужно увеличить продажи / ТМА март / 28,03,25 филиал обнулил</t>
  </si>
  <si>
    <t>завод не отгружает / ТС Обжора</t>
  </si>
  <si>
    <t>06,01,25 в уценку 13шт.</t>
  </si>
  <si>
    <t>не нужно уже такое количество !!!</t>
  </si>
  <si>
    <t>итого</t>
  </si>
  <si>
    <t>заказ</t>
  </si>
  <si>
    <t>12,04,(1)</t>
  </si>
  <si>
    <t>12,04,(2)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</si>
</sst>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4" fillId="5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8.5703125" customWidth="1"/>
    <col min="10" max="20" width="7" customWidth="1"/>
    <col min="21" max="21" width="17" customWidth="1"/>
    <col min="22" max="23" width="5" customWidth="1"/>
    <col min="24" max="33" width="6" customWidth="1"/>
    <col min="34" max="34" width="22.85546875" customWidth="1"/>
    <col min="35" max="36" width="7" customWidth="1"/>
    <col min="37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172</v>
      </c>
      <c r="R3" s="3" t="s">
        <v>173</v>
      </c>
      <c r="S3" s="3" t="s">
        <v>173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2" t="s">
        <v>22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 t="s">
        <v>174</v>
      </c>
      <c r="S4" s="1" t="s">
        <v>175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174</v>
      </c>
      <c r="AJ4" s="1" t="s">
        <v>175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38967.932000000001</v>
      </c>
      <c r="F5" s="4">
        <f>SUM(F6:F496)</f>
        <v>43398.533999999992</v>
      </c>
      <c r="G5" s="7"/>
      <c r="H5" s="1"/>
      <c r="I5" s="1"/>
      <c r="J5" s="4">
        <f t="shared" ref="J5:T5" si="0">SUM(J6:J496)</f>
        <v>42535.383000000009</v>
      </c>
      <c r="K5" s="4">
        <f t="shared" si="0"/>
        <v>-3567.4509999999982</v>
      </c>
      <c r="L5" s="4">
        <f t="shared" si="0"/>
        <v>31322.781000000003</v>
      </c>
      <c r="M5" s="4">
        <f t="shared" si="0"/>
        <v>7645.1509999999989</v>
      </c>
      <c r="N5" s="4">
        <f t="shared" si="0"/>
        <v>7568.9642999999996</v>
      </c>
      <c r="O5" s="4">
        <f t="shared" si="0"/>
        <v>6264.5562000000027</v>
      </c>
      <c r="P5" s="4">
        <f t="shared" si="0"/>
        <v>15181.546300000004</v>
      </c>
      <c r="Q5" s="4">
        <f t="shared" si="0"/>
        <v>15732.282100000006</v>
      </c>
      <c r="R5" s="4">
        <f t="shared" si="0"/>
        <v>3390</v>
      </c>
      <c r="S5" s="4">
        <f t="shared" ref="S5" si="1">SUM(S6:S496)</f>
        <v>12342.282100000006</v>
      </c>
      <c r="T5" s="4">
        <f t="shared" si="0"/>
        <v>100</v>
      </c>
      <c r="U5" s="1"/>
      <c r="V5" s="1"/>
      <c r="W5" s="1"/>
      <c r="X5" s="4">
        <f t="shared" ref="X5:AG5" si="2">SUM(X6:X496)</f>
        <v>6602.5181999999968</v>
      </c>
      <c r="Y5" s="4">
        <f t="shared" si="2"/>
        <v>6738.6427999999996</v>
      </c>
      <c r="Z5" s="4">
        <f t="shared" si="2"/>
        <v>8099.2839999999978</v>
      </c>
      <c r="AA5" s="4">
        <f t="shared" si="2"/>
        <v>7788.2935999999972</v>
      </c>
      <c r="AB5" s="4">
        <f t="shared" si="2"/>
        <v>7042.1528000000008</v>
      </c>
      <c r="AC5" s="4">
        <f t="shared" si="2"/>
        <v>7176.4040000000005</v>
      </c>
      <c r="AD5" s="4">
        <f t="shared" si="2"/>
        <v>8085.7244000000019</v>
      </c>
      <c r="AE5" s="4">
        <f t="shared" si="2"/>
        <v>8386.0056000000004</v>
      </c>
      <c r="AF5" s="4">
        <f t="shared" si="2"/>
        <v>5772.4477999999981</v>
      </c>
      <c r="AG5" s="4">
        <f t="shared" si="2"/>
        <v>6066.6614000000009</v>
      </c>
      <c r="AH5" s="1"/>
      <c r="AI5" s="4">
        <f>SUM(AI6:AI496)</f>
        <v>3390</v>
      </c>
      <c r="AJ5" s="4">
        <f>SUM(AJ6:AJ496)</f>
        <v>9078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515.39200000000005</v>
      </c>
      <c r="D6" s="1">
        <v>345.65899999999999</v>
      </c>
      <c r="E6" s="1">
        <v>323.41399999999999</v>
      </c>
      <c r="F6" s="1">
        <v>494.92200000000003</v>
      </c>
      <c r="G6" s="7">
        <v>1</v>
      </c>
      <c r="H6" s="1">
        <v>50</v>
      </c>
      <c r="I6" s="1" t="s">
        <v>37</v>
      </c>
      <c r="J6" s="1">
        <v>327.666</v>
      </c>
      <c r="K6" s="1">
        <f t="shared" ref="K6:K34" si="3">E6-J6</f>
        <v>-4.2520000000000095</v>
      </c>
      <c r="L6" s="1">
        <f>E6-M6</f>
        <v>291.06</v>
      </c>
      <c r="M6" s="1">
        <v>32.353999999999999</v>
      </c>
      <c r="N6" s="1"/>
      <c r="O6" s="1">
        <f>L6/5</f>
        <v>58.212000000000003</v>
      </c>
      <c r="P6" s="5">
        <f>10*O6-N6-F6</f>
        <v>87.197999999999979</v>
      </c>
      <c r="Q6" s="5">
        <f>P6</f>
        <v>87.197999999999979</v>
      </c>
      <c r="R6" s="5"/>
      <c r="S6" s="5">
        <f>Q6-R6</f>
        <v>87.197999999999979</v>
      </c>
      <c r="T6" s="5"/>
      <c r="U6" s="1"/>
      <c r="V6" s="1">
        <f>(F6+N6+Q6)/O6</f>
        <v>10</v>
      </c>
      <c r="W6" s="1">
        <f>(F6+N6)/O6</f>
        <v>8.5020614306328586</v>
      </c>
      <c r="X6" s="1">
        <v>45.116999999999997</v>
      </c>
      <c r="Y6" s="1">
        <v>68.706600000000009</v>
      </c>
      <c r="Z6" s="1">
        <v>96.895799999999994</v>
      </c>
      <c r="AA6" s="1">
        <v>71.089200000000005</v>
      </c>
      <c r="AB6" s="1">
        <v>93.330200000000005</v>
      </c>
      <c r="AC6" s="1">
        <v>80.022000000000006</v>
      </c>
      <c r="AD6" s="1">
        <v>144.82320000000001</v>
      </c>
      <c r="AE6" s="1">
        <v>143.60640000000001</v>
      </c>
      <c r="AF6" s="1">
        <v>27.6326</v>
      </c>
      <c r="AG6" s="1">
        <v>66.67179999999999</v>
      </c>
      <c r="AH6" s="1"/>
      <c r="AI6" s="1">
        <f>ROUND(G6*R6,0)</f>
        <v>0</v>
      </c>
      <c r="AJ6" s="1">
        <f>ROUND(G6*S6,0)</f>
        <v>87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36</v>
      </c>
      <c r="C7" s="1">
        <v>489.79500000000002</v>
      </c>
      <c r="D7" s="1">
        <v>124.322</v>
      </c>
      <c r="E7" s="1">
        <v>297.30900000000003</v>
      </c>
      <c r="F7" s="1">
        <v>257.82499999999999</v>
      </c>
      <c r="G7" s="7">
        <v>1</v>
      </c>
      <c r="H7" s="1">
        <v>45</v>
      </c>
      <c r="I7" s="1" t="s">
        <v>37</v>
      </c>
      <c r="J7" s="1">
        <v>295.072</v>
      </c>
      <c r="K7" s="1">
        <f t="shared" si="3"/>
        <v>2.2370000000000232</v>
      </c>
      <c r="L7" s="1">
        <f t="shared" ref="L7:L68" si="4">E7-M7</f>
        <v>286.42700000000002</v>
      </c>
      <c r="M7" s="1">
        <v>10.882</v>
      </c>
      <c r="N7" s="1"/>
      <c r="O7" s="1">
        <f t="shared" ref="O7:O68" si="5">L7/5</f>
        <v>57.285400000000003</v>
      </c>
      <c r="P7" s="5">
        <f t="shared" ref="P7:P8" si="6">10*O7-N7-F7</f>
        <v>315.02900000000005</v>
      </c>
      <c r="Q7" s="5">
        <f t="shared" ref="Q7:Q70" si="7">P7</f>
        <v>315.02900000000005</v>
      </c>
      <c r="R7" s="5"/>
      <c r="S7" s="5">
        <f t="shared" ref="S7:S70" si="8">Q7-R7</f>
        <v>315.02900000000005</v>
      </c>
      <c r="T7" s="5"/>
      <c r="U7" s="1"/>
      <c r="V7" s="1">
        <f t="shared" ref="V7:V70" si="9">(F7+N7+Q7)/O7</f>
        <v>10</v>
      </c>
      <c r="W7" s="1">
        <f t="shared" ref="W7:W68" si="10">(F7+N7)/O7</f>
        <v>4.5007104777133433</v>
      </c>
      <c r="X7" s="1">
        <v>34.498199999999997</v>
      </c>
      <c r="Y7" s="1">
        <v>32.542400000000001</v>
      </c>
      <c r="Z7" s="1">
        <v>57.383600000000001</v>
      </c>
      <c r="AA7" s="1">
        <v>49.0274</v>
      </c>
      <c r="AB7" s="1">
        <v>77.212400000000002</v>
      </c>
      <c r="AC7" s="1">
        <v>41.129399999999997</v>
      </c>
      <c r="AD7" s="1">
        <v>55.119000000000007</v>
      </c>
      <c r="AE7" s="1">
        <v>58.762999999999998</v>
      </c>
      <c r="AF7" s="1">
        <v>33.579599999999999</v>
      </c>
      <c r="AG7" s="1">
        <v>58.685000000000002</v>
      </c>
      <c r="AH7" s="1"/>
      <c r="AI7" s="1">
        <f t="shared" ref="AI7:AI70" si="11">ROUND(G7*R7,0)</f>
        <v>0</v>
      </c>
      <c r="AJ7" s="1">
        <f t="shared" ref="AJ7:AJ70" si="12">ROUND(G7*S7,0)</f>
        <v>315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1337.127</v>
      </c>
      <c r="D8" s="1">
        <v>89.512</v>
      </c>
      <c r="E8" s="1">
        <v>644.20799999999997</v>
      </c>
      <c r="F8" s="1">
        <v>669.255</v>
      </c>
      <c r="G8" s="7">
        <v>1</v>
      </c>
      <c r="H8" s="1">
        <v>45</v>
      </c>
      <c r="I8" s="1" t="s">
        <v>37</v>
      </c>
      <c r="J8" s="1">
        <v>638.21199999999999</v>
      </c>
      <c r="K8" s="1">
        <f t="shared" si="3"/>
        <v>5.9959999999999809</v>
      </c>
      <c r="L8" s="1">
        <f t="shared" si="4"/>
        <v>635.96399999999994</v>
      </c>
      <c r="M8" s="1">
        <v>8.2439999999999998</v>
      </c>
      <c r="N8" s="1"/>
      <c r="O8" s="1">
        <f t="shared" si="5"/>
        <v>127.19279999999999</v>
      </c>
      <c r="P8" s="5">
        <f t="shared" si="6"/>
        <v>602.67299999999989</v>
      </c>
      <c r="Q8" s="5">
        <f t="shared" si="7"/>
        <v>602.67299999999989</v>
      </c>
      <c r="R8" s="5"/>
      <c r="S8" s="5">
        <f t="shared" si="8"/>
        <v>602.67299999999989</v>
      </c>
      <c r="T8" s="5"/>
      <c r="U8" s="1"/>
      <c r="V8" s="1">
        <f t="shared" si="9"/>
        <v>10</v>
      </c>
      <c r="W8" s="1">
        <f t="shared" si="10"/>
        <v>5.2617365133875502</v>
      </c>
      <c r="X8" s="1">
        <v>89.702200000000005</v>
      </c>
      <c r="Y8" s="1">
        <v>109.47539999999999</v>
      </c>
      <c r="Z8" s="1">
        <v>129.8152</v>
      </c>
      <c r="AA8" s="1">
        <v>119.22799999999999</v>
      </c>
      <c r="AB8" s="1">
        <v>205.73759999999999</v>
      </c>
      <c r="AC8" s="1">
        <v>109.92359999999999</v>
      </c>
      <c r="AD8" s="1">
        <v>142.90219999999999</v>
      </c>
      <c r="AE8" s="1">
        <v>153.07419999999999</v>
      </c>
      <c r="AF8" s="1">
        <v>115.43940000000001</v>
      </c>
      <c r="AG8" s="1">
        <v>139.3664</v>
      </c>
      <c r="AH8" s="1"/>
      <c r="AI8" s="1">
        <f t="shared" si="11"/>
        <v>0</v>
      </c>
      <c r="AJ8" s="1">
        <f t="shared" si="12"/>
        <v>603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3" t="s">
        <v>41</v>
      </c>
      <c r="B9" s="13" t="s">
        <v>42</v>
      </c>
      <c r="C9" s="13"/>
      <c r="D9" s="13">
        <v>1</v>
      </c>
      <c r="E9" s="13">
        <v>1</v>
      </c>
      <c r="F9" s="13"/>
      <c r="G9" s="14">
        <v>0</v>
      </c>
      <c r="H9" s="13" t="e">
        <v>#N/A</v>
      </c>
      <c r="I9" s="13" t="s">
        <v>59</v>
      </c>
      <c r="J9" s="13"/>
      <c r="K9" s="13">
        <f t="shared" si="3"/>
        <v>1</v>
      </c>
      <c r="L9" s="13">
        <f t="shared" si="4"/>
        <v>1</v>
      </c>
      <c r="M9" s="13"/>
      <c r="N9" s="13"/>
      <c r="O9" s="13">
        <f t="shared" si="5"/>
        <v>0.2</v>
      </c>
      <c r="P9" s="15"/>
      <c r="Q9" s="5">
        <f t="shared" si="7"/>
        <v>0</v>
      </c>
      <c r="R9" s="5"/>
      <c r="S9" s="5">
        <f t="shared" si="8"/>
        <v>0</v>
      </c>
      <c r="T9" s="15"/>
      <c r="U9" s="13"/>
      <c r="V9" s="1">
        <f t="shared" si="9"/>
        <v>0</v>
      </c>
      <c r="W9" s="13">
        <f t="shared" si="10"/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/>
      <c r="AI9" s="1">
        <f t="shared" si="11"/>
        <v>0</v>
      </c>
      <c r="AJ9" s="1">
        <f t="shared" si="12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438</v>
      </c>
      <c r="D10" s="1">
        <v>2622</v>
      </c>
      <c r="E10" s="1">
        <v>1899</v>
      </c>
      <c r="F10" s="1">
        <v>741.48</v>
      </c>
      <c r="G10" s="7">
        <v>0.45</v>
      </c>
      <c r="H10" s="1">
        <v>45</v>
      </c>
      <c r="I10" s="12" t="s">
        <v>44</v>
      </c>
      <c r="J10" s="1">
        <v>1934</v>
      </c>
      <c r="K10" s="1">
        <f t="shared" si="3"/>
        <v>-35</v>
      </c>
      <c r="L10" s="1">
        <f t="shared" si="4"/>
        <v>1767</v>
      </c>
      <c r="M10" s="1">
        <v>132</v>
      </c>
      <c r="N10" s="1">
        <v>0</v>
      </c>
      <c r="O10" s="1">
        <f t="shared" si="5"/>
        <v>353.4</v>
      </c>
      <c r="P10" s="5">
        <v>500</v>
      </c>
      <c r="Q10" s="5">
        <f t="shared" si="7"/>
        <v>500</v>
      </c>
      <c r="R10" s="5"/>
      <c r="S10" s="5">
        <f t="shared" si="8"/>
        <v>500</v>
      </c>
      <c r="T10" s="5"/>
      <c r="U10" s="1"/>
      <c r="V10" s="1">
        <f t="shared" si="9"/>
        <v>3.5129598189020941</v>
      </c>
      <c r="W10" s="1">
        <f t="shared" si="10"/>
        <v>2.0981324278438032</v>
      </c>
      <c r="X10" s="1">
        <v>280.2</v>
      </c>
      <c r="Y10" s="1">
        <v>187.2</v>
      </c>
      <c r="Z10" s="1">
        <v>126</v>
      </c>
      <c r="AA10" s="1">
        <v>110</v>
      </c>
      <c r="AB10" s="1">
        <v>136</v>
      </c>
      <c r="AC10" s="1">
        <v>117.8</v>
      </c>
      <c r="AD10" s="1">
        <v>121</v>
      </c>
      <c r="AE10" s="1">
        <v>156.19999999999999</v>
      </c>
      <c r="AF10" s="1">
        <v>126.8</v>
      </c>
      <c r="AG10" s="1">
        <v>108.4</v>
      </c>
      <c r="AH10" s="1" t="s">
        <v>45</v>
      </c>
      <c r="AI10" s="1">
        <f t="shared" si="11"/>
        <v>0</v>
      </c>
      <c r="AJ10" s="1">
        <f t="shared" si="12"/>
        <v>225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42</v>
      </c>
      <c r="C11" s="1">
        <v>486</v>
      </c>
      <c r="D11" s="1">
        <v>2739</v>
      </c>
      <c r="E11" s="1">
        <v>1477</v>
      </c>
      <c r="F11" s="1">
        <v>1424</v>
      </c>
      <c r="G11" s="7">
        <v>0.45</v>
      </c>
      <c r="H11" s="1">
        <v>45</v>
      </c>
      <c r="I11" s="1" t="s">
        <v>37</v>
      </c>
      <c r="J11" s="1">
        <v>1498</v>
      </c>
      <c r="K11" s="1">
        <f t="shared" si="3"/>
        <v>-21</v>
      </c>
      <c r="L11" s="1">
        <f t="shared" si="4"/>
        <v>1291</v>
      </c>
      <c r="M11" s="1">
        <v>186</v>
      </c>
      <c r="N11" s="1">
        <v>517.48699999999963</v>
      </c>
      <c r="O11" s="1">
        <f t="shared" si="5"/>
        <v>258.2</v>
      </c>
      <c r="P11" s="5">
        <f t="shared" ref="P11:P19" si="13">10*O11-N11-F11</f>
        <v>640.51300000000037</v>
      </c>
      <c r="Q11" s="5">
        <f t="shared" si="7"/>
        <v>640.51300000000037</v>
      </c>
      <c r="R11" s="5"/>
      <c r="S11" s="5">
        <f t="shared" si="8"/>
        <v>640.51300000000037</v>
      </c>
      <c r="T11" s="5"/>
      <c r="U11" s="1"/>
      <c r="V11" s="1">
        <f t="shared" si="9"/>
        <v>10</v>
      </c>
      <c r="W11" s="1">
        <f t="shared" si="10"/>
        <v>7.5193144848954292</v>
      </c>
      <c r="X11" s="1">
        <v>260.39999999999998</v>
      </c>
      <c r="Y11" s="1">
        <v>263.2174</v>
      </c>
      <c r="Z11" s="1">
        <v>249.81739999999999</v>
      </c>
      <c r="AA11" s="1">
        <v>228.09</v>
      </c>
      <c r="AB11" s="1">
        <v>223.09</v>
      </c>
      <c r="AC11" s="1">
        <v>198.27420000000001</v>
      </c>
      <c r="AD11" s="1">
        <v>205.67420000000001</v>
      </c>
      <c r="AE11" s="1">
        <v>249.8</v>
      </c>
      <c r="AF11" s="1">
        <v>222.59</v>
      </c>
      <c r="AG11" s="1">
        <v>199.79</v>
      </c>
      <c r="AH11" s="1" t="s">
        <v>45</v>
      </c>
      <c r="AI11" s="1">
        <f t="shared" si="11"/>
        <v>0</v>
      </c>
      <c r="AJ11" s="1">
        <f t="shared" si="12"/>
        <v>288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42</v>
      </c>
      <c r="C12" s="1">
        <v>51</v>
      </c>
      <c r="D12" s="1">
        <v>345</v>
      </c>
      <c r="E12" s="1">
        <v>82</v>
      </c>
      <c r="F12" s="1">
        <v>245</v>
      </c>
      <c r="G12" s="7">
        <v>0.17</v>
      </c>
      <c r="H12" s="1">
        <v>180</v>
      </c>
      <c r="I12" s="1" t="s">
        <v>37</v>
      </c>
      <c r="J12" s="1">
        <v>119</v>
      </c>
      <c r="K12" s="1">
        <f t="shared" si="3"/>
        <v>-37</v>
      </c>
      <c r="L12" s="1">
        <f t="shared" si="4"/>
        <v>82</v>
      </c>
      <c r="M12" s="1"/>
      <c r="N12" s="1"/>
      <c r="O12" s="1">
        <f t="shared" si="5"/>
        <v>16.399999999999999</v>
      </c>
      <c r="P12" s="5"/>
      <c r="Q12" s="5">
        <f t="shared" si="7"/>
        <v>0</v>
      </c>
      <c r="R12" s="5"/>
      <c r="S12" s="5">
        <f t="shared" si="8"/>
        <v>0</v>
      </c>
      <c r="T12" s="5"/>
      <c r="U12" s="1"/>
      <c r="V12" s="1">
        <f t="shared" si="9"/>
        <v>14.939024390243905</v>
      </c>
      <c r="W12" s="1">
        <f t="shared" si="10"/>
        <v>14.939024390243905</v>
      </c>
      <c r="X12" s="1">
        <v>24.6</v>
      </c>
      <c r="Y12" s="1">
        <v>29.8</v>
      </c>
      <c r="Z12" s="1">
        <v>24.6</v>
      </c>
      <c r="AA12" s="1">
        <v>17.8</v>
      </c>
      <c r="AB12" s="1">
        <v>15.2</v>
      </c>
      <c r="AC12" s="1">
        <v>16.2</v>
      </c>
      <c r="AD12" s="1">
        <v>24.4</v>
      </c>
      <c r="AE12" s="1">
        <v>28.6</v>
      </c>
      <c r="AF12" s="1">
        <v>18.399999999999999</v>
      </c>
      <c r="AG12" s="1">
        <v>18.8</v>
      </c>
      <c r="AH12" s="1" t="s">
        <v>45</v>
      </c>
      <c r="AI12" s="1">
        <f t="shared" si="11"/>
        <v>0</v>
      </c>
      <c r="AJ12" s="1">
        <f t="shared" si="12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20</v>
      </c>
      <c r="D13" s="1">
        <v>6</v>
      </c>
      <c r="E13" s="1">
        <v>14</v>
      </c>
      <c r="F13" s="1">
        <v>5</v>
      </c>
      <c r="G13" s="7">
        <v>0.3</v>
      </c>
      <c r="H13" s="1">
        <v>40</v>
      </c>
      <c r="I13" s="1" t="s">
        <v>37</v>
      </c>
      <c r="J13" s="1">
        <v>18</v>
      </c>
      <c r="K13" s="1">
        <f t="shared" si="3"/>
        <v>-4</v>
      </c>
      <c r="L13" s="1">
        <f t="shared" si="4"/>
        <v>14</v>
      </c>
      <c r="M13" s="1"/>
      <c r="N13" s="1"/>
      <c r="O13" s="1">
        <f t="shared" si="5"/>
        <v>2.8</v>
      </c>
      <c r="P13" s="5">
        <f>9*O13-N13-F13</f>
        <v>20.2</v>
      </c>
      <c r="Q13" s="5">
        <f t="shared" si="7"/>
        <v>20.2</v>
      </c>
      <c r="R13" s="5"/>
      <c r="S13" s="5">
        <f t="shared" si="8"/>
        <v>20.2</v>
      </c>
      <c r="T13" s="5"/>
      <c r="U13" s="1"/>
      <c r="V13" s="1">
        <f t="shared" si="9"/>
        <v>9</v>
      </c>
      <c r="W13" s="1">
        <f t="shared" si="10"/>
        <v>1.7857142857142858</v>
      </c>
      <c r="X13" s="1">
        <v>0.2</v>
      </c>
      <c r="Y13" s="1">
        <v>0</v>
      </c>
      <c r="Z13" s="1">
        <v>1</v>
      </c>
      <c r="AA13" s="1">
        <v>0.6</v>
      </c>
      <c r="AB13" s="1">
        <v>2</v>
      </c>
      <c r="AC13" s="1">
        <v>0.8</v>
      </c>
      <c r="AD13" s="1">
        <v>1.4</v>
      </c>
      <c r="AE13" s="1">
        <v>1.4</v>
      </c>
      <c r="AF13" s="1">
        <v>1</v>
      </c>
      <c r="AG13" s="1">
        <v>1.6</v>
      </c>
      <c r="AH13" s="1"/>
      <c r="AI13" s="1">
        <f t="shared" si="11"/>
        <v>0</v>
      </c>
      <c r="AJ13" s="1">
        <f t="shared" si="12"/>
        <v>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42</v>
      </c>
      <c r="C14" s="1">
        <v>249</v>
      </c>
      <c r="D14" s="1">
        <v>150</v>
      </c>
      <c r="E14" s="1">
        <v>182</v>
      </c>
      <c r="F14" s="1">
        <v>205</v>
      </c>
      <c r="G14" s="7">
        <v>0.17</v>
      </c>
      <c r="H14" s="1">
        <v>180</v>
      </c>
      <c r="I14" s="1" t="s">
        <v>37</v>
      </c>
      <c r="J14" s="1">
        <v>185</v>
      </c>
      <c r="K14" s="1">
        <f t="shared" si="3"/>
        <v>-3</v>
      </c>
      <c r="L14" s="1">
        <f t="shared" si="4"/>
        <v>92</v>
      </c>
      <c r="M14" s="1">
        <v>90</v>
      </c>
      <c r="N14" s="1"/>
      <c r="O14" s="1">
        <f t="shared" si="5"/>
        <v>18.399999999999999</v>
      </c>
      <c r="P14" s="5"/>
      <c r="Q14" s="5">
        <f t="shared" si="7"/>
        <v>0</v>
      </c>
      <c r="R14" s="5"/>
      <c r="S14" s="5">
        <f t="shared" si="8"/>
        <v>0</v>
      </c>
      <c r="T14" s="5"/>
      <c r="U14" s="1"/>
      <c r="V14" s="1">
        <f t="shared" si="9"/>
        <v>11.141304347826088</v>
      </c>
      <c r="W14" s="1">
        <f t="shared" si="10"/>
        <v>11.141304347826088</v>
      </c>
      <c r="X14" s="1">
        <v>8.8000000000000007</v>
      </c>
      <c r="Y14" s="1">
        <v>21.4</v>
      </c>
      <c r="Z14" s="1">
        <v>27.4</v>
      </c>
      <c r="AA14" s="1">
        <v>31.2</v>
      </c>
      <c r="AB14" s="1">
        <v>28.4</v>
      </c>
      <c r="AC14" s="1">
        <v>34</v>
      </c>
      <c r="AD14" s="1">
        <v>49</v>
      </c>
      <c r="AE14" s="1">
        <v>50.2</v>
      </c>
      <c r="AF14" s="1">
        <v>8.8000000000000007</v>
      </c>
      <c r="AG14" s="1">
        <v>16.8</v>
      </c>
      <c r="AH14" s="1"/>
      <c r="AI14" s="1">
        <f t="shared" si="11"/>
        <v>0</v>
      </c>
      <c r="AJ14" s="1">
        <f t="shared" si="12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42</v>
      </c>
      <c r="C15" s="1"/>
      <c r="D15" s="1">
        <v>54</v>
      </c>
      <c r="E15" s="1"/>
      <c r="F15" s="1">
        <v>54</v>
      </c>
      <c r="G15" s="7">
        <v>0.35</v>
      </c>
      <c r="H15" s="1">
        <v>50</v>
      </c>
      <c r="I15" s="1" t="s">
        <v>37</v>
      </c>
      <c r="J15" s="1"/>
      <c r="K15" s="1">
        <f t="shared" si="3"/>
        <v>0</v>
      </c>
      <c r="L15" s="1">
        <f t="shared" si="4"/>
        <v>0</v>
      </c>
      <c r="M15" s="1"/>
      <c r="N15" s="1"/>
      <c r="O15" s="1">
        <f t="shared" si="5"/>
        <v>0</v>
      </c>
      <c r="P15" s="5"/>
      <c r="Q15" s="5">
        <f t="shared" si="7"/>
        <v>0</v>
      </c>
      <c r="R15" s="5"/>
      <c r="S15" s="5">
        <f t="shared" si="8"/>
        <v>0</v>
      </c>
      <c r="T15" s="5"/>
      <c r="U15" s="1"/>
      <c r="V15" s="1" t="e">
        <f t="shared" si="9"/>
        <v>#DIV/0!</v>
      </c>
      <c r="W15" s="1" t="e">
        <f t="shared" si="10"/>
        <v>#DIV/0!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 t="s">
        <v>53</v>
      </c>
      <c r="AI15" s="1">
        <f t="shared" si="11"/>
        <v>0</v>
      </c>
      <c r="AJ15" s="1">
        <f t="shared" si="12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42</v>
      </c>
      <c r="C16" s="1">
        <v>33</v>
      </c>
      <c r="D16" s="1">
        <v>162</v>
      </c>
      <c r="E16" s="1">
        <v>76</v>
      </c>
      <c r="F16" s="1">
        <v>96</v>
      </c>
      <c r="G16" s="7">
        <v>0.35</v>
      </c>
      <c r="H16" s="1">
        <v>50</v>
      </c>
      <c r="I16" s="1" t="s">
        <v>37</v>
      </c>
      <c r="J16" s="1">
        <v>162</v>
      </c>
      <c r="K16" s="1">
        <f t="shared" si="3"/>
        <v>-86</v>
      </c>
      <c r="L16" s="1">
        <f t="shared" si="4"/>
        <v>76</v>
      </c>
      <c r="M16" s="1"/>
      <c r="N16" s="1">
        <v>68.199999999999989</v>
      </c>
      <c r="O16" s="1">
        <f t="shared" si="5"/>
        <v>15.2</v>
      </c>
      <c r="P16" s="5"/>
      <c r="Q16" s="5">
        <f t="shared" si="7"/>
        <v>0</v>
      </c>
      <c r="R16" s="5"/>
      <c r="S16" s="5">
        <f t="shared" si="8"/>
        <v>0</v>
      </c>
      <c r="T16" s="5"/>
      <c r="U16" s="1"/>
      <c r="V16" s="1">
        <f t="shared" si="9"/>
        <v>10.802631578947368</v>
      </c>
      <c r="W16" s="1">
        <f t="shared" si="10"/>
        <v>10.802631578947368</v>
      </c>
      <c r="X16" s="1">
        <v>19.2</v>
      </c>
      <c r="Y16" s="1">
        <v>18</v>
      </c>
      <c r="Z16" s="1">
        <v>11.4</v>
      </c>
      <c r="AA16" s="1">
        <v>11.4</v>
      </c>
      <c r="AB16" s="1">
        <v>9.1999999999999993</v>
      </c>
      <c r="AC16" s="1">
        <v>12.6</v>
      </c>
      <c r="AD16" s="1">
        <v>15.6</v>
      </c>
      <c r="AE16" s="1">
        <v>19</v>
      </c>
      <c r="AF16" s="1">
        <v>16</v>
      </c>
      <c r="AG16" s="1">
        <v>16.600000000000001</v>
      </c>
      <c r="AH16" s="1" t="s">
        <v>45</v>
      </c>
      <c r="AI16" s="1">
        <f t="shared" si="11"/>
        <v>0</v>
      </c>
      <c r="AJ16" s="1">
        <f t="shared" si="12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36</v>
      </c>
      <c r="C17" s="1">
        <v>1180.9749999999999</v>
      </c>
      <c r="D17" s="1">
        <v>1163.7439999999999</v>
      </c>
      <c r="E17" s="1">
        <v>968.51400000000001</v>
      </c>
      <c r="F17" s="1">
        <v>1188.3810000000001</v>
      </c>
      <c r="G17" s="7">
        <v>1</v>
      </c>
      <c r="H17" s="1">
        <v>55</v>
      </c>
      <c r="I17" s="1" t="s">
        <v>37</v>
      </c>
      <c r="J17" s="1">
        <v>969.51</v>
      </c>
      <c r="K17" s="1">
        <f t="shared" si="3"/>
        <v>-0.9959999999999809</v>
      </c>
      <c r="L17" s="1">
        <f t="shared" si="4"/>
        <v>968.51400000000001</v>
      </c>
      <c r="M17" s="1"/>
      <c r="N17" s="1"/>
      <c r="O17" s="1">
        <f t="shared" si="5"/>
        <v>193.7028</v>
      </c>
      <c r="P17" s="5">
        <f t="shared" si="13"/>
        <v>748.64699999999993</v>
      </c>
      <c r="Q17" s="5">
        <f t="shared" si="7"/>
        <v>748.64699999999993</v>
      </c>
      <c r="R17" s="5"/>
      <c r="S17" s="5">
        <f t="shared" si="8"/>
        <v>748.64699999999993</v>
      </c>
      <c r="T17" s="5"/>
      <c r="U17" s="1"/>
      <c r="V17" s="1">
        <f t="shared" si="9"/>
        <v>10</v>
      </c>
      <c r="W17" s="1">
        <f t="shared" si="10"/>
        <v>6.1350739380122548</v>
      </c>
      <c r="X17" s="1">
        <v>201.4074</v>
      </c>
      <c r="Y17" s="1">
        <v>310.33399999999989</v>
      </c>
      <c r="Z17" s="1">
        <v>398.28039999999999</v>
      </c>
      <c r="AA17" s="1">
        <v>324.76940000000002</v>
      </c>
      <c r="AB17" s="1">
        <v>301.13979999999998</v>
      </c>
      <c r="AC17" s="1">
        <v>383.67419999999998</v>
      </c>
      <c r="AD17" s="1">
        <v>451.68860000000012</v>
      </c>
      <c r="AE17" s="1">
        <v>473.6454</v>
      </c>
      <c r="AF17" s="1">
        <v>323.50799999999998</v>
      </c>
      <c r="AG17" s="1">
        <v>265.98200000000003</v>
      </c>
      <c r="AH17" s="1" t="s">
        <v>56</v>
      </c>
      <c r="AI17" s="1">
        <f t="shared" si="11"/>
        <v>0</v>
      </c>
      <c r="AJ17" s="1">
        <f t="shared" si="12"/>
        <v>749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57</v>
      </c>
      <c r="B18" s="1" t="s">
        <v>36</v>
      </c>
      <c r="C18" s="1">
        <v>1921.0809999999999</v>
      </c>
      <c r="D18" s="1">
        <v>2209.2199999999998</v>
      </c>
      <c r="E18" s="1">
        <v>2188.105</v>
      </c>
      <c r="F18" s="1">
        <v>1443.692</v>
      </c>
      <c r="G18" s="7">
        <v>1</v>
      </c>
      <c r="H18" s="1">
        <v>50</v>
      </c>
      <c r="I18" s="1" t="s">
        <v>37</v>
      </c>
      <c r="J18" s="1">
        <v>2243.1799999999998</v>
      </c>
      <c r="K18" s="1">
        <f t="shared" si="3"/>
        <v>-55.074999999999818</v>
      </c>
      <c r="L18" s="1">
        <f t="shared" si="4"/>
        <v>1257.4180000000001</v>
      </c>
      <c r="M18" s="1">
        <v>930.68700000000001</v>
      </c>
      <c r="N18" s="1">
        <v>217.94439999999989</v>
      </c>
      <c r="O18" s="1">
        <f t="shared" si="5"/>
        <v>251.48360000000002</v>
      </c>
      <c r="P18" s="5">
        <f t="shared" si="13"/>
        <v>853.19960000000037</v>
      </c>
      <c r="Q18" s="5">
        <f t="shared" si="7"/>
        <v>853.19960000000037</v>
      </c>
      <c r="R18" s="5"/>
      <c r="S18" s="5">
        <f t="shared" si="8"/>
        <v>853.19960000000037</v>
      </c>
      <c r="T18" s="5"/>
      <c r="U18" s="1"/>
      <c r="V18" s="1">
        <f t="shared" si="9"/>
        <v>10</v>
      </c>
      <c r="W18" s="1">
        <f t="shared" si="10"/>
        <v>6.6073350309920791</v>
      </c>
      <c r="X18" s="1">
        <v>292.53859999999997</v>
      </c>
      <c r="Y18" s="1">
        <v>235.83619999999999</v>
      </c>
      <c r="Z18" s="1">
        <v>536.05899999999997</v>
      </c>
      <c r="AA18" s="1">
        <v>581.779</v>
      </c>
      <c r="AB18" s="1">
        <v>386.68200000000002</v>
      </c>
      <c r="AC18" s="1">
        <v>436.22439999999989</v>
      </c>
      <c r="AD18" s="1">
        <v>475.40159999999997</v>
      </c>
      <c r="AE18" s="1">
        <v>605.65679999999998</v>
      </c>
      <c r="AF18" s="1">
        <v>436.65420000000012</v>
      </c>
      <c r="AG18" s="1">
        <v>331.19</v>
      </c>
      <c r="AH18" s="1" t="s">
        <v>56</v>
      </c>
      <c r="AI18" s="1">
        <f t="shared" si="11"/>
        <v>0</v>
      </c>
      <c r="AJ18" s="1">
        <f t="shared" si="12"/>
        <v>853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58</v>
      </c>
      <c r="B19" s="1" t="s">
        <v>36</v>
      </c>
      <c r="C19" s="1">
        <v>10.526</v>
      </c>
      <c r="D19" s="1">
        <v>279.64800000000002</v>
      </c>
      <c r="E19" s="1">
        <v>134.274</v>
      </c>
      <c r="F19" s="1">
        <v>108.682</v>
      </c>
      <c r="G19" s="7">
        <v>1</v>
      </c>
      <c r="H19" s="1">
        <v>60</v>
      </c>
      <c r="I19" s="1" t="s">
        <v>37</v>
      </c>
      <c r="J19" s="1">
        <v>130.76</v>
      </c>
      <c r="K19" s="1">
        <f t="shared" si="3"/>
        <v>3.51400000000001</v>
      </c>
      <c r="L19" s="1">
        <f t="shared" si="4"/>
        <v>134.274</v>
      </c>
      <c r="M19" s="1"/>
      <c r="N19" s="1"/>
      <c r="O19" s="1">
        <f t="shared" si="5"/>
        <v>26.854800000000001</v>
      </c>
      <c r="P19" s="5">
        <f t="shared" si="13"/>
        <v>159.86599999999999</v>
      </c>
      <c r="Q19" s="5">
        <f t="shared" si="7"/>
        <v>159.86599999999999</v>
      </c>
      <c r="R19" s="5"/>
      <c r="S19" s="5">
        <f t="shared" si="8"/>
        <v>159.86599999999999</v>
      </c>
      <c r="T19" s="5"/>
      <c r="U19" s="1"/>
      <c r="V19" s="1">
        <f t="shared" si="9"/>
        <v>10</v>
      </c>
      <c r="W19" s="1">
        <f t="shared" si="10"/>
        <v>4.0470232509644459</v>
      </c>
      <c r="X19" s="1">
        <v>21.146599999999999</v>
      </c>
      <c r="Y19" s="1">
        <v>24.0246</v>
      </c>
      <c r="Z19" s="1">
        <v>29.0502</v>
      </c>
      <c r="AA19" s="1">
        <v>27.303000000000001</v>
      </c>
      <c r="AB19" s="1">
        <v>19.429400000000001</v>
      </c>
      <c r="AC19" s="1">
        <v>23.8124</v>
      </c>
      <c r="AD19" s="1">
        <v>25.540199999999999</v>
      </c>
      <c r="AE19" s="1">
        <v>28.898199999999999</v>
      </c>
      <c r="AF19" s="1">
        <v>20.8932</v>
      </c>
      <c r="AG19" s="1">
        <v>20.330200000000001</v>
      </c>
      <c r="AH19" s="1"/>
      <c r="AI19" s="1">
        <f t="shared" si="11"/>
        <v>0</v>
      </c>
      <c r="AJ19" s="1">
        <f t="shared" si="12"/>
        <v>160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60</v>
      </c>
      <c r="B20" s="1" t="s">
        <v>36</v>
      </c>
      <c r="C20" s="1">
        <v>238.16300000000001</v>
      </c>
      <c r="D20" s="1">
        <v>4598.3440000000001</v>
      </c>
      <c r="E20" s="1">
        <v>2393.3589999999999</v>
      </c>
      <c r="F20" s="1">
        <v>2410.02</v>
      </c>
      <c r="G20" s="7">
        <v>1</v>
      </c>
      <c r="H20" s="1">
        <v>60</v>
      </c>
      <c r="I20" s="1" t="s">
        <v>37</v>
      </c>
      <c r="J20" s="1">
        <v>2347.7829999999999</v>
      </c>
      <c r="K20" s="1">
        <f t="shared" si="3"/>
        <v>45.576000000000022</v>
      </c>
      <c r="L20" s="1">
        <f t="shared" si="4"/>
        <v>835.75699999999983</v>
      </c>
      <c r="M20" s="1">
        <v>1557.6020000000001</v>
      </c>
      <c r="N20" s="1"/>
      <c r="O20" s="1">
        <f t="shared" si="5"/>
        <v>167.15139999999997</v>
      </c>
      <c r="P20" s="5"/>
      <c r="Q20" s="5">
        <f t="shared" si="7"/>
        <v>0</v>
      </c>
      <c r="R20" s="5"/>
      <c r="S20" s="5">
        <f t="shared" si="8"/>
        <v>0</v>
      </c>
      <c r="T20" s="5"/>
      <c r="U20" s="1"/>
      <c r="V20" s="1">
        <f t="shared" si="9"/>
        <v>14.418186147408878</v>
      </c>
      <c r="W20" s="1">
        <f t="shared" si="10"/>
        <v>14.418186147408878</v>
      </c>
      <c r="X20" s="1">
        <v>272.83499999999998</v>
      </c>
      <c r="Y20" s="1">
        <v>336.50259999999997</v>
      </c>
      <c r="Z20" s="1">
        <v>275.95479999999998</v>
      </c>
      <c r="AA20" s="1">
        <v>196.05439999999999</v>
      </c>
      <c r="AB20" s="1">
        <v>219.8048</v>
      </c>
      <c r="AC20" s="1">
        <v>358.10300000000001</v>
      </c>
      <c r="AD20" s="1">
        <v>199.55439999999999</v>
      </c>
      <c r="AE20" s="1">
        <v>202.4068</v>
      </c>
      <c r="AF20" s="1">
        <v>198.3862</v>
      </c>
      <c r="AG20" s="1">
        <v>206.941</v>
      </c>
      <c r="AH20" s="1"/>
      <c r="AI20" s="1">
        <f t="shared" si="11"/>
        <v>0</v>
      </c>
      <c r="AJ20" s="1">
        <f t="shared" si="12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9" t="s">
        <v>61</v>
      </c>
      <c r="B21" s="19" t="s">
        <v>36</v>
      </c>
      <c r="C21" s="19"/>
      <c r="D21" s="19"/>
      <c r="E21" s="19"/>
      <c r="F21" s="19"/>
      <c r="G21" s="20">
        <v>0</v>
      </c>
      <c r="H21" s="19">
        <v>60</v>
      </c>
      <c r="I21" s="19" t="s">
        <v>37</v>
      </c>
      <c r="J21" s="19"/>
      <c r="K21" s="19">
        <f t="shared" si="3"/>
        <v>0</v>
      </c>
      <c r="L21" s="19">
        <f t="shared" si="4"/>
        <v>0</v>
      </c>
      <c r="M21" s="19"/>
      <c r="N21" s="19"/>
      <c r="O21" s="19">
        <f t="shared" si="5"/>
        <v>0</v>
      </c>
      <c r="P21" s="21"/>
      <c r="Q21" s="5">
        <f t="shared" si="7"/>
        <v>0</v>
      </c>
      <c r="R21" s="5"/>
      <c r="S21" s="5">
        <f t="shared" si="8"/>
        <v>0</v>
      </c>
      <c r="T21" s="21"/>
      <c r="U21" s="19"/>
      <c r="V21" s="1" t="e">
        <f t="shared" si="9"/>
        <v>#DIV/0!</v>
      </c>
      <c r="W21" s="19" t="e">
        <f t="shared" si="10"/>
        <v>#DIV/0!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 t="s">
        <v>62</v>
      </c>
      <c r="AI21" s="1">
        <f t="shared" si="11"/>
        <v>0</v>
      </c>
      <c r="AJ21" s="1">
        <f t="shared" si="12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63</v>
      </c>
      <c r="B22" s="1" t="s">
        <v>36</v>
      </c>
      <c r="C22" s="1">
        <v>3455.9140000000002</v>
      </c>
      <c r="D22" s="1">
        <v>3002.69</v>
      </c>
      <c r="E22" s="1">
        <v>2613.6170000000002</v>
      </c>
      <c r="F22" s="1">
        <v>3264.8389999999999</v>
      </c>
      <c r="G22" s="7">
        <v>1</v>
      </c>
      <c r="H22" s="1">
        <v>60</v>
      </c>
      <c r="I22" s="1" t="s">
        <v>37</v>
      </c>
      <c r="J22" s="1">
        <v>2521.0300000000002</v>
      </c>
      <c r="K22" s="1">
        <f t="shared" si="3"/>
        <v>92.586999999999989</v>
      </c>
      <c r="L22" s="1">
        <f t="shared" si="4"/>
        <v>2581.8870000000002</v>
      </c>
      <c r="M22" s="1">
        <v>31.73</v>
      </c>
      <c r="N22" s="1"/>
      <c r="O22" s="1">
        <f t="shared" si="5"/>
        <v>516.37740000000008</v>
      </c>
      <c r="P22" s="5">
        <f t="shared" ref="P22:P25" si="14">10*O22-N22-F22</f>
        <v>1898.9350000000013</v>
      </c>
      <c r="Q22" s="25">
        <f>P22+O22</f>
        <v>2415.3124000000016</v>
      </c>
      <c r="R22" s="25">
        <v>1600</v>
      </c>
      <c r="S22" s="5">
        <f t="shared" si="8"/>
        <v>815.31240000000162</v>
      </c>
      <c r="T22" s="5"/>
      <c r="U22" s="1"/>
      <c r="V22" s="1">
        <f t="shared" si="9"/>
        <v>11.000000000000002</v>
      </c>
      <c r="W22" s="1">
        <f t="shared" si="10"/>
        <v>6.3225830565009229</v>
      </c>
      <c r="X22" s="1">
        <v>434.51839999999999</v>
      </c>
      <c r="Y22" s="1">
        <v>439.80700000000007</v>
      </c>
      <c r="Z22" s="1">
        <v>668.41700000000003</v>
      </c>
      <c r="AA22" s="1">
        <v>686.20619999999997</v>
      </c>
      <c r="AB22" s="1">
        <v>491.83839999999998</v>
      </c>
      <c r="AC22" s="1">
        <v>547.68860000000006</v>
      </c>
      <c r="AD22" s="1">
        <v>673.61239999999998</v>
      </c>
      <c r="AE22" s="1">
        <v>630.01919999999996</v>
      </c>
      <c r="AF22" s="1">
        <v>420.90260000000001</v>
      </c>
      <c r="AG22" s="1">
        <v>481.16199999999998</v>
      </c>
      <c r="AH22" s="1" t="s">
        <v>64</v>
      </c>
      <c r="AI22" s="1">
        <f t="shared" si="11"/>
        <v>1600</v>
      </c>
      <c r="AJ22" s="1">
        <f t="shared" si="12"/>
        <v>815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65</v>
      </c>
      <c r="B23" s="1" t="s">
        <v>36</v>
      </c>
      <c r="C23" s="1">
        <v>346.92599999999999</v>
      </c>
      <c r="D23" s="1">
        <v>1269.6300000000001</v>
      </c>
      <c r="E23" s="1">
        <v>771.846</v>
      </c>
      <c r="F23" s="1">
        <v>698.3</v>
      </c>
      <c r="G23" s="7">
        <v>1</v>
      </c>
      <c r="H23" s="1">
        <v>60</v>
      </c>
      <c r="I23" s="1" t="s">
        <v>37</v>
      </c>
      <c r="J23" s="1">
        <v>760.4</v>
      </c>
      <c r="K23" s="1">
        <f t="shared" si="3"/>
        <v>11.446000000000026</v>
      </c>
      <c r="L23" s="1">
        <f t="shared" si="4"/>
        <v>771.846</v>
      </c>
      <c r="M23" s="1"/>
      <c r="N23" s="1">
        <v>141.756</v>
      </c>
      <c r="O23" s="1">
        <f t="shared" si="5"/>
        <v>154.36920000000001</v>
      </c>
      <c r="P23" s="5">
        <f t="shared" si="14"/>
        <v>703.63599999999997</v>
      </c>
      <c r="Q23" s="25">
        <f t="shared" ref="Q23:Q24" si="15">P23+O23</f>
        <v>858.00519999999995</v>
      </c>
      <c r="R23" s="25">
        <v>500</v>
      </c>
      <c r="S23" s="5">
        <f t="shared" si="8"/>
        <v>358.00519999999995</v>
      </c>
      <c r="T23" s="5"/>
      <c r="U23" s="1"/>
      <c r="V23" s="1">
        <f t="shared" si="9"/>
        <v>10.999999999999998</v>
      </c>
      <c r="W23" s="1">
        <f t="shared" si="10"/>
        <v>5.4418627550055314</v>
      </c>
      <c r="X23" s="1">
        <v>112.0834</v>
      </c>
      <c r="Y23" s="1">
        <v>125.7568</v>
      </c>
      <c r="Z23" s="1">
        <v>132.44640000000001</v>
      </c>
      <c r="AA23" s="1">
        <v>97.144800000000004</v>
      </c>
      <c r="AB23" s="1">
        <v>103.6504</v>
      </c>
      <c r="AC23" s="1">
        <v>92.827399999999997</v>
      </c>
      <c r="AD23" s="1">
        <v>112.0784</v>
      </c>
      <c r="AE23" s="1">
        <v>119.7702</v>
      </c>
      <c r="AF23" s="1">
        <v>89.989800000000002</v>
      </c>
      <c r="AG23" s="1">
        <v>155.596</v>
      </c>
      <c r="AH23" s="1" t="s">
        <v>66</v>
      </c>
      <c r="AI23" s="1">
        <f t="shared" si="11"/>
        <v>500</v>
      </c>
      <c r="AJ23" s="1">
        <f t="shared" si="12"/>
        <v>358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67</v>
      </c>
      <c r="B24" s="1" t="s">
        <v>36</v>
      </c>
      <c r="C24" s="1">
        <v>574.9</v>
      </c>
      <c r="D24" s="1">
        <v>1559.624</v>
      </c>
      <c r="E24" s="1">
        <v>1035.7280000000001</v>
      </c>
      <c r="F24" s="1">
        <v>916.62699999999995</v>
      </c>
      <c r="G24" s="7">
        <v>1</v>
      </c>
      <c r="H24" s="1">
        <v>60</v>
      </c>
      <c r="I24" s="1" t="s">
        <v>37</v>
      </c>
      <c r="J24" s="1">
        <v>1001.454</v>
      </c>
      <c r="K24" s="1">
        <f t="shared" si="3"/>
        <v>34.274000000000115</v>
      </c>
      <c r="L24" s="1">
        <f t="shared" si="4"/>
        <v>1035.7280000000001</v>
      </c>
      <c r="M24" s="1"/>
      <c r="N24" s="1">
        <v>251.34180000000009</v>
      </c>
      <c r="O24" s="1">
        <f t="shared" si="5"/>
        <v>207.1456</v>
      </c>
      <c r="P24" s="5">
        <f t="shared" si="14"/>
        <v>903.48720000000003</v>
      </c>
      <c r="Q24" s="25">
        <f t="shared" si="15"/>
        <v>1110.6328000000001</v>
      </c>
      <c r="R24" s="25">
        <v>600</v>
      </c>
      <c r="S24" s="5">
        <f t="shared" si="8"/>
        <v>510.63280000000009</v>
      </c>
      <c r="T24" s="5"/>
      <c r="U24" s="1"/>
      <c r="V24" s="1">
        <f t="shared" si="9"/>
        <v>11</v>
      </c>
      <c r="W24" s="1">
        <f t="shared" si="10"/>
        <v>5.6383954088332073</v>
      </c>
      <c r="X24" s="1">
        <v>153.3486</v>
      </c>
      <c r="Y24" s="1">
        <v>169.1464</v>
      </c>
      <c r="Z24" s="1">
        <v>177.07560000000001</v>
      </c>
      <c r="AA24" s="1">
        <v>111.5564</v>
      </c>
      <c r="AB24" s="1">
        <v>146.03460000000001</v>
      </c>
      <c r="AC24" s="1">
        <v>129.23740000000001</v>
      </c>
      <c r="AD24" s="1">
        <v>169.82660000000001</v>
      </c>
      <c r="AE24" s="1">
        <v>173.10380000000001</v>
      </c>
      <c r="AF24" s="1">
        <v>98.101399999999998</v>
      </c>
      <c r="AG24" s="1">
        <v>134.85120000000001</v>
      </c>
      <c r="AH24" s="1" t="s">
        <v>68</v>
      </c>
      <c r="AI24" s="1">
        <f t="shared" si="11"/>
        <v>600</v>
      </c>
      <c r="AJ24" s="1">
        <f t="shared" si="12"/>
        <v>511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69</v>
      </c>
      <c r="B25" s="1" t="s">
        <v>36</v>
      </c>
      <c r="C25" s="1">
        <v>1912.46</v>
      </c>
      <c r="D25" s="1">
        <v>147.84200000000001</v>
      </c>
      <c r="E25" s="1">
        <v>671.38599999999997</v>
      </c>
      <c r="F25" s="1">
        <v>1218.1469999999999</v>
      </c>
      <c r="G25" s="7">
        <v>1</v>
      </c>
      <c r="H25" s="1">
        <v>60</v>
      </c>
      <c r="I25" s="1" t="s">
        <v>37</v>
      </c>
      <c r="J25" s="1">
        <v>656.80499999999995</v>
      </c>
      <c r="K25" s="1">
        <f t="shared" si="3"/>
        <v>14.581000000000017</v>
      </c>
      <c r="L25" s="1">
        <f t="shared" si="4"/>
        <v>671.38599999999997</v>
      </c>
      <c r="M25" s="1"/>
      <c r="N25" s="1"/>
      <c r="O25" s="1">
        <f t="shared" si="5"/>
        <v>134.27719999999999</v>
      </c>
      <c r="P25" s="5">
        <f t="shared" si="14"/>
        <v>124.625</v>
      </c>
      <c r="Q25" s="5">
        <f t="shared" si="7"/>
        <v>124.625</v>
      </c>
      <c r="R25" s="5"/>
      <c r="S25" s="5">
        <f t="shared" si="8"/>
        <v>124.625</v>
      </c>
      <c r="T25" s="5"/>
      <c r="U25" s="1"/>
      <c r="V25" s="1">
        <f t="shared" si="9"/>
        <v>10</v>
      </c>
      <c r="W25" s="1">
        <f t="shared" si="10"/>
        <v>9.0718826427718184</v>
      </c>
      <c r="X25" s="1">
        <v>169.32679999999999</v>
      </c>
      <c r="Y25" s="1">
        <v>268.72460000000001</v>
      </c>
      <c r="Z25" s="1">
        <v>363.09100000000001</v>
      </c>
      <c r="AA25" s="1">
        <v>276.38380000000001</v>
      </c>
      <c r="AB25" s="1">
        <v>235.2038</v>
      </c>
      <c r="AC25" s="1">
        <v>370.42840000000001</v>
      </c>
      <c r="AD25" s="1">
        <v>503.1662</v>
      </c>
      <c r="AE25" s="1">
        <v>431.20580000000001</v>
      </c>
      <c r="AF25" s="1">
        <v>186.85220000000001</v>
      </c>
      <c r="AG25" s="1">
        <v>220.1652</v>
      </c>
      <c r="AH25" s="1" t="s">
        <v>56</v>
      </c>
      <c r="AI25" s="1">
        <f t="shared" si="11"/>
        <v>0</v>
      </c>
      <c r="AJ25" s="1">
        <f t="shared" si="12"/>
        <v>125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9" t="s">
        <v>70</v>
      </c>
      <c r="B26" s="19" t="s">
        <v>36</v>
      </c>
      <c r="C26" s="19"/>
      <c r="D26" s="19"/>
      <c r="E26" s="19"/>
      <c r="F26" s="19"/>
      <c r="G26" s="20">
        <v>0</v>
      </c>
      <c r="H26" s="19">
        <v>30</v>
      </c>
      <c r="I26" s="19" t="s">
        <v>37</v>
      </c>
      <c r="J26" s="19"/>
      <c r="K26" s="19">
        <f t="shared" si="3"/>
        <v>0</v>
      </c>
      <c r="L26" s="19">
        <f t="shared" si="4"/>
        <v>0</v>
      </c>
      <c r="M26" s="19"/>
      <c r="N26" s="19"/>
      <c r="O26" s="19">
        <f t="shared" si="5"/>
        <v>0</v>
      </c>
      <c r="P26" s="21"/>
      <c r="Q26" s="5">
        <f t="shared" si="7"/>
        <v>0</v>
      </c>
      <c r="R26" s="5"/>
      <c r="S26" s="5">
        <f t="shared" si="8"/>
        <v>0</v>
      </c>
      <c r="T26" s="21"/>
      <c r="U26" s="19"/>
      <c r="V26" s="1" t="e">
        <f t="shared" si="9"/>
        <v>#DIV/0!</v>
      </c>
      <c r="W26" s="19" t="e">
        <f t="shared" si="10"/>
        <v>#DIV/0!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 t="s">
        <v>62</v>
      </c>
      <c r="AI26" s="1">
        <f t="shared" si="11"/>
        <v>0</v>
      </c>
      <c r="AJ26" s="1">
        <f t="shared" si="12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9" t="s">
        <v>71</v>
      </c>
      <c r="B27" s="19" t="s">
        <v>36</v>
      </c>
      <c r="C27" s="19"/>
      <c r="D27" s="19"/>
      <c r="E27" s="19"/>
      <c r="F27" s="19"/>
      <c r="G27" s="20">
        <v>0</v>
      </c>
      <c r="H27" s="19">
        <v>30</v>
      </c>
      <c r="I27" s="19" t="s">
        <v>37</v>
      </c>
      <c r="J27" s="19"/>
      <c r="K27" s="19">
        <f t="shared" si="3"/>
        <v>0</v>
      </c>
      <c r="L27" s="19">
        <f t="shared" si="4"/>
        <v>0</v>
      </c>
      <c r="M27" s="19"/>
      <c r="N27" s="19"/>
      <c r="O27" s="19">
        <f t="shared" si="5"/>
        <v>0</v>
      </c>
      <c r="P27" s="21"/>
      <c r="Q27" s="5">
        <f t="shared" si="7"/>
        <v>0</v>
      </c>
      <c r="R27" s="5"/>
      <c r="S27" s="5">
        <f t="shared" si="8"/>
        <v>0</v>
      </c>
      <c r="T27" s="21"/>
      <c r="U27" s="19"/>
      <c r="V27" s="1" t="e">
        <f t="shared" si="9"/>
        <v>#DIV/0!</v>
      </c>
      <c r="W27" s="19" t="e">
        <f t="shared" si="10"/>
        <v>#DIV/0!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 t="s">
        <v>62</v>
      </c>
      <c r="AI27" s="1">
        <f t="shared" si="11"/>
        <v>0</v>
      </c>
      <c r="AJ27" s="1">
        <f t="shared" si="12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72</v>
      </c>
      <c r="B28" s="1" t="s">
        <v>36</v>
      </c>
      <c r="C28" s="1">
        <v>986.90599999999995</v>
      </c>
      <c r="D28" s="1">
        <v>907.553</v>
      </c>
      <c r="E28" s="1">
        <v>1056.3820000000001</v>
      </c>
      <c r="F28" s="1">
        <v>617.71600000000001</v>
      </c>
      <c r="G28" s="7">
        <v>1</v>
      </c>
      <c r="H28" s="1">
        <v>30</v>
      </c>
      <c r="I28" s="1" t="s">
        <v>37</v>
      </c>
      <c r="J28" s="1">
        <v>1092.146</v>
      </c>
      <c r="K28" s="1">
        <f t="shared" si="3"/>
        <v>-35.763999999999896</v>
      </c>
      <c r="L28" s="1">
        <f t="shared" si="4"/>
        <v>697.81000000000006</v>
      </c>
      <c r="M28" s="1">
        <v>358.572</v>
      </c>
      <c r="N28" s="1">
        <v>30.773000000000138</v>
      </c>
      <c r="O28" s="1">
        <f t="shared" si="5"/>
        <v>139.56200000000001</v>
      </c>
      <c r="P28" s="5">
        <f>10*O28-N28-F28</f>
        <v>747.13099999999997</v>
      </c>
      <c r="Q28" s="5">
        <f t="shared" si="7"/>
        <v>747.13099999999997</v>
      </c>
      <c r="R28" s="5"/>
      <c r="S28" s="5">
        <f t="shared" si="8"/>
        <v>747.13099999999997</v>
      </c>
      <c r="T28" s="5"/>
      <c r="U28" s="1"/>
      <c r="V28" s="1">
        <f t="shared" si="9"/>
        <v>10</v>
      </c>
      <c r="W28" s="1">
        <f t="shared" si="10"/>
        <v>4.6466015104398055</v>
      </c>
      <c r="X28" s="1">
        <v>107.913</v>
      </c>
      <c r="Y28" s="1">
        <v>127.68940000000001</v>
      </c>
      <c r="Z28" s="1">
        <v>172.2902</v>
      </c>
      <c r="AA28" s="1">
        <v>142.6968</v>
      </c>
      <c r="AB28" s="1">
        <v>193.83279999999999</v>
      </c>
      <c r="AC28" s="1">
        <v>148.1738</v>
      </c>
      <c r="AD28" s="1">
        <v>156.25899999999999</v>
      </c>
      <c r="AE28" s="1">
        <v>168.04759999999999</v>
      </c>
      <c r="AF28" s="1">
        <v>89.028800000000004</v>
      </c>
      <c r="AG28" s="1">
        <v>101.9406</v>
      </c>
      <c r="AH28" s="1"/>
      <c r="AI28" s="1">
        <f t="shared" si="11"/>
        <v>0</v>
      </c>
      <c r="AJ28" s="1">
        <f t="shared" si="12"/>
        <v>747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9" t="s">
        <v>73</v>
      </c>
      <c r="B29" s="19" t="s">
        <v>36</v>
      </c>
      <c r="C29" s="19"/>
      <c r="D29" s="19"/>
      <c r="E29" s="19"/>
      <c r="F29" s="19"/>
      <c r="G29" s="20">
        <v>0</v>
      </c>
      <c r="H29" s="19">
        <v>45</v>
      </c>
      <c r="I29" s="19" t="s">
        <v>37</v>
      </c>
      <c r="J29" s="19"/>
      <c r="K29" s="19">
        <f t="shared" si="3"/>
        <v>0</v>
      </c>
      <c r="L29" s="19">
        <f t="shared" si="4"/>
        <v>0</v>
      </c>
      <c r="M29" s="19"/>
      <c r="N29" s="19"/>
      <c r="O29" s="19">
        <f t="shared" si="5"/>
        <v>0</v>
      </c>
      <c r="P29" s="21"/>
      <c r="Q29" s="5">
        <f t="shared" si="7"/>
        <v>0</v>
      </c>
      <c r="R29" s="5"/>
      <c r="S29" s="5">
        <f t="shared" si="8"/>
        <v>0</v>
      </c>
      <c r="T29" s="21"/>
      <c r="U29" s="19"/>
      <c r="V29" s="1" t="e">
        <f t="shared" si="9"/>
        <v>#DIV/0!</v>
      </c>
      <c r="W29" s="19" t="e">
        <f t="shared" si="10"/>
        <v>#DIV/0!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 t="s">
        <v>62</v>
      </c>
      <c r="AI29" s="1">
        <f t="shared" si="11"/>
        <v>0</v>
      </c>
      <c r="AJ29" s="1">
        <f t="shared" si="12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9" t="s">
        <v>74</v>
      </c>
      <c r="B30" s="19" t="s">
        <v>36</v>
      </c>
      <c r="C30" s="19"/>
      <c r="D30" s="19">
        <v>877.83799999999997</v>
      </c>
      <c r="E30" s="19">
        <v>877.83799999999997</v>
      </c>
      <c r="F30" s="19"/>
      <c r="G30" s="20">
        <v>0</v>
      </c>
      <c r="H30" s="19">
        <v>40</v>
      </c>
      <c r="I30" s="19" t="s">
        <v>37</v>
      </c>
      <c r="J30" s="19">
        <v>877.83799999999997</v>
      </c>
      <c r="K30" s="19">
        <f t="shared" si="3"/>
        <v>0</v>
      </c>
      <c r="L30" s="19">
        <f t="shared" si="4"/>
        <v>121.274</v>
      </c>
      <c r="M30" s="19">
        <v>756.56399999999996</v>
      </c>
      <c r="N30" s="19"/>
      <c r="O30" s="19">
        <f t="shared" si="5"/>
        <v>24.254799999999999</v>
      </c>
      <c r="P30" s="21"/>
      <c r="Q30" s="5">
        <f t="shared" si="7"/>
        <v>0</v>
      </c>
      <c r="R30" s="5"/>
      <c r="S30" s="5">
        <f t="shared" si="8"/>
        <v>0</v>
      </c>
      <c r="T30" s="21"/>
      <c r="U30" s="19"/>
      <c r="V30" s="1">
        <f t="shared" si="9"/>
        <v>0</v>
      </c>
      <c r="W30" s="19">
        <f t="shared" si="10"/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 t="s">
        <v>62</v>
      </c>
      <c r="AI30" s="1">
        <f t="shared" si="11"/>
        <v>0</v>
      </c>
      <c r="AJ30" s="1">
        <f t="shared" si="12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9" t="s">
        <v>75</v>
      </c>
      <c r="B31" s="19" t="s">
        <v>36</v>
      </c>
      <c r="C31" s="19"/>
      <c r="D31" s="19"/>
      <c r="E31" s="19"/>
      <c r="F31" s="19"/>
      <c r="G31" s="20">
        <v>0</v>
      </c>
      <c r="H31" s="19">
        <v>30</v>
      </c>
      <c r="I31" s="19" t="s">
        <v>37</v>
      </c>
      <c r="J31" s="19"/>
      <c r="K31" s="19">
        <f t="shared" si="3"/>
        <v>0</v>
      </c>
      <c r="L31" s="19">
        <f t="shared" si="4"/>
        <v>0</v>
      </c>
      <c r="M31" s="19"/>
      <c r="N31" s="19"/>
      <c r="O31" s="19">
        <f t="shared" si="5"/>
        <v>0</v>
      </c>
      <c r="P31" s="21"/>
      <c r="Q31" s="5">
        <f t="shared" si="7"/>
        <v>0</v>
      </c>
      <c r="R31" s="5"/>
      <c r="S31" s="5">
        <f t="shared" si="8"/>
        <v>0</v>
      </c>
      <c r="T31" s="21"/>
      <c r="U31" s="19"/>
      <c r="V31" s="1" t="e">
        <f t="shared" si="9"/>
        <v>#DIV/0!</v>
      </c>
      <c r="W31" s="19" t="e">
        <f t="shared" si="10"/>
        <v>#DIV/0!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 t="s">
        <v>62</v>
      </c>
      <c r="AI31" s="1">
        <f t="shared" si="11"/>
        <v>0</v>
      </c>
      <c r="AJ31" s="1">
        <f t="shared" si="12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9" t="s">
        <v>76</v>
      </c>
      <c r="B32" s="19" t="s">
        <v>36</v>
      </c>
      <c r="C32" s="19"/>
      <c r="D32" s="19"/>
      <c r="E32" s="19"/>
      <c r="F32" s="19"/>
      <c r="G32" s="20">
        <v>0</v>
      </c>
      <c r="H32" s="19">
        <v>50</v>
      </c>
      <c r="I32" s="19" t="s">
        <v>37</v>
      </c>
      <c r="J32" s="19"/>
      <c r="K32" s="19">
        <f t="shared" si="3"/>
        <v>0</v>
      </c>
      <c r="L32" s="19">
        <f t="shared" si="4"/>
        <v>0</v>
      </c>
      <c r="M32" s="19"/>
      <c r="N32" s="19"/>
      <c r="O32" s="19">
        <f t="shared" si="5"/>
        <v>0</v>
      </c>
      <c r="P32" s="21"/>
      <c r="Q32" s="5">
        <f t="shared" si="7"/>
        <v>0</v>
      </c>
      <c r="R32" s="5"/>
      <c r="S32" s="5">
        <f t="shared" si="8"/>
        <v>0</v>
      </c>
      <c r="T32" s="21"/>
      <c r="U32" s="19"/>
      <c r="V32" s="1" t="e">
        <f t="shared" si="9"/>
        <v>#DIV/0!</v>
      </c>
      <c r="W32" s="19" t="e">
        <f t="shared" si="10"/>
        <v>#DIV/0!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 t="s">
        <v>62</v>
      </c>
      <c r="AI32" s="1">
        <f t="shared" si="11"/>
        <v>0</v>
      </c>
      <c r="AJ32" s="1">
        <f t="shared" si="12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3" t="s">
        <v>77</v>
      </c>
      <c r="B33" s="13" t="s">
        <v>36</v>
      </c>
      <c r="C33" s="13"/>
      <c r="D33" s="13">
        <v>11.036</v>
      </c>
      <c r="E33" s="13">
        <v>11.036</v>
      </c>
      <c r="F33" s="13"/>
      <c r="G33" s="14">
        <v>0</v>
      </c>
      <c r="H33" s="13" t="e">
        <v>#N/A</v>
      </c>
      <c r="I33" s="13" t="s">
        <v>59</v>
      </c>
      <c r="J33" s="13">
        <v>11.036</v>
      </c>
      <c r="K33" s="13">
        <f t="shared" si="3"/>
        <v>0</v>
      </c>
      <c r="L33" s="13">
        <f t="shared" si="4"/>
        <v>11.036</v>
      </c>
      <c r="M33" s="13"/>
      <c r="N33" s="13"/>
      <c r="O33" s="13">
        <f t="shared" si="5"/>
        <v>2.2071999999999998</v>
      </c>
      <c r="P33" s="15"/>
      <c r="Q33" s="5">
        <f t="shared" si="7"/>
        <v>0</v>
      </c>
      <c r="R33" s="5"/>
      <c r="S33" s="5">
        <f t="shared" si="8"/>
        <v>0</v>
      </c>
      <c r="T33" s="15"/>
      <c r="U33" s="13"/>
      <c r="V33" s="1">
        <f t="shared" si="9"/>
        <v>0</v>
      </c>
      <c r="W33" s="13">
        <f t="shared" si="10"/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/>
      <c r="AI33" s="1">
        <f t="shared" si="11"/>
        <v>0</v>
      </c>
      <c r="AJ33" s="1">
        <f t="shared" si="12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78</v>
      </c>
      <c r="B34" s="1" t="s">
        <v>36</v>
      </c>
      <c r="C34" s="1">
        <v>62.878999999999998</v>
      </c>
      <c r="D34" s="1">
        <v>16.341999999999999</v>
      </c>
      <c r="E34" s="1">
        <v>17.739999999999998</v>
      </c>
      <c r="F34" s="1">
        <v>60.540999999999997</v>
      </c>
      <c r="G34" s="7">
        <v>1</v>
      </c>
      <c r="H34" s="1">
        <v>50</v>
      </c>
      <c r="I34" s="1" t="s">
        <v>37</v>
      </c>
      <c r="J34" s="1">
        <v>15.5</v>
      </c>
      <c r="K34" s="1">
        <f t="shared" si="3"/>
        <v>2.2399999999999984</v>
      </c>
      <c r="L34" s="1">
        <f t="shared" si="4"/>
        <v>9.3079999999999981</v>
      </c>
      <c r="M34" s="1">
        <v>8.4320000000000004</v>
      </c>
      <c r="N34" s="1"/>
      <c r="O34" s="1">
        <f t="shared" si="5"/>
        <v>1.8615999999999997</v>
      </c>
      <c r="P34" s="5"/>
      <c r="Q34" s="5">
        <f t="shared" si="7"/>
        <v>0</v>
      </c>
      <c r="R34" s="5"/>
      <c r="S34" s="5">
        <f t="shared" si="8"/>
        <v>0</v>
      </c>
      <c r="T34" s="5"/>
      <c r="U34" s="1"/>
      <c r="V34" s="1">
        <f t="shared" si="9"/>
        <v>32.520949720670394</v>
      </c>
      <c r="W34" s="1">
        <f t="shared" si="10"/>
        <v>32.520949720670394</v>
      </c>
      <c r="X34" s="1">
        <v>2.0434000000000001</v>
      </c>
      <c r="Y34" s="1">
        <v>7.6715999999999998</v>
      </c>
      <c r="Z34" s="1">
        <v>6.3672000000000004</v>
      </c>
      <c r="AA34" s="1">
        <v>0.55359999999999998</v>
      </c>
      <c r="AB34" s="1">
        <v>1.4683999999999999</v>
      </c>
      <c r="AC34" s="1">
        <v>8.0381999999999998</v>
      </c>
      <c r="AD34" s="1">
        <v>9.3176000000000005</v>
      </c>
      <c r="AE34" s="1">
        <v>9.8653999999999993</v>
      </c>
      <c r="AF34" s="1">
        <v>0.91439999999999999</v>
      </c>
      <c r="AG34" s="1">
        <v>1.0972</v>
      </c>
      <c r="AH34" s="18" t="s">
        <v>166</v>
      </c>
      <c r="AI34" s="1">
        <f t="shared" si="11"/>
        <v>0</v>
      </c>
      <c r="AJ34" s="1">
        <f t="shared" si="12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79</v>
      </c>
      <c r="B35" s="1" t="s">
        <v>42</v>
      </c>
      <c r="C35" s="1">
        <v>615</v>
      </c>
      <c r="D35" s="1">
        <v>2352</v>
      </c>
      <c r="E35" s="1">
        <v>1370</v>
      </c>
      <c r="F35" s="1">
        <v>1252</v>
      </c>
      <c r="G35" s="7">
        <v>0.4</v>
      </c>
      <c r="H35" s="1">
        <v>45</v>
      </c>
      <c r="I35" s="1" t="s">
        <v>37</v>
      </c>
      <c r="J35" s="1">
        <v>1405</v>
      </c>
      <c r="K35" s="1">
        <f t="shared" ref="K35:K66" si="16">E35-J35</f>
        <v>-35</v>
      </c>
      <c r="L35" s="1">
        <f t="shared" si="4"/>
        <v>1208</v>
      </c>
      <c r="M35" s="1">
        <v>162</v>
      </c>
      <c r="N35" s="1">
        <v>268.19999999999982</v>
      </c>
      <c r="O35" s="1">
        <f t="shared" si="5"/>
        <v>241.6</v>
      </c>
      <c r="P35" s="5">
        <f t="shared" ref="P35:P38" si="17">10*O35-N35-F35</f>
        <v>895.80000000000018</v>
      </c>
      <c r="Q35" s="5">
        <f t="shared" si="7"/>
        <v>895.80000000000018</v>
      </c>
      <c r="R35" s="5"/>
      <c r="S35" s="5">
        <f t="shared" si="8"/>
        <v>895.80000000000018</v>
      </c>
      <c r="T35" s="5"/>
      <c r="U35" s="1"/>
      <c r="V35" s="1">
        <f t="shared" si="9"/>
        <v>10</v>
      </c>
      <c r="W35" s="1">
        <f t="shared" si="10"/>
        <v>6.2922185430463573</v>
      </c>
      <c r="X35" s="1">
        <v>218.2</v>
      </c>
      <c r="Y35" s="1">
        <v>230.2</v>
      </c>
      <c r="Z35" s="1">
        <v>246.2</v>
      </c>
      <c r="AA35" s="1">
        <v>213.6</v>
      </c>
      <c r="AB35" s="1">
        <v>222.2</v>
      </c>
      <c r="AC35" s="1">
        <v>185</v>
      </c>
      <c r="AD35" s="1">
        <v>197</v>
      </c>
      <c r="AE35" s="1">
        <v>218.6</v>
      </c>
      <c r="AF35" s="1">
        <v>162.19999999999999</v>
      </c>
      <c r="AG35" s="1">
        <v>180.6</v>
      </c>
      <c r="AH35" s="1" t="s">
        <v>45</v>
      </c>
      <c r="AI35" s="1">
        <f t="shared" si="11"/>
        <v>0</v>
      </c>
      <c r="AJ35" s="1">
        <f t="shared" si="12"/>
        <v>358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80</v>
      </c>
      <c r="B36" s="1" t="s">
        <v>42</v>
      </c>
      <c r="C36" s="1">
        <v>343</v>
      </c>
      <c r="D36" s="1">
        <v>420</v>
      </c>
      <c r="E36" s="1">
        <v>306</v>
      </c>
      <c r="F36" s="1">
        <v>342</v>
      </c>
      <c r="G36" s="7">
        <v>0.45</v>
      </c>
      <c r="H36" s="1">
        <v>50</v>
      </c>
      <c r="I36" s="12" t="s">
        <v>81</v>
      </c>
      <c r="J36" s="1">
        <v>329</v>
      </c>
      <c r="K36" s="1">
        <f t="shared" si="16"/>
        <v>-23</v>
      </c>
      <c r="L36" s="1">
        <f t="shared" si="4"/>
        <v>306</v>
      </c>
      <c r="M36" s="1"/>
      <c r="N36" s="1">
        <v>301.39999999999998</v>
      </c>
      <c r="O36" s="1">
        <f t="shared" si="5"/>
        <v>61.2</v>
      </c>
      <c r="P36" s="5"/>
      <c r="Q36" s="5">
        <f t="shared" si="7"/>
        <v>0</v>
      </c>
      <c r="R36" s="5"/>
      <c r="S36" s="5">
        <f t="shared" si="8"/>
        <v>0</v>
      </c>
      <c r="T36" s="5"/>
      <c r="U36" s="1"/>
      <c r="V36" s="1">
        <f t="shared" si="9"/>
        <v>10.513071895424837</v>
      </c>
      <c r="W36" s="1">
        <f t="shared" si="10"/>
        <v>10.513071895424837</v>
      </c>
      <c r="X36" s="1">
        <v>83.2</v>
      </c>
      <c r="Y36" s="1">
        <v>70.400000000000006</v>
      </c>
      <c r="Z36" s="1">
        <v>17.399999999999999</v>
      </c>
      <c r="AA36" s="1">
        <v>37.200000000000003</v>
      </c>
      <c r="AB36" s="1">
        <v>259.60000000000002</v>
      </c>
      <c r="AC36" s="1">
        <v>355.8</v>
      </c>
      <c r="AD36" s="1">
        <v>181</v>
      </c>
      <c r="AE36" s="1">
        <v>102.2</v>
      </c>
      <c r="AF36" s="1">
        <v>117.4</v>
      </c>
      <c r="AG36" s="1">
        <v>136.4</v>
      </c>
      <c r="AH36" s="1" t="s">
        <v>82</v>
      </c>
      <c r="AI36" s="1">
        <f t="shared" si="11"/>
        <v>0</v>
      </c>
      <c r="AJ36" s="1">
        <f t="shared" si="12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83</v>
      </c>
      <c r="B37" s="1" t="s">
        <v>42</v>
      </c>
      <c r="C37" s="1">
        <v>738</v>
      </c>
      <c r="D37" s="1">
        <v>1248</v>
      </c>
      <c r="E37" s="1">
        <v>1081</v>
      </c>
      <c r="F37" s="1">
        <v>691</v>
      </c>
      <c r="G37" s="7">
        <v>0.4</v>
      </c>
      <c r="H37" s="1">
        <v>45</v>
      </c>
      <c r="I37" s="1" t="s">
        <v>37</v>
      </c>
      <c r="J37" s="1">
        <v>1113</v>
      </c>
      <c r="K37" s="1">
        <f t="shared" si="16"/>
        <v>-32</v>
      </c>
      <c r="L37" s="1">
        <f t="shared" si="4"/>
        <v>931</v>
      </c>
      <c r="M37" s="1">
        <v>150</v>
      </c>
      <c r="N37" s="1">
        <v>332</v>
      </c>
      <c r="O37" s="1">
        <f t="shared" si="5"/>
        <v>186.2</v>
      </c>
      <c r="P37" s="5">
        <f t="shared" si="17"/>
        <v>839</v>
      </c>
      <c r="Q37" s="5">
        <f t="shared" si="7"/>
        <v>839</v>
      </c>
      <c r="R37" s="5"/>
      <c r="S37" s="5">
        <f t="shared" si="8"/>
        <v>839</v>
      </c>
      <c r="T37" s="5"/>
      <c r="U37" s="1"/>
      <c r="V37" s="1">
        <f t="shared" si="9"/>
        <v>10</v>
      </c>
      <c r="W37" s="1">
        <f t="shared" si="10"/>
        <v>5.4940923737916219</v>
      </c>
      <c r="X37" s="1">
        <v>149</v>
      </c>
      <c r="Y37" s="1">
        <v>139.19999999999999</v>
      </c>
      <c r="Z37" s="1">
        <v>165.4</v>
      </c>
      <c r="AA37" s="1">
        <v>172</v>
      </c>
      <c r="AB37" s="1">
        <v>185.6</v>
      </c>
      <c r="AC37" s="1">
        <v>141.80000000000001</v>
      </c>
      <c r="AD37" s="1">
        <v>150.19999999999999</v>
      </c>
      <c r="AE37" s="1">
        <v>156.6</v>
      </c>
      <c r="AF37" s="1">
        <v>118</v>
      </c>
      <c r="AG37" s="1">
        <v>151.4</v>
      </c>
      <c r="AH37" s="1"/>
      <c r="AI37" s="1">
        <f t="shared" si="11"/>
        <v>0</v>
      </c>
      <c r="AJ37" s="1">
        <f t="shared" si="12"/>
        <v>336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84</v>
      </c>
      <c r="B38" s="1" t="s">
        <v>36</v>
      </c>
      <c r="C38" s="1">
        <v>234.58699999999999</v>
      </c>
      <c r="D38" s="1">
        <v>844.36400000000003</v>
      </c>
      <c r="E38" s="1">
        <v>429.76100000000002</v>
      </c>
      <c r="F38" s="1">
        <v>505.10300000000001</v>
      </c>
      <c r="G38" s="7">
        <v>1</v>
      </c>
      <c r="H38" s="1">
        <v>45</v>
      </c>
      <c r="I38" s="1" t="s">
        <v>37</v>
      </c>
      <c r="J38" s="1">
        <v>415.11500000000001</v>
      </c>
      <c r="K38" s="1">
        <f t="shared" si="16"/>
        <v>14.646000000000015</v>
      </c>
      <c r="L38" s="1">
        <f t="shared" si="4"/>
        <v>309.10400000000004</v>
      </c>
      <c r="M38" s="1">
        <v>120.657</v>
      </c>
      <c r="N38" s="1">
        <v>27.314299999999889</v>
      </c>
      <c r="O38" s="1">
        <f t="shared" si="5"/>
        <v>61.820800000000006</v>
      </c>
      <c r="P38" s="5">
        <f t="shared" si="17"/>
        <v>85.790700000000186</v>
      </c>
      <c r="Q38" s="5">
        <f t="shared" si="7"/>
        <v>85.790700000000186</v>
      </c>
      <c r="R38" s="5"/>
      <c r="S38" s="5">
        <f t="shared" si="8"/>
        <v>85.790700000000186</v>
      </c>
      <c r="T38" s="5"/>
      <c r="U38" s="1"/>
      <c r="V38" s="1">
        <f t="shared" si="9"/>
        <v>10</v>
      </c>
      <c r="W38" s="1">
        <f t="shared" si="10"/>
        <v>8.6122680392359818</v>
      </c>
      <c r="X38" s="1">
        <v>70.298199999999994</v>
      </c>
      <c r="Y38" s="1">
        <v>81.474199999999996</v>
      </c>
      <c r="Z38" s="1">
        <v>74.7346</v>
      </c>
      <c r="AA38" s="1">
        <v>41.038200000000003</v>
      </c>
      <c r="AB38" s="1">
        <v>70.729799999999997</v>
      </c>
      <c r="AC38" s="1">
        <v>51.452599999999997</v>
      </c>
      <c r="AD38" s="1">
        <v>43.813600000000001</v>
      </c>
      <c r="AE38" s="1">
        <v>51.654999999999987</v>
      </c>
      <c r="AF38" s="1">
        <v>49.601599999999998</v>
      </c>
      <c r="AG38" s="1">
        <v>64.675399999999996</v>
      </c>
      <c r="AH38" s="1"/>
      <c r="AI38" s="1">
        <f t="shared" si="11"/>
        <v>0</v>
      </c>
      <c r="AJ38" s="1">
        <f t="shared" si="12"/>
        <v>86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9" t="s">
        <v>85</v>
      </c>
      <c r="B39" s="19" t="s">
        <v>42</v>
      </c>
      <c r="C39" s="19"/>
      <c r="D39" s="19"/>
      <c r="E39" s="19"/>
      <c r="F39" s="19"/>
      <c r="G39" s="20">
        <v>0</v>
      </c>
      <c r="H39" s="19">
        <v>45</v>
      </c>
      <c r="I39" s="19" t="s">
        <v>37</v>
      </c>
      <c r="J39" s="19"/>
      <c r="K39" s="19">
        <f t="shared" si="16"/>
        <v>0</v>
      </c>
      <c r="L39" s="19">
        <f t="shared" si="4"/>
        <v>0</v>
      </c>
      <c r="M39" s="19"/>
      <c r="N39" s="19"/>
      <c r="O39" s="19">
        <f t="shared" si="5"/>
        <v>0</v>
      </c>
      <c r="P39" s="21"/>
      <c r="Q39" s="5">
        <f t="shared" si="7"/>
        <v>0</v>
      </c>
      <c r="R39" s="5"/>
      <c r="S39" s="5">
        <f t="shared" si="8"/>
        <v>0</v>
      </c>
      <c r="T39" s="21"/>
      <c r="U39" s="19"/>
      <c r="V39" s="1" t="e">
        <f t="shared" si="9"/>
        <v>#DIV/0!</v>
      </c>
      <c r="W39" s="19" t="e">
        <f t="shared" si="10"/>
        <v>#DIV/0!</v>
      </c>
      <c r="X39" s="19">
        <v>0</v>
      </c>
      <c r="Y39" s="19">
        <v>0</v>
      </c>
      <c r="Z39" s="19">
        <v>0.2</v>
      </c>
      <c r="AA39" s="19">
        <v>0.2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 t="s">
        <v>62</v>
      </c>
      <c r="AI39" s="1">
        <f t="shared" si="11"/>
        <v>0</v>
      </c>
      <c r="AJ39" s="1">
        <f t="shared" si="12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86</v>
      </c>
      <c r="B40" s="1" t="s">
        <v>42</v>
      </c>
      <c r="C40" s="1">
        <v>238</v>
      </c>
      <c r="D40" s="1">
        <v>366</v>
      </c>
      <c r="E40" s="1">
        <v>170</v>
      </c>
      <c r="F40" s="1">
        <v>351</v>
      </c>
      <c r="G40" s="7">
        <v>0.35</v>
      </c>
      <c r="H40" s="1">
        <v>40</v>
      </c>
      <c r="I40" s="1" t="s">
        <v>37</v>
      </c>
      <c r="J40" s="1">
        <v>519</v>
      </c>
      <c r="K40" s="1">
        <f t="shared" si="16"/>
        <v>-349</v>
      </c>
      <c r="L40" s="1">
        <f t="shared" si="4"/>
        <v>170</v>
      </c>
      <c r="M40" s="1"/>
      <c r="N40" s="1">
        <v>264.60000000000008</v>
      </c>
      <c r="O40" s="1">
        <f t="shared" si="5"/>
        <v>34</v>
      </c>
      <c r="P40" s="5"/>
      <c r="Q40" s="5">
        <f t="shared" si="7"/>
        <v>0</v>
      </c>
      <c r="R40" s="5"/>
      <c r="S40" s="5">
        <f t="shared" si="8"/>
        <v>0</v>
      </c>
      <c r="T40" s="5"/>
      <c r="U40" s="1"/>
      <c r="V40" s="1">
        <f t="shared" si="9"/>
        <v>18.10588235294118</v>
      </c>
      <c r="W40" s="1">
        <f t="shared" si="10"/>
        <v>18.10588235294118</v>
      </c>
      <c r="X40" s="1">
        <v>59.2</v>
      </c>
      <c r="Y40" s="1">
        <v>47.8</v>
      </c>
      <c r="Z40" s="1">
        <v>27</v>
      </c>
      <c r="AA40" s="1">
        <v>29</v>
      </c>
      <c r="AB40" s="1">
        <v>46.4</v>
      </c>
      <c r="AC40" s="1">
        <v>35</v>
      </c>
      <c r="AD40" s="1">
        <v>33.6</v>
      </c>
      <c r="AE40" s="1">
        <v>34.200000000000003</v>
      </c>
      <c r="AF40" s="1">
        <v>31</v>
      </c>
      <c r="AG40" s="1">
        <v>31.4</v>
      </c>
      <c r="AH40" s="1" t="s">
        <v>66</v>
      </c>
      <c r="AI40" s="1">
        <f t="shared" si="11"/>
        <v>0</v>
      </c>
      <c r="AJ40" s="1">
        <f t="shared" si="12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87</v>
      </c>
      <c r="B41" s="1" t="s">
        <v>36</v>
      </c>
      <c r="C41" s="1">
        <v>76.727000000000004</v>
      </c>
      <c r="D41" s="1">
        <v>90.146000000000001</v>
      </c>
      <c r="E41" s="1">
        <v>35.128999999999998</v>
      </c>
      <c r="F41" s="1">
        <v>117.33</v>
      </c>
      <c r="G41" s="7">
        <v>1</v>
      </c>
      <c r="H41" s="1">
        <v>40</v>
      </c>
      <c r="I41" s="1" t="s">
        <v>37</v>
      </c>
      <c r="J41" s="1">
        <v>40.200000000000003</v>
      </c>
      <c r="K41" s="1">
        <f t="shared" si="16"/>
        <v>-5.0710000000000051</v>
      </c>
      <c r="L41" s="1">
        <f t="shared" si="4"/>
        <v>35.128999999999998</v>
      </c>
      <c r="M41" s="1"/>
      <c r="N41" s="1"/>
      <c r="O41" s="1">
        <f t="shared" si="5"/>
        <v>7.0257999999999994</v>
      </c>
      <c r="P41" s="5"/>
      <c r="Q41" s="5">
        <f t="shared" si="7"/>
        <v>0</v>
      </c>
      <c r="R41" s="5"/>
      <c r="S41" s="5">
        <f t="shared" si="8"/>
        <v>0</v>
      </c>
      <c r="T41" s="5"/>
      <c r="U41" s="1"/>
      <c r="V41" s="1">
        <f t="shared" si="9"/>
        <v>16.699877594010648</v>
      </c>
      <c r="W41" s="1">
        <f t="shared" si="10"/>
        <v>16.699877594010648</v>
      </c>
      <c r="X41" s="1">
        <v>10.194000000000001</v>
      </c>
      <c r="Y41" s="1">
        <v>14.821</v>
      </c>
      <c r="Z41" s="1">
        <v>15.6356</v>
      </c>
      <c r="AA41" s="1">
        <v>10.5738</v>
      </c>
      <c r="AB41" s="1">
        <v>1.5162</v>
      </c>
      <c r="AC41" s="1">
        <v>10.4338</v>
      </c>
      <c r="AD41" s="1">
        <v>18.038399999999999</v>
      </c>
      <c r="AE41" s="1">
        <v>18.572199999999999</v>
      </c>
      <c r="AF41" s="1">
        <v>11.1318</v>
      </c>
      <c r="AG41" s="1">
        <v>11.5136</v>
      </c>
      <c r="AH41" s="1"/>
      <c r="AI41" s="1">
        <f t="shared" si="11"/>
        <v>0</v>
      </c>
      <c r="AJ41" s="1">
        <f t="shared" si="12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88</v>
      </c>
      <c r="B42" s="1" t="s">
        <v>42</v>
      </c>
      <c r="C42" s="1">
        <v>212</v>
      </c>
      <c r="D42" s="1">
        <v>318</v>
      </c>
      <c r="E42" s="1">
        <v>329</v>
      </c>
      <c r="F42" s="1">
        <v>145</v>
      </c>
      <c r="G42" s="7">
        <v>0.4</v>
      </c>
      <c r="H42" s="1">
        <v>40</v>
      </c>
      <c r="I42" s="1" t="s">
        <v>37</v>
      </c>
      <c r="J42" s="1">
        <v>358</v>
      </c>
      <c r="K42" s="1">
        <f t="shared" si="16"/>
        <v>-29</v>
      </c>
      <c r="L42" s="1">
        <f t="shared" si="4"/>
        <v>329</v>
      </c>
      <c r="M42" s="1"/>
      <c r="N42" s="1">
        <v>64.399999999999977</v>
      </c>
      <c r="O42" s="1">
        <f t="shared" si="5"/>
        <v>65.8</v>
      </c>
      <c r="P42" s="5">
        <f>9*O42-N42-F42</f>
        <v>382.79999999999995</v>
      </c>
      <c r="Q42" s="5">
        <f t="shared" si="7"/>
        <v>382.79999999999995</v>
      </c>
      <c r="R42" s="5"/>
      <c r="S42" s="5">
        <f t="shared" si="8"/>
        <v>382.79999999999995</v>
      </c>
      <c r="T42" s="5"/>
      <c r="U42" s="1"/>
      <c r="V42" s="1">
        <f t="shared" si="9"/>
        <v>9</v>
      </c>
      <c r="W42" s="1">
        <f t="shared" si="10"/>
        <v>3.1823708206686927</v>
      </c>
      <c r="X42" s="1">
        <v>39.4</v>
      </c>
      <c r="Y42" s="1">
        <v>39.200000000000003</v>
      </c>
      <c r="Z42" s="1">
        <v>47.8</v>
      </c>
      <c r="AA42" s="1">
        <v>49</v>
      </c>
      <c r="AB42" s="1">
        <v>52.6</v>
      </c>
      <c r="AC42" s="1">
        <v>40.6</v>
      </c>
      <c r="AD42" s="1">
        <v>40</v>
      </c>
      <c r="AE42" s="1">
        <v>41.6</v>
      </c>
      <c r="AF42" s="1">
        <v>38.799999999999997</v>
      </c>
      <c r="AG42" s="1">
        <v>64.8</v>
      </c>
      <c r="AH42" s="1"/>
      <c r="AI42" s="1">
        <f t="shared" si="11"/>
        <v>0</v>
      </c>
      <c r="AJ42" s="1">
        <f t="shared" si="12"/>
        <v>153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89</v>
      </c>
      <c r="B43" s="1" t="s">
        <v>42</v>
      </c>
      <c r="C43" s="1">
        <v>228</v>
      </c>
      <c r="D43" s="1">
        <v>768</v>
      </c>
      <c r="E43" s="1">
        <v>546</v>
      </c>
      <c r="F43" s="1">
        <v>361</v>
      </c>
      <c r="G43" s="7">
        <v>0.4</v>
      </c>
      <c r="H43" s="1">
        <v>45</v>
      </c>
      <c r="I43" s="1" t="s">
        <v>37</v>
      </c>
      <c r="J43" s="1">
        <v>579</v>
      </c>
      <c r="K43" s="1">
        <f t="shared" si="16"/>
        <v>-33</v>
      </c>
      <c r="L43" s="1">
        <f t="shared" si="4"/>
        <v>546</v>
      </c>
      <c r="M43" s="1"/>
      <c r="N43" s="1">
        <v>293.8</v>
      </c>
      <c r="O43" s="1">
        <f t="shared" si="5"/>
        <v>109.2</v>
      </c>
      <c r="P43" s="5">
        <f t="shared" ref="P43:P47" si="18">10*O43-N43-F43</f>
        <v>437.20000000000005</v>
      </c>
      <c r="Q43" s="5">
        <f t="shared" si="7"/>
        <v>437.20000000000005</v>
      </c>
      <c r="R43" s="5"/>
      <c r="S43" s="5">
        <f t="shared" si="8"/>
        <v>437.20000000000005</v>
      </c>
      <c r="T43" s="5"/>
      <c r="U43" s="1"/>
      <c r="V43" s="1">
        <f t="shared" si="9"/>
        <v>10</v>
      </c>
      <c r="W43" s="1">
        <f t="shared" si="10"/>
        <v>5.9963369963369955</v>
      </c>
      <c r="X43" s="1">
        <v>90.8</v>
      </c>
      <c r="Y43" s="1">
        <v>81.2</v>
      </c>
      <c r="Z43" s="1">
        <v>89.8</v>
      </c>
      <c r="AA43" s="1">
        <v>89.8</v>
      </c>
      <c r="AB43" s="1">
        <v>85</v>
      </c>
      <c r="AC43" s="1">
        <v>70.2</v>
      </c>
      <c r="AD43" s="1">
        <v>80.2</v>
      </c>
      <c r="AE43" s="1">
        <v>91.6</v>
      </c>
      <c r="AF43" s="1">
        <v>87.2</v>
      </c>
      <c r="AG43" s="1">
        <v>110.6</v>
      </c>
      <c r="AH43" s="1" t="s">
        <v>45</v>
      </c>
      <c r="AI43" s="1">
        <f t="shared" si="11"/>
        <v>0</v>
      </c>
      <c r="AJ43" s="1">
        <f t="shared" si="12"/>
        <v>175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90</v>
      </c>
      <c r="B44" s="1" t="s">
        <v>36</v>
      </c>
      <c r="C44" s="1">
        <v>10.118</v>
      </c>
      <c r="D44" s="1">
        <v>115.955</v>
      </c>
      <c r="E44" s="1">
        <v>59.404000000000003</v>
      </c>
      <c r="F44" s="1">
        <v>56.671999999999997</v>
      </c>
      <c r="G44" s="7">
        <v>1</v>
      </c>
      <c r="H44" s="1">
        <v>40</v>
      </c>
      <c r="I44" s="1" t="s">
        <v>37</v>
      </c>
      <c r="J44" s="1">
        <v>66.900000000000006</v>
      </c>
      <c r="K44" s="1">
        <f t="shared" si="16"/>
        <v>-7.4960000000000022</v>
      </c>
      <c r="L44" s="1">
        <f t="shared" si="4"/>
        <v>59.404000000000003</v>
      </c>
      <c r="M44" s="1"/>
      <c r="N44" s="1"/>
      <c r="O44" s="1">
        <f t="shared" si="5"/>
        <v>11.880800000000001</v>
      </c>
      <c r="P44" s="5">
        <f t="shared" si="18"/>
        <v>62.13600000000001</v>
      </c>
      <c r="Q44" s="5">
        <f t="shared" si="7"/>
        <v>62.13600000000001</v>
      </c>
      <c r="R44" s="5"/>
      <c r="S44" s="5">
        <f t="shared" si="8"/>
        <v>62.13600000000001</v>
      </c>
      <c r="T44" s="5"/>
      <c r="U44" s="1"/>
      <c r="V44" s="1">
        <f t="shared" si="9"/>
        <v>10</v>
      </c>
      <c r="W44" s="1">
        <f t="shared" si="10"/>
        <v>4.7700491549390609</v>
      </c>
      <c r="X44" s="1">
        <v>10.1258</v>
      </c>
      <c r="Y44" s="1">
        <v>11.2706</v>
      </c>
      <c r="Z44" s="1">
        <v>10.634399999999999</v>
      </c>
      <c r="AA44" s="1">
        <v>10.061199999999999</v>
      </c>
      <c r="AB44" s="1">
        <v>7.9871999999999996</v>
      </c>
      <c r="AC44" s="1">
        <v>9.5608000000000004</v>
      </c>
      <c r="AD44" s="1">
        <v>14.3674</v>
      </c>
      <c r="AE44" s="1">
        <v>15.9758</v>
      </c>
      <c r="AF44" s="1">
        <v>13.2592</v>
      </c>
      <c r="AG44" s="1">
        <v>12.51</v>
      </c>
      <c r="AH44" s="1"/>
      <c r="AI44" s="1">
        <f t="shared" si="11"/>
        <v>0</v>
      </c>
      <c r="AJ44" s="1">
        <f t="shared" si="12"/>
        <v>62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91</v>
      </c>
      <c r="B45" s="1" t="s">
        <v>42</v>
      </c>
      <c r="C45" s="1">
        <v>143</v>
      </c>
      <c r="D45" s="1">
        <v>1134</v>
      </c>
      <c r="E45" s="1">
        <v>733</v>
      </c>
      <c r="F45" s="1">
        <v>421</v>
      </c>
      <c r="G45" s="7">
        <v>0.35</v>
      </c>
      <c r="H45" s="1">
        <v>40</v>
      </c>
      <c r="I45" s="1" t="s">
        <v>37</v>
      </c>
      <c r="J45" s="1">
        <v>955</v>
      </c>
      <c r="K45" s="1">
        <f t="shared" si="16"/>
        <v>-222</v>
      </c>
      <c r="L45" s="1">
        <f t="shared" si="4"/>
        <v>613</v>
      </c>
      <c r="M45" s="1">
        <v>120</v>
      </c>
      <c r="N45" s="1">
        <v>289.40000000000009</v>
      </c>
      <c r="O45" s="1">
        <f t="shared" si="5"/>
        <v>122.6</v>
      </c>
      <c r="P45" s="5">
        <f t="shared" si="18"/>
        <v>515.59999999999991</v>
      </c>
      <c r="Q45" s="25">
        <f t="shared" ref="Q45" si="19">P45+O45</f>
        <v>638.19999999999993</v>
      </c>
      <c r="R45" s="25"/>
      <c r="S45" s="5">
        <f t="shared" si="8"/>
        <v>638.19999999999993</v>
      </c>
      <c r="T45" s="5"/>
      <c r="U45" s="1"/>
      <c r="V45" s="1">
        <f t="shared" si="9"/>
        <v>11</v>
      </c>
      <c r="W45" s="1">
        <f t="shared" si="10"/>
        <v>5.7944535073409469</v>
      </c>
      <c r="X45" s="1">
        <v>97.2</v>
      </c>
      <c r="Y45" s="1">
        <v>93.4</v>
      </c>
      <c r="Z45" s="1">
        <v>93.4</v>
      </c>
      <c r="AA45" s="1">
        <v>87.4</v>
      </c>
      <c r="AB45" s="1">
        <v>69.8</v>
      </c>
      <c r="AC45" s="1">
        <v>64.400000000000006</v>
      </c>
      <c r="AD45" s="1">
        <v>91.6</v>
      </c>
      <c r="AE45" s="1">
        <v>93.6</v>
      </c>
      <c r="AF45" s="1">
        <v>56.4</v>
      </c>
      <c r="AG45" s="1">
        <v>53.6</v>
      </c>
      <c r="AH45" s="1" t="s">
        <v>92</v>
      </c>
      <c r="AI45" s="1">
        <f t="shared" si="11"/>
        <v>0</v>
      </c>
      <c r="AJ45" s="1">
        <f t="shared" si="12"/>
        <v>223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93</v>
      </c>
      <c r="B46" s="1" t="s">
        <v>42</v>
      </c>
      <c r="C46" s="1">
        <v>42</v>
      </c>
      <c r="D46" s="1">
        <v>18</v>
      </c>
      <c r="E46" s="1">
        <v>25</v>
      </c>
      <c r="F46" s="1"/>
      <c r="G46" s="7">
        <v>0.4</v>
      </c>
      <c r="H46" s="1">
        <v>40</v>
      </c>
      <c r="I46" s="1" t="s">
        <v>37</v>
      </c>
      <c r="J46" s="1">
        <v>373</v>
      </c>
      <c r="K46" s="1">
        <f t="shared" si="16"/>
        <v>-348</v>
      </c>
      <c r="L46" s="1">
        <f t="shared" si="4"/>
        <v>25</v>
      </c>
      <c r="M46" s="1"/>
      <c r="N46" s="1"/>
      <c r="O46" s="1">
        <f t="shared" si="5"/>
        <v>5</v>
      </c>
      <c r="P46" s="5">
        <v>200</v>
      </c>
      <c r="Q46" s="5">
        <f t="shared" si="7"/>
        <v>200</v>
      </c>
      <c r="R46" s="5"/>
      <c r="S46" s="5">
        <f t="shared" si="8"/>
        <v>200</v>
      </c>
      <c r="T46" s="5"/>
      <c r="U46" s="1"/>
      <c r="V46" s="1">
        <f t="shared" si="9"/>
        <v>40</v>
      </c>
      <c r="W46" s="1">
        <f t="shared" si="10"/>
        <v>0</v>
      </c>
      <c r="X46" s="1">
        <v>1</v>
      </c>
      <c r="Y46" s="1">
        <v>3.2</v>
      </c>
      <c r="Z46" s="1">
        <v>48.2</v>
      </c>
      <c r="AA46" s="1">
        <v>57.6</v>
      </c>
      <c r="AB46" s="1">
        <v>66.2</v>
      </c>
      <c r="AC46" s="1">
        <v>56.8</v>
      </c>
      <c r="AD46" s="1">
        <v>60.8</v>
      </c>
      <c r="AE46" s="1">
        <v>65.599999999999994</v>
      </c>
      <c r="AF46" s="1">
        <v>42.4</v>
      </c>
      <c r="AG46" s="1">
        <v>52.2</v>
      </c>
      <c r="AH46" s="24" t="s">
        <v>169</v>
      </c>
      <c r="AI46" s="1">
        <f t="shared" si="11"/>
        <v>0</v>
      </c>
      <c r="AJ46" s="1">
        <f t="shared" si="12"/>
        <v>80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94</v>
      </c>
      <c r="B47" s="1" t="s">
        <v>36</v>
      </c>
      <c r="C47" s="1">
        <v>84.793999999999997</v>
      </c>
      <c r="D47" s="1">
        <v>258.66699999999997</v>
      </c>
      <c r="E47" s="1">
        <v>126.273</v>
      </c>
      <c r="F47" s="1">
        <v>179.227</v>
      </c>
      <c r="G47" s="7">
        <v>1</v>
      </c>
      <c r="H47" s="1">
        <v>50</v>
      </c>
      <c r="I47" s="1" t="s">
        <v>37</v>
      </c>
      <c r="J47" s="1">
        <v>125.2</v>
      </c>
      <c r="K47" s="1">
        <f t="shared" si="16"/>
        <v>1.0729999999999933</v>
      </c>
      <c r="L47" s="1">
        <f t="shared" si="4"/>
        <v>126.273</v>
      </c>
      <c r="M47" s="1"/>
      <c r="N47" s="1">
        <v>49.740000000000038</v>
      </c>
      <c r="O47" s="1">
        <f t="shared" si="5"/>
        <v>25.2546</v>
      </c>
      <c r="P47" s="5">
        <f t="shared" si="18"/>
        <v>23.578999999999951</v>
      </c>
      <c r="Q47" s="5">
        <f t="shared" si="7"/>
        <v>23.578999999999951</v>
      </c>
      <c r="R47" s="5"/>
      <c r="S47" s="5">
        <f t="shared" si="8"/>
        <v>23.578999999999951</v>
      </c>
      <c r="T47" s="5"/>
      <c r="U47" s="1"/>
      <c r="V47" s="1">
        <f t="shared" si="9"/>
        <v>10</v>
      </c>
      <c r="W47" s="1">
        <f t="shared" si="10"/>
        <v>9.0663483088229491</v>
      </c>
      <c r="X47" s="1">
        <v>29.015999999999998</v>
      </c>
      <c r="Y47" s="1">
        <v>28.9726</v>
      </c>
      <c r="Z47" s="1">
        <v>27.550599999999999</v>
      </c>
      <c r="AA47" s="1">
        <v>24.900600000000001</v>
      </c>
      <c r="AB47" s="1">
        <v>22.1234</v>
      </c>
      <c r="AC47" s="1">
        <v>24.8508</v>
      </c>
      <c r="AD47" s="1">
        <v>33.372999999999998</v>
      </c>
      <c r="AE47" s="1">
        <v>46.125999999999998</v>
      </c>
      <c r="AF47" s="1">
        <v>33.356999999999999</v>
      </c>
      <c r="AG47" s="1">
        <v>29.334</v>
      </c>
      <c r="AH47" s="1"/>
      <c r="AI47" s="1">
        <f t="shared" si="11"/>
        <v>0</v>
      </c>
      <c r="AJ47" s="1">
        <f t="shared" si="12"/>
        <v>24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95</v>
      </c>
      <c r="B48" s="1" t="s">
        <v>36</v>
      </c>
      <c r="C48" s="1">
        <v>708.12800000000004</v>
      </c>
      <c r="D48" s="1">
        <v>1126.7719999999999</v>
      </c>
      <c r="E48" s="1">
        <v>492.27600000000001</v>
      </c>
      <c r="F48" s="1">
        <v>1225.327</v>
      </c>
      <c r="G48" s="7">
        <v>1</v>
      </c>
      <c r="H48" s="1">
        <v>50</v>
      </c>
      <c r="I48" s="1" t="s">
        <v>37</v>
      </c>
      <c r="J48" s="1">
        <v>487.64400000000001</v>
      </c>
      <c r="K48" s="1">
        <f t="shared" si="16"/>
        <v>4.632000000000005</v>
      </c>
      <c r="L48" s="1">
        <f t="shared" si="4"/>
        <v>459.58199999999999</v>
      </c>
      <c r="M48" s="1">
        <v>32.694000000000003</v>
      </c>
      <c r="N48" s="1"/>
      <c r="O48" s="1">
        <f t="shared" si="5"/>
        <v>91.916399999999996</v>
      </c>
      <c r="P48" s="5"/>
      <c r="Q48" s="5">
        <f t="shared" si="7"/>
        <v>0</v>
      </c>
      <c r="R48" s="5"/>
      <c r="S48" s="5">
        <f t="shared" si="8"/>
        <v>0</v>
      </c>
      <c r="T48" s="5"/>
      <c r="U48" s="1"/>
      <c r="V48" s="1">
        <f t="shared" si="9"/>
        <v>13.330885456784644</v>
      </c>
      <c r="W48" s="1">
        <f t="shared" si="10"/>
        <v>13.330885456784644</v>
      </c>
      <c r="X48" s="1">
        <v>104.374</v>
      </c>
      <c r="Y48" s="1">
        <v>112.3566</v>
      </c>
      <c r="Z48" s="1">
        <v>212.51599999999999</v>
      </c>
      <c r="AA48" s="1">
        <v>203.15559999999999</v>
      </c>
      <c r="AB48" s="1">
        <v>188.63339999999999</v>
      </c>
      <c r="AC48" s="1">
        <v>180.3518</v>
      </c>
      <c r="AD48" s="1">
        <v>196.77199999999999</v>
      </c>
      <c r="AE48" s="1">
        <v>232.87219999999999</v>
      </c>
      <c r="AF48" s="1">
        <v>131.4238</v>
      </c>
      <c r="AG48" s="1">
        <v>114.51600000000001</v>
      </c>
      <c r="AH48" s="1" t="s">
        <v>96</v>
      </c>
      <c r="AI48" s="1">
        <f t="shared" si="11"/>
        <v>0</v>
      </c>
      <c r="AJ48" s="1">
        <f t="shared" si="12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9" t="s">
        <v>97</v>
      </c>
      <c r="B49" s="19" t="s">
        <v>36</v>
      </c>
      <c r="C49" s="19"/>
      <c r="D49" s="19"/>
      <c r="E49" s="19"/>
      <c r="F49" s="19"/>
      <c r="G49" s="20">
        <v>0</v>
      </c>
      <c r="H49" s="19">
        <v>40</v>
      </c>
      <c r="I49" s="19" t="s">
        <v>37</v>
      </c>
      <c r="J49" s="19"/>
      <c r="K49" s="19">
        <f t="shared" si="16"/>
        <v>0</v>
      </c>
      <c r="L49" s="19">
        <f t="shared" si="4"/>
        <v>0</v>
      </c>
      <c r="M49" s="19"/>
      <c r="N49" s="19"/>
      <c r="O49" s="19">
        <f t="shared" si="5"/>
        <v>0</v>
      </c>
      <c r="P49" s="21"/>
      <c r="Q49" s="5">
        <f t="shared" si="7"/>
        <v>0</v>
      </c>
      <c r="R49" s="5"/>
      <c r="S49" s="5">
        <f t="shared" si="8"/>
        <v>0</v>
      </c>
      <c r="T49" s="21"/>
      <c r="U49" s="19"/>
      <c r="V49" s="1" t="e">
        <f t="shared" si="9"/>
        <v>#DIV/0!</v>
      </c>
      <c r="W49" s="19" t="e">
        <f t="shared" si="10"/>
        <v>#DIV/0!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 t="s">
        <v>62</v>
      </c>
      <c r="AI49" s="1">
        <f t="shared" si="11"/>
        <v>0</v>
      </c>
      <c r="AJ49" s="1">
        <f t="shared" si="12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3" t="s">
        <v>98</v>
      </c>
      <c r="B50" s="13" t="s">
        <v>42</v>
      </c>
      <c r="C50" s="13"/>
      <c r="D50" s="13">
        <v>61</v>
      </c>
      <c r="E50" s="13">
        <v>60</v>
      </c>
      <c r="F50" s="13"/>
      <c r="G50" s="14">
        <v>0</v>
      </c>
      <c r="H50" s="13" t="e">
        <v>#N/A</v>
      </c>
      <c r="I50" s="13" t="s">
        <v>59</v>
      </c>
      <c r="J50" s="13">
        <v>60</v>
      </c>
      <c r="K50" s="13">
        <f t="shared" si="16"/>
        <v>0</v>
      </c>
      <c r="L50" s="13">
        <f t="shared" si="4"/>
        <v>0</v>
      </c>
      <c r="M50" s="13">
        <v>60</v>
      </c>
      <c r="N50" s="13"/>
      <c r="O50" s="13">
        <f t="shared" si="5"/>
        <v>0</v>
      </c>
      <c r="P50" s="15"/>
      <c r="Q50" s="5">
        <f t="shared" si="7"/>
        <v>0</v>
      </c>
      <c r="R50" s="5"/>
      <c r="S50" s="5">
        <f t="shared" si="8"/>
        <v>0</v>
      </c>
      <c r="T50" s="15"/>
      <c r="U50" s="13"/>
      <c r="V50" s="1" t="e">
        <f t="shared" si="9"/>
        <v>#DIV/0!</v>
      </c>
      <c r="W50" s="13" t="e">
        <f t="shared" si="10"/>
        <v>#DIV/0!</v>
      </c>
      <c r="X50" s="13">
        <v>0.2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/>
      <c r="AI50" s="1">
        <f t="shared" si="11"/>
        <v>0</v>
      </c>
      <c r="AJ50" s="1">
        <f t="shared" si="12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99</v>
      </c>
      <c r="B51" s="1" t="s">
        <v>42</v>
      </c>
      <c r="C51" s="1">
        <v>23</v>
      </c>
      <c r="D51" s="1">
        <v>370</v>
      </c>
      <c r="E51" s="1">
        <v>128</v>
      </c>
      <c r="F51" s="1">
        <v>233</v>
      </c>
      <c r="G51" s="7">
        <v>0.45</v>
      </c>
      <c r="H51" s="1">
        <v>50</v>
      </c>
      <c r="I51" s="1" t="s">
        <v>37</v>
      </c>
      <c r="J51" s="1">
        <v>130</v>
      </c>
      <c r="K51" s="1">
        <f t="shared" si="16"/>
        <v>-2</v>
      </c>
      <c r="L51" s="1">
        <f t="shared" si="4"/>
        <v>128</v>
      </c>
      <c r="M51" s="1"/>
      <c r="N51" s="1"/>
      <c r="O51" s="1">
        <f t="shared" si="5"/>
        <v>25.6</v>
      </c>
      <c r="P51" s="5">
        <f>10*O51-N51-F51</f>
        <v>23</v>
      </c>
      <c r="Q51" s="5">
        <f t="shared" si="7"/>
        <v>23</v>
      </c>
      <c r="R51" s="5"/>
      <c r="S51" s="5">
        <f t="shared" si="8"/>
        <v>23</v>
      </c>
      <c r="T51" s="5"/>
      <c r="U51" s="1"/>
      <c r="V51" s="1">
        <f t="shared" si="9"/>
        <v>10</v>
      </c>
      <c r="W51" s="1">
        <f t="shared" si="10"/>
        <v>9.1015625</v>
      </c>
      <c r="X51" s="1">
        <v>31.2</v>
      </c>
      <c r="Y51" s="1">
        <v>34.200000000000003</v>
      </c>
      <c r="Z51" s="1">
        <v>34.4</v>
      </c>
      <c r="AA51" s="1">
        <v>35.799999999999997</v>
      </c>
      <c r="AB51" s="1">
        <v>14.2</v>
      </c>
      <c r="AC51" s="1">
        <v>23.2</v>
      </c>
      <c r="AD51" s="1">
        <v>37.200000000000003</v>
      </c>
      <c r="AE51" s="1">
        <v>40</v>
      </c>
      <c r="AF51" s="1">
        <v>19.600000000000001</v>
      </c>
      <c r="AG51" s="1">
        <v>20.6</v>
      </c>
      <c r="AH51" s="1" t="s">
        <v>45</v>
      </c>
      <c r="AI51" s="1">
        <f t="shared" si="11"/>
        <v>0</v>
      </c>
      <c r="AJ51" s="1">
        <f t="shared" si="12"/>
        <v>10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9" t="s">
        <v>100</v>
      </c>
      <c r="B52" s="19" t="s">
        <v>36</v>
      </c>
      <c r="C52" s="19"/>
      <c r="D52" s="19"/>
      <c r="E52" s="19"/>
      <c r="F52" s="19"/>
      <c r="G52" s="20">
        <v>0</v>
      </c>
      <c r="H52" s="19">
        <v>40</v>
      </c>
      <c r="I52" s="19" t="s">
        <v>37</v>
      </c>
      <c r="J52" s="19"/>
      <c r="K52" s="19">
        <f t="shared" si="16"/>
        <v>0</v>
      </c>
      <c r="L52" s="19">
        <f t="shared" si="4"/>
        <v>0</v>
      </c>
      <c r="M52" s="19"/>
      <c r="N52" s="19"/>
      <c r="O52" s="19">
        <f t="shared" si="5"/>
        <v>0</v>
      </c>
      <c r="P52" s="21"/>
      <c r="Q52" s="5">
        <f t="shared" si="7"/>
        <v>0</v>
      </c>
      <c r="R52" s="5"/>
      <c r="S52" s="5">
        <f t="shared" si="8"/>
        <v>0</v>
      </c>
      <c r="T52" s="21"/>
      <c r="U52" s="19"/>
      <c r="V52" s="1" t="e">
        <f t="shared" si="9"/>
        <v>#DIV/0!</v>
      </c>
      <c r="W52" s="19" t="e">
        <f t="shared" si="10"/>
        <v>#DIV/0!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 t="s">
        <v>101</v>
      </c>
      <c r="AI52" s="1">
        <f t="shared" si="11"/>
        <v>0</v>
      </c>
      <c r="AJ52" s="1">
        <f t="shared" si="12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102</v>
      </c>
      <c r="B53" s="1" t="s">
        <v>42</v>
      </c>
      <c r="C53" s="1">
        <v>64</v>
      </c>
      <c r="D53" s="1">
        <v>45</v>
      </c>
      <c r="E53" s="1">
        <v>59</v>
      </c>
      <c r="F53" s="1">
        <v>30</v>
      </c>
      <c r="G53" s="7">
        <v>0.4</v>
      </c>
      <c r="H53" s="1">
        <v>40</v>
      </c>
      <c r="I53" s="1" t="s">
        <v>37</v>
      </c>
      <c r="J53" s="1">
        <v>72</v>
      </c>
      <c r="K53" s="1">
        <f t="shared" si="16"/>
        <v>-13</v>
      </c>
      <c r="L53" s="1">
        <f t="shared" si="4"/>
        <v>59</v>
      </c>
      <c r="M53" s="1"/>
      <c r="N53" s="1">
        <v>46.400000000000013</v>
      </c>
      <c r="O53" s="1">
        <f t="shared" si="5"/>
        <v>11.8</v>
      </c>
      <c r="P53" s="5">
        <f t="shared" ref="P53:P62" si="20">10*O53-N53-F53</f>
        <v>41.599999999999994</v>
      </c>
      <c r="Q53" s="5">
        <f t="shared" si="7"/>
        <v>41.599999999999994</v>
      </c>
      <c r="R53" s="5"/>
      <c r="S53" s="5">
        <f t="shared" si="8"/>
        <v>41.599999999999994</v>
      </c>
      <c r="T53" s="5"/>
      <c r="U53" s="1"/>
      <c r="V53" s="1">
        <f t="shared" si="9"/>
        <v>10</v>
      </c>
      <c r="W53" s="1">
        <f t="shared" si="10"/>
        <v>6.4745762711864412</v>
      </c>
      <c r="X53" s="1">
        <v>10.4</v>
      </c>
      <c r="Y53" s="1">
        <v>8.6</v>
      </c>
      <c r="Z53" s="1">
        <v>9.6</v>
      </c>
      <c r="AA53" s="1">
        <v>9.1999999999999993</v>
      </c>
      <c r="AB53" s="1">
        <v>12</v>
      </c>
      <c r="AC53" s="1">
        <v>11.6</v>
      </c>
      <c r="AD53" s="1">
        <v>8</v>
      </c>
      <c r="AE53" s="1">
        <v>11.2</v>
      </c>
      <c r="AF53" s="1">
        <v>8.8000000000000007</v>
      </c>
      <c r="AG53" s="1">
        <v>7.4</v>
      </c>
      <c r="AH53" s="1"/>
      <c r="AI53" s="1">
        <f t="shared" si="11"/>
        <v>0</v>
      </c>
      <c r="AJ53" s="1">
        <f t="shared" si="12"/>
        <v>17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103</v>
      </c>
      <c r="B54" s="1" t="s">
        <v>42</v>
      </c>
      <c r="C54" s="1"/>
      <c r="D54" s="1">
        <v>117</v>
      </c>
      <c r="E54" s="1">
        <v>47</v>
      </c>
      <c r="F54" s="1">
        <v>69</v>
      </c>
      <c r="G54" s="7">
        <v>0.4</v>
      </c>
      <c r="H54" s="1">
        <v>40</v>
      </c>
      <c r="I54" s="1" t="s">
        <v>37</v>
      </c>
      <c r="J54" s="1">
        <v>58</v>
      </c>
      <c r="K54" s="1">
        <f t="shared" si="16"/>
        <v>-11</v>
      </c>
      <c r="L54" s="1">
        <f t="shared" si="4"/>
        <v>47</v>
      </c>
      <c r="M54" s="1"/>
      <c r="N54" s="1"/>
      <c r="O54" s="1">
        <f t="shared" si="5"/>
        <v>9.4</v>
      </c>
      <c r="P54" s="5">
        <f t="shared" si="20"/>
        <v>25</v>
      </c>
      <c r="Q54" s="5">
        <f t="shared" si="7"/>
        <v>25</v>
      </c>
      <c r="R54" s="5"/>
      <c r="S54" s="5">
        <f t="shared" si="8"/>
        <v>25</v>
      </c>
      <c r="T54" s="5"/>
      <c r="U54" s="1"/>
      <c r="V54" s="1">
        <f t="shared" si="9"/>
        <v>10</v>
      </c>
      <c r="W54" s="1">
        <f t="shared" si="10"/>
        <v>7.3404255319148932</v>
      </c>
      <c r="X54" s="1">
        <v>1.4</v>
      </c>
      <c r="Y54" s="1">
        <v>2.8</v>
      </c>
      <c r="Z54" s="1">
        <v>8.6</v>
      </c>
      <c r="AA54" s="1">
        <v>10.4</v>
      </c>
      <c r="AB54" s="1">
        <v>10.6</v>
      </c>
      <c r="AC54" s="1">
        <v>9.1999999999999993</v>
      </c>
      <c r="AD54" s="1">
        <v>9.8000000000000007</v>
      </c>
      <c r="AE54" s="1">
        <v>10.6</v>
      </c>
      <c r="AF54" s="1">
        <v>7</v>
      </c>
      <c r="AG54" s="1">
        <v>8</v>
      </c>
      <c r="AH54" s="1" t="s">
        <v>104</v>
      </c>
      <c r="AI54" s="1">
        <f t="shared" si="11"/>
        <v>0</v>
      </c>
      <c r="AJ54" s="1">
        <f t="shared" si="12"/>
        <v>10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105</v>
      </c>
      <c r="B55" s="1" t="s">
        <v>36</v>
      </c>
      <c r="C55" s="1">
        <v>68.055999999999997</v>
      </c>
      <c r="D55" s="1">
        <v>118.84</v>
      </c>
      <c r="E55" s="1">
        <v>129.97200000000001</v>
      </c>
      <c r="F55" s="1">
        <v>28.347999999999999</v>
      </c>
      <c r="G55" s="7">
        <v>1</v>
      </c>
      <c r="H55" s="1">
        <v>50</v>
      </c>
      <c r="I55" s="1" t="s">
        <v>37</v>
      </c>
      <c r="J55" s="1">
        <v>158.94999999999999</v>
      </c>
      <c r="K55" s="1">
        <f t="shared" si="16"/>
        <v>-28.97799999999998</v>
      </c>
      <c r="L55" s="1">
        <f t="shared" si="4"/>
        <v>119.21700000000001</v>
      </c>
      <c r="M55" s="1">
        <v>10.755000000000001</v>
      </c>
      <c r="N55" s="1">
        <v>80.096800000000016</v>
      </c>
      <c r="O55" s="1">
        <f t="shared" si="5"/>
        <v>23.843400000000003</v>
      </c>
      <c r="P55" s="5">
        <f t="shared" si="20"/>
        <v>129.98919999999998</v>
      </c>
      <c r="Q55" s="5">
        <f t="shared" si="7"/>
        <v>129.98919999999998</v>
      </c>
      <c r="R55" s="5"/>
      <c r="S55" s="5">
        <f t="shared" si="8"/>
        <v>129.98919999999998</v>
      </c>
      <c r="T55" s="5"/>
      <c r="U55" s="1"/>
      <c r="V55" s="1">
        <f t="shared" si="9"/>
        <v>9.9999999999999982</v>
      </c>
      <c r="W55" s="1">
        <f t="shared" si="10"/>
        <v>4.5482104062340101</v>
      </c>
      <c r="X55" s="1">
        <v>18.227599999999999</v>
      </c>
      <c r="Y55" s="1">
        <v>14.6684</v>
      </c>
      <c r="Z55" s="1">
        <v>20.7562</v>
      </c>
      <c r="AA55" s="1">
        <v>22.980799999999999</v>
      </c>
      <c r="AB55" s="1">
        <v>21.758800000000001</v>
      </c>
      <c r="AC55" s="1">
        <v>18.047999999999998</v>
      </c>
      <c r="AD55" s="1">
        <v>22.817599999999999</v>
      </c>
      <c r="AE55" s="1">
        <v>24.711200000000002</v>
      </c>
      <c r="AF55" s="1">
        <v>17.653199999999998</v>
      </c>
      <c r="AG55" s="1">
        <v>22.540199999999999</v>
      </c>
      <c r="AH55" s="1"/>
      <c r="AI55" s="1">
        <f t="shared" si="11"/>
        <v>0</v>
      </c>
      <c r="AJ55" s="1">
        <f t="shared" si="12"/>
        <v>130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106</v>
      </c>
      <c r="B56" s="1" t="s">
        <v>36</v>
      </c>
      <c r="C56" s="1">
        <v>128.81299999999999</v>
      </c>
      <c r="D56" s="1">
        <v>1103.663</v>
      </c>
      <c r="E56" s="1">
        <v>490.34300000000002</v>
      </c>
      <c r="F56" s="1">
        <v>626.80399999999997</v>
      </c>
      <c r="G56" s="7">
        <v>1</v>
      </c>
      <c r="H56" s="1">
        <v>50</v>
      </c>
      <c r="I56" s="1" t="s">
        <v>37</v>
      </c>
      <c r="J56" s="1">
        <v>476.48099999999999</v>
      </c>
      <c r="K56" s="1">
        <f t="shared" si="16"/>
        <v>13.862000000000023</v>
      </c>
      <c r="L56" s="1">
        <f t="shared" si="4"/>
        <v>382.38499999999999</v>
      </c>
      <c r="M56" s="1">
        <v>107.958</v>
      </c>
      <c r="N56" s="1"/>
      <c r="O56" s="1">
        <f t="shared" si="5"/>
        <v>76.477000000000004</v>
      </c>
      <c r="P56" s="5">
        <f t="shared" si="20"/>
        <v>137.96600000000001</v>
      </c>
      <c r="Q56" s="5">
        <f t="shared" si="7"/>
        <v>137.96600000000001</v>
      </c>
      <c r="R56" s="5"/>
      <c r="S56" s="5">
        <f t="shared" si="8"/>
        <v>137.96600000000001</v>
      </c>
      <c r="T56" s="5"/>
      <c r="U56" s="1"/>
      <c r="V56" s="1">
        <f t="shared" si="9"/>
        <v>10</v>
      </c>
      <c r="W56" s="1">
        <f t="shared" si="10"/>
        <v>8.1959804908665337</v>
      </c>
      <c r="X56" s="1">
        <v>68.045199999999994</v>
      </c>
      <c r="Y56" s="1">
        <v>106.3288</v>
      </c>
      <c r="Z56" s="1">
        <v>105.8222</v>
      </c>
      <c r="AA56" s="1">
        <v>83.827200000000005</v>
      </c>
      <c r="AB56" s="1">
        <v>77.943399999999997</v>
      </c>
      <c r="AC56" s="1">
        <v>51.977200000000003</v>
      </c>
      <c r="AD56" s="1">
        <v>46.274999999999999</v>
      </c>
      <c r="AE56" s="1">
        <v>51.472000000000001</v>
      </c>
      <c r="AF56" s="1">
        <v>51.563199999999988</v>
      </c>
      <c r="AG56" s="1">
        <v>51.980600000000003</v>
      </c>
      <c r="AH56" s="1"/>
      <c r="AI56" s="1">
        <f t="shared" si="11"/>
        <v>0</v>
      </c>
      <c r="AJ56" s="1">
        <f t="shared" si="12"/>
        <v>138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107</v>
      </c>
      <c r="B57" s="1" t="s">
        <v>36</v>
      </c>
      <c r="C57" s="1">
        <v>175.44</v>
      </c>
      <c r="D57" s="1">
        <v>236.75899999999999</v>
      </c>
      <c r="E57" s="1">
        <v>134.989</v>
      </c>
      <c r="F57" s="1">
        <v>266.83100000000002</v>
      </c>
      <c r="G57" s="7">
        <v>1</v>
      </c>
      <c r="H57" s="1">
        <v>50</v>
      </c>
      <c r="I57" s="1" t="s">
        <v>37</v>
      </c>
      <c r="J57" s="1">
        <v>135.61500000000001</v>
      </c>
      <c r="K57" s="1">
        <f t="shared" si="16"/>
        <v>-0.62600000000000477</v>
      </c>
      <c r="L57" s="1">
        <f t="shared" si="4"/>
        <v>27.274000000000001</v>
      </c>
      <c r="M57" s="1">
        <v>107.715</v>
      </c>
      <c r="N57" s="1">
        <v>45.289199999999987</v>
      </c>
      <c r="O57" s="1">
        <f t="shared" si="5"/>
        <v>5.4548000000000005</v>
      </c>
      <c r="P57" s="5"/>
      <c r="Q57" s="5">
        <f t="shared" si="7"/>
        <v>0</v>
      </c>
      <c r="R57" s="5"/>
      <c r="S57" s="5">
        <f t="shared" si="8"/>
        <v>0</v>
      </c>
      <c r="T57" s="5"/>
      <c r="U57" s="1"/>
      <c r="V57" s="1">
        <f t="shared" si="9"/>
        <v>57.21936642956662</v>
      </c>
      <c r="W57" s="1">
        <f t="shared" si="10"/>
        <v>57.21936642956662</v>
      </c>
      <c r="X57" s="1">
        <v>29.638200000000001</v>
      </c>
      <c r="Y57" s="1">
        <v>28.748999999999999</v>
      </c>
      <c r="Z57" s="1">
        <v>25.186800000000002</v>
      </c>
      <c r="AA57" s="1">
        <v>25.7958</v>
      </c>
      <c r="AB57" s="1">
        <v>5.7170000000000014</v>
      </c>
      <c r="AC57" s="1">
        <v>1.7465999999999999</v>
      </c>
      <c r="AD57" s="1">
        <v>41.75</v>
      </c>
      <c r="AE57" s="1">
        <v>43.105800000000002</v>
      </c>
      <c r="AF57" s="1">
        <v>1.6237999999999999</v>
      </c>
      <c r="AG57" s="1">
        <v>0.26800000000000002</v>
      </c>
      <c r="AH57" s="17" t="s">
        <v>38</v>
      </c>
      <c r="AI57" s="1">
        <f t="shared" si="11"/>
        <v>0</v>
      </c>
      <c r="AJ57" s="1">
        <f t="shared" si="12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108</v>
      </c>
      <c r="B58" s="1" t="s">
        <v>42</v>
      </c>
      <c r="C58" s="1">
        <v>38</v>
      </c>
      <c r="D58" s="1">
        <v>425</v>
      </c>
      <c r="E58" s="1">
        <v>152</v>
      </c>
      <c r="F58" s="1">
        <v>285</v>
      </c>
      <c r="G58" s="7">
        <v>0.4</v>
      </c>
      <c r="H58" s="1">
        <v>50</v>
      </c>
      <c r="I58" s="1" t="s">
        <v>37</v>
      </c>
      <c r="J58" s="1">
        <v>154</v>
      </c>
      <c r="K58" s="1">
        <f t="shared" si="16"/>
        <v>-2</v>
      </c>
      <c r="L58" s="1">
        <f t="shared" si="4"/>
        <v>152</v>
      </c>
      <c r="M58" s="1"/>
      <c r="N58" s="1"/>
      <c r="O58" s="1">
        <f t="shared" si="5"/>
        <v>30.4</v>
      </c>
      <c r="P58" s="5">
        <f t="shared" si="20"/>
        <v>19</v>
      </c>
      <c r="Q58" s="5">
        <f t="shared" si="7"/>
        <v>19</v>
      </c>
      <c r="R58" s="5"/>
      <c r="S58" s="5">
        <f t="shared" si="8"/>
        <v>19</v>
      </c>
      <c r="T58" s="5"/>
      <c r="U58" s="1"/>
      <c r="V58" s="1">
        <f t="shared" si="9"/>
        <v>10</v>
      </c>
      <c r="W58" s="1">
        <f t="shared" si="10"/>
        <v>9.375</v>
      </c>
      <c r="X58" s="1">
        <v>28.8</v>
      </c>
      <c r="Y58" s="1">
        <v>34.6</v>
      </c>
      <c r="Z58" s="1">
        <v>53</v>
      </c>
      <c r="AA58" s="1">
        <v>46.2</v>
      </c>
      <c r="AB58" s="1">
        <v>6.6</v>
      </c>
      <c r="AC58" s="1">
        <v>4</v>
      </c>
      <c r="AD58" s="1">
        <v>37.405999999999999</v>
      </c>
      <c r="AE58" s="1">
        <v>42.006</v>
      </c>
      <c r="AF58" s="1">
        <v>12.8</v>
      </c>
      <c r="AG58" s="1">
        <v>14.2</v>
      </c>
      <c r="AH58" s="1"/>
      <c r="AI58" s="1">
        <f t="shared" si="11"/>
        <v>0</v>
      </c>
      <c r="AJ58" s="1">
        <f t="shared" si="12"/>
        <v>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109</v>
      </c>
      <c r="B59" s="1" t="s">
        <v>42</v>
      </c>
      <c r="C59" s="1">
        <v>337</v>
      </c>
      <c r="D59" s="1">
        <v>1487</v>
      </c>
      <c r="E59" s="1">
        <v>554</v>
      </c>
      <c r="F59" s="1">
        <v>1034</v>
      </c>
      <c r="G59" s="7">
        <v>0.4</v>
      </c>
      <c r="H59" s="1">
        <v>40</v>
      </c>
      <c r="I59" s="1" t="s">
        <v>37</v>
      </c>
      <c r="J59" s="1">
        <v>793</v>
      </c>
      <c r="K59" s="1">
        <f t="shared" si="16"/>
        <v>-239</v>
      </c>
      <c r="L59" s="1">
        <f t="shared" si="4"/>
        <v>464</v>
      </c>
      <c r="M59" s="1">
        <v>90</v>
      </c>
      <c r="N59" s="1">
        <v>283.19999999999982</v>
      </c>
      <c r="O59" s="1">
        <f t="shared" si="5"/>
        <v>92.8</v>
      </c>
      <c r="P59" s="5"/>
      <c r="Q59" s="5">
        <f t="shared" si="7"/>
        <v>0</v>
      </c>
      <c r="R59" s="5"/>
      <c r="S59" s="5">
        <f t="shared" si="8"/>
        <v>0</v>
      </c>
      <c r="T59" s="5"/>
      <c r="U59" s="1"/>
      <c r="V59" s="1">
        <f t="shared" si="9"/>
        <v>14.193965517241377</v>
      </c>
      <c r="W59" s="1">
        <f t="shared" si="10"/>
        <v>14.193965517241377</v>
      </c>
      <c r="X59" s="1">
        <v>153.19999999999999</v>
      </c>
      <c r="Y59" s="1">
        <v>153.4</v>
      </c>
      <c r="Z59" s="1">
        <v>112.2</v>
      </c>
      <c r="AA59" s="1">
        <v>108.4</v>
      </c>
      <c r="AB59" s="1">
        <v>122.6</v>
      </c>
      <c r="AC59" s="1">
        <v>103.2</v>
      </c>
      <c r="AD59" s="1">
        <v>90.6</v>
      </c>
      <c r="AE59" s="1">
        <v>121</v>
      </c>
      <c r="AF59" s="1">
        <v>97.6</v>
      </c>
      <c r="AG59" s="1">
        <v>88.4</v>
      </c>
      <c r="AH59" s="1"/>
      <c r="AI59" s="1">
        <f t="shared" si="11"/>
        <v>0</v>
      </c>
      <c r="AJ59" s="1">
        <f t="shared" si="12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110</v>
      </c>
      <c r="B60" s="1" t="s">
        <v>42</v>
      </c>
      <c r="C60" s="1">
        <v>451</v>
      </c>
      <c r="D60" s="1">
        <v>39</v>
      </c>
      <c r="E60" s="1">
        <v>355</v>
      </c>
      <c r="F60" s="1"/>
      <c r="G60" s="7">
        <v>0.4</v>
      </c>
      <c r="H60" s="1">
        <v>40</v>
      </c>
      <c r="I60" s="1" t="s">
        <v>37</v>
      </c>
      <c r="J60" s="1">
        <v>455</v>
      </c>
      <c r="K60" s="1">
        <f t="shared" si="16"/>
        <v>-100</v>
      </c>
      <c r="L60" s="1">
        <f t="shared" si="4"/>
        <v>349</v>
      </c>
      <c r="M60" s="1">
        <v>6</v>
      </c>
      <c r="N60" s="1">
        <v>289.59999999999991</v>
      </c>
      <c r="O60" s="1">
        <f t="shared" si="5"/>
        <v>69.8</v>
      </c>
      <c r="P60" s="5">
        <f t="shared" si="20"/>
        <v>408.40000000000009</v>
      </c>
      <c r="Q60" s="5">
        <f t="shared" si="7"/>
        <v>408.40000000000009</v>
      </c>
      <c r="R60" s="5"/>
      <c r="S60" s="5">
        <f t="shared" si="8"/>
        <v>408.40000000000009</v>
      </c>
      <c r="T60" s="5"/>
      <c r="U60" s="1"/>
      <c r="V60" s="1">
        <f t="shared" si="9"/>
        <v>10</v>
      </c>
      <c r="W60" s="1">
        <f t="shared" si="10"/>
        <v>4.1489971346704859</v>
      </c>
      <c r="X60" s="1">
        <v>114.6</v>
      </c>
      <c r="Y60" s="1">
        <v>105.8</v>
      </c>
      <c r="Z60" s="1">
        <v>71.400000000000006</v>
      </c>
      <c r="AA60" s="1">
        <v>74</v>
      </c>
      <c r="AB60" s="1">
        <v>108.8</v>
      </c>
      <c r="AC60" s="1">
        <v>81.400000000000006</v>
      </c>
      <c r="AD60" s="1">
        <v>70.8</v>
      </c>
      <c r="AE60" s="1">
        <v>93</v>
      </c>
      <c r="AF60" s="1">
        <v>84.2</v>
      </c>
      <c r="AG60" s="1">
        <v>76</v>
      </c>
      <c r="AH60" s="1"/>
      <c r="AI60" s="1">
        <f t="shared" si="11"/>
        <v>0</v>
      </c>
      <c r="AJ60" s="1">
        <f t="shared" si="12"/>
        <v>163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111</v>
      </c>
      <c r="B61" s="1" t="s">
        <v>36</v>
      </c>
      <c r="C61" s="1"/>
      <c r="D61" s="1">
        <v>614.66600000000005</v>
      </c>
      <c r="E61" s="1">
        <v>235.54499999999999</v>
      </c>
      <c r="F61" s="1">
        <v>339.10399999999998</v>
      </c>
      <c r="G61" s="7">
        <v>1</v>
      </c>
      <c r="H61" s="1">
        <v>40</v>
      </c>
      <c r="I61" s="1" t="s">
        <v>37</v>
      </c>
      <c r="J61" s="1">
        <v>229.798</v>
      </c>
      <c r="K61" s="1">
        <f t="shared" si="16"/>
        <v>5.7469999999999857</v>
      </c>
      <c r="L61" s="1">
        <f t="shared" si="4"/>
        <v>167.447</v>
      </c>
      <c r="M61" s="1">
        <v>68.097999999999999</v>
      </c>
      <c r="N61" s="1"/>
      <c r="O61" s="1">
        <f t="shared" si="5"/>
        <v>33.489400000000003</v>
      </c>
      <c r="P61" s="5"/>
      <c r="Q61" s="5">
        <f t="shared" si="7"/>
        <v>0</v>
      </c>
      <c r="R61" s="5"/>
      <c r="S61" s="5">
        <f t="shared" si="8"/>
        <v>0</v>
      </c>
      <c r="T61" s="5"/>
      <c r="U61" s="1"/>
      <c r="V61" s="1">
        <f t="shared" si="9"/>
        <v>10.125711419135605</v>
      </c>
      <c r="W61" s="1">
        <f t="shared" si="10"/>
        <v>10.125711419135605</v>
      </c>
      <c r="X61" s="1">
        <v>8.1622000000000003</v>
      </c>
      <c r="Y61" s="1">
        <v>5.0213999999999999</v>
      </c>
      <c r="Z61" s="1">
        <v>53.783200000000001</v>
      </c>
      <c r="AA61" s="1">
        <v>50.0608</v>
      </c>
      <c r="AB61" s="1">
        <v>22.703800000000001</v>
      </c>
      <c r="AC61" s="1">
        <v>26.747399999999999</v>
      </c>
      <c r="AD61" s="1">
        <v>37.057600000000001</v>
      </c>
      <c r="AE61" s="1">
        <v>38.385599999999997</v>
      </c>
      <c r="AF61" s="1">
        <v>36.887799999999999</v>
      </c>
      <c r="AG61" s="1">
        <v>43.666800000000002</v>
      </c>
      <c r="AH61" s="1"/>
      <c r="AI61" s="1">
        <f t="shared" si="11"/>
        <v>0</v>
      </c>
      <c r="AJ61" s="1">
        <f t="shared" si="12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112</v>
      </c>
      <c r="B62" s="1" t="s">
        <v>36</v>
      </c>
      <c r="C62" s="1">
        <v>4.1280000000000001</v>
      </c>
      <c r="D62" s="1">
        <v>327.11599999999999</v>
      </c>
      <c r="E62" s="1">
        <v>123.236</v>
      </c>
      <c r="F62" s="1">
        <v>195.73</v>
      </c>
      <c r="G62" s="7">
        <v>1</v>
      </c>
      <c r="H62" s="1">
        <v>40</v>
      </c>
      <c r="I62" s="1" t="s">
        <v>37</v>
      </c>
      <c r="J62" s="1">
        <v>108.8</v>
      </c>
      <c r="K62" s="1">
        <f t="shared" si="16"/>
        <v>14.436000000000007</v>
      </c>
      <c r="L62" s="1">
        <f t="shared" si="4"/>
        <v>123.236</v>
      </c>
      <c r="M62" s="1"/>
      <c r="N62" s="1"/>
      <c r="O62" s="1">
        <f t="shared" si="5"/>
        <v>24.647200000000002</v>
      </c>
      <c r="P62" s="5">
        <f t="shared" si="20"/>
        <v>50.742000000000019</v>
      </c>
      <c r="Q62" s="5">
        <f t="shared" si="7"/>
        <v>50.742000000000019</v>
      </c>
      <c r="R62" s="5"/>
      <c r="S62" s="5">
        <f t="shared" si="8"/>
        <v>50.742000000000019</v>
      </c>
      <c r="T62" s="5"/>
      <c r="U62" s="1"/>
      <c r="V62" s="1">
        <f t="shared" si="9"/>
        <v>10</v>
      </c>
      <c r="W62" s="1">
        <f t="shared" si="10"/>
        <v>7.9412671621928652</v>
      </c>
      <c r="X62" s="1">
        <v>23.712199999999999</v>
      </c>
      <c r="Y62" s="1">
        <v>28.724799999999998</v>
      </c>
      <c r="Z62" s="1">
        <v>40.096800000000002</v>
      </c>
      <c r="AA62" s="1">
        <v>33.127600000000001</v>
      </c>
      <c r="AB62" s="1">
        <v>12.061199999999999</v>
      </c>
      <c r="AC62" s="1">
        <v>17.687799999999999</v>
      </c>
      <c r="AD62" s="1">
        <v>29.1022</v>
      </c>
      <c r="AE62" s="1">
        <v>29.439</v>
      </c>
      <c r="AF62" s="1">
        <v>24.540800000000001</v>
      </c>
      <c r="AG62" s="1">
        <v>20.953800000000001</v>
      </c>
      <c r="AH62" s="1"/>
      <c r="AI62" s="1">
        <f t="shared" si="11"/>
        <v>0</v>
      </c>
      <c r="AJ62" s="1">
        <f t="shared" si="12"/>
        <v>51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3" t="s">
        <v>113</v>
      </c>
      <c r="B63" s="13" t="s">
        <v>36</v>
      </c>
      <c r="C63" s="13"/>
      <c r="D63" s="13">
        <v>68.278999999999996</v>
      </c>
      <c r="E63" s="13">
        <v>68.278999999999996</v>
      </c>
      <c r="F63" s="13"/>
      <c r="G63" s="14">
        <v>0</v>
      </c>
      <c r="H63" s="13" t="e">
        <v>#N/A</v>
      </c>
      <c r="I63" s="13" t="s">
        <v>59</v>
      </c>
      <c r="J63" s="13">
        <v>68.278999999999996</v>
      </c>
      <c r="K63" s="13">
        <f t="shared" si="16"/>
        <v>0</v>
      </c>
      <c r="L63" s="13">
        <f t="shared" si="4"/>
        <v>0</v>
      </c>
      <c r="M63" s="13">
        <v>68.278999999999996</v>
      </c>
      <c r="N63" s="13"/>
      <c r="O63" s="13">
        <f t="shared" si="5"/>
        <v>0</v>
      </c>
      <c r="P63" s="15"/>
      <c r="Q63" s="5">
        <f t="shared" si="7"/>
        <v>0</v>
      </c>
      <c r="R63" s="5"/>
      <c r="S63" s="5">
        <f t="shared" si="8"/>
        <v>0</v>
      </c>
      <c r="T63" s="15"/>
      <c r="U63" s="13"/>
      <c r="V63" s="1" t="e">
        <f t="shared" si="9"/>
        <v>#DIV/0!</v>
      </c>
      <c r="W63" s="13" t="e">
        <f t="shared" si="10"/>
        <v>#DIV/0!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/>
      <c r="AI63" s="1">
        <f t="shared" si="11"/>
        <v>0</v>
      </c>
      <c r="AJ63" s="1">
        <f t="shared" si="12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114</v>
      </c>
      <c r="B64" s="1" t="s">
        <v>36</v>
      </c>
      <c r="C64" s="1">
        <v>47.954999999999998</v>
      </c>
      <c r="D64" s="1">
        <v>366.173</v>
      </c>
      <c r="E64" s="1">
        <v>144.41200000000001</v>
      </c>
      <c r="F64" s="1">
        <v>254.77799999999999</v>
      </c>
      <c r="G64" s="7">
        <v>1</v>
      </c>
      <c r="H64" s="1">
        <v>40</v>
      </c>
      <c r="I64" s="1" t="s">
        <v>37</v>
      </c>
      <c r="J64" s="1">
        <v>152.81399999999999</v>
      </c>
      <c r="K64" s="1">
        <f t="shared" si="16"/>
        <v>-8.4019999999999868</v>
      </c>
      <c r="L64" s="1">
        <f t="shared" si="4"/>
        <v>114.998</v>
      </c>
      <c r="M64" s="1">
        <v>29.414000000000001</v>
      </c>
      <c r="N64" s="1"/>
      <c r="O64" s="1">
        <f t="shared" si="5"/>
        <v>22.999600000000001</v>
      </c>
      <c r="P64" s="5"/>
      <c r="Q64" s="5">
        <f t="shared" si="7"/>
        <v>0</v>
      </c>
      <c r="R64" s="5"/>
      <c r="S64" s="5">
        <f t="shared" si="8"/>
        <v>0</v>
      </c>
      <c r="T64" s="5"/>
      <c r="U64" s="1"/>
      <c r="V64" s="1">
        <f t="shared" si="9"/>
        <v>11.077496999947824</v>
      </c>
      <c r="W64" s="1">
        <f t="shared" si="10"/>
        <v>11.077496999947824</v>
      </c>
      <c r="X64" s="1">
        <v>31.666599999999999</v>
      </c>
      <c r="Y64" s="1">
        <v>35.583000000000013</v>
      </c>
      <c r="Z64" s="1">
        <v>50.459200000000003</v>
      </c>
      <c r="AA64" s="1">
        <v>43.281599999999997</v>
      </c>
      <c r="AB64" s="1">
        <v>10.667400000000001</v>
      </c>
      <c r="AC64" s="1">
        <v>13.9076</v>
      </c>
      <c r="AD64" s="1">
        <v>27.576599999999999</v>
      </c>
      <c r="AE64" s="1">
        <v>25.141999999999999</v>
      </c>
      <c r="AF64" s="1">
        <v>6.1882000000000001</v>
      </c>
      <c r="AG64" s="1">
        <v>29.337199999999999</v>
      </c>
      <c r="AH64" s="1"/>
      <c r="AI64" s="1">
        <f t="shared" si="11"/>
        <v>0</v>
      </c>
      <c r="AJ64" s="1">
        <f t="shared" si="12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115</v>
      </c>
      <c r="B65" s="1" t="s">
        <v>36</v>
      </c>
      <c r="C65" s="1">
        <v>30.016999999999999</v>
      </c>
      <c r="D65" s="1">
        <v>127</v>
      </c>
      <c r="E65" s="1">
        <v>50.139000000000003</v>
      </c>
      <c r="F65" s="1">
        <v>84.301000000000002</v>
      </c>
      <c r="G65" s="7">
        <v>1</v>
      </c>
      <c r="H65" s="1">
        <v>30</v>
      </c>
      <c r="I65" s="1" t="s">
        <v>37</v>
      </c>
      <c r="J65" s="1">
        <v>54.7</v>
      </c>
      <c r="K65" s="1">
        <f t="shared" si="16"/>
        <v>-4.5609999999999999</v>
      </c>
      <c r="L65" s="1">
        <f t="shared" si="4"/>
        <v>50.139000000000003</v>
      </c>
      <c r="M65" s="1"/>
      <c r="N65" s="1">
        <v>11.87860000000005</v>
      </c>
      <c r="O65" s="1">
        <f t="shared" si="5"/>
        <v>10.027800000000001</v>
      </c>
      <c r="P65" s="5">
        <f t="shared" ref="P65:P66" si="21">10*O65-N65-F65</f>
        <v>4.0983999999999554</v>
      </c>
      <c r="Q65" s="5">
        <f t="shared" si="7"/>
        <v>4.0983999999999554</v>
      </c>
      <c r="R65" s="5"/>
      <c r="S65" s="5">
        <f t="shared" si="8"/>
        <v>4.0983999999999554</v>
      </c>
      <c r="T65" s="5"/>
      <c r="U65" s="1"/>
      <c r="V65" s="1">
        <f t="shared" si="9"/>
        <v>10</v>
      </c>
      <c r="W65" s="1">
        <f t="shared" si="10"/>
        <v>9.5912961965735306</v>
      </c>
      <c r="X65" s="1">
        <v>11.640599999999999</v>
      </c>
      <c r="Y65" s="1">
        <v>10.793799999999999</v>
      </c>
      <c r="Z65" s="1">
        <v>11.015000000000001</v>
      </c>
      <c r="AA65" s="1">
        <v>10.7562</v>
      </c>
      <c r="AB65" s="1">
        <v>10.955</v>
      </c>
      <c r="AC65" s="1">
        <v>9.2786000000000008</v>
      </c>
      <c r="AD65" s="1">
        <v>10.811</v>
      </c>
      <c r="AE65" s="1">
        <v>14.1732</v>
      </c>
      <c r="AF65" s="1">
        <v>18.448799999999999</v>
      </c>
      <c r="AG65" s="1">
        <v>16.282399999999999</v>
      </c>
      <c r="AH65" s="1"/>
      <c r="AI65" s="1">
        <f t="shared" si="11"/>
        <v>0</v>
      </c>
      <c r="AJ65" s="1">
        <f t="shared" si="12"/>
        <v>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116</v>
      </c>
      <c r="B66" s="1" t="s">
        <v>42</v>
      </c>
      <c r="C66" s="1">
        <v>66</v>
      </c>
      <c r="D66" s="1">
        <v>2316</v>
      </c>
      <c r="E66" s="1">
        <v>1226</v>
      </c>
      <c r="F66" s="1">
        <v>872</v>
      </c>
      <c r="G66" s="7">
        <v>0.6</v>
      </c>
      <c r="H66" s="1">
        <v>60</v>
      </c>
      <c r="I66" s="12" t="s">
        <v>44</v>
      </c>
      <c r="J66" s="1">
        <v>1237</v>
      </c>
      <c r="K66" s="1">
        <f t="shared" si="16"/>
        <v>-11</v>
      </c>
      <c r="L66" s="1">
        <f t="shared" si="4"/>
        <v>1226</v>
      </c>
      <c r="M66" s="1"/>
      <c r="N66" s="1">
        <v>0</v>
      </c>
      <c r="O66" s="1">
        <f t="shared" si="5"/>
        <v>245.2</v>
      </c>
      <c r="P66" s="5">
        <f t="shared" si="21"/>
        <v>1580</v>
      </c>
      <c r="Q66" s="5">
        <f>T66</f>
        <v>100</v>
      </c>
      <c r="R66" s="5"/>
      <c r="S66" s="5">
        <f t="shared" si="8"/>
        <v>100</v>
      </c>
      <c r="T66" s="5">
        <v>100</v>
      </c>
      <c r="U66" s="1" t="s">
        <v>171</v>
      </c>
      <c r="V66" s="1">
        <f t="shared" si="9"/>
        <v>3.9641109298531814</v>
      </c>
      <c r="W66" s="1">
        <f t="shared" si="10"/>
        <v>3.5562805872756935</v>
      </c>
      <c r="X66" s="1">
        <v>191.2</v>
      </c>
      <c r="Y66" s="1">
        <v>88.6</v>
      </c>
      <c r="Z66" s="1">
        <v>48.4</v>
      </c>
      <c r="AA66" s="1">
        <v>26.2</v>
      </c>
      <c r="AB66" s="1">
        <v>30.2</v>
      </c>
      <c r="AC66" s="1">
        <v>67.599999999999994</v>
      </c>
      <c r="AD66" s="1">
        <v>76.599999999999994</v>
      </c>
      <c r="AE66" s="1">
        <v>72.8</v>
      </c>
      <c r="AF66" s="1">
        <v>36.200000000000003</v>
      </c>
      <c r="AG66" s="1">
        <v>19.399999999999999</v>
      </c>
      <c r="AH66" s="1" t="s">
        <v>45</v>
      </c>
      <c r="AI66" s="1">
        <f t="shared" si="11"/>
        <v>0</v>
      </c>
      <c r="AJ66" s="1">
        <f t="shared" si="12"/>
        <v>60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9" t="s">
        <v>117</v>
      </c>
      <c r="B67" s="19" t="s">
        <v>42</v>
      </c>
      <c r="C67" s="19"/>
      <c r="D67" s="19"/>
      <c r="E67" s="19"/>
      <c r="F67" s="19"/>
      <c r="G67" s="20">
        <v>0</v>
      </c>
      <c r="H67" s="19">
        <v>50</v>
      </c>
      <c r="I67" s="19" t="s">
        <v>37</v>
      </c>
      <c r="J67" s="19"/>
      <c r="K67" s="19">
        <f t="shared" ref="K67:K97" si="22">E67-J67</f>
        <v>0</v>
      </c>
      <c r="L67" s="19">
        <f t="shared" si="4"/>
        <v>0</v>
      </c>
      <c r="M67" s="19"/>
      <c r="N67" s="19"/>
      <c r="O67" s="19">
        <f t="shared" si="5"/>
        <v>0</v>
      </c>
      <c r="P67" s="21"/>
      <c r="Q67" s="5">
        <f t="shared" si="7"/>
        <v>0</v>
      </c>
      <c r="R67" s="5"/>
      <c r="S67" s="5">
        <f t="shared" si="8"/>
        <v>0</v>
      </c>
      <c r="T67" s="21"/>
      <c r="U67" s="19"/>
      <c r="V67" s="1" t="e">
        <f t="shared" si="9"/>
        <v>#DIV/0!</v>
      </c>
      <c r="W67" s="19" t="e">
        <f t="shared" si="10"/>
        <v>#DIV/0!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 t="s">
        <v>62</v>
      </c>
      <c r="AI67" s="1">
        <f t="shared" si="11"/>
        <v>0</v>
      </c>
      <c r="AJ67" s="1">
        <f t="shared" si="12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9" t="s">
        <v>118</v>
      </c>
      <c r="B68" s="19" t="s">
        <v>42</v>
      </c>
      <c r="C68" s="19"/>
      <c r="D68" s="19"/>
      <c r="E68" s="19"/>
      <c r="F68" s="19"/>
      <c r="G68" s="20">
        <v>0</v>
      </c>
      <c r="H68" s="19">
        <v>50</v>
      </c>
      <c r="I68" s="19" t="s">
        <v>37</v>
      </c>
      <c r="J68" s="19"/>
      <c r="K68" s="19">
        <f t="shared" si="22"/>
        <v>0</v>
      </c>
      <c r="L68" s="19">
        <f t="shared" si="4"/>
        <v>0</v>
      </c>
      <c r="M68" s="19"/>
      <c r="N68" s="19"/>
      <c r="O68" s="19">
        <f t="shared" si="5"/>
        <v>0</v>
      </c>
      <c r="P68" s="21"/>
      <c r="Q68" s="5">
        <f t="shared" si="7"/>
        <v>0</v>
      </c>
      <c r="R68" s="5"/>
      <c r="S68" s="5">
        <f t="shared" si="8"/>
        <v>0</v>
      </c>
      <c r="T68" s="21"/>
      <c r="U68" s="19"/>
      <c r="V68" s="1" t="e">
        <f t="shared" si="9"/>
        <v>#DIV/0!</v>
      </c>
      <c r="W68" s="19" t="e">
        <f t="shared" si="10"/>
        <v>#DIV/0!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 t="s">
        <v>62</v>
      </c>
      <c r="AI68" s="1">
        <f t="shared" si="11"/>
        <v>0</v>
      </c>
      <c r="AJ68" s="1">
        <f t="shared" si="12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9" t="s">
        <v>119</v>
      </c>
      <c r="B69" s="19" t="s">
        <v>42</v>
      </c>
      <c r="C69" s="19"/>
      <c r="D69" s="19"/>
      <c r="E69" s="19"/>
      <c r="F69" s="19"/>
      <c r="G69" s="20">
        <v>0</v>
      </c>
      <c r="H69" s="19">
        <v>30</v>
      </c>
      <c r="I69" s="19" t="s">
        <v>37</v>
      </c>
      <c r="J69" s="19"/>
      <c r="K69" s="19">
        <f t="shared" si="22"/>
        <v>0</v>
      </c>
      <c r="L69" s="19">
        <f t="shared" ref="L69:L101" si="23">E69-M69</f>
        <v>0</v>
      </c>
      <c r="M69" s="19"/>
      <c r="N69" s="19"/>
      <c r="O69" s="19">
        <f t="shared" ref="O69:O101" si="24">L69/5</f>
        <v>0</v>
      </c>
      <c r="P69" s="21"/>
      <c r="Q69" s="5">
        <f t="shared" si="7"/>
        <v>0</v>
      </c>
      <c r="R69" s="5"/>
      <c r="S69" s="5">
        <f t="shared" si="8"/>
        <v>0</v>
      </c>
      <c r="T69" s="21"/>
      <c r="U69" s="19"/>
      <c r="V69" s="1" t="e">
        <f t="shared" si="9"/>
        <v>#DIV/0!</v>
      </c>
      <c r="W69" s="19" t="e">
        <f t="shared" ref="W69:W101" si="25">(F69+N69)/O69</f>
        <v>#DIV/0!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 t="s">
        <v>62</v>
      </c>
      <c r="AI69" s="1">
        <f t="shared" si="11"/>
        <v>0</v>
      </c>
      <c r="AJ69" s="1">
        <f t="shared" si="12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120</v>
      </c>
      <c r="B70" s="1" t="s">
        <v>42</v>
      </c>
      <c r="C70" s="1">
        <v>57</v>
      </c>
      <c r="D70" s="1">
        <v>240</v>
      </c>
      <c r="E70" s="1">
        <v>97</v>
      </c>
      <c r="F70" s="1">
        <v>145</v>
      </c>
      <c r="G70" s="7">
        <v>0.6</v>
      </c>
      <c r="H70" s="1">
        <v>55</v>
      </c>
      <c r="I70" s="12" t="s">
        <v>44</v>
      </c>
      <c r="J70" s="1">
        <v>198</v>
      </c>
      <c r="K70" s="1">
        <f t="shared" si="22"/>
        <v>-101</v>
      </c>
      <c r="L70" s="1">
        <f t="shared" si="23"/>
        <v>97</v>
      </c>
      <c r="M70" s="1"/>
      <c r="N70" s="1">
        <v>40</v>
      </c>
      <c r="O70" s="1">
        <f t="shared" si="24"/>
        <v>19.399999999999999</v>
      </c>
      <c r="P70" s="5">
        <f>10*O70-N70-F70</f>
        <v>9</v>
      </c>
      <c r="Q70" s="5">
        <f t="shared" si="7"/>
        <v>9</v>
      </c>
      <c r="R70" s="5"/>
      <c r="S70" s="5">
        <f t="shared" si="8"/>
        <v>9</v>
      </c>
      <c r="T70" s="5"/>
      <c r="U70" s="1"/>
      <c r="V70" s="1">
        <f t="shared" si="9"/>
        <v>10</v>
      </c>
      <c r="W70" s="1">
        <f t="shared" si="25"/>
        <v>9.536082474226804</v>
      </c>
      <c r="X70" s="1">
        <v>33.6</v>
      </c>
      <c r="Y70" s="1">
        <v>26.4</v>
      </c>
      <c r="Z70" s="1">
        <v>19.8</v>
      </c>
      <c r="AA70" s="1">
        <v>19.399999999999999</v>
      </c>
      <c r="AB70" s="1">
        <v>17.600000000000001</v>
      </c>
      <c r="AC70" s="1">
        <v>23.8</v>
      </c>
      <c r="AD70" s="1">
        <v>31</v>
      </c>
      <c r="AE70" s="1">
        <v>30.2</v>
      </c>
      <c r="AF70" s="1">
        <v>19.2</v>
      </c>
      <c r="AG70" s="1">
        <v>22</v>
      </c>
      <c r="AH70" s="1" t="s">
        <v>121</v>
      </c>
      <c r="AI70" s="1">
        <f t="shared" si="11"/>
        <v>0</v>
      </c>
      <c r="AJ70" s="1">
        <f t="shared" si="12"/>
        <v>5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9" t="s">
        <v>122</v>
      </c>
      <c r="B71" s="19" t="s">
        <v>42</v>
      </c>
      <c r="C71" s="19"/>
      <c r="D71" s="19"/>
      <c r="E71" s="19"/>
      <c r="F71" s="19"/>
      <c r="G71" s="20">
        <v>0</v>
      </c>
      <c r="H71" s="19">
        <v>40</v>
      </c>
      <c r="I71" s="19" t="s">
        <v>37</v>
      </c>
      <c r="J71" s="19"/>
      <c r="K71" s="19">
        <f t="shared" si="22"/>
        <v>0</v>
      </c>
      <c r="L71" s="19">
        <f t="shared" si="23"/>
        <v>0</v>
      </c>
      <c r="M71" s="19"/>
      <c r="N71" s="19"/>
      <c r="O71" s="19">
        <f t="shared" si="24"/>
        <v>0</v>
      </c>
      <c r="P71" s="21"/>
      <c r="Q71" s="5">
        <f t="shared" ref="Q71:Q101" si="26">P71</f>
        <v>0</v>
      </c>
      <c r="R71" s="5"/>
      <c r="S71" s="5">
        <f t="shared" ref="S71:S101" si="27">Q71-R71</f>
        <v>0</v>
      </c>
      <c r="T71" s="21"/>
      <c r="U71" s="19"/>
      <c r="V71" s="1" t="e">
        <f t="shared" ref="V71:V101" si="28">(F71+N71+Q71)/O71</f>
        <v>#DIV/0!</v>
      </c>
      <c r="W71" s="19" t="e">
        <f t="shared" si="25"/>
        <v>#DIV/0!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 t="s">
        <v>62</v>
      </c>
      <c r="AI71" s="1">
        <f t="shared" ref="AI71:AI101" si="29">ROUND(G71*R71,0)</f>
        <v>0</v>
      </c>
      <c r="AJ71" s="1">
        <f t="shared" ref="AJ71:AJ101" si="30">ROUND(G71*S71,0)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123</v>
      </c>
      <c r="B72" s="1" t="s">
        <v>42</v>
      </c>
      <c r="C72" s="1">
        <v>14</v>
      </c>
      <c r="D72" s="1">
        <v>208</v>
      </c>
      <c r="E72" s="1">
        <v>59</v>
      </c>
      <c r="F72" s="1">
        <v>123</v>
      </c>
      <c r="G72" s="7">
        <v>0.4</v>
      </c>
      <c r="H72" s="1">
        <v>50</v>
      </c>
      <c r="I72" s="1" t="s">
        <v>37</v>
      </c>
      <c r="J72" s="1">
        <v>67</v>
      </c>
      <c r="K72" s="1">
        <f t="shared" si="22"/>
        <v>-8</v>
      </c>
      <c r="L72" s="1">
        <f t="shared" si="23"/>
        <v>59</v>
      </c>
      <c r="M72" s="1"/>
      <c r="N72" s="1"/>
      <c r="O72" s="1">
        <f t="shared" si="24"/>
        <v>11.8</v>
      </c>
      <c r="P72" s="5"/>
      <c r="Q72" s="5">
        <f t="shared" si="26"/>
        <v>0</v>
      </c>
      <c r="R72" s="5"/>
      <c r="S72" s="5">
        <f t="shared" si="27"/>
        <v>0</v>
      </c>
      <c r="T72" s="5"/>
      <c r="U72" s="1"/>
      <c r="V72" s="1">
        <f t="shared" si="28"/>
        <v>10.423728813559322</v>
      </c>
      <c r="W72" s="1">
        <f t="shared" si="25"/>
        <v>10.423728813559322</v>
      </c>
      <c r="X72" s="1">
        <v>16</v>
      </c>
      <c r="Y72" s="1">
        <v>17.2</v>
      </c>
      <c r="Z72" s="1">
        <v>13.2</v>
      </c>
      <c r="AA72" s="1">
        <v>13</v>
      </c>
      <c r="AB72" s="1">
        <v>7.2</v>
      </c>
      <c r="AC72" s="1">
        <v>12</v>
      </c>
      <c r="AD72" s="1">
        <v>14.2</v>
      </c>
      <c r="AE72" s="1">
        <v>13.4</v>
      </c>
      <c r="AF72" s="1">
        <v>13.8</v>
      </c>
      <c r="AG72" s="1">
        <v>14.4</v>
      </c>
      <c r="AH72" s="1" t="s">
        <v>45</v>
      </c>
      <c r="AI72" s="1">
        <f t="shared" si="29"/>
        <v>0</v>
      </c>
      <c r="AJ72" s="1">
        <f t="shared" si="30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2" t="s">
        <v>124</v>
      </c>
      <c r="B73" s="1" t="s">
        <v>42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22"/>
        <v>0</v>
      </c>
      <c r="L73" s="1">
        <f t="shared" si="23"/>
        <v>0</v>
      </c>
      <c r="M73" s="1"/>
      <c r="N73" s="12"/>
      <c r="O73" s="1">
        <f t="shared" si="24"/>
        <v>0</v>
      </c>
      <c r="P73" s="22">
        <v>10</v>
      </c>
      <c r="Q73" s="5">
        <f t="shared" si="26"/>
        <v>10</v>
      </c>
      <c r="R73" s="5"/>
      <c r="S73" s="5">
        <f t="shared" si="27"/>
        <v>10</v>
      </c>
      <c r="T73" s="5"/>
      <c r="U73" s="1"/>
      <c r="V73" s="1" t="e">
        <f t="shared" si="28"/>
        <v>#DIV/0!</v>
      </c>
      <c r="W73" s="1" t="e">
        <f t="shared" si="25"/>
        <v>#DIV/0!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2" t="s">
        <v>125</v>
      </c>
      <c r="AI73" s="1">
        <f t="shared" si="29"/>
        <v>0</v>
      </c>
      <c r="AJ73" s="1">
        <f t="shared" si="30"/>
        <v>1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2" t="s">
        <v>126</v>
      </c>
      <c r="B74" s="1" t="s">
        <v>42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22"/>
        <v>0</v>
      </c>
      <c r="L74" s="1">
        <f t="shared" si="23"/>
        <v>0</v>
      </c>
      <c r="M74" s="1"/>
      <c r="N74" s="12"/>
      <c r="O74" s="1">
        <f t="shared" si="24"/>
        <v>0</v>
      </c>
      <c r="P74" s="22">
        <v>10</v>
      </c>
      <c r="Q74" s="5">
        <f t="shared" si="26"/>
        <v>10</v>
      </c>
      <c r="R74" s="5"/>
      <c r="S74" s="5">
        <f t="shared" si="27"/>
        <v>10</v>
      </c>
      <c r="T74" s="5"/>
      <c r="U74" s="1"/>
      <c r="V74" s="1" t="e">
        <f t="shared" si="28"/>
        <v>#DIV/0!</v>
      </c>
      <c r="W74" s="1" t="e">
        <f t="shared" si="25"/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-0.2</v>
      </c>
      <c r="AE74" s="1">
        <v>-0.2</v>
      </c>
      <c r="AF74" s="1">
        <v>0</v>
      </c>
      <c r="AG74" s="1">
        <v>0</v>
      </c>
      <c r="AH74" s="12" t="s">
        <v>125</v>
      </c>
      <c r="AI74" s="1">
        <f t="shared" si="29"/>
        <v>0</v>
      </c>
      <c r="AJ74" s="1">
        <f t="shared" si="30"/>
        <v>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127</v>
      </c>
      <c r="B75" s="1" t="s">
        <v>42</v>
      </c>
      <c r="C75" s="1"/>
      <c r="D75" s="1">
        <v>25</v>
      </c>
      <c r="E75" s="1"/>
      <c r="F75" s="1">
        <v>15</v>
      </c>
      <c r="G75" s="7">
        <v>0.4</v>
      </c>
      <c r="H75" s="1">
        <v>55</v>
      </c>
      <c r="I75" s="1" t="s">
        <v>37</v>
      </c>
      <c r="J75" s="1"/>
      <c r="K75" s="1">
        <f t="shared" si="22"/>
        <v>0</v>
      </c>
      <c r="L75" s="1">
        <f t="shared" si="23"/>
        <v>0</v>
      </c>
      <c r="M75" s="1"/>
      <c r="N75" s="1"/>
      <c r="O75" s="1">
        <f t="shared" si="24"/>
        <v>0</v>
      </c>
      <c r="P75" s="5"/>
      <c r="Q75" s="5">
        <f t="shared" si="26"/>
        <v>0</v>
      </c>
      <c r="R75" s="5"/>
      <c r="S75" s="5">
        <f t="shared" si="27"/>
        <v>0</v>
      </c>
      <c r="T75" s="5"/>
      <c r="U75" s="1"/>
      <c r="V75" s="1" t="e">
        <f t="shared" si="28"/>
        <v>#DIV/0!</v>
      </c>
      <c r="W75" s="1" t="e">
        <f t="shared" si="25"/>
        <v>#DIV/0!</v>
      </c>
      <c r="X75" s="1">
        <v>0.2</v>
      </c>
      <c r="Y75" s="1">
        <v>0.2</v>
      </c>
      <c r="Z75" s="1">
        <v>1</v>
      </c>
      <c r="AA75" s="1">
        <v>1.2</v>
      </c>
      <c r="AB75" s="1">
        <v>0.8</v>
      </c>
      <c r="AC75" s="1">
        <v>0.6</v>
      </c>
      <c r="AD75" s="1">
        <v>0.2</v>
      </c>
      <c r="AE75" s="1">
        <v>0.4</v>
      </c>
      <c r="AF75" s="1">
        <v>1</v>
      </c>
      <c r="AG75" s="1">
        <v>1</v>
      </c>
      <c r="AH75" s="1"/>
      <c r="AI75" s="1">
        <f t="shared" si="29"/>
        <v>0</v>
      </c>
      <c r="AJ75" s="1">
        <f t="shared" si="3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128</v>
      </c>
      <c r="B76" s="1" t="s">
        <v>36</v>
      </c>
      <c r="C76" s="1"/>
      <c r="D76" s="1">
        <v>27.116</v>
      </c>
      <c r="E76" s="1">
        <v>8.3529999999999998</v>
      </c>
      <c r="F76" s="1">
        <v>18.763000000000002</v>
      </c>
      <c r="G76" s="7">
        <v>1</v>
      </c>
      <c r="H76" s="1">
        <v>55</v>
      </c>
      <c r="I76" s="1" t="s">
        <v>37</v>
      </c>
      <c r="J76" s="1">
        <v>7</v>
      </c>
      <c r="K76" s="1">
        <f t="shared" si="22"/>
        <v>1.3529999999999998</v>
      </c>
      <c r="L76" s="1">
        <f t="shared" si="23"/>
        <v>8.3529999999999998</v>
      </c>
      <c r="M76" s="1"/>
      <c r="N76" s="1"/>
      <c r="O76" s="1">
        <f t="shared" si="24"/>
        <v>1.6705999999999999</v>
      </c>
      <c r="P76" s="5"/>
      <c r="Q76" s="5">
        <f t="shared" si="26"/>
        <v>0</v>
      </c>
      <c r="R76" s="5"/>
      <c r="S76" s="5">
        <f t="shared" si="27"/>
        <v>0</v>
      </c>
      <c r="T76" s="5"/>
      <c r="U76" s="1"/>
      <c r="V76" s="1">
        <f t="shared" si="28"/>
        <v>11.231294145815877</v>
      </c>
      <c r="W76" s="1">
        <f t="shared" si="25"/>
        <v>11.231294145815877</v>
      </c>
      <c r="X76" s="1">
        <v>0</v>
      </c>
      <c r="Y76" s="1">
        <v>0</v>
      </c>
      <c r="Z76" s="1">
        <v>1.4498</v>
      </c>
      <c r="AA76" s="1">
        <v>1.4498</v>
      </c>
      <c r="AB76" s="1">
        <v>0.28960000000000002</v>
      </c>
      <c r="AC76" s="1">
        <v>0.57840000000000003</v>
      </c>
      <c r="AD76" s="1">
        <v>0.2888</v>
      </c>
      <c r="AE76" s="1">
        <v>0.57579999999999998</v>
      </c>
      <c r="AF76" s="1">
        <v>0.28699999999999998</v>
      </c>
      <c r="AG76" s="1">
        <v>0</v>
      </c>
      <c r="AH76" s="1" t="s">
        <v>129</v>
      </c>
      <c r="AI76" s="1">
        <f t="shared" si="29"/>
        <v>0</v>
      </c>
      <c r="AJ76" s="1">
        <f t="shared" si="30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3" t="s">
        <v>130</v>
      </c>
      <c r="B77" s="13" t="s">
        <v>36</v>
      </c>
      <c r="C77" s="13">
        <v>19.719000000000001</v>
      </c>
      <c r="D77" s="13">
        <v>134.65799999999999</v>
      </c>
      <c r="E77" s="13">
        <v>60.953000000000003</v>
      </c>
      <c r="F77" s="13">
        <v>70.546000000000006</v>
      </c>
      <c r="G77" s="14">
        <v>0</v>
      </c>
      <c r="H77" s="13">
        <v>50</v>
      </c>
      <c r="I77" s="13" t="s">
        <v>59</v>
      </c>
      <c r="J77" s="13">
        <v>57.4</v>
      </c>
      <c r="K77" s="13">
        <f t="shared" si="22"/>
        <v>3.5530000000000044</v>
      </c>
      <c r="L77" s="13">
        <f t="shared" si="23"/>
        <v>60.953000000000003</v>
      </c>
      <c r="M77" s="13"/>
      <c r="N77" s="13"/>
      <c r="O77" s="13">
        <f t="shared" si="24"/>
        <v>12.1906</v>
      </c>
      <c r="P77" s="15"/>
      <c r="Q77" s="5">
        <f t="shared" si="26"/>
        <v>0</v>
      </c>
      <c r="R77" s="5"/>
      <c r="S77" s="5">
        <f t="shared" si="27"/>
        <v>0</v>
      </c>
      <c r="T77" s="15"/>
      <c r="U77" s="13"/>
      <c r="V77" s="1">
        <f t="shared" si="28"/>
        <v>5.7869177891162051</v>
      </c>
      <c r="W77" s="13">
        <f t="shared" si="25"/>
        <v>5.7869177891162051</v>
      </c>
      <c r="X77" s="13">
        <v>17.401</v>
      </c>
      <c r="Y77" s="13">
        <v>20.459199999999999</v>
      </c>
      <c r="Z77" s="13">
        <v>19.576000000000001</v>
      </c>
      <c r="AA77" s="13">
        <v>22.449000000000002</v>
      </c>
      <c r="AB77" s="13">
        <v>15.4742</v>
      </c>
      <c r="AC77" s="13">
        <v>13.44</v>
      </c>
      <c r="AD77" s="13">
        <v>18.978200000000001</v>
      </c>
      <c r="AE77" s="13">
        <v>18.136399999999998</v>
      </c>
      <c r="AF77" s="13">
        <v>10.0642</v>
      </c>
      <c r="AG77" s="13">
        <v>11.0212</v>
      </c>
      <c r="AH77" s="17" t="s">
        <v>131</v>
      </c>
      <c r="AI77" s="1">
        <f t="shared" si="29"/>
        <v>0</v>
      </c>
      <c r="AJ77" s="1">
        <f t="shared" si="30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9" t="s">
        <v>132</v>
      </c>
      <c r="B78" s="19" t="s">
        <v>42</v>
      </c>
      <c r="C78" s="19"/>
      <c r="D78" s="19"/>
      <c r="E78" s="19"/>
      <c r="F78" s="19"/>
      <c r="G78" s="20">
        <v>0</v>
      </c>
      <c r="H78" s="19">
        <v>40</v>
      </c>
      <c r="I78" s="19" t="s">
        <v>37</v>
      </c>
      <c r="J78" s="19"/>
      <c r="K78" s="19">
        <f t="shared" si="22"/>
        <v>0</v>
      </c>
      <c r="L78" s="19">
        <f t="shared" si="23"/>
        <v>0</v>
      </c>
      <c r="M78" s="19"/>
      <c r="N78" s="19"/>
      <c r="O78" s="19">
        <f t="shared" si="24"/>
        <v>0</v>
      </c>
      <c r="P78" s="21"/>
      <c r="Q78" s="5">
        <f t="shared" si="26"/>
        <v>0</v>
      </c>
      <c r="R78" s="5"/>
      <c r="S78" s="5">
        <f t="shared" si="27"/>
        <v>0</v>
      </c>
      <c r="T78" s="21"/>
      <c r="U78" s="19"/>
      <c r="V78" s="1" t="e">
        <f t="shared" si="28"/>
        <v>#DIV/0!</v>
      </c>
      <c r="W78" s="19" t="e">
        <f t="shared" si="25"/>
        <v>#DIV/0!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 t="s">
        <v>133</v>
      </c>
      <c r="AI78" s="1">
        <f t="shared" si="29"/>
        <v>0</v>
      </c>
      <c r="AJ78" s="1">
        <f t="shared" si="3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134</v>
      </c>
      <c r="B79" s="1" t="s">
        <v>42</v>
      </c>
      <c r="C79" s="1">
        <v>12</v>
      </c>
      <c r="D79" s="1">
        <v>5</v>
      </c>
      <c r="E79" s="1">
        <v>13</v>
      </c>
      <c r="F79" s="1">
        <v>2</v>
      </c>
      <c r="G79" s="7">
        <v>0.2</v>
      </c>
      <c r="H79" s="1">
        <v>35</v>
      </c>
      <c r="I79" s="1" t="s">
        <v>37</v>
      </c>
      <c r="J79" s="1">
        <v>13</v>
      </c>
      <c r="K79" s="1">
        <f t="shared" si="22"/>
        <v>0</v>
      </c>
      <c r="L79" s="1">
        <f t="shared" si="23"/>
        <v>13</v>
      </c>
      <c r="M79" s="1"/>
      <c r="N79" s="1"/>
      <c r="O79" s="1">
        <f t="shared" si="24"/>
        <v>2.6</v>
      </c>
      <c r="P79" s="5">
        <f>7*O79-N79-F79</f>
        <v>16.2</v>
      </c>
      <c r="Q79" s="5">
        <f t="shared" si="26"/>
        <v>16.2</v>
      </c>
      <c r="R79" s="5"/>
      <c r="S79" s="5">
        <f t="shared" si="27"/>
        <v>16.2</v>
      </c>
      <c r="T79" s="5"/>
      <c r="U79" s="1"/>
      <c r="V79" s="1">
        <f t="shared" si="28"/>
        <v>6.9999999999999991</v>
      </c>
      <c r="W79" s="1">
        <f t="shared" si="25"/>
        <v>0.76923076923076916</v>
      </c>
      <c r="X79" s="1">
        <v>0.4</v>
      </c>
      <c r="Y79" s="1">
        <v>0.4</v>
      </c>
      <c r="Z79" s="1">
        <v>0</v>
      </c>
      <c r="AA79" s="1">
        <v>0</v>
      </c>
      <c r="AB79" s="1">
        <v>1.8</v>
      </c>
      <c r="AC79" s="1">
        <v>1.8</v>
      </c>
      <c r="AD79" s="1">
        <v>0</v>
      </c>
      <c r="AE79" s="1">
        <v>0</v>
      </c>
      <c r="AF79" s="1">
        <v>0</v>
      </c>
      <c r="AG79" s="1">
        <v>0</v>
      </c>
      <c r="AH79" s="11" t="s">
        <v>170</v>
      </c>
      <c r="AI79" s="1">
        <f t="shared" si="29"/>
        <v>0</v>
      </c>
      <c r="AJ79" s="1">
        <f t="shared" si="30"/>
        <v>3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135</v>
      </c>
      <c r="B80" s="1" t="s">
        <v>36</v>
      </c>
      <c r="C80" s="1">
        <v>509.91500000000002</v>
      </c>
      <c r="D80" s="1">
        <v>6186.4</v>
      </c>
      <c r="E80" s="1">
        <v>2331.643</v>
      </c>
      <c r="F80" s="1">
        <v>4001.701</v>
      </c>
      <c r="G80" s="7">
        <v>1</v>
      </c>
      <c r="H80" s="1">
        <v>60</v>
      </c>
      <c r="I80" s="1" t="s">
        <v>37</v>
      </c>
      <c r="J80" s="1">
        <v>2330.75</v>
      </c>
      <c r="K80" s="1">
        <f t="shared" si="22"/>
        <v>0.8930000000000291</v>
      </c>
      <c r="L80" s="1">
        <f t="shared" si="23"/>
        <v>1926.693</v>
      </c>
      <c r="M80" s="1">
        <v>404.95</v>
      </c>
      <c r="N80" s="1">
        <v>854.16779999999972</v>
      </c>
      <c r="O80" s="1">
        <f t="shared" si="24"/>
        <v>385.33859999999999</v>
      </c>
      <c r="P80" s="5"/>
      <c r="Q80" s="5">
        <f t="shared" si="26"/>
        <v>0</v>
      </c>
      <c r="R80" s="5"/>
      <c r="S80" s="5">
        <f t="shared" si="27"/>
        <v>0</v>
      </c>
      <c r="T80" s="5"/>
      <c r="U80" s="1"/>
      <c r="V80" s="1">
        <f t="shared" si="28"/>
        <v>12.60156340423721</v>
      </c>
      <c r="W80" s="1">
        <f t="shared" si="25"/>
        <v>12.60156340423721</v>
      </c>
      <c r="X80" s="1">
        <v>527.70839999999998</v>
      </c>
      <c r="Y80" s="1">
        <v>533.19940000000008</v>
      </c>
      <c r="Z80" s="1">
        <v>391.99459999999999</v>
      </c>
      <c r="AA80" s="1">
        <v>409.6884</v>
      </c>
      <c r="AB80" s="1">
        <v>348.62119999999999</v>
      </c>
      <c r="AC80" s="1">
        <v>432.40300000000002</v>
      </c>
      <c r="AD80" s="1">
        <v>542.8972</v>
      </c>
      <c r="AE80" s="1">
        <v>477.96379999999999</v>
      </c>
      <c r="AF80" s="1">
        <v>330.61559999999997</v>
      </c>
      <c r="AG80" s="1">
        <v>333.15179999999998</v>
      </c>
      <c r="AH80" s="1" t="s">
        <v>64</v>
      </c>
      <c r="AI80" s="1">
        <f t="shared" si="29"/>
        <v>0</v>
      </c>
      <c r="AJ80" s="1">
        <f t="shared" si="30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136</v>
      </c>
      <c r="B81" s="1" t="s">
        <v>36</v>
      </c>
      <c r="C81" s="1">
        <v>671.17100000000005</v>
      </c>
      <c r="D81" s="1">
        <v>3026.8649999999998</v>
      </c>
      <c r="E81" s="1">
        <v>1381.7460000000001</v>
      </c>
      <c r="F81" s="1">
        <v>1837.454</v>
      </c>
      <c r="G81" s="7">
        <v>1</v>
      </c>
      <c r="H81" s="1">
        <v>60</v>
      </c>
      <c r="I81" s="1" t="s">
        <v>37</v>
      </c>
      <c r="J81" s="1">
        <v>1419.325</v>
      </c>
      <c r="K81" s="1">
        <f t="shared" si="22"/>
        <v>-37.578999999999951</v>
      </c>
      <c r="L81" s="1">
        <f t="shared" si="23"/>
        <v>876.89600000000007</v>
      </c>
      <c r="M81" s="1">
        <v>504.85</v>
      </c>
      <c r="N81" s="1">
        <v>366.99200000000042</v>
      </c>
      <c r="O81" s="1">
        <f t="shared" si="24"/>
        <v>175.37920000000003</v>
      </c>
      <c r="P81" s="5"/>
      <c r="Q81" s="5">
        <f t="shared" si="26"/>
        <v>0</v>
      </c>
      <c r="R81" s="5"/>
      <c r="S81" s="5">
        <f t="shared" si="27"/>
        <v>0</v>
      </c>
      <c r="T81" s="5"/>
      <c r="U81" s="1"/>
      <c r="V81" s="1">
        <f t="shared" si="28"/>
        <v>12.569597763018647</v>
      </c>
      <c r="W81" s="1">
        <f t="shared" si="25"/>
        <v>12.569597763018647</v>
      </c>
      <c r="X81" s="1">
        <v>233.99199999999999</v>
      </c>
      <c r="Y81" s="1">
        <v>239.4606</v>
      </c>
      <c r="Z81" s="1">
        <v>231.31639999999999</v>
      </c>
      <c r="AA81" s="1">
        <v>176.95740000000001</v>
      </c>
      <c r="AB81" s="1">
        <v>193.71940000000001</v>
      </c>
      <c r="AC81" s="1">
        <v>147.5848</v>
      </c>
      <c r="AD81" s="1">
        <v>153.77279999999999</v>
      </c>
      <c r="AE81" s="1">
        <v>228.53399999999999</v>
      </c>
      <c r="AF81" s="1">
        <v>159.21940000000001</v>
      </c>
      <c r="AG81" s="1">
        <v>109.28700000000001</v>
      </c>
      <c r="AH81" s="1" t="s">
        <v>68</v>
      </c>
      <c r="AI81" s="1">
        <f t="shared" si="29"/>
        <v>0</v>
      </c>
      <c r="AJ81" s="1">
        <f t="shared" si="3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3" t="s">
        <v>137</v>
      </c>
      <c r="B82" s="13" t="s">
        <v>36</v>
      </c>
      <c r="C82" s="13"/>
      <c r="D82" s="13">
        <v>2.6030000000000002</v>
      </c>
      <c r="E82" s="13"/>
      <c r="F82" s="13"/>
      <c r="G82" s="14">
        <v>0</v>
      </c>
      <c r="H82" s="13" t="e">
        <v>#N/A</v>
      </c>
      <c r="I82" s="13" t="s">
        <v>59</v>
      </c>
      <c r="J82" s="13"/>
      <c r="K82" s="13">
        <f t="shared" si="22"/>
        <v>0</v>
      </c>
      <c r="L82" s="13">
        <f t="shared" si="23"/>
        <v>0</v>
      </c>
      <c r="M82" s="13"/>
      <c r="N82" s="13"/>
      <c r="O82" s="13">
        <f t="shared" si="24"/>
        <v>0</v>
      </c>
      <c r="P82" s="15"/>
      <c r="Q82" s="5">
        <f t="shared" si="26"/>
        <v>0</v>
      </c>
      <c r="R82" s="5"/>
      <c r="S82" s="5">
        <f t="shared" si="27"/>
        <v>0</v>
      </c>
      <c r="T82" s="15"/>
      <c r="U82" s="13"/>
      <c r="V82" s="1" t="e">
        <f t="shared" si="28"/>
        <v>#DIV/0!</v>
      </c>
      <c r="W82" s="13" t="e">
        <f t="shared" si="25"/>
        <v>#DIV/0!</v>
      </c>
      <c r="X82" s="13">
        <v>0.52060000000000006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/>
      <c r="AI82" s="1">
        <f t="shared" si="29"/>
        <v>0</v>
      </c>
      <c r="AJ82" s="1">
        <f t="shared" si="30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138</v>
      </c>
      <c r="B83" s="1" t="s">
        <v>36</v>
      </c>
      <c r="C83" s="1">
        <v>568.327</v>
      </c>
      <c r="D83" s="1">
        <v>2713.7159999999999</v>
      </c>
      <c r="E83" s="1">
        <v>1486.952</v>
      </c>
      <c r="F83" s="1">
        <v>1439.278</v>
      </c>
      <c r="G83" s="7">
        <v>1</v>
      </c>
      <c r="H83" s="1">
        <v>60</v>
      </c>
      <c r="I83" s="1" t="s">
        <v>37</v>
      </c>
      <c r="J83" s="1">
        <v>2093.1219999999998</v>
      </c>
      <c r="K83" s="1">
        <f t="shared" si="22"/>
        <v>-606.16999999999985</v>
      </c>
      <c r="L83" s="1">
        <f t="shared" si="23"/>
        <v>1486.952</v>
      </c>
      <c r="M83" s="1"/>
      <c r="N83" s="1">
        <v>1133.3689999999999</v>
      </c>
      <c r="O83" s="1">
        <f t="shared" si="24"/>
        <v>297.3904</v>
      </c>
      <c r="P83" s="5">
        <f t="shared" ref="P83:P95" si="31">10*O83-N83-F83</f>
        <v>401.25700000000006</v>
      </c>
      <c r="Q83" s="25">
        <f t="shared" ref="Q83" si="32">P83+O83</f>
        <v>698.64740000000006</v>
      </c>
      <c r="R83" s="25">
        <v>300</v>
      </c>
      <c r="S83" s="5">
        <f t="shared" si="27"/>
        <v>398.64740000000006</v>
      </c>
      <c r="T83" s="5"/>
      <c r="U83" s="1"/>
      <c r="V83" s="1">
        <f t="shared" si="28"/>
        <v>11</v>
      </c>
      <c r="W83" s="1">
        <f t="shared" si="25"/>
        <v>8.6507399028347916</v>
      </c>
      <c r="X83" s="1">
        <v>298.51600000000002</v>
      </c>
      <c r="Y83" s="1">
        <v>258.31079999999997</v>
      </c>
      <c r="Z83" s="1">
        <v>164.2698</v>
      </c>
      <c r="AA83" s="1">
        <v>181.83359999999999</v>
      </c>
      <c r="AB83" s="1">
        <v>178.24760000000001</v>
      </c>
      <c r="AC83" s="1">
        <v>131.71719999999999</v>
      </c>
      <c r="AD83" s="1">
        <v>139.10040000000001</v>
      </c>
      <c r="AE83" s="1">
        <v>169.86619999999999</v>
      </c>
      <c r="AF83" s="1">
        <v>143.18100000000001</v>
      </c>
      <c r="AG83" s="1">
        <v>162.04640000000001</v>
      </c>
      <c r="AH83" s="1" t="s">
        <v>139</v>
      </c>
      <c r="AI83" s="1">
        <f t="shared" si="29"/>
        <v>300</v>
      </c>
      <c r="AJ83" s="1">
        <f t="shared" si="30"/>
        <v>399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140</v>
      </c>
      <c r="B84" s="1" t="s">
        <v>36</v>
      </c>
      <c r="C84" s="1">
        <v>1211.903</v>
      </c>
      <c r="D84" s="1">
        <v>3065.3240000000001</v>
      </c>
      <c r="E84" s="1">
        <v>2074.0230000000001</v>
      </c>
      <c r="F84" s="1">
        <v>1624.65</v>
      </c>
      <c r="G84" s="7">
        <v>1</v>
      </c>
      <c r="H84" s="1">
        <v>60</v>
      </c>
      <c r="I84" s="1" t="s">
        <v>37</v>
      </c>
      <c r="J84" s="1">
        <v>3296.4780000000001</v>
      </c>
      <c r="K84" s="1">
        <f t="shared" si="22"/>
        <v>-1222.4549999999999</v>
      </c>
      <c r="L84" s="1">
        <f t="shared" si="23"/>
        <v>659.34700000000021</v>
      </c>
      <c r="M84" s="1">
        <v>1414.6759999999999</v>
      </c>
      <c r="N84" s="1">
        <v>1134.816</v>
      </c>
      <c r="O84" s="1">
        <f t="shared" si="24"/>
        <v>131.86940000000004</v>
      </c>
      <c r="P84" s="5"/>
      <c r="Q84" s="5">
        <f t="shared" si="26"/>
        <v>0</v>
      </c>
      <c r="R84" s="5"/>
      <c r="S84" s="5">
        <f t="shared" si="27"/>
        <v>0</v>
      </c>
      <c r="T84" s="5"/>
      <c r="U84" s="1"/>
      <c r="V84" s="1">
        <f t="shared" si="28"/>
        <v>20.925749264044573</v>
      </c>
      <c r="W84" s="1">
        <f t="shared" si="25"/>
        <v>20.925749264044573</v>
      </c>
      <c r="X84" s="1">
        <v>350.85899999999998</v>
      </c>
      <c r="Y84" s="1">
        <v>321.74360000000001</v>
      </c>
      <c r="Z84" s="1">
        <v>675.32060000000001</v>
      </c>
      <c r="AA84" s="1">
        <v>735.18680000000006</v>
      </c>
      <c r="AB84" s="1">
        <v>514.34320000000002</v>
      </c>
      <c r="AC84" s="1">
        <v>549.89760000000001</v>
      </c>
      <c r="AD84" s="1">
        <v>591.75459999999998</v>
      </c>
      <c r="AE84" s="1">
        <v>640.66300000000001</v>
      </c>
      <c r="AF84" s="1">
        <v>493.75119999999998</v>
      </c>
      <c r="AG84" s="1">
        <v>513.53</v>
      </c>
      <c r="AH84" s="18" t="s">
        <v>168</v>
      </c>
      <c r="AI84" s="1">
        <f t="shared" si="29"/>
        <v>0</v>
      </c>
      <c r="AJ84" s="1">
        <f t="shared" si="30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141</v>
      </c>
      <c r="B85" s="1" t="s">
        <v>36</v>
      </c>
      <c r="C85" s="1">
        <v>2.6709999999999998</v>
      </c>
      <c r="D85" s="1">
        <v>32.24</v>
      </c>
      <c r="E85" s="1">
        <v>5.3579999999999997</v>
      </c>
      <c r="F85" s="1">
        <v>28.213999999999999</v>
      </c>
      <c r="G85" s="7">
        <v>1</v>
      </c>
      <c r="H85" s="1">
        <v>55</v>
      </c>
      <c r="I85" s="1" t="s">
        <v>37</v>
      </c>
      <c r="J85" s="1">
        <v>7.8</v>
      </c>
      <c r="K85" s="1">
        <f t="shared" si="22"/>
        <v>-2.4420000000000002</v>
      </c>
      <c r="L85" s="1">
        <f t="shared" si="23"/>
        <v>5.3579999999999997</v>
      </c>
      <c r="M85" s="1"/>
      <c r="N85" s="1"/>
      <c r="O85" s="1">
        <f t="shared" si="24"/>
        <v>1.0715999999999999</v>
      </c>
      <c r="P85" s="5"/>
      <c r="Q85" s="5">
        <f t="shared" si="26"/>
        <v>0</v>
      </c>
      <c r="R85" s="5"/>
      <c r="S85" s="5">
        <f t="shared" si="27"/>
        <v>0</v>
      </c>
      <c r="T85" s="5"/>
      <c r="U85" s="1"/>
      <c r="V85" s="1">
        <f t="shared" si="28"/>
        <v>26.328854050018666</v>
      </c>
      <c r="W85" s="1">
        <f t="shared" si="25"/>
        <v>26.328854050018666</v>
      </c>
      <c r="X85" s="1">
        <v>1.0642</v>
      </c>
      <c r="Y85" s="1">
        <v>1.6112</v>
      </c>
      <c r="Z85" s="1">
        <v>0.8146000000000001</v>
      </c>
      <c r="AA85" s="1">
        <v>0.8103999999999999</v>
      </c>
      <c r="AB85" s="1">
        <v>0.8156000000000001</v>
      </c>
      <c r="AC85" s="1">
        <v>0.27279999999999999</v>
      </c>
      <c r="AD85" s="1">
        <v>0.27179999999999999</v>
      </c>
      <c r="AE85" s="1">
        <v>0.27179999999999999</v>
      </c>
      <c r="AF85" s="1">
        <v>0.27</v>
      </c>
      <c r="AG85" s="1">
        <v>0.27</v>
      </c>
      <c r="AH85" s="18" t="s">
        <v>142</v>
      </c>
      <c r="AI85" s="1">
        <f t="shared" si="29"/>
        <v>0</v>
      </c>
      <c r="AJ85" s="1">
        <f t="shared" si="30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143</v>
      </c>
      <c r="B86" s="1" t="s">
        <v>36</v>
      </c>
      <c r="C86" s="1">
        <v>6.7370000000000001</v>
      </c>
      <c r="D86" s="1">
        <v>43.12</v>
      </c>
      <c r="E86" s="1">
        <v>5.3929999999999998</v>
      </c>
      <c r="F86" s="1">
        <v>41.768999999999998</v>
      </c>
      <c r="G86" s="7">
        <v>1</v>
      </c>
      <c r="H86" s="1">
        <v>55</v>
      </c>
      <c r="I86" s="1" t="s">
        <v>37</v>
      </c>
      <c r="J86" s="1">
        <v>6.5</v>
      </c>
      <c r="K86" s="1">
        <f t="shared" si="22"/>
        <v>-1.1070000000000002</v>
      </c>
      <c r="L86" s="1">
        <f t="shared" si="23"/>
        <v>5.3929999999999998</v>
      </c>
      <c r="M86" s="1"/>
      <c r="N86" s="1"/>
      <c r="O86" s="1">
        <f t="shared" si="24"/>
        <v>1.0786</v>
      </c>
      <c r="P86" s="5"/>
      <c r="Q86" s="5">
        <f t="shared" si="26"/>
        <v>0</v>
      </c>
      <c r="R86" s="5"/>
      <c r="S86" s="5">
        <f t="shared" si="27"/>
        <v>0</v>
      </c>
      <c r="T86" s="5"/>
      <c r="U86" s="1"/>
      <c r="V86" s="1">
        <f t="shared" si="28"/>
        <v>38.725199332468016</v>
      </c>
      <c r="W86" s="1">
        <f t="shared" si="25"/>
        <v>38.725199332468016</v>
      </c>
      <c r="X86" s="1">
        <v>1.6180000000000001</v>
      </c>
      <c r="Y86" s="1">
        <v>3.4996</v>
      </c>
      <c r="Z86" s="1">
        <v>4.0282</v>
      </c>
      <c r="AA86" s="1">
        <v>2.1478000000000002</v>
      </c>
      <c r="AB86" s="1">
        <v>0.2702</v>
      </c>
      <c r="AC86" s="1">
        <v>1.0928</v>
      </c>
      <c r="AD86" s="1">
        <v>2.1669999999999998</v>
      </c>
      <c r="AE86" s="1">
        <v>1.88</v>
      </c>
      <c r="AF86" s="1">
        <v>0.27100000000000002</v>
      </c>
      <c r="AG86" s="1">
        <v>0.54039999999999999</v>
      </c>
      <c r="AH86" s="17" t="s">
        <v>144</v>
      </c>
      <c r="AI86" s="1">
        <f t="shared" si="29"/>
        <v>0</v>
      </c>
      <c r="AJ86" s="1">
        <f t="shared" si="30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145</v>
      </c>
      <c r="B87" s="1" t="s">
        <v>36</v>
      </c>
      <c r="C87" s="1">
        <v>13.404999999999999</v>
      </c>
      <c r="D87" s="1">
        <v>2.6160000000000001</v>
      </c>
      <c r="E87" s="1">
        <v>2.71</v>
      </c>
      <c r="F87" s="1">
        <v>6.7759999999999998</v>
      </c>
      <c r="G87" s="7">
        <v>1</v>
      </c>
      <c r="H87" s="1">
        <v>55</v>
      </c>
      <c r="I87" s="1" t="s">
        <v>37</v>
      </c>
      <c r="J87" s="1">
        <v>3.6</v>
      </c>
      <c r="K87" s="1">
        <f t="shared" si="22"/>
        <v>-0.89000000000000012</v>
      </c>
      <c r="L87" s="1">
        <f t="shared" si="23"/>
        <v>2.71</v>
      </c>
      <c r="M87" s="1"/>
      <c r="N87" s="1"/>
      <c r="O87" s="1">
        <f t="shared" si="24"/>
        <v>0.54200000000000004</v>
      </c>
      <c r="P87" s="5"/>
      <c r="Q87" s="5">
        <f t="shared" si="26"/>
        <v>0</v>
      </c>
      <c r="R87" s="5"/>
      <c r="S87" s="5">
        <f t="shared" si="27"/>
        <v>0</v>
      </c>
      <c r="T87" s="5"/>
      <c r="U87" s="1"/>
      <c r="V87" s="1">
        <f t="shared" si="28"/>
        <v>12.501845018450183</v>
      </c>
      <c r="W87" s="1">
        <f t="shared" si="25"/>
        <v>12.501845018450183</v>
      </c>
      <c r="X87" s="1">
        <v>0.8076000000000001</v>
      </c>
      <c r="Y87" s="1">
        <v>0.53760000000000008</v>
      </c>
      <c r="Z87" s="1">
        <v>0.187</v>
      </c>
      <c r="AA87" s="1">
        <v>0.45600000000000002</v>
      </c>
      <c r="AB87" s="1">
        <v>0.53579999999999994</v>
      </c>
      <c r="AC87" s="1">
        <v>0.26679999999999998</v>
      </c>
      <c r="AD87" s="1">
        <v>0.26600000000000001</v>
      </c>
      <c r="AE87" s="1">
        <v>0.53200000000000003</v>
      </c>
      <c r="AF87" s="1">
        <v>0.53099999999999992</v>
      </c>
      <c r="AG87" s="1">
        <v>0.26500000000000001</v>
      </c>
      <c r="AH87" s="18" t="s">
        <v>167</v>
      </c>
      <c r="AI87" s="1">
        <f t="shared" si="29"/>
        <v>0</v>
      </c>
      <c r="AJ87" s="1">
        <f t="shared" si="30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146</v>
      </c>
      <c r="B88" s="1" t="s">
        <v>36</v>
      </c>
      <c r="C88" s="1">
        <v>1.7669999999999999</v>
      </c>
      <c r="D88" s="1">
        <v>132.40100000000001</v>
      </c>
      <c r="E88" s="1">
        <v>0.79400000000000004</v>
      </c>
      <c r="F88" s="1">
        <v>117.583</v>
      </c>
      <c r="G88" s="7">
        <v>1</v>
      </c>
      <c r="H88" s="1">
        <v>60</v>
      </c>
      <c r="I88" s="1" t="s">
        <v>37</v>
      </c>
      <c r="J88" s="1">
        <v>3.2</v>
      </c>
      <c r="K88" s="1">
        <f t="shared" si="22"/>
        <v>-2.4060000000000001</v>
      </c>
      <c r="L88" s="1">
        <f t="shared" si="23"/>
        <v>0.79400000000000004</v>
      </c>
      <c r="M88" s="1"/>
      <c r="N88" s="1">
        <v>23.054600000000001</v>
      </c>
      <c r="O88" s="1">
        <f t="shared" si="24"/>
        <v>0.1588</v>
      </c>
      <c r="P88" s="5"/>
      <c r="Q88" s="5">
        <f t="shared" si="26"/>
        <v>0</v>
      </c>
      <c r="R88" s="5"/>
      <c r="S88" s="5">
        <f t="shared" si="27"/>
        <v>0</v>
      </c>
      <c r="T88" s="5"/>
      <c r="U88" s="1"/>
      <c r="V88" s="1">
        <f t="shared" si="28"/>
        <v>885.62720403022672</v>
      </c>
      <c r="W88" s="1">
        <f t="shared" si="25"/>
        <v>885.62720403022672</v>
      </c>
      <c r="X88" s="1">
        <v>12.1892</v>
      </c>
      <c r="Y88" s="1">
        <v>12.1904</v>
      </c>
      <c r="Z88" s="1">
        <v>8.9773999999999994</v>
      </c>
      <c r="AA88" s="1">
        <v>8.817400000000001</v>
      </c>
      <c r="AB88" s="1">
        <v>3.0908000000000002</v>
      </c>
      <c r="AC88" s="1">
        <v>3.4098000000000002</v>
      </c>
      <c r="AD88" s="1">
        <v>0.48060000000000003</v>
      </c>
      <c r="AE88" s="1">
        <v>0.48459999999999998</v>
      </c>
      <c r="AF88" s="1">
        <v>8.7010000000000005</v>
      </c>
      <c r="AG88" s="1">
        <v>9.3469999999999995</v>
      </c>
      <c r="AH88" s="1" t="s">
        <v>147</v>
      </c>
      <c r="AI88" s="1">
        <f t="shared" si="29"/>
        <v>0</v>
      </c>
      <c r="AJ88" s="1">
        <f t="shared" si="30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148</v>
      </c>
      <c r="B89" s="1" t="s">
        <v>42</v>
      </c>
      <c r="C89" s="1">
        <v>19</v>
      </c>
      <c r="D89" s="1">
        <v>19</v>
      </c>
      <c r="E89" s="1">
        <v>15</v>
      </c>
      <c r="F89" s="1">
        <v>16</v>
      </c>
      <c r="G89" s="7">
        <v>0.3</v>
      </c>
      <c r="H89" s="1">
        <v>40</v>
      </c>
      <c r="I89" s="1" t="s">
        <v>37</v>
      </c>
      <c r="J89" s="1">
        <v>17</v>
      </c>
      <c r="K89" s="1">
        <f t="shared" si="22"/>
        <v>-2</v>
      </c>
      <c r="L89" s="1">
        <f t="shared" si="23"/>
        <v>15</v>
      </c>
      <c r="M89" s="1"/>
      <c r="N89" s="1"/>
      <c r="O89" s="1">
        <f t="shared" si="24"/>
        <v>3</v>
      </c>
      <c r="P89" s="5">
        <f t="shared" si="31"/>
        <v>14</v>
      </c>
      <c r="Q89" s="5">
        <f t="shared" si="26"/>
        <v>14</v>
      </c>
      <c r="R89" s="5"/>
      <c r="S89" s="5">
        <f t="shared" si="27"/>
        <v>14</v>
      </c>
      <c r="T89" s="5"/>
      <c r="U89" s="1"/>
      <c r="V89" s="1">
        <f t="shared" si="28"/>
        <v>10</v>
      </c>
      <c r="W89" s="1">
        <f t="shared" si="25"/>
        <v>5.333333333333333</v>
      </c>
      <c r="X89" s="1">
        <v>2.2000000000000002</v>
      </c>
      <c r="Y89" s="1">
        <v>2.2000000000000002</v>
      </c>
      <c r="Z89" s="1">
        <v>2.8</v>
      </c>
      <c r="AA89" s="1">
        <v>3.2</v>
      </c>
      <c r="AB89" s="1">
        <v>2.8</v>
      </c>
      <c r="AC89" s="1">
        <v>2.2000000000000002</v>
      </c>
      <c r="AD89" s="1">
        <v>1.6</v>
      </c>
      <c r="AE89" s="1">
        <v>2.2000000000000002</v>
      </c>
      <c r="AF89" s="1">
        <v>1</v>
      </c>
      <c r="AG89" s="1">
        <v>0.4</v>
      </c>
      <c r="AH89" s="1"/>
      <c r="AI89" s="1">
        <f t="shared" si="29"/>
        <v>0</v>
      </c>
      <c r="AJ89" s="1">
        <f t="shared" si="30"/>
        <v>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149</v>
      </c>
      <c r="B90" s="1" t="s">
        <v>42</v>
      </c>
      <c r="C90" s="1">
        <v>11</v>
      </c>
      <c r="D90" s="1">
        <v>45</v>
      </c>
      <c r="E90" s="1">
        <v>12</v>
      </c>
      <c r="F90" s="1">
        <v>33</v>
      </c>
      <c r="G90" s="7">
        <v>0.3</v>
      </c>
      <c r="H90" s="1">
        <v>40</v>
      </c>
      <c r="I90" s="1" t="s">
        <v>37</v>
      </c>
      <c r="J90" s="1">
        <v>25</v>
      </c>
      <c r="K90" s="1">
        <f t="shared" si="22"/>
        <v>-13</v>
      </c>
      <c r="L90" s="1">
        <f t="shared" si="23"/>
        <v>12</v>
      </c>
      <c r="M90" s="1"/>
      <c r="N90" s="1"/>
      <c r="O90" s="1">
        <f t="shared" si="24"/>
        <v>2.4</v>
      </c>
      <c r="P90" s="5"/>
      <c r="Q90" s="5">
        <f t="shared" si="26"/>
        <v>0</v>
      </c>
      <c r="R90" s="5"/>
      <c r="S90" s="5">
        <f t="shared" si="27"/>
        <v>0</v>
      </c>
      <c r="T90" s="5"/>
      <c r="U90" s="1"/>
      <c r="V90" s="1">
        <f t="shared" si="28"/>
        <v>13.75</v>
      </c>
      <c r="W90" s="1">
        <f t="shared" si="25"/>
        <v>13.75</v>
      </c>
      <c r="X90" s="1">
        <v>1.4</v>
      </c>
      <c r="Y90" s="1">
        <v>1.6</v>
      </c>
      <c r="Z90" s="1">
        <v>1.6</v>
      </c>
      <c r="AA90" s="1">
        <v>2</v>
      </c>
      <c r="AB90" s="1">
        <v>2.4</v>
      </c>
      <c r="AC90" s="1">
        <v>2.4</v>
      </c>
      <c r="AD90" s="1">
        <v>1.4</v>
      </c>
      <c r="AE90" s="1">
        <v>2</v>
      </c>
      <c r="AF90" s="1">
        <v>0.8</v>
      </c>
      <c r="AG90" s="1">
        <v>0.6</v>
      </c>
      <c r="AH90" s="1" t="s">
        <v>150</v>
      </c>
      <c r="AI90" s="1">
        <f t="shared" si="29"/>
        <v>0</v>
      </c>
      <c r="AJ90" s="1">
        <f t="shared" si="30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151</v>
      </c>
      <c r="B91" s="1" t="s">
        <v>42</v>
      </c>
      <c r="C91" s="1">
        <v>68</v>
      </c>
      <c r="D91" s="1">
        <v>96</v>
      </c>
      <c r="E91" s="1">
        <v>75</v>
      </c>
      <c r="F91" s="1">
        <v>55</v>
      </c>
      <c r="G91" s="7">
        <v>0.3</v>
      </c>
      <c r="H91" s="1">
        <v>40</v>
      </c>
      <c r="I91" s="1" t="s">
        <v>37</v>
      </c>
      <c r="J91" s="1">
        <v>97</v>
      </c>
      <c r="K91" s="1">
        <f t="shared" si="22"/>
        <v>-22</v>
      </c>
      <c r="L91" s="1">
        <f t="shared" si="23"/>
        <v>75</v>
      </c>
      <c r="M91" s="1"/>
      <c r="N91" s="1"/>
      <c r="O91" s="1">
        <f t="shared" si="24"/>
        <v>15</v>
      </c>
      <c r="P91" s="5">
        <f>9.5*O91-N91-F91</f>
        <v>87.5</v>
      </c>
      <c r="Q91" s="5">
        <f t="shared" si="26"/>
        <v>87.5</v>
      </c>
      <c r="R91" s="5"/>
      <c r="S91" s="5">
        <f t="shared" si="27"/>
        <v>87.5</v>
      </c>
      <c r="T91" s="5"/>
      <c r="U91" s="1"/>
      <c r="V91" s="1">
        <f t="shared" si="28"/>
        <v>9.5</v>
      </c>
      <c r="W91" s="1">
        <f t="shared" si="25"/>
        <v>3.6666666666666665</v>
      </c>
      <c r="X91" s="1">
        <v>9</v>
      </c>
      <c r="Y91" s="1">
        <v>9.1999999999999993</v>
      </c>
      <c r="Z91" s="1">
        <v>13.4</v>
      </c>
      <c r="AA91" s="1">
        <v>12.4</v>
      </c>
      <c r="AB91" s="1">
        <v>13.8</v>
      </c>
      <c r="AC91" s="1">
        <v>17.399999999999999</v>
      </c>
      <c r="AD91" s="1">
        <v>14.4</v>
      </c>
      <c r="AE91" s="1">
        <v>15.4</v>
      </c>
      <c r="AF91" s="1">
        <v>13.4</v>
      </c>
      <c r="AG91" s="1">
        <v>15.4</v>
      </c>
      <c r="AH91" s="1"/>
      <c r="AI91" s="1">
        <f t="shared" si="29"/>
        <v>0</v>
      </c>
      <c r="AJ91" s="1">
        <f t="shared" si="30"/>
        <v>26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153</v>
      </c>
      <c r="B92" s="1" t="s">
        <v>36</v>
      </c>
      <c r="C92" s="1">
        <v>6002.7929999999997</v>
      </c>
      <c r="D92" s="1">
        <v>5466.4650000000001</v>
      </c>
      <c r="E92" s="1">
        <v>3748.3040000000001</v>
      </c>
      <c r="F92" s="1">
        <v>7012.9409999999998</v>
      </c>
      <c r="G92" s="7">
        <v>1</v>
      </c>
      <c r="H92" s="1">
        <v>40</v>
      </c>
      <c r="I92" s="1" t="s">
        <v>37</v>
      </c>
      <c r="J92" s="1">
        <v>3609.42</v>
      </c>
      <c r="K92" s="1">
        <f t="shared" si="22"/>
        <v>138.88400000000001</v>
      </c>
      <c r="L92" s="1">
        <f t="shared" si="23"/>
        <v>3664.2660000000001</v>
      </c>
      <c r="M92" s="1">
        <v>84.037999999999997</v>
      </c>
      <c r="N92" s="1"/>
      <c r="O92" s="1">
        <f t="shared" si="24"/>
        <v>732.85320000000002</v>
      </c>
      <c r="P92" s="5">
        <f t="shared" si="31"/>
        <v>315.59100000000035</v>
      </c>
      <c r="Q92" s="25">
        <f t="shared" ref="Q92" si="33">P92+O92</f>
        <v>1048.4442000000004</v>
      </c>
      <c r="R92" s="25">
        <v>390</v>
      </c>
      <c r="S92" s="5">
        <f t="shared" si="27"/>
        <v>658.44420000000036</v>
      </c>
      <c r="T92" s="5"/>
      <c r="U92" s="1"/>
      <c r="V92" s="1">
        <f t="shared" si="28"/>
        <v>11</v>
      </c>
      <c r="W92" s="1">
        <f t="shared" si="25"/>
        <v>9.5693666889903728</v>
      </c>
      <c r="X92" s="1">
        <v>833.77319999999997</v>
      </c>
      <c r="Y92" s="1">
        <v>852.93179999999995</v>
      </c>
      <c r="Z92" s="1">
        <v>1290.4069999999999</v>
      </c>
      <c r="AA92" s="1">
        <v>1456.4558</v>
      </c>
      <c r="AB92" s="1">
        <v>1056.0206000000001</v>
      </c>
      <c r="AC92" s="1">
        <v>1007.1074</v>
      </c>
      <c r="AD92" s="1">
        <v>1297.9582</v>
      </c>
      <c r="AE92" s="1">
        <v>1238.9282000000001</v>
      </c>
      <c r="AF92" s="1">
        <v>796.32719999999995</v>
      </c>
      <c r="AG92" s="1">
        <v>861.65599999999995</v>
      </c>
      <c r="AH92" s="1" t="s">
        <v>64</v>
      </c>
      <c r="AI92" s="1">
        <f t="shared" si="29"/>
        <v>390</v>
      </c>
      <c r="AJ92" s="1">
        <f t="shared" si="30"/>
        <v>658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154</v>
      </c>
      <c r="B93" s="1" t="s">
        <v>42</v>
      </c>
      <c r="C93" s="1">
        <v>67</v>
      </c>
      <c r="D93" s="1">
        <v>102</v>
      </c>
      <c r="E93" s="1">
        <v>14</v>
      </c>
      <c r="F93" s="1">
        <v>125</v>
      </c>
      <c r="G93" s="7">
        <v>0.3</v>
      </c>
      <c r="H93" s="1">
        <v>40</v>
      </c>
      <c r="I93" s="1" t="s">
        <v>37</v>
      </c>
      <c r="J93" s="1">
        <v>193</v>
      </c>
      <c r="K93" s="1">
        <f t="shared" si="22"/>
        <v>-179</v>
      </c>
      <c r="L93" s="1">
        <f t="shared" si="23"/>
        <v>14</v>
      </c>
      <c r="M93" s="1"/>
      <c r="N93" s="1">
        <v>100.8</v>
      </c>
      <c r="O93" s="1">
        <f t="shared" si="24"/>
        <v>2.8</v>
      </c>
      <c r="P93" s="5"/>
      <c r="Q93" s="5">
        <f t="shared" si="26"/>
        <v>0</v>
      </c>
      <c r="R93" s="5"/>
      <c r="S93" s="5">
        <f t="shared" si="27"/>
        <v>0</v>
      </c>
      <c r="T93" s="5"/>
      <c r="U93" s="1"/>
      <c r="V93" s="1">
        <f t="shared" si="28"/>
        <v>80.642857142857153</v>
      </c>
      <c r="W93" s="1">
        <f t="shared" si="25"/>
        <v>80.642857142857153</v>
      </c>
      <c r="X93" s="1">
        <v>21.8</v>
      </c>
      <c r="Y93" s="1">
        <v>25.2</v>
      </c>
      <c r="Z93" s="1">
        <v>26.6</v>
      </c>
      <c r="AA93" s="1">
        <v>25.2</v>
      </c>
      <c r="AB93" s="1">
        <v>26.8</v>
      </c>
      <c r="AC93" s="1">
        <v>28</v>
      </c>
      <c r="AD93" s="1">
        <v>26.8</v>
      </c>
      <c r="AE93" s="1">
        <v>31.2</v>
      </c>
      <c r="AF93" s="1">
        <v>22</v>
      </c>
      <c r="AG93" s="1">
        <v>22.8</v>
      </c>
      <c r="AH93" s="23" t="s">
        <v>49</v>
      </c>
      <c r="AI93" s="1">
        <f t="shared" si="29"/>
        <v>0</v>
      </c>
      <c r="AJ93" s="1">
        <f t="shared" si="30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155</v>
      </c>
      <c r="B94" s="1" t="s">
        <v>42</v>
      </c>
      <c r="C94" s="1">
        <v>63</v>
      </c>
      <c r="D94" s="1">
        <v>132</v>
      </c>
      <c r="E94" s="1">
        <v>125</v>
      </c>
      <c r="F94" s="1">
        <v>56</v>
      </c>
      <c r="G94" s="7">
        <v>0.3</v>
      </c>
      <c r="H94" s="1">
        <v>40</v>
      </c>
      <c r="I94" s="1" t="s">
        <v>37</v>
      </c>
      <c r="J94" s="1">
        <v>138</v>
      </c>
      <c r="K94" s="1">
        <f t="shared" si="22"/>
        <v>-13</v>
      </c>
      <c r="L94" s="1">
        <f t="shared" si="23"/>
        <v>125</v>
      </c>
      <c r="M94" s="1"/>
      <c r="N94" s="1">
        <v>24.800000000000011</v>
      </c>
      <c r="O94" s="1">
        <f t="shared" si="24"/>
        <v>25</v>
      </c>
      <c r="P94" s="5">
        <f>9*O94-N94-F94</f>
        <v>144.19999999999999</v>
      </c>
      <c r="Q94" s="5">
        <f t="shared" si="26"/>
        <v>144.19999999999999</v>
      </c>
      <c r="R94" s="5"/>
      <c r="S94" s="5">
        <f t="shared" si="27"/>
        <v>144.19999999999999</v>
      </c>
      <c r="T94" s="5"/>
      <c r="U94" s="1"/>
      <c r="V94" s="1">
        <f t="shared" si="28"/>
        <v>9</v>
      </c>
      <c r="W94" s="1">
        <f t="shared" si="25"/>
        <v>3.2320000000000007</v>
      </c>
      <c r="X94" s="1">
        <v>16.8</v>
      </c>
      <c r="Y94" s="1">
        <v>17</v>
      </c>
      <c r="Z94" s="1">
        <v>21</v>
      </c>
      <c r="AA94" s="1">
        <v>21</v>
      </c>
      <c r="AB94" s="1">
        <v>20</v>
      </c>
      <c r="AC94" s="1">
        <v>21.2</v>
      </c>
      <c r="AD94" s="1">
        <v>20.2</v>
      </c>
      <c r="AE94" s="1">
        <v>18</v>
      </c>
      <c r="AF94" s="1">
        <v>5.2</v>
      </c>
      <c r="AG94" s="1">
        <v>9.6</v>
      </c>
      <c r="AH94" s="1" t="s">
        <v>156</v>
      </c>
      <c r="AI94" s="1">
        <f t="shared" si="29"/>
        <v>0</v>
      </c>
      <c r="AJ94" s="1">
        <f t="shared" si="30"/>
        <v>43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157</v>
      </c>
      <c r="B95" s="1" t="s">
        <v>36</v>
      </c>
      <c r="C95" s="1">
        <v>14.598000000000001</v>
      </c>
      <c r="D95" s="1">
        <v>32.853999999999999</v>
      </c>
      <c r="E95" s="1">
        <v>20.189</v>
      </c>
      <c r="F95" s="1">
        <v>23.277000000000001</v>
      </c>
      <c r="G95" s="7">
        <v>1</v>
      </c>
      <c r="H95" s="1">
        <v>45</v>
      </c>
      <c r="I95" s="1" t="s">
        <v>37</v>
      </c>
      <c r="J95" s="1">
        <v>16.899999999999999</v>
      </c>
      <c r="K95" s="1">
        <f t="shared" si="22"/>
        <v>3.2890000000000015</v>
      </c>
      <c r="L95" s="1">
        <f t="shared" si="23"/>
        <v>20.189</v>
      </c>
      <c r="M95" s="1"/>
      <c r="N95" s="1">
        <v>10.143800000000001</v>
      </c>
      <c r="O95" s="1">
        <f t="shared" si="24"/>
        <v>4.0377999999999998</v>
      </c>
      <c r="P95" s="5">
        <f t="shared" si="31"/>
        <v>6.9572000000000003</v>
      </c>
      <c r="Q95" s="5">
        <f t="shared" si="26"/>
        <v>6.9572000000000003</v>
      </c>
      <c r="R95" s="5"/>
      <c r="S95" s="5">
        <f t="shared" si="27"/>
        <v>6.9572000000000003</v>
      </c>
      <c r="T95" s="5"/>
      <c r="U95" s="1"/>
      <c r="V95" s="1">
        <f t="shared" si="28"/>
        <v>10</v>
      </c>
      <c r="W95" s="1">
        <f t="shared" si="25"/>
        <v>8.276982515231067</v>
      </c>
      <c r="X95" s="1">
        <v>4.2898000000000014</v>
      </c>
      <c r="Y95" s="1">
        <v>3.4994000000000001</v>
      </c>
      <c r="Z95" s="1">
        <v>4.0082000000000004</v>
      </c>
      <c r="AA95" s="1">
        <v>3.9998</v>
      </c>
      <c r="AB95" s="1">
        <v>1.0733999999999999</v>
      </c>
      <c r="AC95" s="1">
        <v>2.4333999999999998</v>
      </c>
      <c r="AD95" s="1">
        <v>3.2648000000000001</v>
      </c>
      <c r="AE95" s="1">
        <v>3.2709999999999999</v>
      </c>
      <c r="AF95" s="1">
        <v>0.27760000000000001</v>
      </c>
      <c r="AG95" s="1">
        <v>0</v>
      </c>
      <c r="AH95" s="1" t="s">
        <v>158</v>
      </c>
      <c r="AI95" s="1">
        <f t="shared" si="29"/>
        <v>0</v>
      </c>
      <c r="AJ95" s="1">
        <f t="shared" si="30"/>
        <v>7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159</v>
      </c>
      <c r="B96" s="1" t="s">
        <v>42</v>
      </c>
      <c r="C96" s="1"/>
      <c r="D96" s="1">
        <v>36</v>
      </c>
      <c r="E96" s="1">
        <v>8</v>
      </c>
      <c r="F96" s="1">
        <v>14</v>
      </c>
      <c r="G96" s="7">
        <v>0.33</v>
      </c>
      <c r="H96" s="1">
        <v>40</v>
      </c>
      <c r="I96" s="1" t="s">
        <v>37</v>
      </c>
      <c r="J96" s="1">
        <v>10</v>
      </c>
      <c r="K96" s="1">
        <f t="shared" si="22"/>
        <v>-2</v>
      </c>
      <c r="L96" s="1">
        <f t="shared" si="23"/>
        <v>8</v>
      </c>
      <c r="M96" s="1"/>
      <c r="N96" s="1">
        <v>6</v>
      </c>
      <c r="O96" s="1">
        <f t="shared" si="24"/>
        <v>1.6</v>
      </c>
      <c r="P96" s="5"/>
      <c r="Q96" s="5">
        <f t="shared" si="26"/>
        <v>0</v>
      </c>
      <c r="R96" s="5"/>
      <c r="S96" s="5">
        <f t="shared" si="27"/>
        <v>0</v>
      </c>
      <c r="T96" s="5"/>
      <c r="U96" s="1"/>
      <c r="V96" s="1">
        <f t="shared" si="28"/>
        <v>12.5</v>
      </c>
      <c r="W96" s="1">
        <f t="shared" si="25"/>
        <v>12.5</v>
      </c>
      <c r="X96" s="1">
        <v>1</v>
      </c>
      <c r="Y96" s="1">
        <v>1</v>
      </c>
      <c r="Z96" s="1">
        <v>2</v>
      </c>
      <c r="AA96" s="1">
        <v>2.2000000000000002</v>
      </c>
      <c r="AB96" s="1">
        <v>1.2</v>
      </c>
      <c r="AC96" s="1">
        <v>1.4</v>
      </c>
      <c r="AD96" s="1">
        <v>1.8</v>
      </c>
      <c r="AE96" s="1">
        <v>2.4</v>
      </c>
      <c r="AF96" s="1">
        <v>1.4</v>
      </c>
      <c r="AG96" s="1">
        <v>0.6</v>
      </c>
      <c r="AH96" s="1"/>
      <c r="AI96" s="1">
        <f t="shared" si="29"/>
        <v>0</v>
      </c>
      <c r="AJ96" s="1">
        <f t="shared" si="30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3" t="s">
        <v>160</v>
      </c>
      <c r="B97" s="13" t="s">
        <v>42</v>
      </c>
      <c r="C97" s="13">
        <v>5</v>
      </c>
      <c r="D97" s="13"/>
      <c r="E97" s="13">
        <v>-1</v>
      </c>
      <c r="F97" s="13">
        <v>5</v>
      </c>
      <c r="G97" s="14">
        <v>0</v>
      </c>
      <c r="H97" s="13">
        <v>50</v>
      </c>
      <c r="I97" s="13" t="s">
        <v>59</v>
      </c>
      <c r="J97" s="13"/>
      <c r="K97" s="13">
        <f t="shared" si="22"/>
        <v>-1</v>
      </c>
      <c r="L97" s="13">
        <f t="shared" si="23"/>
        <v>-1</v>
      </c>
      <c r="M97" s="13"/>
      <c r="N97" s="13"/>
      <c r="O97" s="13">
        <f t="shared" si="24"/>
        <v>-0.2</v>
      </c>
      <c r="P97" s="15"/>
      <c r="Q97" s="5">
        <f t="shared" si="26"/>
        <v>0</v>
      </c>
      <c r="R97" s="5"/>
      <c r="S97" s="5">
        <f t="shared" si="27"/>
        <v>0</v>
      </c>
      <c r="T97" s="15"/>
      <c r="U97" s="13"/>
      <c r="V97" s="1">
        <f t="shared" si="28"/>
        <v>-25</v>
      </c>
      <c r="W97" s="13">
        <f t="shared" si="25"/>
        <v>-25</v>
      </c>
      <c r="X97" s="13">
        <v>0.4</v>
      </c>
      <c r="Y97" s="13">
        <v>0.4</v>
      </c>
      <c r="Z97" s="13">
        <v>-0.2</v>
      </c>
      <c r="AA97" s="13">
        <v>0</v>
      </c>
      <c r="AB97" s="13">
        <v>0.8</v>
      </c>
      <c r="AC97" s="13">
        <v>0.6</v>
      </c>
      <c r="AD97" s="13">
        <v>0.2</v>
      </c>
      <c r="AE97" s="13">
        <v>0.4</v>
      </c>
      <c r="AF97" s="13">
        <v>0.4</v>
      </c>
      <c r="AG97" s="13">
        <v>0.2</v>
      </c>
      <c r="AH97" s="18" t="s">
        <v>165</v>
      </c>
      <c r="AI97" s="1">
        <f t="shared" si="29"/>
        <v>0</v>
      </c>
      <c r="AJ97" s="1">
        <f t="shared" si="30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161</v>
      </c>
      <c r="B98" s="1" t="s">
        <v>42</v>
      </c>
      <c r="C98" s="1">
        <v>10</v>
      </c>
      <c r="D98" s="1">
        <v>43</v>
      </c>
      <c r="E98" s="1">
        <v>10</v>
      </c>
      <c r="F98" s="1">
        <v>42</v>
      </c>
      <c r="G98" s="7">
        <v>0.3</v>
      </c>
      <c r="H98" s="1">
        <v>40</v>
      </c>
      <c r="I98" s="1" t="s">
        <v>37</v>
      </c>
      <c r="J98" s="1">
        <v>11</v>
      </c>
      <c r="K98" s="1">
        <f t="shared" ref="K98:K101" si="34">E98-J98</f>
        <v>-1</v>
      </c>
      <c r="L98" s="1">
        <f t="shared" si="23"/>
        <v>10</v>
      </c>
      <c r="M98" s="1"/>
      <c r="N98" s="1"/>
      <c r="O98" s="1">
        <f t="shared" si="24"/>
        <v>2</v>
      </c>
      <c r="P98" s="5"/>
      <c r="Q98" s="5">
        <f t="shared" si="26"/>
        <v>0</v>
      </c>
      <c r="R98" s="5"/>
      <c r="S98" s="5">
        <f t="shared" si="27"/>
        <v>0</v>
      </c>
      <c r="T98" s="5"/>
      <c r="U98" s="1"/>
      <c r="V98" s="1">
        <f t="shared" si="28"/>
        <v>21</v>
      </c>
      <c r="W98" s="1">
        <f t="shared" si="25"/>
        <v>21</v>
      </c>
      <c r="X98" s="1">
        <v>3</v>
      </c>
      <c r="Y98" s="1">
        <v>3.2</v>
      </c>
      <c r="Z98" s="1">
        <v>1.2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 t="s">
        <v>162</v>
      </c>
      <c r="AI98" s="1">
        <f t="shared" si="29"/>
        <v>0</v>
      </c>
      <c r="AJ98" s="1">
        <f t="shared" si="30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3" t="s">
        <v>163</v>
      </c>
      <c r="B99" s="13" t="s">
        <v>42</v>
      </c>
      <c r="C99" s="13"/>
      <c r="D99" s="13">
        <v>372</v>
      </c>
      <c r="E99" s="13">
        <v>14</v>
      </c>
      <c r="F99" s="13">
        <v>358</v>
      </c>
      <c r="G99" s="14">
        <v>0</v>
      </c>
      <c r="H99" s="13" t="e">
        <v>#N/A</v>
      </c>
      <c r="I99" s="13" t="s">
        <v>59</v>
      </c>
      <c r="J99" s="13"/>
      <c r="K99" s="13">
        <f t="shared" si="34"/>
        <v>14</v>
      </c>
      <c r="L99" s="13">
        <f t="shared" si="23"/>
        <v>14</v>
      </c>
      <c r="M99" s="13"/>
      <c r="N99" s="13"/>
      <c r="O99" s="13">
        <f t="shared" si="24"/>
        <v>2.8</v>
      </c>
      <c r="P99" s="15"/>
      <c r="Q99" s="5">
        <f t="shared" si="26"/>
        <v>0</v>
      </c>
      <c r="R99" s="5"/>
      <c r="S99" s="5">
        <f t="shared" si="27"/>
        <v>0</v>
      </c>
      <c r="T99" s="15"/>
      <c r="U99" s="13"/>
      <c r="V99" s="1">
        <f t="shared" si="28"/>
        <v>127.85714285714286</v>
      </c>
      <c r="W99" s="13">
        <f t="shared" si="25"/>
        <v>127.85714285714286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6" t="s">
        <v>164</v>
      </c>
      <c r="AI99" s="1">
        <f t="shared" si="29"/>
        <v>0</v>
      </c>
      <c r="AJ99" s="1">
        <f t="shared" si="30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0" t="s">
        <v>152</v>
      </c>
      <c r="B100" s="1" t="s">
        <v>36</v>
      </c>
      <c r="C100" s="1"/>
      <c r="D100" s="1">
        <v>21.6</v>
      </c>
      <c r="E100" s="1"/>
      <c r="F100" s="1">
        <v>21.6</v>
      </c>
      <c r="G100" s="7">
        <v>1</v>
      </c>
      <c r="H100" s="1">
        <v>50</v>
      </c>
      <c r="I100" s="1" t="s">
        <v>37</v>
      </c>
      <c r="J100" s="1"/>
      <c r="K100" s="1">
        <f t="shared" si="34"/>
        <v>0</v>
      </c>
      <c r="L100" s="1">
        <f t="shared" si="23"/>
        <v>0</v>
      </c>
      <c r="M100" s="1"/>
      <c r="N100" s="1"/>
      <c r="O100" s="1">
        <f t="shared" si="24"/>
        <v>0</v>
      </c>
      <c r="P100" s="5"/>
      <c r="Q100" s="5">
        <f t="shared" si="26"/>
        <v>0</v>
      </c>
      <c r="R100" s="5"/>
      <c r="S100" s="5">
        <f t="shared" si="27"/>
        <v>0</v>
      </c>
      <c r="T100" s="5"/>
      <c r="U100" s="1"/>
      <c r="V100" s="1" t="e">
        <f t="shared" si="28"/>
        <v>#DIV/0!</v>
      </c>
      <c r="W100" s="1" t="e">
        <f t="shared" si="25"/>
        <v>#DIV/0!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 t="s">
        <v>162</v>
      </c>
      <c r="AI100" s="1">
        <f t="shared" si="29"/>
        <v>0</v>
      </c>
      <c r="AJ100" s="1">
        <f t="shared" si="30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0" t="s">
        <v>51</v>
      </c>
      <c r="B101" s="1" t="s">
        <v>42</v>
      </c>
      <c r="C101" s="1"/>
      <c r="D101" s="1">
        <v>84</v>
      </c>
      <c r="E101" s="1">
        <v>4</v>
      </c>
      <c r="F101" s="1">
        <v>80</v>
      </c>
      <c r="G101" s="7">
        <v>0.05</v>
      </c>
      <c r="H101" s="1">
        <v>120</v>
      </c>
      <c r="I101" s="1" t="s">
        <v>37</v>
      </c>
      <c r="J101" s="1"/>
      <c r="K101" s="1">
        <f t="shared" si="34"/>
        <v>4</v>
      </c>
      <c r="L101" s="1">
        <f t="shared" si="23"/>
        <v>4</v>
      </c>
      <c r="M101" s="1"/>
      <c r="N101" s="1"/>
      <c r="O101" s="1">
        <f t="shared" si="24"/>
        <v>0.8</v>
      </c>
      <c r="P101" s="5"/>
      <c r="Q101" s="5">
        <f t="shared" si="26"/>
        <v>0</v>
      </c>
      <c r="R101" s="5"/>
      <c r="S101" s="5">
        <f t="shared" si="27"/>
        <v>0</v>
      </c>
      <c r="T101" s="5"/>
      <c r="U101" s="1"/>
      <c r="V101" s="1">
        <f t="shared" si="28"/>
        <v>100</v>
      </c>
      <c r="W101" s="1">
        <f t="shared" si="25"/>
        <v>100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162</v>
      </c>
      <c r="AI101" s="1">
        <f t="shared" si="29"/>
        <v>0</v>
      </c>
      <c r="AJ101" s="1">
        <f t="shared" si="30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I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2025-04-09T12:30:57Z</dcterms:created>
  <dcterms:modified xsi:type="dcterms:W3CDTF">2025-04-10T08:38:58Z</dcterms:modified>
</cp:coreProperties>
</file>